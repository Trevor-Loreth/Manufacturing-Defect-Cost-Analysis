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e8e0871ec53d25/Documents/Data Analysis Projects/Zoom Drones/"/>
    </mc:Choice>
  </mc:AlternateContent>
  <xr:revisionPtr revIDLastSave="7" documentId="13_ncr:20001_{302A41D1-8085-424E-9324-9097E66058EA}" xr6:coauthVersionLast="47" xr6:coauthVersionMax="47" xr10:uidLastSave="{647BE9D9-A54C-490D-98C9-F16BD567821E}"/>
  <bookViews>
    <workbookView xWindow="-120" yWindow="-120" windowWidth="20640" windowHeight="11160" activeTab="6" xr2:uid="{00000000-000D-0000-FFFF-FFFF00000000}"/>
  </bookViews>
  <sheets>
    <sheet name="Sales" sheetId="2" r:id="rId1"/>
    <sheet name="Inventory" sheetId="3" r:id="rId2"/>
    <sheet name="Blades" sheetId="4" r:id="rId3"/>
    <sheet name="Motor" sheetId="5" r:id="rId4"/>
    <sheet name="Frame" sheetId="6" r:id="rId5"/>
    <sheet name="Returns" sheetId="7" r:id="rId6"/>
    <sheet name="Factory Costs" sheetId="9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71" i="6" l="1"/>
  <c r="C3270" i="6"/>
  <c r="C3269" i="6"/>
  <c r="C3268" i="6"/>
  <c r="C3267" i="6"/>
  <c r="C3266" i="6"/>
  <c r="C3265" i="6"/>
  <c r="C3264" i="6"/>
  <c r="C3263" i="6"/>
  <c r="C3262" i="6"/>
  <c r="C3261" i="6"/>
  <c r="C3260" i="6"/>
  <c r="C3259" i="6"/>
  <c r="C3258" i="6"/>
  <c r="C3257" i="6"/>
  <c r="C3256" i="6"/>
  <c r="C3255" i="6"/>
  <c r="C3254" i="6"/>
  <c r="C3253" i="6"/>
  <c r="C3252" i="6"/>
  <c r="C3251" i="6"/>
  <c r="C3250" i="6"/>
  <c r="C3249" i="6"/>
  <c r="C3248" i="6"/>
  <c r="C3247" i="6"/>
  <c r="C3246" i="6"/>
  <c r="C3245" i="6"/>
  <c r="C3244" i="6"/>
  <c r="C3243" i="6"/>
  <c r="C3242" i="6"/>
  <c r="C3241" i="6"/>
  <c r="C3240" i="6"/>
  <c r="C3239" i="6"/>
  <c r="C3238" i="6"/>
  <c r="C3237" i="6"/>
  <c r="C3236" i="6"/>
  <c r="C3235" i="6"/>
  <c r="C3234" i="6"/>
  <c r="C3233" i="6"/>
  <c r="C3232" i="6"/>
  <c r="C3231" i="6"/>
  <c r="C3230" i="6"/>
  <c r="C3229" i="6"/>
  <c r="C3228" i="6"/>
  <c r="C3227" i="6"/>
  <c r="C3226" i="6"/>
  <c r="C3225" i="6"/>
  <c r="C3224" i="6"/>
  <c r="C3223" i="6"/>
  <c r="C3222" i="6"/>
  <c r="C3221" i="6"/>
  <c r="C3220" i="6"/>
  <c r="C3219" i="6"/>
  <c r="C3218" i="6"/>
  <c r="C3217" i="6"/>
  <c r="C3216" i="6"/>
  <c r="C3215" i="6"/>
  <c r="C3214" i="6"/>
  <c r="C3213" i="6"/>
  <c r="C3212" i="6"/>
  <c r="C3211" i="6"/>
  <c r="C3210" i="6"/>
  <c r="C3209" i="6"/>
  <c r="C3208" i="6"/>
  <c r="C3207" i="6"/>
  <c r="C3206" i="6"/>
  <c r="C3205" i="6"/>
  <c r="C3204" i="6"/>
  <c r="C3203" i="6"/>
  <c r="C3202" i="6"/>
  <c r="C3201" i="6"/>
  <c r="C3200" i="6"/>
  <c r="C3199" i="6"/>
  <c r="C3198" i="6"/>
  <c r="C3197" i="6"/>
  <c r="C3196" i="6"/>
  <c r="C3195" i="6"/>
  <c r="C3194" i="6"/>
  <c r="C3193" i="6"/>
  <c r="C3192" i="6"/>
  <c r="C3191" i="6"/>
  <c r="C3190" i="6"/>
  <c r="C3189" i="6"/>
  <c r="C3188" i="6"/>
  <c r="C3187" i="6"/>
  <c r="C3186" i="6"/>
  <c r="C3185" i="6"/>
  <c r="C3184" i="6"/>
  <c r="C3183" i="6"/>
  <c r="C3182" i="6"/>
  <c r="C3181" i="6"/>
  <c r="C3180" i="6"/>
  <c r="C3179" i="6"/>
  <c r="C3178" i="6"/>
  <c r="C3177" i="6"/>
  <c r="C3176" i="6"/>
  <c r="C3175" i="6"/>
  <c r="C3174" i="6"/>
  <c r="C3173" i="6"/>
  <c r="C3172" i="6"/>
  <c r="C3171" i="6"/>
  <c r="C3170" i="6"/>
  <c r="C3169" i="6"/>
  <c r="C3168" i="6"/>
  <c r="C3167" i="6"/>
  <c r="C3166" i="6"/>
  <c r="C3165" i="6"/>
  <c r="C3164" i="6"/>
  <c r="C3163" i="6"/>
  <c r="C3162" i="6"/>
  <c r="C3161" i="6"/>
  <c r="C3160" i="6"/>
  <c r="C3159" i="6"/>
  <c r="C3158" i="6"/>
  <c r="C3157" i="6"/>
  <c r="C3156" i="6"/>
  <c r="C3155" i="6"/>
  <c r="C3154" i="6"/>
  <c r="C3153" i="6"/>
  <c r="C3152" i="6"/>
  <c r="C3151" i="6"/>
  <c r="C3150" i="6"/>
  <c r="C3149" i="6"/>
  <c r="C3148" i="6"/>
  <c r="C3147" i="6"/>
  <c r="C3146" i="6"/>
  <c r="C3145" i="6"/>
  <c r="C3144" i="6"/>
  <c r="C3143" i="6"/>
  <c r="C3142" i="6"/>
  <c r="C3141" i="6"/>
  <c r="C3140" i="6"/>
  <c r="C3139" i="6"/>
  <c r="C3138" i="6"/>
  <c r="C3137" i="6"/>
  <c r="C3136" i="6"/>
  <c r="C3135" i="6"/>
  <c r="C3134" i="6"/>
  <c r="C3133" i="6"/>
  <c r="C3132" i="6"/>
  <c r="C3131" i="6"/>
  <c r="C3130" i="6"/>
  <c r="C3129" i="6"/>
  <c r="C3128" i="6"/>
  <c r="C3127" i="6"/>
  <c r="C3126" i="6"/>
  <c r="C3125" i="6"/>
  <c r="C3124" i="6"/>
  <c r="C3123" i="6"/>
  <c r="C3122" i="6"/>
  <c r="C3121" i="6"/>
  <c r="C3120" i="6"/>
  <c r="C3119" i="6"/>
  <c r="C3118" i="6"/>
  <c r="C3117" i="6"/>
  <c r="C3116" i="6"/>
  <c r="C3115" i="6"/>
  <c r="C3114" i="6"/>
  <c r="C3113" i="6"/>
  <c r="C3112" i="6"/>
  <c r="C3111" i="6"/>
  <c r="C3110" i="6"/>
  <c r="C3109" i="6"/>
  <c r="C3108" i="6"/>
  <c r="C3107" i="6"/>
  <c r="C3106" i="6"/>
  <c r="C3105" i="6"/>
  <c r="C3104" i="6"/>
  <c r="C3103" i="6"/>
  <c r="C3102" i="6"/>
  <c r="C3101" i="6"/>
  <c r="C3100" i="6"/>
  <c r="C3099" i="6"/>
  <c r="C3098" i="6"/>
  <c r="C3097" i="6"/>
  <c r="C3096" i="6"/>
  <c r="C3095" i="6"/>
  <c r="C3094" i="6"/>
  <c r="C3093" i="6"/>
  <c r="C3092" i="6"/>
  <c r="C3091" i="6"/>
  <c r="C3090" i="6"/>
  <c r="C3089" i="6"/>
  <c r="C3088" i="6"/>
  <c r="C3087" i="6"/>
  <c r="C3086" i="6"/>
  <c r="C3085" i="6"/>
  <c r="C3084" i="6"/>
  <c r="C3083" i="6"/>
  <c r="C3082" i="6"/>
  <c r="C3081" i="6"/>
  <c r="C3080" i="6"/>
  <c r="C3079" i="6"/>
  <c r="C3078" i="6"/>
  <c r="C3077" i="6"/>
  <c r="C3076" i="6"/>
  <c r="C3075" i="6"/>
  <c r="C3074" i="6"/>
  <c r="C3073" i="6"/>
  <c r="C3072" i="6"/>
  <c r="C3071" i="6"/>
  <c r="C3070" i="6"/>
  <c r="C3069" i="6"/>
  <c r="C3068" i="6"/>
  <c r="C3067" i="6"/>
  <c r="C3066" i="6"/>
  <c r="C3065" i="6"/>
  <c r="C3064" i="6"/>
  <c r="C3063" i="6"/>
  <c r="C3062" i="6"/>
  <c r="C3061" i="6"/>
  <c r="C3060" i="6"/>
  <c r="C3059" i="6"/>
  <c r="C3058" i="6"/>
  <c r="C3057" i="6"/>
  <c r="C3056" i="6"/>
  <c r="C3055" i="6"/>
  <c r="C3054" i="6"/>
  <c r="C3053" i="6"/>
  <c r="C3052" i="6"/>
  <c r="C3051" i="6"/>
  <c r="C3050" i="6"/>
  <c r="C3049" i="6"/>
  <c r="C3048" i="6"/>
  <c r="C3047" i="6"/>
  <c r="C3046" i="6"/>
  <c r="C3045" i="6"/>
  <c r="C3044" i="6"/>
  <c r="C3043" i="6"/>
  <c r="C3042" i="6"/>
  <c r="C3041" i="6"/>
  <c r="C3040" i="6"/>
  <c r="C3039" i="6"/>
  <c r="C3038" i="6"/>
  <c r="C3037" i="6"/>
  <c r="C3036" i="6"/>
  <c r="C3035" i="6"/>
  <c r="C3034" i="6"/>
  <c r="C3033" i="6"/>
  <c r="C3032" i="6"/>
  <c r="C3031" i="6"/>
  <c r="C3030" i="6"/>
  <c r="C3029" i="6"/>
  <c r="C3028" i="6"/>
  <c r="C3027" i="6"/>
  <c r="C3026" i="6"/>
  <c r="C3025" i="6"/>
  <c r="C3024" i="6"/>
  <c r="C3023" i="6"/>
  <c r="C3022" i="6"/>
  <c r="C3021" i="6"/>
  <c r="C3020" i="6"/>
  <c r="C3019" i="6"/>
  <c r="C3018" i="6"/>
  <c r="C3017" i="6"/>
  <c r="C3016" i="6"/>
  <c r="C3015" i="6"/>
  <c r="C3014" i="6"/>
  <c r="C3013" i="6"/>
  <c r="C3012" i="6"/>
  <c r="C3011" i="6"/>
  <c r="C3010" i="6"/>
  <c r="C3009" i="6"/>
  <c r="C3008" i="6"/>
  <c r="C3007" i="6"/>
  <c r="C3006" i="6"/>
  <c r="C3005" i="6"/>
  <c r="C3004" i="6"/>
  <c r="C3003" i="6"/>
  <c r="C3002" i="6"/>
  <c r="C3001" i="6"/>
  <c r="C3000" i="6"/>
  <c r="C2999" i="6"/>
  <c r="C2998" i="6"/>
  <c r="C2997" i="6"/>
  <c r="C2996" i="6"/>
  <c r="C2995" i="6"/>
  <c r="C2994" i="6"/>
  <c r="C2993" i="6"/>
  <c r="C2992" i="6"/>
  <c r="C2991" i="6"/>
  <c r="C2990" i="6"/>
  <c r="C2989" i="6"/>
  <c r="C2988" i="6"/>
  <c r="C2987" i="6"/>
  <c r="C2986" i="6"/>
  <c r="C2985" i="6"/>
  <c r="C2984" i="6"/>
  <c r="C2983" i="6"/>
  <c r="C2982" i="6"/>
  <c r="C2981" i="6"/>
  <c r="C2980" i="6"/>
  <c r="C2979" i="6"/>
  <c r="C2978" i="6"/>
  <c r="C2977" i="6"/>
  <c r="C2976" i="6"/>
  <c r="C2975" i="6"/>
  <c r="C2974" i="6"/>
  <c r="C2973" i="6"/>
  <c r="C2972" i="6"/>
  <c r="C2971" i="6"/>
  <c r="C2970" i="6"/>
  <c r="C2969" i="6"/>
  <c r="C2968" i="6"/>
  <c r="C2967" i="6"/>
  <c r="C2966" i="6"/>
  <c r="C2965" i="6"/>
  <c r="C2964" i="6"/>
  <c r="C2963" i="6"/>
  <c r="C2962" i="6"/>
  <c r="C2961" i="6"/>
  <c r="C2960" i="6"/>
  <c r="C2959" i="6"/>
  <c r="C2958" i="6"/>
  <c r="C2957" i="6"/>
  <c r="C2956" i="6"/>
  <c r="C2955" i="6"/>
  <c r="C2954" i="6"/>
  <c r="C2953" i="6"/>
  <c r="C2952" i="6"/>
  <c r="C2951" i="6"/>
  <c r="C2950" i="6"/>
  <c r="C2949" i="6"/>
  <c r="C2948" i="6"/>
  <c r="C2947" i="6"/>
  <c r="C2946" i="6"/>
  <c r="C2945" i="6"/>
  <c r="C2944" i="6"/>
  <c r="C2943" i="6"/>
  <c r="C2942" i="6"/>
  <c r="C2941" i="6"/>
  <c r="C2940" i="6"/>
  <c r="C2939" i="6"/>
  <c r="C2938" i="6"/>
  <c r="C2937" i="6"/>
  <c r="C2936" i="6"/>
  <c r="C2935" i="6"/>
  <c r="C2934" i="6"/>
  <c r="C2933" i="6"/>
  <c r="C2932" i="6"/>
  <c r="C2931" i="6"/>
  <c r="C2930" i="6"/>
  <c r="C2929" i="6"/>
  <c r="C2928" i="6"/>
  <c r="C2927" i="6"/>
  <c r="C2926" i="6"/>
  <c r="C2925" i="6"/>
  <c r="C2924" i="6"/>
  <c r="C2923" i="6"/>
  <c r="C2922" i="6"/>
  <c r="C2921" i="6"/>
  <c r="C2920" i="6"/>
  <c r="C2919" i="6"/>
  <c r="C2918" i="6"/>
  <c r="C2917" i="6"/>
  <c r="C2916" i="6"/>
  <c r="C2915" i="6"/>
  <c r="C2914" i="6"/>
  <c r="C2913" i="6"/>
  <c r="C2912" i="6"/>
  <c r="C2911" i="6"/>
  <c r="C2910" i="6"/>
  <c r="C2909" i="6"/>
  <c r="C2908" i="6"/>
  <c r="C2907" i="6"/>
  <c r="C2906" i="6"/>
  <c r="C2905" i="6"/>
  <c r="C2904" i="6"/>
  <c r="C2903" i="6"/>
  <c r="C2902" i="6"/>
  <c r="C2901" i="6"/>
  <c r="C2900" i="6"/>
  <c r="C2899" i="6"/>
  <c r="C2898" i="6"/>
  <c r="C2897" i="6"/>
  <c r="C2896" i="6"/>
  <c r="C2895" i="6"/>
  <c r="C2894" i="6"/>
  <c r="C2893" i="6"/>
  <c r="C2892" i="6"/>
  <c r="C2891" i="6"/>
  <c r="C2890" i="6"/>
  <c r="C2889" i="6"/>
  <c r="C2888" i="6"/>
  <c r="C2887" i="6"/>
  <c r="C2886" i="6"/>
  <c r="C2885" i="6"/>
  <c r="C2884" i="6"/>
  <c r="C2883" i="6"/>
  <c r="C2882" i="6"/>
  <c r="C2881" i="6"/>
  <c r="C2880" i="6"/>
  <c r="C2879" i="6"/>
  <c r="C2878" i="6"/>
  <c r="C2877" i="6"/>
  <c r="C2876" i="6"/>
  <c r="C2875" i="6"/>
  <c r="C2874" i="6"/>
  <c r="C2873" i="6"/>
  <c r="C2872" i="6"/>
  <c r="C2871" i="6"/>
  <c r="C2870" i="6"/>
  <c r="C2869" i="6"/>
  <c r="C2868" i="6"/>
  <c r="C2867" i="6"/>
  <c r="C2866" i="6"/>
  <c r="C2865" i="6"/>
  <c r="C2864" i="6"/>
  <c r="C2863" i="6"/>
  <c r="C2862" i="6"/>
  <c r="C2861" i="6"/>
  <c r="C2860" i="6"/>
  <c r="C2859" i="6"/>
  <c r="C2858" i="6"/>
  <c r="C2857" i="6"/>
  <c r="C2856" i="6"/>
  <c r="C2855" i="6"/>
  <c r="C2854" i="6"/>
  <c r="C2853" i="6"/>
  <c r="C2852" i="6"/>
  <c r="C2851" i="6"/>
  <c r="C2850" i="6"/>
  <c r="C2849" i="6"/>
  <c r="C2848" i="6"/>
  <c r="C2847" i="6"/>
  <c r="C2846" i="6"/>
  <c r="C2845" i="6"/>
  <c r="C2844" i="6"/>
  <c r="C2843" i="6"/>
  <c r="C2842" i="6"/>
  <c r="C2841" i="6"/>
  <c r="C2840" i="6"/>
  <c r="C2839" i="6"/>
  <c r="C2838" i="6"/>
  <c r="C2837" i="6"/>
  <c r="C2836" i="6"/>
  <c r="C2835" i="6"/>
  <c r="C2834" i="6"/>
  <c r="C2833" i="6"/>
  <c r="C2832" i="6"/>
  <c r="C2831" i="6"/>
  <c r="C2830" i="6"/>
  <c r="C2829" i="6"/>
  <c r="C2828" i="6"/>
  <c r="C2827" i="6"/>
  <c r="C2826" i="6"/>
  <c r="C2825" i="6"/>
  <c r="C2824" i="6"/>
  <c r="C2823" i="6"/>
  <c r="C2822" i="6"/>
  <c r="C2821" i="6"/>
  <c r="C2820" i="6"/>
  <c r="C2819" i="6"/>
  <c r="C2818" i="6"/>
  <c r="C2817" i="6"/>
  <c r="C2816" i="6"/>
  <c r="C2815" i="6"/>
  <c r="C2814" i="6"/>
  <c r="C2813" i="6"/>
  <c r="C2812" i="6"/>
  <c r="C2811" i="6"/>
  <c r="C2810" i="6"/>
  <c r="C2809" i="6"/>
  <c r="C2808" i="6"/>
  <c r="C2807" i="6"/>
  <c r="C2806" i="6"/>
  <c r="C2805" i="6"/>
  <c r="C2804" i="6"/>
  <c r="C2803" i="6"/>
  <c r="C2802" i="6"/>
  <c r="C2801" i="6"/>
  <c r="C2800" i="6"/>
  <c r="C2799" i="6"/>
  <c r="C2798" i="6"/>
  <c r="C2797" i="6"/>
  <c r="C2796" i="6"/>
  <c r="C2795" i="6"/>
  <c r="C2794" i="6"/>
  <c r="C2793" i="6"/>
  <c r="C2792" i="6"/>
  <c r="C2791" i="6"/>
  <c r="C2790" i="6"/>
  <c r="C2789" i="6"/>
  <c r="C2788" i="6"/>
  <c r="C2787" i="6"/>
  <c r="C2786" i="6"/>
  <c r="C2785" i="6"/>
  <c r="C2784" i="6"/>
  <c r="C2783" i="6"/>
  <c r="C2782" i="6"/>
  <c r="C2781" i="6"/>
  <c r="C2780" i="6"/>
  <c r="C2779" i="6"/>
  <c r="C2778" i="6"/>
  <c r="C2777" i="6"/>
  <c r="C2776" i="6"/>
  <c r="C2775" i="6"/>
  <c r="C2774" i="6"/>
  <c r="C2773" i="6"/>
  <c r="C2772" i="6"/>
  <c r="C2771" i="6"/>
  <c r="C2770" i="6"/>
  <c r="C2769" i="6"/>
  <c r="C2768" i="6"/>
  <c r="C2767" i="6"/>
  <c r="C2766" i="6"/>
  <c r="C2765" i="6"/>
  <c r="C2764" i="6"/>
  <c r="C2763" i="6"/>
  <c r="C2762" i="6"/>
  <c r="C2761" i="6"/>
  <c r="C2760" i="6"/>
  <c r="C2759" i="6"/>
  <c r="C2758" i="6"/>
  <c r="C2757" i="6"/>
  <c r="C2756" i="6"/>
  <c r="C2755" i="6"/>
  <c r="C2754" i="6"/>
  <c r="C2753" i="6"/>
  <c r="C2752" i="6"/>
  <c r="C2751" i="6"/>
  <c r="C2750" i="6"/>
  <c r="C2749" i="6"/>
  <c r="C2748" i="6"/>
  <c r="C2747" i="6"/>
  <c r="C2746" i="6"/>
  <c r="C2745" i="6"/>
  <c r="C2744" i="6"/>
  <c r="C2743" i="6"/>
  <c r="C2742" i="6"/>
  <c r="C2741" i="6"/>
  <c r="C2740" i="6"/>
  <c r="C2739" i="6"/>
  <c r="C2738" i="6"/>
  <c r="C2737" i="6"/>
  <c r="C2736" i="6"/>
  <c r="C2735" i="6"/>
  <c r="C2734" i="6"/>
  <c r="C2733" i="6"/>
  <c r="C2732" i="6"/>
  <c r="C2731" i="6"/>
  <c r="C2730" i="6"/>
  <c r="C2729" i="6"/>
  <c r="C2728" i="6"/>
  <c r="C2727" i="6"/>
  <c r="C2726" i="6"/>
  <c r="C2725" i="6"/>
  <c r="C2724" i="6"/>
  <c r="C2723" i="6"/>
  <c r="C2722" i="6"/>
  <c r="C2721" i="6"/>
  <c r="C2720" i="6"/>
  <c r="C2719" i="6"/>
  <c r="C2718" i="6"/>
  <c r="C2717" i="6"/>
  <c r="C2716" i="6"/>
  <c r="C2715" i="6"/>
  <c r="C2714" i="6"/>
  <c r="C2713" i="6"/>
  <c r="C2712" i="6"/>
  <c r="C2711" i="6"/>
  <c r="C2710" i="6"/>
  <c r="C2709" i="6"/>
  <c r="C2708" i="6"/>
  <c r="C2707" i="6"/>
  <c r="C2706" i="6"/>
  <c r="C2705" i="6"/>
  <c r="C2704" i="6"/>
  <c r="C2703" i="6"/>
  <c r="C2702" i="6"/>
  <c r="C2701" i="6"/>
  <c r="C2700" i="6"/>
  <c r="C2699" i="6"/>
  <c r="C2698" i="6"/>
  <c r="C2697" i="6"/>
  <c r="C2696" i="6"/>
  <c r="C2695" i="6"/>
  <c r="C2694" i="6"/>
  <c r="C2693" i="6"/>
  <c r="C2692" i="6"/>
  <c r="C2691" i="6"/>
  <c r="C2690" i="6"/>
  <c r="C2689" i="6"/>
  <c r="C2688" i="6"/>
  <c r="C2687" i="6"/>
  <c r="C2686" i="6"/>
  <c r="C2685" i="6"/>
  <c r="C2684" i="6"/>
  <c r="C2683" i="6"/>
  <c r="C2682" i="6"/>
  <c r="C2681" i="6"/>
  <c r="C2680" i="6"/>
  <c r="C2679" i="6"/>
  <c r="C2678" i="6"/>
  <c r="C2677" i="6"/>
  <c r="C2676" i="6"/>
  <c r="C2675" i="6"/>
  <c r="C2674" i="6"/>
  <c r="C2673" i="6"/>
  <c r="C2672" i="6"/>
  <c r="C2671" i="6"/>
  <c r="C2670" i="6"/>
  <c r="C2669" i="6"/>
  <c r="C2668" i="6"/>
  <c r="C2667" i="6"/>
  <c r="C2666" i="6"/>
  <c r="C2665" i="6"/>
  <c r="C2664" i="6"/>
  <c r="C2663" i="6"/>
  <c r="C2662" i="6"/>
  <c r="C2661" i="6"/>
  <c r="C2660" i="6"/>
  <c r="C2659" i="6"/>
  <c r="C2658" i="6"/>
  <c r="C2657" i="6"/>
  <c r="C2656" i="6"/>
  <c r="C2655" i="6"/>
  <c r="C2654" i="6"/>
  <c r="C2653" i="6"/>
  <c r="C2652" i="6"/>
  <c r="C2651" i="6"/>
  <c r="C2650" i="6"/>
  <c r="C2649" i="6"/>
  <c r="C2648" i="6"/>
  <c r="C2647" i="6"/>
  <c r="C2646" i="6"/>
  <c r="C2645" i="6"/>
  <c r="C2644" i="6"/>
  <c r="C2643" i="6"/>
  <c r="C2642" i="6"/>
  <c r="C2641" i="6"/>
  <c r="C2640" i="6"/>
  <c r="C2639" i="6"/>
  <c r="C2638" i="6"/>
  <c r="C2637" i="6"/>
  <c r="C2636" i="6"/>
  <c r="C2635" i="6"/>
  <c r="C2634" i="6"/>
  <c r="C2633" i="6"/>
  <c r="C2632" i="6"/>
  <c r="C2631" i="6"/>
  <c r="C2630" i="6"/>
  <c r="C2629" i="6"/>
  <c r="C2628" i="6"/>
  <c r="C2627" i="6"/>
  <c r="C2626" i="6"/>
  <c r="C2625" i="6"/>
  <c r="C2624" i="6"/>
  <c r="C2623" i="6"/>
  <c r="C2622" i="6"/>
  <c r="C2621" i="6"/>
  <c r="C2620" i="6"/>
  <c r="C2619" i="6"/>
  <c r="C2618" i="6"/>
  <c r="C2617" i="6"/>
  <c r="C2616" i="6"/>
  <c r="C2615" i="6"/>
  <c r="C2614" i="6"/>
  <c r="C2613" i="6"/>
  <c r="C2612" i="6"/>
  <c r="C2611" i="6"/>
  <c r="C2610" i="6"/>
  <c r="C2609" i="6"/>
  <c r="C2608" i="6"/>
  <c r="C2607" i="6"/>
  <c r="C2606" i="6"/>
  <c r="C2605" i="6"/>
  <c r="C2604" i="6"/>
  <c r="C2603" i="6"/>
  <c r="C2602" i="6"/>
  <c r="C2601" i="6"/>
  <c r="C2600" i="6"/>
  <c r="C2599" i="6"/>
  <c r="C2598" i="6"/>
  <c r="C2597" i="6"/>
  <c r="C2596" i="6"/>
  <c r="C2595" i="6"/>
  <c r="C2594" i="6"/>
  <c r="C2593" i="6"/>
  <c r="C2592" i="6"/>
  <c r="C2591" i="6"/>
  <c r="C2590" i="6"/>
  <c r="C2589" i="6"/>
  <c r="C2588" i="6"/>
  <c r="C2587" i="6"/>
  <c r="C2586" i="6"/>
  <c r="C2585" i="6"/>
  <c r="C2584" i="6"/>
  <c r="C2583" i="6"/>
  <c r="C2582" i="6"/>
  <c r="C2581" i="6"/>
  <c r="C2580" i="6"/>
  <c r="C2579" i="6"/>
  <c r="C2578" i="6"/>
  <c r="C2577" i="6"/>
  <c r="C2576" i="6"/>
  <c r="C2575" i="6"/>
  <c r="C2574" i="6"/>
  <c r="C2573" i="6"/>
  <c r="C2572" i="6"/>
  <c r="C2571" i="6"/>
  <c r="C2570" i="6"/>
  <c r="C2569" i="6"/>
  <c r="C2568" i="6"/>
  <c r="C2567" i="6"/>
  <c r="C2566" i="6"/>
  <c r="C2565" i="6"/>
  <c r="C2564" i="6"/>
  <c r="C2563" i="6"/>
  <c r="C2562" i="6"/>
  <c r="C2561" i="6"/>
  <c r="C2560" i="6"/>
  <c r="C2559" i="6"/>
  <c r="C2558" i="6"/>
  <c r="C2557" i="6"/>
  <c r="C2556" i="6"/>
  <c r="C2555" i="6"/>
  <c r="C2554" i="6"/>
  <c r="C2553" i="6"/>
  <c r="C2552" i="6"/>
  <c r="C2551" i="6"/>
  <c r="C2550" i="6"/>
  <c r="C2549" i="6"/>
  <c r="C2548" i="6"/>
  <c r="C2547" i="6"/>
  <c r="C2546" i="6"/>
  <c r="C2545" i="6"/>
  <c r="C2544" i="6"/>
  <c r="C2543" i="6"/>
  <c r="C2542" i="6"/>
  <c r="C2541" i="6"/>
  <c r="C2540" i="6"/>
  <c r="C2539" i="6"/>
  <c r="C2538" i="6"/>
  <c r="C2537" i="6"/>
  <c r="C2536" i="6"/>
  <c r="C2535" i="6"/>
  <c r="C2534" i="6"/>
  <c r="C2533" i="6"/>
  <c r="C2532" i="6"/>
  <c r="C2531" i="6"/>
  <c r="C2530" i="6"/>
  <c r="C2529" i="6"/>
  <c r="C2528" i="6"/>
  <c r="C2527" i="6"/>
  <c r="C2526" i="6"/>
  <c r="C2525" i="6"/>
  <c r="C2524" i="6"/>
  <c r="C2523" i="6"/>
  <c r="C2522" i="6"/>
  <c r="C2521" i="6"/>
  <c r="C2520" i="6"/>
  <c r="C2519" i="6"/>
  <c r="C2518" i="6"/>
  <c r="C2517" i="6"/>
  <c r="C2516" i="6"/>
  <c r="C2515" i="6"/>
  <c r="C2514" i="6"/>
  <c r="C2513" i="6"/>
  <c r="C2512" i="6"/>
  <c r="C2511" i="6"/>
  <c r="C2510" i="6"/>
  <c r="C2509" i="6"/>
  <c r="C2508" i="6"/>
  <c r="C2507" i="6"/>
  <c r="C2506" i="6"/>
  <c r="C2505" i="6"/>
  <c r="C2504" i="6"/>
  <c r="C2503" i="6"/>
  <c r="C2502" i="6"/>
  <c r="C2501" i="6"/>
  <c r="C2500" i="6"/>
  <c r="C2499" i="6"/>
  <c r="C2498" i="6"/>
  <c r="C2497" i="6"/>
  <c r="C2496" i="6"/>
  <c r="C2495" i="6"/>
  <c r="C2494" i="6"/>
  <c r="C2493" i="6"/>
  <c r="C2492" i="6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<sst xmlns="http://schemas.openxmlformats.org/spreadsheetml/2006/main" count="43593" uniqueCount="16387">
  <si>
    <t>Sales ID</t>
  </si>
  <si>
    <t>Product Serial #</t>
  </si>
  <si>
    <t>Price</t>
  </si>
  <si>
    <t>Cost</t>
  </si>
  <si>
    <t>Date</t>
  </si>
  <si>
    <t>Location: Country shipped to</t>
  </si>
  <si>
    <t>S-00001</t>
  </si>
  <si>
    <t>P-100001</t>
  </si>
  <si>
    <t>Australia</t>
  </si>
  <si>
    <t>S-00002</t>
  </si>
  <si>
    <t>P-100002</t>
  </si>
  <si>
    <t>Canada</t>
  </si>
  <si>
    <t>S-00003</t>
  </si>
  <si>
    <t>P-100003</t>
  </si>
  <si>
    <t>S-00004</t>
  </si>
  <si>
    <t>P-100004</t>
  </si>
  <si>
    <t>S-00005</t>
  </si>
  <si>
    <t>P-100005</t>
  </si>
  <si>
    <t>S-00006</t>
  </si>
  <si>
    <t>P-100006</t>
  </si>
  <si>
    <t>Japan</t>
  </si>
  <si>
    <t>S-00007</t>
  </si>
  <si>
    <t>P-100007</t>
  </si>
  <si>
    <t>S-00008</t>
  </si>
  <si>
    <t>P-100008</t>
  </si>
  <si>
    <t>United States</t>
  </si>
  <si>
    <t>S-00009</t>
  </si>
  <si>
    <t>P-100009</t>
  </si>
  <si>
    <t>S-00010</t>
  </si>
  <si>
    <t>P-100010</t>
  </si>
  <si>
    <t>S-00011</t>
  </si>
  <si>
    <t>P-100011</t>
  </si>
  <si>
    <t>Mexico</t>
  </si>
  <si>
    <t>S-00012</t>
  </si>
  <si>
    <t>P-100012</t>
  </si>
  <si>
    <t>S-00013</t>
  </si>
  <si>
    <t>P-100013</t>
  </si>
  <si>
    <t>S-00014</t>
  </si>
  <si>
    <t>P-100014</t>
  </si>
  <si>
    <t>S-00015</t>
  </si>
  <si>
    <t>P-100015</t>
  </si>
  <si>
    <t>S-00016</t>
  </si>
  <si>
    <t>P-100016</t>
  </si>
  <si>
    <t>S-00017</t>
  </si>
  <si>
    <t>P-100017</t>
  </si>
  <si>
    <t>S-00018</t>
  </si>
  <si>
    <t>P-100018</t>
  </si>
  <si>
    <t>S-00019</t>
  </si>
  <si>
    <t>P-100019</t>
  </si>
  <si>
    <t>France</t>
  </si>
  <si>
    <t>S-00020</t>
  </si>
  <si>
    <t>P-100020</t>
  </si>
  <si>
    <t>United Kingdom</t>
  </si>
  <si>
    <t>S-00021</t>
  </si>
  <si>
    <t>P-100021</t>
  </si>
  <si>
    <t>S-00022</t>
  </si>
  <si>
    <t>P-100022</t>
  </si>
  <si>
    <t>S-00023</t>
  </si>
  <si>
    <t>P-100023</t>
  </si>
  <si>
    <t>S-00024</t>
  </si>
  <si>
    <t>P-100024</t>
  </si>
  <si>
    <t>S-00025</t>
  </si>
  <si>
    <t>P-100025</t>
  </si>
  <si>
    <t>Germany</t>
  </si>
  <si>
    <t>S-00026</t>
  </si>
  <si>
    <t>P-100026</t>
  </si>
  <si>
    <t>S-00027</t>
  </si>
  <si>
    <t>P-100027</t>
  </si>
  <si>
    <t>S-00028</t>
  </si>
  <si>
    <t>P-100028</t>
  </si>
  <si>
    <t>S-00029</t>
  </si>
  <si>
    <t>P-100029</t>
  </si>
  <si>
    <t>S-00030</t>
  </si>
  <si>
    <t>P-100030</t>
  </si>
  <si>
    <t>S-00031</t>
  </si>
  <si>
    <t>P-100031</t>
  </si>
  <si>
    <t>S-00032</t>
  </si>
  <si>
    <t>P-100032</t>
  </si>
  <si>
    <t>S-00033</t>
  </si>
  <si>
    <t>P-100033</t>
  </si>
  <si>
    <t>S-00034</t>
  </si>
  <si>
    <t>P-100034</t>
  </si>
  <si>
    <t>S-00035</t>
  </si>
  <si>
    <t>P-100035</t>
  </si>
  <si>
    <t>S-00036</t>
  </si>
  <si>
    <t>P-100036</t>
  </si>
  <si>
    <t>S-00037</t>
  </si>
  <si>
    <t>P-100037</t>
  </si>
  <si>
    <t>S-00038</t>
  </si>
  <si>
    <t>P-100038</t>
  </si>
  <si>
    <t>S-00039</t>
  </si>
  <si>
    <t>P-100039</t>
  </si>
  <si>
    <t>S-00040</t>
  </si>
  <si>
    <t>P-100040</t>
  </si>
  <si>
    <t>S-00041</t>
  </si>
  <si>
    <t>P-100041</t>
  </si>
  <si>
    <t>S-00042</t>
  </si>
  <si>
    <t>P-100042</t>
  </si>
  <si>
    <t>S-00043</t>
  </si>
  <si>
    <t>P-100043</t>
  </si>
  <si>
    <t>S-00044</t>
  </si>
  <si>
    <t>P-100044</t>
  </si>
  <si>
    <t>S-00045</t>
  </si>
  <si>
    <t>P-100045</t>
  </si>
  <si>
    <t>S-00046</t>
  </si>
  <si>
    <t>P-100046</t>
  </si>
  <si>
    <t>S-00047</t>
  </si>
  <si>
    <t>P-100047</t>
  </si>
  <si>
    <t>S-00048</t>
  </si>
  <si>
    <t>P-100048</t>
  </si>
  <si>
    <t>S-00049</t>
  </si>
  <si>
    <t>P-100049</t>
  </si>
  <si>
    <t>S-00050</t>
  </si>
  <si>
    <t>P-100050</t>
  </si>
  <si>
    <t>S-00051</t>
  </si>
  <si>
    <t>P-100051</t>
  </si>
  <si>
    <t>S-00052</t>
  </si>
  <si>
    <t>P-100052</t>
  </si>
  <si>
    <t>S-00053</t>
  </si>
  <si>
    <t>P-100053</t>
  </si>
  <si>
    <t>S-00054</t>
  </si>
  <si>
    <t>P-100054</t>
  </si>
  <si>
    <t>S-00055</t>
  </si>
  <si>
    <t>P-100055</t>
  </si>
  <si>
    <t>S-00056</t>
  </si>
  <si>
    <t>P-100056</t>
  </si>
  <si>
    <t>S-00057</t>
  </si>
  <si>
    <t>P-100057</t>
  </si>
  <si>
    <t>S-00058</t>
  </si>
  <si>
    <t>P-100058</t>
  </si>
  <si>
    <t>S-00059</t>
  </si>
  <si>
    <t>P-100059</t>
  </si>
  <si>
    <t>S-00060</t>
  </si>
  <si>
    <t>P-100060</t>
  </si>
  <si>
    <t>S-00061</t>
  </si>
  <si>
    <t>P-100061</t>
  </si>
  <si>
    <t>S-00062</t>
  </si>
  <si>
    <t>P-100062</t>
  </si>
  <si>
    <t>S-00063</t>
  </si>
  <si>
    <t>P-100063</t>
  </si>
  <si>
    <t>S-00064</t>
  </si>
  <si>
    <t>P-100064</t>
  </si>
  <si>
    <t>S-00065</t>
  </si>
  <si>
    <t>P-100065</t>
  </si>
  <si>
    <t>S-00066</t>
  </si>
  <si>
    <t>P-100066</t>
  </si>
  <si>
    <t>S-00067</t>
  </si>
  <si>
    <t>P-100067</t>
  </si>
  <si>
    <t>S-00068</t>
  </si>
  <si>
    <t>P-100068</t>
  </si>
  <si>
    <t>S-00069</t>
  </si>
  <si>
    <t>P-100069</t>
  </si>
  <si>
    <t>S-00070</t>
  </si>
  <si>
    <t>P-100070</t>
  </si>
  <si>
    <t>S-00071</t>
  </si>
  <si>
    <t>P-100071</t>
  </si>
  <si>
    <t>S-00072</t>
  </si>
  <si>
    <t>P-100072</t>
  </si>
  <si>
    <t>S-00073</t>
  </si>
  <si>
    <t>P-100073</t>
  </si>
  <si>
    <t>S-00074</t>
  </si>
  <si>
    <t>P-100074</t>
  </si>
  <si>
    <t>S-00075</t>
  </si>
  <si>
    <t>P-100075</t>
  </si>
  <si>
    <t>S-00076</t>
  </si>
  <si>
    <t>P-100076</t>
  </si>
  <si>
    <t>S-00077</t>
  </si>
  <si>
    <t>P-100077</t>
  </si>
  <si>
    <t>S-00078</t>
  </si>
  <si>
    <t>P-100078</t>
  </si>
  <si>
    <t>S-00079</t>
  </si>
  <si>
    <t>P-100079</t>
  </si>
  <si>
    <t>S-00080</t>
  </si>
  <si>
    <t>P-100080</t>
  </si>
  <si>
    <t>S-00081</t>
  </si>
  <si>
    <t>P-100081</t>
  </si>
  <si>
    <t>S-00082</t>
  </si>
  <si>
    <t>P-100082</t>
  </si>
  <si>
    <t>S-00083</t>
  </si>
  <si>
    <t>P-100083</t>
  </si>
  <si>
    <t>S-00084</t>
  </si>
  <si>
    <t>P-100084</t>
  </si>
  <si>
    <t>S-00085</t>
  </si>
  <si>
    <t>P-100085</t>
  </si>
  <si>
    <t>S-00086</t>
  </si>
  <si>
    <t>P-100086</t>
  </si>
  <si>
    <t>S-00087</t>
  </si>
  <si>
    <t>P-100087</t>
  </si>
  <si>
    <t>S-00088</t>
  </si>
  <si>
    <t>P-100088</t>
  </si>
  <si>
    <t>S-00089</t>
  </si>
  <si>
    <t>P-100089</t>
  </si>
  <si>
    <t>S-00090</t>
  </si>
  <si>
    <t>P-100090</t>
  </si>
  <si>
    <t>S-00091</t>
  </si>
  <si>
    <t>P-100091</t>
  </si>
  <si>
    <t>S-00092</t>
  </si>
  <si>
    <t>P-100092</t>
  </si>
  <si>
    <t>S-00093</t>
  </si>
  <si>
    <t>P-100093</t>
  </si>
  <si>
    <t>S-00094</t>
  </si>
  <si>
    <t>P-100094</t>
  </si>
  <si>
    <t>S-00095</t>
  </si>
  <si>
    <t>P-100095</t>
  </si>
  <si>
    <t>S-00096</t>
  </si>
  <si>
    <t>P-100096</t>
  </si>
  <si>
    <t>S-00097</t>
  </si>
  <si>
    <t>P-100097</t>
  </si>
  <si>
    <t>S-00098</t>
  </si>
  <si>
    <t>P-100098</t>
  </si>
  <si>
    <t>S-00099</t>
  </si>
  <si>
    <t>P-100099</t>
  </si>
  <si>
    <t>S-00100</t>
  </si>
  <si>
    <t>P-100100</t>
  </si>
  <si>
    <t>S-00101</t>
  </si>
  <si>
    <t>P-100101</t>
  </si>
  <si>
    <t>S-00102</t>
  </si>
  <si>
    <t>P-100102</t>
  </si>
  <si>
    <t>S-00103</t>
  </si>
  <si>
    <t>P-100103</t>
  </si>
  <si>
    <t>S-00104</t>
  </si>
  <si>
    <t>P-100104</t>
  </si>
  <si>
    <t>S-00105</t>
  </si>
  <si>
    <t>P-100105</t>
  </si>
  <si>
    <t>S-00106</t>
  </si>
  <si>
    <t>P-100106</t>
  </si>
  <si>
    <t>S-00107</t>
  </si>
  <si>
    <t>P-100107</t>
  </si>
  <si>
    <t>S-00108</t>
  </si>
  <si>
    <t>P-100108</t>
  </si>
  <si>
    <t>S-00109</t>
  </si>
  <si>
    <t>P-100109</t>
  </si>
  <si>
    <t>S-00110</t>
  </si>
  <si>
    <t>P-100110</t>
  </si>
  <si>
    <t>S-00111</t>
  </si>
  <si>
    <t>P-100111</t>
  </si>
  <si>
    <t>S-00112</t>
  </si>
  <si>
    <t>P-100112</t>
  </si>
  <si>
    <t>S-00113</t>
  </si>
  <si>
    <t>P-100113</t>
  </si>
  <si>
    <t>S-00114</t>
  </si>
  <si>
    <t>P-100114</t>
  </si>
  <si>
    <t>S-00115</t>
  </si>
  <si>
    <t>P-100115</t>
  </si>
  <si>
    <t>S-00116</t>
  </si>
  <si>
    <t>P-100116</t>
  </si>
  <si>
    <t>S-00117</t>
  </si>
  <si>
    <t>P-100117</t>
  </si>
  <si>
    <t>S-00118</t>
  </si>
  <si>
    <t>P-100118</t>
  </si>
  <si>
    <t>S-00119</t>
  </si>
  <si>
    <t>P-100119</t>
  </si>
  <si>
    <t>S-00120</t>
  </si>
  <si>
    <t>P-100120</t>
  </si>
  <si>
    <t>S-00121</t>
  </si>
  <si>
    <t>P-100121</t>
  </si>
  <si>
    <t>S-00122</t>
  </si>
  <si>
    <t>P-100122</t>
  </si>
  <si>
    <t>S-00123</t>
  </si>
  <si>
    <t>P-100123</t>
  </si>
  <si>
    <t>S-00124</t>
  </si>
  <si>
    <t>P-100124</t>
  </si>
  <si>
    <t>S-00125</t>
  </si>
  <si>
    <t>P-100125</t>
  </si>
  <si>
    <t>S-00126</t>
  </si>
  <si>
    <t>P-100126</t>
  </si>
  <si>
    <t>S-00127</t>
  </si>
  <si>
    <t>P-100127</t>
  </si>
  <si>
    <t>S-00128</t>
  </si>
  <si>
    <t>P-100128</t>
  </si>
  <si>
    <t>S-00129</t>
  </si>
  <si>
    <t>P-100129</t>
  </si>
  <si>
    <t>S-00130</t>
  </si>
  <si>
    <t>P-100130</t>
  </si>
  <si>
    <t>S-00131</t>
  </si>
  <si>
    <t>P-100131</t>
  </si>
  <si>
    <t>S-00132</t>
  </si>
  <si>
    <t>P-100132</t>
  </si>
  <si>
    <t>S-00133</t>
  </si>
  <si>
    <t>P-100133</t>
  </si>
  <si>
    <t>S-00134</t>
  </si>
  <si>
    <t>P-100134</t>
  </si>
  <si>
    <t>S-00135</t>
  </si>
  <si>
    <t>P-100135</t>
  </si>
  <si>
    <t>S-00136</t>
  </si>
  <si>
    <t>P-100136</t>
  </si>
  <si>
    <t>S-00137</t>
  </si>
  <si>
    <t>P-100137</t>
  </si>
  <si>
    <t>S-00138</t>
  </si>
  <si>
    <t>P-100138</t>
  </si>
  <si>
    <t>S-00139</t>
  </si>
  <si>
    <t>P-100139</t>
  </si>
  <si>
    <t>S-00140</t>
  </si>
  <si>
    <t>P-100140</t>
  </si>
  <si>
    <t>S-00141</t>
  </si>
  <si>
    <t>P-100141</t>
  </si>
  <si>
    <t>S-00142</t>
  </si>
  <si>
    <t>P-100142</t>
  </si>
  <si>
    <t>S-00143</t>
  </si>
  <si>
    <t>P-100143</t>
  </si>
  <si>
    <t>S-00144</t>
  </si>
  <si>
    <t>P-100144</t>
  </si>
  <si>
    <t>S-00145</t>
  </si>
  <si>
    <t>P-100145</t>
  </si>
  <si>
    <t>S-00146</t>
  </si>
  <si>
    <t>P-100146</t>
  </si>
  <si>
    <t>S-00147</t>
  </si>
  <si>
    <t>P-100147</t>
  </si>
  <si>
    <t>S-00148</t>
  </si>
  <si>
    <t>P-100148</t>
  </si>
  <si>
    <t>S-00149</t>
  </si>
  <si>
    <t>P-100149</t>
  </si>
  <si>
    <t>S-00150</t>
  </si>
  <si>
    <t>P-100150</t>
  </si>
  <si>
    <t>S-00151</t>
  </si>
  <si>
    <t>P-100151</t>
  </si>
  <si>
    <t>S-00152</t>
  </si>
  <si>
    <t>P-100152</t>
  </si>
  <si>
    <t>S-00153</t>
  </si>
  <si>
    <t>P-100153</t>
  </si>
  <si>
    <t>S-00154</t>
  </si>
  <si>
    <t>P-100154</t>
  </si>
  <si>
    <t>S-00155</t>
  </si>
  <si>
    <t>P-100155</t>
  </si>
  <si>
    <t>S-00156</t>
  </si>
  <si>
    <t>P-100156</t>
  </si>
  <si>
    <t>S-00157</t>
  </si>
  <si>
    <t>P-100157</t>
  </si>
  <si>
    <t>S-00158</t>
  </si>
  <si>
    <t>P-100158</t>
  </si>
  <si>
    <t>S-00159</t>
  </si>
  <si>
    <t>P-100159</t>
  </si>
  <si>
    <t>S-00160</t>
  </si>
  <si>
    <t>P-100160</t>
  </si>
  <si>
    <t>S-00161</t>
  </si>
  <si>
    <t>P-100161</t>
  </si>
  <si>
    <t>S-00162</t>
  </si>
  <si>
    <t>P-100162</t>
  </si>
  <si>
    <t>S-00163</t>
  </si>
  <si>
    <t>P-100163</t>
  </si>
  <si>
    <t>S-00164</t>
  </si>
  <si>
    <t>P-100164</t>
  </si>
  <si>
    <t>S-00165</t>
  </si>
  <si>
    <t>P-100165</t>
  </si>
  <si>
    <t>S-00166</t>
  </si>
  <si>
    <t>P-100166</t>
  </si>
  <si>
    <t>S-00167</t>
  </si>
  <si>
    <t>P-100167</t>
  </si>
  <si>
    <t>S-00168</t>
  </si>
  <si>
    <t>P-100168</t>
  </si>
  <si>
    <t>S-00169</t>
  </si>
  <si>
    <t>P-100169</t>
  </si>
  <si>
    <t>S-00170</t>
  </si>
  <si>
    <t>P-100170</t>
  </si>
  <si>
    <t>S-00171</t>
  </si>
  <si>
    <t>P-100171</t>
  </si>
  <si>
    <t>S-00172</t>
  </si>
  <si>
    <t>P-100172</t>
  </si>
  <si>
    <t>S-00173</t>
  </si>
  <si>
    <t>P-100173</t>
  </si>
  <si>
    <t>S-00174</t>
  </si>
  <si>
    <t>P-100174</t>
  </si>
  <si>
    <t>S-00175</t>
  </si>
  <si>
    <t>P-100175</t>
  </si>
  <si>
    <t>S-00176</t>
  </si>
  <si>
    <t>P-100176</t>
  </si>
  <si>
    <t>S-00177</t>
  </si>
  <si>
    <t>P-100177</t>
  </si>
  <si>
    <t>S-00178</t>
  </si>
  <si>
    <t>P-100178</t>
  </si>
  <si>
    <t>S-00179</t>
  </si>
  <si>
    <t>P-100179</t>
  </si>
  <si>
    <t>S-00180</t>
  </si>
  <si>
    <t>P-100180</t>
  </si>
  <si>
    <t>S-00181</t>
  </si>
  <si>
    <t>P-100181</t>
  </si>
  <si>
    <t>S-00182</t>
  </si>
  <si>
    <t>P-100182</t>
  </si>
  <si>
    <t>S-00183</t>
  </si>
  <si>
    <t>P-100183</t>
  </si>
  <si>
    <t>S-00184</t>
  </si>
  <si>
    <t>P-100184</t>
  </si>
  <si>
    <t>S-00185</t>
  </si>
  <si>
    <t>P-100185</t>
  </si>
  <si>
    <t>S-00186</t>
  </si>
  <si>
    <t>P-100186</t>
  </si>
  <si>
    <t>S-00187</t>
  </si>
  <si>
    <t>P-100187</t>
  </si>
  <si>
    <t>S-00188</t>
  </si>
  <si>
    <t>P-100188</t>
  </si>
  <si>
    <t>S-00189</t>
  </si>
  <si>
    <t>P-100189</t>
  </si>
  <si>
    <t>S-00190</t>
  </si>
  <si>
    <t>P-100190</t>
  </si>
  <si>
    <t>S-00191</t>
  </si>
  <si>
    <t>P-100191</t>
  </si>
  <si>
    <t>S-00192</t>
  </si>
  <si>
    <t>P-100192</t>
  </si>
  <si>
    <t>S-00193</t>
  </si>
  <si>
    <t>P-100193</t>
  </si>
  <si>
    <t>S-00194</t>
  </si>
  <si>
    <t>P-100194</t>
  </si>
  <si>
    <t>S-00195</t>
  </si>
  <si>
    <t>P-100195</t>
  </si>
  <si>
    <t>S-00196</t>
  </si>
  <si>
    <t>P-100196</t>
  </si>
  <si>
    <t>S-00197</t>
  </si>
  <si>
    <t>P-100197</t>
  </si>
  <si>
    <t>S-00198</t>
  </si>
  <si>
    <t>P-100198</t>
  </si>
  <si>
    <t>S-00199</t>
  </si>
  <si>
    <t>P-100199</t>
  </si>
  <si>
    <t>S-00200</t>
  </si>
  <si>
    <t>P-100200</t>
  </si>
  <si>
    <t>S-00201</t>
  </si>
  <si>
    <t>P-100201</t>
  </si>
  <si>
    <t>S-00202</t>
  </si>
  <si>
    <t>P-100202</t>
  </si>
  <si>
    <t>S-00203</t>
  </si>
  <si>
    <t>P-100203</t>
  </si>
  <si>
    <t>S-00204</t>
  </si>
  <si>
    <t>P-100204</t>
  </si>
  <si>
    <t>S-00205</t>
  </si>
  <si>
    <t>P-100205</t>
  </si>
  <si>
    <t>S-00206</t>
  </si>
  <si>
    <t>P-100206</t>
  </si>
  <si>
    <t>S-00207</t>
  </si>
  <si>
    <t>P-100207</t>
  </si>
  <si>
    <t>S-00208</t>
  </si>
  <si>
    <t>P-100208</t>
  </si>
  <si>
    <t>S-00209</t>
  </si>
  <si>
    <t>P-100209</t>
  </si>
  <si>
    <t>S-00210</t>
  </si>
  <si>
    <t>P-100210</t>
  </si>
  <si>
    <t>S-00211</t>
  </si>
  <si>
    <t>P-100211</t>
  </si>
  <si>
    <t>S-00212</t>
  </si>
  <si>
    <t>P-100212</t>
  </si>
  <si>
    <t>S-00213</t>
  </si>
  <si>
    <t>P-100213</t>
  </si>
  <si>
    <t>S-00214</t>
  </si>
  <si>
    <t>P-100214</t>
  </si>
  <si>
    <t>S-00215</t>
  </si>
  <si>
    <t>P-100215</t>
  </si>
  <si>
    <t>S-00216</t>
  </si>
  <si>
    <t>P-100216</t>
  </si>
  <si>
    <t>S-00217</t>
  </si>
  <si>
    <t>P-100217</t>
  </si>
  <si>
    <t>S-00218</t>
  </si>
  <si>
    <t>P-100218</t>
  </si>
  <si>
    <t>S-00219</t>
  </si>
  <si>
    <t>P-100219</t>
  </si>
  <si>
    <t>S-00220</t>
  </si>
  <si>
    <t>P-100220</t>
  </si>
  <si>
    <t>S-00221</t>
  </si>
  <si>
    <t>P-100221</t>
  </si>
  <si>
    <t>S-00222</t>
  </si>
  <si>
    <t>P-100222</t>
  </si>
  <si>
    <t>S-00223</t>
  </si>
  <si>
    <t>P-100223</t>
  </si>
  <si>
    <t>S-00224</t>
  </si>
  <si>
    <t>P-100224</t>
  </si>
  <si>
    <t>S-00225</t>
  </si>
  <si>
    <t>P-100225</t>
  </si>
  <si>
    <t>S-00226</t>
  </si>
  <si>
    <t>P-100226</t>
  </si>
  <si>
    <t>S-00227</t>
  </si>
  <si>
    <t>P-100227</t>
  </si>
  <si>
    <t>S-00228</t>
  </si>
  <si>
    <t>P-100228</t>
  </si>
  <si>
    <t>S-00229</t>
  </si>
  <si>
    <t>P-100229</t>
  </si>
  <si>
    <t>S-00230</t>
  </si>
  <si>
    <t>P-100230</t>
  </si>
  <si>
    <t>S-00231</t>
  </si>
  <si>
    <t>P-100231</t>
  </si>
  <si>
    <t>S-00232</t>
  </si>
  <si>
    <t>P-100232</t>
  </si>
  <si>
    <t>S-00233</t>
  </si>
  <si>
    <t>P-100233</t>
  </si>
  <si>
    <t>S-00234</t>
  </si>
  <si>
    <t>P-100234</t>
  </si>
  <si>
    <t>S-00235</t>
  </si>
  <si>
    <t>P-100235</t>
  </si>
  <si>
    <t>S-00236</t>
  </si>
  <si>
    <t>P-100236</t>
  </si>
  <si>
    <t>S-00237</t>
  </si>
  <si>
    <t>P-100237</t>
  </si>
  <si>
    <t>S-00238</t>
  </si>
  <si>
    <t>P-100238</t>
  </si>
  <si>
    <t>S-00239</t>
  </si>
  <si>
    <t>P-100239</t>
  </si>
  <si>
    <t>S-00240</t>
  </si>
  <si>
    <t>P-100240</t>
  </si>
  <si>
    <t>S-00241</t>
  </si>
  <si>
    <t>P-100241</t>
  </si>
  <si>
    <t>S-00242</t>
  </si>
  <si>
    <t>P-100242</t>
  </si>
  <si>
    <t>S-00243</t>
  </si>
  <si>
    <t>P-100243</t>
  </si>
  <si>
    <t>S-00244</t>
  </si>
  <si>
    <t>P-100244</t>
  </si>
  <si>
    <t>S-00245</t>
  </si>
  <si>
    <t>P-100245</t>
  </si>
  <si>
    <t>S-00246</t>
  </si>
  <si>
    <t>P-100246</t>
  </si>
  <si>
    <t>S-00247</t>
  </si>
  <si>
    <t>P-100247</t>
  </si>
  <si>
    <t>S-00248</t>
  </si>
  <si>
    <t>P-100248</t>
  </si>
  <si>
    <t>S-00249</t>
  </si>
  <si>
    <t>P-100249</t>
  </si>
  <si>
    <t>S-00250</t>
  </si>
  <si>
    <t>P-100250</t>
  </si>
  <si>
    <t>S-00251</t>
  </si>
  <si>
    <t>P-100251</t>
  </si>
  <si>
    <t>S-00252</t>
  </si>
  <si>
    <t>P-100252</t>
  </si>
  <si>
    <t>S-00253</t>
  </si>
  <si>
    <t>P-100253</t>
  </si>
  <si>
    <t>S-00254</t>
  </si>
  <si>
    <t>P-100254</t>
  </si>
  <si>
    <t>S-00255</t>
  </si>
  <si>
    <t>P-100255</t>
  </si>
  <si>
    <t>S-00256</t>
  </si>
  <si>
    <t>P-100256</t>
  </si>
  <si>
    <t>S-00257</t>
  </si>
  <si>
    <t>P-100257</t>
  </si>
  <si>
    <t>S-00258</t>
  </si>
  <si>
    <t>P-100258</t>
  </si>
  <si>
    <t>S-00259</t>
  </si>
  <si>
    <t>P-100259</t>
  </si>
  <si>
    <t>S-00260</t>
  </si>
  <si>
    <t>P-100260</t>
  </si>
  <si>
    <t>S-00261</t>
  </si>
  <si>
    <t>P-100261</t>
  </si>
  <si>
    <t>S-00262</t>
  </si>
  <si>
    <t>P-100262</t>
  </si>
  <si>
    <t>S-00263</t>
  </si>
  <si>
    <t>P-100263</t>
  </si>
  <si>
    <t>S-00264</t>
  </si>
  <si>
    <t>P-100264</t>
  </si>
  <si>
    <t>S-00265</t>
  </si>
  <si>
    <t>P-100265</t>
  </si>
  <si>
    <t>S-00266</t>
  </si>
  <si>
    <t>P-100266</t>
  </si>
  <si>
    <t>S-00267</t>
  </si>
  <si>
    <t>P-100267</t>
  </si>
  <si>
    <t>S-00268</t>
  </si>
  <si>
    <t>P-100268</t>
  </si>
  <si>
    <t>S-00269</t>
  </si>
  <si>
    <t>P-100269</t>
  </si>
  <si>
    <t>S-00270</t>
  </si>
  <si>
    <t>P-100270</t>
  </si>
  <si>
    <t>S-00271</t>
  </si>
  <si>
    <t>P-100271</t>
  </si>
  <si>
    <t>S-00272</t>
  </si>
  <si>
    <t>P-100272</t>
  </si>
  <si>
    <t>S-00273</t>
  </si>
  <si>
    <t>P-100273</t>
  </si>
  <si>
    <t>S-00274</t>
  </si>
  <si>
    <t>P-100274</t>
  </si>
  <si>
    <t>S-00275</t>
  </si>
  <si>
    <t>P-100275</t>
  </si>
  <si>
    <t>S-00276</t>
  </si>
  <si>
    <t>P-100276</t>
  </si>
  <si>
    <t>S-00277</t>
  </si>
  <si>
    <t>P-100277</t>
  </si>
  <si>
    <t>S-00278</t>
  </si>
  <si>
    <t>P-100278</t>
  </si>
  <si>
    <t>S-00279</t>
  </si>
  <si>
    <t>P-100279</t>
  </si>
  <si>
    <t>S-00280</t>
  </si>
  <si>
    <t>P-100280</t>
  </si>
  <si>
    <t>S-00281</t>
  </si>
  <si>
    <t>P-100281</t>
  </si>
  <si>
    <t>S-00282</t>
  </si>
  <si>
    <t>P-100282</t>
  </si>
  <si>
    <t>S-00283</t>
  </si>
  <si>
    <t>P-100283</t>
  </si>
  <si>
    <t>S-00284</t>
  </si>
  <si>
    <t>P-100284</t>
  </si>
  <si>
    <t>S-00285</t>
  </si>
  <si>
    <t>P-100285</t>
  </si>
  <si>
    <t>S-00286</t>
  </si>
  <si>
    <t>P-100286</t>
  </si>
  <si>
    <t>S-00287</t>
  </si>
  <si>
    <t>P-100287</t>
  </si>
  <si>
    <t>S-00288</t>
  </si>
  <si>
    <t>P-100288</t>
  </si>
  <si>
    <t>S-00289</t>
  </si>
  <si>
    <t>P-100289</t>
  </si>
  <si>
    <t>S-00290</t>
  </si>
  <si>
    <t>P-100290</t>
  </si>
  <si>
    <t>S-00291</t>
  </si>
  <si>
    <t>P-100291</t>
  </si>
  <si>
    <t>S-00292</t>
  </si>
  <si>
    <t>P-100292</t>
  </si>
  <si>
    <t>S-00293</t>
  </si>
  <si>
    <t>P-100293</t>
  </si>
  <si>
    <t>S-00294</t>
  </si>
  <si>
    <t>P-100294</t>
  </si>
  <si>
    <t>S-00295</t>
  </si>
  <si>
    <t>P-100295</t>
  </si>
  <si>
    <t>S-00296</t>
  </si>
  <si>
    <t>P-100296</t>
  </si>
  <si>
    <t>S-00297</t>
  </si>
  <si>
    <t>P-100297</t>
  </si>
  <si>
    <t>S-00298</t>
  </si>
  <si>
    <t>P-100298</t>
  </si>
  <si>
    <t>S-00299</t>
  </si>
  <si>
    <t>P-100299</t>
  </si>
  <si>
    <t>S-00300</t>
  </si>
  <si>
    <t>P-100300</t>
  </si>
  <si>
    <t>S-00301</t>
  </si>
  <si>
    <t>P-100301</t>
  </si>
  <si>
    <t>S-00302</t>
  </si>
  <si>
    <t>P-100302</t>
  </si>
  <si>
    <t>S-00303</t>
  </si>
  <si>
    <t>P-100303</t>
  </si>
  <si>
    <t>S-00304</t>
  </si>
  <si>
    <t>P-100304</t>
  </si>
  <si>
    <t>S-00305</t>
  </si>
  <si>
    <t>P-100305</t>
  </si>
  <si>
    <t>S-00306</t>
  </si>
  <si>
    <t>P-100306</t>
  </si>
  <si>
    <t>S-00307</t>
  </si>
  <si>
    <t>P-100307</t>
  </si>
  <si>
    <t>S-00308</t>
  </si>
  <si>
    <t>P-100308</t>
  </si>
  <si>
    <t>S-00309</t>
  </si>
  <si>
    <t>P-100309</t>
  </si>
  <si>
    <t>S-00310</t>
  </si>
  <si>
    <t>P-100310</t>
  </si>
  <si>
    <t>S-00311</t>
  </si>
  <si>
    <t>P-100311</t>
  </si>
  <si>
    <t>S-00312</t>
  </si>
  <si>
    <t>P-100312</t>
  </si>
  <si>
    <t>S-00313</t>
  </si>
  <si>
    <t>P-100313</t>
  </si>
  <si>
    <t>S-00314</t>
  </si>
  <si>
    <t>P-100314</t>
  </si>
  <si>
    <t>S-00315</t>
  </si>
  <si>
    <t>P-100315</t>
  </si>
  <si>
    <t>S-00316</t>
  </si>
  <si>
    <t>P-100316</t>
  </si>
  <si>
    <t>S-00317</t>
  </si>
  <si>
    <t>P-100317</t>
  </si>
  <si>
    <t>S-00318</t>
  </si>
  <si>
    <t>P-100318</t>
  </si>
  <si>
    <t>S-00319</t>
  </si>
  <si>
    <t>P-100319</t>
  </si>
  <si>
    <t>S-00320</t>
  </si>
  <si>
    <t>P-100320</t>
  </si>
  <si>
    <t>S-00321</t>
  </si>
  <si>
    <t>P-100321</t>
  </si>
  <si>
    <t>S-00322</t>
  </si>
  <si>
    <t>P-100322</t>
  </si>
  <si>
    <t>S-00323</t>
  </si>
  <si>
    <t>P-100323</t>
  </si>
  <si>
    <t>S-00324</t>
  </si>
  <si>
    <t>P-100324</t>
  </si>
  <si>
    <t>S-00325</t>
  </si>
  <si>
    <t>P-100325</t>
  </si>
  <si>
    <t>S-00326</t>
  </si>
  <si>
    <t>P-100326</t>
  </si>
  <si>
    <t>S-00327</t>
  </si>
  <si>
    <t>P-100327</t>
  </si>
  <si>
    <t>S-00328</t>
  </si>
  <si>
    <t>P-100328</t>
  </si>
  <si>
    <t>S-00329</t>
  </si>
  <si>
    <t>P-100329</t>
  </si>
  <si>
    <t>S-00330</t>
  </si>
  <si>
    <t>P-100330</t>
  </si>
  <si>
    <t>S-00331</t>
  </si>
  <si>
    <t>P-100331</t>
  </si>
  <si>
    <t>S-00332</t>
  </si>
  <si>
    <t>P-100332</t>
  </si>
  <si>
    <t>S-00333</t>
  </si>
  <si>
    <t>P-100333</t>
  </si>
  <si>
    <t>S-00334</t>
  </si>
  <si>
    <t>P-100334</t>
  </si>
  <si>
    <t>S-00335</t>
  </si>
  <si>
    <t>P-100335</t>
  </si>
  <si>
    <t>S-00336</t>
  </si>
  <si>
    <t>P-100336</t>
  </si>
  <si>
    <t>S-00337</t>
  </si>
  <si>
    <t>P-100337</t>
  </si>
  <si>
    <t>S-00338</t>
  </si>
  <si>
    <t>P-100338</t>
  </si>
  <si>
    <t>S-00339</t>
  </si>
  <si>
    <t>P-100339</t>
  </si>
  <si>
    <t>S-00340</t>
  </si>
  <si>
    <t>P-100340</t>
  </si>
  <si>
    <t>S-00341</t>
  </si>
  <si>
    <t>P-100341</t>
  </si>
  <si>
    <t>S-00342</t>
  </si>
  <si>
    <t>P-100342</t>
  </si>
  <si>
    <t>S-00343</t>
  </si>
  <si>
    <t>P-100343</t>
  </si>
  <si>
    <t>S-00344</t>
  </si>
  <si>
    <t>P-100344</t>
  </si>
  <si>
    <t>S-00345</t>
  </si>
  <si>
    <t>P-100345</t>
  </si>
  <si>
    <t>S-00346</t>
  </si>
  <si>
    <t>P-100346</t>
  </si>
  <si>
    <t>S-00347</t>
  </si>
  <si>
    <t>P-100347</t>
  </si>
  <si>
    <t>S-00348</t>
  </si>
  <si>
    <t>P-100348</t>
  </si>
  <si>
    <t>S-00349</t>
  </si>
  <si>
    <t>P-100349</t>
  </si>
  <si>
    <t>S-00350</t>
  </si>
  <si>
    <t>P-100350</t>
  </si>
  <si>
    <t>S-00351</t>
  </si>
  <si>
    <t>P-100351</t>
  </si>
  <si>
    <t>S-00352</t>
  </si>
  <si>
    <t>P-100352</t>
  </si>
  <si>
    <t>S-00353</t>
  </si>
  <si>
    <t>P-100353</t>
  </si>
  <si>
    <t>S-00354</t>
  </si>
  <si>
    <t>P-100354</t>
  </si>
  <si>
    <t>S-00355</t>
  </si>
  <si>
    <t>P-100355</t>
  </si>
  <si>
    <t>S-00356</t>
  </si>
  <si>
    <t>P-100356</t>
  </si>
  <si>
    <t>S-00357</t>
  </si>
  <si>
    <t>P-100357</t>
  </si>
  <si>
    <t>S-00358</t>
  </si>
  <si>
    <t>P-100358</t>
  </si>
  <si>
    <t>S-00359</t>
  </si>
  <si>
    <t>P-100359</t>
  </si>
  <si>
    <t>S-00360</t>
  </si>
  <si>
    <t>P-100360</t>
  </si>
  <si>
    <t>S-00361</t>
  </si>
  <si>
    <t>P-100361</t>
  </si>
  <si>
    <t>S-00362</t>
  </si>
  <si>
    <t>P-100362</t>
  </si>
  <si>
    <t>S-00363</t>
  </si>
  <si>
    <t>P-100363</t>
  </si>
  <si>
    <t>S-00364</t>
  </si>
  <si>
    <t>P-100364</t>
  </si>
  <si>
    <t>S-00365</t>
  </si>
  <si>
    <t>P-100365</t>
  </si>
  <si>
    <t>S-00366</t>
  </si>
  <si>
    <t>P-100366</t>
  </si>
  <si>
    <t>S-00367</t>
  </si>
  <si>
    <t>P-100367</t>
  </si>
  <si>
    <t>S-00368</t>
  </si>
  <si>
    <t>P-100368</t>
  </si>
  <si>
    <t>S-00369</t>
  </si>
  <si>
    <t>P-100369</t>
  </si>
  <si>
    <t>S-00370</t>
  </si>
  <si>
    <t>P-100370</t>
  </si>
  <si>
    <t>S-00371</t>
  </si>
  <si>
    <t>P-100371</t>
  </si>
  <si>
    <t>S-00372</t>
  </si>
  <si>
    <t>P-100372</t>
  </si>
  <si>
    <t>S-00373</t>
  </si>
  <si>
    <t>P-100373</t>
  </si>
  <si>
    <t>S-00374</t>
  </si>
  <si>
    <t>P-100374</t>
  </si>
  <si>
    <t>S-00375</t>
  </si>
  <si>
    <t>P-100375</t>
  </si>
  <si>
    <t>S-00376</t>
  </si>
  <si>
    <t>P-100376</t>
  </si>
  <si>
    <t>S-00377</t>
  </si>
  <si>
    <t>P-100377</t>
  </si>
  <si>
    <t>S-00378</t>
  </si>
  <si>
    <t>P-100378</t>
  </si>
  <si>
    <t>S-00379</t>
  </si>
  <si>
    <t>P-100379</t>
  </si>
  <si>
    <t>S-00380</t>
  </si>
  <si>
    <t>P-100380</t>
  </si>
  <si>
    <t>S-00381</t>
  </si>
  <si>
    <t>P-100381</t>
  </si>
  <si>
    <t>S-00382</t>
  </si>
  <si>
    <t>P-100382</t>
  </si>
  <si>
    <t>S-00383</t>
  </si>
  <si>
    <t>P-100383</t>
  </si>
  <si>
    <t>S-00384</t>
  </si>
  <si>
    <t>P-100384</t>
  </si>
  <si>
    <t>S-00385</t>
  </si>
  <si>
    <t>P-100385</t>
  </si>
  <si>
    <t>S-00386</t>
  </si>
  <si>
    <t>P-100386</t>
  </si>
  <si>
    <t>S-00387</t>
  </si>
  <si>
    <t>P-100387</t>
  </si>
  <si>
    <t>S-00388</t>
  </si>
  <si>
    <t>P-100388</t>
  </si>
  <si>
    <t>S-00389</t>
  </si>
  <si>
    <t>P-100389</t>
  </si>
  <si>
    <t>S-00390</t>
  </si>
  <si>
    <t>P-100390</t>
  </si>
  <si>
    <t>S-00391</t>
  </si>
  <si>
    <t>P-100391</t>
  </si>
  <si>
    <t>S-00392</t>
  </si>
  <si>
    <t>P-100392</t>
  </si>
  <si>
    <t>S-00393</t>
  </si>
  <si>
    <t>P-100393</t>
  </si>
  <si>
    <t>S-00394</t>
  </si>
  <si>
    <t>P-100394</t>
  </si>
  <si>
    <t>S-00395</t>
  </si>
  <si>
    <t>P-100395</t>
  </si>
  <si>
    <t>S-00396</t>
  </si>
  <si>
    <t>P-100396</t>
  </si>
  <si>
    <t>S-00397</t>
  </si>
  <si>
    <t>P-100397</t>
  </si>
  <si>
    <t>S-00398</t>
  </si>
  <si>
    <t>P-100398</t>
  </si>
  <si>
    <t>S-00399</t>
  </si>
  <si>
    <t>P-100399</t>
  </si>
  <si>
    <t>S-00400</t>
  </si>
  <si>
    <t>P-100400</t>
  </si>
  <si>
    <t>S-00401</t>
  </si>
  <si>
    <t>P-100401</t>
  </si>
  <si>
    <t>S-00402</t>
  </si>
  <si>
    <t>P-100402</t>
  </si>
  <si>
    <t>S-00403</t>
  </si>
  <si>
    <t>P-100403</t>
  </si>
  <si>
    <t>S-00404</t>
  </si>
  <si>
    <t>P-100404</t>
  </si>
  <si>
    <t>S-00405</t>
  </si>
  <si>
    <t>P-100405</t>
  </si>
  <si>
    <t>S-00406</t>
  </si>
  <si>
    <t>P-100406</t>
  </si>
  <si>
    <t>S-00407</t>
  </si>
  <si>
    <t>P-100407</t>
  </si>
  <si>
    <t>S-00408</t>
  </si>
  <si>
    <t>P-100408</t>
  </si>
  <si>
    <t>S-00409</t>
  </si>
  <si>
    <t>P-100409</t>
  </si>
  <si>
    <t>S-00410</t>
  </si>
  <si>
    <t>P-100410</t>
  </si>
  <si>
    <t>S-00411</t>
  </si>
  <si>
    <t>P-100411</t>
  </si>
  <si>
    <t>S-00412</t>
  </si>
  <si>
    <t>P-100412</t>
  </si>
  <si>
    <t>S-00413</t>
  </si>
  <si>
    <t>P-100413</t>
  </si>
  <si>
    <t>S-00414</t>
  </si>
  <si>
    <t>P-100414</t>
  </si>
  <si>
    <t>S-00415</t>
  </si>
  <si>
    <t>P-100415</t>
  </si>
  <si>
    <t>S-00416</t>
  </si>
  <si>
    <t>P-100416</t>
  </si>
  <si>
    <t>S-00417</t>
  </si>
  <si>
    <t>P-100417</t>
  </si>
  <si>
    <t>S-00418</t>
  </si>
  <si>
    <t>P-100418</t>
  </si>
  <si>
    <t>S-00419</t>
  </si>
  <si>
    <t>P-100419</t>
  </si>
  <si>
    <t>S-00420</t>
  </si>
  <si>
    <t>P-100420</t>
  </si>
  <si>
    <t>S-00421</t>
  </si>
  <si>
    <t>P-100421</t>
  </si>
  <si>
    <t>S-00422</t>
  </si>
  <si>
    <t>P-100422</t>
  </si>
  <si>
    <t>S-00423</t>
  </si>
  <si>
    <t>P-100423</t>
  </si>
  <si>
    <t>S-00424</t>
  </si>
  <si>
    <t>P-100424</t>
  </si>
  <si>
    <t>S-00425</t>
  </si>
  <si>
    <t>P-100425</t>
  </si>
  <si>
    <t>S-00426</t>
  </si>
  <si>
    <t>P-100426</t>
  </si>
  <si>
    <t>S-00427</t>
  </si>
  <si>
    <t>P-100427</t>
  </si>
  <si>
    <t>S-00428</t>
  </si>
  <si>
    <t>P-100428</t>
  </si>
  <si>
    <t>S-00429</t>
  </si>
  <si>
    <t>P-100429</t>
  </si>
  <si>
    <t>S-00430</t>
  </si>
  <si>
    <t>P-100430</t>
  </si>
  <si>
    <t>S-00431</t>
  </si>
  <si>
    <t>P-100431</t>
  </si>
  <si>
    <t>S-00432</t>
  </si>
  <si>
    <t>P-100432</t>
  </si>
  <si>
    <t>S-00433</t>
  </si>
  <si>
    <t>P-100433</t>
  </si>
  <si>
    <t>S-00434</t>
  </si>
  <si>
    <t>P-100434</t>
  </si>
  <si>
    <t>S-00435</t>
  </si>
  <si>
    <t>P-100435</t>
  </si>
  <si>
    <t>S-00436</t>
  </si>
  <si>
    <t>P-100436</t>
  </si>
  <si>
    <t>S-00437</t>
  </si>
  <si>
    <t>P-100437</t>
  </si>
  <si>
    <t>S-00438</t>
  </si>
  <si>
    <t>P-100438</t>
  </si>
  <si>
    <t>S-00439</t>
  </si>
  <si>
    <t>P-100439</t>
  </si>
  <si>
    <t>S-00440</t>
  </si>
  <si>
    <t>P-100440</t>
  </si>
  <si>
    <t>S-00441</t>
  </si>
  <si>
    <t>P-100441</t>
  </si>
  <si>
    <t>S-00442</t>
  </si>
  <si>
    <t>P-100442</t>
  </si>
  <si>
    <t>S-00443</t>
  </si>
  <si>
    <t>P-100443</t>
  </si>
  <si>
    <t>S-00444</t>
  </si>
  <si>
    <t>P-100444</t>
  </si>
  <si>
    <t>S-00445</t>
  </si>
  <si>
    <t>P-100445</t>
  </si>
  <si>
    <t>S-00446</t>
  </si>
  <si>
    <t>P-100446</t>
  </si>
  <si>
    <t>S-00447</t>
  </si>
  <si>
    <t>P-100447</t>
  </si>
  <si>
    <t>S-00448</t>
  </si>
  <si>
    <t>P-100448</t>
  </si>
  <si>
    <t>S-00449</t>
  </si>
  <si>
    <t>P-100449</t>
  </si>
  <si>
    <t>S-00450</t>
  </si>
  <si>
    <t>P-100450</t>
  </si>
  <si>
    <t>S-00451</t>
  </si>
  <si>
    <t>P-100451</t>
  </si>
  <si>
    <t>S-00452</t>
  </si>
  <si>
    <t>P-100452</t>
  </si>
  <si>
    <t>S-00453</t>
  </si>
  <si>
    <t>P-100453</t>
  </si>
  <si>
    <t>S-00454</t>
  </si>
  <si>
    <t>P-100454</t>
  </si>
  <si>
    <t>S-00455</t>
  </si>
  <si>
    <t>P-100455</t>
  </si>
  <si>
    <t>S-00456</t>
  </si>
  <si>
    <t>P-100456</t>
  </si>
  <si>
    <t>S-00457</t>
  </si>
  <si>
    <t>P-100457</t>
  </si>
  <si>
    <t>S-00458</t>
  </si>
  <si>
    <t>P-100458</t>
  </si>
  <si>
    <t>S-00459</t>
  </si>
  <si>
    <t>P-100459</t>
  </si>
  <si>
    <t>S-00460</t>
  </si>
  <si>
    <t>P-100460</t>
  </si>
  <si>
    <t>S-00461</t>
  </si>
  <si>
    <t>P-100461</t>
  </si>
  <si>
    <t>S-00462</t>
  </si>
  <si>
    <t>P-100462</t>
  </si>
  <si>
    <t>S-00463</t>
  </si>
  <si>
    <t>P-100463</t>
  </si>
  <si>
    <t>S-00464</t>
  </si>
  <si>
    <t>P-100464</t>
  </si>
  <si>
    <t>S-00465</t>
  </si>
  <si>
    <t>P-100465</t>
  </si>
  <si>
    <t>S-00466</t>
  </si>
  <si>
    <t>P-100466</t>
  </si>
  <si>
    <t>S-00467</t>
  </si>
  <si>
    <t>P-100467</t>
  </si>
  <si>
    <t>S-00468</t>
  </si>
  <si>
    <t>P-100468</t>
  </si>
  <si>
    <t>S-00469</t>
  </si>
  <si>
    <t>P-100469</t>
  </si>
  <si>
    <t>S-00470</t>
  </si>
  <si>
    <t>P-100470</t>
  </si>
  <si>
    <t>S-00471</t>
  </si>
  <si>
    <t>P-100471</t>
  </si>
  <si>
    <t>S-00472</t>
  </si>
  <si>
    <t>P-100472</t>
  </si>
  <si>
    <t>S-00473</t>
  </si>
  <si>
    <t>P-100473</t>
  </si>
  <si>
    <t>S-00474</t>
  </si>
  <si>
    <t>P-100474</t>
  </si>
  <si>
    <t>S-00475</t>
  </si>
  <si>
    <t>P-100475</t>
  </si>
  <si>
    <t>S-00476</t>
  </si>
  <si>
    <t>P-100476</t>
  </si>
  <si>
    <t>S-00477</t>
  </si>
  <si>
    <t>P-100477</t>
  </si>
  <si>
    <t>S-00478</t>
  </si>
  <si>
    <t>P-100478</t>
  </si>
  <si>
    <t>S-00479</t>
  </si>
  <si>
    <t>P-100479</t>
  </si>
  <si>
    <t>S-00480</t>
  </si>
  <si>
    <t>P-100480</t>
  </si>
  <si>
    <t>S-00481</t>
  </si>
  <si>
    <t>P-100481</t>
  </si>
  <si>
    <t>S-00482</t>
  </si>
  <si>
    <t>P-100482</t>
  </si>
  <si>
    <t>S-00483</t>
  </si>
  <si>
    <t>P-100483</t>
  </si>
  <si>
    <t>S-00484</t>
  </si>
  <si>
    <t>P-100484</t>
  </si>
  <si>
    <t>S-00485</t>
  </si>
  <si>
    <t>P-100485</t>
  </si>
  <si>
    <t>S-00486</t>
  </si>
  <si>
    <t>P-100486</t>
  </si>
  <si>
    <t>S-00487</t>
  </si>
  <si>
    <t>P-100487</t>
  </si>
  <si>
    <t>S-00488</t>
  </si>
  <si>
    <t>P-100488</t>
  </si>
  <si>
    <t>S-00489</t>
  </si>
  <si>
    <t>P-100489</t>
  </si>
  <si>
    <t>S-00490</t>
  </si>
  <si>
    <t>P-100490</t>
  </si>
  <si>
    <t>S-00491</t>
  </si>
  <si>
    <t>P-100491</t>
  </si>
  <si>
    <t>S-00492</t>
  </si>
  <si>
    <t>P-100492</t>
  </si>
  <si>
    <t>S-00493</t>
  </si>
  <si>
    <t>P-100493</t>
  </si>
  <si>
    <t>S-00494</t>
  </si>
  <si>
    <t>P-100494</t>
  </si>
  <si>
    <t>S-00495</t>
  </si>
  <si>
    <t>P-100495</t>
  </si>
  <si>
    <t>S-00496</t>
  </si>
  <si>
    <t>P-100496</t>
  </si>
  <si>
    <t>S-00497</t>
  </si>
  <si>
    <t>P-100497</t>
  </si>
  <si>
    <t>S-00498</t>
  </si>
  <si>
    <t>P-100498</t>
  </si>
  <si>
    <t>S-00499</t>
  </si>
  <si>
    <t>P-100499</t>
  </si>
  <si>
    <t>S-00500</t>
  </si>
  <si>
    <t>P-100500</t>
  </si>
  <si>
    <t>S-00501</t>
  </si>
  <si>
    <t>P-100501</t>
  </si>
  <si>
    <t>S-00502</t>
  </si>
  <si>
    <t>P-100502</t>
  </si>
  <si>
    <t>S-00503</t>
  </si>
  <si>
    <t>P-100503</t>
  </si>
  <si>
    <t>S-00504</t>
  </si>
  <si>
    <t>P-100504</t>
  </si>
  <si>
    <t>S-00505</t>
  </si>
  <si>
    <t>P-100505</t>
  </si>
  <si>
    <t>S-00506</t>
  </si>
  <si>
    <t>P-100506</t>
  </si>
  <si>
    <t>S-00507</t>
  </si>
  <si>
    <t>P-100507</t>
  </si>
  <si>
    <t>S-00508</t>
  </si>
  <si>
    <t>P-100508</t>
  </si>
  <si>
    <t>S-00509</t>
  </si>
  <si>
    <t>P-100509</t>
  </si>
  <si>
    <t>S-00510</t>
  </si>
  <si>
    <t>P-100510</t>
  </si>
  <si>
    <t>S-00511</t>
  </si>
  <si>
    <t>P-100511</t>
  </si>
  <si>
    <t>S-00512</t>
  </si>
  <si>
    <t>P-100512</t>
  </si>
  <si>
    <t>S-00513</t>
  </si>
  <si>
    <t>P-100513</t>
  </si>
  <si>
    <t>S-00514</t>
  </si>
  <si>
    <t>P-100514</t>
  </si>
  <si>
    <t>S-00515</t>
  </si>
  <si>
    <t>P-100515</t>
  </si>
  <si>
    <t>S-00516</t>
  </si>
  <si>
    <t>P-100516</t>
  </si>
  <si>
    <t>S-00517</t>
  </si>
  <si>
    <t>P-100517</t>
  </si>
  <si>
    <t>S-00518</t>
  </si>
  <si>
    <t>P-100518</t>
  </si>
  <si>
    <t>S-00519</t>
  </si>
  <si>
    <t>P-100519</t>
  </si>
  <si>
    <t>S-00520</t>
  </si>
  <si>
    <t>P-100520</t>
  </si>
  <si>
    <t>S-00521</t>
  </si>
  <si>
    <t>P-100521</t>
  </si>
  <si>
    <t>S-00522</t>
  </si>
  <si>
    <t>P-100522</t>
  </si>
  <si>
    <t>S-00523</t>
  </si>
  <si>
    <t>P-100523</t>
  </si>
  <si>
    <t>S-00524</t>
  </si>
  <si>
    <t>P-100524</t>
  </si>
  <si>
    <t>S-00525</t>
  </si>
  <si>
    <t>P-100525</t>
  </si>
  <si>
    <t>S-00526</t>
  </si>
  <si>
    <t>P-100526</t>
  </si>
  <si>
    <t>S-00527</t>
  </si>
  <si>
    <t>P-100527</t>
  </si>
  <si>
    <t>S-00528</t>
  </si>
  <si>
    <t>P-100528</t>
  </si>
  <si>
    <t>S-00529</t>
  </si>
  <si>
    <t>P-100529</t>
  </si>
  <si>
    <t>S-00530</t>
  </si>
  <si>
    <t>P-100530</t>
  </si>
  <si>
    <t>S-00531</t>
  </si>
  <si>
    <t>P-100531</t>
  </si>
  <si>
    <t>S-00532</t>
  </si>
  <si>
    <t>P-100532</t>
  </si>
  <si>
    <t>S-00533</t>
  </si>
  <si>
    <t>P-100533</t>
  </si>
  <si>
    <t>S-00534</t>
  </si>
  <si>
    <t>P-100534</t>
  </si>
  <si>
    <t>S-00535</t>
  </si>
  <si>
    <t>P-100535</t>
  </si>
  <si>
    <t>S-00536</t>
  </si>
  <si>
    <t>P-100536</t>
  </si>
  <si>
    <t>S-00537</t>
  </si>
  <si>
    <t>P-100537</t>
  </si>
  <si>
    <t>S-00538</t>
  </si>
  <si>
    <t>P-100538</t>
  </si>
  <si>
    <t>S-00539</t>
  </si>
  <si>
    <t>P-100539</t>
  </si>
  <si>
    <t>S-00540</t>
  </si>
  <si>
    <t>P-100540</t>
  </si>
  <si>
    <t>S-00541</t>
  </si>
  <si>
    <t>P-100541</t>
  </si>
  <si>
    <t>S-00542</t>
  </si>
  <si>
    <t>P-100542</t>
  </si>
  <si>
    <t>S-00543</t>
  </si>
  <si>
    <t>P-100543</t>
  </si>
  <si>
    <t>S-00544</t>
  </si>
  <si>
    <t>P-100544</t>
  </si>
  <si>
    <t>S-00545</t>
  </si>
  <si>
    <t>P-100545</t>
  </si>
  <si>
    <t>S-00546</t>
  </si>
  <si>
    <t>P-100546</t>
  </si>
  <si>
    <t>S-00547</t>
  </si>
  <si>
    <t>P-100547</t>
  </si>
  <si>
    <t>S-00548</t>
  </si>
  <si>
    <t>P-100548</t>
  </si>
  <si>
    <t>S-00549</t>
  </si>
  <si>
    <t>P-100549</t>
  </si>
  <si>
    <t>S-00550</t>
  </si>
  <si>
    <t>P-100550</t>
  </si>
  <si>
    <t>S-00551</t>
  </si>
  <si>
    <t>P-100551</t>
  </si>
  <si>
    <t>S-00552</t>
  </si>
  <si>
    <t>P-100552</t>
  </si>
  <si>
    <t>S-00553</t>
  </si>
  <si>
    <t>P-100553</t>
  </si>
  <si>
    <t>S-00554</t>
  </si>
  <si>
    <t>P-100554</t>
  </si>
  <si>
    <t>S-00555</t>
  </si>
  <si>
    <t>P-100555</t>
  </si>
  <si>
    <t>S-00556</t>
  </si>
  <si>
    <t>P-100556</t>
  </si>
  <si>
    <t>S-00557</t>
  </si>
  <si>
    <t>P-100557</t>
  </si>
  <si>
    <t>S-00558</t>
  </si>
  <si>
    <t>P-100558</t>
  </si>
  <si>
    <t>S-00559</t>
  </si>
  <si>
    <t>P-100559</t>
  </si>
  <si>
    <t>S-00560</t>
  </si>
  <si>
    <t>P-100560</t>
  </si>
  <si>
    <t>S-00561</t>
  </si>
  <si>
    <t>P-100561</t>
  </si>
  <si>
    <t>S-00562</t>
  </si>
  <si>
    <t>P-100562</t>
  </si>
  <si>
    <t>S-00563</t>
  </si>
  <si>
    <t>P-100563</t>
  </si>
  <si>
    <t>S-00564</t>
  </si>
  <si>
    <t>P-100564</t>
  </si>
  <si>
    <t>S-00565</t>
  </si>
  <si>
    <t>P-100565</t>
  </si>
  <si>
    <t>S-00566</t>
  </si>
  <si>
    <t>P-100566</t>
  </si>
  <si>
    <t>S-00567</t>
  </si>
  <si>
    <t>P-100567</t>
  </si>
  <si>
    <t>S-00568</t>
  </si>
  <si>
    <t>P-100568</t>
  </si>
  <si>
    <t>S-00569</t>
  </si>
  <si>
    <t>P-100569</t>
  </si>
  <si>
    <t>S-00570</t>
  </si>
  <si>
    <t>P-100570</t>
  </si>
  <si>
    <t>S-00571</t>
  </si>
  <si>
    <t>P-100571</t>
  </si>
  <si>
    <t>S-00572</t>
  </si>
  <si>
    <t>P-100572</t>
  </si>
  <si>
    <t>S-00573</t>
  </si>
  <si>
    <t>P-100573</t>
  </si>
  <si>
    <t>S-00574</t>
  </si>
  <si>
    <t>P-100574</t>
  </si>
  <si>
    <t>S-00575</t>
  </si>
  <si>
    <t>P-100575</t>
  </si>
  <si>
    <t>S-00576</t>
  </si>
  <si>
    <t>P-100576</t>
  </si>
  <si>
    <t>S-00577</t>
  </si>
  <si>
    <t>P-100577</t>
  </si>
  <si>
    <t>S-00578</t>
  </si>
  <si>
    <t>P-100578</t>
  </si>
  <si>
    <t>S-00579</t>
  </si>
  <si>
    <t>P-100579</t>
  </si>
  <si>
    <t>S-00580</t>
  </si>
  <si>
    <t>P-100580</t>
  </si>
  <si>
    <t>S-00581</t>
  </si>
  <si>
    <t>P-100581</t>
  </si>
  <si>
    <t>S-00582</t>
  </si>
  <si>
    <t>P-100582</t>
  </si>
  <si>
    <t>S-00583</t>
  </si>
  <si>
    <t>P-100583</t>
  </si>
  <si>
    <t>S-00584</t>
  </si>
  <si>
    <t>P-100584</t>
  </si>
  <si>
    <t>S-00585</t>
  </si>
  <si>
    <t>P-100585</t>
  </si>
  <si>
    <t>S-00586</t>
  </si>
  <si>
    <t>P-100586</t>
  </si>
  <si>
    <t>S-00587</t>
  </si>
  <si>
    <t>P-100587</t>
  </si>
  <si>
    <t>S-00588</t>
  </si>
  <si>
    <t>P-100588</t>
  </si>
  <si>
    <t>S-00589</t>
  </si>
  <si>
    <t>P-100589</t>
  </si>
  <si>
    <t>S-00590</t>
  </si>
  <si>
    <t>P-100590</t>
  </si>
  <si>
    <t>S-00591</t>
  </si>
  <si>
    <t>P-100591</t>
  </si>
  <si>
    <t>S-00592</t>
  </si>
  <si>
    <t>P-100592</t>
  </si>
  <si>
    <t>S-00593</t>
  </si>
  <si>
    <t>P-100593</t>
  </si>
  <si>
    <t>S-00594</t>
  </si>
  <si>
    <t>P-100594</t>
  </si>
  <si>
    <t>S-00595</t>
  </si>
  <si>
    <t>P-100595</t>
  </si>
  <si>
    <t>S-00596</t>
  </si>
  <si>
    <t>P-100596</t>
  </si>
  <si>
    <t>S-00597</t>
  </si>
  <si>
    <t>P-100597</t>
  </si>
  <si>
    <t>S-00598</t>
  </si>
  <si>
    <t>P-100598</t>
  </si>
  <si>
    <t>S-00599</t>
  </si>
  <si>
    <t>P-100599</t>
  </si>
  <si>
    <t>S-00600</t>
  </si>
  <si>
    <t>P-100600</t>
  </si>
  <si>
    <t>S-00601</t>
  </si>
  <si>
    <t>P-100601</t>
  </si>
  <si>
    <t>S-00602</t>
  </si>
  <si>
    <t>P-100602</t>
  </si>
  <si>
    <t>S-00603</t>
  </si>
  <si>
    <t>P-100603</t>
  </si>
  <si>
    <t>S-00604</t>
  </si>
  <si>
    <t>P-100604</t>
  </si>
  <si>
    <t>S-00605</t>
  </si>
  <si>
    <t>P-100605</t>
  </si>
  <si>
    <t>S-00606</t>
  </si>
  <si>
    <t>P-100606</t>
  </si>
  <si>
    <t>S-00607</t>
  </si>
  <si>
    <t>P-100607</t>
  </si>
  <si>
    <t>S-00608</t>
  </si>
  <si>
    <t>P-100608</t>
  </si>
  <si>
    <t>S-00609</t>
  </si>
  <si>
    <t>P-100609</t>
  </si>
  <si>
    <t>S-00610</t>
  </si>
  <si>
    <t>P-100610</t>
  </si>
  <si>
    <t>S-00611</t>
  </si>
  <si>
    <t>P-100611</t>
  </si>
  <si>
    <t>S-00612</t>
  </si>
  <si>
    <t>P-100612</t>
  </si>
  <si>
    <t>S-00613</t>
  </si>
  <si>
    <t>P-100613</t>
  </si>
  <si>
    <t>S-00614</t>
  </si>
  <si>
    <t>P-100614</t>
  </si>
  <si>
    <t>S-00615</t>
  </si>
  <si>
    <t>P-100615</t>
  </si>
  <si>
    <t>S-00616</t>
  </si>
  <si>
    <t>P-100616</t>
  </si>
  <si>
    <t>S-00617</t>
  </si>
  <si>
    <t>P-100617</t>
  </si>
  <si>
    <t>S-00618</t>
  </si>
  <si>
    <t>P-100618</t>
  </si>
  <si>
    <t>S-00619</t>
  </si>
  <si>
    <t>P-100619</t>
  </si>
  <si>
    <t>S-00620</t>
  </si>
  <si>
    <t>P-100620</t>
  </si>
  <si>
    <t>S-00621</t>
  </si>
  <si>
    <t>P-100621</t>
  </si>
  <si>
    <t>S-00622</t>
  </si>
  <si>
    <t>P-100622</t>
  </si>
  <si>
    <t>S-00623</t>
  </si>
  <si>
    <t>P-100623</t>
  </si>
  <si>
    <t>S-00624</t>
  </si>
  <si>
    <t>P-100624</t>
  </si>
  <si>
    <t>S-00625</t>
  </si>
  <si>
    <t>P-100625</t>
  </si>
  <si>
    <t>S-00626</t>
  </si>
  <si>
    <t>P-100626</t>
  </si>
  <si>
    <t>S-00627</t>
  </si>
  <si>
    <t>P-100627</t>
  </si>
  <si>
    <t>S-00628</t>
  </si>
  <si>
    <t>P-100628</t>
  </si>
  <si>
    <t>S-00629</t>
  </si>
  <si>
    <t>P-100629</t>
  </si>
  <si>
    <t>S-00630</t>
  </si>
  <si>
    <t>P-100630</t>
  </si>
  <si>
    <t>S-00631</t>
  </si>
  <si>
    <t>P-100631</t>
  </si>
  <si>
    <t>S-00632</t>
  </si>
  <si>
    <t>P-100632</t>
  </si>
  <si>
    <t>S-00633</t>
  </si>
  <si>
    <t>P-100633</t>
  </si>
  <si>
    <t>S-00634</t>
  </si>
  <si>
    <t>P-100634</t>
  </si>
  <si>
    <t>S-00635</t>
  </si>
  <si>
    <t>P-100635</t>
  </si>
  <si>
    <t>S-00636</t>
  </si>
  <si>
    <t>P-100636</t>
  </si>
  <si>
    <t>S-00637</t>
  </si>
  <si>
    <t>P-100637</t>
  </si>
  <si>
    <t>S-00638</t>
  </si>
  <si>
    <t>P-100638</t>
  </si>
  <si>
    <t>S-00639</t>
  </si>
  <si>
    <t>P-100639</t>
  </si>
  <si>
    <t>S-00640</t>
  </si>
  <si>
    <t>P-100640</t>
  </si>
  <si>
    <t>S-00641</t>
  </si>
  <si>
    <t>P-100641</t>
  </si>
  <si>
    <t>S-00642</t>
  </si>
  <si>
    <t>P-100642</t>
  </si>
  <si>
    <t>S-00643</t>
  </si>
  <si>
    <t>P-100643</t>
  </si>
  <si>
    <t>S-00644</t>
  </si>
  <si>
    <t>P-100644</t>
  </si>
  <si>
    <t>S-00645</t>
  </si>
  <si>
    <t>P-100645</t>
  </si>
  <si>
    <t>S-00646</t>
  </si>
  <si>
    <t>P-100646</t>
  </si>
  <si>
    <t>S-00647</t>
  </si>
  <si>
    <t>P-100647</t>
  </si>
  <si>
    <t>S-00648</t>
  </si>
  <si>
    <t>P-100648</t>
  </si>
  <si>
    <t>S-00649</t>
  </si>
  <si>
    <t>P-100649</t>
  </si>
  <si>
    <t>S-00650</t>
  </si>
  <si>
    <t>P-100650</t>
  </si>
  <si>
    <t>S-00651</t>
  </si>
  <si>
    <t>P-100651</t>
  </si>
  <si>
    <t>S-00652</t>
  </si>
  <si>
    <t>P-100652</t>
  </si>
  <si>
    <t>S-00653</t>
  </si>
  <si>
    <t>P-100653</t>
  </si>
  <si>
    <t>S-00654</t>
  </si>
  <si>
    <t>P-100654</t>
  </si>
  <si>
    <t>S-00655</t>
  </si>
  <si>
    <t>P-100655</t>
  </si>
  <si>
    <t>S-00656</t>
  </si>
  <si>
    <t>P-100656</t>
  </si>
  <si>
    <t>S-00657</t>
  </si>
  <si>
    <t>P-100657</t>
  </si>
  <si>
    <t>S-00658</t>
  </si>
  <si>
    <t>P-100658</t>
  </si>
  <si>
    <t>S-00659</t>
  </si>
  <si>
    <t>P-100659</t>
  </si>
  <si>
    <t>S-00660</t>
  </si>
  <si>
    <t>P-100660</t>
  </si>
  <si>
    <t>S-00661</t>
  </si>
  <si>
    <t>P-100661</t>
  </si>
  <si>
    <t>S-00662</t>
  </si>
  <si>
    <t>P-100662</t>
  </si>
  <si>
    <t>S-00663</t>
  </si>
  <si>
    <t>P-100663</t>
  </si>
  <si>
    <t>S-00664</t>
  </si>
  <si>
    <t>P-100664</t>
  </si>
  <si>
    <t>S-00665</t>
  </si>
  <si>
    <t>P-100665</t>
  </si>
  <si>
    <t>S-00666</t>
  </si>
  <si>
    <t>P-100666</t>
  </si>
  <si>
    <t>S-00667</t>
  </si>
  <si>
    <t>P-100667</t>
  </si>
  <si>
    <t>S-00668</t>
  </si>
  <si>
    <t>P-100668</t>
  </si>
  <si>
    <t>S-00669</t>
  </si>
  <si>
    <t>P-100669</t>
  </si>
  <si>
    <t>S-00670</t>
  </si>
  <si>
    <t>P-100670</t>
  </si>
  <si>
    <t>S-00671</t>
  </si>
  <si>
    <t>P-100671</t>
  </si>
  <si>
    <t>S-00672</t>
  </si>
  <si>
    <t>P-100672</t>
  </si>
  <si>
    <t>S-00673</t>
  </si>
  <si>
    <t>P-100673</t>
  </si>
  <si>
    <t>S-00674</t>
  </si>
  <si>
    <t>P-100674</t>
  </si>
  <si>
    <t>S-00675</t>
  </si>
  <si>
    <t>P-100675</t>
  </si>
  <si>
    <t>S-00676</t>
  </si>
  <si>
    <t>P-100676</t>
  </si>
  <si>
    <t>S-00677</t>
  </si>
  <si>
    <t>P-100677</t>
  </si>
  <si>
    <t>S-00678</t>
  </si>
  <si>
    <t>P-100678</t>
  </si>
  <si>
    <t>S-00679</t>
  </si>
  <si>
    <t>P-100679</t>
  </si>
  <si>
    <t>S-00680</t>
  </si>
  <si>
    <t>P-100680</t>
  </si>
  <si>
    <t>S-00681</t>
  </si>
  <si>
    <t>P-100681</t>
  </si>
  <si>
    <t>S-00682</t>
  </si>
  <si>
    <t>P-100682</t>
  </si>
  <si>
    <t>S-00683</t>
  </si>
  <si>
    <t>P-100683</t>
  </si>
  <si>
    <t>S-00684</t>
  </si>
  <si>
    <t>P-100684</t>
  </si>
  <si>
    <t>S-00685</t>
  </si>
  <si>
    <t>P-100685</t>
  </si>
  <si>
    <t>S-00686</t>
  </si>
  <si>
    <t>P-100686</t>
  </si>
  <si>
    <t>S-00687</t>
  </si>
  <si>
    <t>P-100687</t>
  </si>
  <si>
    <t>S-00688</t>
  </si>
  <si>
    <t>P-100688</t>
  </si>
  <si>
    <t>S-00689</t>
  </si>
  <si>
    <t>P-100689</t>
  </si>
  <si>
    <t>S-00690</t>
  </si>
  <si>
    <t>P-100690</t>
  </si>
  <si>
    <t>S-00691</t>
  </si>
  <si>
    <t>P-100691</t>
  </si>
  <si>
    <t>S-00692</t>
  </si>
  <si>
    <t>P-100692</t>
  </si>
  <si>
    <t>S-00693</t>
  </si>
  <si>
    <t>P-100693</t>
  </si>
  <si>
    <t>S-00694</t>
  </si>
  <si>
    <t>P-100694</t>
  </si>
  <si>
    <t>S-00695</t>
  </si>
  <si>
    <t>P-100695</t>
  </si>
  <si>
    <t>S-00696</t>
  </si>
  <si>
    <t>P-100696</t>
  </si>
  <si>
    <t>S-00697</t>
  </si>
  <si>
    <t>P-100697</t>
  </si>
  <si>
    <t>S-00698</t>
  </si>
  <si>
    <t>P-100698</t>
  </si>
  <si>
    <t>S-00699</t>
  </si>
  <si>
    <t>P-100699</t>
  </si>
  <si>
    <t>S-00700</t>
  </si>
  <si>
    <t>P-100700</t>
  </si>
  <si>
    <t>S-00701</t>
  </si>
  <si>
    <t>P-100701</t>
  </si>
  <si>
    <t>S-00702</t>
  </si>
  <si>
    <t>P-100702</t>
  </si>
  <si>
    <t>S-00703</t>
  </si>
  <si>
    <t>P-100703</t>
  </si>
  <si>
    <t>S-00704</t>
  </si>
  <si>
    <t>P-100704</t>
  </si>
  <si>
    <t>S-00705</t>
  </si>
  <si>
    <t>P-100705</t>
  </si>
  <si>
    <t>S-00706</t>
  </si>
  <si>
    <t>P-100706</t>
  </si>
  <si>
    <t>S-00707</t>
  </si>
  <si>
    <t>P-100707</t>
  </si>
  <si>
    <t>S-00708</t>
  </si>
  <si>
    <t>P-100708</t>
  </si>
  <si>
    <t>S-00709</t>
  </si>
  <si>
    <t>P-100709</t>
  </si>
  <si>
    <t>S-00710</t>
  </si>
  <si>
    <t>P-100710</t>
  </si>
  <si>
    <t>S-00711</t>
  </si>
  <si>
    <t>P-100711</t>
  </si>
  <si>
    <t>S-00712</t>
  </si>
  <si>
    <t>P-100712</t>
  </si>
  <si>
    <t>S-00713</t>
  </si>
  <si>
    <t>P-100713</t>
  </si>
  <si>
    <t>S-00714</t>
  </si>
  <si>
    <t>P-100714</t>
  </si>
  <si>
    <t>S-00715</t>
  </si>
  <si>
    <t>P-100715</t>
  </si>
  <si>
    <t>S-00716</t>
  </si>
  <si>
    <t>P-100716</t>
  </si>
  <si>
    <t>S-00717</t>
  </si>
  <si>
    <t>P-100717</t>
  </si>
  <si>
    <t>S-00718</t>
  </si>
  <si>
    <t>P-100718</t>
  </si>
  <si>
    <t>S-00719</t>
  </si>
  <si>
    <t>P-100719</t>
  </si>
  <si>
    <t>S-00720</t>
  </si>
  <si>
    <t>P-100720</t>
  </si>
  <si>
    <t>S-00721</t>
  </si>
  <si>
    <t>P-100721</t>
  </si>
  <si>
    <t>S-00722</t>
  </si>
  <si>
    <t>P-100722</t>
  </si>
  <si>
    <t>S-00723</t>
  </si>
  <si>
    <t>P-100723</t>
  </si>
  <si>
    <t>S-00724</t>
  </si>
  <si>
    <t>P-100724</t>
  </si>
  <si>
    <t>S-00725</t>
  </si>
  <si>
    <t>P-100725</t>
  </si>
  <si>
    <t>S-00726</t>
  </si>
  <si>
    <t>P-100726</t>
  </si>
  <si>
    <t>S-00727</t>
  </si>
  <si>
    <t>P-100727</t>
  </si>
  <si>
    <t>S-00728</t>
  </si>
  <si>
    <t>P-100728</t>
  </si>
  <si>
    <t>S-00729</t>
  </si>
  <si>
    <t>P-100729</t>
  </si>
  <si>
    <t>S-00730</t>
  </si>
  <si>
    <t>P-100730</t>
  </si>
  <si>
    <t>S-00731</t>
  </si>
  <si>
    <t>P-100731</t>
  </si>
  <si>
    <t>S-00732</t>
  </si>
  <si>
    <t>P-100732</t>
  </si>
  <si>
    <t>S-00733</t>
  </si>
  <si>
    <t>P-100733</t>
  </si>
  <si>
    <t>S-00734</t>
  </si>
  <si>
    <t>P-100734</t>
  </si>
  <si>
    <t>S-00735</t>
  </si>
  <si>
    <t>P-100735</t>
  </si>
  <si>
    <t>S-00736</t>
  </si>
  <si>
    <t>P-100736</t>
  </si>
  <si>
    <t>S-00737</t>
  </si>
  <si>
    <t>P-100737</t>
  </si>
  <si>
    <t>S-00738</t>
  </si>
  <si>
    <t>P-100738</t>
  </si>
  <si>
    <t>S-00739</t>
  </si>
  <si>
    <t>P-100739</t>
  </si>
  <si>
    <t>S-00740</t>
  </si>
  <si>
    <t>P-100740</t>
  </si>
  <si>
    <t>S-00741</t>
  </si>
  <si>
    <t>P-100741</t>
  </si>
  <si>
    <t>S-00742</t>
  </si>
  <si>
    <t>P-100742</t>
  </si>
  <si>
    <t>S-00743</t>
  </si>
  <si>
    <t>P-100743</t>
  </si>
  <si>
    <t>S-00744</t>
  </si>
  <si>
    <t>P-100744</t>
  </si>
  <si>
    <t>S-00745</t>
  </si>
  <si>
    <t>P-100745</t>
  </si>
  <si>
    <t>S-00746</t>
  </si>
  <si>
    <t>P-100746</t>
  </si>
  <si>
    <t>S-00747</t>
  </si>
  <si>
    <t>P-100747</t>
  </si>
  <si>
    <t>S-00748</t>
  </si>
  <si>
    <t>P-100748</t>
  </si>
  <si>
    <t>S-00749</t>
  </si>
  <si>
    <t>P-100749</t>
  </si>
  <si>
    <t>S-00750</t>
  </si>
  <si>
    <t>P-100750</t>
  </si>
  <si>
    <t>S-00751</t>
  </si>
  <si>
    <t>P-100751</t>
  </si>
  <si>
    <t>S-00752</t>
  </si>
  <si>
    <t>P-100752</t>
  </si>
  <si>
    <t>S-00753</t>
  </si>
  <si>
    <t>P-100753</t>
  </si>
  <si>
    <t>S-00754</t>
  </si>
  <si>
    <t>P-100754</t>
  </si>
  <si>
    <t>S-00755</t>
  </si>
  <si>
    <t>P-100755</t>
  </si>
  <si>
    <t>S-00756</t>
  </si>
  <si>
    <t>P-100756</t>
  </si>
  <si>
    <t>S-00757</t>
  </si>
  <si>
    <t>P-100757</t>
  </si>
  <si>
    <t>S-00758</t>
  </si>
  <si>
    <t>P-100758</t>
  </si>
  <si>
    <t>S-00759</t>
  </si>
  <si>
    <t>P-100759</t>
  </si>
  <si>
    <t>S-00760</t>
  </si>
  <si>
    <t>P-100760</t>
  </si>
  <si>
    <t>S-00761</t>
  </si>
  <si>
    <t>P-100761</t>
  </si>
  <si>
    <t>S-00762</t>
  </si>
  <si>
    <t>P-100762</t>
  </si>
  <si>
    <t>S-00763</t>
  </si>
  <si>
    <t>P-100763</t>
  </si>
  <si>
    <t>S-00764</t>
  </si>
  <si>
    <t>P-100764</t>
  </si>
  <si>
    <t>S-00765</t>
  </si>
  <si>
    <t>P-100765</t>
  </si>
  <si>
    <t>S-00766</t>
  </si>
  <si>
    <t>P-100766</t>
  </si>
  <si>
    <t>S-00767</t>
  </si>
  <si>
    <t>P-100767</t>
  </si>
  <si>
    <t>S-00768</t>
  </si>
  <si>
    <t>P-100768</t>
  </si>
  <si>
    <t>S-00769</t>
  </si>
  <si>
    <t>P-100769</t>
  </si>
  <si>
    <t>S-00770</t>
  </si>
  <si>
    <t>P-100770</t>
  </si>
  <si>
    <t>S-00771</t>
  </si>
  <si>
    <t>P-100771</t>
  </si>
  <si>
    <t>S-00772</t>
  </si>
  <si>
    <t>P-100772</t>
  </si>
  <si>
    <t>S-00773</t>
  </si>
  <si>
    <t>P-100773</t>
  </si>
  <si>
    <t>S-00774</t>
  </si>
  <si>
    <t>P-100774</t>
  </si>
  <si>
    <t>S-00775</t>
  </si>
  <si>
    <t>P-100775</t>
  </si>
  <si>
    <t>S-00776</t>
  </si>
  <si>
    <t>P-100776</t>
  </si>
  <si>
    <t>S-00777</t>
  </si>
  <si>
    <t>P-100777</t>
  </si>
  <si>
    <t>S-00778</t>
  </si>
  <si>
    <t>P-100778</t>
  </si>
  <si>
    <t>S-00779</t>
  </si>
  <si>
    <t>P-100779</t>
  </si>
  <si>
    <t>S-00780</t>
  </si>
  <si>
    <t>P-100780</t>
  </si>
  <si>
    <t>S-00781</t>
  </si>
  <si>
    <t>P-100781</t>
  </si>
  <si>
    <t>S-00782</t>
  </si>
  <si>
    <t>P-100782</t>
  </si>
  <si>
    <t>S-00783</t>
  </si>
  <si>
    <t>P-100783</t>
  </si>
  <si>
    <t>S-00784</t>
  </si>
  <si>
    <t>P-100784</t>
  </si>
  <si>
    <t>S-00785</t>
  </si>
  <si>
    <t>P-100785</t>
  </si>
  <si>
    <t>S-00786</t>
  </si>
  <si>
    <t>P-100786</t>
  </si>
  <si>
    <t>S-00787</t>
  </si>
  <si>
    <t>P-100787</t>
  </si>
  <si>
    <t>S-00788</t>
  </si>
  <si>
    <t>P-100788</t>
  </si>
  <si>
    <t>S-00789</t>
  </si>
  <si>
    <t>P-100789</t>
  </si>
  <si>
    <t>S-00790</t>
  </si>
  <si>
    <t>P-100790</t>
  </si>
  <si>
    <t>S-00791</t>
  </si>
  <si>
    <t>P-100791</t>
  </si>
  <si>
    <t>S-00792</t>
  </si>
  <si>
    <t>P-100792</t>
  </si>
  <si>
    <t>S-00793</t>
  </si>
  <si>
    <t>P-100793</t>
  </si>
  <si>
    <t>S-00794</t>
  </si>
  <si>
    <t>P-100794</t>
  </si>
  <si>
    <t>S-00795</t>
  </si>
  <si>
    <t>P-100795</t>
  </si>
  <si>
    <t>S-00796</t>
  </si>
  <si>
    <t>P-100796</t>
  </si>
  <si>
    <t>S-00797</t>
  </si>
  <si>
    <t>P-100797</t>
  </si>
  <si>
    <t>S-00798</t>
  </si>
  <si>
    <t>P-100798</t>
  </si>
  <si>
    <t>S-00799</t>
  </si>
  <si>
    <t>P-100799</t>
  </si>
  <si>
    <t>S-00800</t>
  </si>
  <si>
    <t>P-100800</t>
  </si>
  <si>
    <t>S-00801</t>
  </si>
  <si>
    <t>P-100801</t>
  </si>
  <si>
    <t>S-00802</t>
  </si>
  <si>
    <t>P-100802</t>
  </si>
  <si>
    <t>S-00803</t>
  </si>
  <si>
    <t>P-100803</t>
  </si>
  <si>
    <t>S-00804</t>
  </si>
  <si>
    <t>P-100804</t>
  </si>
  <si>
    <t>S-00805</t>
  </si>
  <si>
    <t>P-100805</t>
  </si>
  <si>
    <t>S-00806</t>
  </si>
  <si>
    <t>P-100806</t>
  </si>
  <si>
    <t>S-00807</t>
  </si>
  <si>
    <t>P-100807</t>
  </si>
  <si>
    <t>S-00808</t>
  </si>
  <si>
    <t>P-100808</t>
  </si>
  <si>
    <t>S-00809</t>
  </si>
  <si>
    <t>P-100809</t>
  </si>
  <si>
    <t>S-00810</t>
  </si>
  <si>
    <t>P-100810</t>
  </si>
  <si>
    <t>S-00811</t>
  </si>
  <si>
    <t>P-100811</t>
  </si>
  <si>
    <t>S-00812</t>
  </si>
  <si>
    <t>P-100812</t>
  </si>
  <si>
    <t>S-00813</t>
  </si>
  <si>
    <t>P-100813</t>
  </si>
  <si>
    <t>S-00814</t>
  </si>
  <si>
    <t>P-100814</t>
  </si>
  <si>
    <t>S-00815</t>
  </si>
  <si>
    <t>P-100815</t>
  </si>
  <si>
    <t>S-00816</t>
  </si>
  <si>
    <t>P-100816</t>
  </si>
  <si>
    <t>S-00817</t>
  </si>
  <si>
    <t>P-100817</t>
  </si>
  <si>
    <t>S-00818</t>
  </si>
  <si>
    <t>P-100818</t>
  </si>
  <si>
    <t>S-00819</t>
  </si>
  <si>
    <t>P-100819</t>
  </si>
  <si>
    <t>S-00820</t>
  </si>
  <si>
    <t>P-100820</t>
  </si>
  <si>
    <t>S-00821</t>
  </si>
  <si>
    <t>P-100821</t>
  </si>
  <si>
    <t>S-00822</t>
  </si>
  <si>
    <t>P-100822</t>
  </si>
  <si>
    <t>S-00823</t>
  </si>
  <si>
    <t>P-100823</t>
  </si>
  <si>
    <t>S-00824</t>
  </si>
  <si>
    <t>P-100824</t>
  </si>
  <si>
    <t>S-00825</t>
  </si>
  <si>
    <t>P-100825</t>
  </si>
  <si>
    <t>S-00826</t>
  </si>
  <si>
    <t>P-100826</t>
  </si>
  <si>
    <t>S-00827</t>
  </si>
  <si>
    <t>P-100827</t>
  </si>
  <si>
    <t>S-00828</t>
  </si>
  <si>
    <t>P-100828</t>
  </si>
  <si>
    <t>S-00829</t>
  </si>
  <si>
    <t>P-100829</t>
  </si>
  <si>
    <t>S-00830</t>
  </si>
  <si>
    <t>P-100830</t>
  </si>
  <si>
    <t>S-00831</t>
  </si>
  <si>
    <t>P-100831</t>
  </si>
  <si>
    <t>S-00832</t>
  </si>
  <si>
    <t>P-100832</t>
  </si>
  <si>
    <t>S-00833</t>
  </si>
  <si>
    <t>P-100833</t>
  </si>
  <si>
    <t>S-00834</t>
  </si>
  <si>
    <t>P-100834</t>
  </si>
  <si>
    <t>S-00835</t>
  </si>
  <si>
    <t>P-100835</t>
  </si>
  <si>
    <t>S-00836</t>
  </si>
  <si>
    <t>P-100836</t>
  </si>
  <si>
    <t>S-00837</t>
  </si>
  <si>
    <t>P-100837</t>
  </si>
  <si>
    <t>S-00838</t>
  </si>
  <si>
    <t>P-100838</t>
  </si>
  <si>
    <t>S-00839</t>
  </si>
  <si>
    <t>P-100839</t>
  </si>
  <si>
    <t>S-00840</t>
  </si>
  <si>
    <t>P-100840</t>
  </si>
  <si>
    <t>S-00841</t>
  </si>
  <si>
    <t>P-100841</t>
  </si>
  <si>
    <t>S-00842</t>
  </si>
  <si>
    <t>P-100842</t>
  </si>
  <si>
    <t>S-00843</t>
  </si>
  <si>
    <t>P-100843</t>
  </si>
  <si>
    <t>S-00844</t>
  </si>
  <si>
    <t>P-100844</t>
  </si>
  <si>
    <t>S-00845</t>
  </si>
  <si>
    <t>P-100845</t>
  </si>
  <si>
    <t>S-00846</t>
  </si>
  <si>
    <t>P-100846</t>
  </si>
  <si>
    <t>S-00847</t>
  </si>
  <si>
    <t>P-100847</t>
  </si>
  <si>
    <t>S-00848</t>
  </si>
  <si>
    <t>P-100848</t>
  </si>
  <si>
    <t>S-00849</t>
  </si>
  <si>
    <t>P-100849</t>
  </si>
  <si>
    <t>S-00850</t>
  </si>
  <si>
    <t>P-100850</t>
  </si>
  <si>
    <t>S-00851</t>
  </si>
  <si>
    <t>P-100851</t>
  </si>
  <si>
    <t>S-00852</t>
  </si>
  <si>
    <t>P-100852</t>
  </si>
  <si>
    <t>S-00853</t>
  </si>
  <si>
    <t>P-100853</t>
  </si>
  <si>
    <t>S-00854</t>
  </si>
  <si>
    <t>P-100854</t>
  </si>
  <si>
    <t>S-00855</t>
  </si>
  <si>
    <t>P-100855</t>
  </si>
  <si>
    <t>S-00856</t>
  </si>
  <si>
    <t>P-100856</t>
  </si>
  <si>
    <t>S-00857</t>
  </si>
  <si>
    <t>P-100857</t>
  </si>
  <si>
    <t>S-00858</t>
  </si>
  <si>
    <t>P-100858</t>
  </si>
  <si>
    <t>S-00859</t>
  </si>
  <si>
    <t>P-100859</t>
  </si>
  <si>
    <t>S-00860</t>
  </si>
  <si>
    <t>P-100860</t>
  </si>
  <si>
    <t>S-00861</t>
  </si>
  <si>
    <t>P-100861</t>
  </si>
  <si>
    <t>S-00862</t>
  </si>
  <si>
    <t>P-100862</t>
  </si>
  <si>
    <t>S-00863</t>
  </si>
  <si>
    <t>P-100863</t>
  </si>
  <si>
    <t>S-00864</t>
  </si>
  <si>
    <t>P-100864</t>
  </si>
  <si>
    <t>S-00865</t>
  </si>
  <si>
    <t>P-100865</t>
  </si>
  <si>
    <t>S-00866</t>
  </si>
  <si>
    <t>P-100866</t>
  </si>
  <si>
    <t>S-00867</t>
  </si>
  <si>
    <t>P-100867</t>
  </si>
  <si>
    <t>S-00868</t>
  </si>
  <si>
    <t>P-100868</t>
  </si>
  <si>
    <t>S-00869</t>
  </si>
  <si>
    <t>P-100869</t>
  </si>
  <si>
    <t>S-00870</t>
  </si>
  <si>
    <t>P-100870</t>
  </si>
  <si>
    <t>S-00871</t>
  </si>
  <si>
    <t>P-100871</t>
  </si>
  <si>
    <t>S-00872</t>
  </si>
  <si>
    <t>P-100872</t>
  </si>
  <si>
    <t>S-00873</t>
  </si>
  <si>
    <t>P-100873</t>
  </si>
  <si>
    <t>S-00874</t>
  </si>
  <si>
    <t>P-100874</t>
  </si>
  <si>
    <t>S-00875</t>
  </si>
  <si>
    <t>P-100875</t>
  </si>
  <si>
    <t>S-00876</t>
  </si>
  <si>
    <t>P-100876</t>
  </si>
  <si>
    <t>S-00877</t>
  </si>
  <si>
    <t>P-100877</t>
  </si>
  <si>
    <t>S-00878</t>
  </si>
  <si>
    <t>P-100878</t>
  </si>
  <si>
    <t>S-00879</t>
  </si>
  <si>
    <t>P-100879</t>
  </si>
  <si>
    <t>S-00880</t>
  </si>
  <si>
    <t>P-100880</t>
  </si>
  <si>
    <t>S-00881</t>
  </si>
  <si>
    <t>P-100881</t>
  </si>
  <si>
    <t>S-00882</t>
  </si>
  <si>
    <t>P-100882</t>
  </si>
  <si>
    <t>S-00883</t>
  </si>
  <si>
    <t>P-100883</t>
  </si>
  <si>
    <t>S-00884</t>
  </si>
  <si>
    <t>P-100884</t>
  </si>
  <si>
    <t>S-00885</t>
  </si>
  <si>
    <t>P-100885</t>
  </si>
  <si>
    <t>S-00886</t>
  </si>
  <si>
    <t>P-100886</t>
  </si>
  <si>
    <t>S-00887</t>
  </si>
  <si>
    <t>P-100887</t>
  </si>
  <si>
    <t>S-00888</t>
  </si>
  <si>
    <t>P-100888</t>
  </si>
  <si>
    <t>S-00889</t>
  </si>
  <si>
    <t>P-100889</t>
  </si>
  <si>
    <t>S-00890</t>
  </si>
  <si>
    <t>P-100890</t>
  </si>
  <si>
    <t>S-00891</t>
  </si>
  <si>
    <t>P-100891</t>
  </si>
  <si>
    <t>S-00892</t>
  </si>
  <si>
    <t>P-100892</t>
  </si>
  <si>
    <t>S-00893</t>
  </si>
  <si>
    <t>P-100893</t>
  </si>
  <si>
    <t>S-00894</t>
  </si>
  <si>
    <t>P-100894</t>
  </si>
  <si>
    <t>S-00895</t>
  </si>
  <si>
    <t>P-100895</t>
  </si>
  <si>
    <t>S-00896</t>
  </si>
  <si>
    <t>P-100896</t>
  </si>
  <si>
    <t>S-00897</t>
  </si>
  <si>
    <t>P-100897</t>
  </si>
  <si>
    <t>S-00898</t>
  </si>
  <si>
    <t>P-100898</t>
  </si>
  <si>
    <t>S-00899</t>
  </si>
  <si>
    <t>P-100899</t>
  </si>
  <si>
    <t>S-00900</t>
  </si>
  <si>
    <t>P-100900</t>
  </si>
  <si>
    <t>S-00901</t>
  </si>
  <si>
    <t>P-100901</t>
  </si>
  <si>
    <t>S-00902</t>
  </si>
  <si>
    <t>P-100902</t>
  </si>
  <si>
    <t>S-00903</t>
  </si>
  <si>
    <t>P-100903</t>
  </si>
  <si>
    <t>S-00904</t>
  </si>
  <si>
    <t>P-100904</t>
  </si>
  <si>
    <t>S-00905</t>
  </si>
  <si>
    <t>P-100905</t>
  </si>
  <si>
    <t>S-00906</t>
  </si>
  <si>
    <t>P-100906</t>
  </si>
  <si>
    <t>S-00907</t>
  </si>
  <si>
    <t>P-100907</t>
  </si>
  <si>
    <t>S-00908</t>
  </si>
  <si>
    <t>P-100908</t>
  </si>
  <si>
    <t>S-00909</t>
  </si>
  <si>
    <t>P-100909</t>
  </si>
  <si>
    <t>S-00910</t>
  </si>
  <si>
    <t>P-100910</t>
  </si>
  <si>
    <t>S-00911</t>
  </si>
  <si>
    <t>P-100911</t>
  </si>
  <si>
    <t>S-00912</t>
  </si>
  <si>
    <t>P-100912</t>
  </si>
  <si>
    <t>S-00913</t>
  </si>
  <si>
    <t>P-100913</t>
  </si>
  <si>
    <t>S-00914</t>
  </si>
  <si>
    <t>P-100914</t>
  </si>
  <si>
    <t>S-00915</t>
  </si>
  <si>
    <t>P-100915</t>
  </si>
  <si>
    <t>S-00916</t>
  </si>
  <si>
    <t>P-100916</t>
  </si>
  <si>
    <t>S-00917</t>
  </si>
  <si>
    <t>P-100917</t>
  </si>
  <si>
    <t>S-00918</t>
  </si>
  <si>
    <t>P-100918</t>
  </si>
  <si>
    <t>S-00919</t>
  </si>
  <si>
    <t>P-100919</t>
  </si>
  <si>
    <t>S-00920</t>
  </si>
  <si>
    <t>P-100920</t>
  </si>
  <si>
    <t>S-00921</t>
  </si>
  <si>
    <t>P-100921</t>
  </si>
  <si>
    <t>S-00922</t>
  </si>
  <si>
    <t>P-100922</t>
  </si>
  <si>
    <t>S-00923</t>
  </si>
  <si>
    <t>P-100923</t>
  </si>
  <si>
    <t>S-00924</t>
  </si>
  <si>
    <t>P-100924</t>
  </si>
  <si>
    <t>S-00925</t>
  </si>
  <si>
    <t>P-100925</t>
  </si>
  <si>
    <t>S-00926</t>
  </si>
  <si>
    <t>P-100926</t>
  </si>
  <si>
    <t>S-00927</t>
  </si>
  <si>
    <t>P-100927</t>
  </si>
  <si>
    <t>S-00928</t>
  </si>
  <si>
    <t>P-100928</t>
  </si>
  <si>
    <t>S-00929</t>
  </si>
  <si>
    <t>P-100929</t>
  </si>
  <si>
    <t>S-00930</t>
  </si>
  <si>
    <t>P-100930</t>
  </si>
  <si>
    <t>S-00931</t>
  </si>
  <si>
    <t>P-100931</t>
  </si>
  <si>
    <t>S-00932</t>
  </si>
  <si>
    <t>P-100932</t>
  </si>
  <si>
    <t>S-00933</t>
  </si>
  <si>
    <t>P-100933</t>
  </si>
  <si>
    <t>S-00934</t>
  </si>
  <si>
    <t>P-100934</t>
  </si>
  <si>
    <t>S-00935</t>
  </si>
  <si>
    <t>P-100935</t>
  </si>
  <si>
    <t>S-00936</t>
  </si>
  <si>
    <t>P-100936</t>
  </si>
  <si>
    <t>S-00937</t>
  </si>
  <si>
    <t>P-100937</t>
  </si>
  <si>
    <t>S-00938</t>
  </si>
  <si>
    <t>P-100938</t>
  </si>
  <si>
    <t>S-00939</t>
  </si>
  <si>
    <t>P-100939</t>
  </si>
  <si>
    <t>S-00940</t>
  </si>
  <si>
    <t>P-100940</t>
  </si>
  <si>
    <t>S-00941</t>
  </si>
  <si>
    <t>P-100941</t>
  </si>
  <si>
    <t>S-00942</t>
  </si>
  <si>
    <t>P-100942</t>
  </si>
  <si>
    <t>S-00943</t>
  </si>
  <si>
    <t>P-100943</t>
  </si>
  <si>
    <t>S-00944</t>
  </si>
  <si>
    <t>P-100944</t>
  </si>
  <si>
    <t>S-00945</t>
  </si>
  <si>
    <t>P-100945</t>
  </si>
  <si>
    <t>S-00946</t>
  </si>
  <si>
    <t>P-100946</t>
  </si>
  <si>
    <t>S-00947</t>
  </si>
  <si>
    <t>P-100947</t>
  </si>
  <si>
    <t>S-00948</t>
  </si>
  <si>
    <t>P-100948</t>
  </si>
  <si>
    <t>S-00949</t>
  </si>
  <si>
    <t>P-100949</t>
  </si>
  <si>
    <t>S-00950</t>
  </si>
  <si>
    <t>P-100950</t>
  </si>
  <si>
    <t>S-00951</t>
  </si>
  <si>
    <t>P-100951</t>
  </si>
  <si>
    <t>S-00952</t>
  </si>
  <si>
    <t>P-100952</t>
  </si>
  <si>
    <t>S-00953</t>
  </si>
  <si>
    <t>P-100953</t>
  </si>
  <si>
    <t>S-00954</t>
  </si>
  <si>
    <t>P-100954</t>
  </si>
  <si>
    <t>S-00955</t>
  </si>
  <si>
    <t>P-100955</t>
  </si>
  <si>
    <t>S-00956</t>
  </si>
  <si>
    <t>P-100956</t>
  </si>
  <si>
    <t>S-00957</t>
  </si>
  <si>
    <t>P-100957</t>
  </si>
  <si>
    <t>S-00958</t>
  </si>
  <si>
    <t>P-100958</t>
  </si>
  <si>
    <t>S-00959</t>
  </si>
  <si>
    <t>P-100959</t>
  </si>
  <si>
    <t>S-00960</t>
  </si>
  <si>
    <t>P-100960</t>
  </si>
  <si>
    <t>S-00961</t>
  </si>
  <si>
    <t>P-100961</t>
  </si>
  <si>
    <t>S-00962</t>
  </si>
  <si>
    <t>P-100962</t>
  </si>
  <si>
    <t>S-00963</t>
  </si>
  <si>
    <t>P-100963</t>
  </si>
  <si>
    <t>S-00964</t>
  </si>
  <si>
    <t>P-100964</t>
  </si>
  <si>
    <t>S-00965</t>
  </si>
  <si>
    <t>P-100965</t>
  </si>
  <si>
    <t>S-00966</t>
  </si>
  <si>
    <t>P-100966</t>
  </si>
  <si>
    <t>S-00967</t>
  </si>
  <si>
    <t>P-100967</t>
  </si>
  <si>
    <t>S-00968</t>
  </si>
  <si>
    <t>P-100968</t>
  </si>
  <si>
    <t>S-00969</t>
  </si>
  <si>
    <t>P-100969</t>
  </si>
  <si>
    <t>S-00970</t>
  </si>
  <si>
    <t>P-100970</t>
  </si>
  <si>
    <t>S-00971</t>
  </si>
  <si>
    <t>P-100971</t>
  </si>
  <si>
    <t>S-00972</t>
  </si>
  <si>
    <t>P-100972</t>
  </si>
  <si>
    <t>S-00973</t>
  </si>
  <si>
    <t>P-100973</t>
  </si>
  <si>
    <t>S-00974</t>
  </si>
  <si>
    <t>P-100974</t>
  </si>
  <si>
    <t>S-00975</t>
  </si>
  <si>
    <t>P-100975</t>
  </si>
  <si>
    <t>S-00976</t>
  </si>
  <si>
    <t>P-100976</t>
  </si>
  <si>
    <t>S-00977</t>
  </si>
  <si>
    <t>P-100977</t>
  </si>
  <si>
    <t>S-00978</t>
  </si>
  <si>
    <t>P-100978</t>
  </si>
  <si>
    <t>S-00979</t>
  </si>
  <si>
    <t>P-100979</t>
  </si>
  <si>
    <t>S-00980</t>
  </si>
  <si>
    <t>P-100980</t>
  </si>
  <si>
    <t>S-00981</t>
  </si>
  <si>
    <t>P-100981</t>
  </si>
  <si>
    <t>S-00982</t>
  </si>
  <si>
    <t>P-100982</t>
  </si>
  <si>
    <t>S-00983</t>
  </si>
  <si>
    <t>P-100983</t>
  </si>
  <si>
    <t>S-00984</t>
  </si>
  <si>
    <t>P-100984</t>
  </si>
  <si>
    <t>S-00985</t>
  </si>
  <si>
    <t>P-100985</t>
  </si>
  <si>
    <t>S-00986</t>
  </si>
  <si>
    <t>P-100986</t>
  </si>
  <si>
    <t>S-00987</t>
  </si>
  <si>
    <t>P-100987</t>
  </si>
  <si>
    <t>S-00988</t>
  </si>
  <si>
    <t>P-100988</t>
  </si>
  <si>
    <t>S-00989</t>
  </si>
  <si>
    <t>P-100989</t>
  </si>
  <si>
    <t>S-00990</t>
  </si>
  <si>
    <t>P-100990</t>
  </si>
  <si>
    <t>S-00991</t>
  </si>
  <si>
    <t>P-100991</t>
  </si>
  <si>
    <t>S-00992</t>
  </si>
  <si>
    <t>P-100992</t>
  </si>
  <si>
    <t>S-00993</t>
  </si>
  <si>
    <t>P-100993</t>
  </si>
  <si>
    <t>S-00994</t>
  </si>
  <si>
    <t>P-100994</t>
  </si>
  <si>
    <t>S-00995</t>
  </si>
  <si>
    <t>P-100995</t>
  </si>
  <si>
    <t>S-00996</t>
  </si>
  <si>
    <t>P-100996</t>
  </si>
  <si>
    <t>S-00997</t>
  </si>
  <si>
    <t>P-100997</t>
  </si>
  <si>
    <t>S-00998</t>
  </si>
  <si>
    <t>P-100998</t>
  </si>
  <si>
    <t>S-00999</t>
  </si>
  <si>
    <t>P-100999</t>
  </si>
  <si>
    <t>S-01000</t>
  </si>
  <si>
    <t>P-101000</t>
  </si>
  <si>
    <t>S-01001</t>
  </si>
  <si>
    <t>P-101001</t>
  </si>
  <si>
    <t>S-01002</t>
  </si>
  <si>
    <t>P-101002</t>
  </si>
  <si>
    <t>S-01003</t>
  </si>
  <si>
    <t>P-101003</t>
  </si>
  <si>
    <t>S-01004</t>
  </si>
  <si>
    <t>P-101004</t>
  </si>
  <si>
    <t>S-01005</t>
  </si>
  <si>
    <t>P-101005</t>
  </si>
  <si>
    <t>S-01006</t>
  </si>
  <si>
    <t>P-101006</t>
  </si>
  <si>
    <t>S-01007</t>
  </si>
  <si>
    <t>P-101007</t>
  </si>
  <si>
    <t>S-01008</t>
  </si>
  <si>
    <t>P-101008</t>
  </si>
  <si>
    <t>S-01009</t>
  </si>
  <si>
    <t>P-101009</t>
  </si>
  <si>
    <t>S-01010</t>
  </si>
  <si>
    <t>P-101010</t>
  </si>
  <si>
    <t>S-01011</t>
  </si>
  <si>
    <t>P-101011</t>
  </si>
  <si>
    <t>S-01012</t>
  </si>
  <si>
    <t>P-101012</t>
  </si>
  <si>
    <t>S-01013</t>
  </si>
  <si>
    <t>P-101013</t>
  </si>
  <si>
    <t>S-01014</t>
  </si>
  <si>
    <t>P-101014</t>
  </si>
  <si>
    <t>S-01015</t>
  </si>
  <si>
    <t>P-101015</t>
  </si>
  <si>
    <t>S-01016</t>
  </si>
  <si>
    <t>P-101016</t>
  </si>
  <si>
    <t>S-01017</t>
  </si>
  <si>
    <t>P-101017</t>
  </si>
  <si>
    <t>S-01018</t>
  </si>
  <si>
    <t>P-101018</t>
  </si>
  <si>
    <t>S-01019</t>
  </si>
  <si>
    <t>P-101019</t>
  </si>
  <si>
    <t>S-01020</t>
  </si>
  <si>
    <t>P-101020</t>
  </si>
  <si>
    <t>S-01021</t>
  </si>
  <si>
    <t>P-101021</t>
  </si>
  <si>
    <t>S-01022</t>
  </si>
  <si>
    <t>P-101022</t>
  </si>
  <si>
    <t>S-01023</t>
  </si>
  <si>
    <t>P-101023</t>
  </si>
  <si>
    <t>S-01024</t>
  </si>
  <si>
    <t>P-101024</t>
  </si>
  <si>
    <t>S-01025</t>
  </si>
  <si>
    <t>P-101025</t>
  </si>
  <si>
    <t>S-01026</t>
  </si>
  <si>
    <t>P-101026</t>
  </si>
  <si>
    <t>S-01027</t>
  </si>
  <si>
    <t>P-101027</t>
  </si>
  <si>
    <t>S-01028</t>
  </si>
  <si>
    <t>P-101028</t>
  </si>
  <si>
    <t>S-01029</t>
  </si>
  <si>
    <t>P-101029</t>
  </si>
  <si>
    <t>S-01030</t>
  </si>
  <si>
    <t>P-101030</t>
  </si>
  <si>
    <t>S-01031</t>
  </si>
  <si>
    <t>P-101031</t>
  </si>
  <si>
    <t>S-01032</t>
  </si>
  <si>
    <t>P-101032</t>
  </si>
  <si>
    <t>S-01033</t>
  </si>
  <si>
    <t>P-101033</t>
  </si>
  <si>
    <t>S-01034</t>
  </si>
  <si>
    <t>P-101034</t>
  </si>
  <si>
    <t>S-01035</t>
  </si>
  <si>
    <t>P-101035</t>
  </si>
  <si>
    <t>S-01036</t>
  </si>
  <si>
    <t>P-101036</t>
  </si>
  <si>
    <t>S-01037</t>
  </si>
  <si>
    <t>P-101037</t>
  </si>
  <si>
    <t>S-01038</t>
  </si>
  <si>
    <t>P-101038</t>
  </si>
  <si>
    <t>S-01039</t>
  </si>
  <si>
    <t>P-101039</t>
  </si>
  <si>
    <t>S-01040</t>
  </si>
  <si>
    <t>P-101040</t>
  </si>
  <si>
    <t>S-01041</t>
  </si>
  <si>
    <t>P-101041</t>
  </si>
  <si>
    <t>S-01042</t>
  </si>
  <si>
    <t>P-101042</t>
  </si>
  <si>
    <t>S-01043</t>
  </si>
  <si>
    <t>P-101043</t>
  </si>
  <si>
    <t>S-01044</t>
  </si>
  <si>
    <t>P-101044</t>
  </si>
  <si>
    <t>S-01045</t>
  </si>
  <si>
    <t>P-101045</t>
  </si>
  <si>
    <t>S-01046</t>
  </si>
  <si>
    <t>P-101046</t>
  </si>
  <si>
    <t>S-01047</t>
  </si>
  <si>
    <t>P-101047</t>
  </si>
  <si>
    <t>S-01048</t>
  </si>
  <si>
    <t>P-101048</t>
  </si>
  <si>
    <t>S-01049</t>
  </si>
  <si>
    <t>P-101049</t>
  </si>
  <si>
    <t>S-01050</t>
  </si>
  <si>
    <t>P-101050</t>
  </si>
  <si>
    <t>S-01051</t>
  </si>
  <si>
    <t>P-101051</t>
  </si>
  <si>
    <t>S-01052</t>
  </si>
  <si>
    <t>P-101052</t>
  </si>
  <si>
    <t>S-01053</t>
  </si>
  <si>
    <t>P-101053</t>
  </si>
  <si>
    <t>S-01054</t>
  </si>
  <si>
    <t>P-101054</t>
  </si>
  <si>
    <t>S-01055</t>
  </si>
  <si>
    <t>P-101055</t>
  </si>
  <si>
    <t>S-01056</t>
  </si>
  <si>
    <t>P-101056</t>
  </si>
  <si>
    <t>S-01057</t>
  </si>
  <si>
    <t>P-101057</t>
  </si>
  <si>
    <t>S-01058</t>
  </si>
  <si>
    <t>P-101058</t>
  </si>
  <si>
    <t>S-01059</t>
  </si>
  <si>
    <t>P-101059</t>
  </si>
  <si>
    <t>S-01060</t>
  </si>
  <si>
    <t>P-101060</t>
  </si>
  <si>
    <t>S-01061</t>
  </si>
  <si>
    <t>P-101061</t>
  </si>
  <si>
    <t>S-01062</t>
  </si>
  <si>
    <t>P-101062</t>
  </si>
  <si>
    <t>S-01063</t>
  </si>
  <si>
    <t>P-101063</t>
  </si>
  <si>
    <t>S-01064</t>
  </si>
  <si>
    <t>P-101064</t>
  </si>
  <si>
    <t>S-01065</t>
  </si>
  <si>
    <t>P-101065</t>
  </si>
  <si>
    <t>S-01066</t>
  </si>
  <si>
    <t>P-101066</t>
  </si>
  <si>
    <t>S-01067</t>
  </si>
  <si>
    <t>P-101067</t>
  </si>
  <si>
    <t>S-01068</t>
  </si>
  <si>
    <t>P-101068</t>
  </si>
  <si>
    <t>S-01069</t>
  </si>
  <si>
    <t>P-101069</t>
  </si>
  <si>
    <t>S-01070</t>
  </si>
  <si>
    <t>P-101070</t>
  </si>
  <si>
    <t>S-01071</t>
  </si>
  <si>
    <t>P-101071</t>
  </si>
  <si>
    <t>S-01072</t>
  </si>
  <si>
    <t>P-101072</t>
  </si>
  <si>
    <t>S-01073</t>
  </si>
  <si>
    <t>P-101073</t>
  </si>
  <si>
    <t>S-01074</t>
  </si>
  <si>
    <t>P-101074</t>
  </si>
  <si>
    <t>S-01075</t>
  </si>
  <si>
    <t>P-101075</t>
  </si>
  <si>
    <t>S-01076</t>
  </si>
  <si>
    <t>P-101076</t>
  </si>
  <si>
    <t>S-01077</t>
  </si>
  <si>
    <t>P-101077</t>
  </si>
  <si>
    <t>S-01078</t>
  </si>
  <si>
    <t>P-101078</t>
  </si>
  <si>
    <t>S-01079</t>
  </si>
  <si>
    <t>P-101079</t>
  </si>
  <si>
    <t>S-01080</t>
  </si>
  <si>
    <t>P-101080</t>
  </si>
  <si>
    <t>S-01081</t>
  </si>
  <si>
    <t>P-101081</t>
  </si>
  <si>
    <t>S-01082</t>
  </si>
  <si>
    <t>P-101082</t>
  </si>
  <si>
    <t>S-01083</t>
  </si>
  <si>
    <t>P-101083</t>
  </si>
  <si>
    <t>S-01084</t>
  </si>
  <si>
    <t>P-101084</t>
  </si>
  <si>
    <t>S-01085</t>
  </si>
  <si>
    <t>P-101085</t>
  </si>
  <si>
    <t>S-01086</t>
  </si>
  <si>
    <t>P-101086</t>
  </si>
  <si>
    <t>S-01087</t>
  </si>
  <si>
    <t>P-101087</t>
  </si>
  <si>
    <t>S-01088</t>
  </si>
  <si>
    <t>P-101088</t>
  </si>
  <si>
    <t>S-01089</t>
  </si>
  <si>
    <t>P-101089</t>
  </si>
  <si>
    <t>S-01090</t>
  </si>
  <si>
    <t>P-101090</t>
  </si>
  <si>
    <t>S-01091</t>
  </si>
  <si>
    <t>P-101091</t>
  </si>
  <si>
    <t>S-01092</t>
  </si>
  <si>
    <t>P-101092</t>
  </si>
  <si>
    <t>S-01093</t>
  </si>
  <si>
    <t>P-101093</t>
  </si>
  <si>
    <t>S-01094</t>
  </si>
  <si>
    <t>P-101094</t>
  </si>
  <si>
    <t>S-01095</t>
  </si>
  <si>
    <t>P-101095</t>
  </si>
  <si>
    <t>S-01096</t>
  </si>
  <si>
    <t>P-101096</t>
  </si>
  <si>
    <t>S-01097</t>
  </si>
  <si>
    <t>P-101097</t>
  </si>
  <si>
    <t>S-01098</t>
  </si>
  <si>
    <t>P-101098</t>
  </si>
  <si>
    <t>S-01099</t>
  </si>
  <si>
    <t>P-101099</t>
  </si>
  <si>
    <t>S-01100</t>
  </si>
  <si>
    <t>P-101100</t>
  </si>
  <si>
    <t>S-01101</t>
  </si>
  <si>
    <t>P-101101</t>
  </si>
  <si>
    <t>S-01102</t>
  </si>
  <si>
    <t>P-101102</t>
  </si>
  <si>
    <t>S-01103</t>
  </si>
  <si>
    <t>P-101103</t>
  </si>
  <si>
    <t>S-01104</t>
  </si>
  <si>
    <t>P-101104</t>
  </si>
  <si>
    <t>S-01105</t>
  </si>
  <si>
    <t>P-101105</t>
  </si>
  <si>
    <t>S-01106</t>
  </si>
  <si>
    <t>P-101106</t>
  </si>
  <si>
    <t>S-01107</t>
  </si>
  <si>
    <t>P-101107</t>
  </si>
  <si>
    <t>S-01108</t>
  </si>
  <si>
    <t>P-101108</t>
  </si>
  <si>
    <t>S-01109</t>
  </si>
  <si>
    <t>P-101109</t>
  </si>
  <si>
    <t>S-01110</t>
  </si>
  <si>
    <t>P-101110</t>
  </si>
  <si>
    <t>S-01111</t>
  </si>
  <si>
    <t>P-101111</t>
  </si>
  <si>
    <t>S-01112</t>
  </si>
  <si>
    <t>P-101112</t>
  </si>
  <si>
    <t>S-01113</t>
  </si>
  <si>
    <t>P-101113</t>
  </si>
  <si>
    <t>S-01114</t>
  </si>
  <si>
    <t>P-101114</t>
  </si>
  <si>
    <t>S-01115</t>
  </si>
  <si>
    <t>P-101115</t>
  </si>
  <si>
    <t>S-01116</t>
  </si>
  <si>
    <t>P-101116</t>
  </si>
  <si>
    <t>S-01117</t>
  </si>
  <si>
    <t>P-101117</t>
  </si>
  <si>
    <t>S-01118</t>
  </si>
  <si>
    <t>P-101118</t>
  </si>
  <si>
    <t>S-01119</t>
  </si>
  <si>
    <t>P-101119</t>
  </si>
  <si>
    <t>S-01120</t>
  </si>
  <si>
    <t>P-101120</t>
  </si>
  <si>
    <t>S-01121</t>
  </si>
  <si>
    <t>P-101121</t>
  </si>
  <si>
    <t>S-01122</t>
  </si>
  <si>
    <t>P-101122</t>
  </si>
  <si>
    <t>S-01123</t>
  </si>
  <si>
    <t>P-101123</t>
  </si>
  <si>
    <t>S-01124</t>
  </si>
  <si>
    <t>P-101124</t>
  </si>
  <si>
    <t>S-01125</t>
  </si>
  <si>
    <t>P-101125</t>
  </si>
  <si>
    <t>S-01126</t>
  </si>
  <si>
    <t>P-101126</t>
  </si>
  <si>
    <t>S-01127</t>
  </si>
  <si>
    <t>P-101127</t>
  </si>
  <si>
    <t>S-01128</t>
  </si>
  <si>
    <t>P-101128</t>
  </si>
  <si>
    <t>S-01129</t>
  </si>
  <si>
    <t>P-101129</t>
  </si>
  <si>
    <t>S-01130</t>
  </si>
  <si>
    <t>P-101130</t>
  </si>
  <si>
    <t>S-01131</t>
  </si>
  <si>
    <t>P-101131</t>
  </si>
  <si>
    <t>S-01132</t>
  </si>
  <si>
    <t>P-101132</t>
  </si>
  <si>
    <t>S-01133</t>
  </si>
  <si>
    <t>P-101133</t>
  </si>
  <si>
    <t>S-01134</t>
  </si>
  <si>
    <t>P-101134</t>
  </si>
  <si>
    <t>S-01135</t>
  </si>
  <si>
    <t>P-101135</t>
  </si>
  <si>
    <t>S-01136</t>
  </si>
  <si>
    <t>P-101136</t>
  </si>
  <si>
    <t>S-01137</t>
  </si>
  <si>
    <t>P-101137</t>
  </si>
  <si>
    <t>S-01138</t>
  </si>
  <si>
    <t>P-101138</t>
  </si>
  <si>
    <t>S-01139</t>
  </si>
  <si>
    <t>P-101139</t>
  </si>
  <si>
    <t>S-01140</t>
  </si>
  <si>
    <t>P-101140</t>
  </si>
  <si>
    <t>S-01141</t>
  </si>
  <si>
    <t>P-101141</t>
  </si>
  <si>
    <t>S-01142</t>
  </si>
  <si>
    <t>P-101142</t>
  </si>
  <si>
    <t>S-01143</t>
  </si>
  <si>
    <t>P-101143</t>
  </si>
  <si>
    <t>S-01144</t>
  </si>
  <si>
    <t>P-101144</t>
  </si>
  <si>
    <t>S-01145</t>
  </si>
  <si>
    <t>P-101145</t>
  </si>
  <si>
    <t>S-01146</t>
  </si>
  <si>
    <t>P-101146</t>
  </si>
  <si>
    <t>S-01147</t>
  </si>
  <si>
    <t>P-101147</t>
  </si>
  <si>
    <t>S-01148</t>
  </si>
  <si>
    <t>P-101148</t>
  </si>
  <si>
    <t>S-01149</t>
  </si>
  <si>
    <t>P-101149</t>
  </si>
  <si>
    <t>S-01150</t>
  </si>
  <si>
    <t>P-101150</t>
  </si>
  <si>
    <t>S-01151</t>
  </si>
  <si>
    <t>P-101151</t>
  </si>
  <si>
    <t>S-01152</t>
  </si>
  <si>
    <t>P-101152</t>
  </si>
  <si>
    <t>S-01153</t>
  </si>
  <si>
    <t>P-101153</t>
  </si>
  <si>
    <t>S-01154</t>
  </si>
  <si>
    <t>P-101154</t>
  </si>
  <si>
    <t>S-01155</t>
  </si>
  <si>
    <t>P-101155</t>
  </si>
  <si>
    <t>S-01156</t>
  </si>
  <si>
    <t>P-101156</t>
  </si>
  <si>
    <t>S-01157</t>
  </si>
  <si>
    <t>P-101157</t>
  </si>
  <si>
    <t>S-01158</t>
  </si>
  <si>
    <t>P-101158</t>
  </si>
  <si>
    <t>S-01159</t>
  </si>
  <si>
    <t>P-101159</t>
  </si>
  <si>
    <t>S-01160</t>
  </si>
  <si>
    <t>P-101160</t>
  </si>
  <si>
    <t>S-01161</t>
  </si>
  <si>
    <t>P-101161</t>
  </si>
  <si>
    <t>S-01162</t>
  </si>
  <si>
    <t>P-101162</t>
  </si>
  <si>
    <t>S-01163</t>
  </si>
  <si>
    <t>P-101163</t>
  </si>
  <si>
    <t>S-01164</t>
  </si>
  <si>
    <t>P-101164</t>
  </si>
  <si>
    <t>S-01165</t>
  </si>
  <si>
    <t>P-101165</t>
  </si>
  <si>
    <t>S-01166</t>
  </si>
  <si>
    <t>P-101166</t>
  </si>
  <si>
    <t>S-01167</t>
  </si>
  <si>
    <t>P-101167</t>
  </si>
  <si>
    <t>S-01168</t>
  </si>
  <si>
    <t>P-101168</t>
  </si>
  <si>
    <t>S-01169</t>
  </si>
  <si>
    <t>P-101169</t>
  </si>
  <si>
    <t>S-01170</t>
  </si>
  <si>
    <t>P-101170</t>
  </si>
  <si>
    <t>S-01171</t>
  </si>
  <si>
    <t>P-101171</t>
  </si>
  <si>
    <t>S-01172</t>
  </si>
  <si>
    <t>P-101172</t>
  </si>
  <si>
    <t>S-01173</t>
  </si>
  <si>
    <t>P-101173</t>
  </si>
  <si>
    <t>S-01174</t>
  </si>
  <si>
    <t>P-101174</t>
  </si>
  <si>
    <t>S-01175</t>
  </si>
  <si>
    <t>P-101175</t>
  </si>
  <si>
    <t>S-01176</t>
  </si>
  <si>
    <t>P-101176</t>
  </si>
  <si>
    <t>S-01177</t>
  </si>
  <si>
    <t>P-101177</t>
  </si>
  <si>
    <t>S-01178</t>
  </si>
  <si>
    <t>P-101178</t>
  </si>
  <si>
    <t>S-01179</t>
  </si>
  <si>
    <t>P-101179</t>
  </si>
  <si>
    <t>S-01180</t>
  </si>
  <si>
    <t>P-101180</t>
  </si>
  <si>
    <t>S-01181</t>
  </si>
  <si>
    <t>P-101181</t>
  </si>
  <si>
    <t>S-01182</t>
  </si>
  <si>
    <t>P-101182</t>
  </si>
  <si>
    <t>S-01183</t>
  </si>
  <si>
    <t>P-101183</t>
  </si>
  <si>
    <t>S-01184</t>
  </si>
  <si>
    <t>P-101184</t>
  </si>
  <si>
    <t>S-01185</t>
  </si>
  <si>
    <t>P-101185</t>
  </si>
  <si>
    <t>S-01186</t>
  </si>
  <si>
    <t>P-101186</t>
  </si>
  <si>
    <t>S-01187</t>
  </si>
  <si>
    <t>P-101187</t>
  </si>
  <si>
    <t>S-01188</t>
  </si>
  <si>
    <t>P-101188</t>
  </si>
  <si>
    <t>S-01189</t>
  </si>
  <si>
    <t>P-101189</t>
  </si>
  <si>
    <t>S-01190</t>
  </si>
  <si>
    <t>P-101190</t>
  </si>
  <si>
    <t>S-01191</t>
  </si>
  <si>
    <t>P-101191</t>
  </si>
  <si>
    <t>S-01192</t>
  </si>
  <si>
    <t>P-101192</t>
  </si>
  <si>
    <t>S-01193</t>
  </si>
  <si>
    <t>P-101193</t>
  </si>
  <si>
    <t>S-01194</t>
  </si>
  <si>
    <t>P-101194</t>
  </si>
  <si>
    <t>S-01195</t>
  </si>
  <si>
    <t>P-101195</t>
  </si>
  <si>
    <t>S-01196</t>
  </si>
  <si>
    <t>P-101196</t>
  </si>
  <si>
    <t>S-01197</t>
  </si>
  <si>
    <t>P-101197</t>
  </si>
  <si>
    <t>S-01198</t>
  </si>
  <si>
    <t>P-101198</t>
  </si>
  <si>
    <t>S-01199</t>
  </si>
  <si>
    <t>P-101199</t>
  </si>
  <si>
    <t>S-01200</t>
  </si>
  <si>
    <t>P-101200</t>
  </si>
  <si>
    <t>S-01201</t>
  </si>
  <si>
    <t>P-101201</t>
  </si>
  <si>
    <t>S-01202</t>
  </si>
  <si>
    <t>P-101202</t>
  </si>
  <si>
    <t>S-01203</t>
  </si>
  <si>
    <t>P-101203</t>
  </si>
  <si>
    <t>S-01204</t>
  </si>
  <si>
    <t>P-101204</t>
  </si>
  <si>
    <t>S-01205</t>
  </si>
  <si>
    <t>P-101205</t>
  </si>
  <si>
    <t>S-01206</t>
  </si>
  <si>
    <t>P-101206</t>
  </si>
  <si>
    <t>S-01207</t>
  </si>
  <si>
    <t>P-101207</t>
  </si>
  <si>
    <t>S-01208</t>
  </si>
  <si>
    <t>P-101208</t>
  </si>
  <si>
    <t>S-01209</t>
  </si>
  <si>
    <t>P-101209</t>
  </si>
  <si>
    <t>S-01210</t>
  </si>
  <si>
    <t>P-101210</t>
  </si>
  <si>
    <t>S-01211</t>
  </si>
  <si>
    <t>P-101211</t>
  </si>
  <si>
    <t>S-01212</t>
  </si>
  <si>
    <t>P-101212</t>
  </si>
  <si>
    <t>S-01213</t>
  </si>
  <si>
    <t>P-101213</t>
  </si>
  <si>
    <t>S-01214</t>
  </si>
  <si>
    <t>P-101214</t>
  </si>
  <si>
    <t>S-01215</t>
  </si>
  <si>
    <t>P-101215</t>
  </si>
  <si>
    <t>S-01216</t>
  </si>
  <si>
    <t>P-101216</t>
  </si>
  <si>
    <t>S-01217</t>
  </si>
  <si>
    <t>P-101217</t>
  </si>
  <si>
    <t>S-01218</t>
  </si>
  <si>
    <t>P-101218</t>
  </si>
  <si>
    <t>S-01219</t>
  </si>
  <si>
    <t>P-101219</t>
  </si>
  <si>
    <t>S-01220</t>
  </si>
  <si>
    <t>P-101220</t>
  </si>
  <si>
    <t>S-01221</t>
  </si>
  <si>
    <t>P-101221</t>
  </si>
  <si>
    <t>S-01222</t>
  </si>
  <si>
    <t>P-101222</t>
  </si>
  <si>
    <t>S-01223</t>
  </si>
  <si>
    <t>P-101223</t>
  </si>
  <si>
    <t>S-01224</t>
  </si>
  <si>
    <t>P-101224</t>
  </si>
  <si>
    <t>S-01225</t>
  </si>
  <si>
    <t>P-101225</t>
  </si>
  <si>
    <t>S-01226</t>
  </si>
  <si>
    <t>P-101226</t>
  </si>
  <si>
    <t>S-01227</t>
  </si>
  <si>
    <t>P-101227</t>
  </si>
  <si>
    <t>S-01228</t>
  </si>
  <si>
    <t>P-101228</t>
  </si>
  <si>
    <t>S-01229</t>
  </si>
  <si>
    <t>P-101229</t>
  </si>
  <si>
    <t>S-01230</t>
  </si>
  <si>
    <t>P-101230</t>
  </si>
  <si>
    <t>S-01231</t>
  </si>
  <si>
    <t>P-101231</t>
  </si>
  <si>
    <t>S-01232</t>
  </si>
  <si>
    <t>P-101232</t>
  </si>
  <si>
    <t>S-01233</t>
  </si>
  <si>
    <t>P-101233</t>
  </si>
  <si>
    <t>S-01234</t>
  </si>
  <si>
    <t>P-101234</t>
  </si>
  <si>
    <t>S-01235</t>
  </si>
  <si>
    <t>P-101235</t>
  </si>
  <si>
    <t>S-01236</t>
  </si>
  <si>
    <t>P-101236</t>
  </si>
  <si>
    <t>S-01237</t>
  </si>
  <si>
    <t>P-101237</t>
  </si>
  <si>
    <t>S-01238</t>
  </si>
  <si>
    <t>P-101238</t>
  </si>
  <si>
    <t>S-01239</t>
  </si>
  <si>
    <t>P-101239</t>
  </si>
  <si>
    <t>S-01240</t>
  </si>
  <si>
    <t>P-101240</t>
  </si>
  <si>
    <t>S-01241</t>
  </si>
  <si>
    <t>P-101241</t>
  </si>
  <si>
    <t>S-01242</t>
  </si>
  <si>
    <t>P-101242</t>
  </si>
  <si>
    <t>S-01243</t>
  </si>
  <si>
    <t>P-101243</t>
  </si>
  <si>
    <t>S-01244</t>
  </si>
  <si>
    <t>P-101244</t>
  </si>
  <si>
    <t>S-01245</t>
  </si>
  <si>
    <t>P-101245</t>
  </si>
  <si>
    <t>S-01246</t>
  </si>
  <si>
    <t>P-101246</t>
  </si>
  <si>
    <t>S-01247</t>
  </si>
  <si>
    <t>P-101247</t>
  </si>
  <si>
    <t>S-01248</t>
  </si>
  <si>
    <t>P-101248</t>
  </si>
  <si>
    <t>S-01249</t>
  </si>
  <si>
    <t>P-101249</t>
  </si>
  <si>
    <t>S-01250</t>
  </si>
  <si>
    <t>P-101250</t>
  </si>
  <si>
    <t>S-01251</t>
  </si>
  <si>
    <t>P-101251</t>
  </si>
  <si>
    <t>S-01252</t>
  </si>
  <si>
    <t>P-101252</t>
  </si>
  <si>
    <t>S-01253</t>
  </si>
  <si>
    <t>P-101253</t>
  </si>
  <si>
    <t>S-01254</t>
  </si>
  <si>
    <t>P-101254</t>
  </si>
  <si>
    <t>S-01255</t>
  </si>
  <si>
    <t>P-101255</t>
  </si>
  <si>
    <t>S-01256</t>
  </si>
  <si>
    <t>P-101256</t>
  </si>
  <si>
    <t>S-01257</t>
  </si>
  <si>
    <t>P-101257</t>
  </si>
  <si>
    <t>S-01258</t>
  </si>
  <si>
    <t>P-101258</t>
  </si>
  <si>
    <t>S-01259</t>
  </si>
  <si>
    <t>P-101259</t>
  </si>
  <si>
    <t>S-01260</t>
  </si>
  <si>
    <t>P-101260</t>
  </si>
  <si>
    <t>S-01261</t>
  </si>
  <si>
    <t>P-101261</t>
  </si>
  <si>
    <t>S-01262</t>
  </si>
  <si>
    <t>P-101262</t>
  </si>
  <si>
    <t>S-01263</t>
  </si>
  <si>
    <t>P-101263</t>
  </si>
  <si>
    <t>S-01264</t>
  </si>
  <si>
    <t>P-101264</t>
  </si>
  <si>
    <t>S-01265</t>
  </si>
  <si>
    <t>P-101265</t>
  </si>
  <si>
    <t>S-01266</t>
  </si>
  <si>
    <t>P-101266</t>
  </si>
  <si>
    <t>S-01267</t>
  </si>
  <si>
    <t>P-101267</t>
  </si>
  <si>
    <t>S-01268</t>
  </si>
  <si>
    <t>P-101268</t>
  </si>
  <si>
    <t>S-01269</t>
  </si>
  <si>
    <t>P-101269</t>
  </si>
  <si>
    <t>S-01270</t>
  </si>
  <si>
    <t>P-101270</t>
  </si>
  <si>
    <t>S-01271</t>
  </si>
  <si>
    <t>P-101271</t>
  </si>
  <si>
    <t>S-01272</t>
  </si>
  <si>
    <t>P-101272</t>
  </si>
  <si>
    <t>S-01273</t>
  </si>
  <si>
    <t>P-101273</t>
  </si>
  <si>
    <t>S-01274</t>
  </si>
  <si>
    <t>P-101274</t>
  </si>
  <si>
    <t>S-01275</t>
  </si>
  <si>
    <t>P-101275</t>
  </si>
  <si>
    <t>S-01276</t>
  </si>
  <si>
    <t>P-101276</t>
  </si>
  <si>
    <t>S-01277</t>
  </si>
  <si>
    <t>P-101277</t>
  </si>
  <si>
    <t>S-01278</t>
  </si>
  <si>
    <t>P-101278</t>
  </si>
  <si>
    <t>S-01279</t>
  </si>
  <si>
    <t>P-101279</t>
  </si>
  <si>
    <t>S-01280</t>
  </si>
  <si>
    <t>P-101280</t>
  </si>
  <si>
    <t>S-01281</t>
  </si>
  <si>
    <t>P-101281</t>
  </si>
  <si>
    <t>S-01282</t>
  </si>
  <si>
    <t>P-101282</t>
  </si>
  <si>
    <t>S-01283</t>
  </si>
  <si>
    <t>P-101283</t>
  </si>
  <si>
    <t>S-01284</t>
  </si>
  <si>
    <t>P-101284</t>
  </si>
  <si>
    <t>S-01285</t>
  </si>
  <si>
    <t>P-101285</t>
  </si>
  <si>
    <t>S-01286</t>
  </si>
  <si>
    <t>P-101286</t>
  </si>
  <si>
    <t>S-01287</t>
  </si>
  <si>
    <t>P-101287</t>
  </si>
  <si>
    <t>S-01288</t>
  </si>
  <si>
    <t>P-101288</t>
  </si>
  <si>
    <t>S-01289</t>
  </si>
  <si>
    <t>P-101289</t>
  </si>
  <si>
    <t>S-01290</t>
  </si>
  <si>
    <t>P-101290</t>
  </si>
  <si>
    <t>S-01291</t>
  </si>
  <si>
    <t>P-101291</t>
  </si>
  <si>
    <t>S-01292</t>
  </si>
  <si>
    <t>P-101292</t>
  </si>
  <si>
    <t>S-01293</t>
  </si>
  <si>
    <t>P-101293</t>
  </si>
  <si>
    <t>S-01294</t>
  </si>
  <si>
    <t>P-101294</t>
  </si>
  <si>
    <t>S-01295</t>
  </si>
  <si>
    <t>P-101295</t>
  </si>
  <si>
    <t>S-01296</t>
  </si>
  <si>
    <t>P-101296</t>
  </si>
  <si>
    <t>S-01297</t>
  </si>
  <si>
    <t>P-101297</t>
  </si>
  <si>
    <t>S-01298</t>
  </si>
  <si>
    <t>P-101298</t>
  </si>
  <si>
    <t>S-01299</t>
  </si>
  <si>
    <t>P-101299</t>
  </si>
  <si>
    <t>S-01300</t>
  </si>
  <si>
    <t>P-101300</t>
  </si>
  <si>
    <t>S-01301</t>
  </si>
  <si>
    <t>P-101301</t>
  </si>
  <si>
    <t>S-01302</t>
  </si>
  <si>
    <t>P-101302</t>
  </si>
  <si>
    <t>S-01303</t>
  </si>
  <si>
    <t>P-101303</t>
  </si>
  <si>
    <t>S-01304</t>
  </si>
  <si>
    <t>P-101304</t>
  </si>
  <si>
    <t>S-01305</t>
  </si>
  <si>
    <t>P-101305</t>
  </si>
  <si>
    <t>S-01306</t>
  </si>
  <si>
    <t>P-101306</t>
  </si>
  <si>
    <t>S-01307</t>
  </si>
  <si>
    <t>P-101307</t>
  </si>
  <si>
    <t>S-01308</t>
  </si>
  <si>
    <t>P-101308</t>
  </si>
  <si>
    <t>S-01309</t>
  </si>
  <si>
    <t>P-101309</t>
  </si>
  <si>
    <t>S-01310</t>
  </si>
  <si>
    <t>P-101310</t>
  </si>
  <si>
    <t>S-01311</t>
  </si>
  <si>
    <t>P-101311</t>
  </si>
  <si>
    <t>S-01312</t>
  </si>
  <si>
    <t>P-101312</t>
  </si>
  <si>
    <t>S-01313</t>
  </si>
  <si>
    <t>P-101313</t>
  </si>
  <si>
    <t>S-01314</t>
  </si>
  <si>
    <t>P-101314</t>
  </si>
  <si>
    <t>S-01315</t>
  </si>
  <si>
    <t>P-101315</t>
  </si>
  <si>
    <t>S-01316</t>
  </si>
  <si>
    <t>P-101316</t>
  </si>
  <si>
    <t>S-01317</t>
  </si>
  <si>
    <t>P-101317</t>
  </si>
  <si>
    <t>S-01318</t>
  </si>
  <si>
    <t>P-101318</t>
  </si>
  <si>
    <t>S-01319</t>
  </si>
  <si>
    <t>P-101319</t>
  </si>
  <si>
    <t>S-01320</t>
  </si>
  <si>
    <t>P-101320</t>
  </si>
  <si>
    <t>S-01321</t>
  </si>
  <si>
    <t>P-101321</t>
  </si>
  <si>
    <t>S-01322</t>
  </si>
  <si>
    <t>P-101322</t>
  </si>
  <si>
    <t>S-01323</t>
  </si>
  <si>
    <t>P-101323</t>
  </si>
  <si>
    <t>S-01324</t>
  </si>
  <si>
    <t>P-101324</t>
  </si>
  <si>
    <t>S-01325</t>
  </si>
  <si>
    <t>P-101325</t>
  </si>
  <si>
    <t>S-01326</t>
  </si>
  <si>
    <t>P-101326</t>
  </si>
  <si>
    <t>S-01327</t>
  </si>
  <si>
    <t>P-101327</t>
  </si>
  <si>
    <t>S-01328</t>
  </si>
  <si>
    <t>P-101328</t>
  </si>
  <si>
    <t>S-01329</t>
  </si>
  <si>
    <t>P-101329</t>
  </si>
  <si>
    <t>S-01330</t>
  </si>
  <si>
    <t>P-101330</t>
  </si>
  <si>
    <t>S-01331</t>
  </si>
  <si>
    <t>P-101331</t>
  </si>
  <si>
    <t>S-01332</t>
  </si>
  <si>
    <t>P-101332</t>
  </si>
  <si>
    <t>S-01333</t>
  </si>
  <si>
    <t>P-101333</t>
  </si>
  <si>
    <t>S-01334</t>
  </si>
  <si>
    <t>P-101334</t>
  </si>
  <si>
    <t>S-01335</t>
  </si>
  <si>
    <t>P-101335</t>
  </si>
  <si>
    <t>S-01336</t>
  </si>
  <si>
    <t>P-101336</t>
  </si>
  <si>
    <t>S-01337</t>
  </si>
  <si>
    <t>P-101337</t>
  </si>
  <si>
    <t>S-01338</t>
  </si>
  <si>
    <t>P-101338</t>
  </si>
  <si>
    <t>S-01339</t>
  </si>
  <si>
    <t>P-101339</t>
  </si>
  <si>
    <t>S-01340</t>
  </si>
  <si>
    <t>P-101340</t>
  </si>
  <si>
    <t>S-01341</t>
  </si>
  <si>
    <t>P-101341</t>
  </si>
  <si>
    <t>S-01342</t>
  </si>
  <si>
    <t>P-101342</t>
  </si>
  <si>
    <t>S-01343</t>
  </si>
  <si>
    <t>P-101343</t>
  </si>
  <si>
    <t>S-01344</t>
  </si>
  <si>
    <t>P-101344</t>
  </si>
  <si>
    <t>S-01345</t>
  </si>
  <si>
    <t>P-101345</t>
  </si>
  <si>
    <t>S-01346</t>
  </si>
  <si>
    <t>P-101346</t>
  </si>
  <si>
    <t>S-01347</t>
  </si>
  <si>
    <t>P-101347</t>
  </si>
  <si>
    <t>S-01348</t>
  </si>
  <si>
    <t>P-101348</t>
  </si>
  <si>
    <t>S-01349</t>
  </si>
  <si>
    <t>P-101349</t>
  </si>
  <si>
    <t>S-01350</t>
  </si>
  <si>
    <t>P-101350</t>
  </si>
  <si>
    <t>S-01351</t>
  </si>
  <si>
    <t>P-101351</t>
  </si>
  <si>
    <t>S-01352</t>
  </si>
  <si>
    <t>P-101352</t>
  </si>
  <si>
    <t>S-01353</t>
  </si>
  <si>
    <t>P-101353</t>
  </si>
  <si>
    <t>S-01354</t>
  </si>
  <si>
    <t>P-101354</t>
  </si>
  <si>
    <t>S-01355</t>
  </si>
  <si>
    <t>P-101355</t>
  </si>
  <si>
    <t>S-01356</t>
  </si>
  <si>
    <t>P-101356</t>
  </si>
  <si>
    <t>S-01357</t>
  </si>
  <si>
    <t>P-101357</t>
  </si>
  <si>
    <t>S-01358</t>
  </si>
  <si>
    <t>P-101358</t>
  </si>
  <si>
    <t>S-01359</t>
  </si>
  <si>
    <t>P-101359</t>
  </si>
  <si>
    <t>S-01360</t>
  </si>
  <si>
    <t>P-101360</t>
  </si>
  <si>
    <t>S-01361</t>
  </si>
  <si>
    <t>P-101361</t>
  </si>
  <si>
    <t>S-01362</t>
  </si>
  <si>
    <t>P-101362</t>
  </si>
  <si>
    <t>S-01363</t>
  </si>
  <si>
    <t>P-101363</t>
  </si>
  <si>
    <t>S-01364</t>
  </si>
  <si>
    <t>P-101364</t>
  </si>
  <si>
    <t>S-01365</t>
  </si>
  <si>
    <t>P-101365</t>
  </si>
  <si>
    <t>S-01366</t>
  </si>
  <si>
    <t>P-101366</t>
  </si>
  <si>
    <t>S-01367</t>
  </si>
  <si>
    <t>P-101367</t>
  </si>
  <si>
    <t>S-01368</t>
  </si>
  <si>
    <t>P-101368</t>
  </si>
  <si>
    <t>S-01369</t>
  </si>
  <si>
    <t>P-101369</t>
  </si>
  <si>
    <t>S-01370</t>
  </si>
  <si>
    <t>P-101370</t>
  </si>
  <si>
    <t>S-01371</t>
  </si>
  <si>
    <t>P-101371</t>
  </si>
  <si>
    <t>S-01372</t>
  </si>
  <si>
    <t>P-101372</t>
  </si>
  <si>
    <t>S-01373</t>
  </si>
  <si>
    <t>P-101373</t>
  </si>
  <si>
    <t>S-01374</t>
  </si>
  <si>
    <t>P-101374</t>
  </si>
  <si>
    <t>S-01375</t>
  </si>
  <si>
    <t>P-101375</t>
  </si>
  <si>
    <t>S-01376</t>
  </si>
  <si>
    <t>P-101376</t>
  </si>
  <si>
    <t>S-01377</t>
  </si>
  <si>
    <t>P-101377</t>
  </si>
  <si>
    <t>S-01378</t>
  </si>
  <si>
    <t>P-101378</t>
  </si>
  <si>
    <t>S-01379</t>
  </si>
  <si>
    <t>P-101379</t>
  </si>
  <si>
    <t>S-01380</t>
  </si>
  <si>
    <t>P-101380</t>
  </si>
  <si>
    <t>S-01381</t>
  </si>
  <si>
    <t>P-101381</t>
  </si>
  <si>
    <t>S-01382</t>
  </si>
  <si>
    <t>P-101382</t>
  </si>
  <si>
    <t>S-01383</t>
  </si>
  <si>
    <t>P-101383</t>
  </si>
  <si>
    <t>S-01384</t>
  </si>
  <si>
    <t>P-101384</t>
  </si>
  <si>
    <t>S-01385</t>
  </si>
  <si>
    <t>P-101385</t>
  </si>
  <si>
    <t>S-01386</t>
  </si>
  <si>
    <t>P-101386</t>
  </si>
  <si>
    <t>S-01387</t>
  </si>
  <si>
    <t>P-101387</t>
  </si>
  <si>
    <t>S-01388</t>
  </si>
  <si>
    <t>P-101388</t>
  </si>
  <si>
    <t>S-01389</t>
  </si>
  <si>
    <t>P-101389</t>
  </si>
  <si>
    <t>S-01390</t>
  </si>
  <si>
    <t>P-101390</t>
  </si>
  <si>
    <t>S-01391</t>
  </si>
  <si>
    <t>P-101391</t>
  </si>
  <si>
    <t>S-01392</t>
  </si>
  <si>
    <t>P-101392</t>
  </si>
  <si>
    <t>S-01393</t>
  </si>
  <si>
    <t>P-101393</t>
  </si>
  <si>
    <t>S-01394</t>
  </si>
  <si>
    <t>P-101394</t>
  </si>
  <si>
    <t>S-01395</t>
  </si>
  <si>
    <t>P-101395</t>
  </si>
  <si>
    <t>S-01396</t>
  </si>
  <si>
    <t>P-101396</t>
  </si>
  <si>
    <t>S-01397</t>
  </si>
  <si>
    <t>P-101397</t>
  </si>
  <si>
    <t>S-01398</t>
  </si>
  <si>
    <t>P-101398</t>
  </si>
  <si>
    <t>S-01399</t>
  </si>
  <si>
    <t>P-101399</t>
  </si>
  <si>
    <t>S-01400</t>
  </si>
  <si>
    <t>P-101400</t>
  </si>
  <si>
    <t>S-01401</t>
  </si>
  <si>
    <t>P-101401</t>
  </si>
  <si>
    <t>S-01402</t>
  </si>
  <si>
    <t>P-101402</t>
  </si>
  <si>
    <t>S-01403</t>
  </si>
  <si>
    <t>P-101403</t>
  </si>
  <si>
    <t>S-01404</t>
  </si>
  <si>
    <t>P-101404</t>
  </si>
  <si>
    <t>S-01405</t>
  </si>
  <si>
    <t>P-101405</t>
  </si>
  <si>
    <t>S-01406</t>
  </si>
  <si>
    <t>P-101406</t>
  </si>
  <si>
    <t>S-01407</t>
  </si>
  <si>
    <t>P-101407</t>
  </si>
  <si>
    <t>S-01408</t>
  </si>
  <si>
    <t>P-101408</t>
  </si>
  <si>
    <t>S-01409</t>
  </si>
  <si>
    <t>P-101409</t>
  </si>
  <si>
    <t>S-01410</t>
  </si>
  <si>
    <t>P-101410</t>
  </si>
  <si>
    <t>S-01411</t>
  </si>
  <si>
    <t>P-101411</t>
  </si>
  <si>
    <t>S-01412</t>
  </si>
  <si>
    <t>P-101412</t>
  </si>
  <si>
    <t>S-01413</t>
  </si>
  <si>
    <t>P-101413</t>
  </si>
  <si>
    <t>S-01414</t>
  </si>
  <si>
    <t>P-101414</t>
  </si>
  <si>
    <t>S-01415</t>
  </si>
  <si>
    <t>P-101415</t>
  </si>
  <si>
    <t>S-01416</t>
  </si>
  <si>
    <t>P-101416</t>
  </si>
  <si>
    <t>S-01417</t>
  </si>
  <si>
    <t>P-101417</t>
  </si>
  <si>
    <t>S-01418</t>
  </si>
  <si>
    <t>P-101418</t>
  </si>
  <si>
    <t>S-01419</t>
  </si>
  <si>
    <t>P-101419</t>
  </si>
  <si>
    <t>S-01420</t>
  </si>
  <si>
    <t>P-101420</t>
  </si>
  <si>
    <t>S-01421</t>
  </si>
  <si>
    <t>P-101421</t>
  </si>
  <si>
    <t>S-01422</t>
  </si>
  <si>
    <t>P-101422</t>
  </si>
  <si>
    <t>S-01423</t>
  </si>
  <si>
    <t>P-101423</t>
  </si>
  <si>
    <t>S-01424</t>
  </si>
  <si>
    <t>P-101424</t>
  </si>
  <si>
    <t>S-01425</t>
  </si>
  <si>
    <t>P-101425</t>
  </si>
  <si>
    <t>S-01426</t>
  </si>
  <si>
    <t>P-101426</t>
  </si>
  <si>
    <t>S-01427</t>
  </si>
  <si>
    <t>P-101427</t>
  </si>
  <si>
    <t>S-01428</t>
  </si>
  <si>
    <t>P-101428</t>
  </si>
  <si>
    <t>S-01429</t>
  </si>
  <si>
    <t>P-101429</t>
  </si>
  <si>
    <t>S-01430</t>
  </si>
  <si>
    <t>P-101430</t>
  </si>
  <si>
    <t>S-01431</t>
  </si>
  <si>
    <t>P-101431</t>
  </si>
  <si>
    <t>S-01432</t>
  </si>
  <si>
    <t>P-101432</t>
  </si>
  <si>
    <t>S-01433</t>
  </si>
  <si>
    <t>P-101433</t>
  </si>
  <si>
    <t>S-01434</t>
  </si>
  <si>
    <t>P-101434</t>
  </si>
  <si>
    <t>S-01435</t>
  </si>
  <si>
    <t>P-101435</t>
  </si>
  <si>
    <t>S-01436</t>
  </si>
  <si>
    <t>P-101436</t>
  </si>
  <si>
    <t>S-01437</t>
  </si>
  <si>
    <t>P-101437</t>
  </si>
  <si>
    <t>S-01438</t>
  </si>
  <si>
    <t>P-101438</t>
  </si>
  <si>
    <t>S-01439</t>
  </si>
  <si>
    <t>P-101439</t>
  </si>
  <si>
    <t>S-01440</t>
  </si>
  <si>
    <t>P-101440</t>
  </si>
  <si>
    <t>S-01441</t>
  </si>
  <si>
    <t>P-101441</t>
  </si>
  <si>
    <t>S-01442</t>
  </si>
  <si>
    <t>P-101442</t>
  </si>
  <si>
    <t>S-01443</t>
  </si>
  <si>
    <t>P-101443</t>
  </si>
  <si>
    <t>S-01444</t>
  </si>
  <si>
    <t>P-101444</t>
  </si>
  <si>
    <t>S-01445</t>
  </si>
  <si>
    <t>P-101445</t>
  </si>
  <si>
    <t>S-01446</t>
  </si>
  <si>
    <t>P-101446</t>
  </si>
  <si>
    <t>S-01447</t>
  </si>
  <si>
    <t>P-101447</t>
  </si>
  <si>
    <t>S-01448</t>
  </si>
  <si>
    <t>P-101448</t>
  </si>
  <si>
    <t>S-01449</t>
  </si>
  <si>
    <t>P-101449</t>
  </si>
  <si>
    <t>S-01450</t>
  </si>
  <si>
    <t>P-101450</t>
  </si>
  <si>
    <t>S-01451</t>
  </si>
  <si>
    <t>P-101451</t>
  </si>
  <si>
    <t>S-01452</t>
  </si>
  <si>
    <t>P-101452</t>
  </si>
  <si>
    <t>S-01453</t>
  </si>
  <si>
    <t>P-101453</t>
  </si>
  <si>
    <t>S-01454</t>
  </si>
  <si>
    <t>P-101454</t>
  </si>
  <si>
    <t>S-01455</t>
  </si>
  <si>
    <t>P-101455</t>
  </si>
  <si>
    <t>S-01456</t>
  </si>
  <si>
    <t>P-101456</t>
  </si>
  <si>
    <t>S-01457</t>
  </si>
  <si>
    <t>P-101457</t>
  </si>
  <si>
    <t>S-01458</t>
  </si>
  <si>
    <t>P-101458</t>
  </si>
  <si>
    <t>S-01459</t>
  </si>
  <si>
    <t>P-101459</t>
  </si>
  <si>
    <t>S-01460</t>
  </si>
  <si>
    <t>P-101460</t>
  </si>
  <si>
    <t>S-01461</t>
  </si>
  <si>
    <t>P-101461</t>
  </si>
  <si>
    <t>S-01462</t>
  </si>
  <si>
    <t>P-101462</t>
  </si>
  <si>
    <t>S-01463</t>
  </si>
  <si>
    <t>P-101463</t>
  </si>
  <si>
    <t>S-01464</t>
  </si>
  <si>
    <t>P-101464</t>
  </si>
  <si>
    <t>S-01465</t>
  </si>
  <si>
    <t>P-101465</t>
  </si>
  <si>
    <t>S-01466</t>
  </si>
  <si>
    <t>P-101466</t>
  </si>
  <si>
    <t>S-01467</t>
  </si>
  <si>
    <t>P-101467</t>
  </si>
  <si>
    <t>S-01468</t>
  </si>
  <si>
    <t>P-101468</t>
  </si>
  <si>
    <t>S-01469</t>
  </si>
  <si>
    <t>P-101469</t>
  </si>
  <si>
    <t>S-01470</t>
  </si>
  <si>
    <t>P-101470</t>
  </si>
  <si>
    <t>S-01471</t>
  </si>
  <si>
    <t>P-101471</t>
  </si>
  <si>
    <t>S-01472</t>
  </si>
  <si>
    <t>P-101472</t>
  </si>
  <si>
    <t>S-01473</t>
  </si>
  <si>
    <t>P-101473</t>
  </si>
  <si>
    <t>S-01474</t>
  </si>
  <si>
    <t>P-101474</t>
  </si>
  <si>
    <t>S-01475</t>
  </si>
  <si>
    <t>P-101475</t>
  </si>
  <si>
    <t>S-01476</t>
  </si>
  <si>
    <t>P-101476</t>
  </si>
  <si>
    <t>S-01477</t>
  </si>
  <si>
    <t>P-101477</t>
  </si>
  <si>
    <t>S-01478</t>
  </si>
  <si>
    <t>P-101478</t>
  </si>
  <si>
    <t>S-01479</t>
  </si>
  <si>
    <t>P-101479</t>
  </si>
  <si>
    <t>S-01480</t>
  </si>
  <si>
    <t>P-101480</t>
  </si>
  <si>
    <t>S-01481</t>
  </si>
  <si>
    <t>P-101481</t>
  </si>
  <si>
    <t>S-01482</t>
  </si>
  <si>
    <t>P-101482</t>
  </si>
  <si>
    <t>S-01483</t>
  </si>
  <si>
    <t>P-101483</t>
  </si>
  <si>
    <t>S-01484</t>
  </si>
  <si>
    <t>P-101484</t>
  </si>
  <si>
    <t>S-01485</t>
  </si>
  <si>
    <t>P-101485</t>
  </si>
  <si>
    <t>S-01486</t>
  </si>
  <si>
    <t>P-101486</t>
  </si>
  <si>
    <t>S-01487</t>
  </si>
  <si>
    <t>P-101487</t>
  </si>
  <si>
    <t>S-01488</t>
  </si>
  <si>
    <t>P-101488</t>
  </si>
  <si>
    <t>S-01489</t>
  </si>
  <si>
    <t>P-101489</t>
  </si>
  <si>
    <t>S-01490</t>
  </si>
  <si>
    <t>P-101490</t>
  </si>
  <si>
    <t>S-01491</t>
  </si>
  <si>
    <t>P-101491</t>
  </si>
  <si>
    <t>S-01492</t>
  </si>
  <si>
    <t>P-101492</t>
  </si>
  <si>
    <t>S-01493</t>
  </si>
  <si>
    <t>P-101493</t>
  </si>
  <si>
    <t>S-01494</t>
  </si>
  <si>
    <t>P-101494</t>
  </si>
  <si>
    <t>S-01495</t>
  </si>
  <si>
    <t>P-101495</t>
  </si>
  <si>
    <t>S-01496</t>
  </si>
  <si>
    <t>P-101496</t>
  </si>
  <si>
    <t>S-01497</t>
  </si>
  <si>
    <t>P-101497</t>
  </si>
  <si>
    <t>S-01498</t>
  </si>
  <si>
    <t>P-101498</t>
  </si>
  <si>
    <t>S-01499</t>
  </si>
  <si>
    <t>P-101499</t>
  </si>
  <si>
    <t>S-01500</t>
  </si>
  <si>
    <t>P-101500</t>
  </si>
  <si>
    <t>S-01501</t>
  </si>
  <si>
    <t>P-101501</t>
  </si>
  <si>
    <t>S-01502</t>
  </si>
  <si>
    <t>P-101502</t>
  </si>
  <si>
    <t>S-01503</t>
  </si>
  <si>
    <t>P-101503</t>
  </si>
  <si>
    <t>S-01504</t>
  </si>
  <si>
    <t>P-101504</t>
  </si>
  <si>
    <t>S-01505</t>
  </si>
  <si>
    <t>P-101505</t>
  </si>
  <si>
    <t>S-01506</t>
  </si>
  <si>
    <t>P-101506</t>
  </si>
  <si>
    <t>S-01507</t>
  </si>
  <si>
    <t>P-101507</t>
  </si>
  <si>
    <t>S-01508</t>
  </si>
  <si>
    <t>P-101508</t>
  </si>
  <si>
    <t>S-01509</t>
  </si>
  <si>
    <t>P-101509</t>
  </si>
  <si>
    <t>S-01510</t>
  </si>
  <si>
    <t>P-101510</t>
  </si>
  <si>
    <t>S-01511</t>
  </si>
  <si>
    <t>P-101511</t>
  </si>
  <si>
    <t>S-01512</t>
  </si>
  <si>
    <t>P-101512</t>
  </si>
  <si>
    <t>S-01513</t>
  </si>
  <si>
    <t>P-101513</t>
  </si>
  <si>
    <t>S-01514</t>
  </si>
  <si>
    <t>P-101514</t>
  </si>
  <si>
    <t>S-01515</t>
  </si>
  <si>
    <t>P-101515</t>
  </si>
  <si>
    <t>S-01516</t>
  </si>
  <si>
    <t>P-101516</t>
  </si>
  <si>
    <t>S-01517</t>
  </si>
  <si>
    <t>P-101517</t>
  </si>
  <si>
    <t>S-01518</t>
  </si>
  <si>
    <t>P-101518</t>
  </si>
  <si>
    <t>S-01519</t>
  </si>
  <si>
    <t>P-101519</t>
  </si>
  <si>
    <t>S-01520</t>
  </si>
  <si>
    <t>P-101520</t>
  </si>
  <si>
    <t>S-01521</t>
  </si>
  <si>
    <t>P-101521</t>
  </si>
  <si>
    <t>S-01522</t>
  </si>
  <si>
    <t>P-101522</t>
  </si>
  <si>
    <t>S-01523</t>
  </si>
  <si>
    <t>P-101523</t>
  </si>
  <si>
    <t>S-01524</t>
  </si>
  <si>
    <t>P-101524</t>
  </si>
  <si>
    <t>S-01525</t>
  </si>
  <si>
    <t>P-101525</t>
  </si>
  <si>
    <t>S-01526</t>
  </si>
  <si>
    <t>P-101526</t>
  </si>
  <si>
    <t>S-01527</t>
  </si>
  <si>
    <t>P-101527</t>
  </si>
  <si>
    <t>S-01528</t>
  </si>
  <si>
    <t>P-101528</t>
  </si>
  <si>
    <t>S-01529</t>
  </si>
  <si>
    <t>P-101529</t>
  </si>
  <si>
    <t>S-01530</t>
  </si>
  <si>
    <t>P-101530</t>
  </si>
  <si>
    <t>S-01531</t>
  </si>
  <si>
    <t>P-101531</t>
  </si>
  <si>
    <t>S-01532</t>
  </si>
  <si>
    <t>P-101532</t>
  </si>
  <si>
    <t>S-01533</t>
  </si>
  <si>
    <t>P-101533</t>
  </si>
  <si>
    <t>S-01534</t>
  </si>
  <si>
    <t>P-101534</t>
  </si>
  <si>
    <t>S-01535</t>
  </si>
  <si>
    <t>P-101535</t>
  </si>
  <si>
    <t>S-01536</t>
  </si>
  <si>
    <t>P-101536</t>
  </si>
  <si>
    <t>S-01537</t>
  </si>
  <si>
    <t>P-101537</t>
  </si>
  <si>
    <t>S-01538</t>
  </si>
  <si>
    <t>P-101538</t>
  </si>
  <si>
    <t>S-01539</t>
  </si>
  <si>
    <t>P-101539</t>
  </si>
  <si>
    <t>S-01540</t>
  </si>
  <si>
    <t>P-101540</t>
  </si>
  <si>
    <t>S-01541</t>
  </si>
  <si>
    <t>P-101541</t>
  </si>
  <si>
    <t>S-01542</t>
  </si>
  <si>
    <t>P-101542</t>
  </si>
  <si>
    <t>S-01543</t>
  </si>
  <si>
    <t>P-101543</t>
  </si>
  <si>
    <t>S-01544</t>
  </si>
  <si>
    <t>P-101544</t>
  </si>
  <si>
    <t>S-01545</t>
  </si>
  <si>
    <t>P-101545</t>
  </si>
  <si>
    <t>S-01546</t>
  </si>
  <si>
    <t>P-101546</t>
  </si>
  <si>
    <t>S-01547</t>
  </si>
  <si>
    <t>P-101547</t>
  </si>
  <si>
    <t>S-01548</t>
  </si>
  <si>
    <t>P-101548</t>
  </si>
  <si>
    <t>S-01549</t>
  </si>
  <si>
    <t>P-101549</t>
  </si>
  <si>
    <t>S-01550</t>
  </si>
  <si>
    <t>P-101550</t>
  </si>
  <si>
    <t>S-01551</t>
  </si>
  <si>
    <t>P-101551</t>
  </si>
  <si>
    <t>S-01552</t>
  </si>
  <si>
    <t>P-101552</t>
  </si>
  <si>
    <t>S-01553</t>
  </si>
  <si>
    <t>P-101553</t>
  </si>
  <si>
    <t>S-01554</t>
  </si>
  <si>
    <t>P-101554</t>
  </si>
  <si>
    <t>S-01555</t>
  </si>
  <si>
    <t>P-101555</t>
  </si>
  <si>
    <t>S-01556</t>
  </si>
  <si>
    <t>P-101556</t>
  </si>
  <si>
    <t>S-01557</t>
  </si>
  <si>
    <t>P-101557</t>
  </si>
  <si>
    <t>S-01558</t>
  </si>
  <si>
    <t>P-101558</t>
  </si>
  <si>
    <t>S-01559</t>
  </si>
  <si>
    <t>P-101559</t>
  </si>
  <si>
    <t>S-01560</t>
  </si>
  <si>
    <t>P-101560</t>
  </si>
  <si>
    <t>S-01561</t>
  </si>
  <si>
    <t>P-101561</t>
  </si>
  <si>
    <t>S-01562</t>
  </si>
  <si>
    <t>P-101562</t>
  </si>
  <si>
    <t>S-01563</t>
  </si>
  <si>
    <t>P-101563</t>
  </si>
  <si>
    <t>S-01564</t>
  </si>
  <si>
    <t>P-101564</t>
  </si>
  <si>
    <t>S-01565</t>
  </si>
  <si>
    <t>P-101565</t>
  </si>
  <si>
    <t>S-01566</t>
  </si>
  <si>
    <t>P-101566</t>
  </si>
  <si>
    <t>S-01567</t>
  </si>
  <si>
    <t>P-101567</t>
  </si>
  <si>
    <t>S-01568</t>
  </si>
  <si>
    <t>P-101568</t>
  </si>
  <si>
    <t>S-01569</t>
  </si>
  <si>
    <t>P-101569</t>
  </si>
  <si>
    <t>S-01570</t>
  </si>
  <si>
    <t>P-101570</t>
  </si>
  <si>
    <t>S-01571</t>
  </si>
  <si>
    <t>P-101571</t>
  </si>
  <si>
    <t>S-01572</t>
  </si>
  <si>
    <t>P-101572</t>
  </si>
  <si>
    <t>S-01573</t>
  </si>
  <si>
    <t>P-101573</t>
  </si>
  <si>
    <t>S-01574</t>
  </si>
  <si>
    <t>P-101574</t>
  </si>
  <si>
    <t>S-01575</t>
  </si>
  <si>
    <t>P-101575</t>
  </si>
  <si>
    <t>S-01576</t>
  </si>
  <si>
    <t>P-101576</t>
  </si>
  <si>
    <t>S-01577</t>
  </si>
  <si>
    <t>P-101577</t>
  </si>
  <si>
    <t>S-01578</t>
  </si>
  <si>
    <t>P-101578</t>
  </si>
  <si>
    <t>S-01579</t>
  </si>
  <si>
    <t>P-101579</t>
  </si>
  <si>
    <t>S-01580</t>
  </si>
  <si>
    <t>P-101580</t>
  </si>
  <si>
    <t>S-01581</t>
  </si>
  <si>
    <t>P-101581</t>
  </si>
  <si>
    <t>S-01582</t>
  </si>
  <si>
    <t>P-101582</t>
  </si>
  <si>
    <t>S-01583</t>
  </si>
  <si>
    <t>P-101583</t>
  </si>
  <si>
    <t>S-01584</t>
  </si>
  <si>
    <t>P-101584</t>
  </si>
  <si>
    <t>S-01585</t>
  </si>
  <si>
    <t>P-101585</t>
  </si>
  <si>
    <t>S-01586</t>
  </si>
  <si>
    <t>P-101586</t>
  </si>
  <si>
    <t>S-01587</t>
  </si>
  <si>
    <t>P-101587</t>
  </si>
  <si>
    <t>S-01588</t>
  </si>
  <si>
    <t>P-101588</t>
  </si>
  <si>
    <t>S-01589</t>
  </si>
  <si>
    <t>P-101589</t>
  </si>
  <si>
    <t>S-01590</t>
  </si>
  <si>
    <t>P-101590</t>
  </si>
  <si>
    <t>S-01591</t>
  </si>
  <si>
    <t>P-101591</t>
  </si>
  <si>
    <t>S-01592</t>
  </si>
  <si>
    <t>P-101592</t>
  </si>
  <si>
    <t>S-01593</t>
  </si>
  <si>
    <t>P-101593</t>
  </si>
  <si>
    <t>S-01594</t>
  </si>
  <si>
    <t>P-101594</t>
  </si>
  <si>
    <t>S-01595</t>
  </si>
  <si>
    <t>P-101595</t>
  </si>
  <si>
    <t>S-01596</t>
  </si>
  <si>
    <t>P-101596</t>
  </si>
  <si>
    <t>S-01597</t>
  </si>
  <si>
    <t>P-101597</t>
  </si>
  <si>
    <t>S-01598</t>
  </si>
  <si>
    <t>P-101598</t>
  </si>
  <si>
    <t>S-01599</t>
  </si>
  <si>
    <t>P-101599</t>
  </si>
  <si>
    <t>S-01600</t>
  </si>
  <si>
    <t>P-101600</t>
  </si>
  <si>
    <t>S-01601</t>
  </si>
  <si>
    <t>P-101601</t>
  </si>
  <si>
    <t>S-01602</t>
  </si>
  <si>
    <t>P-101602</t>
  </si>
  <si>
    <t>S-01603</t>
  </si>
  <si>
    <t>P-101603</t>
  </si>
  <si>
    <t>S-01604</t>
  </si>
  <si>
    <t>P-101604</t>
  </si>
  <si>
    <t>S-01605</t>
  </si>
  <si>
    <t>P-101605</t>
  </si>
  <si>
    <t>S-01606</t>
  </si>
  <si>
    <t>P-101606</t>
  </si>
  <si>
    <t>S-01607</t>
  </si>
  <si>
    <t>P-101607</t>
  </si>
  <si>
    <t>S-01608</t>
  </si>
  <si>
    <t>P-101608</t>
  </si>
  <si>
    <t>S-01609</t>
  </si>
  <si>
    <t>P-101609</t>
  </si>
  <si>
    <t>S-01610</t>
  </si>
  <si>
    <t>P-101610</t>
  </si>
  <si>
    <t>S-01611</t>
  </si>
  <si>
    <t>P-101611</t>
  </si>
  <si>
    <t>S-01612</t>
  </si>
  <si>
    <t>P-101612</t>
  </si>
  <si>
    <t>S-01613</t>
  </si>
  <si>
    <t>P-101613</t>
  </si>
  <si>
    <t>S-01614</t>
  </si>
  <si>
    <t>P-101614</t>
  </si>
  <si>
    <t>S-01615</t>
  </si>
  <si>
    <t>P-101615</t>
  </si>
  <si>
    <t>S-01616</t>
  </si>
  <si>
    <t>P-101616</t>
  </si>
  <si>
    <t>S-01617</t>
  </si>
  <si>
    <t>P-101617</t>
  </si>
  <si>
    <t>S-01618</t>
  </si>
  <si>
    <t>P-101618</t>
  </si>
  <si>
    <t>S-01619</t>
  </si>
  <si>
    <t>P-101619</t>
  </si>
  <si>
    <t>S-01620</t>
  </si>
  <si>
    <t>P-101620</t>
  </si>
  <si>
    <t>S-01621</t>
  </si>
  <si>
    <t>P-101621</t>
  </si>
  <si>
    <t>S-01622</t>
  </si>
  <si>
    <t>P-101622</t>
  </si>
  <si>
    <t>S-01623</t>
  </si>
  <si>
    <t>P-101623</t>
  </si>
  <si>
    <t>S-01624</t>
  </si>
  <si>
    <t>P-101624</t>
  </si>
  <si>
    <t>S-01625</t>
  </si>
  <si>
    <t>P-101625</t>
  </si>
  <si>
    <t>S-01626</t>
  </si>
  <si>
    <t>P-101626</t>
  </si>
  <si>
    <t>S-01627</t>
  </si>
  <si>
    <t>P-101627</t>
  </si>
  <si>
    <t>S-01628</t>
  </si>
  <si>
    <t>P-101628</t>
  </si>
  <si>
    <t>S-01629</t>
  </si>
  <si>
    <t>P-101629</t>
  </si>
  <si>
    <t>S-01630</t>
  </si>
  <si>
    <t>P-101630</t>
  </si>
  <si>
    <t>S-01631</t>
  </si>
  <si>
    <t>P-101631</t>
  </si>
  <si>
    <t>S-01632</t>
  </si>
  <si>
    <t>P-101632</t>
  </si>
  <si>
    <t>S-01633</t>
  </si>
  <si>
    <t>P-101633</t>
  </si>
  <si>
    <t>S-01634</t>
  </si>
  <si>
    <t>P-101634</t>
  </si>
  <si>
    <t>S-01635</t>
  </si>
  <si>
    <t>P-101635</t>
  </si>
  <si>
    <t>S-01636</t>
  </si>
  <si>
    <t>P-101636</t>
  </si>
  <si>
    <t>S-01637</t>
  </si>
  <si>
    <t>P-101637</t>
  </si>
  <si>
    <t>S-01638</t>
  </si>
  <si>
    <t>P-101638</t>
  </si>
  <si>
    <t>S-01639</t>
  </si>
  <si>
    <t>P-101639</t>
  </si>
  <si>
    <t>S-01640</t>
  </si>
  <si>
    <t>P-101640</t>
  </si>
  <si>
    <t>S-01641</t>
  </si>
  <si>
    <t>P-101641</t>
  </si>
  <si>
    <t>S-01642</t>
  </si>
  <si>
    <t>P-101642</t>
  </si>
  <si>
    <t>S-01643</t>
  </si>
  <si>
    <t>P-101643</t>
  </si>
  <si>
    <t>S-01644</t>
  </si>
  <si>
    <t>P-101644</t>
  </si>
  <si>
    <t>S-01645</t>
  </si>
  <si>
    <t>P-101645</t>
  </si>
  <si>
    <t>S-01646</t>
  </si>
  <si>
    <t>P-101646</t>
  </si>
  <si>
    <t>S-01647</t>
  </si>
  <si>
    <t>P-101647</t>
  </si>
  <si>
    <t>S-01648</t>
  </si>
  <si>
    <t>P-101648</t>
  </si>
  <si>
    <t>S-01649</t>
  </si>
  <si>
    <t>P-101649</t>
  </si>
  <si>
    <t>S-01650</t>
  </si>
  <si>
    <t>P-101650</t>
  </si>
  <si>
    <t>S-01651</t>
  </si>
  <si>
    <t>P-101651</t>
  </si>
  <si>
    <t>S-01652</t>
  </si>
  <si>
    <t>P-101652</t>
  </si>
  <si>
    <t>S-01653</t>
  </si>
  <si>
    <t>P-101653</t>
  </si>
  <si>
    <t>S-01654</t>
  </si>
  <si>
    <t>P-101654</t>
  </si>
  <si>
    <t>S-01655</t>
  </si>
  <si>
    <t>P-101655</t>
  </si>
  <si>
    <t>S-01656</t>
  </si>
  <si>
    <t>P-101656</t>
  </si>
  <si>
    <t>S-01657</t>
  </si>
  <si>
    <t>P-101657</t>
  </si>
  <si>
    <t>S-01658</t>
  </si>
  <si>
    <t>P-101658</t>
  </si>
  <si>
    <t>S-01659</t>
  </si>
  <si>
    <t>P-101659</t>
  </si>
  <si>
    <t>S-01660</t>
  </si>
  <si>
    <t>P-101660</t>
  </si>
  <si>
    <t>S-01661</t>
  </si>
  <si>
    <t>P-101661</t>
  </si>
  <si>
    <t>S-01662</t>
  </si>
  <si>
    <t>P-101662</t>
  </si>
  <si>
    <t>S-01663</t>
  </si>
  <si>
    <t>P-101663</t>
  </si>
  <si>
    <t>S-01664</t>
  </si>
  <si>
    <t>P-101664</t>
  </si>
  <si>
    <t>S-01665</t>
  </si>
  <si>
    <t>P-101665</t>
  </si>
  <si>
    <t>S-01666</t>
  </si>
  <si>
    <t>P-101666</t>
  </si>
  <si>
    <t>S-01667</t>
  </si>
  <si>
    <t>P-101667</t>
  </si>
  <si>
    <t>S-01668</t>
  </si>
  <si>
    <t>P-101668</t>
  </si>
  <si>
    <t>S-01669</t>
  </si>
  <si>
    <t>P-101669</t>
  </si>
  <si>
    <t>S-01670</t>
  </si>
  <si>
    <t>P-101670</t>
  </si>
  <si>
    <t>S-01671</t>
  </si>
  <si>
    <t>P-101671</t>
  </si>
  <si>
    <t>S-01672</t>
  </si>
  <si>
    <t>P-101672</t>
  </si>
  <si>
    <t>S-01673</t>
  </si>
  <si>
    <t>P-101673</t>
  </si>
  <si>
    <t>S-01674</t>
  </si>
  <si>
    <t>P-101674</t>
  </si>
  <si>
    <t>S-01675</t>
  </si>
  <si>
    <t>P-101675</t>
  </si>
  <si>
    <t>S-01676</t>
  </si>
  <si>
    <t>P-101676</t>
  </si>
  <si>
    <t>S-01677</t>
  </si>
  <si>
    <t>P-101677</t>
  </si>
  <si>
    <t>S-01678</t>
  </si>
  <si>
    <t>P-101678</t>
  </si>
  <si>
    <t>S-01679</t>
  </si>
  <si>
    <t>P-101679</t>
  </si>
  <si>
    <t>S-01680</t>
  </si>
  <si>
    <t>P-101680</t>
  </si>
  <si>
    <t>S-01681</t>
  </si>
  <si>
    <t>P-101681</t>
  </si>
  <si>
    <t>S-01682</t>
  </si>
  <si>
    <t>P-101682</t>
  </si>
  <si>
    <t>S-01683</t>
  </si>
  <si>
    <t>P-101683</t>
  </si>
  <si>
    <t>S-01684</t>
  </si>
  <si>
    <t>P-101684</t>
  </si>
  <si>
    <t>S-01685</t>
  </si>
  <si>
    <t>P-101685</t>
  </si>
  <si>
    <t>S-01686</t>
  </si>
  <si>
    <t>P-101686</t>
  </si>
  <si>
    <t>S-01687</t>
  </si>
  <si>
    <t>P-101687</t>
  </si>
  <si>
    <t>S-01688</t>
  </si>
  <si>
    <t>P-101688</t>
  </si>
  <si>
    <t>S-01689</t>
  </si>
  <si>
    <t>P-101689</t>
  </si>
  <si>
    <t>S-01690</t>
  </si>
  <si>
    <t>P-101690</t>
  </si>
  <si>
    <t>S-01691</t>
  </si>
  <si>
    <t>P-101691</t>
  </si>
  <si>
    <t>S-01692</t>
  </si>
  <si>
    <t>P-101692</t>
  </si>
  <si>
    <t>S-01693</t>
  </si>
  <si>
    <t>P-101693</t>
  </si>
  <si>
    <t>S-01694</t>
  </si>
  <si>
    <t>P-101694</t>
  </si>
  <si>
    <t>S-01695</t>
  </si>
  <si>
    <t>P-101695</t>
  </si>
  <si>
    <t>S-01696</t>
  </si>
  <si>
    <t>P-101696</t>
  </si>
  <si>
    <t>S-01697</t>
  </si>
  <si>
    <t>P-101697</t>
  </si>
  <si>
    <t>S-01698</t>
  </si>
  <si>
    <t>P-101698</t>
  </si>
  <si>
    <t>S-01699</t>
  </si>
  <si>
    <t>P-101699</t>
  </si>
  <si>
    <t>S-01700</t>
  </si>
  <si>
    <t>P-101700</t>
  </si>
  <si>
    <t>S-01701</t>
  </si>
  <si>
    <t>P-101701</t>
  </si>
  <si>
    <t>S-01702</t>
  </si>
  <si>
    <t>P-101702</t>
  </si>
  <si>
    <t>S-01703</t>
  </si>
  <si>
    <t>P-101703</t>
  </si>
  <si>
    <t>S-01704</t>
  </si>
  <si>
    <t>P-101704</t>
  </si>
  <si>
    <t>S-01705</t>
  </si>
  <si>
    <t>P-101705</t>
  </si>
  <si>
    <t>S-01706</t>
  </si>
  <si>
    <t>P-101706</t>
  </si>
  <si>
    <t>S-01707</t>
  </si>
  <si>
    <t>P-101707</t>
  </si>
  <si>
    <t>S-01708</t>
  </si>
  <si>
    <t>P-101708</t>
  </si>
  <si>
    <t>S-01709</t>
  </si>
  <si>
    <t>P-101709</t>
  </si>
  <si>
    <t>S-01710</t>
  </si>
  <si>
    <t>P-101710</t>
  </si>
  <si>
    <t>S-01711</t>
  </si>
  <si>
    <t>P-101711</t>
  </si>
  <si>
    <t>S-01712</t>
  </si>
  <si>
    <t>P-101712</t>
  </si>
  <si>
    <t>S-01713</t>
  </si>
  <si>
    <t>P-101713</t>
  </si>
  <si>
    <t>S-01714</t>
  </si>
  <si>
    <t>P-101714</t>
  </si>
  <si>
    <t>S-01715</t>
  </si>
  <si>
    <t>P-101715</t>
  </si>
  <si>
    <t>S-01716</t>
  </si>
  <si>
    <t>P-101716</t>
  </si>
  <si>
    <t>S-01717</t>
  </si>
  <si>
    <t>P-101717</t>
  </si>
  <si>
    <t>S-01718</t>
  </si>
  <si>
    <t>P-101718</t>
  </si>
  <si>
    <t>S-01719</t>
  </si>
  <si>
    <t>P-101719</t>
  </si>
  <si>
    <t>S-01720</t>
  </si>
  <si>
    <t>P-101720</t>
  </si>
  <si>
    <t>S-01721</t>
  </si>
  <si>
    <t>P-101721</t>
  </si>
  <si>
    <t>S-01722</t>
  </si>
  <si>
    <t>P-101722</t>
  </si>
  <si>
    <t>S-01723</t>
  </si>
  <si>
    <t>P-101723</t>
  </si>
  <si>
    <t>S-01724</t>
  </si>
  <si>
    <t>P-101724</t>
  </si>
  <si>
    <t>S-01725</t>
  </si>
  <si>
    <t>P-101725</t>
  </si>
  <si>
    <t>S-01726</t>
  </si>
  <si>
    <t>P-101726</t>
  </si>
  <si>
    <t>S-01727</t>
  </si>
  <si>
    <t>P-101727</t>
  </si>
  <si>
    <t>S-01728</t>
  </si>
  <si>
    <t>P-101728</t>
  </si>
  <si>
    <t>S-01729</t>
  </si>
  <si>
    <t>P-101729</t>
  </si>
  <si>
    <t>S-01730</t>
  </si>
  <si>
    <t>P-101730</t>
  </si>
  <si>
    <t>S-01731</t>
  </si>
  <si>
    <t>P-101731</t>
  </si>
  <si>
    <t>S-01732</t>
  </si>
  <si>
    <t>P-101732</t>
  </si>
  <si>
    <t>S-01733</t>
  </si>
  <si>
    <t>P-101733</t>
  </si>
  <si>
    <t>S-01734</t>
  </si>
  <si>
    <t>P-101734</t>
  </si>
  <si>
    <t>S-01735</t>
  </si>
  <si>
    <t>P-101735</t>
  </si>
  <si>
    <t>S-01736</t>
  </si>
  <si>
    <t>P-101736</t>
  </si>
  <si>
    <t>S-01737</t>
  </si>
  <si>
    <t>P-101737</t>
  </si>
  <si>
    <t>S-01738</t>
  </si>
  <si>
    <t>P-101738</t>
  </si>
  <si>
    <t>S-01739</t>
  </si>
  <si>
    <t>P-101739</t>
  </si>
  <si>
    <t>S-01740</t>
  </si>
  <si>
    <t>P-101740</t>
  </si>
  <si>
    <t>S-01741</t>
  </si>
  <si>
    <t>P-101741</t>
  </si>
  <si>
    <t>S-01742</t>
  </si>
  <si>
    <t>P-101742</t>
  </si>
  <si>
    <t>S-01743</t>
  </si>
  <si>
    <t>P-101743</t>
  </si>
  <si>
    <t>S-01744</t>
  </si>
  <si>
    <t>P-101744</t>
  </si>
  <si>
    <t>S-01745</t>
  </si>
  <si>
    <t>P-101745</t>
  </si>
  <si>
    <t>S-01746</t>
  </si>
  <si>
    <t>P-101746</t>
  </si>
  <si>
    <t>S-01747</t>
  </si>
  <si>
    <t>P-101747</t>
  </si>
  <si>
    <t>S-01748</t>
  </si>
  <si>
    <t>P-101748</t>
  </si>
  <si>
    <t>S-01749</t>
  </si>
  <si>
    <t>P-101749</t>
  </si>
  <si>
    <t>S-01750</t>
  </si>
  <si>
    <t>P-101750</t>
  </si>
  <si>
    <t>S-01751</t>
  </si>
  <si>
    <t>P-101751</t>
  </si>
  <si>
    <t>S-01752</t>
  </si>
  <si>
    <t>P-101752</t>
  </si>
  <si>
    <t>S-01753</t>
  </si>
  <si>
    <t>P-101753</t>
  </si>
  <si>
    <t>S-01754</t>
  </si>
  <si>
    <t>P-101754</t>
  </si>
  <si>
    <t>S-01755</t>
  </si>
  <si>
    <t>P-101755</t>
  </si>
  <si>
    <t>S-01756</t>
  </si>
  <si>
    <t>P-101756</t>
  </si>
  <si>
    <t>S-01757</t>
  </si>
  <si>
    <t>P-101757</t>
  </si>
  <si>
    <t>S-01758</t>
  </si>
  <si>
    <t>P-101758</t>
  </si>
  <si>
    <t>S-01759</t>
  </si>
  <si>
    <t>P-101759</t>
  </si>
  <si>
    <t>S-01760</t>
  </si>
  <si>
    <t>P-101760</t>
  </si>
  <si>
    <t>S-01761</t>
  </si>
  <si>
    <t>P-101761</t>
  </si>
  <si>
    <t>S-01762</t>
  </si>
  <si>
    <t>P-101762</t>
  </si>
  <si>
    <t>S-01763</t>
  </si>
  <si>
    <t>P-101763</t>
  </si>
  <si>
    <t>S-01764</t>
  </si>
  <si>
    <t>P-101764</t>
  </si>
  <si>
    <t>S-01765</t>
  </si>
  <si>
    <t>P-101765</t>
  </si>
  <si>
    <t>S-01766</t>
  </si>
  <si>
    <t>P-101766</t>
  </si>
  <si>
    <t>S-01767</t>
  </si>
  <si>
    <t>P-101767</t>
  </si>
  <si>
    <t>S-01768</t>
  </si>
  <si>
    <t>P-101768</t>
  </si>
  <si>
    <t>S-01769</t>
  </si>
  <si>
    <t>P-101769</t>
  </si>
  <si>
    <t>S-01770</t>
  </si>
  <si>
    <t>P-101770</t>
  </si>
  <si>
    <t>S-01771</t>
  </si>
  <si>
    <t>P-101771</t>
  </si>
  <si>
    <t>S-01772</t>
  </si>
  <si>
    <t>P-101772</t>
  </si>
  <si>
    <t>S-01773</t>
  </si>
  <si>
    <t>P-101773</t>
  </si>
  <si>
    <t>S-01774</t>
  </si>
  <si>
    <t>P-101774</t>
  </si>
  <si>
    <t>S-01775</t>
  </si>
  <si>
    <t>P-101775</t>
  </si>
  <si>
    <t>S-01776</t>
  </si>
  <si>
    <t>P-101776</t>
  </si>
  <si>
    <t>S-01777</t>
  </si>
  <si>
    <t>P-101777</t>
  </si>
  <si>
    <t>S-01778</t>
  </si>
  <si>
    <t>P-101778</t>
  </si>
  <si>
    <t>S-01779</t>
  </si>
  <si>
    <t>P-101779</t>
  </si>
  <si>
    <t>S-01780</t>
  </si>
  <si>
    <t>P-101780</t>
  </si>
  <si>
    <t>S-01781</t>
  </si>
  <si>
    <t>P-101781</t>
  </si>
  <si>
    <t>S-01782</t>
  </si>
  <si>
    <t>P-101782</t>
  </si>
  <si>
    <t>S-01783</t>
  </si>
  <si>
    <t>P-101783</t>
  </si>
  <si>
    <t>S-01784</t>
  </si>
  <si>
    <t>P-101784</t>
  </si>
  <si>
    <t>S-01785</t>
  </si>
  <si>
    <t>P-101785</t>
  </si>
  <si>
    <t>S-01786</t>
  </si>
  <si>
    <t>P-101786</t>
  </si>
  <si>
    <t>S-01787</t>
  </si>
  <si>
    <t>P-101787</t>
  </si>
  <si>
    <t>S-01788</t>
  </si>
  <si>
    <t>P-101788</t>
  </si>
  <si>
    <t>S-01789</t>
  </si>
  <si>
    <t>P-101789</t>
  </si>
  <si>
    <t>S-01790</t>
  </si>
  <si>
    <t>P-101790</t>
  </si>
  <si>
    <t>S-01791</t>
  </si>
  <si>
    <t>P-101791</t>
  </si>
  <si>
    <t>S-01792</t>
  </si>
  <si>
    <t>P-101792</t>
  </si>
  <si>
    <t>S-01793</t>
  </si>
  <si>
    <t>P-101793</t>
  </si>
  <si>
    <t>S-01794</t>
  </si>
  <si>
    <t>P-101794</t>
  </si>
  <si>
    <t>S-01795</t>
  </si>
  <si>
    <t>P-101795</t>
  </si>
  <si>
    <t>S-01796</t>
  </si>
  <si>
    <t>P-101796</t>
  </si>
  <si>
    <t>S-01797</t>
  </si>
  <si>
    <t>P-101797</t>
  </si>
  <si>
    <t>S-01798</t>
  </si>
  <si>
    <t>P-101798</t>
  </si>
  <si>
    <t>S-01799</t>
  </si>
  <si>
    <t>P-101799</t>
  </si>
  <si>
    <t>S-01800</t>
  </si>
  <si>
    <t>P-101800</t>
  </si>
  <si>
    <t>S-01801</t>
  </si>
  <si>
    <t>P-101801</t>
  </si>
  <si>
    <t>S-01802</t>
  </si>
  <si>
    <t>P-101802</t>
  </si>
  <si>
    <t>S-01803</t>
  </si>
  <si>
    <t>P-101803</t>
  </si>
  <si>
    <t>S-01804</t>
  </si>
  <si>
    <t>P-101804</t>
  </si>
  <si>
    <t>S-01805</t>
  </si>
  <si>
    <t>P-101805</t>
  </si>
  <si>
    <t>S-01806</t>
  </si>
  <si>
    <t>P-101806</t>
  </si>
  <si>
    <t>S-01807</t>
  </si>
  <si>
    <t>P-101807</t>
  </si>
  <si>
    <t>S-01808</t>
  </si>
  <si>
    <t>P-101808</t>
  </si>
  <si>
    <t>S-01809</t>
  </si>
  <si>
    <t>P-101809</t>
  </si>
  <si>
    <t>S-01810</t>
  </si>
  <si>
    <t>P-101810</t>
  </si>
  <si>
    <t>S-01811</t>
  </si>
  <si>
    <t>P-101811</t>
  </si>
  <si>
    <t>S-01812</t>
  </si>
  <si>
    <t>P-101812</t>
  </si>
  <si>
    <t>S-01813</t>
  </si>
  <si>
    <t>P-101813</t>
  </si>
  <si>
    <t>S-01814</t>
  </si>
  <si>
    <t>P-101814</t>
  </si>
  <si>
    <t>S-01815</t>
  </si>
  <si>
    <t>P-101815</t>
  </si>
  <si>
    <t>S-01816</t>
  </si>
  <si>
    <t>P-101816</t>
  </si>
  <si>
    <t>S-01817</t>
  </si>
  <si>
    <t>P-101817</t>
  </si>
  <si>
    <t>S-01818</t>
  </si>
  <si>
    <t>P-101818</t>
  </si>
  <si>
    <t>S-01819</t>
  </si>
  <si>
    <t>P-101819</t>
  </si>
  <si>
    <t>S-01820</t>
  </si>
  <si>
    <t>P-101820</t>
  </si>
  <si>
    <t>S-01821</t>
  </si>
  <si>
    <t>P-101821</t>
  </si>
  <si>
    <t>S-01822</t>
  </si>
  <si>
    <t>P-101822</t>
  </si>
  <si>
    <t>S-01823</t>
  </si>
  <si>
    <t>P-101823</t>
  </si>
  <si>
    <t>S-01824</t>
  </si>
  <si>
    <t>P-101824</t>
  </si>
  <si>
    <t>S-01825</t>
  </si>
  <si>
    <t>P-101825</t>
  </si>
  <si>
    <t>S-01826</t>
  </si>
  <si>
    <t>P-101826</t>
  </si>
  <si>
    <t>S-01827</t>
  </si>
  <si>
    <t>P-101827</t>
  </si>
  <si>
    <t>S-01828</t>
  </si>
  <si>
    <t>P-101828</t>
  </si>
  <si>
    <t>S-01829</t>
  </si>
  <si>
    <t>P-101829</t>
  </si>
  <si>
    <t>S-01830</t>
  </si>
  <si>
    <t>P-101830</t>
  </si>
  <si>
    <t>S-01831</t>
  </si>
  <si>
    <t>P-101831</t>
  </si>
  <si>
    <t>S-01832</t>
  </si>
  <si>
    <t>P-101832</t>
  </si>
  <si>
    <t>S-01833</t>
  </si>
  <si>
    <t>P-101833</t>
  </si>
  <si>
    <t>S-01834</t>
  </si>
  <si>
    <t>P-101834</t>
  </si>
  <si>
    <t>S-01835</t>
  </si>
  <si>
    <t>P-101835</t>
  </si>
  <si>
    <t>S-01836</t>
  </si>
  <si>
    <t>P-101836</t>
  </si>
  <si>
    <t>S-01837</t>
  </si>
  <si>
    <t>P-101837</t>
  </si>
  <si>
    <t>S-01838</t>
  </si>
  <si>
    <t>P-101838</t>
  </si>
  <si>
    <t>S-01839</t>
  </si>
  <si>
    <t>P-101839</t>
  </si>
  <si>
    <t>S-01840</t>
  </si>
  <si>
    <t>P-101840</t>
  </si>
  <si>
    <t>S-01841</t>
  </si>
  <si>
    <t>P-101841</t>
  </si>
  <si>
    <t>S-01842</t>
  </si>
  <si>
    <t>P-101842</t>
  </si>
  <si>
    <t>S-01843</t>
  </si>
  <si>
    <t>P-101843</t>
  </si>
  <si>
    <t>S-01844</t>
  </si>
  <si>
    <t>P-101844</t>
  </si>
  <si>
    <t>S-01845</t>
  </si>
  <si>
    <t>P-101845</t>
  </si>
  <si>
    <t>S-01846</t>
  </si>
  <si>
    <t>P-101846</t>
  </si>
  <si>
    <t>S-01847</t>
  </si>
  <si>
    <t>P-101847</t>
  </si>
  <si>
    <t>S-01848</t>
  </si>
  <si>
    <t>P-101848</t>
  </si>
  <si>
    <t>S-01849</t>
  </si>
  <si>
    <t>P-101849</t>
  </si>
  <si>
    <t>S-01850</t>
  </si>
  <si>
    <t>P-101850</t>
  </si>
  <si>
    <t>S-01851</t>
  </si>
  <si>
    <t>P-101851</t>
  </si>
  <si>
    <t>S-01852</t>
  </si>
  <si>
    <t>P-101852</t>
  </si>
  <si>
    <t>S-01853</t>
  </si>
  <si>
    <t>P-101853</t>
  </si>
  <si>
    <t>S-01854</t>
  </si>
  <si>
    <t>P-101854</t>
  </si>
  <si>
    <t>S-01855</t>
  </si>
  <si>
    <t>P-101855</t>
  </si>
  <si>
    <t>S-01856</t>
  </si>
  <si>
    <t>P-101856</t>
  </si>
  <si>
    <t>S-01857</t>
  </si>
  <si>
    <t>P-101857</t>
  </si>
  <si>
    <t>S-01858</t>
  </si>
  <si>
    <t>P-101858</t>
  </si>
  <si>
    <t>S-01859</t>
  </si>
  <si>
    <t>P-101859</t>
  </si>
  <si>
    <t>S-01860</t>
  </si>
  <si>
    <t>P-101860</t>
  </si>
  <si>
    <t>S-01861</t>
  </si>
  <si>
    <t>P-101861</t>
  </si>
  <si>
    <t>S-01862</t>
  </si>
  <si>
    <t>P-101862</t>
  </si>
  <si>
    <t>S-01863</t>
  </si>
  <si>
    <t>P-101863</t>
  </si>
  <si>
    <t>S-01864</t>
  </si>
  <si>
    <t>P-101864</t>
  </si>
  <si>
    <t>S-01865</t>
  </si>
  <si>
    <t>P-101865</t>
  </si>
  <si>
    <t>S-01866</t>
  </si>
  <si>
    <t>P-101866</t>
  </si>
  <si>
    <t>S-01867</t>
  </si>
  <si>
    <t>P-101867</t>
  </si>
  <si>
    <t>S-01868</t>
  </si>
  <si>
    <t>P-101868</t>
  </si>
  <si>
    <t>S-01869</t>
  </si>
  <si>
    <t>P-101869</t>
  </si>
  <si>
    <t>S-01870</t>
  </si>
  <si>
    <t>P-101870</t>
  </si>
  <si>
    <t>S-01871</t>
  </si>
  <si>
    <t>P-101871</t>
  </si>
  <si>
    <t>S-01872</t>
  </si>
  <si>
    <t>P-101872</t>
  </si>
  <si>
    <t>S-01873</t>
  </si>
  <si>
    <t>P-101873</t>
  </si>
  <si>
    <t>S-01874</t>
  </si>
  <si>
    <t>P-101874</t>
  </si>
  <si>
    <t>S-01875</t>
  </si>
  <si>
    <t>P-101875</t>
  </si>
  <si>
    <t>S-01876</t>
  </si>
  <si>
    <t>P-101876</t>
  </si>
  <si>
    <t>S-01877</t>
  </si>
  <si>
    <t>P-101877</t>
  </si>
  <si>
    <t>S-01878</t>
  </si>
  <si>
    <t>P-101878</t>
  </si>
  <si>
    <t>S-01879</t>
  </si>
  <si>
    <t>P-101879</t>
  </si>
  <si>
    <t>S-01880</t>
  </si>
  <si>
    <t>P-101880</t>
  </si>
  <si>
    <t>S-01881</t>
  </si>
  <si>
    <t>P-101881</t>
  </si>
  <si>
    <t>S-01882</t>
  </si>
  <si>
    <t>P-101882</t>
  </si>
  <si>
    <t>S-01883</t>
  </si>
  <si>
    <t>P-101883</t>
  </si>
  <si>
    <t>S-01884</t>
  </si>
  <si>
    <t>P-101884</t>
  </si>
  <si>
    <t>S-01885</t>
  </si>
  <si>
    <t>P-101885</t>
  </si>
  <si>
    <t>S-01886</t>
  </si>
  <si>
    <t>P-101886</t>
  </si>
  <si>
    <t>S-01887</t>
  </si>
  <si>
    <t>P-101887</t>
  </si>
  <si>
    <t>S-01888</t>
  </si>
  <si>
    <t>P-101888</t>
  </si>
  <si>
    <t>S-01889</t>
  </si>
  <si>
    <t>P-101889</t>
  </si>
  <si>
    <t>S-01890</t>
  </si>
  <si>
    <t>P-101890</t>
  </si>
  <si>
    <t>S-01891</t>
  </si>
  <si>
    <t>P-101891</t>
  </si>
  <si>
    <t>S-01892</t>
  </si>
  <si>
    <t>P-101892</t>
  </si>
  <si>
    <t>S-01893</t>
  </si>
  <si>
    <t>P-101893</t>
  </si>
  <si>
    <t>S-01894</t>
  </si>
  <si>
    <t>P-101894</t>
  </si>
  <si>
    <t>S-01895</t>
  </si>
  <si>
    <t>P-101895</t>
  </si>
  <si>
    <t>S-01896</t>
  </si>
  <si>
    <t>P-101896</t>
  </si>
  <si>
    <t>S-01897</t>
  </si>
  <si>
    <t>P-101897</t>
  </si>
  <si>
    <t>S-01898</t>
  </si>
  <si>
    <t>P-101898</t>
  </si>
  <si>
    <t>S-01899</t>
  </si>
  <si>
    <t>P-101899</t>
  </si>
  <si>
    <t>S-01900</t>
  </si>
  <si>
    <t>P-101900</t>
  </si>
  <si>
    <t>S-01901</t>
  </si>
  <si>
    <t>P-101901</t>
  </si>
  <si>
    <t>S-01902</t>
  </si>
  <si>
    <t>P-101902</t>
  </si>
  <si>
    <t>S-01903</t>
  </si>
  <si>
    <t>P-101903</t>
  </si>
  <si>
    <t>S-01904</t>
  </si>
  <si>
    <t>P-101904</t>
  </si>
  <si>
    <t>S-01905</t>
  </si>
  <si>
    <t>P-101905</t>
  </si>
  <si>
    <t>S-01906</t>
  </si>
  <si>
    <t>P-101906</t>
  </si>
  <si>
    <t>S-01907</t>
  </si>
  <si>
    <t>P-101907</t>
  </si>
  <si>
    <t>S-01908</t>
  </si>
  <si>
    <t>P-101908</t>
  </si>
  <si>
    <t>S-01909</t>
  </si>
  <si>
    <t>P-101909</t>
  </si>
  <si>
    <t>S-01910</t>
  </si>
  <si>
    <t>P-101910</t>
  </si>
  <si>
    <t>S-01911</t>
  </si>
  <si>
    <t>P-101911</t>
  </si>
  <si>
    <t>S-01912</t>
  </si>
  <si>
    <t>P-101912</t>
  </si>
  <si>
    <t>S-01913</t>
  </si>
  <si>
    <t>P-101913</t>
  </si>
  <si>
    <t>S-01914</t>
  </si>
  <si>
    <t>P-101914</t>
  </si>
  <si>
    <t>S-01915</t>
  </si>
  <si>
    <t>P-101915</t>
  </si>
  <si>
    <t>S-01916</t>
  </si>
  <si>
    <t>P-101916</t>
  </si>
  <si>
    <t>S-01917</t>
  </si>
  <si>
    <t>P-101917</t>
  </si>
  <si>
    <t>S-01918</t>
  </si>
  <si>
    <t>P-101918</t>
  </si>
  <si>
    <t>S-01919</t>
  </si>
  <si>
    <t>P-101919</t>
  </si>
  <si>
    <t>S-01920</t>
  </si>
  <si>
    <t>P-101920</t>
  </si>
  <si>
    <t>S-01921</t>
  </si>
  <si>
    <t>P-101921</t>
  </si>
  <si>
    <t>S-01922</t>
  </si>
  <si>
    <t>P-101922</t>
  </si>
  <si>
    <t>S-01923</t>
  </si>
  <si>
    <t>P-101923</t>
  </si>
  <si>
    <t>S-01924</t>
  </si>
  <si>
    <t>P-101924</t>
  </si>
  <si>
    <t>S-01925</t>
  </si>
  <si>
    <t>P-101925</t>
  </si>
  <si>
    <t>S-01926</t>
  </si>
  <si>
    <t>P-101926</t>
  </si>
  <si>
    <t>S-01927</t>
  </si>
  <si>
    <t>P-101927</t>
  </si>
  <si>
    <t>S-01928</t>
  </si>
  <si>
    <t>P-101928</t>
  </si>
  <si>
    <t>S-01929</t>
  </si>
  <si>
    <t>P-101929</t>
  </si>
  <si>
    <t>S-01930</t>
  </si>
  <si>
    <t>P-101930</t>
  </si>
  <si>
    <t>S-01931</t>
  </si>
  <si>
    <t>P-101931</t>
  </si>
  <si>
    <t>S-01932</t>
  </si>
  <si>
    <t>P-101932</t>
  </si>
  <si>
    <t>S-01933</t>
  </si>
  <si>
    <t>P-101933</t>
  </si>
  <si>
    <t>S-01934</t>
  </si>
  <si>
    <t>P-101934</t>
  </si>
  <si>
    <t>S-01935</t>
  </si>
  <si>
    <t>P-101935</t>
  </si>
  <si>
    <t>S-01936</t>
  </si>
  <si>
    <t>P-101936</t>
  </si>
  <si>
    <t>S-01937</t>
  </si>
  <si>
    <t>P-101937</t>
  </si>
  <si>
    <t>S-01938</t>
  </si>
  <si>
    <t>P-101938</t>
  </si>
  <si>
    <t>S-01939</t>
  </si>
  <si>
    <t>P-101939</t>
  </si>
  <si>
    <t>S-01940</t>
  </si>
  <si>
    <t>P-101940</t>
  </si>
  <si>
    <t>S-01941</t>
  </si>
  <si>
    <t>P-101941</t>
  </si>
  <si>
    <t>S-01942</t>
  </si>
  <si>
    <t>P-101942</t>
  </si>
  <si>
    <t>S-01943</t>
  </si>
  <si>
    <t>P-101943</t>
  </si>
  <si>
    <t>S-01944</t>
  </si>
  <si>
    <t>P-101944</t>
  </si>
  <si>
    <t>S-01945</t>
  </si>
  <si>
    <t>P-101945</t>
  </si>
  <si>
    <t>S-01946</t>
  </si>
  <si>
    <t>P-101946</t>
  </si>
  <si>
    <t>S-01947</t>
  </si>
  <si>
    <t>P-101947</t>
  </si>
  <si>
    <t>S-01948</t>
  </si>
  <si>
    <t>P-101948</t>
  </si>
  <si>
    <t>S-01949</t>
  </si>
  <si>
    <t>P-101949</t>
  </si>
  <si>
    <t>S-01950</t>
  </si>
  <si>
    <t>P-101950</t>
  </si>
  <si>
    <t>S-01951</t>
  </si>
  <si>
    <t>P-101951</t>
  </si>
  <si>
    <t>S-01952</t>
  </si>
  <si>
    <t>P-101952</t>
  </si>
  <si>
    <t>S-01953</t>
  </si>
  <si>
    <t>P-101953</t>
  </si>
  <si>
    <t>S-01954</t>
  </si>
  <si>
    <t>P-101954</t>
  </si>
  <si>
    <t>S-01955</t>
  </si>
  <si>
    <t>P-101955</t>
  </si>
  <si>
    <t>S-01956</t>
  </si>
  <si>
    <t>P-101956</t>
  </si>
  <si>
    <t>S-01957</t>
  </si>
  <si>
    <t>P-101957</t>
  </si>
  <si>
    <t>S-01958</t>
  </si>
  <si>
    <t>P-101958</t>
  </si>
  <si>
    <t>S-01959</t>
  </si>
  <si>
    <t>P-101959</t>
  </si>
  <si>
    <t>S-01960</t>
  </si>
  <si>
    <t>P-101960</t>
  </si>
  <si>
    <t>S-01961</t>
  </si>
  <si>
    <t>P-101961</t>
  </si>
  <si>
    <t>S-01962</t>
  </si>
  <si>
    <t>P-101962</t>
  </si>
  <si>
    <t>S-01963</t>
  </si>
  <si>
    <t>P-101963</t>
  </si>
  <si>
    <t>S-01964</t>
  </si>
  <si>
    <t>P-101964</t>
  </si>
  <si>
    <t>S-01965</t>
  </si>
  <si>
    <t>P-101965</t>
  </si>
  <si>
    <t>S-01966</t>
  </si>
  <si>
    <t>P-101966</t>
  </si>
  <si>
    <t>S-01967</t>
  </si>
  <si>
    <t>P-101967</t>
  </si>
  <si>
    <t>S-01968</t>
  </si>
  <si>
    <t>P-101968</t>
  </si>
  <si>
    <t>S-01969</t>
  </si>
  <si>
    <t>P-101969</t>
  </si>
  <si>
    <t>S-01970</t>
  </si>
  <si>
    <t>P-101970</t>
  </si>
  <si>
    <t>S-01971</t>
  </si>
  <si>
    <t>P-101971</t>
  </si>
  <si>
    <t>S-01972</t>
  </si>
  <si>
    <t>P-101972</t>
  </si>
  <si>
    <t>S-01973</t>
  </si>
  <si>
    <t>P-101973</t>
  </si>
  <si>
    <t>S-01974</t>
  </si>
  <si>
    <t>P-101974</t>
  </si>
  <si>
    <t>S-01975</t>
  </si>
  <si>
    <t>P-101975</t>
  </si>
  <si>
    <t>S-01976</t>
  </si>
  <si>
    <t>P-101976</t>
  </si>
  <si>
    <t>S-01977</t>
  </si>
  <si>
    <t>P-101977</t>
  </si>
  <si>
    <t>S-01978</t>
  </si>
  <si>
    <t>P-101978</t>
  </si>
  <si>
    <t>S-01979</t>
  </si>
  <si>
    <t>P-101979</t>
  </si>
  <si>
    <t>S-01980</t>
  </si>
  <si>
    <t>P-101980</t>
  </si>
  <si>
    <t>S-01981</t>
  </si>
  <si>
    <t>P-101981</t>
  </si>
  <si>
    <t>S-01982</t>
  </si>
  <si>
    <t>P-101982</t>
  </si>
  <si>
    <t>S-01983</t>
  </si>
  <si>
    <t>P-101983</t>
  </si>
  <si>
    <t>S-01984</t>
  </si>
  <si>
    <t>P-101984</t>
  </si>
  <si>
    <t>S-01985</t>
  </si>
  <si>
    <t>P-101985</t>
  </si>
  <si>
    <t>S-01986</t>
  </si>
  <si>
    <t>P-101986</t>
  </si>
  <si>
    <t>S-01987</t>
  </si>
  <si>
    <t>P-101987</t>
  </si>
  <si>
    <t>S-01988</t>
  </si>
  <si>
    <t>P-101988</t>
  </si>
  <si>
    <t>S-01989</t>
  </si>
  <si>
    <t>P-101989</t>
  </si>
  <si>
    <t>S-01990</t>
  </si>
  <si>
    <t>P-101990</t>
  </si>
  <si>
    <t>S-01991</t>
  </si>
  <si>
    <t>P-101991</t>
  </si>
  <si>
    <t>S-01992</t>
  </si>
  <si>
    <t>P-101992</t>
  </si>
  <si>
    <t>S-01993</t>
  </si>
  <si>
    <t>P-101993</t>
  </si>
  <si>
    <t>S-01994</t>
  </si>
  <si>
    <t>P-101994</t>
  </si>
  <si>
    <t>S-01995</t>
  </si>
  <si>
    <t>P-101995</t>
  </si>
  <si>
    <t>S-01996</t>
  </si>
  <si>
    <t>P-101996</t>
  </si>
  <si>
    <t>S-01997</t>
  </si>
  <si>
    <t>P-101997</t>
  </si>
  <si>
    <t>S-01998</t>
  </si>
  <si>
    <t>P-101998</t>
  </si>
  <si>
    <t>S-01999</t>
  </si>
  <si>
    <t>P-101999</t>
  </si>
  <si>
    <t>S-02000</t>
  </si>
  <si>
    <t>P-102000</t>
  </si>
  <si>
    <t>S-02001</t>
  </si>
  <si>
    <t>P-102001</t>
  </si>
  <si>
    <t>S-02002</t>
  </si>
  <si>
    <t>P-102002</t>
  </si>
  <si>
    <t>S-02003</t>
  </si>
  <si>
    <t>P-102003</t>
  </si>
  <si>
    <t>S-02004</t>
  </si>
  <si>
    <t>P-102004</t>
  </si>
  <si>
    <t>S-02005</t>
  </si>
  <si>
    <t>P-102005</t>
  </si>
  <si>
    <t>S-02006</t>
  </si>
  <si>
    <t>P-102006</t>
  </si>
  <si>
    <t>S-02007</t>
  </si>
  <si>
    <t>P-102007</t>
  </si>
  <si>
    <t>S-02008</t>
  </si>
  <si>
    <t>P-102008</t>
  </si>
  <si>
    <t>S-02009</t>
  </si>
  <si>
    <t>P-102009</t>
  </si>
  <si>
    <t>S-02010</t>
  </si>
  <si>
    <t>P-102010</t>
  </si>
  <si>
    <t>S-02011</t>
  </si>
  <si>
    <t>P-102011</t>
  </si>
  <si>
    <t>S-02012</t>
  </si>
  <si>
    <t>P-102012</t>
  </si>
  <si>
    <t>S-02013</t>
  </si>
  <si>
    <t>P-102013</t>
  </si>
  <si>
    <t>S-02014</t>
  </si>
  <si>
    <t>P-102014</t>
  </si>
  <si>
    <t>S-02015</t>
  </si>
  <si>
    <t>P-102015</t>
  </si>
  <si>
    <t>S-02016</t>
  </si>
  <si>
    <t>P-102016</t>
  </si>
  <si>
    <t>S-02017</t>
  </si>
  <si>
    <t>P-102017</t>
  </si>
  <si>
    <t>S-02018</t>
  </si>
  <si>
    <t>P-102018</t>
  </si>
  <si>
    <t>S-02019</t>
  </si>
  <si>
    <t>P-102019</t>
  </si>
  <si>
    <t>S-02020</t>
  </si>
  <si>
    <t>P-102020</t>
  </si>
  <si>
    <t>S-02021</t>
  </si>
  <si>
    <t>P-102021</t>
  </si>
  <si>
    <t>S-02022</t>
  </si>
  <si>
    <t>P-102022</t>
  </si>
  <si>
    <t>S-02023</t>
  </si>
  <si>
    <t>P-102023</t>
  </si>
  <si>
    <t>S-02024</t>
  </si>
  <si>
    <t>P-102024</t>
  </si>
  <si>
    <t>S-02025</t>
  </si>
  <si>
    <t>P-102025</t>
  </si>
  <si>
    <t>S-02026</t>
  </si>
  <si>
    <t>P-102026</t>
  </si>
  <si>
    <t>S-02027</t>
  </si>
  <si>
    <t>P-102027</t>
  </si>
  <si>
    <t>S-02028</t>
  </si>
  <si>
    <t>P-102028</t>
  </si>
  <si>
    <t>S-02029</t>
  </si>
  <si>
    <t>P-102029</t>
  </si>
  <si>
    <t>S-02030</t>
  </si>
  <si>
    <t>P-102030</t>
  </si>
  <si>
    <t>S-02031</t>
  </si>
  <si>
    <t>P-102031</t>
  </si>
  <si>
    <t>S-02032</t>
  </si>
  <si>
    <t>P-102032</t>
  </si>
  <si>
    <t>S-02033</t>
  </si>
  <si>
    <t>P-102033</t>
  </si>
  <si>
    <t>S-02034</t>
  </si>
  <si>
    <t>P-102034</t>
  </si>
  <si>
    <t>S-02035</t>
  </si>
  <si>
    <t>P-102035</t>
  </si>
  <si>
    <t>S-02036</t>
  </si>
  <si>
    <t>P-102036</t>
  </si>
  <si>
    <t>S-02037</t>
  </si>
  <si>
    <t>P-102037</t>
  </si>
  <si>
    <t>S-02038</t>
  </si>
  <si>
    <t>P-102038</t>
  </si>
  <si>
    <t>S-02039</t>
  </si>
  <si>
    <t>P-102039</t>
  </si>
  <si>
    <t>S-02040</t>
  </si>
  <si>
    <t>P-102040</t>
  </si>
  <si>
    <t>S-02041</t>
  </si>
  <si>
    <t>P-102041</t>
  </si>
  <si>
    <t>S-02042</t>
  </si>
  <si>
    <t>P-102042</t>
  </si>
  <si>
    <t>S-02043</t>
  </si>
  <si>
    <t>P-102043</t>
  </si>
  <si>
    <t>S-02044</t>
  </si>
  <si>
    <t>P-102044</t>
  </si>
  <si>
    <t>S-02045</t>
  </si>
  <si>
    <t>P-102045</t>
  </si>
  <si>
    <t>S-02046</t>
  </si>
  <si>
    <t>P-102046</t>
  </si>
  <si>
    <t>S-02047</t>
  </si>
  <si>
    <t>P-102047</t>
  </si>
  <si>
    <t>S-02048</t>
  </si>
  <si>
    <t>P-102048</t>
  </si>
  <si>
    <t>S-02049</t>
  </si>
  <si>
    <t>P-102049</t>
  </si>
  <si>
    <t>S-02050</t>
  </si>
  <si>
    <t>P-102050</t>
  </si>
  <si>
    <t>S-02051</t>
  </si>
  <si>
    <t>P-102051</t>
  </si>
  <si>
    <t>S-02052</t>
  </si>
  <si>
    <t>P-102052</t>
  </si>
  <si>
    <t>S-02053</t>
  </si>
  <si>
    <t>P-102053</t>
  </si>
  <si>
    <t>S-02054</t>
  </si>
  <si>
    <t>P-102054</t>
  </si>
  <si>
    <t>S-02055</t>
  </si>
  <si>
    <t>P-102055</t>
  </si>
  <si>
    <t>S-02056</t>
  </si>
  <si>
    <t>P-102056</t>
  </si>
  <si>
    <t>S-02057</t>
  </si>
  <si>
    <t>P-102057</t>
  </si>
  <si>
    <t>S-02058</t>
  </si>
  <si>
    <t>P-102058</t>
  </si>
  <si>
    <t>S-02059</t>
  </si>
  <si>
    <t>P-102059</t>
  </si>
  <si>
    <t>S-02060</t>
  </si>
  <si>
    <t>P-102060</t>
  </si>
  <si>
    <t>S-02061</t>
  </si>
  <si>
    <t>P-102061</t>
  </si>
  <si>
    <t>S-02062</t>
  </si>
  <si>
    <t>P-102062</t>
  </si>
  <si>
    <t>S-02063</t>
  </si>
  <si>
    <t>P-102063</t>
  </si>
  <si>
    <t>S-02064</t>
  </si>
  <si>
    <t>P-102064</t>
  </si>
  <si>
    <t>S-02065</t>
  </si>
  <si>
    <t>P-102065</t>
  </si>
  <si>
    <t>S-02066</t>
  </si>
  <si>
    <t>P-102066</t>
  </si>
  <si>
    <t>S-02067</t>
  </si>
  <si>
    <t>P-102067</t>
  </si>
  <si>
    <t>S-02068</t>
  </si>
  <si>
    <t>P-102068</t>
  </si>
  <si>
    <t>S-02069</t>
  </si>
  <si>
    <t>P-102069</t>
  </si>
  <si>
    <t>S-02070</t>
  </si>
  <si>
    <t>P-102070</t>
  </si>
  <si>
    <t>S-02071</t>
  </si>
  <si>
    <t>P-102071</t>
  </si>
  <si>
    <t>S-02072</t>
  </si>
  <si>
    <t>P-102072</t>
  </si>
  <si>
    <t>S-02073</t>
  </si>
  <si>
    <t>P-102073</t>
  </si>
  <si>
    <t>S-02074</t>
  </si>
  <si>
    <t>P-102074</t>
  </si>
  <si>
    <t>S-02075</t>
  </si>
  <si>
    <t>P-102075</t>
  </si>
  <si>
    <t>S-02076</t>
  </si>
  <si>
    <t>P-102076</t>
  </si>
  <si>
    <t>S-02077</t>
  </si>
  <si>
    <t>P-102077</t>
  </si>
  <si>
    <t>S-02078</t>
  </si>
  <si>
    <t>P-102078</t>
  </si>
  <si>
    <t>S-02079</t>
  </si>
  <si>
    <t>P-102079</t>
  </si>
  <si>
    <t>S-02080</t>
  </si>
  <si>
    <t>P-102080</t>
  </si>
  <si>
    <t>S-02081</t>
  </si>
  <si>
    <t>P-102081</t>
  </si>
  <si>
    <t>S-02082</t>
  </si>
  <si>
    <t>P-102082</t>
  </si>
  <si>
    <t>S-02083</t>
  </si>
  <si>
    <t>P-102083</t>
  </si>
  <si>
    <t>S-02084</t>
  </si>
  <si>
    <t>P-102084</t>
  </si>
  <si>
    <t>S-02085</t>
  </si>
  <si>
    <t>P-102085</t>
  </si>
  <si>
    <t>S-02086</t>
  </si>
  <si>
    <t>P-102086</t>
  </si>
  <si>
    <t>S-02087</t>
  </si>
  <si>
    <t>P-102087</t>
  </si>
  <si>
    <t>S-02088</t>
  </si>
  <si>
    <t>P-102088</t>
  </si>
  <si>
    <t>S-02089</t>
  </si>
  <si>
    <t>P-102089</t>
  </si>
  <si>
    <t>S-02090</t>
  </si>
  <si>
    <t>P-102090</t>
  </si>
  <si>
    <t>S-02091</t>
  </si>
  <si>
    <t>P-102091</t>
  </si>
  <si>
    <t>S-02092</t>
  </si>
  <si>
    <t>P-102092</t>
  </si>
  <si>
    <t>S-02093</t>
  </si>
  <si>
    <t>P-102093</t>
  </si>
  <si>
    <t>S-02094</t>
  </si>
  <si>
    <t>P-102094</t>
  </si>
  <si>
    <t>S-02095</t>
  </si>
  <si>
    <t>P-102095</t>
  </si>
  <si>
    <t>S-02096</t>
  </si>
  <si>
    <t>P-102096</t>
  </si>
  <si>
    <t>S-02097</t>
  </si>
  <si>
    <t>P-102097</t>
  </si>
  <si>
    <t>S-02098</t>
  </si>
  <si>
    <t>P-102098</t>
  </si>
  <si>
    <t>S-02099</t>
  </si>
  <si>
    <t>P-102099</t>
  </si>
  <si>
    <t>S-02100</t>
  </si>
  <si>
    <t>P-102100</t>
  </si>
  <si>
    <t>S-02101</t>
  </si>
  <si>
    <t>P-102101</t>
  </si>
  <si>
    <t>S-02102</t>
  </si>
  <si>
    <t>P-102102</t>
  </si>
  <si>
    <t>S-02103</t>
  </si>
  <si>
    <t>P-102103</t>
  </si>
  <si>
    <t>S-02104</t>
  </si>
  <si>
    <t>P-102104</t>
  </si>
  <si>
    <t>S-02105</t>
  </si>
  <si>
    <t>P-102105</t>
  </si>
  <si>
    <t>S-02106</t>
  </si>
  <si>
    <t>P-102106</t>
  </si>
  <si>
    <t>S-02107</t>
  </si>
  <si>
    <t>P-102107</t>
  </si>
  <si>
    <t>S-02108</t>
  </si>
  <si>
    <t>P-102108</t>
  </si>
  <si>
    <t>S-02109</t>
  </si>
  <si>
    <t>P-102109</t>
  </si>
  <si>
    <t>S-02110</t>
  </si>
  <si>
    <t>P-102110</t>
  </si>
  <si>
    <t>S-02111</t>
  </si>
  <si>
    <t>P-102111</t>
  </si>
  <si>
    <t>S-02112</t>
  </si>
  <si>
    <t>P-102112</t>
  </si>
  <si>
    <t>S-02113</t>
  </si>
  <si>
    <t>P-102113</t>
  </si>
  <si>
    <t>S-02114</t>
  </si>
  <si>
    <t>P-102114</t>
  </si>
  <si>
    <t>S-02115</t>
  </si>
  <si>
    <t>P-102115</t>
  </si>
  <si>
    <t>S-02116</t>
  </si>
  <si>
    <t>P-102116</t>
  </si>
  <si>
    <t>S-02117</t>
  </si>
  <si>
    <t>P-102117</t>
  </si>
  <si>
    <t>S-02118</t>
  </si>
  <si>
    <t>P-102118</t>
  </si>
  <si>
    <t>S-02119</t>
  </si>
  <si>
    <t>P-102119</t>
  </si>
  <si>
    <t>S-02120</t>
  </si>
  <si>
    <t>P-102120</t>
  </si>
  <si>
    <t>S-02121</t>
  </si>
  <si>
    <t>P-102121</t>
  </si>
  <si>
    <t>S-02122</t>
  </si>
  <si>
    <t>P-102122</t>
  </si>
  <si>
    <t>S-02123</t>
  </si>
  <si>
    <t>P-102123</t>
  </si>
  <si>
    <t>S-02124</t>
  </si>
  <si>
    <t>P-102124</t>
  </si>
  <si>
    <t>S-02125</t>
  </si>
  <si>
    <t>P-102125</t>
  </si>
  <si>
    <t>S-02126</t>
  </si>
  <si>
    <t>P-102126</t>
  </si>
  <si>
    <t>S-02127</t>
  </si>
  <si>
    <t>P-102127</t>
  </si>
  <si>
    <t>S-02128</t>
  </si>
  <si>
    <t>P-102128</t>
  </si>
  <si>
    <t>S-02129</t>
  </si>
  <si>
    <t>P-102129</t>
  </si>
  <si>
    <t>S-02130</t>
  </si>
  <si>
    <t>P-102130</t>
  </si>
  <si>
    <t>S-02131</t>
  </si>
  <si>
    <t>P-102131</t>
  </si>
  <si>
    <t>S-02132</t>
  </si>
  <si>
    <t>P-102132</t>
  </si>
  <si>
    <t>S-02133</t>
  </si>
  <si>
    <t>P-102133</t>
  </si>
  <si>
    <t>S-02134</t>
  </si>
  <si>
    <t>P-102134</t>
  </si>
  <si>
    <t>S-02135</t>
  </si>
  <si>
    <t>P-102135</t>
  </si>
  <si>
    <t>S-02136</t>
  </si>
  <si>
    <t>P-102136</t>
  </si>
  <si>
    <t>S-02137</t>
  </si>
  <si>
    <t>P-102137</t>
  </si>
  <si>
    <t>S-02138</t>
  </si>
  <si>
    <t>P-102138</t>
  </si>
  <si>
    <t>S-02139</t>
  </si>
  <si>
    <t>P-102139</t>
  </si>
  <si>
    <t>S-02140</t>
  </si>
  <si>
    <t>P-102140</t>
  </si>
  <si>
    <t>S-02141</t>
  </si>
  <si>
    <t>P-102141</t>
  </si>
  <si>
    <t>S-02142</t>
  </si>
  <si>
    <t>P-102142</t>
  </si>
  <si>
    <t>S-02143</t>
  </si>
  <si>
    <t>P-102143</t>
  </si>
  <si>
    <t>S-02144</t>
  </si>
  <si>
    <t>P-102144</t>
  </si>
  <si>
    <t>S-02145</t>
  </si>
  <si>
    <t>P-102145</t>
  </si>
  <si>
    <t>S-02146</t>
  </si>
  <si>
    <t>P-102146</t>
  </si>
  <si>
    <t>S-02147</t>
  </si>
  <si>
    <t>P-102147</t>
  </si>
  <si>
    <t>S-02148</t>
  </si>
  <si>
    <t>P-102148</t>
  </si>
  <si>
    <t>S-02149</t>
  </si>
  <si>
    <t>P-102149</t>
  </si>
  <si>
    <t>S-02150</t>
  </si>
  <si>
    <t>P-102150</t>
  </si>
  <si>
    <t>S-02151</t>
  </si>
  <si>
    <t>P-102151</t>
  </si>
  <si>
    <t>S-02152</t>
  </si>
  <si>
    <t>P-102152</t>
  </si>
  <si>
    <t>S-02153</t>
  </si>
  <si>
    <t>P-102153</t>
  </si>
  <si>
    <t>S-02154</t>
  </si>
  <si>
    <t>P-102154</t>
  </si>
  <si>
    <t>S-02155</t>
  </si>
  <si>
    <t>P-102155</t>
  </si>
  <si>
    <t>S-02156</t>
  </si>
  <si>
    <t>P-102156</t>
  </si>
  <si>
    <t>S-02157</t>
  </si>
  <si>
    <t>P-102157</t>
  </si>
  <si>
    <t>S-02158</t>
  </si>
  <si>
    <t>P-102158</t>
  </si>
  <si>
    <t>S-02159</t>
  </si>
  <si>
    <t>P-102159</t>
  </si>
  <si>
    <t>S-02160</t>
  </si>
  <si>
    <t>P-102160</t>
  </si>
  <si>
    <t>S-02161</t>
  </si>
  <si>
    <t>P-102161</t>
  </si>
  <si>
    <t>S-02162</t>
  </si>
  <si>
    <t>P-102162</t>
  </si>
  <si>
    <t>S-02163</t>
  </si>
  <si>
    <t>P-102163</t>
  </si>
  <si>
    <t>S-02164</t>
  </si>
  <si>
    <t>P-102164</t>
  </si>
  <si>
    <t>S-02165</t>
  </si>
  <si>
    <t>P-102165</t>
  </si>
  <si>
    <t>S-02166</t>
  </si>
  <si>
    <t>P-102166</t>
  </si>
  <si>
    <t>S-02167</t>
  </si>
  <si>
    <t>P-102167</t>
  </si>
  <si>
    <t>S-02168</t>
  </si>
  <si>
    <t>P-102168</t>
  </si>
  <si>
    <t>S-02169</t>
  </si>
  <si>
    <t>P-102169</t>
  </si>
  <si>
    <t>S-02170</t>
  </si>
  <si>
    <t>P-102170</t>
  </si>
  <si>
    <t>S-02171</t>
  </si>
  <si>
    <t>P-102171</t>
  </si>
  <si>
    <t>S-02172</t>
  </si>
  <si>
    <t>P-102172</t>
  </si>
  <si>
    <t>S-02173</t>
  </si>
  <si>
    <t>P-102173</t>
  </si>
  <si>
    <t>S-02174</t>
  </si>
  <si>
    <t>P-102174</t>
  </si>
  <si>
    <t>S-02175</t>
  </si>
  <si>
    <t>P-102175</t>
  </si>
  <si>
    <t>S-02176</t>
  </si>
  <si>
    <t>P-102176</t>
  </si>
  <si>
    <t>S-02177</t>
  </si>
  <si>
    <t>P-102177</t>
  </si>
  <si>
    <t>S-02178</t>
  </si>
  <si>
    <t>P-102178</t>
  </si>
  <si>
    <t>S-02179</t>
  </si>
  <si>
    <t>P-102179</t>
  </si>
  <si>
    <t>S-02180</t>
  </si>
  <si>
    <t>P-102180</t>
  </si>
  <si>
    <t>S-02181</t>
  </si>
  <si>
    <t>P-102181</t>
  </si>
  <si>
    <t>S-02182</t>
  </si>
  <si>
    <t>P-102182</t>
  </si>
  <si>
    <t>S-02183</t>
  </si>
  <si>
    <t>P-102183</t>
  </si>
  <si>
    <t>S-02184</t>
  </si>
  <si>
    <t>P-102184</t>
  </si>
  <si>
    <t>S-02185</t>
  </si>
  <si>
    <t>P-102185</t>
  </si>
  <si>
    <t>S-02186</t>
  </si>
  <si>
    <t>P-102186</t>
  </si>
  <si>
    <t>S-02187</t>
  </si>
  <si>
    <t>P-102187</t>
  </si>
  <si>
    <t>S-02188</t>
  </si>
  <si>
    <t>P-102188</t>
  </si>
  <si>
    <t>S-02189</t>
  </si>
  <si>
    <t>P-102189</t>
  </si>
  <si>
    <t>S-02190</t>
  </si>
  <si>
    <t>P-102190</t>
  </si>
  <si>
    <t>S-02191</t>
  </si>
  <si>
    <t>P-102191</t>
  </si>
  <si>
    <t>S-02192</t>
  </si>
  <si>
    <t>P-102192</t>
  </si>
  <si>
    <t>S-02193</t>
  </si>
  <si>
    <t>P-102193</t>
  </si>
  <si>
    <t>S-02194</t>
  </si>
  <si>
    <t>P-102194</t>
  </si>
  <si>
    <t>S-02195</t>
  </si>
  <si>
    <t>P-102195</t>
  </si>
  <si>
    <t>S-02196</t>
  </si>
  <si>
    <t>P-102196</t>
  </si>
  <si>
    <t>S-02197</t>
  </si>
  <si>
    <t>P-102197</t>
  </si>
  <si>
    <t>S-02198</t>
  </si>
  <si>
    <t>P-102198</t>
  </si>
  <si>
    <t>S-02199</t>
  </si>
  <si>
    <t>P-102199</t>
  </si>
  <si>
    <t>S-02200</t>
  </si>
  <si>
    <t>P-102200</t>
  </si>
  <si>
    <t>S-02201</t>
  </si>
  <si>
    <t>P-102201</t>
  </si>
  <si>
    <t>S-02202</t>
  </si>
  <si>
    <t>P-102202</t>
  </si>
  <si>
    <t>S-02203</t>
  </si>
  <si>
    <t>P-102203</t>
  </si>
  <si>
    <t>S-02204</t>
  </si>
  <si>
    <t>P-102204</t>
  </si>
  <si>
    <t>S-02205</t>
  </si>
  <si>
    <t>P-102205</t>
  </si>
  <si>
    <t>S-02206</t>
  </si>
  <si>
    <t>P-102206</t>
  </si>
  <si>
    <t>S-02207</t>
  </si>
  <si>
    <t>P-102207</t>
  </si>
  <si>
    <t>S-02208</t>
  </si>
  <si>
    <t>P-102208</t>
  </si>
  <si>
    <t>S-02209</t>
  </si>
  <si>
    <t>P-102209</t>
  </si>
  <si>
    <t>S-02210</t>
  </si>
  <si>
    <t>P-102210</t>
  </si>
  <si>
    <t>S-02211</t>
  </si>
  <si>
    <t>P-102211</t>
  </si>
  <si>
    <t>S-02212</t>
  </si>
  <si>
    <t>P-102212</t>
  </si>
  <si>
    <t>S-02213</t>
  </si>
  <si>
    <t>P-102213</t>
  </si>
  <si>
    <t>S-02214</t>
  </si>
  <si>
    <t>P-102214</t>
  </si>
  <si>
    <t>S-02215</t>
  </si>
  <si>
    <t>P-102215</t>
  </si>
  <si>
    <t>S-02216</t>
  </si>
  <si>
    <t>P-102216</t>
  </si>
  <si>
    <t>S-02217</t>
  </si>
  <si>
    <t>P-102217</t>
  </si>
  <si>
    <t>S-02218</t>
  </si>
  <si>
    <t>P-102218</t>
  </si>
  <si>
    <t>S-02219</t>
  </si>
  <si>
    <t>P-102219</t>
  </si>
  <si>
    <t>S-02220</t>
  </si>
  <si>
    <t>P-102220</t>
  </si>
  <si>
    <t>S-02221</t>
  </si>
  <si>
    <t>P-102221</t>
  </si>
  <si>
    <t>S-02222</t>
  </si>
  <si>
    <t>P-102222</t>
  </si>
  <si>
    <t>S-02223</t>
  </si>
  <si>
    <t>P-102223</t>
  </si>
  <si>
    <t>S-02224</t>
  </si>
  <si>
    <t>P-102224</t>
  </si>
  <si>
    <t>S-02225</t>
  </si>
  <si>
    <t>P-102225</t>
  </si>
  <si>
    <t>S-02226</t>
  </si>
  <si>
    <t>P-102226</t>
  </si>
  <si>
    <t>S-02227</t>
  </si>
  <si>
    <t>P-102227</t>
  </si>
  <si>
    <t>S-02228</t>
  </si>
  <si>
    <t>P-102228</t>
  </si>
  <si>
    <t>S-02229</t>
  </si>
  <si>
    <t>P-102229</t>
  </si>
  <si>
    <t>S-02230</t>
  </si>
  <si>
    <t>P-102230</t>
  </si>
  <si>
    <t>S-02231</t>
  </si>
  <si>
    <t>P-102231</t>
  </si>
  <si>
    <t>S-02232</t>
  </si>
  <si>
    <t>P-102232</t>
  </si>
  <si>
    <t>S-02233</t>
  </si>
  <si>
    <t>P-102233</t>
  </si>
  <si>
    <t>S-02234</t>
  </si>
  <si>
    <t>P-102234</t>
  </si>
  <si>
    <t>S-02235</t>
  </si>
  <si>
    <t>P-102235</t>
  </si>
  <si>
    <t>S-02236</t>
  </si>
  <si>
    <t>P-102236</t>
  </si>
  <si>
    <t>S-02237</t>
  </si>
  <si>
    <t>P-102237</t>
  </si>
  <si>
    <t>S-02238</t>
  </si>
  <si>
    <t>P-102238</t>
  </si>
  <si>
    <t>S-02239</t>
  </si>
  <si>
    <t>P-102239</t>
  </si>
  <si>
    <t>S-02240</t>
  </si>
  <si>
    <t>P-102240</t>
  </si>
  <si>
    <t>S-02241</t>
  </si>
  <si>
    <t>P-102241</t>
  </si>
  <si>
    <t>S-02242</t>
  </si>
  <si>
    <t>P-102242</t>
  </si>
  <si>
    <t>S-02243</t>
  </si>
  <si>
    <t>P-102243</t>
  </si>
  <si>
    <t>S-02244</t>
  </si>
  <si>
    <t>P-102244</t>
  </si>
  <si>
    <t>S-02245</t>
  </si>
  <si>
    <t>P-102245</t>
  </si>
  <si>
    <t>S-02246</t>
  </si>
  <si>
    <t>P-102246</t>
  </si>
  <si>
    <t>S-02247</t>
  </si>
  <si>
    <t>P-102247</t>
  </si>
  <si>
    <t>S-02248</t>
  </si>
  <si>
    <t>P-102248</t>
  </si>
  <si>
    <t>S-02249</t>
  </si>
  <si>
    <t>P-102249</t>
  </si>
  <si>
    <t>S-02250</t>
  </si>
  <si>
    <t>P-102250</t>
  </si>
  <si>
    <t>S-02251</t>
  </si>
  <si>
    <t>P-102251</t>
  </si>
  <si>
    <t>S-02252</t>
  </si>
  <si>
    <t>P-102252</t>
  </si>
  <si>
    <t>S-02253</t>
  </si>
  <si>
    <t>P-102253</t>
  </si>
  <si>
    <t>S-02254</t>
  </si>
  <si>
    <t>P-102254</t>
  </si>
  <si>
    <t>S-02255</t>
  </si>
  <si>
    <t>P-102255</t>
  </si>
  <si>
    <t>S-02256</t>
  </si>
  <si>
    <t>P-102256</t>
  </si>
  <si>
    <t>S-02257</t>
  </si>
  <si>
    <t>P-102257</t>
  </si>
  <si>
    <t>S-02258</t>
  </si>
  <si>
    <t>P-102258</t>
  </si>
  <si>
    <t>S-02259</t>
  </si>
  <si>
    <t>P-102259</t>
  </si>
  <si>
    <t>S-02260</t>
  </si>
  <si>
    <t>P-102260</t>
  </si>
  <si>
    <t>S-02261</t>
  </si>
  <si>
    <t>P-102261</t>
  </si>
  <si>
    <t>S-02262</t>
  </si>
  <si>
    <t>P-102262</t>
  </si>
  <si>
    <t>S-02263</t>
  </si>
  <si>
    <t>P-102263</t>
  </si>
  <si>
    <t>S-02264</t>
  </si>
  <si>
    <t>P-102264</t>
  </si>
  <si>
    <t>S-02265</t>
  </si>
  <si>
    <t>P-102265</t>
  </si>
  <si>
    <t>S-02266</t>
  </si>
  <si>
    <t>P-102266</t>
  </si>
  <si>
    <t>S-02267</t>
  </si>
  <si>
    <t>P-102267</t>
  </si>
  <si>
    <t>S-02268</t>
  </si>
  <si>
    <t>P-102268</t>
  </si>
  <si>
    <t>S-02269</t>
  </si>
  <si>
    <t>P-102269</t>
  </si>
  <si>
    <t>S-02270</t>
  </si>
  <si>
    <t>P-102270</t>
  </si>
  <si>
    <t>S-02271</t>
  </si>
  <si>
    <t>P-102271</t>
  </si>
  <si>
    <t>S-02272</t>
  </si>
  <si>
    <t>P-102272</t>
  </si>
  <si>
    <t>S-02273</t>
  </si>
  <si>
    <t>P-102273</t>
  </si>
  <si>
    <t>S-02274</t>
  </si>
  <si>
    <t>P-102274</t>
  </si>
  <si>
    <t>S-02275</t>
  </si>
  <si>
    <t>P-102275</t>
  </si>
  <si>
    <t>S-02276</t>
  </si>
  <si>
    <t>P-102276</t>
  </si>
  <si>
    <t>S-02277</t>
  </si>
  <si>
    <t>P-102277</t>
  </si>
  <si>
    <t>S-02278</t>
  </si>
  <si>
    <t>P-102278</t>
  </si>
  <si>
    <t>S-02279</t>
  </si>
  <si>
    <t>P-102279</t>
  </si>
  <si>
    <t>S-02280</t>
  </si>
  <si>
    <t>P-102280</t>
  </si>
  <si>
    <t>S-02281</t>
  </si>
  <si>
    <t>P-102281</t>
  </si>
  <si>
    <t>S-02282</t>
  </si>
  <si>
    <t>P-102282</t>
  </si>
  <si>
    <t>S-02283</t>
  </si>
  <si>
    <t>P-102283</t>
  </si>
  <si>
    <t>S-02284</t>
  </si>
  <si>
    <t>P-102284</t>
  </si>
  <si>
    <t>S-02285</t>
  </si>
  <si>
    <t>P-102285</t>
  </si>
  <si>
    <t>S-02286</t>
  </si>
  <si>
    <t>P-102286</t>
  </si>
  <si>
    <t>S-02287</t>
  </si>
  <si>
    <t>P-102287</t>
  </si>
  <si>
    <t>S-02288</t>
  </si>
  <si>
    <t>P-102288</t>
  </si>
  <si>
    <t>S-02289</t>
  </si>
  <si>
    <t>P-102289</t>
  </si>
  <si>
    <t>S-02290</t>
  </si>
  <si>
    <t>P-102290</t>
  </si>
  <si>
    <t>S-02291</t>
  </si>
  <si>
    <t>P-102291</t>
  </si>
  <si>
    <t>S-02292</t>
  </si>
  <si>
    <t>P-102292</t>
  </si>
  <si>
    <t>S-02293</t>
  </si>
  <si>
    <t>P-102293</t>
  </si>
  <si>
    <t>S-02294</t>
  </si>
  <si>
    <t>P-102294</t>
  </si>
  <si>
    <t>S-02295</t>
  </si>
  <si>
    <t>P-102295</t>
  </si>
  <si>
    <t>S-02296</t>
  </si>
  <si>
    <t>P-102296</t>
  </si>
  <si>
    <t>S-02297</t>
  </si>
  <si>
    <t>P-102297</t>
  </si>
  <si>
    <t>S-02298</t>
  </si>
  <si>
    <t>P-102298</t>
  </si>
  <si>
    <t>S-02299</t>
  </si>
  <si>
    <t>P-102299</t>
  </si>
  <si>
    <t>S-02300</t>
  </si>
  <si>
    <t>P-102300</t>
  </si>
  <si>
    <t>S-02301</t>
  </si>
  <si>
    <t>P-102301</t>
  </si>
  <si>
    <t>S-02302</t>
  </si>
  <si>
    <t>P-102302</t>
  </si>
  <si>
    <t>S-02303</t>
  </si>
  <si>
    <t>P-102303</t>
  </si>
  <si>
    <t>S-02304</t>
  </si>
  <si>
    <t>P-102304</t>
  </si>
  <si>
    <t>S-02305</t>
  </si>
  <si>
    <t>P-102305</t>
  </si>
  <si>
    <t>S-02306</t>
  </si>
  <si>
    <t>P-102306</t>
  </si>
  <si>
    <t>S-02307</t>
  </si>
  <si>
    <t>P-102307</t>
  </si>
  <si>
    <t>S-02308</t>
  </si>
  <si>
    <t>P-102308</t>
  </si>
  <si>
    <t>S-02309</t>
  </si>
  <si>
    <t>P-102309</t>
  </si>
  <si>
    <t>S-02310</t>
  </si>
  <si>
    <t>P-102310</t>
  </si>
  <si>
    <t>S-02311</t>
  </si>
  <si>
    <t>P-102311</t>
  </si>
  <si>
    <t>S-02312</t>
  </si>
  <si>
    <t>P-102312</t>
  </si>
  <si>
    <t>S-02313</t>
  </si>
  <si>
    <t>P-102313</t>
  </si>
  <si>
    <t>S-02314</t>
  </si>
  <si>
    <t>P-102314</t>
  </si>
  <si>
    <t>S-02315</t>
  </si>
  <si>
    <t>P-102315</t>
  </si>
  <si>
    <t>S-02316</t>
  </si>
  <si>
    <t>P-102316</t>
  </si>
  <si>
    <t>S-02317</t>
  </si>
  <si>
    <t>P-102317</t>
  </si>
  <si>
    <t>S-02318</t>
  </si>
  <si>
    <t>P-102318</t>
  </si>
  <si>
    <t>S-02319</t>
  </si>
  <si>
    <t>P-102319</t>
  </si>
  <si>
    <t>S-02320</t>
  </si>
  <si>
    <t>P-102320</t>
  </si>
  <si>
    <t>S-02321</t>
  </si>
  <si>
    <t>P-102321</t>
  </si>
  <si>
    <t>S-02322</t>
  </si>
  <si>
    <t>P-102322</t>
  </si>
  <si>
    <t>S-02323</t>
  </si>
  <si>
    <t>P-102323</t>
  </si>
  <si>
    <t>S-02324</t>
  </si>
  <si>
    <t>P-102324</t>
  </si>
  <si>
    <t>S-02325</t>
  </si>
  <si>
    <t>P-102325</t>
  </si>
  <si>
    <t>S-02326</t>
  </si>
  <si>
    <t>P-102326</t>
  </si>
  <si>
    <t>S-02327</t>
  </si>
  <si>
    <t>P-102327</t>
  </si>
  <si>
    <t>S-02328</t>
  </si>
  <si>
    <t>P-102328</t>
  </si>
  <si>
    <t>S-02329</t>
  </si>
  <si>
    <t>P-102329</t>
  </si>
  <si>
    <t>S-02330</t>
  </si>
  <si>
    <t>P-102330</t>
  </si>
  <si>
    <t>S-02331</t>
  </si>
  <si>
    <t>P-102331</t>
  </si>
  <si>
    <t>S-02332</t>
  </si>
  <si>
    <t>P-102332</t>
  </si>
  <si>
    <t>S-02333</t>
  </si>
  <si>
    <t>P-102333</t>
  </si>
  <si>
    <t>S-02334</t>
  </si>
  <si>
    <t>P-102334</t>
  </si>
  <si>
    <t>S-02335</t>
  </si>
  <si>
    <t>P-102335</t>
  </si>
  <si>
    <t>S-02336</t>
  </si>
  <si>
    <t>P-102336</t>
  </si>
  <si>
    <t>S-02337</t>
  </si>
  <si>
    <t>P-102337</t>
  </si>
  <si>
    <t>S-02338</t>
  </si>
  <si>
    <t>P-102338</t>
  </si>
  <si>
    <t>S-02339</t>
  </si>
  <si>
    <t>P-102339</t>
  </si>
  <si>
    <t>S-02340</t>
  </si>
  <si>
    <t>P-102340</t>
  </si>
  <si>
    <t>S-02341</t>
  </si>
  <si>
    <t>P-102341</t>
  </si>
  <si>
    <t>S-02342</t>
  </si>
  <si>
    <t>P-102342</t>
  </si>
  <si>
    <t>S-02343</t>
  </si>
  <si>
    <t>P-102343</t>
  </si>
  <si>
    <t>S-02344</t>
  </si>
  <si>
    <t>P-102344</t>
  </si>
  <si>
    <t>S-02345</t>
  </si>
  <si>
    <t>P-102345</t>
  </si>
  <si>
    <t>S-02346</t>
  </si>
  <si>
    <t>P-102346</t>
  </si>
  <si>
    <t>S-02347</t>
  </si>
  <si>
    <t>P-102347</t>
  </si>
  <si>
    <t>S-02348</t>
  </si>
  <si>
    <t>P-102348</t>
  </si>
  <si>
    <t>S-02349</t>
  </si>
  <si>
    <t>P-102349</t>
  </si>
  <si>
    <t>S-02350</t>
  </si>
  <si>
    <t>P-102350</t>
  </si>
  <si>
    <t>S-02351</t>
  </si>
  <si>
    <t>P-102351</t>
  </si>
  <si>
    <t>S-02352</t>
  </si>
  <si>
    <t>P-102352</t>
  </si>
  <si>
    <t>S-02353</t>
  </si>
  <si>
    <t>P-102353</t>
  </si>
  <si>
    <t>S-02354</t>
  </si>
  <si>
    <t>P-102354</t>
  </si>
  <si>
    <t>S-02355</t>
  </si>
  <si>
    <t>P-102355</t>
  </si>
  <si>
    <t>S-02356</t>
  </si>
  <si>
    <t>P-102356</t>
  </si>
  <si>
    <t>S-02357</t>
  </si>
  <si>
    <t>P-102357</t>
  </si>
  <si>
    <t>S-02358</t>
  </si>
  <si>
    <t>P-102358</t>
  </si>
  <si>
    <t>S-02359</t>
  </si>
  <si>
    <t>P-102359</t>
  </si>
  <si>
    <t>S-02360</t>
  </si>
  <si>
    <t>P-102360</t>
  </si>
  <si>
    <t>S-02361</t>
  </si>
  <si>
    <t>P-102361</t>
  </si>
  <si>
    <t>S-02362</t>
  </si>
  <si>
    <t>P-102362</t>
  </si>
  <si>
    <t>S-02363</t>
  </si>
  <si>
    <t>P-102363</t>
  </si>
  <si>
    <t>S-02364</t>
  </si>
  <si>
    <t>P-102364</t>
  </si>
  <si>
    <t>S-02365</t>
  </si>
  <si>
    <t>P-102365</t>
  </si>
  <si>
    <t>S-02366</t>
  </si>
  <si>
    <t>P-102366</t>
  </si>
  <si>
    <t>S-02367</t>
  </si>
  <si>
    <t>P-102367</t>
  </si>
  <si>
    <t>S-02368</t>
  </si>
  <si>
    <t>P-102368</t>
  </si>
  <si>
    <t>S-02369</t>
  </si>
  <si>
    <t>P-102369</t>
  </si>
  <si>
    <t>S-02370</t>
  </si>
  <si>
    <t>P-102370</t>
  </si>
  <si>
    <t>S-02371</t>
  </si>
  <si>
    <t>P-102371</t>
  </si>
  <si>
    <t>S-02372</t>
  </si>
  <si>
    <t>P-102372</t>
  </si>
  <si>
    <t>S-02373</t>
  </si>
  <si>
    <t>P-102373</t>
  </si>
  <si>
    <t>S-02374</t>
  </si>
  <si>
    <t>P-102374</t>
  </si>
  <si>
    <t>S-02375</t>
  </si>
  <si>
    <t>P-102375</t>
  </si>
  <si>
    <t>S-02376</t>
  </si>
  <si>
    <t>P-102376</t>
  </si>
  <si>
    <t>S-02377</t>
  </si>
  <si>
    <t>P-102377</t>
  </si>
  <si>
    <t>S-02378</t>
  </si>
  <si>
    <t>P-102378</t>
  </si>
  <si>
    <t>S-02379</t>
  </si>
  <si>
    <t>P-102379</t>
  </si>
  <si>
    <t>S-02380</t>
  </si>
  <si>
    <t>P-102380</t>
  </si>
  <si>
    <t>S-02381</t>
  </si>
  <si>
    <t>P-102381</t>
  </si>
  <si>
    <t>S-02382</t>
  </si>
  <si>
    <t>P-102382</t>
  </si>
  <si>
    <t>S-02383</t>
  </si>
  <si>
    <t>P-102383</t>
  </si>
  <si>
    <t>S-02384</t>
  </si>
  <si>
    <t>P-102384</t>
  </si>
  <si>
    <t>S-02385</t>
  </si>
  <si>
    <t>P-102385</t>
  </si>
  <si>
    <t>S-02386</t>
  </si>
  <si>
    <t>P-102386</t>
  </si>
  <si>
    <t>S-02387</t>
  </si>
  <si>
    <t>P-102387</t>
  </si>
  <si>
    <t>S-02388</t>
  </si>
  <si>
    <t>P-102388</t>
  </si>
  <si>
    <t>S-02389</t>
  </si>
  <si>
    <t>P-102389</t>
  </si>
  <si>
    <t>S-02390</t>
  </si>
  <si>
    <t>P-102390</t>
  </si>
  <si>
    <t>S-02391</t>
  </si>
  <si>
    <t>P-102391</t>
  </si>
  <si>
    <t>S-02392</t>
  </si>
  <si>
    <t>P-102392</t>
  </si>
  <si>
    <t>S-02393</t>
  </si>
  <si>
    <t>P-102393</t>
  </si>
  <si>
    <t>S-02394</t>
  </si>
  <si>
    <t>P-102394</t>
  </si>
  <si>
    <t>S-02395</t>
  </si>
  <si>
    <t>P-102395</t>
  </si>
  <si>
    <t>S-02396</t>
  </si>
  <si>
    <t>P-102396</t>
  </si>
  <si>
    <t>S-02397</t>
  </si>
  <si>
    <t>P-102397</t>
  </si>
  <si>
    <t>S-02398</t>
  </si>
  <si>
    <t>P-102398</t>
  </si>
  <si>
    <t>S-02399</t>
  </si>
  <si>
    <t>P-102399</t>
  </si>
  <si>
    <t>S-02400</t>
  </si>
  <si>
    <t>P-102400</t>
  </si>
  <si>
    <t>S-02401</t>
  </si>
  <si>
    <t>P-102401</t>
  </si>
  <si>
    <t>S-02402</t>
  </si>
  <si>
    <t>P-102402</t>
  </si>
  <si>
    <t>S-02403</t>
  </si>
  <si>
    <t>P-102403</t>
  </si>
  <si>
    <t>S-02404</t>
  </si>
  <si>
    <t>P-102404</t>
  </si>
  <si>
    <t>S-02405</t>
  </si>
  <si>
    <t>P-102405</t>
  </si>
  <si>
    <t>S-02406</t>
  </si>
  <si>
    <t>P-102406</t>
  </si>
  <si>
    <t>S-02407</t>
  </si>
  <si>
    <t>P-102407</t>
  </si>
  <si>
    <t>S-02408</t>
  </si>
  <si>
    <t>P-102408</t>
  </si>
  <si>
    <t>S-02409</t>
  </si>
  <si>
    <t>P-102409</t>
  </si>
  <si>
    <t>S-02410</t>
  </si>
  <si>
    <t>P-102410</t>
  </si>
  <si>
    <t>S-02411</t>
  </si>
  <si>
    <t>P-102411</t>
  </si>
  <si>
    <t>S-02412</t>
  </si>
  <si>
    <t>P-102412</t>
  </si>
  <si>
    <t>S-02413</t>
  </si>
  <si>
    <t>P-102413</t>
  </si>
  <si>
    <t>S-02414</t>
  </si>
  <si>
    <t>P-102414</t>
  </si>
  <si>
    <t>S-02415</t>
  </si>
  <si>
    <t>P-102415</t>
  </si>
  <si>
    <t>S-02416</t>
  </si>
  <si>
    <t>P-102416</t>
  </si>
  <si>
    <t>S-02417</t>
  </si>
  <si>
    <t>P-102417</t>
  </si>
  <si>
    <t>S-02418</t>
  </si>
  <si>
    <t>P-102418</t>
  </si>
  <si>
    <t>S-02419</t>
  </si>
  <si>
    <t>P-102419</t>
  </si>
  <si>
    <t>S-02420</t>
  </si>
  <si>
    <t>P-102420</t>
  </si>
  <si>
    <t>S-02421</t>
  </si>
  <si>
    <t>P-102421</t>
  </si>
  <si>
    <t>S-02422</t>
  </si>
  <si>
    <t>P-102422</t>
  </si>
  <si>
    <t>S-02423</t>
  </si>
  <si>
    <t>P-102423</t>
  </si>
  <si>
    <t>S-02424</t>
  </si>
  <si>
    <t>P-102424</t>
  </si>
  <si>
    <t>S-02425</t>
  </si>
  <si>
    <t>P-102425</t>
  </si>
  <si>
    <t>S-02426</t>
  </si>
  <si>
    <t>P-102426</t>
  </si>
  <si>
    <t>S-02427</t>
  </si>
  <si>
    <t>P-102427</t>
  </si>
  <si>
    <t>S-02428</t>
  </si>
  <si>
    <t>P-102428</t>
  </si>
  <si>
    <t>S-02429</t>
  </si>
  <si>
    <t>P-102429</t>
  </si>
  <si>
    <t>S-02430</t>
  </si>
  <si>
    <t>P-102430</t>
  </si>
  <si>
    <t>S-02431</t>
  </si>
  <si>
    <t>P-102431</t>
  </si>
  <si>
    <t>S-02432</t>
  </si>
  <si>
    <t>P-102432</t>
  </si>
  <si>
    <t>S-02433</t>
  </si>
  <si>
    <t>P-102433</t>
  </si>
  <si>
    <t>S-02434</t>
  </si>
  <si>
    <t>P-102434</t>
  </si>
  <si>
    <t>S-02435</t>
  </si>
  <si>
    <t>P-102435</t>
  </si>
  <si>
    <t>S-02436</t>
  </si>
  <si>
    <t>P-102436</t>
  </si>
  <si>
    <t>S-02437</t>
  </si>
  <si>
    <t>P-102437</t>
  </si>
  <si>
    <t>S-02438</t>
  </si>
  <si>
    <t>P-102438</t>
  </si>
  <si>
    <t>S-02439</t>
  </si>
  <si>
    <t>P-102439</t>
  </si>
  <si>
    <t>S-02440</t>
  </si>
  <si>
    <t>P-102440</t>
  </si>
  <si>
    <t>S-02441</t>
  </si>
  <si>
    <t>P-102441</t>
  </si>
  <si>
    <t>S-02442</t>
  </si>
  <si>
    <t>P-102442</t>
  </si>
  <si>
    <t>S-02443</t>
  </si>
  <si>
    <t>P-102443</t>
  </si>
  <si>
    <t>S-02444</t>
  </si>
  <si>
    <t>P-102444</t>
  </si>
  <si>
    <t>S-02445</t>
  </si>
  <si>
    <t>P-102445</t>
  </si>
  <si>
    <t>S-02446</t>
  </si>
  <si>
    <t>P-102446</t>
  </si>
  <si>
    <t>S-02447</t>
  </si>
  <si>
    <t>P-102447</t>
  </si>
  <si>
    <t>S-02448</t>
  </si>
  <si>
    <t>P-102448</t>
  </si>
  <si>
    <t>S-02449</t>
  </si>
  <si>
    <t>P-102449</t>
  </si>
  <si>
    <t>S-02450</t>
  </si>
  <si>
    <t>P-102450</t>
  </si>
  <si>
    <t>S-02451</t>
  </si>
  <si>
    <t>P-102451</t>
  </si>
  <si>
    <t>S-02452</t>
  </si>
  <si>
    <t>P-102452</t>
  </si>
  <si>
    <t>S-02453</t>
  </si>
  <si>
    <t>P-102453</t>
  </si>
  <si>
    <t>S-02454</t>
  </si>
  <si>
    <t>P-102454</t>
  </si>
  <si>
    <t>S-02455</t>
  </si>
  <si>
    <t>P-102455</t>
  </si>
  <si>
    <t>S-02456</t>
  </si>
  <si>
    <t>P-102456</t>
  </si>
  <si>
    <t>S-02457</t>
  </si>
  <si>
    <t>P-102457</t>
  </si>
  <si>
    <t>S-02458</t>
  </si>
  <si>
    <t>P-102458</t>
  </si>
  <si>
    <t>S-02459</t>
  </si>
  <si>
    <t>P-102459</t>
  </si>
  <si>
    <t>S-02460</t>
  </si>
  <si>
    <t>P-102460</t>
  </si>
  <si>
    <t>S-02461</t>
  </si>
  <si>
    <t>P-102461</t>
  </si>
  <si>
    <t>S-02462</t>
  </si>
  <si>
    <t>P-102462</t>
  </si>
  <si>
    <t>S-02463</t>
  </si>
  <si>
    <t>P-102463</t>
  </si>
  <si>
    <t>S-02464</t>
  </si>
  <si>
    <t>P-102464</t>
  </si>
  <si>
    <t>S-02465</t>
  </si>
  <si>
    <t>P-102465</t>
  </si>
  <si>
    <t>S-02466</t>
  </si>
  <si>
    <t>P-102466</t>
  </si>
  <si>
    <t>S-02467</t>
  </si>
  <si>
    <t>P-102467</t>
  </si>
  <si>
    <t>S-02468</t>
  </si>
  <si>
    <t>P-102468</t>
  </si>
  <si>
    <t>S-02469</t>
  </si>
  <si>
    <t>P-102469</t>
  </si>
  <si>
    <t>S-02470</t>
  </si>
  <si>
    <t>P-102470</t>
  </si>
  <si>
    <t>S-02471</t>
  </si>
  <si>
    <t>P-102471</t>
  </si>
  <si>
    <t>S-02472</t>
  </si>
  <si>
    <t>P-102472</t>
  </si>
  <si>
    <t>S-02473</t>
  </si>
  <si>
    <t>P-102473</t>
  </si>
  <si>
    <t>S-02474</t>
  </si>
  <si>
    <t>P-102474</t>
  </si>
  <si>
    <t>S-02475</t>
  </si>
  <si>
    <t>P-102475</t>
  </si>
  <si>
    <t>S-02476</t>
  </si>
  <si>
    <t>P-102476</t>
  </si>
  <si>
    <t>S-02477</t>
  </si>
  <si>
    <t>P-102477</t>
  </si>
  <si>
    <t>S-02478</t>
  </si>
  <si>
    <t>P-102478</t>
  </si>
  <si>
    <t>S-02479</t>
  </si>
  <si>
    <t>P-102479</t>
  </si>
  <si>
    <t>S-02480</t>
  </si>
  <si>
    <t>P-102480</t>
  </si>
  <si>
    <t>S-02481</t>
  </si>
  <si>
    <t>P-102481</t>
  </si>
  <si>
    <t>S-02482</t>
  </si>
  <si>
    <t>P-102482</t>
  </si>
  <si>
    <t>S-02483</t>
  </si>
  <si>
    <t>P-102483</t>
  </si>
  <si>
    <t>S-02484</t>
  </si>
  <si>
    <t>P-102484</t>
  </si>
  <si>
    <t>S-02485</t>
  </si>
  <si>
    <t>P-102485</t>
  </si>
  <si>
    <t>S-02486</t>
  </si>
  <si>
    <t>P-102486</t>
  </si>
  <si>
    <t>S-02487</t>
  </si>
  <si>
    <t>P-102487</t>
  </si>
  <si>
    <t>S-02488</t>
  </si>
  <si>
    <t>P-102488</t>
  </si>
  <si>
    <t>S-02489</t>
  </si>
  <si>
    <t>P-102489</t>
  </si>
  <si>
    <t>S-02490</t>
  </si>
  <si>
    <t>P-102490</t>
  </si>
  <si>
    <t>S-02491</t>
  </si>
  <si>
    <t>P-102491</t>
  </si>
  <si>
    <t>S-02492</t>
  </si>
  <si>
    <t>P-102492</t>
  </si>
  <si>
    <t>S-02493</t>
  </si>
  <si>
    <t>P-102493</t>
  </si>
  <si>
    <t>S-02494</t>
  </si>
  <si>
    <t>P-102494</t>
  </si>
  <si>
    <t>S-02495</t>
  </si>
  <si>
    <t>P-102495</t>
  </si>
  <si>
    <t>S-02496</t>
  </si>
  <si>
    <t>P-102496</t>
  </si>
  <si>
    <t>S-02497</t>
  </si>
  <si>
    <t>P-102497</t>
  </si>
  <si>
    <t>S-02498</t>
  </si>
  <si>
    <t>P-102498</t>
  </si>
  <si>
    <t>S-02499</t>
  </si>
  <si>
    <t>P-102499</t>
  </si>
  <si>
    <t>S-02500</t>
  </si>
  <si>
    <t>P-102500</t>
  </si>
  <si>
    <t>S-02501</t>
  </si>
  <si>
    <t>P-102501</t>
  </si>
  <si>
    <t>S-02502</t>
  </si>
  <si>
    <t>P-102502</t>
  </si>
  <si>
    <t>S-02503</t>
  </si>
  <si>
    <t>P-102503</t>
  </si>
  <si>
    <t>S-02504</t>
  </si>
  <si>
    <t>P-102504</t>
  </si>
  <si>
    <t>S-02505</t>
  </si>
  <si>
    <t>P-102505</t>
  </si>
  <si>
    <t>S-02506</t>
  </si>
  <si>
    <t>P-102506</t>
  </si>
  <si>
    <t>S-02507</t>
  </si>
  <si>
    <t>P-102507</t>
  </si>
  <si>
    <t>S-02508</t>
  </si>
  <si>
    <t>P-102508</t>
  </si>
  <si>
    <t>S-02509</t>
  </si>
  <si>
    <t>P-102509</t>
  </si>
  <si>
    <t>S-02510</t>
  </si>
  <si>
    <t>P-102510</t>
  </si>
  <si>
    <t>S-02511</t>
  </si>
  <si>
    <t>P-102511</t>
  </si>
  <si>
    <t>S-02512</t>
  </si>
  <si>
    <t>P-102512</t>
  </si>
  <si>
    <t>S-02513</t>
  </si>
  <si>
    <t>P-102513</t>
  </si>
  <si>
    <t>S-02514</t>
  </si>
  <si>
    <t>P-102514</t>
  </si>
  <si>
    <t>S-02515</t>
  </si>
  <si>
    <t>P-102515</t>
  </si>
  <si>
    <t>S-02516</t>
  </si>
  <si>
    <t>P-102516</t>
  </si>
  <si>
    <t>S-02517</t>
  </si>
  <si>
    <t>P-102517</t>
  </si>
  <si>
    <t>S-02518</t>
  </si>
  <si>
    <t>P-102518</t>
  </si>
  <si>
    <t>S-02519</t>
  </si>
  <si>
    <t>P-102519</t>
  </si>
  <si>
    <t>S-02520</t>
  </si>
  <si>
    <t>P-102520</t>
  </si>
  <si>
    <t>S-02521</t>
  </si>
  <si>
    <t>P-102521</t>
  </si>
  <si>
    <t>S-02522</t>
  </si>
  <si>
    <t>P-102522</t>
  </si>
  <si>
    <t>S-02523</t>
  </si>
  <si>
    <t>P-102523</t>
  </si>
  <si>
    <t>S-02524</t>
  </si>
  <si>
    <t>P-102524</t>
  </si>
  <si>
    <t>S-02525</t>
  </si>
  <si>
    <t>P-102525</t>
  </si>
  <si>
    <t>S-02526</t>
  </si>
  <si>
    <t>P-102526</t>
  </si>
  <si>
    <t>S-02527</t>
  </si>
  <si>
    <t>P-102527</t>
  </si>
  <si>
    <t>S-02528</t>
  </si>
  <si>
    <t>P-102528</t>
  </si>
  <si>
    <t>S-02529</t>
  </si>
  <si>
    <t>P-102529</t>
  </si>
  <si>
    <t>S-02530</t>
  </si>
  <si>
    <t>P-102530</t>
  </si>
  <si>
    <t>S-02531</t>
  </si>
  <si>
    <t>P-102531</t>
  </si>
  <si>
    <t>S-02532</t>
  </si>
  <si>
    <t>P-102532</t>
  </si>
  <si>
    <t>S-02533</t>
  </si>
  <si>
    <t>P-102533</t>
  </si>
  <si>
    <t>S-02534</t>
  </si>
  <si>
    <t>P-102534</t>
  </si>
  <si>
    <t>S-02535</t>
  </si>
  <si>
    <t>P-102535</t>
  </si>
  <si>
    <t>S-02536</t>
  </si>
  <si>
    <t>P-102536</t>
  </si>
  <si>
    <t>S-02537</t>
  </si>
  <si>
    <t>P-102537</t>
  </si>
  <si>
    <t>S-02538</t>
  </si>
  <si>
    <t>P-102538</t>
  </si>
  <si>
    <t>S-02539</t>
  </si>
  <si>
    <t>P-102539</t>
  </si>
  <si>
    <t>S-02540</t>
  </si>
  <si>
    <t>P-102540</t>
  </si>
  <si>
    <t>S-02541</t>
  </si>
  <si>
    <t>P-102541</t>
  </si>
  <si>
    <t>S-02542</t>
  </si>
  <si>
    <t>P-102542</t>
  </si>
  <si>
    <t>S-02543</t>
  </si>
  <si>
    <t>P-102543</t>
  </si>
  <si>
    <t>S-02544</t>
  </si>
  <si>
    <t>P-102544</t>
  </si>
  <si>
    <t>S-02545</t>
  </si>
  <si>
    <t>P-102545</t>
  </si>
  <si>
    <t>S-02546</t>
  </si>
  <si>
    <t>P-102546</t>
  </si>
  <si>
    <t>S-02547</t>
  </si>
  <si>
    <t>P-102547</t>
  </si>
  <si>
    <t>S-02548</t>
  </si>
  <si>
    <t>P-102548</t>
  </si>
  <si>
    <t>S-02549</t>
  </si>
  <si>
    <t>P-102549</t>
  </si>
  <si>
    <t>S-02550</t>
  </si>
  <si>
    <t>P-102550</t>
  </si>
  <si>
    <t>S-02551</t>
  </si>
  <si>
    <t>P-102551</t>
  </si>
  <si>
    <t>S-02552</t>
  </si>
  <si>
    <t>P-102552</t>
  </si>
  <si>
    <t>S-02553</t>
  </si>
  <si>
    <t>P-102553</t>
  </si>
  <si>
    <t>S-02554</t>
  </si>
  <si>
    <t>P-102554</t>
  </si>
  <si>
    <t>S-02555</t>
  </si>
  <si>
    <t>P-102555</t>
  </si>
  <si>
    <t>S-02556</t>
  </si>
  <si>
    <t>P-102556</t>
  </si>
  <si>
    <t>S-02557</t>
  </si>
  <si>
    <t>P-102557</t>
  </si>
  <si>
    <t>S-02558</t>
  </si>
  <si>
    <t>P-102558</t>
  </si>
  <si>
    <t>S-02559</t>
  </si>
  <si>
    <t>P-102559</t>
  </si>
  <si>
    <t>S-02560</t>
  </si>
  <si>
    <t>P-102560</t>
  </si>
  <si>
    <t>S-02561</t>
  </si>
  <si>
    <t>P-102561</t>
  </si>
  <si>
    <t>S-02562</t>
  </si>
  <si>
    <t>P-102562</t>
  </si>
  <si>
    <t>S-02563</t>
  </si>
  <si>
    <t>P-102563</t>
  </si>
  <si>
    <t>S-02564</t>
  </si>
  <si>
    <t>P-102564</t>
  </si>
  <si>
    <t>S-02565</t>
  </si>
  <si>
    <t>P-102565</t>
  </si>
  <si>
    <t>S-02566</t>
  </si>
  <si>
    <t>P-102566</t>
  </si>
  <si>
    <t>S-02567</t>
  </si>
  <si>
    <t>P-102567</t>
  </si>
  <si>
    <t>S-02568</t>
  </si>
  <si>
    <t>P-102568</t>
  </si>
  <si>
    <t>S-02569</t>
  </si>
  <si>
    <t>P-102569</t>
  </si>
  <si>
    <t>S-02570</t>
  </si>
  <si>
    <t>P-102570</t>
  </si>
  <si>
    <t>S-02571</t>
  </si>
  <si>
    <t>P-102571</t>
  </si>
  <si>
    <t>S-02572</t>
  </si>
  <si>
    <t>P-102572</t>
  </si>
  <si>
    <t>S-02573</t>
  </si>
  <si>
    <t>P-102573</t>
  </si>
  <si>
    <t>S-02574</t>
  </si>
  <si>
    <t>P-102574</t>
  </si>
  <si>
    <t>S-02575</t>
  </si>
  <si>
    <t>P-102575</t>
  </si>
  <si>
    <t>S-02576</t>
  </si>
  <si>
    <t>P-102576</t>
  </si>
  <si>
    <t>S-02577</t>
  </si>
  <si>
    <t>P-102577</t>
  </si>
  <si>
    <t>S-02578</t>
  </si>
  <si>
    <t>P-102578</t>
  </si>
  <si>
    <t>S-02579</t>
  </si>
  <si>
    <t>P-102579</t>
  </si>
  <si>
    <t>S-02580</t>
  </si>
  <si>
    <t>P-102580</t>
  </si>
  <si>
    <t>S-02581</t>
  </si>
  <si>
    <t>P-102581</t>
  </si>
  <si>
    <t>S-02582</t>
  </si>
  <si>
    <t>P-102582</t>
  </si>
  <si>
    <t>S-02583</t>
  </si>
  <si>
    <t>P-102583</t>
  </si>
  <si>
    <t>S-02584</t>
  </si>
  <si>
    <t>P-102584</t>
  </si>
  <si>
    <t>S-02585</t>
  </si>
  <si>
    <t>P-102585</t>
  </si>
  <si>
    <t>S-02586</t>
  </si>
  <si>
    <t>P-102586</t>
  </si>
  <si>
    <t>S-02587</t>
  </si>
  <si>
    <t>P-102587</t>
  </si>
  <si>
    <t>S-02588</t>
  </si>
  <si>
    <t>P-102588</t>
  </si>
  <si>
    <t>S-02589</t>
  </si>
  <si>
    <t>P-102589</t>
  </si>
  <si>
    <t>S-02590</t>
  </si>
  <si>
    <t>P-102590</t>
  </si>
  <si>
    <t>S-02591</t>
  </si>
  <si>
    <t>P-102591</t>
  </si>
  <si>
    <t>S-02592</t>
  </si>
  <si>
    <t>P-102592</t>
  </si>
  <si>
    <t>S-02593</t>
  </si>
  <si>
    <t>P-102593</t>
  </si>
  <si>
    <t>S-02594</t>
  </si>
  <si>
    <t>P-102594</t>
  </si>
  <si>
    <t>S-02595</t>
  </si>
  <si>
    <t>P-102595</t>
  </si>
  <si>
    <t>S-02596</t>
  </si>
  <si>
    <t>P-102596</t>
  </si>
  <si>
    <t>S-02597</t>
  </si>
  <si>
    <t>P-102597</t>
  </si>
  <si>
    <t>S-02598</t>
  </si>
  <si>
    <t>P-102598</t>
  </si>
  <si>
    <t>S-02599</t>
  </si>
  <si>
    <t>P-102599</t>
  </si>
  <si>
    <t>S-02600</t>
  </si>
  <si>
    <t>P-102600</t>
  </si>
  <si>
    <t>S-02601</t>
  </si>
  <si>
    <t>P-102601</t>
  </si>
  <si>
    <t>S-02602</t>
  </si>
  <si>
    <t>P-102602</t>
  </si>
  <si>
    <t>S-02603</t>
  </si>
  <si>
    <t>P-102603</t>
  </si>
  <si>
    <t>S-02604</t>
  </si>
  <si>
    <t>P-102604</t>
  </si>
  <si>
    <t>S-02605</t>
  </si>
  <si>
    <t>P-102605</t>
  </si>
  <si>
    <t>S-02606</t>
  </si>
  <si>
    <t>P-102606</t>
  </si>
  <si>
    <t>S-02607</t>
  </si>
  <si>
    <t>P-102607</t>
  </si>
  <si>
    <t>S-02608</t>
  </si>
  <si>
    <t>P-102608</t>
  </si>
  <si>
    <t>S-02609</t>
  </si>
  <si>
    <t>P-102609</t>
  </si>
  <si>
    <t>S-02610</t>
  </si>
  <si>
    <t>P-102610</t>
  </si>
  <si>
    <t>S-02611</t>
  </si>
  <si>
    <t>P-102611</t>
  </si>
  <si>
    <t>S-02612</t>
  </si>
  <si>
    <t>P-102612</t>
  </si>
  <si>
    <t>S-02613</t>
  </si>
  <si>
    <t>P-102613</t>
  </si>
  <si>
    <t>S-02614</t>
  </si>
  <si>
    <t>P-102614</t>
  </si>
  <si>
    <t>S-02615</t>
  </si>
  <si>
    <t>P-102615</t>
  </si>
  <si>
    <t>S-02616</t>
  </si>
  <si>
    <t>P-102616</t>
  </si>
  <si>
    <t>S-02617</t>
  </si>
  <si>
    <t>P-102617</t>
  </si>
  <si>
    <t>S-02618</t>
  </si>
  <si>
    <t>P-102618</t>
  </si>
  <si>
    <t>S-02619</t>
  </si>
  <si>
    <t>P-102619</t>
  </si>
  <si>
    <t>S-02620</t>
  </si>
  <si>
    <t>P-102620</t>
  </si>
  <si>
    <t>S-02621</t>
  </si>
  <si>
    <t>P-102621</t>
  </si>
  <si>
    <t>S-02622</t>
  </si>
  <si>
    <t>P-102622</t>
  </si>
  <si>
    <t>S-02623</t>
  </si>
  <si>
    <t>P-102623</t>
  </si>
  <si>
    <t>S-02624</t>
  </si>
  <si>
    <t>P-102624</t>
  </si>
  <si>
    <t>S-02625</t>
  </si>
  <si>
    <t>P-102625</t>
  </si>
  <si>
    <t>S-02626</t>
  </si>
  <si>
    <t>P-102626</t>
  </si>
  <si>
    <t>S-02627</t>
  </si>
  <si>
    <t>P-102627</t>
  </si>
  <si>
    <t>S-02628</t>
  </si>
  <si>
    <t>P-102628</t>
  </si>
  <si>
    <t>S-02629</t>
  </si>
  <si>
    <t>P-102629</t>
  </si>
  <si>
    <t>S-02630</t>
  </si>
  <si>
    <t>P-102630</t>
  </si>
  <si>
    <t>S-02631</t>
  </si>
  <si>
    <t>P-102631</t>
  </si>
  <si>
    <t>S-02632</t>
  </si>
  <si>
    <t>P-102632</t>
  </si>
  <si>
    <t>S-02633</t>
  </si>
  <si>
    <t>P-102633</t>
  </si>
  <si>
    <t>S-02634</t>
  </si>
  <si>
    <t>P-102634</t>
  </si>
  <si>
    <t>S-02635</t>
  </si>
  <si>
    <t>P-102635</t>
  </si>
  <si>
    <t>S-02636</t>
  </si>
  <si>
    <t>P-102636</t>
  </si>
  <si>
    <t>S-02637</t>
  </si>
  <si>
    <t>P-102637</t>
  </si>
  <si>
    <t>S-02638</t>
  </si>
  <si>
    <t>P-102638</t>
  </si>
  <si>
    <t>S-02639</t>
  </si>
  <si>
    <t>P-102639</t>
  </si>
  <si>
    <t>S-02640</t>
  </si>
  <si>
    <t>P-102640</t>
  </si>
  <si>
    <t>S-02641</t>
  </si>
  <si>
    <t>P-102641</t>
  </si>
  <si>
    <t>S-02642</t>
  </si>
  <si>
    <t>P-102642</t>
  </si>
  <si>
    <t>S-02643</t>
  </si>
  <si>
    <t>P-102643</t>
  </si>
  <si>
    <t>S-02644</t>
  </si>
  <si>
    <t>P-102644</t>
  </si>
  <si>
    <t>S-02645</t>
  </si>
  <si>
    <t>P-102645</t>
  </si>
  <si>
    <t>S-02646</t>
  </si>
  <si>
    <t>P-102646</t>
  </si>
  <si>
    <t>S-02647</t>
  </si>
  <si>
    <t>P-102647</t>
  </si>
  <si>
    <t>S-02648</t>
  </si>
  <si>
    <t>P-102648</t>
  </si>
  <si>
    <t>S-02649</t>
  </si>
  <si>
    <t>P-102649</t>
  </si>
  <si>
    <t>S-02650</t>
  </si>
  <si>
    <t>P-102650</t>
  </si>
  <si>
    <t>S-02651</t>
  </si>
  <si>
    <t>P-102651</t>
  </si>
  <si>
    <t>S-02652</t>
  </si>
  <si>
    <t>P-102652</t>
  </si>
  <si>
    <t>S-02653</t>
  </si>
  <si>
    <t>P-102653</t>
  </si>
  <si>
    <t>S-02654</t>
  </si>
  <si>
    <t>P-102654</t>
  </si>
  <si>
    <t>S-02655</t>
  </si>
  <si>
    <t>P-102655</t>
  </si>
  <si>
    <t>S-02656</t>
  </si>
  <si>
    <t>P-102656</t>
  </si>
  <si>
    <t>S-02657</t>
  </si>
  <si>
    <t>P-102657</t>
  </si>
  <si>
    <t>S-02658</t>
  </si>
  <si>
    <t>P-102658</t>
  </si>
  <si>
    <t>S-02659</t>
  </si>
  <si>
    <t>P-102659</t>
  </si>
  <si>
    <t>S-02660</t>
  </si>
  <si>
    <t>P-102660</t>
  </si>
  <si>
    <t>S-02661</t>
  </si>
  <si>
    <t>P-102661</t>
  </si>
  <si>
    <t>S-02662</t>
  </si>
  <si>
    <t>P-102662</t>
  </si>
  <si>
    <t>S-02663</t>
  </si>
  <si>
    <t>P-102663</t>
  </si>
  <si>
    <t>S-02664</t>
  </si>
  <si>
    <t>P-102664</t>
  </si>
  <si>
    <t>S-02665</t>
  </si>
  <si>
    <t>P-102665</t>
  </si>
  <si>
    <t>S-02666</t>
  </si>
  <si>
    <t>P-102666</t>
  </si>
  <si>
    <t>S-02667</t>
  </si>
  <si>
    <t>P-102667</t>
  </si>
  <si>
    <t>S-02668</t>
  </si>
  <si>
    <t>P-102668</t>
  </si>
  <si>
    <t>S-02669</t>
  </si>
  <si>
    <t>P-102669</t>
  </si>
  <si>
    <t>S-02670</t>
  </si>
  <si>
    <t>P-102670</t>
  </si>
  <si>
    <t>S-02671</t>
  </si>
  <si>
    <t>P-102671</t>
  </si>
  <si>
    <t>S-02672</t>
  </si>
  <si>
    <t>P-102672</t>
  </si>
  <si>
    <t>S-02673</t>
  </si>
  <si>
    <t>P-102673</t>
  </si>
  <si>
    <t>S-02674</t>
  </si>
  <si>
    <t>P-102674</t>
  </si>
  <si>
    <t>S-02675</t>
  </si>
  <si>
    <t>P-102675</t>
  </si>
  <si>
    <t>S-02676</t>
  </si>
  <si>
    <t>P-102676</t>
  </si>
  <si>
    <t>S-02677</t>
  </si>
  <si>
    <t>P-102677</t>
  </si>
  <si>
    <t>S-02678</t>
  </si>
  <si>
    <t>P-102678</t>
  </si>
  <si>
    <t>S-02679</t>
  </si>
  <si>
    <t>P-102679</t>
  </si>
  <si>
    <t>S-02680</t>
  </si>
  <si>
    <t>P-102680</t>
  </si>
  <si>
    <t>S-02681</t>
  </si>
  <si>
    <t>P-102681</t>
  </si>
  <si>
    <t>S-02682</t>
  </si>
  <si>
    <t>P-102682</t>
  </si>
  <si>
    <t>S-02683</t>
  </si>
  <si>
    <t>P-102683</t>
  </si>
  <si>
    <t>S-02684</t>
  </si>
  <si>
    <t>P-102684</t>
  </si>
  <si>
    <t>S-02685</t>
  </si>
  <si>
    <t>P-102685</t>
  </si>
  <si>
    <t>S-02686</t>
  </si>
  <si>
    <t>P-102686</t>
  </si>
  <si>
    <t>S-02687</t>
  </si>
  <si>
    <t>P-102687</t>
  </si>
  <si>
    <t>S-02688</t>
  </si>
  <si>
    <t>P-102688</t>
  </si>
  <si>
    <t>S-02689</t>
  </si>
  <si>
    <t>P-102689</t>
  </si>
  <si>
    <t>S-02690</t>
  </si>
  <si>
    <t>P-102690</t>
  </si>
  <si>
    <t>S-02691</t>
  </si>
  <si>
    <t>P-102691</t>
  </si>
  <si>
    <t>S-02692</t>
  </si>
  <si>
    <t>P-102692</t>
  </si>
  <si>
    <t>S-02693</t>
  </si>
  <si>
    <t>P-102693</t>
  </si>
  <si>
    <t>S-02694</t>
  </si>
  <si>
    <t>P-102694</t>
  </si>
  <si>
    <t>S-02695</t>
  </si>
  <si>
    <t>P-102695</t>
  </si>
  <si>
    <t>S-02696</t>
  </si>
  <si>
    <t>P-102696</t>
  </si>
  <si>
    <t>S-02697</t>
  </si>
  <si>
    <t>P-102697</t>
  </si>
  <si>
    <t>S-02698</t>
  </si>
  <si>
    <t>P-102698</t>
  </si>
  <si>
    <t>S-02699</t>
  </si>
  <si>
    <t>P-102699</t>
  </si>
  <si>
    <t>S-02700</t>
  </si>
  <si>
    <t>P-102700</t>
  </si>
  <si>
    <t>S-02701</t>
  </si>
  <si>
    <t>P-102701</t>
  </si>
  <si>
    <t>S-02702</t>
  </si>
  <si>
    <t>P-102702</t>
  </si>
  <si>
    <t>S-02703</t>
  </si>
  <si>
    <t>P-102703</t>
  </si>
  <si>
    <t>S-02704</t>
  </si>
  <si>
    <t>P-102704</t>
  </si>
  <si>
    <t>S-02705</t>
  </si>
  <si>
    <t>P-102705</t>
  </si>
  <si>
    <t>S-02706</t>
  </si>
  <si>
    <t>P-102706</t>
  </si>
  <si>
    <t>S-02707</t>
  </si>
  <si>
    <t>P-102707</t>
  </si>
  <si>
    <t>S-02708</t>
  </si>
  <si>
    <t>P-102708</t>
  </si>
  <si>
    <t>S-02709</t>
  </si>
  <si>
    <t>P-102709</t>
  </si>
  <si>
    <t>S-02710</t>
  </si>
  <si>
    <t>P-102710</t>
  </si>
  <si>
    <t>S-02711</t>
  </si>
  <si>
    <t>P-102711</t>
  </si>
  <si>
    <t>S-02712</t>
  </si>
  <si>
    <t>P-102712</t>
  </si>
  <si>
    <t>S-02713</t>
  </si>
  <si>
    <t>P-102713</t>
  </si>
  <si>
    <t>S-02714</t>
  </si>
  <si>
    <t>P-102714</t>
  </si>
  <si>
    <t>S-02715</t>
  </si>
  <si>
    <t>P-102715</t>
  </si>
  <si>
    <t>S-02716</t>
  </si>
  <si>
    <t>P-102716</t>
  </si>
  <si>
    <t>S-02717</t>
  </si>
  <si>
    <t>P-102717</t>
  </si>
  <si>
    <t>S-02718</t>
  </si>
  <si>
    <t>P-102718</t>
  </si>
  <si>
    <t>S-02719</t>
  </si>
  <si>
    <t>P-102719</t>
  </si>
  <si>
    <t>S-02720</t>
  </si>
  <si>
    <t>P-102720</t>
  </si>
  <si>
    <t>S-02721</t>
  </si>
  <si>
    <t>P-102721</t>
  </si>
  <si>
    <t>S-02722</t>
  </si>
  <si>
    <t>P-102722</t>
  </si>
  <si>
    <t>S-02723</t>
  </si>
  <si>
    <t>P-102723</t>
  </si>
  <si>
    <t>S-02724</t>
  </si>
  <si>
    <t>P-102724</t>
  </si>
  <si>
    <t>S-02725</t>
  </si>
  <si>
    <t>P-102725</t>
  </si>
  <si>
    <t>S-02726</t>
  </si>
  <si>
    <t>P-102726</t>
  </si>
  <si>
    <t>S-02727</t>
  </si>
  <si>
    <t>P-102727</t>
  </si>
  <si>
    <t>S-02728</t>
  </si>
  <si>
    <t>P-102728</t>
  </si>
  <si>
    <t>S-02729</t>
  </si>
  <si>
    <t>P-102729</t>
  </si>
  <si>
    <t>S-02730</t>
  </si>
  <si>
    <t>P-102730</t>
  </si>
  <si>
    <t>S-02731</t>
  </si>
  <si>
    <t>P-102731</t>
  </si>
  <si>
    <t>S-02732</t>
  </si>
  <si>
    <t>P-102732</t>
  </si>
  <si>
    <t>S-02733</t>
  </si>
  <si>
    <t>P-102733</t>
  </si>
  <si>
    <t>S-02734</t>
  </si>
  <si>
    <t>P-102734</t>
  </si>
  <si>
    <t>S-02735</t>
  </si>
  <si>
    <t>P-102735</t>
  </si>
  <si>
    <t>S-02736</t>
  </si>
  <si>
    <t>P-102736</t>
  </si>
  <si>
    <t>S-02737</t>
  </si>
  <si>
    <t>P-102737</t>
  </si>
  <si>
    <t>S-02738</t>
  </si>
  <si>
    <t>P-102738</t>
  </si>
  <si>
    <t>S-02739</t>
  </si>
  <si>
    <t>P-102739</t>
  </si>
  <si>
    <t>S-02740</t>
  </si>
  <si>
    <t>P-102740</t>
  </si>
  <si>
    <t>S-02741</t>
  </si>
  <si>
    <t>P-102741</t>
  </si>
  <si>
    <t>S-02742</t>
  </si>
  <si>
    <t>P-102742</t>
  </si>
  <si>
    <t>S-02743</t>
  </si>
  <si>
    <t>P-102743</t>
  </si>
  <si>
    <t>S-02744</t>
  </si>
  <si>
    <t>P-102744</t>
  </si>
  <si>
    <t>S-02745</t>
  </si>
  <si>
    <t>P-102745</t>
  </si>
  <si>
    <t>S-02746</t>
  </si>
  <si>
    <t>P-102746</t>
  </si>
  <si>
    <t>S-02747</t>
  </si>
  <si>
    <t>P-102747</t>
  </si>
  <si>
    <t>S-02748</t>
  </si>
  <si>
    <t>P-102748</t>
  </si>
  <si>
    <t>S-02749</t>
  </si>
  <si>
    <t>P-102749</t>
  </si>
  <si>
    <t>S-02750</t>
  </si>
  <si>
    <t>P-102750</t>
  </si>
  <si>
    <t>S-02751</t>
  </si>
  <si>
    <t>P-102751</t>
  </si>
  <si>
    <t>S-02752</t>
  </si>
  <si>
    <t>P-102752</t>
  </si>
  <si>
    <t>S-02753</t>
  </si>
  <si>
    <t>P-102753</t>
  </si>
  <si>
    <t>S-02754</t>
  </si>
  <si>
    <t>P-102754</t>
  </si>
  <si>
    <t>S-02755</t>
  </si>
  <si>
    <t>P-102755</t>
  </si>
  <si>
    <t>S-02756</t>
  </si>
  <si>
    <t>P-102756</t>
  </si>
  <si>
    <t>S-02757</t>
  </si>
  <si>
    <t>P-102757</t>
  </si>
  <si>
    <t>S-02758</t>
  </si>
  <si>
    <t>P-102758</t>
  </si>
  <si>
    <t>S-02759</t>
  </si>
  <si>
    <t>P-102759</t>
  </si>
  <si>
    <t>S-02760</t>
  </si>
  <si>
    <t>P-102760</t>
  </si>
  <si>
    <t>S-02761</t>
  </si>
  <si>
    <t>P-102761</t>
  </si>
  <si>
    <t>S-02762</t>
  </si>
  <si>
    <t>P-102762</t>
  </si>
  <si>
    <t>S-02763</t>
  </si>
  <si>
    <t>P-102763</t>
  </si>
  <si>
    <t>S-02764</t>
  </si>
  <si>
    <t>P-102764</t>
  </si>
  <si>
    <t>S-02765</t>
  </si>
  <si>
    <t>P-102765</t>
  </si>
  <si>
    <t>S-02766</t>
  </si>
  <si>
    <t>P-102766</t>
  </si>
  <si>
    <t>S-02767</t>
  </si>
  <si>
    <t>P-102767</t>
  </si>
  <si>
    <t>S-02768</t>
  </si>
  <si>
    <t>P-102768</t>
  </si>
  <si>
    <t>S-02769</t>
  </si>
  <si>
    <t>P-102769</t>
  </si>
  <si>
    <t>S-02770</t>
  </si>
  <si>
    <t>P-102770</t>
  </si>
  <si>
    <t>S-02771</t>
  </si>
  <si>
    <t>P-102771</t>
  </si>
  <si>
    <t>S-02772</t>
  </si>
  <si>
    <t>P-102772</t>
  </si>
  <si>
    <t>S-02773</t>
  </si>
  <si>
    <t>P-102773</t>
  </si>
  <si>
    <t>S-02774</t>
  </si>
  <si>
    <t>P-102774</t>
  </si>
  <si>
    <t>S-02775</t>
  </si>
  <si>
    <t>P-102775</t>
  </si>
  <si>
    <t>S-02776</t>
  </si>
  <si>
    <t>P-102776</t>
  </si>
  <si>
    <t>S-02777</t>
  </si>
  <si>
    <t>P-102777</t>
  </si>
  <si>
    <t>S-02778</t>
  </si>
  <si>
    <t>P-102778</t>
  </si>
  <si>
    <t>S-02779</t>
  </si>
  <si>
    <t>P-102779</t>
  </si>
  <si>
    <t>S-02780</t>
  </si>
  <si>
    <t>P-102780</t>
  </si>
  <si>
    <t>S-02781</t>
  </si>
  <si>
    <t>P-102781</t>
  </si>
  <si>
    <t>S-02782</t>
  </si>
  <si>
    <t>P-102782</t>
  </si>
  <si>
    <t>S-02783</t>
  </si>
  <si>
    <t>P-102783</t>
  </si>
  <si>
    <t>S-02784</t>
  </si>
  <si>
    <t>P-102784</t>
  </si>
  <si>
    <t>S-02785</t>
  </si>
  <si>
    <t>P-102785</t>
  </si>
  <si>
    <t>S-02786</t>
  </si>
  <si>
    <t>P-102786</t>
  </si>
  <si>
    <t>S-02787</t>
  </si>
  <si>
    <t>P-102787</t>
  </si>
  <si>
    <t>S-02788</t>
  </si>
  <si>
    <t>P-102788</t>
  </si>
  <si>
    <t>S-02789</t>
  </si>
  <si>
    <t>P-102789</t>
  </si>
  <si>
    <t>S-02790</t>
  </si>
  <si>
    <t>P-102790</t>
  </si>
  <si>
    <t>S-02791</t>
  </si>
  <si>
    <t>P-102791</t>
  </si>
  <si>
    <t>S-02792</t>
  </si>
  <si>
    <t>P-102792</t>
  </si>
  <si>
    <t>S-02793</t>
  </si>
  <si>
    <t>P-102793</t>
  </si>
  <si>
    <t>S-02794</t>
  </si>
  <si>
    <t>P-102794</t>
  </si>
  <si>
    <t>S-02795</t>
  </si>
  <si>
    <t>P-102795</t>
  </si>
  <si>
    <t>S-02796</t>
  </si>
  <si>
    <t>P-102796</t>
  </si>
  <si>
    <t>S-02797</t>
  </si>
  <si>
    <t>P-102797</t>
  </si>
  <si>
    <t>S-02798</t>
  </si>
  <si>
    <t>P-102798</t>
  </si>
  <si>
    <t>S-02799</t>
  </si>
  <si>
    <t>P-102799</t>
  </si>
  <si>
    <t>S-02800</t>
  </si>
  <si>
    <t>P-102800</t>
  </si>
  <si>
    <t>S-02801</t>
  </si>
  <si>
    <t>P-102801</t>
  </si>
  <si>
    <t>S-02802</t>
  </si>
  <si>
    <t>P-102802</t>
  </si>
  <si>
    <t>S-02803</t>
  </si>
  <si>
    <t>P-102803</t>
  </si>
  <si>
    <t>S-02804</t>
  </si>
  <si>
    <t>P-102804</t>
  </si>
  <si>
    <t>S-02805</t>
  </si>
  <si>
    <t>P-102805</t>
  </si>
  <si>
    <t>S-02806</t>
  </si>
  <si>
    <t>P-102806</t>
  </si>
  <si>
    <t>S-02807</t>
  </si>
  <si>
    <t>P-102807</t>
  </si>
  <si>
    <t>S-02808</t>
  </si>
  <si>
    <t>P-102808</t>
  </si>
  <si>
    <t>S-02809</t>
  </si>
  <si>
    <t>P-102809</t>
  </si>
  <si>
    <t>S-02810</t>
  </si>
  <si>
    <t>P-102810</t>
  </si>
  <si>
    <t>S-02811</t>
  </si>
  <si>
    <t>P-102811</t>
  </si>
  <si>
    <t>S-02812</t>
  </si>
  <si>
    <t>P-102812</t>
  </si>
  <si>
    <t>S-02813</t>
  </si>
  <si>
    <t>P-102813</t>
  </si>
  <si>
    <t>S-02814</t>
  </si>
  <si>
    <t>P-102814</t>
  </si>
  <si>
    <t>S-02815</t>
  </si>
  <si>
    <t>P-102815</t>
  </si>
  <si>
    <t>S-02816</t>
  </si>
  <si>
    <t>P-102816</t>
  </si>
  <si>
    <t>S-02817</t>
  </si>
  <si>
    <t>P-102817</t>
  </si>
  <si>
    <t>S-02818</t>
  </si>
  <si>
    <t>P-102818</t>
  </si>
  <si>
    <t>S-02819</t>
  </si>
  <si>
    <t>P-102819</t>
  </si>
  <si>
    <t>S-02820</t>
  </si>
  <si>
    <t>P-102820</t>
  </si>
  <si>
    <t>S-02821</t>
  </si>
  <si>
    <t>P-102821</t>
  </si>
  <si>
    <t>S-02822</t>
  </si>
  <si>
    <t>P-102822</t>
  </si>
  <si>
    <t>S-02823</t>
  </si>
  <si>
    <t>P-102823</t>
  </si>
  <si>
    <t>S-02824</t>
  </si>
  <si>
    <t>P-102824</t>
  </si>
  <si>
    <t>S-02825</t>
  </si>
  <si>
    <t>P-102825</t>
  </si>
  <si>
    <t>S-02826</t>
  </si>
  <si>
    <t>P-102826</t>
  </si>
  <si>
    <t>S-02827</t>
  </si>
  <si>
    <t>P-102827</t>
  </si>
  <si>
    <t>S-02828</t>
  </si>
  <si>
    <t>P-102828</t>
  </si>
  <si>
    <t>S-02829</t>
  </si>
  <si>
    <t>P-102829</t>
  </si>
  <si>
    <t>S-02830</t>
  </si>
  <si>
    <t>P-102830</t>
  </si>
  <si>
    <t>S-02831</t>
  </si>
  <si>
    <t>P-102831</t>
  </si>
  <si>
    <t>S-02832</t>
  </si>
  <si>
    <t>P-102832</t>
  </si>
  <si>
    <t>S-02833</t>
  </si>
  <si>
    <t>P-102833</t>
  </si>
  <si>
    <t>S-02834</t>
  </si>
  <si>
    <t>P-102834</t>
  </si>
  <si>
    <t>S-02835</t>
  </si>
  <si>
    <t>P-102835</t>
  </si>
  <si>
    <t>S-02836</t>
  </si>
  <si>
    <t>P-102836</t>
  </si>
  <si>
    <t>S-02837</t>
  </si>
  <si>
    <t>P-102837</t>
  </si>
  <si>
    <t>S-02838</t>
  </si>
  <si>
    <t>P-102838</t>
  </si>
  <si>
    <t>S-02839</t>
  </si>
  <si>
    <t>P-102839</t>
  </si>
  <si>
    <t>S-02840</t>
  </si>
  <si>
    <t>P-102840</t>
  </si>
  <si>
    <t>S-02841</t>
  </si>
  <si>
    <t>P-102841</t>
  </si>
  <si>
    <t>S-02842</t>
  </si>
  <si>
    <t>P-102842</t>
  </si>
  <si>
    <t>S-02843</t>
  </si>
  <si>
    <t>P-102843</t>
  </si>
  <si>
    <t>S-02844</t>
  </si>
  <si>
    <t>P-102844</t>
  </si>
  <si>
    <t>S-02845</t>
  </si>
  <si>
    <t>P-102845</t>
  </si>
  <si>
    <t>S-02846</t>
  </si>
  <si>
    <t>P-102846</t>
  </si>
  <si>
    <t>S-02847</t>
  </si>
  <si>
    <t>P-102847</t>
  </si>
  <si>
    <t>S-02848</t>
  </si>
  <si>
    <t>P-102848</t>
  </si>
  <si>
    <t>S-02849</t>
  </si>
  <si>
    <t>P-102849</t>
  </si>
  <si>
    <t>S-02850</t>
  </si>
  <si>
    <t>P-102850</t>
  </si>
  <si>
    <t>S-02851</t>
  </si>
  <si>
    <t>P-102851</t>
  </si>
  <si>
    <t>S-02852</t>
  </si>
  <si>
    <t>P-102852</t>
  </si>
  <si>
    <t>S-02853</t>
  </si>
  <si>
    <t>P-102853</t>
  </si>
  <si>
    <t>S-02854</t>
  </si>
  <si>
    <t>P-102854</t>
  </si>
  <si>
    <t>S-02855</t>
  </si>
  <si>
    <t>P-102855</t>
  </si>
  <si>
    <t>S-02856</t>
  </si>
  <si>
    <t>P-102856</t>
  </si>
  <si>
    <t>S-02857</t>
  </si>
  <si>
    <t>P-102857</t>
  </si>
  <si>
    <t>S-02858</t>
  </si>
  <si>
    <t>P-102858</t>
  </si>
  <si>
    <t>S-02859</t>
  </si>
  <si>
    <t>P-102859</t>
  </si>
  <si>
    <t>S-02860</t>
  </si>
  <si>
    <t>P-102860</t>
  </si>
  <si>
    <t>S-02861</t>
  </si>
  <si>
    <t>P-102861</t>
  </si>
  <si>
    <t>S-02862</t>
  </si>
  <si>
    <t>P-102862</t>
  </si>
  <si>
    <t>S-02863</t>
  </si>
  <si>
    <t>P-102863</t>
  </si>
  <si>
    <t>S-02864</t>
  </si>
  <si>
    <t>P-102864</t>
  </si>
  <si>
    <t>S-02865</t>
  </si>
  <si>
    <t>P-102865</t>
  </si>
  <si>
    <t>S-02866</t>
  </si>
  <si>
    <t>P-102866</t>
  </si>
  <si>
    <t>S-02867</t>
  </si>
  <si>
    <t>P-102867</t>
  </si>
  <si>
    <t>S-02868</t>
  </si>
  <si>
    <t>P-102868</t>
  </si>
  <si>
    <t>S-02869</t>
  </si>
  <si>
    <t>P-102869</t>
  </si>
  <si>
    <t>S-02870</t>
  </si>
  <si>
    <t>P-102870</t>
  </si>
  <si>
    <t>S-02871</t>
  </si>
  <si>
    <t>P-102871</t>
  </si>
  <si>
    <t>S-02872</t>
  </si>
  <si>
    <t>P-102872</t>
  </si>
  <si>
    <t>S-02873</t>
  </si>
  <si>
    <t>P-102873</t>
  </si>
  <si>
    <t>S-02874</t>
  </si>
  <si>
    <t>P-102874</t>
  </si>
  <si>
    <t>S-02875</t>
  </si>
  <si>
    <t>P-102875</t>
  </si>
  <si>
    <t>S-02876</t>
  </si>
  <si>
    <t>P-102876</t>
  </si>
  <si>
    <t>S-02877</t>
  </si>
  <si>
    <t>P-102877</t>
  </si>
  <si>
    <t>S-02878</t>
  </si>
  <si>
    <t>P-102878</t>
  </si>
  <si>
    <t>S-02879</t>
  </si>
  <si>
    <t>P-102879</t>
  </si>
  <si>
    <t>S-02880</t>
  </si>
  <si>
    <t>P-102880</t>
  </si>
  <si>
    <t>S-02881</t>
  </si>
  <si>
    <t>P-102881</t>
  </si>
  <si>
    <t>S-02882</t>
  </si>
  <si>
    <t>P-102882</t>
  </si>
  <si>
    <t>S-02883</t>
  </si>
  <si>
    <t>P-102883</t>
  </si>
  <si>
    <t>S-02884</t>
  </si>
  <si>
    <t>P-102884</t>
  </si>
  <si>
    <t>S-02885</t>
  </si>
  <si>
    <t>P-102885</t>
  </si>
  <si>
    <t>S-02886</t>
  </si>
  <si>
    <t>P-102886</t>
  </si>
  <si>
    <t>S-02887</t>
  </si>
  <si>
    <t>P-102887</t>
  </si>
  <si>
    <t>S-02888</t>
  </si>
  <si>
    <t>P-102888</t>
  </si>
  <si>
    <t>S-02889</t>
  </si>
  <si>
    <t>P-102889</t>
  </si>
  <si>
    <t>S-02890</t>
  </si>
  <si>
    <t>P-102890</t>
  </si>
  <si>
    <t>S-02891</t>
  </si>
  <si>
    <t>P-102891</t>
  </si>
  <si>
    <t>S-02892</t>
  </si>
  <si>
    <t>P-102892</t>
  </si>
  <si>
    <t>S-02893</t>
  </si>
  <si>
    <t>P-102893</t>
  </si>
  <si>
    <t>S-02894</t>
  </si>
  <si>
    <t>P-102894</t>
  </si>
  <si>
    <t>S-02895</t>
  </si>
  <si>
    <t>P-102895</t>
  </si>
  <si>
    <t>S-02896</t>
  </si>
  <si>
    <t>P-102896</t>
  </si>
  <si>
    <t>S-02897</t>
  </si>
  <si>
    <t>P-102897</t>
  </si>
  <si>
    <t>S-02898</t>
  </si>
  <si>
    <t>P-102898</t>
  </si>
  <si>
    <t>S-02899</t>
  </si>
  <si>
    <t>P-102899</t>
  </si>
  <si>
    <t>S-02900</t>
  </si>
  <si>
    <t>P-102900</t>
  </si>
  <si>
    <t>S-02901</t>
  </si>
  <si>
    <t>P-102901</t>
  </si>
  <si>
    <t>S-02902</t>
  </si>
  <si>
    <t>P-102902</t>
  </si>
  <si>
    <t>S-02903</t>
  </si>
  <si>
    <t>P-102903</t>
  </si>
  <si>
    <t>S-02904</t>
  </si>
  <si>
    <t>P-102904</t>
  </si>
  <si>
    <t>S-02905</t>
  </si>
  <si>
    <t>P-102905</t>
  </si>
  <si>
    <t>S-02906</t>
  </si>
  <si>
    <t>P-102906</t>
  </si>
  <si>
    <t>S-02907</t>
  </si>
  <si>
    <t>P-102907</t>
  </si>
  <si>
    <t>S-02908</t>
  </si>
  <si>
    <t>P-102908</t>
  </si>
  <si>
    <t>S-02909</t>
  </si>
  <si>
    <t>P-102909</t>
  </si>
  <si>
    <t>S-02910</t>
  </si>
  <si>
    <t>P-102910</t>
  </si>
  <si>
    <t>S-02911</t>
  </si>
  <si>
    <t>P-102911</t>
  </si>
  <si>
    <t>S-02912</t>
  </si>
  <si>
    <t>P-102912</t>
  </si>
  <si>
    <t>S-02913</t>
  </si>
  <si>
    <t>P-102913</t>
  </si>
  <si>
    <t>S-02914</t>
  </si>
  <si>
    <t>P-102914</t>
  </si>
  <si>
    <t>S-02915</t>
  </si>
  <si>
    <t>P-102915</t>
  </si>
  <si>
    <t>S-02916</t>
  </si>
  <si>
    <t>P-102916</t>
  </si>
  <si>
    <t>S-02917</t>
  </si>
  <si>
    <t>P-102917</t>
  </si>
  <si>
    <t>S-02918</t>
  </si>
  <si>
    <t>P-102918</t>
  </si>
  <si>
    <t>S-02919</t>
  </si>
  <si>
    <t>P-102919</t>
  </si>
  <si>
    <t>S-02920</t>
  </si>
  <si>
    <t>P-102920</t>
  </si>
  <si>
    <t>S-02921</t>
  </si>
  <si>
    <t>P-102921</t>
  </si>
  <si>
    <t>S-02922</t>
  </si>
  <si>
    <t>P-102922</t>
  </si>
  <si>
    <t>S-02923</t>
  </si>
  <si>
    <t>P-102923</t>
  </si>
  <si>
    <t>S-02924</t>
  </si>
  <si>
    <t>P-102924</t>
  </si>
  <si>
    <t>S-02925</t>
  </si>
  <si>
    <t>P-102925</t>
  </si>
  <si>
    <t>S-02926</t>
  </si>
  <si>
    <t>P-102926</t>
  </si>
  <si>
    <t>S-02927</t>
  </si>
  <si>
    <t>P-102927</t>
  </si>
  <si>
    <t>S-02928</t>
  </si>
  <si>
    <t>P-102928</t>
  </si>
  <si>
    <t>S-02929</t>
  </si>
  <si>
    <t>P-102929</t>
  </si>
  <si>
    <t>S-02930</t>
  </si>
  <si>
    <t>P-102930</t>
  </si>
  <si>
    <t>S-02931</t>
  </si>
  <si>
    <t>P-102931</t>
  </si>
  <si>
    <t>S-02932</t>
  </si>
  <si>
    <t>P-102932</t>
  </si>
  <si>
    <t>S-02933</t>
  </si>
  <si>
    <t>P-102933</t>
  </si>
  <si>
    <t>S-02934</t>
  </si>
  <si>
    <t>P-102934</t>
  </si>
  <si>
    <t>S-02935</t>
  </si>
  <si>
    <t>P-102935</t>
  </si>
  <si>
    <t>S-02936</t>
  </si>
  <si>
    <t>P-102936</t>
  </si>
  <si>
    <t>S-02937</t>
  </si>
  <si>
    <t>P-102937</t>
  </si>
  <si>
    <t>S-02938</t>
  </si>
  <si>
    <t>P-102938</t>
  </si>
  <si>
    <t>S-02939</t>
  </si>
  <si>
    <t>P-102939</t>
  </si>
  <si>
    <t>S-02940</t>
  </si>
  <si>
    <t>P-102940</t>
  </si>
  <si>
    <t>S-02941</t>
  </si>
  <si>
    <t>P-102941</t>
  </si>
  <si>
    <t>S-02942</t>
  </si>
  <si>
    <t>P-102942</t>
  </si>
  <si>
    <t>S-02943</t>
  </si>
  <si>
    <t>P-102943</t>
  </si>
  <si>
    <t>S-02944</t>
  </si>
  <si>
    <t>P-102944</t>
  </si>
  <si>
    <t>S-02945</t>
  </si>
  <si>
    <t>P-102945</t>
  </si>
  <si>
    <t>S-02946</t>
  </si>
  <si>
    <t>P-102946</t>
  </si>
  <si>
    <t>S-02947</t>
  </si>
  <si>
    <t>P-102947</t>
  </si>
  <si>
    <t>S-02948</t>
  </si>
  <si>
    <t>P-102948</t>
  </si>
  <si>
    <t>S-02949</t>
  </si>
  <si>
    <t>P-102949</t>
  </si>
  <si>
    <t>S-02950</t>
  </si>
  <si>
    <t>P-102950</t>
  </si>
  <si>
    <t>S-02951</t>
  </si>
  <si>
    <t>P-102951</t>
  </si>
  <si>
    <t>S-02952</t>
  </si>
  <si>
    <t>P-102952</t>
  </si>
  <si>
    <t>S-02953</t>
  </si>
  <si>
    <t>P-102953</t>
  </si>
  <si>
    <t>S-02954</t>
  </si>
  <si>
    <t>P-102954</t>
  </si>
  <si>
    <t>S-02955</t>
  </si>
  <si>
    <t>P-102955</t>
  </si>
  <si>
    <t>S-02956</t>
  </si>
  <si>
    <t>P-102956</t>
  </si>
  <si>
    <t>S-02957</t>
  </si>
  <si>
    <t>P-102957</t>
  </si>
  <si>
    <t>S-02958</t>
  </si>
  <si>
    <t>P-102958</t>
  </si>
  <si>
    <t>S-02959</t>
  </si>
  <si>
    <t>P-102959</t>
  </si>
  <si>
    <t>S-02960</t>
  </si>
  <si>
    <t>P-102960</t>
  </si>
  <si>
    <t>S-02961</t>
  </si>
  <si>
    <t>P-102961</t>
  </si>
  <si>
    <t>S-02962</t>
  </si>
  <si>
    <t>P-102962</t>
  </si>
  <si>
    <t>S-02963</t>
  </si>
  <si>
    <t>P-102963</t>
  </si>
  <si>
    <t>S-02964</t>
  </si>
  <si>
    <t>P-102964</t>
  </si>
  <si>
    <t>S-02965</t>
  </si>
  <si>
    <t>P-102965</t>
  </si>
  <si>
    <t>S-02966</t>
  </si>
  <si>
    <t>P-102966</t>
  </si>
  <si>
    <t>S-02967</t>
  </si>
  <si>
    <t>P-102967</t>
  </si>
  <si>
    <t>S-02968</t>
  </si>
  <si>
    <t>P-102968</t>
  </si>
  <si>
    <t>S-02969</t>
  </si>
  <si>
    <t>P-102969</t>
  </si>
  <si>
    <t>S-02970</t>
  </si>
  <si>
    <t>P-102970</t>
  </si>
  <si>
    <t>S-02971</t>
  </si>
  <si>
    <t>P-102971</t>
  </si>
  <si>
    <t>S-02972</t>
  </si>
  <si>
    <t>P-102972</t>
  </si>
  <si>
    <t>S-02973</t>
  </si>
  <si>
    <t>P-102973</t>
  </si>
  <si>
    <t>S-02974</t>
  </si>
  <si>
    <t>P-102974</t>
  </si>
  <si>
    <t>S-02975</t>
  </si>
  <si>
    <t>P-102975</t>
  </si>
  <si>
    <t>S-02976</t>
  </si>
  <si>
    <t>P-102976</t>
  </si>
  <si>
    <t>S-02977</t>
  </si>
  <si>
    <t>P-102977</t>
  </si>
  <si>
    <t>S-02978</t>
  </si>
  <si>
    <t>P-102978</t>
  </si>
  <si>
    <t>S-02979</t>
  </si>
  <si>
    <t>P-102979</t>
  </si>
  <si>
    <t>S-02980</t>
  </si>
  <si>
    <t>P-102980</t>
  </si>
  <si>
    <t>S-02981</t>
  </si>
  <si>
    <t>P-102981</t>
  </si>
  <si>
    <t>S-02982</t>
  </si>
  <si>
    <t>P-102982</t>
  </si>
  <si>
    <t>S-02983</t>
  </si>
  <si>
    <t>P-102983</t>
  </si>
  <si>
    <t>S-02984</t>
  </si>
  <si>
    <t>P-102984</t>
  </si>
  <si>
    <t>S-02985</t>
  </si>
  <si>
    <t>P-102985</t>
  </si>
  <si>
    <t>S-02986</t>
  </si>
  <si>
    <t>P-102986</t>
  </si>
  <si>
    <t>S-02987</t>
  </si>
  <si>
    <t>P-102987</t>
  </si>
  <si>
    <t>S-02988</t>
  </si>
  <si>
    <t>P-102988</t>
  </si>
  <si>
    <t>S-02989</t>
  </si>
  <si>
    <t>P-102989</t>
  </si>
  <si>
    <t>S-02990</t>
  </si>
  <si>
    <t>P-102990</t>
  </si>
  <si>
    <t>S-02991</t>
  </si>
  <si>
    <t>P-102991</t>
  </si>
  <si>
    <t>S-02992</t>
  </si>
  <si>
    <t>P-102992</t>
  </si>
  <si>
    <t>S-02993</t>
  </si>
  <si>
    <t>P-102993</t>
  </si>
  <si>
    <t>S-02994</t>
  </si>
  <si>
    <t>P-102994</t>
  </si>
  <si>
    <t>S-02995</t>
  </si>
  <si>
    <t>P-102995</t>
  </si>
  <si>
    <t>S-02996</t>
  </si>
  <si>
    <t>P-102996</t>
  </si>
  <si>
    <t>S-02997</t>
  </si>
  <si>
    <t>P-102997</t>
  </si>
  <si>
    <t>S-02998</t>
  </si>
  <si>
    <t>P-102998</t>
  </si>
  <si>
    <t>S-02999</t>
  </si>
  <si>
    <t>P-102999</t>
  </si>
  <si>
    <t>S-03000</t>
  </si>
  <si>
    <t>P-103000</t>
  </si>
  <si>
    <t>S-03001</t>
  </si>
  <si>
    <t>P-103001</t>
  </si>
  <si>
    <t>S-03002</t>
  </si>
  <si>
    <t>P-103002</t>
  </si>
  <si>
    <t>S-03003</t>
  </si>
  <si>
    <t>P-103003</t>
  </si>
  <si>
    <t>S-03004</t>
  </si>
  <si>
    <t>P-103004</t>
  </si>
  <si>
    <t>S-03005</t>
  </si>
  <si>
    <t>P-103005</t>
  </si>
  <si>
    <t>S-03006</t>
  </si>
  <si>
    <t>P-103006</t>
  </si>
  <si>
    <t>S-03007</t>
  </si>
  <si>
    <t>P-103007</t>
  </si>
  <si>
    <t>S-03008</t>
  </si>
  <si>
    <t>P-103008</t>
  </si>
  <si>
    <t>S-03009</t>
  </si>
  <si>
    <t>P-103009</t>
  </si>
  <si>
    <t>S-03010</t>
  </si>
  <si>
    <t>P-103010</t>
  </si>
  <si>
    <t>S-03011</t>
  </si>
  <si>
    <t>P-103011</t>
  </si>
  <si>
    <t>S-03012</t>
  </si>
  <si>
    <t>P-103012</t>
  </si>
  <si>
    <t>S-03013</t>
  </si>
  <si>
    <t>P-103013</t>
  </si>
  <si>
    <t>S-03014</t>
  </si>
  <si>
    <t>P-103014</t>
  </si>
  <si>
    <t>S-03015</t>
  </si>
  <si>
    <t>P-103015</t>
  </si>
  <si>
    <t>S-03016</t>
  </si>
  <si>
    <t>P-103016</t>
  </si>
  <si>
    <t>S-03017</t>
  </si>
  <si>
    <t>P-103017</t>
  </si>
  <si>
    <t>S-03018</t>
  </si>
  <si>
    <t>P-103018</t>
  </si>
  <si>
    <t>S-03019</t>
  </si>
  <si>
    <t>P-103019</t>
  </si>
  <si>
    <t>S-03020</t>
  </si>
  <si>
    <t>P-103020</t>
  </si>
  <si>
    <t>S-03021</t>
  </si>
  <si>
    <t>P-103021</t>
  </si>
  <si>
    <t>S-03022</t>
  </si>
  <si>
    <t>P-103022</t>
  </si>
  <si>
    <t>S-03023</t>
  </si>
  <si>
    <t>P-103023</t>
  </si>
  <si>
    <t>S-03024</t>
  </si>
  <si>
    <t>P-103024</t>
  </si>
  <si>
    <t>S-03025</t>
  </si>
  <si>
    <t>P-103025</t>
  </si>
  <si>
    <t>S-03026</t>
  </si>
  <si>
    <t>P-103026</t>
  </si>
  <si>
    <t>S-03027</t>
  </si>
  <si>
    <t>P-103027</t>
  </si>
  <si>
    <t>S-03028</t>
  </si>
  <si>
    <t>P-103028</t>
  </si>
  <si>
    <t>S-03029</t>
  </si>
  <si>
    <t>P-103029</t>
  </si>
  <si>
    <t>S-03030</t>
  </si>
  <si>
    <t>P-103030</t>
  </si>
  <si>
    <t>S-03031</t>
  </si>
  <si>
    <t>P-103031</t>
  </si>
  <si>
    <t>S-03032</t>
  </si>
  <si>
    <t>P-103032</t>
  </si>
  <si>
    <t>S-03033</t>
  </si>
  <si>
    <t>P-103033</t>
  </si>
  <si>
    <t>S-03034</t>
  </si>
  <si>
    <t>P-103034</t>
  </si>
  <si>
    <t>S-03035</t>
  </si>
  <si>
    <t>P-103035</t>
  </si>
  <si>
    <t>S-03036</t>
  </si>
  <si>
    <t>P-103036</t>
  </si>
  <si>
    <t>S-03037</t>
  </si>
  <si>
    <t>P-103037</t>
  </si>
  <si>
    <t>S-03038</t>
  </si>
  <si>
    <t>P-103038</t>
  </si>
  <si>
    <t>S-03039</t>
  </si>
  <si>
    <t>P-103039</t>
  </si>
  <si>
    <t>S-03040</t>
  </si>
  <si>
    <t>P-103040</t>
  </si>
  <si>
    <t>S-03041</t>
  </si>
  <si>
    <t>P-103041</t>
  </si>
  <si>
    <t>S-03042</t>
  </si>
  <si>
    <t>P-103042</t>
  </si>
  <si>
    <t>S-03043</t>
  </si>
  <si>
    <t>P-103043</t>
  </si>
  <si>
    <t>S-03044</t>
  </si>
  <si>
    <t>P-103044</t>
  </si>
  <si>
    <t>S-03045</t>
  </si>
  <si>
    <t>P-103045</t>
  </si>
  <si>
    <t>S-03046</t>
  </si>
  <si>
    <t>P-103046</t>
  </si>
  <si>
    <t>S-03047</t>
  </si>
  <si>
    <t>P-103047</t>
  </si>
  <si>
    <t>S-03048</t>
  </si>
  <si>
    <t>P-103048</t>
  </si>
  <si>
    <t>S-03049</t>
  </si>
  <si>
    <t>P-103049</t>
  </si>
  <si>
    <t>S-03050</t>
  </si>
  <si>
    <t>P-103050</t>
  </si>
  <si>
    <t>S-03051</t>
  </si>
  <si>
    <t>P-103051</t>
  </si>
  <si>
    <t>S-03052</t>
  </si>
  <si>
    <t>P-103052</t>
  </si>
  <si>
    <t>S-03053</t>
  </si>
  <si>
    <t>P-103053</t>
  </si>
  <si>
    <t>S-03054</t>
  </si>
  <si>
    <t>P-103054</t>
  </si>
  <si>
    <t>S-03055</t>
  </si>
  <si>
    <t>P-103055</t>
  </si>
  <si>
    <t>S-03056</t>
  </si>
  <si>
    <t>P-103056</t>
  </si>
  <si>
    <t>S-03057</t>
  </si>
  <si>
    <t>P-103057</t>
  </si>
  <si>
    <t>S-03058</t>
  </si>
  <si>
    <t>P-103058</t>
  </si>
  <si>
    <t>S-03059</t>
  </si>
  <si>
    <t>P-103059</t>
  </si>
  <si>
    <t>S-03060</t>
  </si>
  <si>
    <t>P-103060</t>
  </si>
  <si>
    <t>S-03061</t>
  </si>
  <si>
    <t>P-103061</t>
  </si>
  <si>
    <t>S-03062</t>
  </si>
  <si>
    <t>P-103062</t>
  </si>
  <si>
    <t>S-03063</t>
  </si>
  <si>
    <t>P-103063</t>
  </si>
  <si>
    <t>S-03064</t>
  </si>
  <si>
    <t>P-103064</t>
  </si>
  <si>
    <t>S-03065</t>
  </si>
  <si>
    <t>P-103065</t>
  </si>
  <si>
    <t>S-03066</t>
  </si>
  <si>
    <t>P-103066</t>
  </si>
  <si>
    <t>S-03067</t>
  </si>
  <si>
    <t>P-103067</t>
  </si>
  <si>
    <t>S-03068</t>
  </si>
  <si>
    <t>P-103068</t>
  </si>
  <si>
    <t>S-03069</t>
  </si>
  <si>
    <t>P-103069</t>
  </si>
  <si>
    <t>S-03070</t>
  </si>
  <si>
    <t>P-103070</t>
  </si>
  <si>
    <t>S-03071</t>
  </si>
  <si>
    <t>P-103071</t>
  </si>
  <si>
    <t>S-03072</t>
  </si>
  <si>
    <t>P-103072</t>
  </si>
  <si>
    <t>S-03073</t>
  </si>
  <si>
    <t>P-103073</t>
  </si>
  <si>
    <t>S-03074</t>
  </si>
  <si>
    <t>P-103074</t>
  </si>
  <si>
    <t>S-03075</t>
  </si>
  <si>
    <t>P-103075</t>
  </si>
  <si>
    <t>S-03076</t>
  </si>
  <si>
    <t>P-103076</t>
  </si>
  <si>
    <t>S-03077</t>
  </si>
  <si>
    <t>P-103077</t>
  </si>
  <si>
    <t>S-03078</t>
  </si>
  <si>
    <t>P-103078</t>
  </si>
  <si>
    <t>S-03079</t>
  </si>
  <si>
    <t>P-103079</t>
  </si>
  <si>
    <t>S-03080</t>
  </si>
  <si>
    <t>P-103080</t>
  </si>
  <si>
    <t>S-03081</t>
  </si>
  <si>
    <t>P-103081</t>
  </si>
  <si>
    <t>S-03082</t>
  </si>
  <si>
    <t>P-103082</t>
  </si>
  <si>
    <t>S-03083</t>
  </si>
  <si>
    <t>P-103083</t>
  </si>
  <si>
    <t>S-03084</t>
  </si>
  <si>
    <t>P-103084</t>
  </si>
  <si>
    <t>S-03085</t>
  </si>
  <si>
    <t>P-103085</t>
  </si>
  <si>
    <t>S-03086</t>
  </si>
  <si>
    <t>P-103086</t>
  </si>
  <si>
    <t>S-03087</t>
  </si>
  <si>
    <t>P-103087</t>
  </si>
  <si>
    <t>S-03088</t>
  </si>
  <si>
    <t>P-103088</t>
  </si>
  <si>
    <t>S-03089</t>
  </si>
  <si>
    <t>P-103089</t>
  </si>
  <si>
    <t>S-03090</t>
  </si>
  <si>
    <t>P-103090</t>
  </si>
  <si>
    <t>S-03091</t>
  </si>
  <si>
    <t>P-103091</t>
  </si>
  <si>
    <t>S-03092</t>
  </si>
  <si>
    <t>P-103092</t>
  </si>
  <si>
    <t>S-03093</t>
  </si>
  <si>
    <t>P-103093</t>
  </si>
  <si>
    <t>S-03094</t>
  </si>
  <si>
    <t>P-103094</t>
  </si>
  <si>
    <t>S-03095</t>
  </si>
  <si>
    <t>P-103095</t>
  </si>
  <si>
    <t>S-03096</t>
  </si>
  <si>
    <t>P-103096</t>
  </si>
  <si>
    <t>S-03097</t>
  </si>
  <si>
    <t>P-103097</t>
  </si>
  <si>
    <t>S-03098</t>
  </si>
  <si>
    <t>P-103098</t>
  </si>
  <si>
    <t>S-03099</t>
  </si>
  <si>
    <t>P-103099</t>
  </si>
  <si>
    <t>S-03100</t>
  </si>
  <si>
    <t>P-103100</t>
  </si>
  <si>
    <t>S-03101</t>
  </si>
  <si>
    <t>P-103101</t>
  </si>
  <si>
    <t>S-03102</t>
  </si>
  <si>
    <t>P-103102</t>
  </si>
  <si>
    <t>S-03103</t>
  </si>
  <si>
    <t>P-103103</t>
  </si>
  <si>
    <t>S-03104</t>
  </si>
  <si>
    <t>P-103104</t>
  </si>
  <si>
    <t>S-03105</t>
  </si>
  <si>
    <t>P-103105</t>
  </si>
  <si>
    <t>S-03106</t>
  </si>
  <si>
    <t>P-103106</t>
  </si>
  <si>
    <t>S-03107</t>
  </si>
  <si>
    <t>P-103107</t>
  </si>
  <si>
    <t>S-03108</t>
  </si>
  <si>
    <t>P-103108</t>
  </si>
  <si>
    <t>S-03109</t>
  </si>
  <si>
    <t>P-103109</t>
  </si>
  <si>
    <t>S-03110</t>
  </si>
  <si>
    <t>P-103110</t>
  </si>
  <si>
    <t>S-03111</t>
  </si>
  <si>
    <t>P-103111</t>
  </si>
  <si>
    <t>S-03112</t>
  </si>
  <si>
    <t>P-103112</t>
  </si>
  <si>
    <t>S-03113</t>
  </si>
  <si>
    <t>P-103113</t>
  </si>
  <si>
    <t>S-03114</t>
  </si>
  <si>
    <t>P-103114</t>
  </si>
  <si>
    <t>S-03115</t>
  </si>
  <si>
    <t>P-103115</t>
  </si>
  <si>
    <t>S-03116</t>
  </si>
  <si>
    <t>P-103116</t>
  </si>
  <si>
    <t>S-03117</t>
  </si>
  <si>
    <t>P-103117</t>
  </si>
  <si>
    <t>S-03118</t>
  </si>
  <si>
    <t>P-103118</t>
  </si>
  <si>
    <t>S-03119</t>
  </si>
  <si>
    <t>P-103119</t>
  </si>
  <si>
    <t>S-03120</t>
  </si>
  <si>
    <t>P-103120</t>
  </si>
  <si>
    <t>S-03121</t>
  </si>
  <si>
    <t>P-103121</t>
  </si>
  <si>
    <t>S-03122</t>
  </si>
  <si>
    <t>P-103122</t>
  </si>
  <si>
    <t>S-03123</t>
  </si>
  <si>
    <t>P-103123</t>
  </si>
  <si>
    <t>S-03124</t>
  </si>
  <si>
    <t>P-103124</t>
  </si>
  <si>
    <t>S-03125</t>
  </si>
  <si>
    <t>P-103125</t>
  </si>
  <si>
    <t>S-03126</t>
  </si>
  <si>
    <t>P-103126</t>
  </si>
  <si>
    <t>S-03127</t>
  </si>
  <si>
    <t>P-103127</t>
  </si>
  <si>
    <t>S-03128</t>
  </si>
  <si>
    <t>P-103128</t>
  </si>
  <si>
    <t>S-03129</t>
  </si>
  <si>
    <t>P-103129</t>
  </si>
  <si>
    <t>S-03130</t>
  </si>
  <si>
    <t>P-103130</t>
  </si>
  <si>
    <t>S-03131</t>
  </si>
  <si>
    <t>P-103131</t>
  </si>
  <si>
    <t>S-03132</t>
  </si>
  <si>
    <t>P-103132</t>
  </si>
  <si>
    <t>S-03133</t>
  </si>
  <si>
    <t>P-103133</t>
  </si>
  <si>
    <t>S-03134</t>
  </si>
  <si>
    <t>P-103134</t>
  </si>
  <si>
    <t>S-03135</t>
  </si>
  <si>
    <t>P-103135</t>
  </si>
  <si>
    <t>S-03136</t>
  </si>
  <si>
    <t>P-103136</t>
  </si>
  <si>
    <t>S-03137</t>
  </si>
  <si>
    <t>P-103137</t>
  </si>
  <si>
    <t>S-03138</t>
  </si>
  <si>
    <t>P-103138</t>
  </si>
  <si>
    <t>S-03139</t>
  </si>
  <si>
    <t>P-103139</t>
  </si>
  <si>
    <t>S-03140</t>
  </si>
  <si>
    <t>P-103140</t>
  </si>
  <si>
    <t>S-03141</t>
  </si>
  <si>
    <t>P-103141</t>
  </si>
  <si>
    <t>S-03142</t>
  </si>
  <si>
    <t>P-103142</t>
  </si>
  <si>
    <t>S-03143</t>
  </si>
  <si>
    <t>P-103143</t>
  </si>
  <si>
    <t>S-03144</t>
  </si>
  <si>
    <t>P-103144</t>
  </si>
  <si>
    <t>S-03145</t>
  </si>
  <si>
    <t>P-103145</t>
  </si>
  <si>
    <t>S-03146</t>
  </si>
  <si>
    <t>P-103146</t>
  </si>
  <si>
    <t>S-03147</t>
  </si>
  <si>
    <t>P-103147</t>
  </si>
  <si>
    <t>S-03148</t>
  </si>
  <si>
    <t>P-103148</t>
  </si>
  <si>
    <t>S-03149</t>
  </si>
  <si>
    <t>P-103149</t>
  </si>
  <si>
    <t>S-03150</t>
  </si>
  <si>
    <t>P-103150</t>
  </si>
  <si>
    <t>S-03151</t>
  </si>
  <si>
    <t>P-103151</t>
  </si>
  <si>
    <t>S-03152</t>
  </si>
  <si>
    <t>P-103152</t>
  </si>
  <si>
    <t>S-03153</t>
  </si>
  <si>
    <t>P-103153</t>
  </si>
  <si>
    <t>S-03154</t>
  </si>
  <si>
    <t>P-103154</t>
  </si>
  <si>
    <t>S-03155</t>
  </si>
  <si>
    <t>P-103155</t>
  </si>
  <si>
    <t>S-03156</t>
  </si>
  <si>
    <t>P-103156</t>
  </si>
  <si>
    <t>S-03157</t>
  </si>
  <si>
    <t>P-103157</t>
  </si>
  <si>
    <t>S-03158</t>
  </si>
  <si>
    <t>P-103158</t>
  </si>
  <si>
    <t>S-03159</t>
  </si>
  <si>
    <t>P-103159</t>
  </si>
  <si>
    <t>S-03160</t>
  </si>
  <si>
    <t>P-103160</t>
  </si>
  <si>
    <t>S-03161</t>
  </si>
  <si>
    <t>P-103161</t>
  </si>
  <si>
    <t>S-03162</t>
  </si>
  <si>
    <t>P-103162</t>
  </si>
  <si>
    <t>S-03163</t>
  </si>
  <si>
    <t>P-103163</t>
  </si>
  <si>
    <t>S-03164</t>
  </si>
  <si>
    <t>P-103164</t>
  </si>
  <si>
    <t>S-03165</t>
  </si>
  <si>
    <t>P-103165</t>
  </si>
  <si>
    <t>S-03166</t>
  </si>
  <si>
    <t>P-103166</t>
  </si>
  <si>
    <t>S-03167</t>
  </si>
  <si>
    <t>P-103167</t>
  </si>
  <si>
    <t>S-03168</t>
  </si>
  <si>
    <t>P-103168</t>
  </si>
  <si>
    <t>S-03169</t>
  </si>
  <si>
    <t>P-103169</t>
  </si>
  <si>
    <t>S-03170</t>
  </si>
  <si>
    <t>P-103170</t>
  </si>
  <si>
    <t>S-03171</t>
  </si>
  <si>
    <t>P-103171</t>
  </si>
  <si>
    <t>S-03172</t>
  </si>
  <si>
    <t>P-103172</t>
  </si>
  <si>
    <t>S-03173</t>
  </si>
  <si>
    <t>P-103173</t>
  </si>
  <si>
    <t>S-03174</t>
  </si>
  <si>
    <t>P-103174</t>
  </si>
  <si>
    <t>S-03175</t>
  </si>
  <si>
    <t>P-103175</t>
  </si>
  <si>
    <t>S-03176</t>
  </si>
  <si>
    <t>P-103176</t>
  </si>
  <si>
    <t>S-03177</t>
  </si>
  <si>
    <t>P-103177</t>
  </si>
  <si>
    <t>S-03178</t>
  </si>
  <si>
    <t>P-103178</t>
  </si>
  <si>
    <t>S-03179</t>
  </si>
  <si>
    <t>P-103179</t>
  </si>
  <si>
    <t>S-03180</t>
  </si>
  <si>
    <t>P-103180</t>
  </si>
  <si>
    <t>S-03181</t>
  </si>
  <si>
    <t>P-103181</t>
  </si>
  <si>
    <t>S-03182</t>
  </si>
  <si>
    <t>P-103182</t>
  </si>
  <si>
    <t>S-03183</t>
  </si>
  <si>
    <t>P-103183</t>
  </si>
  <si>
    <t>S-03184</t>
  </si>
  <si>
    <t>P-103184</t>
  </si>
  <si>
    <t>S-03185</t>
  </si>
  <si>
    <t>P-103185</t>
  </si>
  <si>
    <t>S-03186</t>
  </si>
  <si>
    <t>P-103186</t>
  </si>
  <si>
    <t>S-03187</t>
  </si>
  <si>
    <t>P-103187</t>
  </si>
  <si>
    <t>S-03188</t>
  </si>
  <si>
    <t>P-103188</t>
  </si>
  <si>
    <t>S-03189</t>
  </si>
  <si>
    <t>P-103189</t>
  </si>
  <si>
    <t>S-03190</t>
  </si>
  <si>
    <t>P-103190</t>
  </si>
  <si>
    <t>S-03191</t>
  </si>
  <si>
    <t>P-103191</t>
  </si>
  <si>
    <t>S-03192</t>
  </si>
  <si>
    <t>P-103192</t>
  </si>
  <si>
    <t>S-03193</t>
  </si>
  <si>
    <t>P-103193</t>
  </si>
  <si>
    <t>S-03194</t>
  </si>
  <si>
    <t>P-103194</t>
  </si>
  <si>
    <t>S-03195</t>
  </si>
  <si>
    <t>P-103195</t>
  </si>
  <si>
    <t>S-03196</t>
  </si>
  <si>
    <t>P-103196</t>
  </si>
  <si>
    <t>S-03197</t>
  </si>
  <si>
    <t>P-103197</t>
  </si>
  <si>
    <t>S-03198</t>
  </si>
  <si>
    <t>P-103198</t>
  </si>
  <si>
    <t>S-03199</t>
  </si>
  <si>
    <t>P-103199</t>
  </si>
  <si>
    <t>S-03200</t>
  </si>
  <si>
    <t>P-103200</t>
  </si>
  <si>
    <t>S-03201</t>
  </si>
  <si>
    <t>P-103201</t>
  </si>
  <si>
    <t>S-03202</t>
  </si>
  <si>
    <t>P-103202</t>
  </si>
  <si>
    <t>S-03203</t>
  </si>
  <si>
    <t>P-103203</t>
  </si>
  <si>
    <t>S-03204</t>
  </si>
  <si>
    <t>P-103204</t>
  </si>
  <si>
    <t>S-03205</t>
  </si>
  <si>
    <t>P-103205</t>
  </si>
  <si>
    <t>S-03206</t>
  </si>
  <si>
    <t>P-103206</t>
  </si>
  <si>
    <t>S-03207</t>
  </si>
  <si>
    <t>P-103207</t>
  </si>
  <si>
    <t>S-03208</t>
  </si>
  <si>
    <t>P-103208</t>
  </si>
  <si>
    <t>S-03209</t>
  </si>
  <si>
    <t>P-103209</t>
  </si>
  <si>
    <t>S-03210</t>
  </si>
  <si>
    <t>P-103210</t>
  </si>
  <si>
    <t>S-03211</t>
  </si>
  <si>
    <t>P-103211</t>
  </si>
  <si>
    <t>S-03212</t>
  </si>
  <si>
    <t>P-103212</t>
  </si>
  <si>
    <t>S-03213</t>
  </si>
  <si>
    <t>P-103213</t>
  </si>
  <si>
    <t>S-03214</t>
  </si>
  <si>
    <t>P-103214</t>
  </si>
  <si>
    <t>S-03215</t>
  </si>
  <si>
    <t>P-103215</t>
  </si>
  <si>
    <t>S-03216</t>
  </si>
  <si>
    <t>P-103216</t>
  </si>
  <si>
    <t>S-03217</t>
  </si>
  <si>
    <t>P-103217</t>
  </si>
  <si>
    <t>S-03218</t>
  </si>
  <si>
    <t>P-103218</t>
  </si>
  <si>
    <t>S-03219</t>
  </si>
  <si>
    <t>P-103219</t>
  </si>
  <si>
    <t>S-03220</t>
  </si>
  <si>
    <t>P-103220</t>
  </si>
  <si>
    <t>S-03221</t>
  </si>
  <si>
    <t>P-103221</t>
  </si>
  <si>
    <t>S-03222</t>
  </si>
  <si>
    <t>P-103222</t>
  </si>
  <si>
    <t>S-03223</t>
  </si>
  <si>
    <t>P-103223</t>
  </si>
  <si>
    <t>S-03224</t>
  </si>
  <si>
    <t>P-103224</t>
  </si>
  <si>
    <t>S-03225</t>
  </si>
  <si>
    <t>P-103225</t>
  </si>
  <si>
    <t>S-03226</t>
  </si>
  <si>
    <t>P-103226</t>
  </si>
  <si>
    <t>S-03227</t>
  </si>
  <si>
    <t>P-103227</t>
  </si>
  <si>
    <t>S-03228</t>
  </si>
  <si>
    <t>P-103228</t>
  </si>
  <si>
    <t>S-03229</t>
  </si>
  <si>
    <t>P-103229</t>
  </si>
  <si>
    <t>S-03230</t>
  </si>
  <si>
    <t>P-103230</t>
  </si>
  <si>
    <t>S-03231</t>
  </si>
  <si>
    <t>P-103231</t>
  </si>
  <si>
    <t>S-03232</t>
  </si>
  <si>
    <t>P-103232</t>
  </si>
  <si>
    <t>S-03233</t>
  </si>
  <si>
    <t>P-103233</t>
  </si>
  <si>
    <t>S-03234</t>
  </si>
  <si>
    <t>P-103234</t>
  </si>
  <si>
    <t>S-03235</t>
  </si>
  <si>
    <t>P-103235</t>
  </si>
  <si>
    <t>S-03236</t>
  </si>
  <si>
    <t>P-103236</t>
  </si>
  <si>
    <t>S-03237</t>
  </si>
  <si>
    <t>P-103237</t>
  </si>
  <si>
    <t>S-03238</t>
  </si>
  <si>
    <t>P-103238</t>
  </si>
  <si>
    <t>S-03239</t>
  </si>
  <si>
    <t>P-103239</t>
  </si>
  <si>
    <t>S-03240</t>
  </si>
  <si>
    <t>P-103240</t>
  </si>
  <si>
    <t>S-03241</t>
  </si>
  <si>
    <t>P-103241</t>
  </si>
  <si>
    <t>S-03242</t>
  </si>
  <si>
    <t>P-103242</t>
  </si>
  <si>
    <t>S-03243</t>
  </si>
  <si>
    <t>P-103243</t>
  </si>
  <si>
    <t>S-03244</t>
  </si>
  <si>
    <t>P-103244</t>
  </si>
  <si>
    <t>S-03245</t>
  </si>
  <si>
    <t>P-103245</t>
  </si>
  <si>
    <t>S-03246</t>
  </si>
  <si>
    <t>P-103246</t>
  </si>
  <si>
    <t>S-03247</t>
  </si>
  <si>
    <t>P-103247</t>
  </si>
  <si>
    <t>S-03248</t>
  </si>
  <si>
    <t>P-103248</t>
  </si>
  <si>
    <t>S-03249</t>
  </si>
  <si>
    <t>P-103249</t>
  </si>
  <si>
    <t>S-03250</t>
  </si>
  <si>
    <t>P-103250</t>
  </si>
  <si>
    <t>S-03251</t>
  </si>
  <si>
    <t>P-103251</t>
  </si>
  <si>
    <t>S-03252</t>
  </si>
  <si>
    <t>P-103252</t>
  </si>
  <si>
    <t>S-03253</t>
  </si>
  <si>
    <t>P-103253</t>
  </si>
  <si>
    <t>S-03254</t>
  </si>
  <si>
    <t>P-103254</t>
  </si>
  <si>
    <t>S-03255</t>
  </si>
  <si>
    <t>P-103255</t>
  </si>
  <si>
    <t>S-03256</t>
  </si>
  <si>
    <t>P-103256</t>
  </si>
  <si>
    <t>S-03257</t>
  </si>
  <si>
    <t>P-103257</t>
  </si>
  <si>
    <t>S-03258</t>
  </si>
  <si>
    <t>P-103258</t>
  </si>
  <si>
    <t>S-03259</t>
  </si>
  <si>
    <t>P-103259</t>
  </si>
  <si>
    <t>S-03260</t>
  </si>
  <si>
    <t>P-103260</t>
  </si>
  <si>
    <t>S-03261</t>
  </si>
  <si>
    <t>P-103261</t>
  </si>
  <si>
    <t>S-03262</t>
  </si>
  <si>
    <t>P-103262</t>
  </si>
  <si>
    <t>S-03263</t>
  </si>
  <si>
    <t>P-103263</t>
  </si>
  <si>
    <t>S-03264</t>
  </si>
  <si>
    <t>P-103264</t>
  </si>
  <si>
    <t>S-03265</t>
  </si>
  <si>
    <t>P-103265</t>
  </si>
  <si>
    <t>S-03266</t>
  </si>
  <si>
    <t>P-103266</t>
  </si>
  <si>
    <t>S-03267</t>
  </si>
  <si>
    <t>P-103267</t>
  </si>
  <si>
    <t>S-03268</t>
  </si>
  <si>
    <t>P-103268</t>
  </si>
  <si>
    <t>S-03269</t>
  </si>
  <si>
    <t>P-103269</t>
  </si>
  <si>
    <t>S-03270</t>
  </si>
  <si>
    <t>P-103270</t>
  </si>
  <si>
    <t>Blades Serial #</t>
  </si>
  <si>
    <t>Motor Serial #</t>
  </si>
  <si>
    <t>Frame Serial #</t>
  </si>
  <si>
    <t>B-500001</t>
  </si>
  <si>
    <t>M-700001</t>
  </si>
  <si>
    <t>F-900001</t>
  </si>
  <si>
    <t>B-500002</t>
  </si>
  <si>
    <t>M-700002</t>
  </si>
  <si>
    <t>F-900002</t>
  </si>
  <si>
    <t>B-500003</t>
  </si>
  <si>
    <t>M-700003</t>
  </si>
  <si>
    <t>F-900003</t>
  </si>
  <si>
    <t>B-500004</t>
  </si>
  <si>
    <t>M-700004</t>
  </si>
  <si>
    <t>F-900004</t>
  </si>
  <si>
    <t>B-500005</t>
  </si>
  <si>
    <t>M-700005</t>
  </si>
  <si>
    <t>F-900005</t>
  </si>
  <si>
    <t>B-500006</t>
  </si>
  <si>
    <t>M-700006</t>
  </si>
  <si>
    <t>F-900006</t>
  </si>
  <si>
    <t>B-500007</t>
  </si>
  <si>
    <t>M-700007</t>
  </si>
  <si>
    <t>F-900007</t>
  </si>
  <si>
    <t>B-500008</t>
  </si>
  <si>
    <t>M-700008</t>
  </si>
  <si>
    <t>F-900008</t>
  </si>
  <si>
    <t>B-500009</t>
  </si>
  <si>
    <t>M-700009</t>
  </si>
  <si>
    <t>F-900009</t>
  </si>
  <si>
    <t>B-500010</t>
  </si>
  <si>
    <t>M-700010</t>
  </si>
  <si>
    <t>F-900010</t>
  </si>
  <si>
    <t>B-500011</t>
  </si>
  <si>
    <t>M-700011</t>
  </si>
  <si>
    <t>F-900011</t>
  </si>
  <si>
    <t>B-500012</t>
  </si>
  <si>
    <t>M-700012</t>
  </si>
  <si>
    <t>F-900012</t>
  </si>
  <si>
    <t>B-500013</t>
  </si>
  <si>
    <t>M-700013</t>
  </si>
  <si>
    <t>F-900013</t>
  </si>
  <si>
    <t>B-500014</t>
  </si>
  <si>
    <t>M-700014</t>
  </si>
  <si>
    <t>F-900014</t>
  </si>
  <si>
    <t>B-500015</t>
  </si>
  <si>
    <t>M-700015</t>
  </si>
  <si>
    <t>F-900015</t>
  </si>
  <si>
    <t>B-500016</t>
  </si>
  <si>
    <t>M-700016</t>
  </si>
  <si>
    <t>F-900016</t>
  </si>
  <si>
    <t>B-500017</t>
  </si>
  <si>
    <t>M-700017</t>
  </si>
  <si>
    <t>F-900017</t>
  </si>
  <si>
    <t>B-500018</t>
  </si>
  <si>
    <t>M-700018</t>
  </si>
  <si>
    <t>F-900018</t>
  </si>
  <si>
    <t>B-500019</t>
  </si>
  <si>
    <t>M-700019</t>
  </si>
  <si>
    <t>F-900019</t>
  </si>
  <si>
    <t>B-500020</t>
  </si>
  <si>
    <t>M-700020</t>
  </si>
  <si>
    <t>F-900020</t>
  </si>
  <si>
    <t>B-500021</t>
  </si>
  <si>
    <t>M-700021</t>
  </si>
  <si>
    <t>F-900021</t>
  </si>
  <si>
    <t>B-500022</t>
  </si>
  <si>
    <t>M-700022</t>
  </si>
  <si>
    <t>F-900022</t>
  </si>
  <si>
    <t>B-500023</t>
  </si>
  <si>
    <t>M-700023</t>
  </si>
  <si>
    <t>F-900023</t>
  </si>
  <si>
    <t>B-500024</t>
  </si>
  <si>
    <t>M-700024</t>
  </si>
  <si>
    <t>F-900024</t>
  </si>
  <si>
    <t>B-500025</t>
  </si>
  <si>
    <t>M-700025</t>
  </si>
  <si>
    <t>F-900025</t>
  </si>
  <si>
    <t>B-500026</t>
  </si>
  <si>
    <t>M-700026</t>
  </si>
  <si>
    <t>F-900026</t>
  </si>
  <si>
    <t>B-500027</t>
  </si>
  <si>
    <t>M-700027</t>
  </si>
  <si>
    <t>F-900027</t>
  </si>
  <si>
    <t>B-500028</t>
  </si>
  <si>
    <t>M-700028</t>
  </si>
  <si>
    <t>F-900028</t>
  </si>
  <si>
    <t>B-500029</t>
  </si>
  <si>
    <t>M-700029</t>
  </si>
  <si>
    <t>F-900029</t>
  </si>
  <si>
    <t>B-500030</t>
  </si>
  <si>
    <t>M-700030</t>
  </si>
  <si>
    <t>F-900030</t>
  </si>
  <si>
    <t>B-500031</t>
  </si>
  <si>
    <t>M-700031</t>
  </si>
  <si>
    <t>F-900031</t>
  </si>
  <si>
    <t>B-500032</t>
  </si>
  <si>
    <t>M-700032</t>
  </si>
  <si>
    <t>F-900032</t>
  </si>
  <si>
    <t>B-500033</t>
  </si>
  <si>
    <t>M-700033</t>
  </si>
  <si>
    <t>F-900033</t>
  </si>
  <si>
    <t>B-500034</t>
  </si>
  <si>
    <t>M-700034</t>
  </si>
  <si>
    <t>F-900034</t>
  </si>
  <si>
    <t>B-500035</t>
  </si>
  <si>
    <t>M-700035</t>
  </si>
  <si>
    <t>F-900035</t>
  </si>
  <si>
    <t>B-500036</t>
  </si>
  <si>
    <t>M-700036</t>
  </si>
  <si>
    <t>F-900036</t>
  </si>
  <si>
    <t>B-500037</t>
  </si>
  <si>
    <t>M-700037</t>
  </si>
  <si>
    <t>F-900037</t>
  </si>
  <si>
    <t>B-500038</t>
  </si>
  <si>
    <t>M-700038</t>
  </si>
  <si>
    <t>F-900038</t>
  </si>
  <si>
    <t>B-500039</t>
  </si>
  <si>
    <t>M-700039</t>
  </si>
  <si>
    <t>F-900039</t>
  </si>
  <si>
    <t>B-500040</t>
  </si>
  <si>
    <t>M-700040</t>
  </si>
  <si>
    <t>F-900040</t>
  </si>
  <si>
    <t>B-500041</t>
  </si>
  <si>
    <t>M-700041</t>
  </si>
  <si>
    <t>F-900041</t>
  </si>
  <si>
    <t>B-500042</t>
  </si>
  <si>
    <t>M-700042</t>
  </si>
  <si>
    <t>F-900042</t>
  </si>
  <si>
    <t>B-500043</t>
  </si>
  <si>
    <t>M-700043</t>
  </si>
  <si>
    <t>F-900043</t>
  </si>
  <si>
    <t>B-500044</t>
  </si>
  <si>
    <t>M-700044</t>
  </si>
  <si>
    <t>F-900044</t>
  </si>
  <si>
    <t>B-500045</t>
  </si>
  <si>
    <t>M-700045</t>
  </si>
  <si>
    <t>F-900045</t>
  </si>
  <si>
    <t>B-500046</t>
  </si>
  <si>
    <t>M-700046</t>
  </si>
  <si>
    <t>F-900046</t>
  </si>
  <si>
    <t>B-500047</t>
  </si>
  <si>
    <t>M-700047</t>
  </si>
  <si>
    <t>F-900047</t>
  </si>
  <si>
    <t>B-500048</t>
  </si>
  <si>
    <t>M-700048</t>
  </si>
  <si>
    <t>F-900048</t>
  </si>
  <si>
    <t>B-500049</t>
  </si>
  <si>
    <t>M-700049</t>
  </si>
  <si>
    <t>F-900049</t>
  </si>
  <si>
    <t>B-500050</t>
  </si>
  <si>
    <t>M-700050</t>
  </si>
  <si>
    <t>F-900050</t>
  </si>
  <si>
    <t>B-500051</t>
  </si>
  <si>
    <t>M-700051</t>
  </si>
  <si>
    <t>F-900051</t>
  </si>
  <si>
    <t>B-500052</t>
  </si>
  <si>
    <t>M-700052</t>
  </si>
  <si>
    <t>F-900052</t>
  </si>
  <si>
    <t>B-500053</t>
  </si>
  <si>
    <t>M-700053</t>
  </si>
  <si>
    <t>F-900053</t>
  </si>
  <si>
    <t>B-500054</t>
  </si>
  <si>
    <t>M-700054</t>
  </si>
  <si>
    <t>F-900054</t>
  </si>
  <si>
    <t>B-500055</t>
  </si>
  <si>
    <t>M-700055</t>
  </si>
  <si>
    <t>F-900055</t>
  </si>
  <si>
    <t>B-500056</t>
  </si>
  <si>
    <t>M-700056</t>
  </si>
  <si>
    <t>F-900056</t>
  </si>
  <si>
    <t>B-500057</t>
  </si>
  <si>
    <t>M-700057</t>
  </si>
  <si>
    <t>F-900057</t>
  </si>
  <si>
    <t>B-500058</t>
  </si>
  <si>
    <t>M-700058</t>
  </si>
  <si>
    <t>F-900058</t>
  </si>
  <si>
    <t>B-500059</t>
  </si>
  <si>
    <t>M-700059</t>
  </si>
  <si>
    <t>F-900059</t>
  </si>
  <si>
    <t>B-500060</t>
  </si>
  <si>
    <t>M-700060</t>
  </si>
  <si>
    <t>F-900060</t>
  </si>
  <si>
    <t>B-500061</t>
  </si>
  <si>
    <t>M-700061</t>
  </si>
  <si>
    <t>F-900061</t>
  </si>
  <si>
    <t>B-500062</t>
  </si>
  <si>
    <t>M-700062</t>
  </si>
  <si>
    <t>F-900062</t>
  </si>
  <si>
    <t>B-500063</t>
  </si>
  <si>
    <t>M-700063</t>
  </si>
  <si>
    <t>F-900063</t>
  </si>
  <si>
    <t>B-500064</t>
  </si>
  <si>
    <t>M-700064</t>
  </si>
  <si>
    <t>F-900064</t>
  </si>
  <si>
    <t>B-500065</t>
  </si>
  <si>
    <t>M-700065</t>
  </si>
  <si>
    <t>F-900065</t>
  </si>
  <si>
    <t>B-500066</t>
  </si>
  <si>
    <t>M-700066</t>
  </si>
  <si>
    <t>F-900066</t>
  </si>
  <si>
    <t>B-500067</t>
  </si>
  <si>
    <t>M-700067</t>
  </si>
  <si>
    <t>F-900067</t>
  </si>
  <si>
    <t>B-500068</t>
  </si>
  <si>
    <t>M-700068</t>
  </si>
  <si>
    <t>F-900068</t>
  </si>
  <si>
    <t>B-500069</t>
  </si>
  <si>
    <t>M-700069</t>
  </si>
  <si>
    <t>F-900069</t>
  </si>
  <si>
    <t>B-500070</t>
  </si>
  <si>
    <t>M-700070</t>
  </si>
  <si>
    <t>F-900070</t>
  </si>
  <si>
    <t>B-500071</t>
  </si>
  <si>
    <t>M-700071</t>
  </si>
  <si>
    <t>F-900071</t>
  </si>
  <si>
    <t>B-500072</t>
  </si>
  <si>
    <t>M-700072</t>
  </si>
  <si>
    <t>F-900072</t>
  </si>
  <si>
    <t>B-500073</t>
  </si>
  <si>
    <t>M-700073</t>
  </si>
  <si>
    <t>F-900073</t>
  </si>
  <si>
    <t>B-500074</t>
  </si>
  <si>
    <t>M-700074</t>
  </si>
  <si>
    <t>F-900074</t>
  </si>
  <si>
    <t>B-500075</t>
  </si>
  <si>
    <t>M-700075</t>
  </si>
  <si>
    <t>F-900075</t>
  </si>
  <si>
    <t>B-500076</t>
  </si>
  <si>
    <t>M-700076</t>
  </si>
  <si>
    <t>F-900076</t>
  </si>
  <si>
    <t>B-500077</t>
  </si>
  <si>
    <t>M-700077</t>
  </si>
  <si>
    <t>F-900077</t>
  </si>
  <si>
    <t>B-500078</t>
  </si>
  <si>
    <t>M-700078</t>
  </si>
  <si>
    <t>F-900078</t>
  </si>
  <si>
    <t>B-500079</t>
  </si>
  <si>
    <t>M-700079</t>
  </si>
  <si>
    <t>F-900079</t>
  </si>
  <si>
    <t>B-500080</t>
  </si>
  <si>
    <t>M-700080</t>
  </si>
  <si>
    <t>F-900080</t>
  </si>
  <si>
    <t>B-500081</t>
  </si>
  <si>
    <t>M-700081</t>
  </si>
  <si>
    <t>F-900081</t>
  </si>
  <si>
    <t>B-500082</t>
  </si>
  <si>
    <t>M-700082</t>
  </si>
  <si>
    <t>F-900082</t>
  </si>
  <si>
    <t>B-500083</t>
  </si>
  <si>
    <t>M-700083</t>
  </si>
  <si>
    <t>F-900083</t>
  </si>
  <si>
    <t>B-500084</t>
  </si>
  <si>
    <t>M-700084</t>
  </si>
  <si>
    <t>F-900084</t>
  </si>
  <si>
    <t>B-500085</t>
  </si>
  <si>
    <t>M-700085</t>
  </si>
  <si>
    <t>F-900085</t>
  </si>
  <si>
    <t>B-500086</t>
  </si>
  <si>
    <t>M-700086</t>
  </si>
  <si>
    <t>F-900086</t>
  </si>
  <si>
    <t>B-500087</t>
  </si>
  <si>
    <t>M-700087</t>
  </si>
  <si>
    <t>F-900087</t>
  </si>
  <si>
    <t>B-500088</t>
  </si>
  <si>
    <t>M-700088</t>
  </si>
  <si>
    <t>F-900088</t>
  </si>
  <si>
    <t>B-500089</t>
  </si>
  <si>
    <t>M-700089</t>
  </si>
  <si>
    <t>F-900089</t>
  </si>
  <si>
    <t>B-500090</t>
  </si>
  <si>
    <t>M-700090</t>
  </si>
  <si>
    <t>F-900090</t>
  </si>
  <si>
    <t>B-500091</t>
  </si>
  <si>
    <t>M-700091</t>
  </si>
  <si>
    <t>F-900091</t>
  </si>
  <si>
    <t>B-500092</t>
  </si>
  <si>
    <t>M-700092</t>
  </si>
  <si>
    <t>F-900092</t>
  </si>
  <si>
    <t>B-500093</t>
  </si>
  <si>
    <t>M-700093</t>
  </si>
  <si>
    <t>F-900093</t>
  </si>
  <si>
    <t>B-500094</t>
  </si>
  <si>
    <t>M-700094</t>
  </si>
  <si>
    <t>F-900094</t>
  </si>
  <si>
    <t>B-500095</t>
  </si>
  <si>
    <t>M-700095</t>
  </si>
  <si>
    <t>F-900095</t>
  </si>
  <si>
    <t>B-500096</t>
  </si>
  <si>
    <t>M-700096</t>
  </si>
  <si>
    <t>F-900096</t>
  </si>
  <si>
    <t>B-500097</t>
  </si>
  <si>
    <t>M-700097</t>
  </si>
  <si>
    <t>F-900097</t>
  </si>
  <si>
    <t>B-500098</t>
  </si>
  <si>
    <t>M-700098</t>
  </si>
  <si>
    <t>F-900098</t>
  </si>
  <si>
    <t>B-500099</t>
  </si>
  <si>
    <t>M-700099</t>
  </si>
  <si>
    <t>F-900099</t>
  </si>
  <si>
    <t>B-500100</t>
  </si>
  <si>
    <t>M-700100</t>
  </si>
  <si>
    <t>F-900100</t>
  </si>
  <si>
    <t>B-500101</t>
  </si>
  <si>
    <t>M-700101</t>
  </si>
  <si>
    <t>F-900101</t>
  </si>
  <si>
    <t>B-500102</t>
  </si>
  <si>
    <t>M-700102</t>
  </si>
  <si>
    <t>F-900102</t>
  </si>
  <si>
    <t>B-500103</t>
  </si>
  <si>
    <t>M-700103</t>
  </si>
  <si>
    <t>F-900103</t>
  </si>
  <si>
    <t>B-500104</t>
  </si>
  <si>
    <t>M-700104</t>
  </si>
  <si>
    <t>F-900104</t>
  </si>
  <si>
    <t>B-500105</t>
  </si>
  <si>
    <t>M-700105</t>
  </si>
  <si>
    <t>F-900105</t>
  </si>
  <si>
    <t>B-500106</t>
  </si>
  <si>
    <t>M-700106</t>
  </si>
  <si>
    <t>F-900106</t>
  </si>
  <si>
    <t>B-500107</t>
  </si>
  <si>
    <t>M-700107</t>
  </si>
  <si>
    <t>F-900107</t>
  </si>
  <si>
    <t>B-500108</t>
  </si>
  <si>
    <t>M-700108</t>
  </si>
  <si>
    <t>F-900108</t>
  </si>
  <si>
    <t>B-500109</t>
  </si>
  <si>
    <t>M-700109</t>
  </si>
  <si>
    <t>F-900109</t>
  </si>
  <si>
    <t>B-500110</t>
  </si>
  <si>
    <t>M-700110</t>
  </si>
  <si>
    <t>F-900110</t>
  </si>
  <si>
    <t>B-500111</t>
  </si>
  <si>
    <t>M-700111</t>
  </si>
  <si>
    <t>F-900111</t>
  </si>
  <si>
    <t>B-500112</t>
  </si>
  <si>
    <t>M-700112</t>
  </si>
  <si>
    <t>F-900112</t>
  </si>
  <si>
    <t>B-500113</t>
  </si>
  <si>
    <t>M-700113</t>
  </si>
  <si>
    <t>F-900113</t>
  </si>
  <si>
    <t>B-500114</t>
  </si>
  <si>
    <t>M-700114</t>
  </si>
  <si>
    <t>F-900114</t>
  </si>
  <si>
    <t>B-500115</t>
  </si>
  <si>
    <t>M-700115</t>
  </si>
  <si>
    <t>F-900115</t>
  </si>
  <si>
    <t>B-500116</t>
  </si>
  <si>
    <t>M-700116</t>
  </si>
  <si>
    <t>F-900116</t>
  </si>
  <si>
    <t>B-500117</t>
  </si>
  <si>
    <t>M-700117</t>
  </si>
  <si>
    <t>F-900117</t>
  </si>
  <si>
    <t>B-500118</t>
  </si>
  <si>
    <t>M-700118</t>
  </si>
  <si>
    <t>F-900118</t>
  </si>
  <si>
    <t>B-500119</t>
  </si>
  <si>
    <t>M-700119</t>
  </si>
  <si>
    <t>F-900119</t>
  </si>
  <si>
    <t>B-500120</t>
  </si>
  <si>
    <t>M-700120</t>
  </si>
  <si>
    <t>F-900120</t>
  </si>
  <si>
    <t>B-500121</t>
  </si>
  <si>
    <t>M-700121</t>
  </si>
  <si>
    <t>F-900121</t>
  </si>
  <si>
    <t>B-500122</t>
  </si>
  <si>
    <t>M-700122</t>
  </si>
  <si>
    <t>F-900122</t>
  </si>
  <si>
    <t>B-500123</t>
  </si>
  <si>
    <t>M-700123</t>
  </si>
  <si>
    <t>F-900123</t>
  </si>
  <si>
    <t>B-500124</t>
  </si>
  <si>
    <t>M-700124</t>
  </si>
  <si>
    <t>F-900124</t>
  </si>
  <si>
    <t>B-500125</t>
  </si>
  <si>
    <t>M-700125</t>
  </si>
  <si>
    <t>F-900125</t>
  </si>
  <si>
    <t>B-500126</t>
  </si>
  <si>
    <t>M-700126</t>
  </si>
  <si>
    <t>F-900126</t>
  </si>
  <si>
    <t>B-500127</t>
  </si>
  <si>
    <t>M-700127</t>
  </si>
  <si>
    <t>F-900127</t>
  </si>
  <si>
    <t>B-500128</t>
  </si>
  <si>
    <t>M-700128</t>
  </si>
  <si>
    <t>F-900128</t>
  </si>
  <si>
    <t>B-500129</t>
  </si>
  <si>
    <t>M-700129</t>
  </si>
  <si>
    <t>F-900129</t>
  </si>
  <si>
    <t>B-500130</t>
  </si>
  <si>
    <t>M-700130</t>
  </si>
  <si>
    <t>F-900130</t>
  </si>
  <si>
    <t>B-500131</t>
  </si>
  <si>
    <t>M-700131</t>
  </si>
  <si>
    <t>F-900131</t>
  </si>
  <si>
    <t>B-500132</t>
  </si>
  <si>
    <t>M-700132</t>
  </si>
  <si>
    <t>F-900132</t>
  </si>
  <si>
    <t>B-500133</t>
  </si>
  <si>
    <t>M-700133</t>
  </si>
  <si>
    <t>F-900133</t>
  </si>
  <si>
    <t>B-500134</t>
  </si>
  <si>
    <t>M-700134</t>
  </si>
  <si>
    <t>F-900134</t>
  </si>
  <si>
    <t>B-500135</t>
  </si>
  <si>
    <t>M-700135</t>
  </si>
  <si>
    <t>F-900135</t>
  </si>
  <si>
    <t>B-500136</t>
  </si>
  <si>
    <t>M-700136</t>
  </si>
  <si>
    <t>F-900136</t>
  </si>
  <si>
    <t>B-500137</t>
  </si>
  <si>
    <t>M-700137</t>
  </si>
  <si>
    <t>F-900137</t>
  </si>
  <si>
    <t>B-500138</t>
  </si>
  <si>
    <t>M-700138</t>
  </si>
  <si>
    <t>F-900138</t>
  </si>
  <si>
    <t>B-500139</t>
  </si>
  <si>
    <t>M-700139</t>
  </si>
  <si>
    <t>F-900139</t>
  </si>
  <si>
    <t>B-500140</t>
  </si>
  <si>
    <t>M-700140</t>
  </si>
  <si>
    <t>F-900140</t>
  </si>
  <si>
    <t>B-500141</t>
  </si>
  <si>
    <t>M-700141</t>
  </si>
  <si>
    <t>F-900141</t>
  </si>
  <si>
    <t>B-500142</t>
  </si>
  <si>
    <t>M-700142</t>
  </si>
  <si>
    <t>F-900142</t>
  </si>
  <si>
    <t>B-500143</t>
  </si>
  <si>
    <t>M-700143</t>
  </si>
  <si>
    <t>F-900143</t>
  </si>
  <si>
    <t>B-500144</t>
  </si>
  <si>
    <t>M-700144</t>
  </si>
  <si>
    <t>F-900144</t>
  </si>
  <si>
    <t>B-500145</t>
  </si>
  <si>
    <t>M-700145</t>
  </si>
  <si>
    <t>F-900145</t>
  </si>
  <si>
    <t>B-500146</t>
  </si>
  <si>
    <t>M-700146</t>
  </si>
  <si>
    <t>F-900146</t>
  </si>
  <si>
    <t>B-500147</t>
  </si>
  <si>
    <t>M-700147</t>
  </si>
  <si>
    <t>F-900147</t>
  </si>
  <si>
    <t>B-500148</t>
  </si>
  <si>
    <t>M-700148</t>
  </si>
  <si>
    <t>F-900148</t>
  </si>
  <si>
    <t>B-500149</t>
  </si>
  <si>
    <t>M-700149</t>
  </si>
  <si>
    <t>F-900149</t>
  </si>
  <si>
    <t>B-500150</t>
  </si>
  <si>
    <t>M-700150</t>
  </si>
  <si>
    <t>F-900150</t>
  </si>
  <si>
    <t>B-500151</t>
  </si>
  <si>
    <t>M-700151</t>
  </si>
  <si>
    <t>F-900151</t>
  </si>
  <si>
    <t>B-500152</t>
  </si>
  <si>
    <t>M-700152</t>
  </si>
  <si>
    <t>F-900152</t>
  </si>
  <si>
    <t>B-500153</t>
  </si>
  <si>
    <t>M-700153</t>
  </si>
  <si>
    <t>F-900153</t>
  </si>
  <si>
    <t>B-500154</t>
  </si>
  <si>
    <t>M-700154</t>
  </si>
  <si>
    <t>F-900154</t>
  </si>
  <si>
    <t>B-500155</t>
  </si>
  <si>
    <t>M-700155</t>
  </si>
  <si>
    <t>F-900155</t>
  </si>
  <si>
    <t>B-500156</t>
  </si>
  <si>
    <t>M-700156</t>
  </si>
  <si>
    <t>F-900156</t>
  </si>
  <si>
    <t>B-500157</t>
  </si>
  <si>
    <t>M-700157</t>
  </si>
  <si>
    <t>F-900157</t>
  </si>
  <si>
    <t>B-500158</t>
  </si>
  <si>
    <t>M-700158</t>
  </si>
  <si>
    <t>F-900158</t>
  </si>
  <si>
    <t>B-500159</t>
  </si>
  <si>
    <t>M-700159</t>
  </si>
  <si>
    <t>F-900159</t>
  </si>
  <si>
    <t>B-500160</t>
  </si>
  <si>
    <t>M-700160</t>
  </si>
  <si>
    <t>F-900160</t>
  </si>
  <si>
    <t>B-500161</t>
  </si>
  <si>
    <t>M-700161</t>
  </si>
  <si>
    <t>F-900161</t>
  </si>
  <si>
    <t>B-500162</t>
  </si>
  <si>
    <t>M-700162</t>
  </si>
  <si>
    <t>F-900162</t>
  </si>
  <si>
    <t>B-500163</t>
  </si>
  <si>
    <t>M-700163</t>
  </si>
  <si>
    <t>F-900163</t>
  </si>
  <si>
    <t>B-500164</t>
  </si>
  <si>
    <t>M-700164</t>
  </si>
  <si>
    <t>F-900164</t>
  </si>
  <si>
    <t>B-500165</t>
  </si>
  <si>
    <t>M-700165</t>
  </si>
  <si>
    <t>F-900165</t>
  </si>
  <si>
    <t>B-500166</t>
  </si>
  <si>
    <t>M-700166</t>
  </si>
  <si>
    <t>F-900166</t>
  </si>
  <si>
    <t>B-500167</t>
  </si>
  <si>
    <t>M-700167</t>
  </si>
  <si>
    <t>F-900167</t>
  </si>
  <si>
    <t>B-500168</t>
  </si>
  <si>
    <t>M-700168</t>
  </si>
  <si>
    <t>F-900168</t>
  </si>
  <si>
    <t>B-500169</t>
  </si>
  <si>
    <t>M-700169</t>
  </si>
  <si>
    <t>F-900169</t>
  </si>
  <si>
    <t>B-500170</t>
  </si>
  <si>
    <t>M-700170</t>
  </si>
  <si>
    <t>F-900170</t>
  </si>
  <si>
    <t>B-500171</t>
  </si>
  <si>
    <t>M-700171</t>
  </si>
  <si>
    <t>F-900171</t>
  </si>
  <si>
    <t>B-500172</t>
  </si>
  <si>
    <t>M-700172</t>
  </si>
  <si>
    <t>F-900172</t>
  </si>
  <si>
    <t>B-500173</t>
  </si>
  <si>
    <t>M-700173</t>
  </si>
  <si>
    <t>F-900173</t>
  </si>
  <si>
    <t>B-500174</t>
  </si>
  <si>
    <t>M-700174</t>
  </si>
  <si>
    <t>F-900174</t>
  </si>
  <si>
    <t>B-500175</t>
  </si>
  <si>
    <t>M-700175</t>
  </si>
  <si>
    <t>F-900175</t>
  </si>
  <si>
    <t>B-500176</t>
  </si>
  <si>
    <t>M-700176</t>
  </si>
  <si>
    <t>F-900176</t>
  </si>
  <si>
    <t>B-500177</t>
  </si>
  <si>
    <t>M-700177</t>
  </si>
  <si>
    <t>F-900177</t>
  </si>
  <si>
    <t>B-500178</t>
  </si>
  <si>
    <t>M-700178</t>
  </si>
  <si>
    <t>F-900178</t>
  </si>
  <si>
    <t>B-500179</t>
  </si>
  <si>
    <t>M-700179</t>
  </si>
  <si>
    <t>F-900179</t>
  </si>
  <si>
    <t>B-500180</t>
  </si>
  <si>
    <t>M-700180</t>
  </si>
  <si>
    <t>F-900180</t>
  </si>
  <si>
    <t>B-500181</t>
  </si>
  <si>
    <t>M-700181</t>
  </si>
  <si>
    <t>F-900181</t>
  </si>
  <si>
    <t>B-500182</t>
  </si>
  <si>
    <t>M-700182</t>
  </si>
  <si>
    <t>F-900182</t>
  </si>
  <si>
    <t>B-500183</t>
  </si>
  <si>
    <t>M-700183</t>
  </si>
  <si>
    <t>F-900183</t>
  </si>
  <si>
    <t>B-500184</t>
  </si>
  <si>
    <t>M-700184</t>
  </si>
  <si>
    <t>F-900184</t>
  </si>
  <si>
    <t>B-500185</t>
  </si>
  <si>
    <t>M-700185</t>
  </si>
  <si>
    <t>F-900185</t>
  </si>
  <si>
    <t>B-500186</t>
  </si>
  <si>
    <t>M-700186</t>
  </si>
  <si>
    <t>F-900186</t>
  </si>
  <si>
    <t>B-500187</t>
  </si>
  <si>
    <t>M-700187</t>
  </si>
  <si>
    <t>F-900187</t>
  </si>
  <si>
    <t>B-500188</t>
  </si>
  <si>
    <t>M-700188</t>
  </si>
  <si>
    <t>F-900188</t>
  </si>
  <si>
    <t>B-500189</t>
  </si>
  <si>
    <t>M-700189</t>
  </si>
  <si>
    <t>F-900189</t>
  </si>
  <si>
    <t>B-500190</t>
  </si>
  <si>
    <t>M-700190</t>
  </si>
  <si>
    <t>F-900190</t>
  </si>
  <si>
    <t>B-500191</t>
  </si>
  <si>
    <t>M-700191</t>
  </si>
  <si>
    <t>F-900191</t>
  </si>
  <si>
    <t>B-500192</t>
  </si>
  <si>
    <t>M-700192</t>
  </si>
  <si>
    <t>F-900192</t>
  </si>
  <si>
    <t>B-500193</t>
  </si>
  <si>
    <t>M-700193</t>
  </si>
  <si>
    <t>F-900193</t>
  </si>
  <si>
    <t>B-500194</t>
  </si>
  <si>
    <t>M-700194</t>
  </si>
  <si>
    <t>F-900194</t>
  </si>
  <si>
    <t>B-500195</t>
  </si>
  <si>
    <t>M-700195</t>
  </si>
  <si>
    <t>F-900195</t>
  </si>
  <si>
    <t>B-500196</t>
  </si>
  <si>
    <t>M-700196</t>
  </si>
  <si>
    <t>F-900196</t>
  </si>
  <si>
    <t>B-500197</t>
  </si>
  <si>
    <t>M-700197</t>
  </si>
  <si>
    <t>F-900197</t>
  </si>
  <si>
    <t>B-500198</t>
  </si>
  <si>
    <t>M-700198</t>
  </si>
  <si>
    <t>F-900198</t>
  </si>
  <si>
    <t>B-500199</t>
  </si>
  <si>
    <t>M-700199</t>
  </si>
  <si>
    <t>F-900199</t>
  </si>
  <si>
    <t>B-500200</t>
  </si>
  <si>
    <t>M-700200</t>
  </si>
  <si>
    <t>F-900200</t>
  </si>
  <si>
    <t>B-500201</t>
  </si>
  <si>
    <t>M-700201</t>
  </si>
  <si>
    <t>F-900201</t>
  </si>
  <si>
    <t>B-500202</t>
  </si>
  <si>
    <t>M-700202</t>
  </si>
  <si>
    <t>F-900202</t>
  </si>
  <si>
    <t>B-500203</t>
  </si>
  <si>
    <t>M-700203</t>
  </si>
  <si>
    <t>F-900203</t>
  </si>
  <si>
    <t>B-500204</t>
  </si>
  <si>
    <t>M-700204</t>
  </si>
  <si>
    <t>F-900204</t>
  </si>
  <si>
    <t>B-500205</t>
  </si>
  <si>
    <t>M-700205</t>
  </si>
  <si>
    <t>F-900205</t>
  </si>
  <si>
    <t>B-500206</t>
  </si>
  <si>
    <t>M-700206</t>
  </si>
  <si>
    <t>F-900206</t>
  </si>
  <si>
    <t>B-500207</t>
  </si>
  <si>
    <t>M-700207</t>
  </si>
  <si>
    <t>F-900207</t>
  </si>
  <si>
    <t>B-500208</t>
  </si>
  <si>
    <t>M-700208</t>
  </si>
  <si>
    <t>F-900208</t>
  </si>
  <si>
    <t>B-500209</t>
  </si>
  <si>
    <t>M-700209</t>
  </si>
  <si>
    <t>F-900209</t>
  </si>
  <si>
    <t>B-500210</t>
  </si>
  <si>
    <t>M-700210</t>
  </si>
  <si>
    <t>F-900210</t>
  </si>
  <si>
    <t>B-500211</t>
  </si>
  <si>
    <t>M-700211</t>
  </si>
  <si>
    <t>F-900211</t>
  </si>
  <si>
    <t>B-500212</t>
  </si>
  <si>
    <t>M-700212</t>
  </si>
  <si>
    <t>F-900212</t>
  </si>
  <si>
    <t>B-500213</t>
  </si>
  <si>
    <t>M-700213</t>
  </si>
  <si>
    <t>F-900213</t>
  </si>
  <si>
    <t>B-500214</t>
  </si>
  <si>
    <t>M-700214</t>
  </si>
  <si>
    <t>F-900214</t>
  </si>
  <si>
    <t>B-500215</t>
  </si>
  <si>
    <t>M-700215</t>
  </si>
  <si>
    <t>F-900215</t>
  </si>
  <si>
    <t>B-500216</t>
  </si>
  <si>
    <t>M-700216</t>
  </si>
  <si>
    <t>F-900216</t>
  </si>
  <si>
    <t>B-500217</t>
  </si>
  <si>
    <t>M-700217</t>
  </si>
  <si>
    <t>F-900217</t>
  </si>
  <si>
    <t>B-500218</t>
  </si>
  <si>
    <t>M-700218</t>
  </si>
  <si>
    <t>F-900218</t>
  </si>
  <si>
    <t>B-500219</t>
  </si>
  <si>
    <t>M-700219</t>
  </si>
  <si>
    <t>F-900219</t>
  </si>
  <si>
    <t>B-500220</t>
  </si>
  <si>
    <t>M-700220</t>
  </si>
  <si>
    <t>F-900220</t>
  </si>
  <si>
    <t>B-500221</t>
  </si>
  <si>
    <t>M-700221</t>
  </si>
  <si>
    <t>F-900221</t>
  </si>
  <si>
    <t>B-500222</t>
  </si>
  <si>
    <t>M-700222</t>
  </si>
  <si>
    <t>F-900222</t>
  </si>
  <si>
    <t>B-500223</t>
  </si>
  <si>
    <t>M-700223</t>
  </si>
  <si>
    <t>F-900223</t>
  </si>
  <si>
    <t>B-500224</t>
  </si>
  <si>
    <t>M-700224</t>
  </si>
  <si>
    <t>F-900224</t>
  </si>
  <si>
    <t>B-500225</t>
  </si>
  <si>
    <t>M-700225</t>
  </si>
  <si>
    <t>F-900225</t>
  </si>
  <si>
    <t>B-500226</t>
  </si>
  <si>
    <t>M-700226</t>
  </si>
  <si>
    <t>F-900226</t>
  </si>
  <si>
    <t>B-500227</t>
  </si>
  <si>
    <t>M-700227</t>
  </si>
  <si>
    <t>F-900227</t>
  </si>
  <si>
    <t>B-500228</t>
  </si>
  <si>
    <t>M-700228</t>
  </si>
  <si>
    <t>F-900228</t>
  </si>
  <si>
    <t>B-500229</t>
  </si>
  <si>
    <t>M-700229</t>
  </si>
  <si>
    <t>F-900229</t>
  </si>
  <si>
    <t>B-500230</t>
  </si>
  <si>
    <t>M-700230</t>
  </si>
  <si>
    <t>F-900230</t>
  </si>
  <si>
    <t>B-500231</t>
  </si>
  <si>
    <t>M-700231</t>
  </si>
  <si>
    <t>F-900231</t>
  </si>
  <si>
    <t>B-500232</t>
  </si>
  <si>
    <t>M-700232</t>
  </si>
  <si>
    <t>F-900232</t>
  </si>
  <si>
    <t>B-500233</t>
  </si>
  <si>
    <t>M-700233</t>
  </si>
  <si>
    <t>F-900233</t>
  </si>
  <si>
    <t>B-500234</t>
  </si>
  <si>
    <t>M-700234</t>
  </si>
  <si>
    <t>F-900234</t>
  </si>
  <si>
    <t>B-500235</t>
  </si>
  <si>
    <t>M-700235</t>
  </si>
  <si>
    <t>F-900235</t>
  </si>
  <si>
    <t>B-500236</t>
  </si>
  <si>
    <t>M-700236</t>
  </si>
  <si>
    <t>F-900236</t>
  </si>
  <si>
    <t>B-500237</t>
  </si>
  <si>
    <t>M-700237</t>
  </si>
  <si>
    <t>F-900237</t>
  </si>
  <si>
    <t>B-500238</t>
  </si>
  <si>
    <t>M-700238</t>
  </si>
  <si>
    <t>F-900238</t>
  </si>
  <si>
    <t>B-500239</t>
  </si>
  <si>
    <t>M-700239</t>
  </si>
  <si>
    <t>F-900239</t>
  </si>
  <si>
    <t>B-500240</t>
  </si>
  <si>
    <t>M-700240</t>
  </si>
  <si>
    <t>F-900240</t>
  </si>
  <si>
    <t>B-500241</t>
  </si>
  <si>
    <t>M-700241</t>
  </si>
  <si>
    <t>F-900241</t>
  </si>
  <si>
    <t>B-500242</t>
  </si>
  <si>
    <t>M-700242</t>
  </si>
  <si>
    <t>F-900242</t>
  </si>
  <si>
    <t>B-500243</t>
  </si>
  <si>
    <t>M-700243</t>
  </si>
  <si>
    <t>F-900243</t>
  </si>
  <si>
    <t>B-500244</t>
  </si>
  <si>
    <t>M-700244</t>
  </si>
  <si>
    <t>F-900244</t>
  </si>
  <si>
    <t>B-500245</t>
  </si>
  <si>
    <t>M-700245</t>
  </si>
  <si>
    <t>F-900245</t>
  </si>
  <si>
    <t>B-500246</t>
  </si>
  <si>
    <t>M-700246</t>
  </si>
  <si>
    <t>F-900246</t>
  </si>
  <si>
    <t>B-500247</t>
  </si>
  <si>
    <t>M-700247</t>
  </si>
  <si>
    <t>F-900247</t>
  </si>
  <si>
    <t>B-500248</t>
  </si>
  <si>
    <t>M-700248</t>
  </si>
  <si>
    <t>F-900248</t>
  </si>
  <si>
    <t>B-500249</t>
  </si>
  <si>
    <t>M-700249</t>
  </si>
  <si>
    <t>F-900249</t>
  </si>
  <si>
    <t>B-500250</t>
  </si>
  <si>
    <t>M-700250</t>
  </si>
  <si>
    <t>F-900250</t>
  </si>
  <si>
    <t>B-500251</t>
  </si>
  <si>
    <t>M-700251</t>
  </si>
  <si>
    <t>F-900251</t>
  </si>
  <si>
    <t>B-500252</t>
  </si>
  <si>
    <t>M-700252</t>
  </si>
  <si>
    <t>F-900252</t>
  </si>
  <si>
    <t>B-500253</t>
  </si>
  <si>
    <t>M-700253</t>
  </si>
  <si>
    <t>F-900253</t>
  </si>
  <si>
    <t>B-500254</t>
  </si>
  <si>
    <t>M-700254</t>
  </si>
  <si>
    <t>F-900254</t>
  </si>
  <si>
    <t>B-500255</t>
  </si>
  <si>
    <t>M-700255</t>
  </si>
  <si>
    <t>F-900255</t>
  </si>
  <si>
    <t>B-500256</t>
  </si>
  <si>
    <t>M-700256</t>
  </si>
  <si>
    <t>F-900256</t>
  </si>
  <si>
    <t>B-500257</t>
  </si>
  <si>
    <t>M-700257</t>
  </si>
  <si>
    <t>F-900257</t>
  </si>
  <si>
    <t>B-500258</t>
  </si>
  <si>
    <t>M-700258</t>
  </si>
  <si>
    <t>F-900258</t>
  </si>
  <si>
    <t>B-500259</t>
  </si>
  <si>
    <t>M-700259</t>
  </si>
  <si>
    <t>F-900259</t>
  </si>
  <si>
    <t>B-500260</t>
  </si>
  <si>
    <t>M-700260</t>
  </si>
  <si>
    <t>F-900260</t>
  </si>
  <si>
    <t>B-500261</t>
  </si>
  <si>
    <t>M-700261</t>
  </si>
  <si>
    <t>F-900261</t>
  </si>
  <si>
    <t>B-500262</t>
  </si>
  <si>
    <t>M-700262</t>
  </si>
  <si>
    <t>F-900262</t>
  </si>
  <si>
    <t>B-500263</t>
  </si>
  <si>
    <t>M-700263</t>
  </si>
  <si>
    <t>F-900263</t>
  </si>
  <si>
    <t>B-500264</t>
  </si>
  <si>
    <t>M-700264</t>
  </si>
  <si>
    <t>F-900264</t>
  </si>
  <si>
    <t>B-500265</t>
  </si>
  <si>
    <t>M-700265</t>
  </si>
  <si>
    <t>F-900265</t>
  </si>
  <si>
    <t>B-500266</t>
  </si>
  <si>
    <t>M-700266</t>
  </si>
  <si>
    <t>F-900266</t>
  </si>
  <si>
    <t>B-500267</t>
  </si>
  <si>
    <t>M-700267</t>
  </si>
  <si>
    <t>F-900267</t>
  </si>
  <si>
    <t>B-500268</t>
  </si>
  <si>
    <t>M-700268</t>
  </si>
  <si>
    <t>F-900268</t>
  </si>
  <si>
    <t>B-500269</t>
  </si>
  <si>
    <t>M-700269</t>
  </si>
  <si>
    <t>F-900269</t>
  </si>
  <si>
    <t>B-500270</t>
  </si>
  <si>
    <t>M-700270</t>
  </si>
  <si>
    <t>F-900270</t>
  </si>
  <si>
    <t>B-500271</t>
  </si>
  <si>
    <t>M-700271</t>
  </si>
  <si>
    <t>F-900271</t>
  </si>
  <si>
    <t>B-500272</t>
  </si>
  <si>
    <t>M-700272</t>
  </si>
  <si>
    <t>F-900272</t>
  </si>
  <si>
    <t>B-500273</t>
  </si>
  <si>
    <t>M-700273</t>
  </si>
  <si>
    <t>F-900273</t>
  </si>
  <si>
    <t>B-500274</t>
  </si>
  <si>
    <t>M-700274</t>
  </si>
  <si>
    <t>F-900274</t>
  </si>
  <si>
    <t>B-500275</t>
  </si>
  <si>
    <t>M-700275</t>
  </si>
  <si>
    <t>F-900275</t>
  </si>
  <si>
    <t>B-500276</t>
  </si>
  <si>
    <t>M-700276</t>
  </si>
  <si>
    <t>F-900276</t>
  </si>
  <si>
    <t>B-500277</t>
  </si>
  <si>
    <t>M-700277</t>
  </si>
  <si>
    <t>F-900277</t>
  </si>
  <si>
    <t>B-500278</t>
  </si>
  <si>
    <t>M-700278</t>
  </si>
  <si>
    <t>F-900278</t>
  </si>
  <si>
    <t>B-500279</t>
  </si>
  <si>
    <t>M-700279</t>
  </si>
  <si>
    <t>F-900279</t>
  </si>
  <si>
    <t>B-500280</t>
  </si>
  <si>
    <t>M-700280</t>
  </si>
  <si>
    <t>F-900280</t>
  </si>
  <si>
    <t>B-500281</t>
  </si>
  <si>
    <t>M-700281</t>
  </si>
  <si>
    <t>F-900281</t>
  </si>
  <si>
    <t>B-500282</t>
  </si>
  <si>
    <t>M-700282</t>
  </si>
  <si>
    <t>F-900282</t>
  </si>
  <si>
    <t>B-500283</t>
  </si>
  <si>
    <t>M-700283</t>
  </si>
  <si>
    <t>F-900283</t>
  </si>
  <si>
    <t>B-500284</t>
  </si>
  <si>
    <t>M-700284</t>
  </si>
  <si>
    <t>F-900284</t>
  </si>
  <si>
    <t>B-500285</t>
  </si>
  <si>
    <t>M-700285</t>
  </si>
  <si>
    <t>F-900285</t>
  </si>
  <si>
    <t>B-500286</t>
  </si>
  <si>
    <t>M-700286</t>
  </si>
  <si>
    <t>F-900286</t>
  </si>
  <si>
    <t>B-500287</t>
  </si>
  <si>
    <t>M-700287</t>
  </si>
  <si>
    <t>F-900287</t>
  </si>
  <si>
    <t>B-500288</t>
  </si>
  <si>
    <t>M-700288</t>
  </si>
  <si>
    <t>F-900288</t>
  </si>
  <si>
    <t>B-500289</t>
  </si>
  <si>
    <t>M-700289</t>
  </si>
  <si>
    <t>F-900289</t>
  </si>
  <si>
    <t>B-500290</t>
  </si>
  <si>
    <t>M-700290</t>
  </si>
  <si>
    <t>F-900290</t>
  </si>
  <si>
    <t>B-500291</t>
  </si>
  <si>
    <t>M-700291</t>
  </si>
  <si>
    <t>F-900291</t>
  </si>
  <si>
    <t>B-500292</t>
  </si>
  <si>
    <t>M-700292</t>
  </si>
  <si>
    <t>F-900292</t>
  </si>
  <si>
    <t>B-500293</t>
  </si>
  <si>
    <t>M-700293</t>
  </si>
  <si>
    <t>F-900293</t>
  </si>
  <si>
    <t>B-500294</t>
  </si>
  <si>
    <t>M-700294</t>
  </si>
  <si>
    <t>F-900294</t>
  </si>
  <si>
    <t>B-500295</t>
  </si>
  <si>
    <t>M-700295</t>
  </si>
  <si>
    <t>F-900295</t>
  </si>
  <si>
    <t>B-500296</t>
  </si>
  <si>
    <t>M-700296</t>
  </si>
  <si>
    <t>F-900296</t>
  </si>
  <si>
    <t>B-500297</t>
  </si>
  <si>
    <t>M-700297</t>
  </si>
  <si>
    <t>F-900297</t>
  </si>
  <si>
    <t>B-500298</t>
  </si>
  <si>
    <t>M-700298</t>
  </si>
  <si>
    <t>F-900298</t>
  </si>
  <si>
    <t>B-500299</t>
  </si>
  <si>
    <t>M-700299</t>
  </si>
  <si>
    <t>F-900299</t>
  </si>
  <si>
    <t>B-500300</t>
  </si>
  <si>
    <t>M-700300</t>
  </si>
  <si>
    <t>F-900300</t>
  </si>
  <si>
    <t>B-500301</t>
  </si>
  <si>
    <t>M-700301</t>
  </si>
  <si>
    <t>F-900301</t>
  </si>
  <si>
    <t>B-500302</t>
  </si>
  <si>
    <t>M-700302</t>
  </si>
  <si>
    <t>F-900302</t>
  </si>
  <si>
    <t>B-500303</t>
  </si>
  <si>
    <t>M-700303</t>
  </si>
  <si>
    <t>F-900303</t>
  </si>
  <si>
    <t>B-500304</t>
  </si>
  <si>
    <t>M-700304</t>
  </si>
  <si>
    <t>F-900304</t>
  </si>
  <si>
    <t>B-500305</t>
  </si>
  <si>
    <t>M-700305</t>
  </si>
  <si>
    <t>F-900305</t>
  </si>
  <si>
    <t>B-500306</t>
  </si>
  <si>
    <t>M-700306</t>
  </si>
  <si>
    <t>F-900306</t>
  </si>
  <si>
    <t>B-500307</t>
  </si>
  <si>
    <t>M-700307</t>
  </si>
  <si>
    <t>F-900307</t>
  </si>
  <si>
    <t>B-500308</t>
  </si>
  <si>
    <t>M-700308</t>
  </si>
  <si>
    <t>F-900308</t>
  </si>
  <si>
    <t>B-500309</t>
  </si>
  <si>
    <t>M-700309</t>
  </si>
  <si>
    <t>F-900309</t>
  </si>
  <si>
    <t>B-500310</t>
  </si>
  <si>
    <t>M-700310</t>
  </si>
  <si>
    <t>F-900310</t>
  </si>
  <si>
    <t>B-500311</t>
  </si>
  <si>
    <t>M-700311</t>
  </si>
  <si>
    <t>F-900311</t>
  </si>
  <si>
    <t>B-500312</t>
  </si>
  <si>
    <t>M-700312</t>
  </si>
  <si>
    <t>F-900312</t>
  </si>
  <si>
    <t>B-500313</t>
  </si>
  <si>
    <t>M-700313</t>
  </si>
  <si>
    <t>F-900313</t>
  </si>
  <si>
    <t>B-500314</t>
  </si>
  <si>
    <t>M-700314</t>
  </si>
  <si>
    <t>F-900314</t>
  </si>
  <si>
    <t>B-500315</t>
  </si>
  <si>
    <t>M-700315</t>
  </si>
  <si>
    <t>F-900315</t>
  </si>
  <si>
    <t>B-500316</t>
  </si>
  <si>
    <t>M-700316</t>
  </si>
  <si>
    <t>F-900316</t>
  </si>
  <si>
    <t>B-500317</t>
  </si>
  <si>
    <t>M-700317</t>
  </si>
  <si>
    <t>F-900317</t>
  </si>
  <si>
    <t>B-500318</t>
  </si>
  <si>
    <t>M-700318</t>
  </si>
  <si>
    <t>F-900318</t>
  </si>
  <si>
    <t>B-500319</t>
  </si>
  <si>
    <t>M-700319</t>
  </si>
  <si>
    <t>F-900319</t>
  </si>
  <si>
    <t>B-500320</t>
  </si>
  <si>
    <t>M-700320</t>
  </si>
  <si>
    <t>F-900320</t>
  </si>
  <si>
    <t>B-500321</t>
  </si>
  <si>
    <t>M-700321</t>
  </si>
  <si>
    <t>F-900321</t>
  </si>
  <si>
    <t>B-500322</t>
  </si>
  <si>
    <t>M-700322</t>
  </si>
  <si>
    <t>F-900322</t>
  </si>
  <si>
    <t>B-500323</t>
  </si>
  <si>
    <t>M-700323</t>
  </si>
  <si>
    <t>F-900323</t>
  </si>
  <si>
    <t>B-500324</t>
  </si>
  <si>
    <t>M-700324</t>
  </si>
  <si>
    <t>F-900324</t>
  </si>
  <si>
    <t>B-500325</t>
  </si>
  <si>
    <t>M-700325</t>
  </si>
  <si>
    <t>F-900325</t>
  </si>
  <si>
    <t>B-500326</t>
  </si>
  <si>
    <t>M-700326</t>
  </si>
  <si>
    <t>F-900326</t>
  </si>
  <si>
    <t>B-500327</t>
  </si>
  <si>
    <t>M-700327</t>
  </si>
  <si>
    <t>F-900327</t>
  </si>
  <si>
    <t>B-500328</t>
  </si>
  <si>
    <t>M-700328</t>
  </si>
  <si>
    <t>F-900328</t>
  </si>
  <si>
    <t>B-500329</t>
  </si>
  <si>
    <t>M-700329</t>
  </si>
  <si>
    <t>F-900329</t>
  </si>
  <si>
    <t>B-500330</t>
  </si>
  <si>
    <t>M-700330</t>
  </si>
  <si>
    <t>F-900330</t>
  </si>
  <si>
    <t>B-500331</t>
  </si>
  <si>
    <t>M-700331</t>
  </si>
  <si>
    <t>F-900331</t>
  </si>
  <si>
    <t>B-500332</t>
  </si>
  <si>
    <t>M-700332</t>
  </si>
  <si>
    <t>F-900332</t>
  </si>
  <si>
    <t>B-500333</t>
  </si>
  <si>
    <t>M-700333</t>
  </si>
  <si>
    <t>F-900333</t>
  </si>
  <si>
    <t>B-500334</t>
  </si>
  <si>
    <t>M-700334</t>
  </si>
  <si>
    <t>F-900334</t>
  </si>
  <si>
    <t>B-500335</t>
  </si>
  <si>
    <t>M-700335</t>
  </si>
  <si>
    <t>F-900335</t>
  </si>
  <si>
    <t>B-500336</t>
  </si>
  <si>
    <t>M-700336</t>
  </si>
  <si>
    <t>F-900336</t>
  </si>
  <si>
    <t>B-500337</t>
  </si>
  <si>
    <t>M-700337</t>
  </si>
  <si>
    <t>F-900337</t>
  </si>
  <si>
    <t>B-500338</t>
  </si>
  <si>
    <t>M-700338</t>
  </si>
  <si>
    <t>F-900338</t>
  </si>
  <si>
    <t>B-500339</t>
  </si>
  <si>
    <t>M-700339</t>
  </si>
  <si>
    <t>F-900339</t>
  </si>
  <si>
    <t>B-500340</t>
  </si>
  <si>
    <t>M-700340</t>
  </si>
  <si>
    <t>F-900340</t>
  </si>
  <si>
    <t>B-500341</t>
  </si>
  <si>
    <t>M-700341</t>
  </si>
  <si>
    <t>F-900341</t>
  </si>
  <si>
    <t>B-500342</t>
  </si>
  <si>
    <t>M-700342</t>
  </si>
  <si>
    <t>F-900342</t>
  </si>
  <si>
    <t>B-500343</t>
  </si>
  <si>
    <t>M-700343</t>
  </si>
  <si>
    <t>F-900343</t>
  </si>
  <si>
    <t>B-500344</t>
  </si>
  <si>
    <t>M-700344</t>
  </si>
  <si>
    <t>F-900344</t>
  </si>
  <si>
    <t>B-500345</t>
  </si>
  <si>
    <t>M-700345</t>
  </si>
  <si>
    <t>F-900345</t>
  </si>
  <si>
    <t>B-500346</t>
  </si>
  <si>
    <t>M-700346</t>
  </si>
  <si>
    <t>F-900346</t>
  </si>
  <si>
    <t>B-500347</t>
  </si>
  <si>
    <t>M-700347</t>
  </si>
  <si>
    <t>F-900347</t>
  </si>
  <si>
    <t>B-500348</t>
  </si>
  <si>
    <t>M-700348</t>
  </si>
  <si>
    <t>F-900348</t>
  </si>
  <si>
    <t>B-500349</t>
  </si>
  <si>
    <t>M-700349</t>
  </si>
  <si>
    <t>F-900349</t>
  </si>
  <si>
    <t>B-500350</t>
  </si>
  <si>
    <t>M-700350</t>
  </si>
  <si>
    <t>F-900350</t>
  </si>
  <si>
    <t>B-500351</t>
  </si>
  <si>
    <t>M-700351</t>
  </si>
  <si>
    <t>F-900351</t>
  </si>
  <si>
    <t>B-500352</t>
  </si>
  <si>
    <t>M-700352</t>
  </si>
  <si>
    <t>F-900352</t>
  </si>
  <si>
    <t>B-500353</t>
  </si>
  <si>
    <t>M-700353</t>
  </si>
  <si>
    <t>F-900353</t>
  </si>
  <si>
    <t>B-500354</t>
  </si>
  <si>
    <t>M-700354</t>
  </si>
  <si>
    <t>F-900354</t>
  </si>
  <si>
    <t>B-500355</t>
  </si>
  <si>
    <t>M-700355</t>
  </si>
  <si>
    <t>F-900355</t>
  </si>
  <si>
    <t>B-500356</t>
  </si>
  <si>
    <t>M-700356</t>
  </si>
  <si>
    <t>F-900356</t>
  </si>
  <si>
    <t>B-500357</t>
  </si>
  <si>
    <t>M-700357</t>
  </si>
  <si>
    <t>F-900357</t>
  </si>
  <si>
    <t>B-500358</t>
  </si>
  <si>
    <t>M-700358</t>
  </si>
  <si>
    <t>F-900358</t>
  </si>
  <si>
    <t>B-500359</t>
  </si>
  <si>
    <t>M-700359</t>
  </si>
  <si>
    <t>F-900359</t>
  </si>
  <si>
    <t>B-500360</t>
  </si>
  <si>
    <t>M-700360</t>
  </si>
  <si>
    <t>F-900360</t>
  </si>
  <si>
    <t>B-500361</t>
  </si>
  <si>
    <t>M-700361</t>
  </si>
  <si>
    <t>F-900361</t>
  </si>
  <si>
    <t>B-500362</t>
  </si>
  <si>
    <t>M-700362</t>
  </si>
  <si>
    <t>F-900362</t>
  </si>
  <si>
    <t>B-500363</t>
  </si>
  <si>
    <t>M-700363</t>
  </si>
  <si>
    <t>F-900363</t>
  </si>
  <si>
    <t>B-500364</t>
  </si>
  <si>
    <t>M-700364</t>
  </si>
  <si>
    <t>F-900364</t>
  </si>
  <si>
    <t>B-500365</t>
  </si>
  <si>
    <t>M-700365</t>
  </si>
  <si>
    <t>F-900365</t>
  </si>
  <si>
    <t>B-500366</t>
  </si>
  <si>
    <t>M-700366</t>
  </si>
  <si>
    <t>F-900366</t>
  </si>
  <si>
    <t>B-500367</t>
  </si>
  <si>
    <t>M-700367</t>
  </si>
  <si>
    <t>F-900367</t>
  </si>
  <si>
    <t>B-500368</t>
  </si>
  <si>
    <t>M-700368</t>
  </si>
  <si>
    <t>F-900368</t>
  </si>
  <si>
    <t>B-500369</t>
  </si>
  <si>
    <t>M-700369</t>
  </si>
  <si>
    <t>F-900369</t>
  </si>
  <si>
    <t>B-500370</t>
  </si>
  <si>
    <t>M-700370</t>
  </si>
  <si>
    <t>F-900370</t>
  </si>
  <si>
    <t>B-500371</t>
  </si>
  <si>
    <t>M-700371</t>
  </si>
  <si>
    <t>F-900371</t>
  </si>
  <si>
    <t>B-500372</t>
  </si>
  <si>
    <t>M-700372</t>
  </si>
  <si>
    <t>F-900372</t>
  </si>
  <si>
    <t>B-500373</t>
  </si>
  <si>
    <t>M-700373</t>
  </si>
  <si>
    <t>F-900373</t>
  </si>
  <si>
    <t>B-500374</t>
  </si>
  <si>
    <t>M-700374</t>
  </si>
  <si>
    <t>F-900374</t>
  </si>
  <si>
    <t>B-500375</t>
  </si>
  <si>
    <t>M-700375</t>
  </si>
  <si>
    <t>F-900375</t>
  </si>
  <si>
    <t>B-500376</t>
  </si>
  <si>
    <t>M-700376</t>
  </si>
  <si>
    <t>F-900376</t>
  </si>
  <si>
    <t>B-500377</t>
  </si>
  <si>
    <t>M-700377</t>
  </si>
  <si>
    <t>F-900377</t>
  </si>
  <si>
    <t>B-500378</t>
  </si>
  <si>
    <t>M-700378</t>
  </si>
  <si>
    <t>F-900378</t>
  </si>
  <si>
    <t>B-500379</t>
  </si>
  <si>
    <t>M-700379</t>
  </si>
  <si>
    <t>F-900379</t>
  </si>
  <si>
    <t>B-500380</t>
  </si>
  <si>
    <t>M-700380</t>
  </si>
  <si>
    <t>F-900380</t>
  </si>
  <si>
    <t>B-500381</t>
  </si>
  <si>
    <t>M-700381</t>
  </si>
  <si>
    <t>F-900381</t>
  </si>
  <si>
    <t>B-500382</t>
  </si>
  <si>
    <t>M-700382</t>
  </si>
  <si>
    <t>F-900382</t>
  </si>
  <si>
    <t>B-500383</t>
  </si>
  <si>
    <t>M-700383</t>
  </si>
  <si>
    <t>F-900383</t>
  </si>
  <si>
    <t>B-500384</t>
  </si>
  <si>
    <t>M-700384</t>
  </si>
  <si>
    <t>F-900384</t>
  </si>
  <si>
    <t>B-500385</t>
  </si>
  <si>
    <t>M-700385</t>
  </si>
  <si>
    <t>F-900385</t>
  </si>
  <si>
    <t>B-500386</t>
  </si>
  <si>
    <t>M-700386</t>
  </si>
  <si>
    <t>F-900386</t>
  </si>
  <si>
    <t>B-500387</t>
  </si>
  <si>
    <t>M-700387</t>
  </si>
  <si>
    <t>F-900387</t>
  </si>
  <si>
    <t>B-500388</t>
  </si>
  <si>
    <t>M-700388</t>
  </si>
  <si>
    <t>F-900388</t>
  </si>
  <si>
    <t>B-500389</t>
  </si>
  <si>
    <t>M-700389</t>
  </si>
  <si>
    <t>F-900389</t>
  </si>
  <si>
    <t>B-500390</t>
  </si>
  <si>
    <t>M-700390</t>
  </si>
  <si>
    <t>F-900390</t>
  </si>
  <si>
    <t>B-500391</t>
  </si>
  <si>
    <t>M-700391</t>
  </si>
  <si>
    <t>F-900391</t>
  </si>
  <si>
    <t>B-500392</t>
  </si>
  <si>
    <t>M-700392</t>
  </si>
  <si>
    <t>F-900392</t>
  </si>
  <si>
    <t>B-500393</t>
  </si>
  <si>
    <t>M-700393</t>
  </si>
  <si>
    <t>F-900393</t>
  </si>
  <si>
    <t>B-500394</t>
  </si>
  <si>
    <t>M-700394</t>
  </si>
  <si>
    <t>F-900394</t>
  </si>
  <si>
    <t>B-500395</t>
  </si>
  <si>
    <t>M-700395</t>
  </si>
  <si>
    <t>F-900395</t>
  </si>
  <si>
    <t>B-500396</t>
  </si>
  <si>
    <t>M-700396</t>
  </si>
  <si>
    <t>F-900396</t>
  </si>
  <si>
    <t>B-500397</t>
  </si>
  <si>
    <t>M-700397</t>
  </si>
  <si>
    <t>F-900397</t>
  </si>
  <si>
    <t>B-500398</t>
  </si>
  <si>
    <t>M-700398</t>
  </si>
  <si>
    <t>F-900398</t>
  </si>
  <si>
    <t>B-500399</t>
  </si>
  <si>
    <t>M-700399</t>
  </si>
  <si>
    <t>F-900399</t>
  </si>
  <si>
    <t>B-500400</t>
  </si>
  <si>
    <t>M-700400</t>
  </si>
  <si>
    <t>F-900400</t>
  </si>
  <si>
    <t>B-500401</t>
  </si>
  <si>
    <t>M-700401</t>
  </si>
  <si>
    <t>F-900401</t>
  </si>
  <si>
    <t>B-500402</t>
  </si>
  <si>
    <t>M-700402</t>
  </si>
  <si>
    <t>F-900402</t>
  </si>
  <si>
    <t>B-500403</t>
  </si>
  <si>
    <t>M-700403</t>
  </si>
  <si>
    <t>F-900403</t>
  </si>
  <si>
    <t>B-500404</t>
  </si>
  <si>
    <t>M-700404</t>
  </si>
  <si>
    <t>F-900404</t>
  </si>
  <si>
    <t>B-500405</t>
  </si>
  <si>
    <t>M-700405</t>
  </si>
  <si>
    <t>F-900405</t>
  </si>
  <si>
    <t>B-500406</t>
  </si>
  <si>
    <t>M-700406</t>
  </si>
  <si>
    <t>F-900406</t>
  </si>
  <si>
    <t>B-500407</t>
  </si>
  <si>
    <t>M-700407</t>
  </si>
  <si>
    <t>F-900407</t>
  </si>
  <si>
    <t>B-500408</t>
  </si>
  <si>
    <t>M-700408</t>
  </si>
  <si>
    <t>F-900408</t>
  </si>
  <si>
    <t>B-500409</t>
  </si>
  <si>
    <t>M-700409</t>
  </si>
  <si>
    <t>F-900409</t>
  </si>
  <si>
    <t>B-500410</t>
  </si>
  <si>
    <t>M-700410</t>
  </si>
  <si>
    <t>F-900410</t>
  </si>
  <si>
    <t>B-500411</t>
  </si>
  <si>
    <t>M-700411</t>
  </si>
  <si>
    <t>F-900411</t>
  </si>
  <si>
    <t>B-500412</t>
  </si>
  <si>
    <t>M-700412</t>
  </si>
  <si>
    <t>F-900412</t>
  </si>
  <si>
    <t>B-500413</t>
  </si>
  <si>
    <t>M-700413</t>
  </si>
  <si>
    <t>F-900413</t>
  </si>
  <si>
    <t>B-500414</t>
  </si>
  <si>
    <t>M-700414</t>
  </si>
  <si>
    <t>F-900414</t>
  </si>
  <si>
    <t>B-500415</t>
  </si>
  <si>
    <t>M-700415</t>
  </si>
  <si>
    <t>F-900415</t>
  </si>
  <si>
    <t>B-500416</t>
  </si>
  <si>
    <t>M-700416</t>
  </si>
  <si>
    <t>F-900416</t>
  </si>
  <si>
    <t>B-500417</t>
  </si>
  <si>
    <t>M-700417</t>
  </si>
  <si>
    <t>F-900417</t>
  </si>
  <si>
    <t>B-500418</t>
  </si>
  <si>
    <t>M-700418</t>
  </si>
  <si>
    <t>F-900418</t>
  </si>
  <si>
    <t>B-500419</t>
  </si>
  <si>
    <t>M-700419</t>
  </si>
  <si>
    <t>F-900419</t>
  </si>
  <si>
    <t>B-500420</t>
  </si>
  <si>
    <t>M-700420</t>
  </si>
  <si>
    <t>F-900420</t>
  </si>
  <si>
    <t>B-500421</t>
  </si>
  <si>
    <t>M-700421</t>
  </si>
  <si>
    <t>F-900421</t>
  </si>
  <si>
    <t>B-500422</t>
  </si>
  <si>
    <t>M-700422</t>
  </si>
  <si>
    <t>F-900422</t>
  </si>
  <si>
    <t>B-500423</t>
  </si>
  <si>
    <t>M-700423</t>
  </si>
  <si>
    <t>F-900423</t>
  </si>
  <si>
    <t>B-500424</t>
  </si>
  <si>
    <t>M-700424</t>
  </si>
  <si>
    <t>F-900424</t>
  </si>
  <si>
    <t>B-500425</t>
  </si>
  <si>
    <t>M-700425</t>
  </si>
  <si>
    <t>F-900425</t>
  </si>
  <si>
    <t>B-500426</t>
  </si>
  <si>
    <t>M-700426</t>
  </si>
  <si>
    <t>F-900426</t>
  </si>
  <si>
    <t>B-500427</t>
  </si>
  <si>
    <t>M-700427</t>
  </si>
  <si>
    <t>F-900427</t>
  </si>
  <si>
    <t>B-500428</t>
  </si>
  <si>
    <t>M-700428</t>
  </si>
  <si>
    <t>F-900428</t>
  </si>
  <si>
    <t>B-500429</t>
  </si>
  <si>
    <t>M-700429</t>
  </si>
  <si>
    <t>F-900429</t>
  </si>
  <si>
    <t>B-500430</t>
  </si>
  <si>
    <t>M-700430</t>
  </si>
  <si>
    <t>F-900430</t>
  </si>
  <si>
    <t>B-500431</t>
  </si>
  <si>
    <t>M-700431</t>
  </si>
  <si>
    <t>F-900431</t>
  </si>
  <si>
    <t>B-500432</t>
  </si>
  <si>
    <t>M-700432</t>
  </si>
  <si>
    <t>F-900432</t>
  </si>
  <si>
    <t>B-500433</t>
  </si>
  <si>
    <t>M-700433</t>
  </si>
  <si>
    <t>F-900433</t>
  </si>
  <si>
    <t>B-500434</t>
  </si>
  <si>
    <t>M-700434</t>
  </si>
  <si>
    <t>F-900434</t>
  </si>
  <si>
    <t>B-500435</t>
  </si>
  <si>
    <t>M-700435</t>
  </si>
  <si>
    <t>F-900435</t>
  </si>
  <si>
    <t>B-500436</t>
  </si>
  <si>
    <t>M-700436</t>
  </si>
  <si>
    <t>F-900436</t>
  </si>
  <si>
    <t>B-500437</t>
  </si>
  <si>
    <t>M-700437</t>
  </si>
  <si>
    <t>F-900437</t>
  </si>
  <si>
    <t>B-500438</t>
  </si>
  <si>
    <t>M-700438</t>
  </si>
  <si>
    <t>F-900438</t>
  </si>
  <si>
    <t>B-500439</t>
  </si>
  <si>
    <t>M-700439</t>
  </si>
  <si>
    <t>F-900439</t>
  </si>
  <si>
    <t>B-500440</t>
  </si>
  <si>
    <t>M-700440</t>
  </si>
  <si>
    <t>F-900440</t>
  </si>
  <si>
    <t>B-500441</t>
  </si>
  <si>
    <t>M-700441</t>
  </si>
  <si>
    <t>F-900441</t>
  </si>
  <si>
    <t>B-500442</t>
  </si>
  <si>
    <t>M-700442</t>
  </si>
  <si>
    <t>F-900442</t>
  </si>
  <si>
    <t>B-500443</t>
  </si>
  <si>
    <t>M-700443</t>
  </si>
  <si>
    <t>F-900443</t>
  </si>
  <si>
    <t>B-500444</t>
  </si>
  <si>
    <t>M-700444</t>
  </si>
  <si>
    <t>F-900444</t>
  </si>
  <si>
    <t>B-500445</t>
  </si>
  <si>
    <t>M-700445</t>
  </si>
  <si>
    <t>F-900445</t>
  </si>
  <si>
    <t>B-500446</t>
  </si>
  <si>
    <t>M-700446</t>
  </si>
  <si>
    <t>F-900446</t>
  </si>
  <si>
    <t>B-500447</t>
  </si>
  <si>
    <t>M-700447</t>
  </si>
  <si>
    <t>F-900447</t>
  </si>
  <si>
    <t>B-500448</t>
  </si>
  <si>
    <t>M-700448</t>
  </si>
  <si>
    <t>F-900448</t>
  </si>
  <si>
    <t>B-500449</t>
  </si>
  <si>
    <t>M-700449</t>
  </si>
  <si>
    <t>F-900449</t>
  </si>
  <si>
    <t>B-500450</t>
  </si>
  <si>
    <t>M-700450</t>
  </si>
  <si>
    <t>F-900450</t>
  </si>
  <si>
    <t>B-500451</t>
  </si>
  <si>
    <t>M-700451</t>
  </si>
  <si>
    <t>F-900451</t>
  </si>
  <si>
    <t>B-500452</t>
  </si>
  <si>
    <t>M-700452</t>
  </si>
  <si>
    <t>F-900452</t>
  </si>
  <si>
    <t>B-500453</t>
  </si>
  <si>
    <t>M-700453</t>
  </si>
  <si>
    <t>F-900453</t>
  </si>
  <si>
    <t>B-500454</t>
  </si>
  <si>
    <t>M-700454</t>
  </si>
  <si>
    <t>F-900454</t>
  </si>
  <si>
    <t>B-500455</t>
  </si>
  <si>
    <t>M-700455</t>
  </si>
  <si>
    <t>F-900455</t>
  </si>
  <si>
    <t>B-500456</t>
  </si>
  <si>
    <t>M-700456</t>
  </si>
  <si>
    <t>F-900456</t>
  </si>
  <si>
    <t>B-500457</t>
  </si>
  <si>
    <t>M-700457</t>
  </si>
  <si>
    <t>F-900457</t>
  </si>
  <si>
    <t>B-500458</t>
  </si>
  <si>
    <t>M-700458</t>
  </si>
  <si>
    <t>F-900458</t>
  </si>
  <si>
    <t>B-500459</t>
  </si>
  <si>
    <t>M-700459</t>
  </si>
  <si>
    <t>F-900459</t>
  </si>
  <si>
    <t>B-500460</t>
  </si>
  <si>
    <t>M-700460</t>
  </si>
  <si>
    <t>F-900460</t>
  </si>
  <si>
    <t>B-500461</t>
  </si>
  <si>
    <t>M-700461</t>
  </si>
  <si>
    <t>F-900461</t>
  </si>
  <si>
    <t>B-500462</t>
  </si>
  <si>
    <t>M-700462</t>
  </si>
  <si>
    <t>F-900462</t>
  </si>
  <si>
    <t>B-500463</t>
  </si>
  <si>
    <t>M-700463</t>
  </si>
  <si>
    <t>F-900463</t>
  </si>
  <si>
    <t>B-500464</t>
  </si>
  <si>
    <t>M-700464</t>
  </si>
  <si>
    <t>F-900464</t>
  </si>
  <si>
    <t>B-500465</t>
  </si>
  <si>
    <t>M-700465</t>
  </si>
  <si>
    <t>F-900465</t>
  </si>
  <si>
    <t>B-500466</t>
  </si>
  <si>
    <t>M-700466</t>
  </si>
  <si>
    <t>F-900466</t>
  </si>
  <si>
    <t>B-500467</t>
  </si>
  <si>
    <t>M-700467</t>
  </si>
  <si>
    <t>F-900467</t>
  </si>
  <si>
    <t>B-500468</t>
  </si>
  <si>
    <t>M-700468</t>
  </si>
  <si>
    <t>F-900468</t>
  </si>
  <si>
    <t>B-500469</t>
  </si>
  <si>
    <t>M-700469</t>
  </si>
  <si>
    <t>F-900469</t>
  </si>
  <si>
    <t>B-500470</t>
  </si>
  <si>
    <t>M-700470</t>
  </si>
  <si>
    <t>F-900470</t>
  </si>
  <si>
    <t>B-500471</t>
  </si>
  <si>
    <t>M-700471</t>
  </si>
  <si>
    <t>F-900471</t>
  </si>
  <si>
    <t>B-500472</t>
  </si>
  <si>
    <t>M-700472</t>
  </si>
  <si>
    <t>F-900472</t>
  </si>
  <si>
    <t>B-500473</t>
  </si>
  <si>
    <t>M-700473</t>
  </si>
  <si>
    <t>F-900473</t>
  </si>
  <si>
    <t>B-500474</t>
  </si>
  <si>
    <t>M-700474</t>
  </si>
  <si>
    <t>F-900474</t>
  </si>
  <si>
    <t>B-500475</t>
  </si>
  <si>
    <t>M-700475</t>
  </si>
  <si>
    <t>F-900475</t>
  </si>
  <si>
    <t>B-500476</t>
  </si>
  <si>
    <t>M-700476</t>
  </si>
  <si>
    <t>F-900476</t>
  </si>
  <si>
    <t>B-500477</t>
  </si>
  <si>
    <t>M-700477</t>
  </si>
  <si>
    <t>F-900477</t>
  </si>
  <si>
    <t>B-500478</t>
  </si>
  <si>
    <t>M-700478</t>
  </si>
  <si>
    <t>F-900478</t>
  </si>
  <si>
    <t>B-500479</t>
  </si>
  <si>
    <t>M-700479</t>
  </si>
  <si>
    <t>F-900479</t>
  </si>
  <si>
    <t>B-500480</t>
  </si>
  <si>
    <t>M-700480</t>
  </si>
  <si>
    <t>F-900480</t>
  </si>
  <si>
    <t>B-500481</t>
  </si>
  <si>
    <t>M-700481</t>
  </si>
  <si>
    <t>F-900481</t>
  </si>
  <si>
    <t>B-500482</t>
  </si>
  <si>
    <t>M-700482</t>
  </si>
  <si>
    <t>F-900482</t>
  </si>
  <si>
    <t>B-500483</t>
  </si>
  <si>
    <t>M-700483</t>
  </si>
  <si>
    <t>F-900483</t>
  </si>
  <si>
    <t>B-500484</t>
  </si>
  <si>
    <t>M-700484</t>
  </si>
  <si>
    <t>F-900484</t>
  </si>
  <si>
    <t>B-500485</t>
  </si>
  <si>
    <t>M-700485</t>
  </si>
  <si>
    <t>F-900485</t>
  </si>
  <si>
    <t>B-500486</t>
  </si>
  <si>
    <t>M-700486</t>
  </si>
  <si>
    <t>F-900486</t>
  </si>
  <si>
    <t>B-500487</t>
  </si>
  <si>
    <t>M-700487</t>
  </si>
  <si>
    <t>F-900487</t>
  </si>
  <si>
    <t>B-500488</t>
  </si>
  <si>
    <t>M-700488</t>
  </si>
  <si>
    <t>F-900488</t>
  </si>
  <si>
    <t>B-500489</t>
  </si>
  <si>
    <t>M-700489</t>
  </si>
  <si>
    <t>F-900489</t>
  </si>
  <si>
    <t>B-500490</t>
  </si>
  <si>
    <t>M-700490</t>
  </si>
  <si>
    <t>F-900490</t>
  </si>
  <si>
    <t>B-500491</t>
  </si>
  <si>
    <t>M-700491</t>
  </si>
  <si>
    <t>F-900491</t>
  </si>
  <si>
    <t>B-500492</t>
  </si>
  <si>
    <t>M-700492</t>
  </si>
  <si>
    <t>F-900492</t>
  </si>
  <si>
    <t>B-500493</t>
  </si>
  <si>
    <t>M-700493</t>
  </si>
  <si>
    <t>F-900493</t>
  </si>
  <si>
    <t>B-500494</t>
  </si>
  <si>
    <t>M-700494</t>
  </si>
  <si>
    <t>F-900494</t>
  </si>
  <si>
    <t>B-500495</t>
  </si>
  <si>
    <t>M-700495</t>
  </si>
  <si>
    <t>F-900495</t>
  </si>
  <si>
    <t>B-500496</t>
  </si>
  <si>
    <t>M-700496</t>
  </si>
  <si>
    <t>F-900496</t>
  </si>
  <si>
    <t>B-500497</t>
  </si>
  <si>
    <t>M-700497</t>
  </si>
  <si>
    <t>F-900497</t>
  </si>
  <si>
    <t>B-500498</t>
  </si>
  <si>
    <t>M-700498</t>
  </si>
  <si>
    <t>F-900498</t>
  </si>
  <si>
    <t>B-500499</t>
  </si>
  <si>
    <t>M-700499</t>
  </si>
  <si>
    <t>F-900499</t>
  </si>
  <si>
    <t>B-500500</t>
  </si>
  <si>
    <t>M-700500</t>
  </si>
  <si>
    <t>F-900500</t>
  </si>
  <si>
    <t>B-500501</t>
  </si>
  <si>
    <t>M-700501</t>
  </si>
  <si>
    <t>F-900501</t>
  </si>
  <si>
    <t>B-500502</t>
  </si>
  <si>
    <t>M-700502</t>
  </si>
  <si>
    <t>F-900502</t>
  </si>
  <si>
    <t>B-500503</t>
  </si>
  <si>
    <t>M-700503</t>
  </si>
  <si>
    <t>F-900503</t>
  </si>
  <si>
    <t>B-500504</t>
  </si>
  <si>
    <t>M-700504</t>
  </si>
  <si>
    <t>F-900504</t>
  </si>
  <si>
    <t>B-500505</t>
  </si>
  <si>
    <t>M-700505</t>
  </si>
  <si>
    <t>F-900505</t>
  </si>
  <si>
    <t>B-500506</t>
  </si>
  <si>
    <t>M-700506</t>
  </si>
  <si>
    <t>F-900506</t>
  </si>
  <si>
    <t>B-500507</t>
  </si>
  <si>
    <t>M-700507</t>
  </si>
  <si>
    <t>F-900507</t>
  </si>
  <si>
    <t>B-500508</t>
  </si>
  <si>
    <t>M-700508</t>
  </si>
  <si>
    <t>F-900508</t>
  </si>
  <si>
    <t>B-500509</t>
  </si>
  <si>
    <t>M-700509</t>
  </si>
  <si>
    <t>F-900509</t>
  </si>
  <si>
    <t>B-500510</t>
  </si>
  <si>
    <t>M-700510</t>
  </si>
  <si>
    <t>F-900510</t>
  </si>
  <si>
    <t>B-500511</t>
  </si>
  <si>
    <t>M-700511</t>
  </si>
  <si>
    <t>F-900511</t>
  </si>
  <si>
    <t>B-500512</t>
  </si>
  <si>
    <t>M-700512</t>
  </si>
  <si>
    <t>F-900512</t>
  </si>
  <si>
    <t>B-500513</t>
  </si>
  <si>
    <t>M-700513</t>
  </si>
  <si>
    <t>F-900513</t>
  </si>
  <si>
    <t>B-500514</t>
  </si>
  <si>
    <t>M-700514</t>
  </si>
  <si>
    <t>F-900514</t>
  </si>
  <si>
    <t>B-500515</t>
  </si>
  <si>
    <t>M-700515</t>
  </si>
  <si>
    <t>F-900515</t>
  </si>
  <si>
    <t>B-500516</t>
  </si>
  <si>
    <t>M-700516</t>
  </si>
  <si>
    <t>F-900516</t>
  </si>
  <si>
    <t>B-500517</t>
  </si>
  <si>
    <t>M-700517</t>
  </si>
  <si>
    <t>F-900517</t>
  </si>
  <si>
    <t>B-500518</t>
  </si>
  <si>
    <t>M-700518</t>
  </si>
  <si>
    <t>F-900518</t>
  </si>
  <si>
    <t>B-500519</t>
  </si>
  <si>
    <t>M-700519</t>
  </si>
  <si>
    <t>F-900519</t>
  </si>
  <si>
    <t>B-500520</t>
  </si>
  <si>
    <t>M-700520</t>
  </si>
  <si>
    <t>F-900520</t>
  </si>
  <si>
    <t>B-500521</t>
  </si>
  <si>
    <t>M-700521</t>
  </si>
  <si>
    <t>F-900521</t>
  </si>
  <si>
    <t>B-500522</t>
  </si>
  <si>
    <t>M-700522</t>
  </si>
  <si>
    <t>F-900522</t>
  </si>
  <si>
    <t>B-500523</t>
  </si>
  <si>
    <t>M-700523</t>
  </si>
  <si>
    <t>F-900523</t>
  </si>
  <si>
    <t>B-500524</t>
  </si>
  <si>
    <t>M-700524</t>
  </si>
  <si>
    <t>F-900524</t>
  </si>
  <si>
    <t>B-500525</t>
  </si>
  <si>
    <t>M-700525</t>
  </si>
  <si>
    <t>F-900525</t>
  </si>
  <si>
    <t>B-500526</t>
  </si>
  <si>
    <t>M-700526</t>
  </si>
  <si>
    <t>F-900526</t>
  </si>
  <si>
    <t>B-500527</t>
  </si>
  <si>
    <t>M-700527</t>
  </si>
  <si>
    <t>F-900527</t>
  </si>
  <si>
    <t>B-500528</t>
  </si>
  <si>
    <t>M-700528</t>
  </si>
  <si>
    <t>F-900528</t>
  </si>
  <si>
    <t>B-500529</t>
  </si>
  <si>
    <t>M-700529</t>
  </si>
  <si>
    <t>F-900529</t>
  </si>
  <si>
    <t>B-500530</t>
  </si>
  <si>
    <t>M-700530</t>
  </si>
  <si>
    <t>F-900530</t>
  </si>
  <si>
    <t>B-500531</t>
  </si>
  <si>
    <t>M-700531</t>
  </si>
  <si>
    <t>F-900531</t>
  </si>
  <si>
    <t>B-500532</t>
  </si>
  <si>
    <t>M-700532</t>
  </si>
  <si>
    <t>F-900532</t>
  </si>
  <si>
    <t>B-500533</t>
  </si>
  <si>
    <t>M-700533</t>
  </si>
  <si>
    <t>F-900533</t>
  </si>
  <si>
    <t>B-500534</t>
  </si>
  <si>
    <t>M-700534</t>
  </si>
  <si>
    <t>F-900534</t>
  </si>
  <si>
    <t>B-500535</t>
  </si>
  <si>
    <t>M-700535</t>
  </si>
  <si>
    <t>F-900535</t>
  </si>
  <si>
    <t>B-500536</t>
  </si>
  <si>
    <t>M-700536</t>
  </si>
  <si>
    <t>F-900536</t>
  </si>
  <si>
    <t>B-500537</t>
  </si>
  <si>
    <t>M-700537</t>
  </si>
  <si>
    <t>F-900537</t>
  </si>
  <si>
    <t>B-500538</t>
  </si>
  <si>
    <t>M-700538</t>
  </si>
  <si>
    <t>F-900538</t>
  </si>
  <si>
    <t>B-500539</t>
  </si>
  <si>
    <t>M-700539</t>
  </si>
  <si>
    <t>F-900539</t>
  </si>
  <si>
    <t>B-500540</t>
  </si>
  <si>
    <t>M-700540</t>
  </si>
  <si>
    <t>F-900540</t>
  </si>
  <si>
    <t>B-500541</t>
  </si>
  <si>
    <t>M-700541</t>
  </si>
  <si>
    <t>F-900541</t>
  </si>
  <si>
    <t>B-500542</t>
  </si>
  <si>
    <t>M-700542</t>
  </si>
  <si>
    <t>F-900542</t>
  </si>
  <si>
    <t>B-500543</t>
  </si>
  <si>
    <t>M-700543</t>
  </si>
  <si>
    <t>F-900543</t>
  </si>
  <si>
    <t>B-500544</t>
  </si>
  <si>
    <t>M-700544</t>
  </si>
  <si>
    <t>F-900544</t>
  </si>
  <si>
    <t>B-500545</t>
  </si>
  <si>
    <t>M-700545</t>
  </si>
  <si>
    <t>F-900545</t>
  </si>
  <si>
    <t>B-500546</t>
  </si>
  <si>
    <t>M-700546</t>
  </si>
  <si>
    <t>F-900546</t>
  </si>
  <si>
    <t>B-500547</t>
  </si>
  <si>
    <t>M-700547</t>
  </si>
  <si>
    <t>F-900547</t>
  </si>
  <si>
    <t>B-500548</t>
  </si>
  <si>
    <t>M-700548</t>
  </si>
  <si>
    <t>F-900548</t>
  </si>
  <si>
    <t>B-500549</t>
  </si>
  <si>
    <t>M-700549</t>
  </si>
  <si>
    <t>F-900549</t>
  </si>
  <si>
    <t>B-500550</t>
  </si>
  <si>
    <t>M-700550</t>
  </si>
  <si>
    <t>F-900550</t>
  </si>
  <si>
    <t>B-500551</t>
  </si>
  <si>
    <t>M-700551</t>
  </si>
  <si>
    <t>F-900551</t>
  </si>
  <si>
    <t>B-500552</t>
  </si>
  <si>
    <t>M-700552</t>
  </si>
  <si>
    <t>F-900552</t>
  </si>
  <si>
    <t>B-500553</t>
  </si>
  <si>
    <t>M-700553</t>
  </si>
  <si>
    <t>F-900553</t>
  </si>
  <si>
    <t>B-500554</t>
  </si>
  <si>
    <t>M-700554</t>
  </si>
  <si>
    <t>F-900554</t>
  </si>
  <si>
    <t>B-500555</t>
  </si>
  <si>
    <t>M-700555</t>
  </si>
  <si>
    <t>F-900555</t>
  </si>
  <si>
    <t>B-500556</t>
  </si>
  <si>
    <t>M-700556</t>
  </si>
  <si>
    <t>F-900556</t>
  </si>
  <si>
    <t>B-500557</t>
  </si>
  <si>
    <t>M-700557</t>
  </si>
  <si>
    <t>F-900557</t>
  </si>
  <si>
    <t>B-500558</t>
  </si>
  <si>
    <t>M-700558</t>
  </si>
  <si>
    <t>F-900558</t>
  </si>
  <si>
    <t>B-500559</t>
  </si>
  <si>
    <t>M-700559</t>
  </si>
  <si>
    <t>F-900559</t>
  </si>
  <si>
    <t>B-500560</t>
  </si>
  <si>
    <t>M-700560</t>
  </si>
  <si>
    <t>F-900560</t>
  </si>
  <si>
    <t>B-500561</t>
  </si>
  <si>
    <t>M-700561</t>
  </si>
  <si>
    <t>F-900561</t>
  </si>
  <si>
    <t>B-500562</t>
  </si>
  <si>
    <t>M-700562</t>
  </si>
  <si>
    <t>F-900562</t>
  </si>
  <si>
    <t>B-500563</t>
  </si>
  <si>
    <t>M-700563</t>
  </si>
  <si>
    <t>F-900563</t>
  </si>
  <si>
    <t>B-500564</t>
  </si>
  <si>
    <t>M-700564</t>
  </si>
  <si>
    <t>F-900564</t>
  </si>
  <si>
    <t>B-500565</t>
  </si>
  <si>
    <t>M-700565</t>
  </si>
  <si>
    <t>F-900565</t>
  </si>
  <si>
    <t>B-500566</t>
  </si>
  <si>
    <t>M-700566</t>
  </si>
  <si>
    <t>F-900566</t>
  </si>
  <si>
    <t>B-500567</t>
  </si>
  <si>
    <t>M-700567</t>
  </si>
  <si>
    <t>F-900567</t>
  </si>
  <si>
    <t>B-500568</t>
  </si>
  <si>
    <t>M-700568</t>
  </si>
  <si>
    <t>F-900568</t>
  </si>
  <si>
    <t>B-500569</t>
  </si>
  <si>
    <t>M-700569</t>
  </si>
  <si>
    <t>F-900569</t>
  </si>
  <si>
    <t>B-500570</t>
  </si>
  <si>
    <t>M-700570</t>
  </si>
  <si>
    <t>F-900570</t>
  </si>
  <si>
    <t>B-500571</t>
  </si>
  <si>
    <t>M-700571</t>
  </si>
  <si>
    <t>F-900571</t>
  </si>
  <si>
    <t>B-500572</t>
  </si>
  <si>
    <t>M-700572</t>
  </si>
  <si>
    <t>F-900572</t>
  </si>
  <si>
    <t>B-500573</t>
  </si>
  <si>
    <t>M-700573</t>
  </si>
  <si>
    <t>F-900573</t>
  </si>
  <si>
    <t>B-500574</t>
  </si>
  <si>
    <t>M-700574</t>
  </si>
  <si>
    <t>F-900574</t>
  </si>
  <si>
    <t>B-500575</t>
  </si>
  <si>
    <t>M-700575</t>
  </si>
  <si>
    <t>F-900575</t>
  </si>
  <si>
    <t>B-500576</t>
  </si>
  <si>
    <t>M-700576</t>
  </si>
  <si>
    <t>F-900576</t>
  </si>
  <si>
    <t>B-500577</t>
  </si>
  <si>
    <t>M-700577</t>
  </si>
  <si>
    <t>F-900577</t>
  </si>
  <si>
    <t>B-500578</t>
  </si>
  <si>
    <t>M-700578</t>
  </si>
  <si>
    <t>F-900578</t>
  </si>
  <si>
    <t>B-500579</t>
  </si>
  <si>
    <t>M-700579</t>
  </si>
  <si>
    <t>F-900579</t>
  </si>
  <si>
    <t>B-500580</t>
  </si>
  <si>
    <t>M-700580</t>
  </si>
  <si>
    <t>F-900580</t>
  </si>
  <si>
    <t>B-500581</t>
  </si>
  <si>
    <t>M-700581</t>
  </si>
  <si>
    <t>F-900581</t>
  </si>
  <si>
    <t>B-500582</t>
  </si>
  <si>
    <t>M-700582</t>
  </si>
  <si>
    <t>F-900582</t>
  </si>
  <si>
    <t>B-500583</t>
  </si>
  <si>
    <t>M-700583</t>
  </si>
  <si>
    <t>F-900583</t>
  </si>
  <si>
    <t>B-500584</t>
  </si>
  <si>
    <t>M-700584</t>
  </si>
  <si>
    <t>F-900584</t>
  </si>
  <si>
    <t>B-500585</t>
  </si>
  <si>
    <t>M-700585</t>
  </si>
  <si>
    <t>F-900585</t>
  </si>
  <si>
    <t>B-500586</t>
  </si>
  <si>
    <t>M-700586</t>
  </si>
  <si>
    <t>F-900586</t>
  </si>
  <si>
    <t>B-500587</t>
  </si>
  <si>
    <t>M-700587</t>
  </si>
  <si>
    <t>F-900587</t>
  </si>
  <si>
    <t>B-500588</t>
  </si>
  <si>
    <t>M-700588</t>
  </si>
  <si>
    <t>F-900588</t>
  </si>
  <si>
    <t>B-500589</t>
  </si>
  <si>
    <t>M-700589</t>
  </si>
  <si>
    <t>F-900589</t>
  </si>
  <si>
    <t>B-500590</t>
  </si>
  <si>
    <t>M-700590</t>
  </si>
  <si>
    <t>F-900590</t>
  </si>
  <si>
    <t>B-500591</t>
  </si>
  <si>
    <t>M-700591</t>
  </si>
  <si>
    <t>F-900591</t>
  </si>
  <si>
    <t>B-500592</t>
  </si>
  <si>
    <t>M-700592</t>
  </si>
  <si>
    <t>F-900592</t>
  </si>
  <si>
    <t>B-500593</t>
  </si>
  <si>
    <t>M-700593</t>
  </si>
  <si>
    <t>F-900593</t>
  </si>
  <si>
    <t>B-500594</t>
  </si>
  <si>
    <t>M-700594</t>
  </si>
  <si>
    <t>F-900594</t>
  </si>
  <si>
    <t>B-500595</t>
  </si>
  <si>
    <t>M-700595</t>
  </si>
  <si>
    <t>F-900595</t>
  </si>
  <si>
    <t>B-500596</t>
  </si>
  <si>
    <t>M-700596</t>
  </si>
  <si>
    <t>F-900596</t>
  </si>
  <si>
    <t>B-500597</t>
  </si>
  <si>
    <t>M-700597</t>
  </si>
  <si>
    <t>F-900597</t>
  </si>
  <si>
    <t>B-500598</t>
  </si>
  <si>
    <t>M-700598</t>
  </si>
  <si>
    <t>F-900598</t>
  </si>
  <si>
    <t>B-500599</t>
  </si>
  <si>
    <t>M-700599</t>
  </si>
  <si>
    <t>F-900599</t>
  </si>
  <si>
    <t>B-500600</t>
  </si>
  <si>
    <t>M-700600</t>
  </si>
  <si>
    <t>F-900600</t>
  </si>
  <si>
    <t>B-500601</t>
  </si>
  <si>
    <t>M-700601</t>
  </si>
  <si>
    <t>F-900601</t>
  </si>
  <si>
    <t>B-500602</t>
  </si>
  <si>
    <t>M-700602</t>
  </si>
  <si>
    <t>F-900602</t>
  </si>
  <si>
    <t>B-500603</t>
  </si>
  <si>
    <t>M-700603</t>
  </si>
  <si>
    <t>F-900603</t>
  </si>
  <si>
    <t>B-500604</t>
  </si>
  <si>
    <t>M-700604</t>
  </si>
  <si>
    <t>F-900604</t>
  </si>
  <si>
    <t>B-500605</t>
  </si>
  <si>
    <t>M-700605</t>
  </si>
  <si>
    <t>F-900605</t>
  </si>
  <si>
    <t>B-500606</t>
  </si>
  <si>
    <t>M-700606</t>
  </si>
  <si>
    <t>F-900606</t>
  </si>
  <si>
    <t>B-500607</t>
  </si>
  <si>
    <t>M-700607</t>
  </si>
  <si>
    <t>F-900607</t>
  </si>
  <si>
    <t>B-500608</t>
  </si>
  <si>
    <t>M-700608</t>
  </si>
  <si>
    <t>F-900608</t>
  </si>
  <si>
    <t>B-500609</t>
  </si>
  <si>
    <t>M-700609</t>
  </si>
  <si>
    <t>F-900609</t>
  </si>
  <si>
    <t>B-500610</t>
  </si>
  <si>
    <t>M-700610</t>
  </si>
  <si>
    <t>F-900610</t>
  </si>
  <si>
    <t>B-500611</t>
  </si>
  <si>
    <t>M-700611</t>
  </si>
  <si>
    <t>F-900611</t>
  </si>
  <si>
    <t>B-500612</t>
  </si>
  <si>
    <t>M-700612</t>
  </si>
  <si>
    <t>F-900612</t>
  </si>
  <si>
    <t>B-500613</t>
  </si>
  <si>
    <t>M-700613</t>
  </si>
  <si>
    <t>F-900613</t>
  </si>
  <si>
    <t>B-500614</t>
  </si>
  <si>
    <t>M-700614</t>
  </si>
  <si>
    <t>F-900614</t>
  </si>
  <si>
    <t>B-500615</t>
  </si>
  <si>
    <t>M-700615</t>
  </si>
  <si>
    <t>F-900615</t>
  </si>
  <si>
    <t>B-500616</t>
  </si>
  <si>
    <t>M-700616</t>
  </si>
  <si>
    <t>F-900616</t>
  </si>
  <si>
    <t>B-500617</t>
  </si>
  <si>
    <t>M-700617</t>
  </si>
  <si>
    <t>F-900617</t>
  </si>
  <si>
    <t>B-500618</t>
  </si>
  <si>
    <t>M-700618</t>
  </si>
  <si>
    <t>F-900618</t>
  </si>
  <si>
    <t>B-500619</t>
  </si>
  <si>
    <t>M-700619</t>
  </si>
  <si>
    <t>F-900619</t>
  </si>
  <si>
    <t>B-500620</t>
  </si>
  <si>
    <t>M-700620</t>
  </si>
  <si>
    <t>F-900620</t>
  </si>
  <si>
    <t>B-500621</t>
  </si>
  <si>
    <t>M-700621</t>
  </si>
  <si>
    <t>F-900621</t>
  </si>
  <si>
    <t>B-500622</t>
  </si>
  <si>
    <t>M-700622</t>
  </si>
  <si>
    <t>F-900622</t>
  </si>
  <si>
    <t>B-500623</t>
  </si>
  <si>
    <t>M-700623</t>
  </si>
  <si>
    <t>F-900623</t>
  </si>
  <si>
    <t>B-500624</t>
  </si>
  <si>
    <t>M-700624</t>
  </si>
  <si>
    <t>F-900624</t>
  </si>
  <si>
    <t>B-500625</t>
  </si>
  <si>
    <t>M-700625</t>
  </si>
  <si>
    <t>F-900625</t>
  </si>
  <si>
    <t>B-500626</t>
  </si>
  <si>
    <t>M-700626</t>
  </si>
  <si>
    <t>F-900626</t>
  </si>
  <si>
    <t>B-500627</t>
  </si>
  <si>
    <t>M-700627</t>
  </si>
  <si>
    <t>F-900627</t>
  </si>
  <si>
    <t>B-500628</t>
  </si>
  <si>
    <t>M-700628</t>
  </si>
  <si>
    <t>F-900628</t>
  </si>
  <si>
    <t>B-500629</t>
  </si>
  <si>
    <t>M-700629</t>
  </si>
  <si>
    <t>F-900629</t>
  </si>
  <si>
    <t>B-500630</t>
  </si>
  <si>
    <t>M-700630</t>
  </si>
  <si>
    <t>F-900630</t>
  </si>
  <si>
    <t>B-500631</t>
  </si>
  <si>
    <t>M-700631</t>
  </si>
  <si>
    <t>F-900631</t>
  </si>
  <si>
    <t>B-500632</t>
  </si>
  <si>
    <t>M-700632</t>
  </si>
  <si>
    <t>F-900632</t>
  </si>
  <si>
    <t>B-500633</t>
  </si>
  <si>
    <t>M-700633</t>
  </si>
  <si>
    <t>F-900633</t>
  </si>
  <si>
    <t>B-500634</t>
  </si>
  <si>
    <t>M-700634</t>
  </si>
  <si>
    <t>F-900634</t>
  </si>
  <si>
    <t>B-500635</t>
  </si>
  <si>
    <t>M-700635</t>
  </si>
  <si>
    <t>F-900635</t>
  </si>
  <si>
    <t>B-500636</t>
  </si>
  <si>
    <t>M-700636</t>
  </si>
  <si>
    <t>F-900636</t>
  </si>
  <si>
    <t>B-500637</t>
  </si>
  <si>
    <t>M-700637</t>
  </si>
  <si>
    <t>F-900637</t>
  </si>
  <si>
    <t>B-500638</t>
  </si>
  <si>
    <t>M-700638</t>
  </si>
  <si>
    <t>F-900638</t>
  </si>
  <si>
    <t>B-500639</t>
  </si>
  <si>
    <t>M-700639</t>
  </si>
  <si>
    <t>F-900639</t>
  </si>
  <si>
    <t>B-500640</t>
  </si>
  <si>
    <t>M-700640</t>
  </si>
  <si>
    <t>F-900640</t>
  </si>
  <si>
    <t>B-500641</t>
  </si>
  <si>
    <t>M-700641</t>
  </si>
  <si>
    <t>F-900641</t>
  </si>
  <si>
    <t>B-500642</t>
  </si>
  <si>
    <t>M-700642</t>
  </si>
  <si>
    <t>F-900642</t>
  </si>
  <si>
    <t>B-500643</t>
  </si>
  <si>
    <t>M-700643</t>
  </si>
  <si>
    <t>F-900643</t>
  </si>
  <si>
    <t>B-500644</t>
  </si>
  <si>
    <t>M-700644</t>
  </si>
  <si>
    <t>F-900644</t>
  </si>
  <si>
    <t>B-500645</t>
  </si>
  <si>
    <t>M-700645</t>
  </si>
  <si>
    <t>F-900645</t>
  </si>
  <si>
    <t>B-500646</t>
  </si>
  <si>
    <t>M-700646</t>
  </si>
  <si>
    <t>F-900646</t>
  </si>
  <si>
    <t>B-500647</t>
  </si>
  <si>
    <t>M-700647</t>
  </si>
  <si>
    <t>F-900647</t>
  </si>
  <si>
    <t>B-500648</t>
  </si>
  <si>
    <t>M-700648</t>
  </si>
  <si>
    <t>F-900648</t>
  </si>
  <si>
    <t>B-500649</t>
  </si>
  <si>
    <t>M-700649</t>
  </si>
  <si>
    <t>F-900649</t>
  </si>
  <si>
    <t>B-500650</t>
  </si>
  <si>
    <t>M-700650</t>
  </si>
  <si>
    <t>F-900650</t>
  </si>
  <si>
    <t>B-500651</t>
  </si>
  <si>
    <t>M-700651</t>
  </si>
  <si>
    <t>F-900651</t>
  </si>
  <si>
    <t>B-500652</t>
  </si>
  <si>
    <t>M-700652</t>
  </si>
  <si>
    <t>F-900652</t>
  </si>
  <si>
    <t>B-500653</t>
  </si>
  <si>
    <t>M-700653</t>
  </si>
  <si>
    <t>F-900653</t>
  </si>
  <si>
    <t>B-500654</t>
  </si>
  <si>
    <t>M-700654</t>
  </si>
  <si>
    <t>F-900654</t>
  </si>
  <si>
    <t>B-500655</t>
  </si>
  <si>
    <t>M-700655</t>
  </si>
  <si>
    <t>F-900655</t>
  </si>
  <si>
    <t>B-500656</t>
  </si>
  <si>
    <t>M-700656</t>
  </si>
  <si>
    <t>F-900656</t>
  </si>
  <si>
    <t>B-500657</t>
  </si>
  <si>
    <t>M-700657</t>
  </si>
  <si>
    <t>F-900657</t>
  </si>
  <si>
    <t>B-500658</t>
  </si>
  <si>
    <t>M-700658</t>
  </si>
  <si>
    <t>F-900658</t>
  </si>
  <si>
    <t>B-500659</t>
  </si>
  <si>
    <t>M-700659</t>
  </si>
  <si>
    <t>F-900659</t>
  </si>
  <si>
    <t>B-500660</t>
  </si>
  <si>
    <t>M-700660</t>
  </si>
  <si>
    <t>F-900660</t>
  </si>
  <si>
    <t>B-500661</t>
  </si>
  <si>
    <t>M-700661</t>
  </si>
  <si>
    <t>F-900661</t>
  </si>
  <si>
    <t>B-500662</t>
  </si>
  <si>
    <t>M-700662</t>
  </si>
  <si>
    <t>F-900662</t>
  </si>
  <si>
    <t>B-500663</t>
  </si>
  <si>
    <t>M-700663</t>
  </si>
  <si>
    <t>F-900663</t>
  </si>
  <si>
    <t>B-500664</t>
  </si>
  <si>
    <t>M-700664</t>
  </si>
  <si>
    <t>F-900664</t>
  </si>
  <si>
    <t>B-500665</t>
  </si>
  <si>
    <t>M-700665</t>
  </si>
  <si>
    <t>F-900665</t>
  </si>
  <si>
    <t>B-500666</t>
  </si>
  <si>
    <t>M-700666</t>
  </si>
  <si>
    <t>F-900666</t>
  </si>
  <si>
    <t>B-500667</t>
  </si>
  <si>
    <t>M-700667</t>
  </si>
  <si>
    <t>F-900667</t>
  </si>
  <si>
    <t>B-500668</t>
  </si>
  <si>
    <t>M-700668</t>
  </si>
  <si>
    <t>F-900668</t>
  </si>
  <si>
    <t>B-500669</t>
  </si>
  <si>
    <t>M-700669</t>
  </si>
  <si>
    <t>F-900669</t>
  </si>
  <si>
    <t>B-500670</t>
  </si>
  <si>
    <t>M-700670</t>
  </si>
  <si>
    <t>F-900670</t>
  </si>
  <si>
    <t>B-500671</t>
  </si>
  <si>
    <t>M-700671</t>
  </si>
  <si>
    <t>F-900671</t>
  </si>
  <si>
    <t>B-500672</t>
  </si>
  <si>
    <t>M-700672</t>
  </si>
  <si>
    <t>F-900672</t>
  </si>
  <si>
    <t>B-500673</t>
  </si>
  <si>
    <t>M-700673</t>
  </si>
  <si>
    <t>F-900673</t>
  </si>
  <si>
    <t>B-500674</t>
  </si>
  <si>
    <t>M-700674</t>
  </si>
  <si>
    <t>F-900674</t>
  </si>
  <si>
    <t>B-500675</t>
  </si>
  <si>
    <t>M-700675</t>
  </si>
  <si>
    <t>F-900675</t>
  </si>
  <si>
    <t>B-500676</t>
  </si>
  <si>
    <t>M-700676</t>
  </si>
  <si>
    <t>F-900676</t>
  </si>
  <si>
    <t>B-500677</t>
  </si>
  <si>
    <t>M-700677</t>
  </si>
  <si>
    <t>F-900677</t>
  </si>
  <si>
    <t>B-500678</t>
  </si>
  <si>
    <t>M-700678</t>
  </si>
  <si>
    <t>F-900678</t>
  </si>
  <si>
    <t>B-500679</t>
  </si>
  <si>
    <t>M-700679</t>
  </si>
  <si>
    <t>F-900679</t>
  </si>
  <si>
    <t>B-500680</t>
  </si>
  <si>
    <t>M-700680</t>
  </si>
  <si>
    <t>F-900680</t>
  </si>
  <si>
    <t>B-500681</t>
  </si>
  <si>
    <t>M-700681</t>
  </si>
  <si>
    <t>F-900681</t>
  </si>
  <si>
    <t>B-500682</t>
  </si>
  <si>
    <t>M-700682</t>
  </si>
  <si>
    <t>F-900682</t>
  </si>
  <si>
    <t>B-500683</t>
  </si>
  <si>
    <t>M-700683</t>
  </si>
  <si>
    <t>F-900683</t>
  </si>
  <si>
    <t>B-500684</t>
  </si>
  <si>
    <t>M-700684</t>
  </si>
  <si>
    <t>F-900684</t>
  </si>
  <si>
    <t>B-500685</t>
  </si>
  <si>
    <t>M-700685</t>
  </si>
  <si>
    <t>F-900685</t>
  </si>
  <si>
    <t>B-500686</t>
  </si>
  <si>
    <t>M-700686</t>
  </si>
  <si>
    <t>F-900686</t>
  </si>
  <si>
    <t>B-500687</t>
  </si>
  <si>
    <t>M-700687</t>
  </si>
  <si>
    <t>F-900687</t>
  </si>
  <si>
    <t>B-500688</t>
  </si>
  <si>
    <t>M-700688</t>
  </si>
  <si>
    <t>F-900688</t>
  </si>
  <si>
    <t>B-500689</t>
  </si>
  <si>
    <t>M-700689</t>
  </si>
  <si>
    <t>F-900689</t>
  </si>
  <si>
    <t>B-500690</t>
  </si>
  <si>
    <t>M-700690</t>
  </si>
  <si>
    <t>F-900690</t>
  </si>
  <si>
    <t>B-500691</t>
  </si>
  <si>
    <t>M-700691</t>
  </si>
  <si>
    <t>F-900691</t>
  </si>
  <si>
    <t>B-500692</t>
  </si>
  <si>
    <t>M-700692</t>
  </si>
  <si>
    <t>F-900692</t>
  </si>
  <si>
    <t>B-500693</t>
  </si>
  <si>
    <t>M-700693</t>
  </si>
  <si>
    <t>F-900693</t>
  </si>
  <si>
    <t>B-500694</t>
  </si>
  <si>
    <t>M-700694</t>
  </si>
  <si>
    <t>F-900694</t>
  </si>
  <si>
    <t>B-500695</t>
  </si>
  <si>
    <t>M-700695</t>
  </si>
  <si>
    <t>F-900695</t>
  </si>
  <si>
    <t>B-500696</t>
  </si>
  <si>
    <t>M-700696</t>
  </si>
  <si>
    <t>F-900696</t>
  </si>
  <si>
    <t>B-500697</t>
  </si>
  <si>
    <t>M-700697</t>
  </si>
  <si>
    <t>F-900697</t>
  </si>
  <si>
    <t>B-500698</t>
  </si>
  <si>
    <t>M-700698</t>
  </si>
  <si>
    <t>F-900698</t>
  </si>
  <si>
    <t>B-500699</t>
  </si>
  <si>
    <t>M-700699</t>
  </si>
  <si>
    <t>F-900699</t>
  </si>
  <si>
    <t>B-500700</t>
  </si>
  <si>
    <t>M-700700</t>
  </si>
  <si>
    <t>F-900700</t>
  </si>
  <si>
    <t>B-500701</t>
  </si>
  <si>
    <t>M-700701</t>
  </si>
  <si>
    <t>F-900701</t>
  </si>
  <si>
    <t>B-500702</t>
  </si>
  <si>
    <t>M-700702</t>
  </si>
  <si>
    <t>F-900702</t>
  </si>
  <si>
    <t>B-500703</t>
  </si>
  <si>
    <t>M-700703</t>
  </si>
  <si>
    <t>F-900703</t>
  </si>
  <si>
    <t>B-500704</t>
  </si>
  <si>
    <t>M-700704</t>
  </si>
  <si>
    <t>F-900704</t>
  </si>
  <si>
    <t>B-500705</t>
  </si>
  <si>
    <t>M-700705</t>
  </si>
  <si>
    <t>F-900705</t>
  </si>
  <si>
    <t>B-500706</t>
  </si>
  <si>
    <t>M-700706</t>
  </si>
  <si>
    <t>F-900706</t>
  </si>
  <si>
    <t>B-500707</t>
  </si>
  <si>
    <t>M-700707</t>
  </si>
  <si>
    <t>F-900707</t>
  </si>
  <si>
    <t>B-500708</t>
  </si>
  <si>
    <t>M-700708</t>
  </si>
  <si>
    <t>F-900708</t>
  </si>
  <si>
    <t>B-500709</t>
  </si>
  <si>
    <t>M-700709</t>
  </si>
  <si>
    <t>F-900709</t>
  </si>
  <si>
    <t>B-500710</t>
  </si>
  <si>
    <t>M-700710</t>
  </si>
  <si>
    <t>F-900710</t>
  </si>
  <si>
    <t>B-500711</t>
  </si>
  <si>
    <t>M-700711</t>
  </si>
  <si>
    <t>F-900711</t>
  </si>
  <si>
    <t>B-500712</t>
  </si>
  <si>
    <t>M-700712</t>
  </si>
  <si>
    <t>F-900712</t>
  </si>
  <si>
    <t>B-500713</t>
  </si>
  <si>
    <t>M-700713</t>
  </si>
  <si>
    <t>F-900713</t>
  </si>
  <si>
    <t>B-500714</t>
  </si>
  <si>
    <t>M-700714</t>
  </si>
  <si>
    <t>F-900714</t>
  </si>
  <si>
    <t>B-500715</t>
  </si>
  <si>
    <t>M-700715</t>
  </si>
  <si>
    <t>F-900715</t>
  </si>
  <si>
    <t>B-500716</t>
  </si>
  <si>
    <t>M-700716</t>
  </si>
  <si>
    <t>F-900716</t>
  </si>
  <si>
    <t>B-500717</t>
  </si>
  <si>
    <t>M-700717</t>
  </si>
  <si>
    <t>F-900717</t>
  </si>
  <si>
    <t>B-500718</t>
  </si>
  <si>
    <t>M-700718</t>
  </si>
  <si>
    <t>F-900718</t>
  </si>
  <si>
    <t>B-500719</t>
  </si>
  <si>
    <t>M-700719</t>
  </si>
  <si>
    <t>F-900719</t>
  </si>
  <si>
    <t>B-500720</t>
  </si>
  <si>
    <t>M-700720</t>
  </si>
  <si>
    <t>F-900720</t>
  </si>
  <si>
    <t>B-500721</t>
  </si>
  <si>
    <t>M-700721</t>
  </si>
  <si>
    <t>F-900721</t>
  </si>
  <si>
    <t>B-500722</t>
  </si>
  <si>
    <t>M-700722</t>
  </si>
  <si>
    <t>F-900722</t>
  </si>
  <si>
    <t>B-500723</t>
  </si>
  <si>
    <t>M-700723</t>
  </si>
  <si>
    <t>F-900723</t>
  </si>
  <si>
    <t>B-500724</t>
  </si>
  <si>
    <t>M-700724</t>
  </si>
  <si>
    <t>F-900724</t>
  </si>
  <si>
    <t>B-500725</t>
  </si>
  <si>
    <t>M-700725</t>
  </si>
  <si>
    <t>F-900725</t>
  </si>
  <si>
    <t>B-500726</t>
  </si>
  <si>
    <t>M-700726</t>
  </si>
  <si>
    <t>F-900726</t>
  </si>
  <si>
    <t>B-500727</t>
  </si>
  <si>
    <t>M-700727</t>
  </si>
  <si>
    <t>F-900727</t>
  </si>
  <si>
    <t>B-500728</t>
  </si>
  <si>
    <t>M-700728</t>
  </si>
  <si>
    <t>F-900728</t>
  </si>
  <si>
    <t>B-500729</t>
  </si>
  <si>
    <t>M-700729</t>
  </si>
  <si>
    <t>F-900729</t>
  </si>
  <si>
    <t>B-500730</t>
  </si>
  <si>
    <t>M-700730</t>
  </si>
  <si>
    <t>F-900730</t>
  </si>
  <si>
    <t>B-500731</t>
  </si>
  <si>
    <t>M-700731</t>
  </si>
  <si>
    <t>F-900731</t>
  </si>
  <si>
    <t>B-500732</t>
  </si>
  <si>
    <t>M-700732</t>
  </si>
  <si>
    <t>F-900732</t>
  </si>
  <si>
    <t>B-500733</t>
  </si>
  <si>
    <t>M-700733</t>
  </si>
  <si>
    <t>F-900733</t>
  </si>
  <si>
    <t>B-500734</t>
  </si>
  <si>
    <t>M-700734</t>
  </si>
  <si>
    <t>F-900734</t>
  </si>
  <si>
    <t>B-500735</t>
  </si>
  <si>
    <t>M-700735</t>
  </si>
  <si>
    <t>F-900735</t>
  </si>
  <si>
    <t>B-500736</t>
  </si>
  <si>
    <t>M-700736</t>
  </si>
  <si>
    <t>F-900736</t>
  </si>
  <si>
    <t>B-500737</t>
  </si>
  <si>
    <t>M-700737</t>
  </si>
  <si>
    <t>F-900737</t>
  </si>
  <si>
    <t>B-500738</t>
  </si>
  <si>
    <t>M-700738</t>
  </si>
  <si>
    <t>F-900738</t>
  </si>
  <si>
    <t>B-500739</t>
  </si>
  <si>
    <t>M-700739</t>
  </si>
  <si>
    <t>F-900739</t>
  </si>
  <si>
    <t>B-500740</t>
  </si>
  <si>
    <t>M-700740</t>
  </si>
  <si>
    <t>F-900740</t>
  </si>
  <si>
    <t>B-500741</t>
  </si>
  <si>
    <t>M-700741</t>
  </si>
  <si>
    <t>F-900741</t>
  </si>
  <si>
    <t>B-500742</t>
  </si>
  <si>
    <t>M-700742</t>
  </si>
  <si>
    <t>F-900742</t>
  </si>
  <si>
    <t>B-500743</t>
  </si>
  <si>
    <t>M-700743</t>
  </si>
  <si>
    <t>F-900743</t>
  </si>
  <si>
    <t>B-500744</t>
  </si>
  <si>
    <t>M-700744</t>
  </si>
  <si>
    <t>F-900744</t>
  </si>
  <si>
    <t>B-500745</t>
  </si>
  <si>
    <t>M-700745</t>
  </si>
  <si>
    <t>F-900745</t>
  </si>
  <si>
    <t>B-500746</t>
  </si>
  <si>
    <t>M-700746</t>
  </si>
  <si>
    <t>F-900746</t>
  </si>
  <si>
    <t>B-500747</t>
  </si>
  <si>
    <t>M-700747</t>
  </si>
  <si>
    <t>F-900747</t>
  </si>
  <si>
    <t>B-500748</t>
  </si>
  <si>
    <t>M-700748</t>
  </si>
  <si>
    <t>F-900748</t>
  </si>
  <si>
    <t>B-500749</t>
  </si>
  <si>
    <t>M-700749</t>
  </si>
  <si>
    <t>F-900749</t>
  </si>
  <si>
    <t>B-500750</t>
  </si>
  <si>
    <t>M-700750</t>
  </si>
  <si>
    <t>F-900750</t>
  </si>
  <si>
    <t>B-500751</t>
  </si>
  <si>
    <t>M-700751</t>
  </si>
  <si>
    <t>F-900751</t>
  </si>
  <si>
    <t>B-500752</t>
  </si>
  <si>
    <t>M-700752</t>
  </si>
  <si>
    <t>F-900752</t>
  </si>
  <si>
    <t>B-500753</t>
  </si>
  <si>
    <t>M-700753</t>
  </si>
  <si>
    <t>F-900753</t>
  </si>
  <si>
    <t>B-500754</t>
  </si>
  <si>
    <t>M-700754</t>
  </si>
  <si>
    <t>F-900754</t>
  </si>
  <si>
    <t>B-500755</t>
  </si>
  <si>
    <t>M-700755</t>
  </si>
  <si>
    <t>F-900755</t>
  </si>
  <si>
    <t>B-500756</t>
  </si>
  <si>
    <t>M-700756</t>
  </si>
  <si>
    <t>F-900756</t>
  </si>
  <si>
    <t>B-500757</t>
  </si>
  <si>
    <t>M-700757</t>
  </si>
  <si>
    <t>F-900757</t>
  </si>
  <si>
    <t>B-500758</t>
  </si>
  <si>
    <t>M-700758</t>
  </si>
  <si>
    <t>F-900758</t>
  </si>
  <si>
    <t>B-500759</t>
  </si>
  <si>
    <t>M-700759</t>
  </si>
  <si>
    <t>F-900759</t>
  </si>
  <si>
    <t>B-500760</t>
  </si>
  <si>
    <t>M-700760</t>
  </si>
  <si>
    <t>F-900760</t>
  </si>
  <si>
    <t>B-500761</t>
  </si>
  <si>
    <t>M-700761</t>
  </si>
  <si>
    <t>F-900761</t>
  </si>
  <si>
    <t>B-500762</t>
  </si>
  <si>
    <t>M-700762</t>
  </si>
  <si>
    <t>F-900762</t>
  </si>
  <si>
    <t>B-500763</t>
  </si>
  <si>
    <t>M-700763</t>
  </si>
  <si>
    <t>F-900763</t>
  </si>
  <si>
    <t>B-500764</t>
  </si>
  <si>
    <t>M-700764</t>
  </si>
  <si>
    <t>F-900764</t>
  </si>
  <si>
    <t>B-500765</t>
  </si>
  <si>
    <t>M-700765</t>
  </si>
  <si>
    <t>F-900765</t>
  </si>
  <si>
    <t>B-500766</t>
  </si>
  <si>
    <t>M-700766</t>
  </si>
  <si>
    <t>F-900766</t>
  </si>
  <si>
    <t>B-500767</t>
  </si>
  <si>
    <t>M-700767</t>
  </si>
  <si>
    <t>F-900767</t>
  </si>
  <si>
    <t>B-500768</t>
  </si>
  <si>
    <t>M-700768</t>
  </si>
  <si>
    <t>F-900768</t>
  </si>
  <si>
    <t>B-500769</t>
  </si>
  <si>
    <t>M-700769</t>
  </si>
  <si>
    <t>F-900769</t>
  </si>
  <si>
    <t>B-500770</t>
  </si>
  <si>
    <t>M-700770</t>
  </si>
  <si>
    <t>F-900770</t>
  </si>
  <si>
    <t>B-500771</t>
  </si>
  <si>
    <t>M-700771</t>
  </si>
  <si>
    <t>F-900771</t>
  </si>
  <si>
    <t>B-500772</t>
  </si>
  <si>
    <t>M-700772</t>
  </si>
  <si>
    <t>F-900772</t>
  </si>
  <si>
    <t>B-500773</t>
  </si>
  <si>
    <t>M-700773</t>
  </si>
  <si>
    <t>F-900773</t>
  </si>
  <si>
    <t>B-500774</t>
  </si>
  <si>
    <t>M-700774</t>
  </si>
  <si>
    <t>F-900774</t>
  </si>
  <si>
    <t>B-500775</t>
  </si>
  <si>
    <t>M-700775</t>
  </si>
  <si>
    <t>F-900775</t>
  </si>
  <si>
    <t>B-500776</t>
  </si>
  <si>
    <t>M-700776</t>
  </si>
  <si>
    <t>F-900776</t>
  </si>
  <si>
    <t>B-500777</t>
  </si>
  <si>
    <t>M-700777</t>
  </si>
  <si>
    <t>F-900777</t>
  </si>
  <si>
    <t>B-500778</t>
  </si>
  <si>
    <t>M-700778</t>
  </si>
  <si>
    <t>F-900778</t>
  </si>
  <si>
    <t>B-500779</t>
  </si>
  <si>
    <t>M-700779</t>
  </si>
  <si>
    <t>F-900779</t>
  </si>
  <si>
    <t>B-500780</t>
  </si>
  <si>
    <t>M-700780</t>
  </si>
  <si>
    <t>F-900780</t>
  </si>
  <si>
    <t>B-500781</t>
  </si>
  <si>
    <t>M-700781</t>
  </si>
  <si>
    <t>F-900781</t>
  </si>
  <si>
    <t>B-500782</t>
  </si>
  <si>
    <t>M-700782</t>
  </si>
  <si>
    <t>F-900782</t>
  </si>
  <si>
    <t>B-500783</t>
  </si>
  <si>
    <t>M-700783</t>
  </si>
  <si>
    <t>F-900783</t>
  </si>
  <si>
    <t>B-500784</t>
  </si>
  <si>
    <t>M-700784</t>
  </si>
  <si>
    <t>F-900784</t>
  </si>
  <si>
    <t>B-500785</t>
  </si>
  <si>
    <t>M-700785</t>
  </si>
  <si>
    <t>F-900785</t>
  </si>
  <si>
    <t>B-500786</t>
  </si>
  <si>
    <t>M-700786</t>
  </si>
  <si>
    <t>F-900786</t>
  </si>
  <si>
    <t>B-500787</t>
  </si>
  <si>
    <t>M-700787</t>
  </si>
  <si>
    <t>F-900787</t>
  </si>
  <si>
    <t>B-500788</t>
  </si>
  <si>
    <t>M-700788</t>
  </si>
  <si>
    <t>F-900788</t>
  </si>
  <si>
    <t>B-500789</t>
  </si>
  <si>
    <t>M-700789</t>
  </si>
  <si>
    <t>F-900789</t>
  </si>
  <si>
    <t>B-500790</t>
  </si>
  <si>
    <t>M-700790</t>
  </si>
  <si>
    <t>F-900790</t>
  </si>
  <si>
    <t>B-500791</t>
  </si>
  <si>
    <t>M-700791</t>
  </si>
  <si>
    <t>F-900791</t>
  </si>
  <si>
    <t>B-500792</t>
  </si>
  <si>
    <t>M-700792</t>
  </si>
  <si>
    <t>F-900792</t>
  </si>
  <si>
    <t>B-500793</t>
  </si>
  <si>
    <t>M-700793</t>
  </si>
  <si>
    <t>F-900793</t>
  </si>
  <si>
    <t>B-500794</t>
  </si>
  <si>
    <t>M-700794</t>
  </si>
  <si>
    <t>F-900794</t>
  </si>
  <si>
    <t>B-500795</t>
  </si>
  <si>
    <t>M-700795</t>
  </si>
  <si>
    <t>F-900795</t>
  </si>
  <si>
    <t>B-500796</t>
  </si>
  <si>
    <t>M-700796</t>
  </si>
  <si>
    <t>F-900796</t>
  </si>
  <si>
    <t>B-500797</t>
  </si>
  <si>
    <t>M-700797</t>
  </si>
  <si>
    <t>F-900797</t>
  </si>
  <si>
    <t>B-500798</t>
  </si>
  <si>
    <t>M-700798</t>
  </si>
  <si>
    <t>F-900798</t>
  </si>
  <si>
    <t>B-500799</t>
  </si>
  <si>
    <t>M-700799</t>
  </si>
  <si>
    <t>F-900799</t>
  </si>
  <si>
    <t>B-500800</t>
  </si>
  <si>
    <t>M-700800</t>
  </si>
  <si>
    <t>F-900800</t>
  </si>
  <si>
    <t>B-500801</t>
  </si>
  <si>
    <t>M-700801</t>
  </si>
  <si>
    <t>F-900801</t>
  </si>
  <si>
    <t>B-500802</t>
  </si>
  <si>
    <t>M-700802</t>
  </si>
  <si>
    <t>F-900802</t>
  </si>
  <si>
    <t>B-500803</t>
  </si>
  <si>
    <t>M-700803</t>
  </si>
  <si>
    <t>F-900803</t>
  </si>
  <si>
    <t>B-500804</t>
  </si>
  <si>
    <t>M-700804</t>
  </si>
  <si>
    <t>F-900804</t>
  </si>
  <si>
    <t>B-500805</t>
  </si>
  <si>
    <t>M-700805</t>
  </si>
  <si>
    <t>F-900805</t>
  </si>
  <si>
    <t>B-500806</t>
  </si>
  <si>
    <t>M-700806</t>
  </si>
  <si>
    <t>F-900806</t>
  </si>
  <si>
    <t>B-500807</t>
  </si>
  <si>
    <t>M-700807</t>
  </si>
  <si>
    <t>F-900807</t>
  </si>
  <si>
    <t>B-500808</t>
  </si>
  <si>
    <t>M-700808</t>
  </si>
  <si>
    <t>F-900808</t>
  </si>
  <si>
    <t>B-500809</t>
  </si>
  <si>
    <t>M-700809</t>
  </si>
  <si>
    <t>F-900809</t>
  </si>
  <si>
    <t>B-500810</t>
  </si>
  <si>
    <t>M-700810</t>
  </si>
  <si>
    <t>F-900810</t>
  </si>
  <si>
    <t>B-500811</t>
  </si>
  <si>
    <t>M-700811</t>
  </si>
  <si>
    <t>F-900811</t>
  </si>
  <si>
    <t>B-500812</t>
  </si>
  <si>
    <t>M-700812</t>
  </si>
  <si>
    <t>F-900812</t>
  </si>
  <si>
    <t>B-500813</t>
  </si>
  <si>
    <t>M-700813</t>
  </si>
  <si>
    <t>F-900813</t>
  </si>
  <si>
    <t>B-500814</t>
  </si>
  <si>
    <t>M-700814</t>
  </si>
  <si>
    <t>F-900814</t>
  </si>
  <si>
    <t>B-500815</t>
  </si>
  <si>
    <t>M-700815</t>
  </si>
  <si>
    <t>F-900815</t>
  </si>
  <si>
    <t>B-500816</t>
  </si>
  <si>
    <t>M-700816</t>
  </si>
  <si>
    <t>F-900816</t>
  </si>
  <si>
    <t>B-500817</t>
  </si>
  <si>
    <t>M-700817</t>
  </si>
  <si>
    <t>F-900817</t>
  </si>
  <si>
    <t>B-500818</t>
  </si>
  <si>
    <t>M-700818</t>
  </si>
  <si>
    <t>F-900818</t>
  </si>
  <si>
    <t>B-500819</t>
  </si>
  <si>
    <t>M-700819</t>
  </si>
  <si>
    <t>F-900819</t>
  </si>
  <si>
    <t>B-500820</t>
  </si>
  <si>
    <t>M-700820</t>
  </si>
  <si>
    <t>F-900820</t>
  </si>
  <si>
    <t>B-500821</t>
  </si>
  <si>
    <t>M-700821</t>
  </si>
  <si>
    <t>F-900821</t>
  </si>
  <si>
    <t>B-500822</t>
  </si>
  <si>
    <t>M-700822</t>
  </si>
  <si>
    <t>F-900822</t>
  </si>
  <si>
    <t>B-500823</t>
  </si>
  <si>
    <t>M-700823</t>
  </si>
  <si>
    <t>F-900823</t>
  </si>
  <si>
    <t>B-500824</t>
  </si>
  <si>
    <t>M-700824</t>
  </si>
  <si>
    <t>F-900824</t>
  </si>
  <si>
    <t>B-500825</t>
  </si>
  <si>
    <t>M-700825</t>
  </si>
  <si>
    <t>F-900825</t>
  </si>
  <si>
    <t>B-500826</t>
  </si>
  <si>
    <t>M-700826</t>
  </si>
  <si>
    <t>F-900826</t>
  </si>
  <si>
    <t>B-500827</t>
  </si>
  <si>
    <t>M-700827</t>
  </si>
  <si>
    <t>F-900827</t>
  </si>
  <si>
    <t>B-500828</t>
  </si>
  <si>
    <t>M-700828</t>
  </si>
  <si>
    <t>F-900828</t>
  </si>
  <si>
    <t>B-500829</t>
  </si>
  <si>
    <t>M-700829</t>
  </si>
  <si>
    <t>F-900829</t>
  </si>
  <si>
    <t>B-500830</t>
  </si>
  <si>
    <t>M-700830</t>
  </si>
  <si>
    <t>F-900830</t>
  </si>
  <si>
    <t>B-500831</t>
  </si>
  <si>
    <t>M-700831</t>
  </si>
  <si>
    <t>F-900831</t>
  </si>
  <si>
    <t>B-500832</t>
  </si>
  <si>
    <t>M-700832</t>
  </si>
  <si>
    <t>F-900832</t>
  </si>
  <si>
    <t>B-500833</t>
  </si>
  <si>
    <t>M-700833</t>
  </si>
  <si>
    <t>F-900833</t>
  </si>
  <si>
    <t>B-500834</t>
  </si>
  <si>
    <t>M-700834</t>
  </si>
  <si>
    <t>F-900834</t>
  </si>
  <si>
    <t>B-500835</t>
  </si>
  <si>
    <t>M-700835</t>
  </si>
  <si>
    <t>F-900835</t>
  </si>
  <si>
    <t>B-500836</t>
  </si>
  <si>
    <t>M-700836</t>
  </si>
  <si>
    <t>F-900836</t>
  </si>
  <si>
    <t>B-500837</t>
  </si>
  <si>
    <t>M-700837</t>
  </si>
  <si>
    <t>F-900837</t>
  </si>
  <si>
    <t>B-500838</t>
  </si>
  <si>
    <t>M-700838</t>
  </si>
  <si>
    <t>F-900838</t>
  </si>
  <si>
    <t>B-500839</t>
  </si>
  <si>
    <t>M-700839</t>
  </si>
  <si>
    <t>F-900839</t>
  </si>
  <si>
    <t>B-500840</t>
  </si>
  <si>
    <t>M-700840</t>
  </si>
  <si>
    <t>F-900840</t>
  </si>
  <si>
    <t>B-500841</t>
  </si>
  <si>
    <t>M-700841</t>
  </si>
  <si>
    <t>F-900841</t>
  </si>
  <si>
    <t>B-500842</t>
  </si>
  <si>
    <t>M-700842</t>
  </si>
  <si>
    <t>F-900842</t>
  </si>
  <si>
    <t>B-500843</t>
  </si>
  <si>
    <t>M-700843</t>
  </si>
  <si>
    <t>F-900843</t>
  </si>
  <si>
    <t>B-500844</t>
  </si>
  <si>
    <t>M-700844</t>
  </si>
  <si>
    <t>F-900844</t>
  </si>
  <si>
    <t>B-500845</t>
  </si>
  <si>
    <t>M-700845</t>
  </si>
  <si>
    <t>F-900845</t>
  </si>
  <si>
    <t>B-500846</t>
  </si>
  <si>
    <t>M-700846</t>
  </si>
  <si>
    <t>F-900846</t>
  </si>
  <si>
    <t>B-500847</t>
  </si>
  <si>
    <t>M-700847</t>
  </si>
  <si>
    <t>F-900847</t>
  </si>
  <si>
    <t>B-500848</t>
  </si>
  <si>
    <t>M-700848</t>
  </si>
  <si>
    <t>F-900848</t>
  </si>
  <si>
    <t>B-500849</t>
  </si>
  <si>
    <t>M-700849</t>
  </si>
  <si>
    <t>F-900849</t>
  </si>
  <si>
    <t>B-500850</t>
  </si>
  <si>
    <t>M-700850</t>
  </si>
  <si>
    <t>F-900850</t>
  </si>
  <si>
    <t>B-500851</t>
  </si>
  <si>
    <t>M-700851</t>
  </si>
  <si>
    <t>F-900851</t>
  </si>
  <si>
    <t>B-500852</t>
  </si>
  <si>
    <t>M-700852</t>
  </si>
  <si>
    <t>F-900852</t>
  </si>
  <si>
    <t>B-500853</t>
  </si>
  <si>
    <t>M-700853</t>
  </si>
  <si>
    <t>F-900853</t>
  </si>
  <si>
    <t>B-500854</t>
  </si>
  <si>
    <t>M-700854</t>
  </si>
  <si>
    <t>F-900854</t>
  </si>
  <si>
    <t>B-500855</t>
  </si>
  <si>
    <t>M-700855</t>
  </si>
  <si>
    <t>F-900855</t>
  </si>
  <si>
    <t>B-500856</t>
  </si>
  <si>
    <t>M-700856</t>
  </si>
  <si>
    <t>F-900856</t>
  </si>
  <si>
    <t>B-500857</t>
  </si>
  <si>
    <t>M-700857</t>
  </si>
  <si>
    <t>F-900857</t>
  </si>
  <si>
    <t>B-500858</t>
  </si>
  <si>
    <t>M-700858</t>
  </si>
  <si>
    <t>F-900858</t>
  </si>
  <si>
    <t>B-500859</t>
  </si>
  <si>
    <t>M-700859</t>
  </si>
  <si>
    <t>F-900859</t>
  </si>
  <si>
    <t>B-500860</t>
  </si>
  <si>
    <t>M-700860</t>
  </si>
  <si>
    <t>F-900860</t>
  </si>
  <si>
    <t>B-500861</t>
  </si>
  <si>
    <t>M-700861</t>
  </si>
  <si>
    <t>F-900861</t>
  </si>
  <si>
    <t>B-500862</t>
  </si>
  <si>
    <t>M-700862</t>
  </si>
  <si>
    <t>F-900862</t>
  </si>
  <si>
    <t>B-500863</t>
  </si>
  <si>
    <t>M-700863</t>
  </si>
  <si>
    <t>F-900863</t>
  </si>
  <si>
    <t>B-500864</t>
  </si>
  <si>
    <t>M-700864</t>
  </si>
  <si>
    <t>F-900864</t>
  </si>
  <si>
    <t>B-500865</t>
  </si>
  <si>
    <t>M-700865</t>
  </si>
  <si>
    <t>F-900865</t>
  </si>
  <si>
    <t>B-500866</t>
  </si>
  <si>
    <t>M-700866</t>
  </si>
  <si>
    <t>F-900866</t>
  </si>
  <si>
    <t>B-500867</t>
  </si>
  <si>
    <t>M-700867</t>
  </si>
  <si>
    <t>F-900867</t>
  </si>
  <si>
    <t>B-500868</t>
  </si>
  <si>
    <t>M-700868</t>
  </si>
  <si>
    <t>F-900868</t>
  </si>
  <si>
    <t>B-500869</t>
  </si>
  <si>
    <t>M-700869</t>
  </si>
  <si>
    <t>F-900869</t>
  </si>
  <si>
    <t>B-500870</t>
  </si>
  <si>
    <t>M-700870</t>
  </si>
  <si>
    <t>F-900870</t>
  </si>
  <si>
    <t>B-500871</t>
  </si>
  <si>
    <t>M-700871</t>
  </si>
  <si>
    <t>F-900871</t>
  </si>
  <si>
    <t>B-500872</t>
  </si>
  <si>
    <t>M-700872</t>
  </si>
  <si>
    <t>F-900872</t>
  </si>
  <si>
    <t>B-500873</t>
  </si>
  <si>
    <t>M-700873</t>
  </si>
  <si>
    <t>F-900873</t>
  </si>
  <si>
    <t>B-500874</t>
  </si>
  <si>
    <t>M-700874</t>
  </si>
  <si>
    <t>F-900874</t>
  </si>
  <si>
    <t>B-500875</t>
  </si>
  <si>
    <t>M-700875</t>
  </si>
  <si>
    <t>F-900875</t>
  </si>
  <si>
    <t>B-500876</t>
  </si>
  <si>
    <t>M-700876</t>
  </si>
  <si>
    <t>F-900876</t>
  </si>
  <si>
    <t>B-500877</t>
  </si>
  <si>
    <t>M-700877</t>
  </si>
  <si>
    <t>F-900877</t>
  </si>
  <si>
    <t>B-500878</t>
  </si>
  <si>
    <t>M-700878</t>
  </si>
  <si>
    <t>F-900878</t>
  </si>
  <si>
    <t>B-500879</t>
  </si>
  <si>
    <t>M-700879</t>
  </si>
  <si>
    <t>F-900879</t>
  </si>
  <si>
    <t>B-500880</t>
  </si>
  <si>
    <t>M-700880</t>
  </si>
  <si>
    <t>F-900880</t>
  </si>
  <si>
    <t>B-500881</t>
  </si>
  <si>
    <t>M-700881</t>
  </si>
  <si>
    <t>F-900881</t>
  </si>
  <si>
    <t>B-500882</t>
  </si>
  <si>
    <t>M-700882</t>
  </si>
  <si>
    <t>F-900882</t>
  </si>
  <si>
    <t>B-500883</t>
  </si>
  <si>
    <t>M-700883</t>
  </si>
  <si>
    <t>F-900883</t>
  </si>
  <si>
    <t>B-500884</t>
  </si>
  <si>
    <t>M-700884</t>
  </si>
  <si>
    <t>F-900884</t>
  </si>
  <si>
    <t>B-500885</t>
  </si>
  <si>
    <t>M-700885</t>
  </si>
  <si>
    <t>F-900885</t>
  </si>
  <si>
    <t>B-500886</t>
  </si>
  <si>
    <t>M-700886</t>
  </si>
  <si>
    <t>F-900886</t>
  </si>
  <si>
    <t>B-500887</t>
  </si>
  <si>
    <t>M-700887</t>
  </si>
  <si>
    <t>F-900887</t>
  </si>
  <si>
    <t>B-500888</t>
  </si>
  <si>
    <t>M-700888</t>
  </si>
  <si>
    <t>F-900888</t>
  </si>
  <si>
    <t>B-500889</t>
  </si>
  <si>
    <t>M-700889</t>
  </si>
  <si>
    <t>F-900889</t>
  </si>
  <si>
    <t>B-500890</t>
  </si>
  <si>
    <t>M-700890</t>
  </si>
  <si>
    <t>F-900890</t>
  </si>
  <si>
    <t>B-500891</t>
  </si>
  <si>
    <t>M-700891</t>
  </si>
  <si>
    <t>F-900891</t>
  </si>
  <si>
    <t>B-500892</t>
  </si>
  <si>
    <t>M-700892</t>
  </si>
  <si>
    <t>F-900892</t>
  </si>
  <si>
    <t>B-500893</t>
  </si>
  <si>
    <t>M-700893</t>
  </si>
  <si>
    <t>F-900893</t>
  </si>
  <si>
    <t>B-500894</t>
  </si>
  <si>
    <t>M-700894</t>
  </si>
  <si>
    <t>F-900894</t>
  </si>
  <si>
    <t>B-500895</t>
  </si>
  <si>
    <t>M-700895</t>
  </si>
  <si>
    <t>F-900895</t>
  </si>
  <si>
    <t>B-500896</t>
  </si>
  <si>
    <t>M-700896</t>
  </si>
  <si>
    <t>F-900896</t>
  </si>
  <si>
    <t>B-500897</t>
  </si>
  <si>
    <t>M-700897</t>
  </si>
  <si>
    <t>F-900897</t>
  </si>
  <si>
    <t>B-500898</t>
  </si>
  <si>
    <t>M-700898</t>
  </si>
  <si>
    <t>F-900898</t>
  </si>
  <si>
    <t>B-500899</t>
  </si>
  <si>
    <t>M-700899</t>
  </si>
  <si>
    <t>F-900899</t>
  </si>
  <si>
    <t>B-500900</t>
  </si>
  <si>
    <t>M-700900</t>
  </si>
  <si>
    <t>F-900900</t>
  </si>
  <si>
    <t>B-500901</t>
  </si>
  <si>
    <t>M-700901</t>
  </si>
  <si>
    <t>F-900901</t>
  </si>
  <si>
    <t>B-500902</t>
  </si>
  <si>
    <t>M-700902</t>
  </si>
  <si>
    <t>F-900902</t>
  </si>
  <si>
    <t>B-500903</t>
  </si>
  <si>
    <t>M-700903</t>
  </si>
  <si>
    <t>F-900903</t>
  </si>
  <si>
    <t>B-500904</t>
  </si>
  <si>
    <t>M-700904</t>
  </si>
  <si>
    <t>F-900904</t>
  </si>
  <si>
    <t>B-500905</t>
  </si>
  <si>
    <t>M-700905</t>
  </si>
  <si>
    <t>F-900905</t>
  </si>
  <si>
    <t>B-500906</t>
  </si>
  <si>
    <t>M-700906</t>
  </si>
  <si>
    <t>F-900906</t>
  </si>
  <si>
    <t>B-500907</t>
  </si>
  <si>
    <t>M-700907</t>
  </si>
  <si>
    <t>F-900907</t>
  </si>
  <si>
    <t>B-500908</t>
  </si>
  <si>
    <t>M-700908</t>
  </si>
  <si>
    <t>F-900908</t>
  </si>
  <si>
    <t>B-500909</t>
  </si>
  <si>
    <t>M-700909</t>
  </si>
  <si>
    <t>F-900909</t>
  </si>
  <si>
    <t>B-500910</t>
  </si>
  <si>
    <t>M-700910</t>
  </si>
  <si>
    <t>F-900910</t>
  </si>
  <si>
    <t>B-500911</t>
  </si>
  <si>
    <t>M-700911</t>
  </si>
  <si>
    <t>F-900911</t>
  </si>
  <si>
    <t>B-500912</t>
  </si>
  <si>
    <t>M-700912</t>
  </si>
  <si>
    <t>F-900912</t>
  </si>
  <si>
    <t>B-500913</t>
  </si>
  <si>
    <t>M-700913</t>
  </si>
  <si>
    <t>F-900913</t>
  </si>
  <si>
    <t>B-500914</t>
  </si>
  <si>
    <t>M-700914</t>
  </si>
  <si>
    <t>F-900914</t>
  </si>
  <si>
    <t>B-500915</t>
  </si>
  <si>
    <t>M-700915</t>
  </si>
  <si>
    <t>F-900915</t>
  </si>
  <si>
    <t>B-500916</t>
  </si>
  <si>
    <t>M-700916</t>
  </si>
  <si>
    <t>F-900916</t>
  </si>
  <si>
    <t>B-500917</t>
  </si>
  <si>
    <t>M-700917</t>
  </si>
  <si>
    <t>F-900917</t>
  </si>
  <si>
    <t>B-500918</t>
  </si>
  <si>
    <t>M-700918</t>
  </si>
  <si>
    <t>F-900918</t>
  </si>
  <si>
    <t>B-500919</t>
  </si>
  <si>
    <t>M-700919</t>
  </si>
  <si>
    <t>F-900919</t>
  </si>
  <si>
    <t>B-500920</t>
  </si>
  <si>
    <t>M-700920</t>
  </si>
  <si>
    <t>F-900920</t>
  </si>
  <si>
    <t>B-500921</t>
  </si>
  <si>
    <t>M-700921</t>
  </si>
  <si>
    <t>F-900921</t>
  </si>
  <si>
    <t>B-500922</t>
  </si>
  <si>
    <t>M-700922</t>
  </si>
  <si>
    <t>F-900922</t>
  </si>
  <si>
    <t>B-500923</t>
  </si>
  <si>
    <t>M-700923</t>
  </si>
  <si>
    <t>F-900923</t>
  </si>
  <si>
    <t>B-500924</t>
  </si>
  <si>
    <t>M-700924</t>
  </si>
  <si>
    <t>F-900924</t>
  </si>
  <si>
    <t>B-500925</t>
  </si>
  <si>
    <t>M-700925</t>
  </si>
  <si>
    <t>F-900925</t>
  </si>
  <si>
    <t>B-500926</t>
  </si>
  <si>
    <t>M-700926</t>
  </si>
  <si>
    <t>F-900926</t>
  </si>
  <si>
    <t>B-500927</t>
  </si>
  <si>
    <t>M-700927</t>
  </si>
  <si>
    <t>F-900927</t>
  </si>
  <si>
    <t>B-500928</t>
  </si>
  <si>
    <t>M-700928</t>
  </si>
  <si>
    <t>F-900928</t>
  </si>
  <si>
    <t>B-500929</t>
  </si>
  <si>
    <t>M-700929</t>
  </si>
  <si>
    <t>F-900929</t>
  </si>
  <si>
    <t>B-500930</t>
  </si>
  <si>
    <t>M-700930</t>
  </si>
  <si>
    <t>F-900930</t>
  </si>
  <si>
    <t>B-500931</t>
  </si>
  <si>
    <t>M-700931</t>
  </si>
  <si>
    <t>F-900931</t>
  </si>
  <si>
    <t>B-500932</t>
  </si>
  <si>
    <t>M-700932</t>
  </si>
  <si>
    <t>F-900932</t>
  </si>
  <si>
    <t>B-500933</t>
  </si>
  <si>
    <t>M-700933</t>
  </si>
  <si>
    <t>F-900933</t>
  </si>
  <si>
    <t>B-500934</t>
  </si>
  <si>
    <t>M-700934</t>
  </si>
  <si>
    <t>F-900934</t>
  </si>
  <si>
    <t>B-500935</t>
  </si>
  <si>
    <t>M-700935</t>
  </si>
  <si>
    <t>F-900935</t>
  </si>
  <si>
    <t>B-500936</t>
  </si>
  <si>
    <t>M-700936</t>
  </si>
  <si>
    <t>F-900936</t>
  </si>
  <si>
    <t>B-500937</t>
  </si>
  <si>
    <t>M-700937</t>
  </si>
  <si>
    <t>F-900937</t>
  </si>
  <si>
    <t>B-500938</t>
  </si>
  <si>
    <t>M-700938</t>
  </si>
  <si>
    <t>F-900938</t>
  </si>
  <si>
    <t>B-500939</t>
  </si>
  <si>
    <t>M-700939</t>
  </si>
  <si>
    <t>F-900939</t>
  </si>
  <si>
    <t>B-500940</t>
  </si>
  <si>
    <t>M-700940</t>
  </si>
  <si>
    <t>F-900940</t>
  </si>
  <si>
    <t>B-500941</t>
  </si>
  <si>
    <t>M-700941</t>
  </si>
  <si>
    <t>F-900941</t>
  </si>
  <si>
    <t>B-500942</t>
  </si>
  <si>
    <t>M-700942</t>
  </si>
  <si>
    <t>F-900942</t>
  </si>
  <si>
    <t>B-500943</t>
  </si>
  <si>
    <t>M-700943</t>
  </si>
  <si>
    <t>F-900943</t>
  </si>
  <si>
    <t>B-500944</t>
  </si>
  <si>
    <t>M-700944</t>
  </si>
  <si>
    <t>F-900944</t>
  </si>
  <si>
    <t>B-500945</t>
  </si>
  <si>
    <t>M-700945</t>
  </si>
  <si>
    <t>F-900945</t>
  </si>
  <si>
    <t>B-500946</t>
  </si>
  <si>
    <t>M-700946</t>
  </si>
  <si>
    <t>F-900946</t>
  </si>
  <si>
    <t>B-500947</t>
  </si>
  <si>
    <t>M-700947</t>
  </si>
  <si>
    <t>F-900947</t>
  </si>
  <si>
    <t>B-500948</t>
  </si>
  <si>
    <t>M-700948</t>
  </si>
  <si>
    <t>F-900948</t>
  </si>
  <si>
    <t>B-500949</t>
  </si>
  <si>
    <t>M-700949</t>
  </si>
  <si>
    <t>F-900949</t>
  </si>
  <si>
    <t>B-500950</t>
  </si>
  <si>
    <t>M-700950</t>
  </si>
  <si>
    <t>F-900950</t>
  </si>
  <si>
    <t>B-500951</t>
  </si>
  <si>
    <t>M-700951</t>
  </si>
  <si>
    <t>F-900951</t>
  </si>
  <si>
    <t>B-500952</t>
  </si>
  <si>
    <t>M-700952</t>
  </si>
  <si>
    <t>F-900952</t>
  </si>
  <si>
    <t>B-500953</t>
  </si>
  <si>
    <t>M-700953</t>
  </si>
  <si>
    <t>F-900953</t>
  </si>
  <si>
    <t>B-500954</t>
  </si>
  <si>
    <t>M-700954</t>
  </si>
  <si>
    <t>F-900954</t>
  </si>
  <si>
    <t>B-500955</t>
  </si>
  <si>
    <t>M-700955</t>
  </si>
  <si>
    <t>F-900955</t>
  </si>
  <si>
    <t>B-500956</t>
  </si>
  <si>
    <t>M-700956</t>
  </si>
  <si>
    <t>F-900956</t>
  </si>
  <si>
    <t>B-500957</t>
  </si>
  <si>
    <t>M-700957</t>
  </si>
  <si>
    <t>F-900957</t>
  </si>
  <si>
    <t>B-500958</t>
  </si>
  <si>
    <t>M-700958</t>
  </si>
  <si>
    <t>F-900958</t>
  </si>
  <si>
    <t>B-500959</t>
  </si>
  <si>
    <t>M-700959</t>
  </si>
  <si>
    <t>F-900959</t>
  </si>
  <si>
    <t>B-500960</t>
  </si>
  <si>
    <t>M-700960</t>
  </si>
  <si>
    <t>F-900960</t>
  </si>
  <si>
    <t>B-500961</t>
  </si>
  <si>
    <t>M-700961</t>
  </si>
  <si>
    <t>F-900961</t>
  </si>
  <si>
    <t>B-500962</t>
  </si>
  <si>
    <t>M-700962</t>
  </si>
  <si>
    <t>F-900962</t>
  </si>
  <si>
    <t>B-500963</t>
  </si>
  <si>
    <t>M-700963</t>
  </si>
  <si>
    <t>F-900963</t>
  </si>
  <si>
    <t>B-500964</t>
  </si>
  <si>
    <t>M-700964</t>
  </si>
  <si>
    <t>F-900964</t>
  </si>
  <si>
    <t>B-500965</t>
  </si>
  <si>
    <t>M-700965</t>
  </si>
  <si>
    <t>F-900965</t>
  </si>
  <si>
    <t>B-500966</t>
  </si>
  <si>
    <t>M-700966</t>
  </si>
  <si>
    <t>F-900966</t>
  </si>
  <si>
    <t>B-500967</t>
  </si>
  <si>
    <t>M-700967</t>
  </si>
  <si>
    <t>F-900967</t>
  </si>
  <si>
    <t>B-500968</t>
  </si>
  <si>
    <t>M-700968</t>
  </si>
  <si>
    <t>F-900968</t>
  </si>
  <si>
    <t>B-500969</t>
  </si>
  <si>
    <t>M-700969</t>
  </si>
  <si>
    <t>F-900969</t>
  </si>
  <si>
    <t>B-500970</t>
  </si>
  <si>
    <t>M-700970</t>
  </si>
  <si>
    <t>F-900970</t>
  </si>
  <si>
    <t>B-500971</t>
  </si>
  <si>
    <t>M-700971</t>
  </si>
  <si>
    <t>F-900971</t>
  </si>
  <si>
    <t>B-500972</t>
  </si>
  <si>
    <t>M-700972</t>
  </si>
  <si>
    <t>F-900972</t>
  </si>
  <si>
    <t>B-500973</t>
  </si>
  <si>
    <t>M-700973</t>
  </si>
  <si>
    <t>F-900973</t>
  </si>
  <si>
    <t>B-500974</t>
  </si>
  <si>
    <t>M-700974</t>
  </si>
  <si>
    <t>F-900974</t>
  </si>
  <si>
    <t>B-500975</t>
  </si>
  <si>
    <t>M-700975</t>
  </si>
  <si>
    <t>F-900975</t>
  </si>
  <si>
    <t>B-500976</t>
  </si>
  <si>
    <t>M-700976</t>
  </si>
  <si>
    <t>F-900976</t>
  </si>
  <si>
    <t>B-500977</t>
  </si>
  <si>
    <t>M-700977</t>
  </si>
  <si>
    <t>F-900977</t>
  </si>
  <si>
    <t>B-500978</t>
  </si>
  <si>
    <t>M-700978</t>
  </si>
  <si>
    <t>F-900978</t>
  </si>
  <si>
    <t>B-500979</t>
  </si>
  <si>
    <t>M-700979</t>
  </si>
  <si>
    <t>F-900979</t>
  </si>
  <si>
    <t>B-500980</t>
  </si>
  <si>
    <t>M-700980</t>
  </si>
  <si>
    <t>F-900980</t>
  </si>
  <si>
    <t>B-500981</t>
  </si>
  <si>
    <t>M-700981</t>
  </si>
  <si>
    <t>F-900981</t>
  </si>
  <si>
    <t>B-500982</t>
  </si>
  <si>
    <t>M-700982</t>
  </si>
  <si>
    <t>F-900982</t>
  </si>
  <si>
    <t>B-500983</t>
  </si>
  <si>
    <t>M-700983</t>
  </si>
  <si>
    <t>F-900983</t>
  </si>
  <si>
    <t>B-500984</t>
  </si>
  <si>
    <t>M-700984</t>
  </si>
  <si>
    <t>F-900984</t>
  </si>
  <si>
    <t>B-500985</t>
  </si>
  <si>
    <t>M-700985</t>
  </si>
  <si>
    <t>F-900985</t>
  </si>
  <si>
    <t>B-500986</t>
  </si>
  <si>
    <t>M-700986</t>
  </si>
  <si>
    <t>F-900986</t>
  </si>
  <si>
    <t>B-500987</t>
  </si>
  <si>
    <t>M-700987</t>
  </si>
  <si>
    <t>F-900987</t>
  </si>
  <si>
    <t>B-500988</t>
  </si>
  <si>
    <t>M-700988</t>
  </si>
  <si>
    <t>F-900988</t>
  </si>
  <si>
    <t>B-500989</t>
  </si>
  <si>
    <t>M-700989</t>
  </si>
  <si>
    <t>F-900989</t>
  </si>
  <si>
    <t>B-500990</t>
  </si>
  <si>
    <t>M-700990</t>
  </si>
  <si>
    <t>F-900990</t>
  </si>
  <si>
    <t>B-500991</t>
  </si>
  <si>
    <t>M-700991</t>
  </si>
  <si>
    <t>F-900991</t>
  </si>
  <si>
    <t>B-500992</t>
  </si>
  <si>
    <t>M-700992</t>
  </si>
  <si>
    <t>F-900992</t>
  </si>
  <si>
    <t>B-500993</t>
  </si>
  <si>
    <t>M-700993</t>
  </si>
  <si>
    <t>F-900993</t>
  </si>
  <si>
    <t>B-500994</t>
  </si>
  <si>
    <t>M-700994</t>
  </si>
  <si>
    <t>F-900994</t>
  </si>
  <si>
    <t>B-500995</t>
  </si>
  <si>
    <t>M-700995</t>
  </si>
  <si>
    <t>F-900995</t>
  </si>
  <si>
    <t>B-500996</t>
  </si>
  <si>
    <t>M-700996</t>
  </si>
  <si>
    <t>F-900996</t>
  </si>
  <si>
    <t>B-500997</t>
  </si>
  <si>
    <t>M-700997</t>
  </si>
  <si>
    <t>F-900997</t>
  </si>
  <si>
    <t>B-500998</t>
  </si>
  <si>
    <t>M-700998</t>
  </si>
  <si>
    <t>F-900998</t>
  </si>
  <si>
    <t>B-500999</t>
  </si>
  <si>
    <t>M-700999</t>
  </si>
  <si>
    <t>F-900999</t>
  </si>
  <si>
    <t>B-501000</t>
  </si>
  <si>
    <t>M-701000</t>
  </si>
  <si>
    <t>F-901000</t>
  </si>
  <si>
    <t>B-501001</t>
  </si>
  <si>
    <t>M-701001</t>
  </si>
  <si>
    <t>F-901001</t>
  </si>
  <si>
    <t>B-501002</t>
  </si>
  <si>
    <t>M-701002</t>
  </si>
  <si>
    <t>F-901002</t>
  </si>
  <si>
    <t>B-501003</t>
  </si>
  <si>
    <t>M-701003</t>
  </si>
  <si>
    <t>F-901003</t>
  </si>
  <si>
    <t>B-501004</t>
  </si>
  <si>
    <t>M-701004</t>
  </si>
  <si>
    <t>F-901004</t>
  </si>
  <si>
    <t>B-501005</t>
  </si>
  <si>
    <t>M-701005</t>
  </si>
  <si>
    <t>F-901005</t>
  </si>
  <si>
    <t>B-501006</t>
  </si>
  <si>
    <t>M-701006</t>
  </si>
  <si>
    <t>F-901006</t>
  </si>
  <si>
    <t>B-501007</t>
  </si>
  <si>
    <t>M-701007</t>
  </si>
  <si>
    <t>F-901007</t>
  </si>
  <si>
    <t>B-501008</t>
  </si>
  <si>
    <t>M-701008</t>
  </si>
  <si>
    <t>F-901008</t>
  </si>
  <si>
    <t>B-501009</t>
  </si>
  <si>
    <t>M-701009</t>
  </si>
  <si>
    <t>F-901009</t>
  </si>
  <si>
    <t>B-501010</t>
  </si>
  <si>
    <t>M-701010</t>
  </si>
  <si>
    <t>F-901010</t>
  </si>
  <si>
    <t>B-501011</t>
  </si>
  <si>
    <t>M-701011</t>
  </si>
  <si>
    <t>F-901011</t>
  </si>
  <si>
    <t>B-501012</t>
  </si>
  <si>
    <t>M-701012</t>
  </si>
  <si>
    <t>F-901012</t>
  </si>
  <si>
    <t>B-501013</t>
  </si>
  <si>
    <t>M-701013</t>
  </si>
  <si>
    <t>F-901013</t>
  </si>
  <si>
    <t>B-501014</t>
  </si>
  <si>
    <t>M-701014</t>
  </si>
  <si>
    <t>F-901014</t>
  </si>
  <si>
    <t>B-501015</t>
  </si>
  <si>
    <t>M-701015</t>
  </si>
  <si>
    <t>F-901015</t>
  </si>
  <si>
    <t>B-501016</t>
  </si>
  <si>
    <t>M-701016</t>
  </si>
  <si>
    <t>F-901016</t>
  </si>
  <si>
    <t>B-501017</t>
  </si>
  <si>
    <t>M-701017</t>
  </si>
  <si>
    <t>F-901017</t>
  </si>
  <si>
    <t>B-501018</t>
  </si>
  <si>
    <t>M-701018</t>
  </si>
  <si>
    <t>F-901018</t>
  </si>
  <si>
    <t>B-501019</t>
  </si>
  <si>
    <t>M-701019</t>
  </si>
  <si>
    <t>F-901019</t>
  </si>
  <si>
    <t>B-501020</t>
  </si>
  <si>
    <t>M-701020</t>
  </si>
  <si>
    <t>F-901020</t>
  </si>
  <si>
    <t>B-501021</t>
  </si>
  <si>
    <t>M-701021</t>
  </si>
  <si>
    <t>F-901021</t>
  </si>
  <si>
    <t>B-501022</t>
  </si>
  <si>
    <t>M-701022</t>
  </si>
  <si>
    <t>F-901022</t>
  </si>
  <si>
    <t>B-501023</t>
  </si>
  <si>
    <t>M-701023</t>
  </si>
  <si>
    <t>F-901023</t>
  </si>
  <si>
    <t>B-501024</t>
  </si>
  <si>
    <t>M-701024</t>
  </si>
  <si>
    <t>F-901024</t>
  </si>
  <si>
    <t>B-501025</t>
  </si>
  <si>
    <t>M-701025</t>
  </si>
  <si>
    <t>F-901025</t>
  </si>
  <si>
    <t>B-501026</t>
  </si>
  <si>
    <t>M-701026</t>
  </si>
  <si>
    <t>F-901026</t>
  </si>
  <si>
    <t>B-501027</t>
  </si>
  <si>
    <t>M-701027</t>
  </si>
  <si>
    <t>F-901027</t>
  </si>
  <si>
    <t>B-501028</t>
  </si>
  <si>
    <t>M-701028</t>
  </si>
  <si>
    <t>F-901028</t>
  </si>
  <si>
    <t>B-501029</t>
  </si>
  <si>
    <t>M-701029</t>
  </si>
  <si>
    <t>F-901029</t>
  </si>
  <si>
    <t>B-501030</t>
  </si>
  <si>
    <t>M-701030</t>
  </si>
  <si>
    <t>F-901030</t>
  </si>
  <si>
    <t>B-501031</t>
  </si>
  <si>
    <t>M-701031</t>
  </si>
  <si>
    <t>F-901031</t>
  </si>
  <si>
    <t>B-501032</t>
  </si>
  <si>
    <t>M-701032</t>
  </si>
  <si>
    <t>F-901032</t>
  </si>
  <si>
    <t>B-501033</t>
  </si>
  <si>
    <t>M-701033</t>
  </si>
  <si>
    <t>F-901033</t>
  </si>
  <si>
    <t>B-501034</t>
  </si>
  <si>
    <t>M-701034</t>
  </si>
  <si>
    <t>F-901034</t>
  </si>
  <si>
    <t>B-501035</t>
  </si>
  <si>
    <t>M-701035</t>
  </si>
  <si>
    <t>F-901035</t>
  </si>
  <si>
    <t>B-501036</t>
  </si>
  <si>
    <t>M-701036</t>
  </si>
  <si>
    <t>F-901036</t>
  </si>
  <si>
    <t>B-501037</t>
  </si>
  <si>
    <t>M-701037</t>
  </si>
  <si>
    <t>F-901037</t>
  </si>
  <si>
    <t>B-501038</t>
  </si>
  <si>
    <t>M-701038</t>
  </si>
  <si>
    <t>F-901038</t>
  </si>
  <si>
    <t>B-501039</t>
  </si>
  <si>
    <t>M-701039</t>
  </si>
  <si>
    <t>F-901039</t>
  </si>
  <si>
    <t>B-501040</t>
  </si>
  <si>
    <t>M-701040</t>
  </si>
  <si>
    <t>F-901040</t>
  </si>
  <si>
    <t>B-501041</t>
  </si>
  <si>
    <t>M-701041</t>
  </si>
  <si>
    <t>F-901041</t>
  </si>
  <si>
    <t>B-501042</t>
  </si>
  <si>
    <t>M-701042</t>
  </si>
  <si>
    <t>F-901042</t>
  </si>
  <si>
    <t>B-501043</t>
  </si>
  <si>
    <t>M-701043</t>
  </si>
  <si>
    <t>F-901043</t>
  </si>
  <si>
    <t>B-501044</t>
  </si>
  <si>
    <t>M-701044</t>
  </si>
  <si>
    <t>F-901044</t>
  </si>
  <si>
    <t>B-501045</t>
  </si>
  <si>
    <t>M-701045</t>
  </si>
  <si>
    <t>F-901045</t>
  </si>
  <si>
    <t>B-501046</t>
  </si>
  <si>
    <t>M-701046</t>
  </si>
  <si>
    <t>F-901046</t>
  </si>
  <si>
    <t>B-501047</t>
  </si>
  <si>
    <t>M-701047</t>
  </si>
  <si>
    <t>F-901047</t>
  </si>
  <si>
    <t>B-501048</t>
  </si>
  <si>
    <t>M-701048</t>
  </si>
  <si>
    <t>F-901048</t>
  </si>
  <si>
    <t>B-501049</t>
  </si>
  <si>
    <t>M-701049</t>
  </si>
  <si>
    <t>F-901049</t>
  </si>
  <si>
    <t>B-501050</t>
  </si>
  <si>
    <t>M-701050</t>
  </si>
  <si>
    <t>F-901050</t>
  </si>
  <si>
    <t>B-501051</t>
  </si>
  <si>
    <t>M-701051</t>
  </si>
  <si>
    <t>F-901051</t>
  </si>
  <si>
    <t>B-501052</t>
  </si>
  <si>
    <t>M-701052</t>
  </si>
  <si>
    <t>F-901052</t>
  </si>
  <si>
    <t>B-501053</t>
  </si>
  <si>
    <t>M-701053</t>
  </si>
  <si>
    <t>F-901053</t>
  </si>
  <si>
    <t>B-501054</t>
  </si>
  <si>
    <t>M-701054</t>
  </si>
  <si>
    <t>F-901054</t>
  </si>
  <si>
    <t>B-501055</t>
  </si>
  <si>
    <t>M-701055</t>
  </si>
  <si>
    <t>F-901055</t>
  </si>
  <si>
    <t>B-501056</t>
  </si>
  <si>
    <t>M-701056</t>
  </si>
  <si>
    <t>F-901056</t>
  </si>
  <si>
    <t>B-501057</t>
  </si>
  <si>
    <t>M-701057</t>
  </si>
  <si>
    <t>F-901057</t>
  </si>
  <si>
    <t>B-501058</t>
  </si>
  <si>
    <t>M-701058</t>
  </si>
  <si>
    <t>F-901058</t>
  </si>
  <si>
    <t>B-501059</t>
  </si>
  <si>
    <t>M-701059</t>
  </si>
  <si>
    <t>F-901059</t>
  </si>
  <si>
    <t>B-501060</t>
  </si>
  <si>
    <t>M-701060</t>
  </si>
  <si>
    <t>F-901060</t>
  </si>
  <si>
    <t>B-501061</t>
  </si>
  <si>
    <t>M-701061</t>
  </si>
  <si>
    <t>F-901061</t>
  </si>
  <si>
    <t>B-501062</t>
  </si>
  <si>
    <t>M-701062</t>
  </si>
  <si>
    <t>F-901062</t>
  </si>
  <si>
    <t>B-501063</t>
  </si>
  <si>
    <t>M-701063</t>
  </si>
  <si>
    <t>F-901063</t>
  </si>
  <si>
    <t>B-501064</t>
  </si>
  <si>
    <t>M-701064</t>
  </si>
  <si>
    <t>F-901064</t>
  </si>
  <si>
    <t>B-501065</t>
  </si>
  <si>
    <t>M-701065</t>
  </si>
  <si>
    <t>F-901065</t>
  </si>
  <si>
    <t>B-501066</t>
  </si>
  <si>
    <t>M-701066</t>
  </si>
  <si>
    <t>F-901066</t>
  </si>
  <si>
    <t>B-501067</t>
  </si>
  <si>
    <t>M-701067</t>
  </si>
  <si>
    <t>F-901067</t>
  </si>
  <si>
    <t>B-501068</t>
  </si>
  <si>
    <t>M-701068</t>
  </si>
  <si>
    <t>F-901068</t>
  </si>
  <si>
    <t>B-501069</t>
  </si>
  <si>
    <t>M-701069</t>
  </si>
  <si>
    <t>F-901069</t>
  </si>
  <si>
    <t>B-501070</t>
  </si>
  <si>
    <t>M-701070</t>
  </si>
  <si>
    <t>F-901070</t>
  </si>
  <si>
    <t>B-501071</t>
  </si>
  <si>
    <t>M-701071</t>
  </si>
  <si>
    <t>F-901071</t>
  </si>
  <si>
    <t>B-501072</t>
  </si>
  <si>
    <t>M-701072</t>
  </si>
  <si>
    <t>F-901072</t>
  </si>
  <si>
    <t>B-501073</t>
  </si>
  <si>
    <t>M-701073</t>
  </si>
  <si>
    <t>F-901073</t>
  </si>
  <si>
    <t>B-501074</t>
  </si>
  <si>
    <t>M-701074</t>
  </si>
  <si>
    <t>F-901074</t>
  </si>
  <si>
    <t>B-501075</t>
  </si>
  <si>
    <t>M-701075</t>
  </si>
  <si>
    <t>F-901075</t>
  </si>
  <si>
    <t>B-501076</t>
  </si>
  <si>
    <t>M-701076</t>
  </si>
  <si>
    <t>F-901076</t>
  </si>
  <si>
    <t>B-501077</t>
  </si>
  <si>
    <t>M-701077</t>
  </si>
  <si>
    <t>F-901077</t>
  </si>
  <si>
    <t>B-501078</t>
  </si>
  <si>
    <t>M-701078</t>
  </si>
  <si>
    <t>F-901078</t>
  </si>
  <si>
    <t>B-501079</t>
  </si>
  <si>
    <t>M-701079</t>
  </si>
  <si>
    <t>F-901079</t>
  </si>
  <si>
    <t>B-501080</t>
  </si>
  <si>
    <t>M-701080</t>
  </si>
  <si>
    <t>F-901080</t>
  </si>
  <si>
    <t>B-501081</t>
  </si>
  <si>
    <t>M-701081</t>
  </si>
  <si>
    <t>F-901081</t>
  </si>
  <si>
    <t>B-501082</t>
  </si>
  <si>
    <t>M-701082</t>
  </si>
  <si>
    <t>F-901082</t>
  </si>
  <si>
    <t>B-501083</t>
  </si>
  <si>
    <t>M-701083</t>
  </si>
  <si>
    <t>F-901083</t>
  </si>
  <si>
    <t>B-501084</t>
  </si>
  <si>
    <t>M-701084</t>
  </si>
  <si>
    <t>F-901084</t>
  </si>
  <si>
    <t>B-501085</t>
  </si>
  <si>
    <t>M-701085</t>
  </si>
  <si>
    <t>F-901085</t>
  </si>
  <si>
    <t>B-501086</t>
  </si>
  <si>
    <t>M-701086</t>
  </si>
  <si>
    <t>F-901086</t>
  </si>
  <si>
    <t>B-501087</t>
  </si>
  <si>
    <t>M-701087</t>
  </si>
  <si>
    <t>F-901087</t>
  </si>
  <si>
    <t>B-501088</t>
  </si>
  <si>
    <t>M-701088</t>
  </si>
  <si>
    <t>F-901088</t>
  </si>
  <si>
    <t>B-501089</t>
  </si>
  <si>
    <t>M-701089</t>
  </si>
  <si>
    <t>F-901089</t>
  </si>
  <si>
    <t>B-501090</t>
  </si>
  <si>
    <t>M-701090</t>
  </si>
  <si>
    <t>F-901090</t>
  </si>
  <si>
    <t>B-501091</t>
  </si>
  <si>
    <t>M-701091</t>
  </si>
  <si>
    <t>F-901091</t>
  </si>
  <si>
    <t>B-501092</t>
  </si>
  <si>
    <t>M-701092</t>
  </si>
  <si>
    <t>F-901092</t>
  </si>
  <si>
    <t>B-501093</t>
  </si>
  <si>
    <t>M-701093</t>
  </si>
  <si>
    <t>F-901093</t>
  </si>
  <si>
    <t>B-501094</t>
  </si>
  <si>
    <t>M-701094</t>
  </si>
  <si>
    <t>F-901094</t>
  </si>
  <si>
    <t>B-501095</t>
  </si>
  <si>
    <t>M-701095</t>
  </si>
  <si>
    <t>F-901095</t>
  </si>
  <si>
    <t>B-501096</t>
  </si>
  <si>
    <t>M-701096</t>
  </si>
  <si>
    <t>F-901096</t>
  </si>
  <si>
    <t>B-501097</t>
  </si>
  <si>
    <t>M-701097</t>
  </si>
  <si>
    <t>F-901097</t>
  </si>
  <si>
    <t>B-501098</t>
  </si>
  <si>
    <t>M-701098</t>
  </si>
  <si>
    <t>F-901098</t>
  </si>
  <si>
    <t>B-501099</t>
  </si>
  <si>
    <t>M-701099</t>
  </si>
  <si>
    <t>F-901099</t>
  </si>
  <si>
    <t>B-501100</t>
  </si>
  <si>
    <t>M-701100</t>
  </si>
  <si>
    <t>F-901100</t>
  </si>
  <si>
    <t>B-501101</t>
  </si>
  <si>
    <t>M-701101</t>
  </si>
  <si>
    <t>F-901101</t>
  </si>
  <si>
    <t>B-501102</t>
  </si>
  <si>
    <t>M-701102</t>
  </si>
  <si>
    <t>F-901102</t>
  </si>
  <si>
    <t>B-501103</t>
  </si>
  <si>
    <t>M-701103</t>
  </si>
  <si>
    <t>F-901103</t>
  </si>
  <si>
    <t>B-501104</t>
  </si>
  <si>
    <t>M-701104</t>
  </si>
  <si>
    <t>F-901104</t>
  </si>
  <si>
    <t>B-501105</t>
  </si>
  <si>
    <t>M-701105</t>
  </si>
  <si>
    <t>F-901105</t>
  </si>
  <si>
    <t>B-501106</t>
  </si>
  <si>
    <t>M-701106</t>
  </si>
  <si>
    <t>F-901106</t>
  </si>
  <si>
    <t>B-501107</t>
  </si>
  <si>
    <t>M-701107</t>
  </si>
  <si>
    <t>F-901107</t>
  </si>
  <si>
    <t>B-501108</t>
  </si>
  <si>
    <t>M-701108</t>
  </si>
  <si>
    <t>F-901108</t>
  </si>
  <si>
    <t>B-501109</t>
  </si>
  <si>
    <t>M-701109</t>
  </si>
  <si>
    <t>F-901109</t>
  </si>
  <si>
    <t>B-501110</t>
  </si>
  <si>
    <t>M-701110</t>
  </si>
  <si>
    <t>F-901110</t>
  </si>
  <si>
    <t>B-501111</t>
  </si>
  <si>
    <t>M-701111</t>
  </si>
  <si>
    <t>F-901111</t>
  </si>
  <si>
    <t>B-501112</t>
  </si>
  <si>
    <t>M-701112</t>
  </si>
  <si>
    <t>F-901112</t>
  </si>
  <si>
    <t>B-501113</t>
  </si>
  <si>
    <t>M-701113</t>
  </si>
  <si>
    <t>F-901113</t>
  </si>
  <si>
    <t>B-501114</t>
  </si>
  <si>
    <t>M-701114</t>
  </si>
  <si>
    <t>F-901114</t>
  </si>
  <si>
    <t>B-501115</t>
  </si>
  <si>
    <t>M-701115</t>
  </si>
  <si>
    <t>F-901115</t>
  </si>
  <si>
    <t>B-501116</t>
  </si>
  <si>
    <t>M-701116</t>
  </si>
  <si>
    <t>F-901116</t>
  </si>
  <si>
    <t>B-501117</t>
  </si>
  <si>
    <t>M-701117</t>
  </si>
  <si>
    <t>F-901117</t>
  </si>
  <si>
    <t>B-501118</t>
  </si>
  <si>
    <t>M-701118</t>
  </si>
  <si>
    <t>F-901118</t>
  </si>
  <si>
    <t>B-501119</t>
  </si>
  <si>
    <t>M-701119</t>
  </si>
  <si>
    <t>F-901119</t>
  </si>
  <si>
    <t>B-501120</t>
  </si>
  <si>
    <t>M-701120</t>
  </si>
  <si>
    <t>F-901120</t>
  </si>
  <si>
    <t>B-501121</t>
  </si>
  <si>
    <t>M-701121</t>
  </si>
  <si>
    <t>F-901121</t>
  </si>
  <si>
    <t>B-501122</t>
  </si>
  <si>
    <t>M-701122</t>
  </si>
  <si>
    <t>F-901122</t>
  </si>
  <si>
    <t>B-501123</t>
  </si>
  <si>
    <t>M-701123</t>
  </si>
  <si>
    <t>F-901123</t>
  </si>
  <si>
    <t>B-501124</t>
  </si>
  <si>
    <t>M-701124</t>
  </si>
  <si>
    <t>F-901124</t>
  </si>
  <si>
    <t>B-501125</t>
  </si>
  <si>
    <t>M-701125</t>
  </si>
  <si>
    <t>F-901125</t>
  </si>
  <si>
    <t>B-501126</t>
  </si>
  <si>
    <t>M-701126</t>
  </si>
  <si>
    <t>F-901126</t>
  </si>
  <si>
    <t>B-501127</t>
  </si>
  <si>
    <t>M-701127</t>
  </si>
  <si>
    <t>F-901127</t>
  </si>
  <si>
    <t>B-501128</t>
  </si>
  <si>
    <t>M-701128</t>
  </si>
  <si>
    <t>F-901128</t>
  </si>
  <si>
    <t>B-501129</t>
  </si>
  <si>
    <t>M-701129</t>
  </si>
  <si>
    <t>F-901129</t>
  </si>
  <si>
    <t>B-501130</t>
  </si>
  <si>
    <t>M-701130</t>
  </si>
  <si>
    <t>F-901130</t>
  </si>
  <si>
    <t>B-501131</t>
  </si>
  <si>
    <t>M-701131</t>
  </si>
  <si>
    <t>F-901131</t>
  </si>
  <si>
    <t>B-501132</t>
  </si>
  <si>
    <t>M-701132</t>
  </si>
  <si>
    <t>F-901132</t>
  </si>
  <si>
    <t>B-501133</t>
  </si>
  <si>
    <t>M-701133</t>
  </si>
  <si>
    <t>F-901133</t>
  </si>
  <si>
    <t>B-501134</t>
  </si>
  <si>
    <t>M-701134</t>
  </si>
  <si>
    <t>F-901134</t>
  </si>
  <si>
    <t>B-501135</t>
  </si>
  <si>
    <t>M-701135</t>
  </si>
  <si>
    <t>F-901135</t>
  </si>
  <si>
    <t>B-501136</t>
  </si>
  <si>
    <t>M-701136</t>
  </si>
  <si>
    <t>F-901136</t>
  </si>
  <si>
    <t>B-501137</t>
  </si>
  <si>
    <t>M-701137</t>
  </si>
  <si>
    <t>F-901137</t>
  </si>
  <si>
    <t>B-501138</t>
  </si>
  <si>
    <t>M-701138</t>
  </si>
  <si>
    <t>F-901138</t>
  </si>
  <si>
    <t>B-501139</t>
  </si>
  <si>
    <t>M-701139</t>
  </si>
  <si>
    <t>F-901139</t>
  </si>
  <si>
    <t>B-501140</t>
  </si>
  <si>
    <t>M-701140</t>
  </si>
  <si>
    <t>F-901140</t>
  </si>
  <si>
    <t>B-501141</t>
  </si>
  <si>
    <t>M-701141</t>
  </si>
  <si>
    <t>F-901141</t>
  </si>
  <si>
    <t>B-501142</t>
  </si>
  <si>
    <t>M-701142</t>
  </si>
  <si>
    <t>F-901142</t>
  </si>
  <si>
    <t>B-501143</t>
  </si>
  <si>
    <t>M-701143</t>
  </si>
  <si>
    <t>F-901143</t>
  </si>
  <si>
    <t>B-501144</t>
  </si>
  <si>
    <t>M-701144</t>
  </si>
  <si>
    <t>F-901144</t>
  </si>
  <si>
    <t>B-501145</t>
  </si>
  <si>
    <t>M-701145</t>
  </si>
  <si>
    <t>F-901145</t>
  </si>
  <si>
    <t>B-501146</t>
  </si>
  <si>
    <t>M-701146</t>
  </si>
  <si>
    <t>F-901146</t>
  </si>
  <si>
    <t>B-501147</t>
  </si>
  <si>
    <t>M-701147</t>
  </si>
  <si>
    <t>F-901147</t>
  </si>
  <si>
    <t>B-501148</t>
  </si>
  <si>
    <t>M-701148</t>
  </si>
  <si>
    <t>F-901148</t>
  </si>
  <si>
    <t>B-501149</t>
  </si>
  <si>
    <t>M-701149</t>
  </si>
  <si>
    <t>F-901149</t>
  </si>
  <si>
    <t>B-501150</t>
  </si>
  <si>
    <t>M-701150</t>
  </si>
  <si>
    <t>F-901150</t>
  </si>
  <si>
    <t>B-501151</t>
  </si>
  <si>
    <t>M-701151</t>
  </si>
  <si>
    <t>F-901151</t>
  </si>
  <si>
    <t>B-501152</t>
  </si>
  <si>
    <t>M-701152</t>
  </si>
  <si>
    <t>F-901152</t>
  </si>
  <si>
    <t>B-501153</t>
  </si>
  <si>
    <t>M-701153</t>
  </si>
  <si>
    <t>F-901153</t>
  </si>
  <si>
    <t>B-501154</t>
  </si>
  <si>
    <t>M-701154</t>
  </si>
  <si>
    <t>F-901154</t>
  </si>
  <si>
    <t>B-501155</t>
  </si>
  <si>
    <t>M-701155</t>
  </si>
  <si>
    <t>F-901155</t>
  </si>
  <si>
    <t>B-501156</t>
  </si>
  <si>
    <t>M-701156</t>
  </si>
  <si>
    <t>F-901156</t>
  </si>
  <si>
    <t>B-501157</t>
  </si>
  <si>
    <t>M-701157</t>
  </si>
  <si>
    <t>F-901157</t>
  </si>
  <si>
    <t>B-501158</t>
  </si>
  <si>
    <t>M-701158</t>
  </si>
  <si>
    <t>F-901158</t>
  </si>
  <si>
    <t>B-501159</t>
  </si>
  <si>
    <t>M-701159</t>
  </si>
  <si>
    <t>F-901159</t>
  </si>
  <si>
    <t>B-501160</t>
  </si>
  <si>
    <t>M-701160</t>
  </si>
  <si>
    <t>F-901160</t>
  </si>
  <si>
    <t>B-501161</t>
  </si>
  <si>
    <t>M-701161</t>
  </si>
  <si>
    <t>F-901161</t>
  </si>
  <si>
    <t>B-501162</t>
  </si>
  <si>
    <t>M-701162</t>
  </si>
  <si>
    <t>F-901162</t>
  </si>
  <si>
    <t>B-501163</t>
  </si>
  <si>
    <t>M-701163</t>
  </si>
  <si>
    <t>F-901163</t>
  </si>
  <si>
    <t>B-501164</t>
  </si>
  <si>
    <t>M-701164</t>
  </si>
  <si>
    <t>F-901164</t>
  </si>
  <si>
    <t>B-501165</t>
  </si>
  <si>
    <t>M-701165</t>
  </si>
  <si>
    <t>F-901165</t>
  </si>
  <si>
    <t>B-501166</t>
  </si>
  <si>
    <t>M-701166</t>
  </si>
  <si>
    <t>F-901166</t>
  </si>
  <si>
    <t>B-501167</t>
  </si>
  <si>
    <t>M-701167</t>
  </si>
  <si>
    <t>F-901167</t>
  </si>
  <si>
    <t>B-501168</t>
  </si>
  <si>
    <t>M-701168</t>
  </si>
  <si>
    <t>F-901168</t>
  </si>
  <si>
    <t>B-501169</t>
  </si>
  <si>
    <t>M-701169</t>
  </si>
  <si>
    <t>F-901169</t>
  </si>
  <si>
    <t>B-501170</t>
  </si>
  <si>
    <t>M-701170</t>
  </si>
  <si>
    <t>F-901170</t>
  </si>
  <si>
    <t>B-501171</t>
  </si>
  <si>
    <t>M-701171</t>
  </si>
  <si>
    <t>F-901171</t>
  </si>
  <si>
    <t>B-501172</t>
  </si>
  <si>
    <t>M-701172</t>
  </si>
  <si>
    <t>F-901172</t>
  </si>
  <si>
    <t>B-501173</t>
  </si>
  <si>
    <t>M-701173</t>
  </si>
  <si>
    <t>F-901173</t>
  </si>
  <si>
    <t>B-501174</t>
  </si>
  <si>
    <t>M-701174</t>
  </si>
  <si>
    <t>F-901174</t>
  </si>
  <si>
    <t>B-501175</t>
  </si>
  <si>
    <t>M-701175</t>
  </si>
  <si>
    <t>F-901175</t>
  </si>
  <si>
    <t>B-501176</t>
  </si>
  <si>
    <t>M-701176</t>
  </si>
  <si>
    <t>F-901176</t>
  </si>
  <si>
    <t>B-501177</t>
  </si>
  <si>
    <t>M-701177</t>
  </si>
  <si>
    <t>F-901177</t>
  </si>
  <si>
    <t>B-501178</t>
  </si>
  <si>
    <t>M-701178</t>
  </si>
  <si>
    <t>F-901178</t>
  </si>
  <si>
    <t>B-501179</t>
  </si>
  <si>
    <t>M-701179</t>
  </si>
  <si>
    <t>F-901179</t>
  </si>
  <si>
    <t>B-501180</t>
  </si>
  <si>
    <t>M-701180</t>
  </si>
  <si>
    <t>F-901180</t>
  </si>
  <si>
    <t>B-501181</t>
  </si>
  <si>
    <t>M-701181</t>
  </si>
  <si>
    <t>F-901181</t>
  </si>
  <si>
    <t>B-501182</t>
  </si>
  <si>
    <t>M-701182</t>
  </si>
  <si>
    <t>F-901182</t>
  </si>
  <si>
    <t>B-501183</t>
  </si>
  <si>
    <t>M-701183</t>
  </si>
  <si>
    <t>F-901183</t>
  </si>
  <si>
    <t>B-501184</t>
  </si>
  <si>
    <t>M-701184</t>
  </si>
  <si>
    <t>F-901184</t>
  </si>
  <si>
    <t>B-501185</t>
  </si>
  <si>
    <t>M-701185</t>
  </si>
  <si>
    <t>F-901185</t>
  </si>
  <si>
    <t>B-501186</t>
  </si>
  <si>
    <t>M-701186</t>
  </si>
  <si>
    <t>F-901186</t>
  </si>
  <si>
    <t>B-501187</t>
  </si>
  <si>
    <t>M-701187</t>
  </si>
  <si>
    <t>F-901187</t>
  </si>
  <si>
    <t>B-501188</t>
  </si>
  <si>
    <t>M-701188</t>
  </si>
  <si>
    <t>F-901188</t>
  </si>
  <si>
    <t>B-501189</t>
  </si>
  <si>
    <t>M-701189</t>
  </si>
  <si>
    <t>F-901189</t>
  </si>
  <si>
    <t>B-501190</t>
  </si>
  <si>
    <t>M-701190</t>
  </si>
  <si>
    <t>F-901190</t>
  </si>
  <si>
    <t>B-501191</t>
  </si>
  <si>
    <t>M-701191</t>
  </si>
  <si>
    <t>F-901191</t>
  </si>
  <si>
    <t>B-501192</t>
  </si>
  <si>
    <t>M-701192</t>
  </si>
  <si>
    <t>F-901192</t>
  </si>
  <si>
    <t>B-501193</t>
  </si>
  <si>
    <t>M-701193</t>
  </si>
  <si>
    <t>F-901193</t>
  </si>
  <si>
    <t>B-501194</t>
  </si>
  <si>
    <t>M-701194</t>
  </si>
  <si>
    <t>F-901194</t>
  </si>
  <si>
    <t>B-501195</t>
  </si>
  <si>
    <t>M-701195</t>
  </si>
  <si>
    <t>F-901195</t>
  </si>
  <si>
    <t>B-501196</t>
  </si>
  <si>
    <t>M-701196</t>
  </si>
  <si>
    <t>F-901196</t>
  </si>
  <si>
    <t>B-501197</t>
  </si>
  <si>
    <t>M-701197</t>
  </si>
  <si>
    <t>F-901197</t>
  </si>
  <si>
    <t>B-501198</t>
  </si>
  <si>
    <t>M-701198</t>
  </si>
  <si>
    <t>F-901198</t>
  </si>
  <si>
    <t>B-501199</t>
  </si>
  <si>
    <t>M-701199</t>
  </si>
  <si>
    <t>F-901199</t>
  </si>
  <si>
    <t>B-501200</t>
  </si>
  <si>
    <t>M-701200</t>
  </si>
  <si>
    <t>F-901200</t>
  </si>
  <si>
    <t>B-501201</t>
  </si>
  <si>
    <t>M-701201</t>
  </si>
  <si>
    <t>F-901201</t>
  </si>
  <si>
    <t>B-501202</t>
  </si>
  <si>
    <t>M-701202</t>
  </si>
  <si>
    <t>F-901202</t>
  </si>
  <si>
    <t>B-501203</t>
  </si>
  <si>
    <t>M-701203</t>
  </si>
  <si>
    <t>F-901203</t>
  </si>
  <si>
    <t>B-501204</t>
  </si>
  <si>
    <t>M-701204</t>
  </si>
  <si>
    <t>F-901204</t>
  </si>
  <si>
    <t>B-501205</t>
  </si>
  <si>
    <t>M-701205</t>
  </si>
  <si>
    <t>F-901205</t>
  </si>
  <si>
    <t>B-501206</t>
  </si>
  <si>
    <t>M-701206</t>
  </si>
  <si>
    <t>F-901206</t>
  </si>
  <si>
    <t>B-501207</t>
  </si>
  <si>
    <t>M-701207</t>
  </si>
  <si>
    <t>F-901207</t>
  </si>
  <si>
    <t>B-501208</t>
  </si>
  <si>
    <t>M-701208</t>
  </si>
  <si>
    <t>F-901208</t>
  </si>
  <si>
    <t>B-501209</t>
  </si>
  <si>
    <t>M-701209</t>
  </si>
  <si>
    <t>F-901209</t>
  </si>
  <si>
    <t>B-501210</t>
  </si>
  <si>
    <t>M-701210</t>
  </si>
  <si>
    <t>F-901210</t>
  </si>
  <si>
    <t>B-501211</t>
  </si>
  <si>
    <t>M-701211</t>
  </si>
  <si>
    <t>F-901211</t>
  </si>
  <si>
    <t>B-501212</t>
  </si>
  <si>
    <t>M-701212</t>
  </si>
  <si>
    <t>F-901212</t>
  </si>
  <si>
    <t>B-501213</t>
  </si>
  <si>
    <t>M-701213</t>
  </si>
  <si>
    <t>F-901213</t>
  </si>
  <si>
    <t>B-501214</t>
  </si>
  <si>
    <t>M-701214</t>
  </si>
  <si>
    <t>F-901214</t>
  </si>
  <si>
    <t>B-501215</t>
  </si>
  <si>
    <t>M-701215</t>
  </si>
  <si>
    <t>F-901215</t>
  </si>
  <si>
    <t>B-501216</t>
  </si>
  <si>
    <t>M-701216</t>
  </si>
  <si>
    <t>F-901216</t>
  </si>
  <si>
    <t>B-501217</t>
  </si>
  <si>
    <t>M-701217</t>
  </si>
  <si>
    <t>F-901217</t>
  </si>
  <si>
    <t>B-501218</t>
  </si>
  <si>
    <t>M-701218</t>
  </si>
  <si>
    <t>F-901218</t>
  </si>
  <si>
    <t>B-501219</t>
  </si>
  <si>
    <t>M-701219</t>
  </si>
  <si>
    <t>F-901219</t>
  </si>
  <si>
    <t>B-501220</t>
  </si>
  <si>
    <t>M-701220</t>
  </si>
  <si>
    <t>F-901220</t>
  </si>
  <si>
    <t>B-501221</t>
  </si>
  <si>
    <t>M-701221</t>
  </si>
  <si>
    <t>F-901221</t>
  </si>
  <si>
    <t>B-501222</t>
  </si>
  <si>
    <t>M-701222</t>
  </si>
  <si>
    <t>F-901222</t>
  </si>
  <si>
    <t>B-501223</t>
  </si>
  <si>
    <t>M-701223</t>
  </si>
  <si>
    <t>F-901223</t>
  </si>
  <si>
    <t>B-501224</t>
  </si>
  <si>
    <t>M-701224</t>
  </si>
  <si>
    <t>F-901224</t>
  </si>
  <si>
    <t>B-501225</t>
  </si>
  <si>
    <t>M-701225</t>
  </si>
  <si>
    <t>F-901225</t>
  </si>
  <si>
    <t>B-501226</t>
  </si>
  <si>
    <t>M-701226</t>
  </si>
  <si>
    <t>F-901226</t>
  </si>
  <si>
    <t>B-501227</t>
  </si>
  <si>
    <t>M-701227</t>
  </si>
  <si>
    <t>F-901227</t>
  </si>
  <si>
    <t>B-501228</t>
  </si>
  <si>
    <t>M-701228</t>
  </si>
  <si>
    <t>F-901228</t>
  </si>
  <si>
    <t>B-501229</t>
  </si>
  <si>
    <t>M-701229</t>
  </si>
  <si>
    <t>F-901229</t>
  </si>
  <si>
    <t>B-501230</t>
  </si>
  <si>
    <t>M-701230</t>
  </si>
  <si>
    <t>F-901230</t>
  </si>
  <si>
    <t>B-501231</t>
  </si>
  <si>
    <t>M-701231</t>
  </si>
  <si>
    <t>F-901231</t>
  </si>
  <si>
    <t>B-501232</t>
  </si>
  <si>
    <t>M-701232</t>
  </si>
  <si>
    <t>F-901232</t>
  </si>
  <si>
    <t>B-501233</t>
  </si>
  <si>
    <t>M-701233</t>
  </si>
  <si>
    <t>F-901233</t>
  </si>
  <si>
    <t>B-501234</t>
  </si>
  <si>
    <t>M-701234</t>
  </si>
  <si>
    <t>F-901234</t>
  </si>
  <si>
    <t>B-501235</t>
  </si>
  <si>
    <t>M-701235</t>
  </si>
  <si>
    <t>F-901235</t>
  </si>
  <si>
    <t>B-501236</t>
  </si>
  <si>
    <t>M-701236</t>
  </si>
  <si>
    <t>F-901236</t>
  </si>
  <si>
    <t>B-501237</t>
  </si>
  <si>
    <t>M-701237</t>
  </si>
  <si>
    <t>F-901237</t>
  </si>
  <si>
    <t>B-501238</t>
  </si>
  <si>
    <t>M-701238</t>
  </si>
  <si>
    <t>F-901238</t>
  </si>
  <si>
    <t>B-501239</t>
  </si>
  <si>
    <t>M-701239</t>
  </si>
  <si>
    <t>F-901239</t>
  </si>
  <si>
    <t>B-501240</t>
  </si>
  <si>
    <t>M-701240</t>
  </si>
  <si>
    <t>F-901240</t>
  </si>
  <si>
    <t>B-501241</t>
  </si>
  <si>
    <t>M-701241</t>
  </si>
  <si>
    <t>F-901241</t>
  </si>
  <si>
    <t>B-501242</t>
  </si>
  <si>
    <t>M-701242</t>
  </si>
  <si>
    <t>F-901242</t>
  </si>
  <si>
    <t>B-501243</t>
  </si>
  <si>
    <t>M-701243</t>
  </si>
  <si>
    <t>F-901243</t>
  </si>
  <si>
    <t>B-501244</t>
  </si>
  <si>
    <t>M-701244</t>
  </si>
  <si>
    <t>F-901244</t>
  </si>
  <si>
    <t>B-501245</t>
  </si>
  <si>
    <t>M-701245</t>
  </si>
  <si>
    <t>F-901245</t>
  </si>
  <si>
    <t>B-501246</t>
  </si>
  <si>
    <t>M-701246</t>
  </si>
  <si>
    <t>F-901246</t>
  </si>
  <si>
    <t>B-501247</t>
  </si>
  <si>
    <t>M-701247</t>
  </si>
  <si>
    <t>F-901247</t>
  </si>
  <si>
    <t>B-501248</t>
  </si>
  <si>
    <t>M-701248</t>
  </si>
  <si>
    <t>F-901248</t>
  </si>
  <si>
    <t>B-501249</t>
  </si>
  <si>
    <t>M-701249</t>
  </si>
  <si>
    <t>F-901249</t>
  </si>
  <si>
    <t>B-501250</t>
  </si>
  <si>
    <t>M-701250</t>
  </si>
  <si>
    <t>F-901250</t>
  </si>
  <si>
    <t>B-501251</t>
  </si>
  <si>
    <t>M-701251</t>
  </si>
  <si>
    <t>F-901251</t>
  </si>
  <si>
    <t>B-501252</t>
  </si>
  <si>
    <t>M-701252</t>
  </si>
  <si>
    <t>F-901252</t>
  </si>
  <si>
    <t>B-501253</t>
  </si>
  <si>
    <t>M-701253</t>
  </si>
  <si>
    <t>F-901253</t>
  </si>
  <si>
    <t>B-501254</t>
  </si>
  <si>
    <t>M-701254</t>
  </si>
  <si>
    <t>F-901254</t>
  </si>
  <si>
    <t>B-501255</t>
  </si>
  <si>
    <t>M-701255</t>
  </si>
  <si>
    <t>F-901255</t>
  </si>
  <si>
    <t>B-501256</t>
  </si>
  <si>
    <t>M-701256</t>
  </si>
  <si>
    <t>F-901256</t>
  </si>
  <si>
    <t>B-501257</t>
  </si>
  <si>
    <t>M-701257</t>
  </si>
  <si>
    <t>F-901257</t>
  </si>
  <si>
    <t>B-501258</t>
  </si>
  <si>
    <t>M-701258</t>
  </si>
  <si>
    <t>F-901258</t>
  </si>
  <si>
    <t>B-501259</t>
  </si>
  <si>
    <t>M-701259</t>
  </si>
  <si>
    <t>F-901259</t>
  </si>
  <si>
    <t>B-501260</t>
  </si>
  <si>
    <t>M-701260</t>
  </si>
  <si>
    <t>F-901260</t>
  </si>
  <si>
    <t>B-501261</t>
  </si>
  <si>
    <t>M-701261</t>
  </si>
  <si>
    <t>F-901261</t>
  </si>
  <si>
    <t>B-501262</t>
  </si>
  <si>
    <t>M-701262</t>
  </si>
  <si>
    <t>F-901262</t>
  </si>
  <si>
    <t>B-501263</t>
  </si>
  <si>
    <t>M-701263</t>
  </si>
  <si>
    <t>F-901263</t>
  </si>
  <si>
    <t>B-501264</t>
  </si>
  <si>
    <t>M-701264</t>
  </si>
  <si>
    <t>F-901264</t>
  </si>
  <si>
    <t>B-501265</t>
  </si>
  <si>
    <t>M-701265</t>
  </si>
  <si>
    <t>F-901265</t>
  </si>
  <si>
    <t>B-501266</t>
  </si>
  <si>
    <t>M-701266</t>
  </si>
  <si>
    <t>F-901266</t>
  </si>
  <si>
    <t>B-501267</t>
  </si>
  <si>
    <t>M-701267</t>
  </si>
  <si>
    <t>F-901267</t>
  </si>
  <si>
    <t>B-501268</t>
  </si>
  <si>
    <t>M-701268</t>
  </si>
  <si>
    <t>F-901268</t>
  </si>
  <si>
    <t>B-501269</t>
  </si>
  <si>
    <t>M-701269</t>
  </si>
  <si>
    <t>F-901269</t>
  </si>
  <si>
    <t>B-501270</t>
  </si>
  <si>
    <t>M-701270</t>
  </si>
  <si>
    <t>F-901270</t>
  </si>
  <si>
    <t>B-501271</t>
  </si>
  <si>
    <t>M-701271</t>
  </si>
  <si>
    <t>F-901271</t>
  </si>
  <si>
    <t>B-501272</t>
  </si>
  <si>
    <t>M-701272</t>
  </si>
  <si>
    <t>F-901272</t>
  </si>
  <si>
    <t>B-501273</t>
  </si>
  <si>
    <t>M-701273</t>
  </si>
  <si>
    <t>F-901273</t>
  </si>
  <si>
    <t>B-501274</t>
  </si>
  <si>
    <t>M-701274</t>
  </si>
  <si>
    <t>F-901274</t>
  </si>
  <si>
    <t>B-501275</t>
  </si>
  <si>
    <t>M-701275</t>
  </si>
  <si>
    <t>F-901275</t>
  </si>
  <si>
    <t>B-501276</t>
  </si>
  <si>
    <t>M-701276</t>
  </si>
  <si>
    <t>F-901276</t>
  </si>
  <si>
    <t>B-501277</t>
  </si>
  <si>
    <t>M-701277</t>
  </si>
  <si>
    <t>F-901277</t>
  </si>
  <si>
    <t>B-501278</t>
  </si>
  <si>
    <t>M-701278</t>
  </si>
  <si>
    <t>F-901278</t>
  </si>
  <si>
    <t>B-501279</t>
  </si>
  <si>
    <t>M-701279</t>
  </si>
  <si>
    <t>F-901279</t>
  </si>
  <si>
    <t>B-501280</t>
  </si>
  <si>
    <t>M-701280</t>
  </si>
  <si>
    <t>F-901280</t>
  </si>
  <si>
    <t>B-501281</t>
  </si>
  <si>
    <t>M-701281</t>
  </si>
  <si>
    <t>F-901281</t>
  </si>
  <si>
    <t>B-501282</t>
  </si>
  <si>
    <t>M-701282</t>
  </si>
  <si>
    <t>F-901282</t>
  </si>
  <si>
    <t>B-501283</t>
  </si>
  <si>
    <t>M-701283</t>
  </si>
  <si>
    <t>F-901283</t>
  </si>
  <si>
    <t>B-501284</t>
  </si>
  <si>
    <t>M-701284</t>
  </si>
  <si>
    <t>F-901284</t>
  </si>
  <si>
    <t>B-501285</t>
  </si>
  <si>
    <t>M-701285</t>
  </si>
  <si>
    <t>F-901285</t>
  </si>
  <si>
    <t>B-501286</t>
  </si>
  <si>
    <t>M-701286</t>
  </si>
  <si>
    <t>F-901286</t>
  </si>
  <si>
    <t>B-501287</t>
  </si>
  <si>
    <t>M-701287</t>
  </si>
  <si>
    <t>F-901287</t>
  </si>
  <si>
    <t>B-501288</t>
  </si>
  <si>
    <t>M-701288</t>
  </si>
  <si>
    <t>F-901288</t>
  </si>
  <si>
    <t>B-501289</t>
  </si>
  <si>
    <t>M-701289</t>
  </si>
  <si>
    <t>F-901289</t>
  </si>
  <si>
    <t>B-501290</t>
  </si>
  <si>
    <t>M-701290</t>
  </si>
  <si>
    <t>F-901290</t>
  </si>
  <si>
    <t>B-501291</t>
  </si>
  <si>
    <t>M-701291</t>
  </si>
  <si>
    <t>F-901291</t>
  </si>
  <si>
    <t>B-501292</t>
  </si>
  <si>
    <t>M-701292</t>
  </si>
  <si>
    <t>F-901292</t>
  </si>
  <si>
    <t>B-501293</t>
  </si>
  <si>
    <t>M-701293</t>
  </si>
  <si>
    <t>F-901293</t>
  </si>
  <si>
    <t>B-501294</t>
  </si>
  <si>
    <t>M-701294</t>
  </si>
  <si>
    <t>F-901294</t>
  </si>
  <si>
    <t>B-501295</t>
  </si>
  <si>
    <t>M-701295</t>
  </si>
  <si>
    <t>F-901295</t>
  </si>
  <si>
    <t>B-501296</t>
  </si>
  <si>
    <t>M-701296</t>
  </si>
  <si>
    <t>F-901296</t>
  </si>
  <si>
    <t>B-501297</t>
  </si>
  <si>
    <t>M-701297</t>
  </si>
  <si>
    <t>F-901297</t>
  </si>
  <si>
    <t>B-501298</t>
  </si>
  <si>
    <t>M-701298</t>
  </si>
  <si>
    <t>F-901298</t>
  </si>
  <si>
    <t>B-501299</t>
  </si>
  <si>
    <t>M-701299</t>
  </si>
  <si>
    <t>F-901299</t>
  </si>
  <si>
    <t>B-501300</t>
  </si>
  <si>
    <t>M-701300</t>
  </si>
  <si>
    <t>F-901300</t>
  </si>
  <si>
    <t>B-501301</t>
  </si>
  <si>
    <t>M-701301</t>
  </si>
  <si>
    <t>F-901301</t>
  </si>
  <si>
    <t>B-501302</t>
  </si>
  <si>
    <t>M-701302</t>
  </si>
  <si>
    <t>F-901302</t>
  </si>
  <si>
    <t>B-501303</t>
  </si>
  <si>
    <t>M-701303</t>
  </si>
  <si>
    <t>F-901303</t>
  </si>
  <si>
    <t>B-501304</t>
  </si>
  <si>
    <t>M-701304</t>
  </si>
  <si>
    <t>F-901304</t>
  </si>
  <si>
    <t>B-501305</t>
  </si>
  <si>
    <t>M-701305</t>
  </si>
  <si>
    <t>F-901305</t>
  </si>
  <si>
    <t>B-501306</t>
  </si>
  <si>
    <t>M-701306</t>
  </si>
  <si>
    <t>F-901306</t>
  </si>
  <si>
    <t>B-501307</t>
  </si>
  <si>
    <t>M-701307</t>
  </si>
  <si>
    <t>F-901307</t>
  </si>
  <si>
    <t>B-501308</t>
  </si>
  <si>
    <t>M-701308</t>
  </si>
  <si>
    <t>F-901308</t>
  </si>
  <si>
    <t>B-501309</t>
  </si>
  <si>
    <t>M-701309</t>
  </si>
  <si>
    <t>F-901309</t>
  </si>
  <si>
    <t>B-501310</t>
  </si>
  <si>
    <t>M-701310</t>
  </si>
  <si>
    <t>F-901310</t>
  </si>
  <si>
    <t>B-501311</t>
  </si>
  <si>
    <t>M-701311</t>
  </si>
  <si>
    <t>F-901311</t>
  </si>
  <si>
    <t>B-501312</t>
  </si>
  <si>
    <t>M-701312</t>
  </si>
  <si>
    <t>F-901312</t>
  </si>
  <si>
    <t>B-501313</t>
  </si>
  <si>
    <t>M-701313</t>
  </si>
  <si>
    <t>F-901313</t>
  </si>
  <si>
    <t>B-501314</t>
  </si>
  <si>
    <t>M-701314</t>
  </si>
  <si>
    <t>F-901314</t>
  </si>
  <si>
    <t>B-501315</t>
  </si>
  <si>
    <t>M-701315</t>
  </si>
  <si>
    <t>F-901315</t>
  </si>
  <si>
    <t>B-501316</t>
  </si>
  <si>
    <t>M-701316</t>
  </si>
  <si>
    <t>F-901316</t>
  </si>
  <si>
    <t>B-501317</t>
  </si>
  <si>
    <t>M-701317</t>
  </si>
  <si>
    <t>F-901317</t>
  </si>
  <si>
    <t>B-501318</t>
  </si>
  <si>
    <t>M-701318</t>
  </si>
  <si>
    <t>F-901318</t>
  </si>
  <si>
    <t>B-501319</t>
  </si>
  <si>
    <t>M-701319</t>
  </si>
  <si>
    <t>F-901319</t>
  </si>
  <si>
    <t>B-501320</t>
  </si>
  <si>
    <t>M-701320</t>
  </si>
  <si>
    <t>F-901320</t>
  </si>
  <si>
    <t>B-501321</t>
  </si>
  <si>
    <t>M-701321</t>
  </si>
  <si>
    <t>F-901321</t>
  </si>
  <si>
    <t>B-501322</t>
  </si>
  <si>
    <t>M-701322</t>
  </si>
  <si>
    <t>F-901322</t>
  </si>
  <si>
    <t>B-501323</t>
  </si>
  <si>
    <t>M-701323</t>
  </si>
  <si>
    <t>F-901323</t>
  </si>
  <si>
    <t>B-501324</t>
  </si>
  <si>
    <t>M-701324</t>
  </si>
  <si>
    <t>F-901324</t>
  </si>
  <si>
    <t>B-501325</t>
  </si>
  <si>
    <t>M-701325</t>
  </si>
  <si>
    <t>F-901325</t>
  </si>
  <si>
    <t>B-501326</t>
  </si>
  <si>
    <t>M-701326</t>
  </si>
  <si>
    <t>F-901326</t>
  </si>
  <si>
    <t>B-501327</t>
  </si>
  <si>
    <t>M-701327</t>
  </si>
  <si>
    <t>F-901327</t>
  </si>
  <si>
    <t>B-501328</t>
  </si>
  <si>
    <t>M-701328</t>
  </si>
  <si>
    <t>F-901328</t>
  </si>
  <si>
    <t>B-501329</t>
  </si>
  <si>
    <t>M-701329</t>
  </si>
  <si>
    <t>F-901329</t>
  </si>
  <si>
    <t>B-501330</t>
  </si>
  <si>
    <t>M-701330</t>
  </si>
  <si>
    <t>F-901330</t>
  </si>
  <si>
    <t>B-501331</t>
  </si>
  <si>
    <t>M-701331</t>
  </si>
  <si>
    <t>F-901331</t>
  </si>
  <si>
    <t>B-501332</t>
  </si>
  <si>
    <t>M-701332</t>
  </si>
  <si>
    <t>F-901332</t>
  </si>
  <si>
    <t>B-501333</t>
  </si>
  <si>
    <t>M-701333</t>
  </si>
  <si>
    <t>F-901333</t>
  </si>
  <si>
    <t>B-501334</t>
  </si>
  <si>
    <t>M-701334</t>
  </si>
  <si>
    <t>F-901334</t>
  </si>
  <si>
    <t>B-501335</t>
  </si>
  <si>
    <t>M-701335</t>
  </si>
  <si>
    <t>F-901335</t>
  </si>
  <si>
    <t>B-501336</t>
  </si>
  <si>
    <t>M-701336</t>
  </si>
  <si>
    <t>F-901336</t>
  </si>
  <si>
    <t>B-501337</t>
  </si>
  <si>
    <t>M-701337</t>
  </si>
  <si>
    <t>F-901337</t>
  </si>
  <si>
    <t>B-501338</t>
  </si>
  <si>
    <t>M-701338</t>
  </si>
  <si>
    <t>F-901338</t>
  </si>
  <si>
    <t>B-501339</t>
  </si>
  <si>
    <t>M-701339</t>
  </si>
  <si>
    <t>F-901339</t>
  </si>
  <si>
    <t>B-501340</t>
  </si>
  <si>
    <t>M-701340</t>
  </si>
  <si>
    <t>F-901340</t>
  </si>
  <si>
    <t>B-501341</t>
  </si>
  <si>
    <t>M-701341</t>
  </si>
  <si>
    <t>F-901341</t>
  </si>
  <si>
    <t>B-501342</t>
  </si>
  <si>
    <t>M-701342</t>
  </si>
  <si>
    <t>F-901342</t>
  </si>
  <si>
    <t>B-501343</t>
  </si>
  <si>
    <t>M-701343</t>
  </si>
  <si>
    <t>F-901343</t>
  </si>
  <si>
    <t>B-501344</t>
  </si>
  <si>
    <t>M-701344</t>
  </si>
  <si>
    <t>F-901344</t>
  </si>
  <si>
    <t>B-501345</t>
  </si>
  <si>
    <t>M-701345</t>
  </si>
  <si>
    <t>F-901345</t>
  </si>
  <si>
    <t>B-501346</t>
  </si>
  <si>
    <t>M-701346</t>
  </si>
  <si>
    <t>F-901346</t>
  </si>
  <si>
    <t>B-501347</t>
  </si>
  <si>
    <t>M-701347</t>
  </si>
  <si>
    <t>F-901347</t>
  </si>
  <si>
    <t>B-501348</t>
  </si>
  <si>
    <t>M-701348</t>
  </si>
  <si>
    <t>F-901348</t>
  </si>
  <si>
    <t>B-501349</t>
  </si>
  <si>
    <t>M-701349</t>
  </si>
  <si>
    <t>F-901349</t>
  </si>
  <si>
    <t>B-501350</t>
  </si>
  <si>
    <t>M-701350</t>
  </si>
  <si>
    <t>F-901350</t>
  </si>
  <si>
    <t>B-501351</t>
  </si>
  <si>
    <t>M-701351</t>
  </si>
  <si>
    <t>F-901351</t>
  </si>
  <si>
    <t>B-501352</t>
  </si>
  <si>
    <t>M-701352</t>
  </si>
  <si>
    <t>F-901352</t>
  </si>
  <si>
    <t>B-501353</t>
  </si>
  <si>
    <t>M-701353</t>
  </si>
  <si>
    <t>F-901353</t>
  </si>
  <si>
    <t>B-501354</t>
  </si>
  <si>
    <t>M-701354</t>
  </si>
  <si>
    <t>F-901354</t>
  </si>
  <si>
    <t>B-501355</t>
  </si>
  <si>
    <t>M-701355</t>
  </si>
  <si>
    <t>F-901355</t>
  </si>
  <si>
    <t>B-501356</t>
  </si>
  <si>
    <t>M-701356</t>
  </si>
  <si>
    <t>F-901356</t>
  </si>
  <si>
    <t>B-501357</t>
  </si>
  <si>
    <t>M-701357</t>
  </si>
  <si>
    <t>F-901357</t>
  </si>
  <si>
    <t>B-501358</t>
  </si>
  <si>
    <t>M-701358</t>
  </si>
  <si>
    <t>F-901358</t>
  </si>
  <si>
    <t>B-501359</t>
  </si>
  <si>
    <t>M-701359</t>
  </si>
  <si>
    <t>F-901359</t>
  </si>
  <si>
    <t>B-501360</t>
  </si>
  <si>
    <t>M-701360</t>
  </si>
  <si>
    <t>F-901360</t>
  </si>
  <si>
    <t>B-501361</t>
  </si>
  <si>
    <t>M-701361</t>
  </si>
  <si>
    <t>F-901361</t>
  </si>
  <si>
    <t>B-501362</t>
  </si>
  <si>
    <t>M-701362</t>
  </si>
  <si>
    <t>F-901362</t>
  </si>
  <si>
    <t>B-501363</t>
  </si>
  <si>
    <t>M-701363</t>
  </si>
  <si>
    <t>F-901363</t>
  </si>
  <si>
    <t>B-501364</t>
  </si>
  <si>
    <t>M-701364</t>
  </si>
  <si>
    <t>F-901364</t>
  </si>
  <si>
    <t>B-501365</t>
  </si>
  <si>
    <t>M-701365</t>
  </si>
  <si>
    <t>F-901365</t>
  </si>
  <si>
    <t>B-501366</t>
  </si>
  <si>
    <t>M-701366</t>
  </si>
  <si>
    <t>F-901366</t>
  </si>
  <si>
    <t>B-501367</t>
  </si>
  <si>
    <t>M-701367</t>
  </si>
  <si>
    <t>F-901367</t>
  </si>
  <si>
    <t>B-501368</t>
  </si>
  <si>
    <t>M-701368</t>
  </si>
  <si>
    <t>F-901368</t>
  </si>
  <si>
    <t>B-501369</t>
  </si>
  <si>
    <t>M-701369</t>
  </si>
  <si>
    <t>F-901369</t>
  </si>
  <si>
    <t>B-501370</t>
  </si>
  <si>
    <t>M-701370</t>
  </si>
  <si>
    <t>F-901370</t>
  </si>
  <si>
    <t>B-501371</t>
  </si>
  <si>
    <t>M-701371</t>
  </si>
  <si>
    <t>F-901371</t>
  </si>
  <si>
    <t>B-501372</t>
  </si>
  <si>
    <t>M-701372</t>
  </si>
  <si>
    <t>F-901372</t>
  </si>
  <si>
    <t>B-501373</t>
  </si>
  <si>
    <t>M-701373</t>
  </si>
  <si>
    <t>F-901373</t>
  </si>
  <si>
    <t>B-501374</t>
  </si>
  <si>
    <t>M-701374</t>
  </si>
  <si>
    <t>F-901374</t>
  </si>
  <si>
    <t>B-501375</t>
  </si>
  <si>
    <t>M-701375</t>
  </si>
  <si>
    <t>F-901375</t>
  </si>
  <si>
    <t>B-501376</t>
  </si>
  <si>
    <t>M-701376</t>
  </si>
  <si>
    <t>F-901376</t>
  </si>
  <si>
    <t>B-501377</t>
  </si>
  <si>
    <t>M-701377</t>
  </si>
  <si>
    <t>F-901377</t>
  </si>
  <si>
    <t>B-501378</t>
  </si>
  <si>
    <t>M-701378</t>
  </si>
  <si>
    <t>F-901378</t>
  </si>
  <si>
    <t>B-501379</t>
  </si>
  <si>
    <t>M-701379</t>
  </si>
  <si>
    <t>F-901379</t>
  </si>
  <si>
    <t>B-501380</t>
  </si>
  <si>
    <t>M-701380</t>
  </si>
  <si>
    <t>F-901380</t>
  </si>
  <si>
    <t>B-501381</t>
  </si>
  <si>
    <t>M-701381</t>
  </si>
  <si>
    <t>F-901381</t>
  </si>
  <si>
    <t>B-501382</t>
  </si>
  <si>
    <t>M-701382</t>
  </si>
  <si>
    <t>F-901382</t>
  </si>
  <si>
    <t>B-501383</t>
  </si>
  <si>
    <t>M-701383</t>
  </si>
  <si>
    <t>F-901383</t>
  </si>
  <si>
    <t>B-501384</t>
  </si>
  <si>
    <t>M-701384</t>
  </si>
  <si>
    <t>F-901384</t>
  </si>
  <si>
    <t>B-501385</t>
  </si>
  <si>
    <t>M-701385</t>
  </si>
  <si>
    <t>F-901385</t>
  </si>
  <si>
    <t>B-501386</t>
  </si>
  <si>
    <t>M-701386</t>
  </si>
  <si>
    <t>F-901386</t>
  </si>
  <si>
    <t>B-501387</t>
  </si>
  <si>
    <t>M-701387</t>
  </si>
  <si>
    <t>F-901387</t>
  </si>
  <si>
    <t>B-501388</t>
  </si>
  <si>
    <t>M-701388</t>
  </si>
  <si>
    <t>F-901388</t>
  </si>
  <si>
    <t>B-501389</t>
  </si>
  <si>
    <t>M-701389</t>
  </si>
  <si>
    <t>F-901389</t>
  </si>
  <si>
    <t>B-501390</t>
  </si>
  <si>
    <t>M-701390</t>
  </si>
  <si>
    <t>F-901390</t>
  </si>
  <si>
    <t>B-501391</t>
  </si>
  <si>
    <t>M-701391</t>
  </si>
  <si>
    <t>F-901391</t>
  </si>
  <si>
    <t>B-501392</t>
  </si>
  <si>
    <t>M-701392</t>
  </si>
  <si>
    <t>F-901392</t>
  </si>
  <si>
    <t>B-501393</t>
  </si>
  <si>
    <t>M-701393</t>
  </si>
  <si>
    <t>F-901393</t>
  </si>
  <si>
    <t>B-501394</t>
  </si>
  <si>
    <t>M-701394</t>
  </si>
  <si>
    <t>F-901394</t>
  </si>
  <si>
    <t>B-501395</t>
  </si>
  <si>
    <t>M-701395</t>
  </si>
  <si>
    <t>F-901395</t>
  </si>
  <si>
    <t>B-501396</t>
  </si>
  <si>
    <t>M-701396</t>
  </si>
  <si>
    <t>F-901396</t>
  </si>
  <si>
    <t>B-501397</t>
  </si>
  <si>
    <t>M-701397</t>
  </si>
  <si>
    <t>F-901397</t>
  </si>
  <si>
    <t>B-501398</t>
  </si>
  <si>
    <t>M-701398</t>
  </si>
  <si>
    <t>F-901398</t>
  </si>
  <si>
    <t>B-501399</t>
  </si>
  <si>
    <t>M-701399</t>
  </si>
  <si>
    <t>F-901399</t>
  </si>
  <si>
    <t>B-501400</t>
  </si>
  <si>
    <t>M-701400</t>
  </si>
  <si>
    <t>F-901400</t>
  </si>
  <si>
    <t>B-501401</t>
  </si>
  <si>
    <t>M-701401</t>
  </si>
  <si>
    <t>F-901401</t>
  </si>
  <si>
    <t>B-501402</t>
  </si>
  <si>
    <t>M-701402</t>
  </si>
  <si>
    <t>F-901402</t>
  </si>
  <si>
    <t>B-501403</t>
  </si>
  <si>
    <t>M-701403</t>
  </si>
  <si>
    <t>F-901403</t>
  </si>
  <si>
    <t>B-501404</t>
  </si>
  <si>
    <t>M-701404</t>
  </si>
  <si>
    <t>F-901404</t>
  </si>
  <si>
    <t>B-501405</t>
  </si>
  <si>
    <t>M-701405</t>
  </si>
  <si>
    <t>F-901405</t>
  </si>
  <si>
    <t>B-501406</t>
  </si>
  <si>
    <t>M-701406</t>
  </si>
  <si>
    <t>F-901406</t>
  </si>
  <si>
    <t>B-501407</t>
  </si>
  <si>
    <t>M-701407</t>
  </si>
  <si>
    <t>F-901407</t>
  </si>
  <si>
    <t>B-501408</t>
  </si>
  <si>
    <t>M-701408</t>
  </si>
  <si>
    <t>F-901408</t>
  </si>
  <si>
    <t>B-501409</t>
  </si>
  <si>
    <t>M-701409</t>
  </si>
  <si>
    <t>F-901409</t>
  </si>
  <si>
    <t>B-501410</t>
  </si>
  <si>
    <t>M-701410</t>
  </si>
  <si>
    <t>F-901410</t>
  </si>
  <si>
    <t>B-501411</t>
  </si>
  <si>
    <t>M-701411</t>
  </si>
  <si>
    <t>F-901411</t>
  </si>
  <si>
    <t>B-501412</t>
  </si>
  <si>
    <t>M-701412</t>
  </si>
  <si>
    <t>F-901412</t>
  </si>
  <si>
    <t>B-501413</t>
  </si>
  <si>
    <t>M-701413</t>
  </si>
  <si>
    <t>F-901413</t>
  </si>
  <si>
    <t>B-501414</t>
  </si>
  <si>
    <t>M-701414</t>
  </si>
  <si>
    <t>F-901414</t>
  </si>
  <si>
    <t>B-501415</t>
  </si>
  <si>
    <t>M-701415</t>
  </si>
  <si>
    <t>F-901415</t>
  </si>
  <si>
    <t>B-501416</t>
  </si>
  <si>
    <t>M-701416</t>
  </si>
  <si>
    <t>F-901416</t>
  </si>
  <si>
    <t>B-501417</t>
  </si>
  <si>
    <t>M-701417</t>
  </si>
  <si>
    <t>F-901417</t>
  </si>
  <si>
    <t>B-501418</t>
  </si>
  <si>
    <t>M-701418</t>
  </si>
  <si>
    <t>F-901418</t>
  </si>
  <si>
    <t>B-501419</t>
  </si>
  <si>
    <t>M-701419</t>
  </si>
  <si>
    <t>F-901419</t>
  </si>
  <si>
    <t>B-501420</t>
  </si>
  <si>
    <t>M-701420</t>
  </si>
  <si>
    <t>F-901420</t>
  </si>
  <si>
    <t>B-501421</t>
  </si>
  <si>
    <t>M-701421</t>
  </si>
  <si>
    <t>F-901421</t>
  </si>
  <si>
    <t>B-501422</t>
  </si>
  <si>
    <t>M-701422</t>
  </si>
  <si>
    <t>F-901422</t>
  </si>
  <si>
    <t>B-501423</t>
  </si>
  <si>
    <t>M-701423</t>
  </si>
  <si>
    <t>F-901423</t>
  </si>
  <si>
    <t>B-501424</t>
  </si>
  <si>
    <t>M-701424</t>
  </si>
  <si>
    <t>F-901424</t>
  </si>
  <si>
    <t>B-501425</t>
  </si>
  <si>
    <t>M-701425</t>
  </si>
  <si>
    <t>F-901425</t>
  </si>
  <si>
    <t>B-501426</t>
  </si>
  <si>
    <t>M-701426</t>
  </si>
  <si>
    <t>F-901426</t>
  </si>
  <si>
    <t>B-501427</t>
  </si>
  <si>
    <t>M-701427</t>
  </si>
  <si>
    <t>F-901427</t>
  </si>
  <si>
    <t>B-501428</t>
  </si>
  <si>
    <t>M-701428</t>
  </si>
  <si>
    <t>F-901428</t>
  </si>
  <si>
    <t>B-501429</t>
  </si>
  <si>
    <t>M-701429</t>
  </si>
  <si>
    <t>F-901429</t>
  </si>
  <si>
    <t>B-501430</t>
  </si>
  <si>
    <t>M-701430</t>
  </si>
  <si>
    <t>F-901430</t>
  </si>
  <si>
    <t>B-501431</t>
  </si>
  <si>
    <t>M-701431</t>
  </si>
  <si>
    <t>F-901431</t>
  </si>
  <si>
    <t>B-501432</t>
  </si>
  <si>
    <t>M-701432</t>
  </si>
  <si>
    <t>F-901432</t>
  </si>
  <si>
    <t>B-501433</t>
  </si>
  <si>
    <t>M-701433</t>
  </si>
  <si>
    <t>F-901433</t>
  </si>
  <si>
    <t>B-501434</t>
  </si>
  <si>
    <t>M-701434</t>
  </si>
  <si>
    <t>F-901434</t>
  </si>
  <si>
    <t>B-501435</t>
  </si>
  <si>
    <t>M-701435</t>
  </si>
  <si>
    <t>F-901435</t>
  </si>
  <si>
    <t>B-501436</t>
  </si>
  <si>
    <t>M-701436</t>
  </si>
  <si>
    <t>F-901436</t>
  </si>
  <si>
    <t>B-501437</t>
  </si>
  <si>
    <t>M-701437</t>
  </si>
  <si>
    <t>F-901437</t>
  </si>
  <si>
    <t>B-501438</t>
  </si>
  <si>
    <t>M-701438</t>
  </si>
  <si>
    <t>F-901438</t>
  </si>
  <si>
    <t>B-501439</t>
  </si>
  <si>
    <t>M-701439</t>
  </si>
  <si>
    <t>F-901439</t>
  </si>
  <si>
    <t>B-501440</t>
  </si>
  <si>
    <t>M-701440</t>
  </si>
  <si>
    <t>F-901440</t>
  </si>
  <si>
    <t>B-501441</t>
  </si>
  <si>
    <t>M-701441</t>
  </si>
  <si>
    <t>F-901441</t>
  </si>
  <si>
    <t>B-501442</t>
  </si>
  <si>
    <t>M-701442</t>
  </si>
  <si>
    <t>F-901442</t>
  </si>
  <si>
    <t>B-501443</t>
  </si>
  <si>
    <t>M-701443</t>
  </si>
  <si>
    <t>F-901443</t>
  </si>
  <si>
    <t>B-501444</t>
  </si>
  <si>
    <t>M-701444</t>
  </si>
  <si>
    <t>F-901444</t>
  </si>
  <si>
    <t>B-501445</t>
  </si>
  <si>
    <t>M-701445</t>
  </si>
  <si>
    <t>F-901445</t>
  </si>
  <si>
    <t>B-501446</t>
  </si>
  <si>
    <t>M-701446</t>
  </si>
  <si>
    <t>F-901446</t>
  </si>
  <si>
    <t>B-501447</t>
  </si>
  <si>
    <t>M-701447</t>
  </si>
  <si>
    <t>F-901447</t>
  </si>
  <si>
    <t>B-501448</t>
  </si>
  <si>
    <t>M-701448</t>
  </si>
  <si>
    <t>F-901448</t>
  </si>
  <si>
    <t>B-501449</t>
  </si>
  <si>
    <t>M-701449</t>
  </si>
  <si>
    <t>F-901449</t>
  </si>
  <si>
    <t>B-501450</t>
  </si>
  <si>
    <t>M-701450</t>
  </si>
  <si>
    <t>F-901450</t>
  </si>
  <si>
    <t>B-501451</t>
  </si>
  <si>
    <t>M-701451</t>
  </si>
  <si>
    <t>F-901451</t>
  </si>
  <si>
    <t>B-501452</t>
  </si>
  <si>
    <t>M-701452</t>
  </si>
  <si>
    <t>F-901452</t>
  </si>
  <si>
    <t>B-501453</t>
  </si>
  <si>
    <t>M-701453</t>
  </si>
  <si>
    <t>F-901453</t>
  </si>
  <si>
    <t>B-501454</t>
  </si>
  <si>
    <t>M-701454</t>
  </si>
  <si>
    <t>F-901454</t>
  </si>
  <si>
    <t>B-501455</t>
  </si>
  <si>
    <t>M-701455</t>
  </si>
  <si>
    <t>F-901455</t>
  </si>
  <si>
    <t>B-501456</t>
  </si>
  <si>
    <t>M-701456</t>
  </si>
  <si>
    <t>F-901456</t>
  </si>
  <si>
    <t>B-501457</t>
  </si>
  <si>
    <t>M-701457</t>
  </si>
  <si>
    <t>F-901457</t>
  </si>
  <si>
    <t>B-501458</t>
  </si>
  <si>
    <t>M-701458</t>
  </si>
  <si>
    <t>F-901458</t>
  </si>
  <si>
    <t>B-501459</t>
  </si>
  <si>
    <t>M-701459</t>
  </si>
  <si>
    <t>F-901459</t>
  </si>
  <si>
    <t>B-501460</t>
  </si>
  <si>
    <t>M-701460</t>
  </si>
  <si>
    <t>F-901460</t>
  </si>
  <si>
    <t>B-501461</t>
  </si>
  <si>
    <t>M-701461</t>
  </si>
  <si>
    <t>F-901461</t>
  </si>
  <si>
    <t>B-501462</t>
  </si>
  <si>
    <t>M-701462</t>
  </si>
  <si>
    <t>F-901462</t>
  </si>
  <si>
    <t>B-501463</t>
  </si>
  <si>
    <t>M-701463</t>
  </si>
  <si>
    <t>F-901463</t>
  </si>
  <si>
    <t>B-501464</t>
  </si>
  <si>
    <t>M-701464</t>
  </si>
  <si>
    <t>F-901464</t>
  </si>
  <si>
    <t>B-501465</t>
  </si>
  <si>
    <t>M-701465</t>
  </si>
  <si>
    <t>F-901465</t>
  </si>
  <si>
    <t>B-501466</t>
  </si>
  <si>
    <t>M-701466</t>
  </si>
  <si>
    <t>F-901466</t>
  </si>
  <si>
    <t>B-501467</t>
  </si>
  <si>
    <t>M-701467</t>
  </si>
  <si>
    <t>F-901467</t>
  </si>
  <si>
    <t>B-501468</t>
  </si>
  <si>
    <t>M-701468</t>
  </si>
  <si>
    <t>F-901468</t>
  </si>
  <si>
    <t>B-501469</t>
  </si>
  <si>
    <t>M-701469</t>
  </si>
  <si>
    <t>F-901469</t>
  </si>
  <si>
    <t>B-501470</t>
  </si>
  <si>
    <t>M-701470</t>
  </si>
  <si>
    <t>F-901470</t>
  </si>
  <si>
    <t>B-501471</t>
  </si>
  <si>
    <t>M-701471</t>
  </si>
  <si>
    <t>F-901471</t>
  </si>
  <si>
    <t>B-501472</t>
  </si>
  <si>
    <t>M-701472</t>
  </si>
  <si>
    <t>F-901472</t>
  </si>
  <si>
    <t>B-501473</t>
  </si>
  <si>
    <t>M-701473</t>
  </si>
  <si>
    <t>F-901473</t>
  </si>
  <si>
    <t>B-501474</t>
  </si>
  <si>
    <t>M-701474</t>
  </si>
  <si>
    <t>F-901474</t>
  </si>
  <si>
    <t>B-501475</t>
  </si>
  <si>
    <t>M-701475</t>
  </si>
  <si>
    <t>F-901475</t>
  </si>
  <si>
    <t>B-501476</t>
  </si>
  <si>
    <t>M-701476</t>
  </si>
  <si>
    <t>F-901476</t>
  </si>
  <si>
    <t>B-501477</t>
  </si>
  <si>
    <t>M-701477</t>
  </si>
  <si>
    <t>F-901477</t>
  </si>
  <si>
    <t>B-501478</t>
  </si>
  <si>
    <t>M-701478</t>
  </si>
  <si>
    <t>F-901478</t>
  </si>
  <si>
    <t>B-501479</t>
  </si>
  <si>
    <t>M-701479</t>
  </si>
  <si>
    <t>F-901479</t>
  </si>
  <si>
    <t>B-501480</t>
  </si>
  <si>
    <t>M-701480</t>
  </si>
  <si>
    <t>F-901480</t>
  </si>
  <si>
    <t>B-501481</t>
  </si>
  <si>
    <t>M-701481</t>
  </si>
  <si>
    <t>F-901481</t>
  </si>
  <si>
    <t>B-501482</t>
  </si>
  <si>
    <t>M-701482</t>
  </si>
  <si>
    <t>F-901482</t>
  </si>
  <si>
    <t>B-501483</t>
  </si>
  <si>
    <t>M-701483</t>
  </si>
  <si>
    <t>F-901483</t>
  </si>
  <si>
    <t>B-501484</t>
  </si>
  <si>
    <t>M-701484</t>
  </si>
  <si>
    <t>F-901484</t>
  </si>
  <si>
    <t>B-501485</t>
  </si>
  <si>
    <t>M-701485</t>
  </si>
  <si>
    <t>F-901485</t>
  </si>
  <si>
    <t>B-501486</t>
  </si>
  <si>
    <t>M-701486</t>
  </si>
  <si>
    <t>F-901486</t>
  </si>
  <si>
    <t>B-501487</t>
  </si>
  <si>
    <t>M-701487</t>
  </si>
  <si>
    <t>F-901487</t>
  </si>
  <si>
    <t>B-501488</t>
  </si>
  <si>
    <t>M-701488</t>
  </si>
  <si>
    <t>F-901488</t>
  </si>
  <si>
    <t>B-501489</t>
  </si>
  <si>
    <t>M-701489</t>
  </si>
  <si>
    <t>F-901489</t>
  </si>
  <si>
    <t>B-501490</t>
  </si>
  <si>
    <t>M-701490</t>
  </si>
  <si>
    <t>F-901490</t>
  </si>
  <si>
    <t>B-501491</t>
  </si>
  <si>
    <t>M-701491</t>
  </si>
  <si>
    <t>F-901491</t>
  </si>
  <si>
    <t>B-501492</t>
  </si>
  <si>
    <t>M-701492</t>
  </si>
  <si>
    <t>F-901492</t>
  </si>
  <si>
    <t>B-501493</t>
  </si>
  <si>
    <t>M-701493</t>
  </si>
  <si>
    <t>F-901493</t>
  </si>
  <si>
    <t>B-501494</t>
  </si>
  <si>
    <t>M-701494</t>
  </si>
  <si>
    <t>F-901494</t>
  </si>
  <si>
    <t>B-501495</t>
  </si>
  <si>
    <t>M-701495</t>
  </si>
  <si>
    <t>F-901495</t>
  </si>
  <si>
    <t>B-501496</t>
  </si>
  <si>
    <t>M-701496</t>
  </si>
  <si>
    <t>F-901496</t>
  </si>
  <si>
    <t>B-501497</t>
  </si>
  <si>
    <t>M-701497</t>
  </si>
  <si>
    <t>F-901497</t>
  </si>
  <si>
    <t>B-501498</t>
  </si>
  <si>
    <t>M-701498</t>
  </si>
  <si>
    <t>F-901498</t>
  </si>
  <si>
    <t>B-501499</t>
  </si>
  <si>
    <t>M-701499</t>
  </si>
  <si>
    <t>F-901499</t>
  </si>
  <si>
    <t>B-501500</t>
  </si>
  <si>
    <t>M-701500</t>
  </si>
  <si>
    <t>F-901500</t>
  </si>
  <si>
    <t>B-501501</t>
  </si>
  <si>
    <t>M-701501</t>
  </si>
  <si>
    <t>F-901501</t>
  </si>
  <si>
    <t>B-501502</t>
  </si>
  <si>
    <t>M-701502</t>
  </si>
  <si>
    <t>F-901502</t>
  </si>
  <si>
    <t>B-501503</t>
  </si>
  <si>
    <t>M-701503</t>
  </si>
  <si>
    <t>F-901503</t>
  </si>
  <si>
    <t>B-501504</t>
  </si>
  <si>
    <t>M-701504</t>
  </si>
  <si>
    <t>F-901504</t>
  </si>
  <si>
    <t>B-501505</t>
  </si>
  <si>
    <t>M-701505</t>
  </si>
  <si>
    <t>F-901505</t>
  </si>
  <si>
    <t>B-501506</t>
  </si>
  <si>
    <t>M-701506</t>
  </si>
  <si>
    <t>F-901506</t>
  </si>
  <si>
    <t>B-501507</t>
  </si>
  <si>
    <t>M-701507</t>
  </si>
  <si>
    <t>F-901507</t>
  </si>
  <si>
    <t>B-501508</t>
  </si>
  <si>
    <t>M-701508</t>
  </si>
  <si>
    <t>F-901508</t>
  </si>
  <si>
    <t>B-501509</t>
  </si>
  <si>
    <t>M-701509</t>
  </si>
  <si>
    <t>F-901509</t>
  </si>
  <si>
    <t>B-501510</t>
  </si>
  <si>
    <t>M-701510</t>
  </si>
  <si>
    <t>F-901510</t>
  </si>
  <si>
    <t>B-501511</t>
  </si>
  <si>
    <t>M-701511</t>
  </si>
  <si>
    <t>F-901511</t>
  </si>
  <si>
    <t>B-501512</t>
  </si>
  <si>
    <t>M-701512</t>
  </si>
  <si>
    <t>F-901512</t>
  </si>
  <si>
    <t>B-501513</t>
  </si>
  <si>
    <t>M-701513</t>
  </si>
  <si>
    <t>F-901513</t>
  </si>
  <si>
    <t>B-501514</t>
  </si>
  <si>
    <t>M-701514</t>
  </si>
  <si>
    <t>F-901514</t>
  </si>
  <si>
    <t>B-501515</t>
  </si>
  <si>
    <t>M-701515</t>
  </si>
  <si>
    <t>F-901515</t>
  </si>
  <si>
    <t>B-501516</t>
  </si>
  <si>
    <t>M-701516</t>
  </si>
  <si>
    <t>F-901516</t>
  </si>
  <si>
    <t>B-501517</t>
  </si>
  <si>
    <t>M-701517</t>
  </si>
  <si>
    <t>F-901517</t>
  </si>
  <si>
    <t>B-501518</t>
  </si>
  <si>
    <t>M-701518</t>
  </si>
  <si>
    <t>F-901518</t>
  </si>
  <si>
    <t>B-501519</t>
  </si>
  <si>
    <t>M-701519</t>
  </si>
  <si>
    <t>F-901519</t>
  </si>
  <si>
    <t>B-501520</t>
  </si>
  <si>
    <t>M-701520</t>
  </si>
  <si>
    <t>F-901520</t>
  </si>
  <si>
    <t>B-501521</t>
  </si>
  <si>
    <t>M-701521</t>
  </si>
  <si>
    <t>F-901521</t>
  </si>
  <si>
    <t>B-501522</t>
  </si>
  <si>
    <t>M-701522</t>
  </si>
  <si>
    <t>F-901522</t>
  </si>
  <si>
    <t>B-501523</t>
  </si>
  <si>
    <t>M-701523</t>
  </si>
  <si>
    <t>F-901523</t>
  </si>
  <si>
    <t>B-501524</t>
  </si>
  <si>
    <t>M-701524</t>
  </si>
  <si>
    <t>F-901524</t>
  </si>
  <si>
    <t>B-501525</t>
  </si>
  <si>
    <t>M-701525</t>
  </si>
  <si>
    <t>F-901525</t>
  </si>
  <si>
    <t>B-501526</t>
  </si>
  <si>
    <t>M-701526</t>
  </si>
  <si>
    <t>F-901526</t>
  </si>
  <si>
    <t>B-501527</t>
  </si>
  <si>
    <t>M-701527</t>
  </si>
  <si>
    <t>F-901527</t>
  </si>
  <si>
    <t>B-501528</t>
  </si>
  <si>
    <t>M-701528</t>
  </si>
  <si>
    <t>F-901528</t>
  </si>
  <si>
    <t>B-501529</t>
  </si>
  <si>
    <t>M-701529</t>
  </si>
  <si>
    <t>F-901529</t>
  </si>
  <si>
    <t>B-501530</t>
  </si>
  <si>
    <t>M-701530</t>
  </si>
  <si>
    <t>F-901530</t>
  </si>
  <si>
    <t>B-501531</t>
  </si>
  <si>
    <t>M-701531</t>
  </si>
  <si>
    <t>F-901531</t>
  </si>
  <si>
    <t>B-501532</t>
  </si>
  <si>
    <t>M-701532</t>
  </si>
  <si>
    <t>F-901532</t>
  </si>
  <si>
    <t>B-501533</t>
  </si>
  <si>
    <t>M-701533</t>
  </si>
  <si>
    <t>F-901533</t>
  </si>
  <si>
    <t>B-501534</t>
  </si>
  <si>
    <t>M-701534</t>
  </si>
  <si>
    <t>F-901534</t>
  </si>
  <si>
    <t>B-501535</t>
  </si>
  <si>
    <t>M-701535</t>
  </si>
  <si>
    <t>F-901535</t>
  </si>
  <si>
    <t>B-501536</t>
  </si>
  <si>
    <t>M-701536</t>
  </si>
  <si>
    <t>F-901536</t>
  </si>
  <si>
    <t>B-501537</t>
  </si>
  <si>
    <t>M-701537</t>
  </si>
  <si>
    <t>F-901537</t>
  </si>
  <si>
    <t>B-501538</t>
  </si>
  <si>
    <t>M-701538</t>
  </si>
  <si>
    <t>F-901538</t>
  </si>
  <si>
    <t>B-501539</t>
  </si>
  <si>
    <t>M-701539</t>
  </si>
  <si>
    <t>F-901539</t>
  </si>
  <si>
    <t>B-501540</t>
  </si>
  <si>
    <t>M-701540</t>
  </si>
  <si>
    <t>F-901540</t>
  </si>
  <si>
    <t>B-501541</t>
  </si>
  <si>
    <t>M-701541</t>
  </si>
  <si>
    <t>F-901541</t>
  </si>
  <si>
    <t>B-501542</t>
  </si>
  <si>
    <t>M-701542</t>
  </si>
  <si>
    <t>F-901542</t>
  </si>
  <si>
    <t>B-501543</t>
  </si>
  <si>
    <t>M-701543</t>
  </si>
  <si>
    <t>F-901543</t>
  </si>
  <si>
    <t>B-501544</t>
  </si>
  <si>
    <t>M-701544</t>
  </si>
  <si>
    <t>F-901544</t>
  </si>
  <si>
    <t>B-501545</t>
  </si>
  <si>
    <t>M-701545</t>
  </si>
  <si>
    <t>F-901545</t>
  </si>
  <si>
    <t>B-501546</t>
  </si>
  <si>
    <t>M-701546</t>
  </si>
  <si>
    <t>F-901546</t>
  </si>
  <si>
    <t>B-501547</t>
  </si>
  <si>
    <t>M-701547</t>
  </si>
  <si>
    <t>F-901547</t>
  </si>
  <si>
    <t>B-501548</t>
  </si>
  <si>
    <t>M-701548</t>
  </si>
  <si>
    <t>F-901548</t>
  </si>
  <si>
    <t>B-501549</t>
  </si>
  <si>
    <t>M-701549</t>
  </si>
  <si>
    <t>F-901549</t>
  </si>
  <si>
    <t>B-501550</t>
  </si>
  <si>
    <t>M-701550</t>
  </si>
  <si>
    <t>F-901550</t>
  </si>
  <si>
    <t>B-501551</t>
  </si>
  <si>
    <t>M-701551</t>
  </si>
  <si>
    <t>F-901551</t>
  </si>
  <si>
    <t>B-501552</t>
  </si>
  <si>
    <t>M-701552</t>
  </si>
  <si>
    <t>F-901552</t>
  </si>
  <si>
    <t>B-501553</t>
  </si>
  <si>
    <t>M-701553</t>
  </si>
  <si>
    <t>F-901553</t>
  </si>
  <si>
    <t>B-501554</t>
  </si>
  <si>
    <t>M-701554</t>
  </si>
  <si>
    <t>F-901554</t>
  </si>
  <si>
    <t>B-501555</t>
  </si>
  <si>
    <t>M-701555</t>
  </si>
  <si>
    <t>F-901555</t>
  </si>
  <si>
    <t>B-501556</t>
  </si>
  <si>
    <t>M-701556</t>
  </si>
  <si>
    <t>F-901556</t>
  </si>
  <si>
    <t>B-501557</t>
  </si>
  <si>
    <t>M-701557</t>
  </si>
  <si>
    <t>F-901557</t>
  </si>
  <si>
    <t>B-501558</t>
  </si>
  <si>
    <t>M-701558</t>
  </si>
  <si>
    <t>F-901558</t>
  </si>
  <si>
    <t>B-501559</t>
  </si>
  <si>
    <t>M-701559</t>
  </si>
  <si>
    <t>F-901559</t>
  </si>
  <si>
    <t>B-501560</t>
  </si>
  <si>
    <t>M-701560</t>
  </si>
  <si>
    <t>F-901560</t>
  </si>
  <si>
    <t>B-501561</t>
  </si>
  <si>
    <t>M-701561</t>
  </si>
  <si>
    <t>F-901561</t>
  </si>
  <si>
    <t>B-501562</t>
  </si>
  <si>
    <t>M-701562</t>
  </si>
  <si>
    <t>F-901562</t>
  </si>
  <si>
    <t>B-501563</t>
  </si>
  <si>
    <t>M-701563</t>
  </si>
  <si>
    <t>F-901563</t>
  </si>
  <si>
    <t>B-501564</t>
  </si>
  <si>
    <t>M-701564</t>
  </si>
  <si>
    <t>F-901564</t>
  </si>
  <si>
    <t>B-501565</t>
  </si>
  <si>
    <t>M-701565</t>
  </si>
  <si>
    <t>F-901565</t>
  </si>
  <si>
    <t>B-501566</t>
  </si>
  <si>
    <t>M-701566</t>
  </si>
  <si>
    <t>F-901566</t>
  </si>
  <si>
    <t>B-501567</t>
  </si>
  <si>
    <t>M-701567</t>
  </si>
  <si>
    <t>F-901567</t>
  </si>
  <si>
    <t>B-501568</t>
  </si>
  <si>
    <t>M-701568</t>
  </si>
  <si>
    <t>F-901568</t>
  </si>
  <si>
    <t>B-501569</t>
  </si>
  <si>
    <t>M-701569</t>
  </si>
  <si>
    <t>F-901569</t>
  </si>
  <si>
    <t>B-501570</t>
  </si>
  <si>
    <t>M-701570</t>
  </si>
  <si>
    <t>F-901570</t>
  </si>
  <si>
    <t>B-501571</t>
  </si>
  <si>
    <t>M-701571</t>
  </si>
  <si>
    <t>F-901571</t>
  </si>
  <si>
    <t>B-501572</t>
  </si>
  <si>
    <t>M-701572</t>
  </si>
  <si>
    <t>F-901572</t>
  </si>
  <si>
    <t>B-501573</t>
  </si>
  <si>
    <t>M-701573</t>
  </si>
  <si>
    <t>F-901573</t>
  </si>
  <si>
    <t>B-501574</t>
  </si>
  <si>
    <t>M-701574</t>
  </si>
  <si>
    <t>F-901574</t>
  </si>
  <si>
    <t>B-501575</t>
  </si>
  <si>
    <t>M-701575</t>
  </si>
  <si>
    <t>F-901575</t>
  </si>
  <si>
    <t>B-501576</t>
  </si>
  <si>
    <t>M-701576</t>
  </si>
  <si>
    <t>F-901576</t>
  </si>
  <si>
    <t>B-501577</t>
  </si>
  <si>
    <t>M-701577</t>
  </si>
  <si>
    <t>F-901577</t>
  </si>
  <si>
    <t>B-501578</t>
  </si>
  <si>
    <t>M-701578</t>
  </si>
  <si>
    <t>F-901578</t>
  </si>
  <si>
    <t>B-501579</t>
  </si>
  <si>
    <t>M-701579</t>
  </si>
  <si>
    <t>F-901579</t>
  </si>
  <si>
    <t>B-501580</t>
  </si>
  <si>
    <t>M-701580</t>
  </si>
  <si>
    <t>F-901580</t>
  </si>
  <si>
    <t>B-501581</t>
  </si>
  <si>
    <t>M-701581</t>
  </si>
  <si>
    <t>F-901581</t>
  </si>
  <si>
    <t>B-501582</t>
  </si>
  <si>
    <t>M-701582</t>
  </si>
  <si>
    <t>F-901582</t>
  </si>
  <si>
    <t>B-501583</t>
  </si>
  <si>
    <t>M-701583</t>
  </si>
  <si>
    <t>F-901583</t>
  </si>
  <si>
    <t>B-501584</t>
  </si>
  <si>
    <t>M-701584</t>
  </si>
  <si>
    <t>F-901584</t>
  </si>
  <si>
    <t>B-501585</t>
  </si>
  <si>
    <t>M-701585</t>
  </si>
  <si>
    <t>F-901585</t>
  </si>
  <si>
    <t>B-501586</t>
  </si>
  <si>
    <t>M-701586</t>
  </si>
  <si>
    <t>F-901586</t>
  </si>
  <si>
    <t>B-501587</t>
  </si>
  <si>
    <t>M-701587</t>
  </si>
  <si>
    <t>F-901587</t>
  </si>
  <si>
    <t>B-501588</t>
  </si>
  <si>
    <t>M-701588</t>
  </si>
  <si>
    <t>F-901588</t>
  </si>
  <si>
    <t>B-501589</t>
  </si>
  <si>
    <t>M-701589</t>
  </si>
  <si>
    <t>F-901589</t>
  </si>
  <si>
    <t>B-501590</t>
  </si>
  <si>
    <t>M-701590</t>
  </si>
  <si>
    <t>F-901590</t>
  </si>
  <si>
    <t>B-501591</t>
  </si>
  <si>
    <t>M-701591</t>
  </si>
  <si>
    <t>F-901591</t>
  </si>
  <si>
    <t>B-501592</t>
  </si>
  <si>
    <t>M-701592</t>
  </si>
  <si>
    <t>F-901592</t>
  </si>
  <si>
    <t>B-501593</t>
  </si>
  <si>
    <t>M-701593</t>
  </si>
  <si>
    <t>F-901593</t>
  </si>
  <si>
    <t>B-501594</t>
  </si>
  <si>
    <t>M-701594</t>
  </si>
  <si>
    <t>F-901594</t>
  </si>
  <si>
    <t>B-501595</t>
  </si>
  <si>
    <t>M-701595</t>
  </si>
  <si>
    <t>F-901595</t>
  </si>
  <si>
    <t>B-501596</t>
  </si>
  <si>
    <t>M-701596</t>
  </si>
  <si>
    <t>F-901596</t>
  </si>
  <si>
    <t>B-501597</t>
  </si>
  <si>
    <t>M-701597</t>
  </si>
  <si>
    <t>F-901597</t>
  </si>
  <si>
    <t>B-501598</t>
  </si>
  <si>
    <t>M-701598</t>
  </si>
  <si>
    <t>F-901598</t>
  </si>
  <si>
    <t>B-501599</t>
  </si>
  <si>
    <t>M-701599</t>
  </si>
  <si>
    <t>F-901599</t>
  </si>
  <si>
    <t>B-501600</t>
  </si>
  <si>
    <t>M-701600</t>
  </si>
  <si>
    <t>F-901600</t>
  </si>
  <si>
    <t>B-501601</t>
  </si>
  <si>
    <t>M-701601</t>
  </si>
  <si>
    <t>F-901601</t>
  </si>
  <si>
    <t>B-501602</t>
  </si>
  <si>
    <t>M-701602</t>
  </si>
  <si>
    <t>F-901602</t>
  </si>
  <si>
    <t>B-501603</t>
  </si>
  <si>
    <t>M-701603</t>
  </si>
  <si>
    <t>F-901603</t>
  </si>
  <si>
    <t>B-501604</t>
  </si>
  <si>
    <t>M-701604</t>
  </si>
  <si>
    <t>F-901604</t>
  </si>
  <si>
    <t>B-501605</t>
  </si>
  <si>
    <t>M-701605</t>
  </si>
  <si>
    <t>F-901605</t>
  </si>
  <si>
    <t>B-501606</t>
  </si>
  <si>
    <t>M-701606</t>
  </si>
  <si>
    <t>F-901606</t>
  </si>
  <si>
    <t>B-501607</t>
  </si>
  <si>
    <t>M-701607</t>
  </si>
  <si>
    <t>F-901607</t>
  </si>
  <si>
    <t>B-501608</t>
  </si>
  <si>
    <t>M-701608</t>
  </si>
  <si>
    <t>F-901608</t>
  </si>
  <si>
    <t>B-501609</t>
  </si>
  <si>
    <t>M-701609</t>
  </si>
  <si>
    <t>F-901609</t>
  </si>
  <si>
    <t>B-501610</t>
  </si>
  <si>
    <t>M-701610</t>
  </si>
  <si>
    <t>F-901610</t>
  </si>
  <si>
    <t>B-501611</t>
  </si>
  <si>
    <t>M-701611</t>
  </si>
  <si>
    <t>F-901611</t>
  </si>
  <si>
    <t>B-501612</t>
  </si>
  <si>
    <t>M-701612</t>
  </si>
  <si>
    <t>F-901612</t>
  </si>
  <si>
    <t>B-501613</t>
  </si>
  <si>
    <t>M-701613</t>
  </si>
  <si>
    <t>F-901613</t>
  </si>
  <si>
    <t>B-501614</t>
  </si>
  <si>
    <t>M-701614</t>
  </si>
  <si>
    <t>F-901614</t>
  </si>
  <si>
    <t>B-501615</t>
  </si>
  <si>
    <t>M-701615</t>
  </si>
  <si>
    <t>F-901615</t>
  </si>
  <si>
    <t>B-501616</t>
  </si>
  <si>
    <t>M-701616</t>
  </si>
  <si>
    <t>F-901616</t>
  </si>
  <si>
    <t>B-501617</t>
  </si>
  <si>
    <t>M-701617</t>
  </si>
  <si>
    <t>F-901617</t>
  </si>
  <si>
    <t>B-501618</t>
  </si>
  <si>
    <t>M-701618</t>
  </si>
  <si>
    <t>F-901618</t>
  </si>
  <si>
    <t>B-501619</t>
  </si>
  <si>
    <t>M-701619</t>
  </si>
  <si>
    <t>F-901619</t>
  </si>
  <si>
    <t>B-501620</t>
  </si>
  <si>
    <t>M-701620</t>
  </si>
  <si>
    <t>F-901620</t>
  </si>
  <si>
    <t>B-501621</t>
  </si>
  <si>
    <t>M-701621</t>
  </si>
  <si>
    <t>F-901621</t>
  </si>
  <si>
    <t>B-501622</t>
  </si>
  <si>
    <t>M-701622</t>
  </si>
  <si>
    <t>F-901622</t>
  </si>
  <si>
    <t>B-501623</t>
  </si>
  <si>
    <t>M-701623</t>
  </si>
  <si>
    <t>F-901623</t>
  </si>
  <si>
    <t>B-501624</t>
  </si>
  <si>
    <t>M-701624</t>
  </si>
  <si>
    <t>F-901624</t>
  </si>
  <si>
    <t>B-501625</t>
  </si>
  <si>
    <t>M-701625</t>
  </si>
  <si>
    <t>F-901625</t>
  </si>
  <si>
    <t>B-501626</t>
  </si>
  <si>
    <t>M-701626</t>
  </si>
  <si>
    <t>F-901626</t>
  </si>
  <si>
    <t>B-501627</t>
  </si>
  <si>
    <t>M-701627</t>
  </si>
  <si>
    <t>F-901627</t>
  </si>
  <si>
    <t>B-501628</t>
  </si>
  <si>
    <t>M-701628</t>
  </si>
  <si>
    <t>F-901628</t>
  </si>
  <si>
    <t>B-501629</t>
  </si>
  <si>
    <t>M-701629</t>
  </si>
  <si>
    <t>F-901629</t>
  </si>
  <si>
    <t>B-501630</t>
  </si>
  <si>
    <t>M-701630</t>
  </si>
  <si>
    <t>F-901630</t>
  </si>
  <si>
    <t>B-501631</t>
  </si>
  <si>
    <t>M-701631</t>
  </si>
  <si>
    <t>F-901631</t>
  </si>
  <si>
    <t>B-501632</t>
  </si>
  <si>
    <t>M-701632</t>
  </si>
  <si>
    <t>F-901632</t>
  </si>
  <si>
    <t>B-501633</t>
  </si>
  <si>
    <t>M-701633</t>
  </si>
  <si>
    <t>F-901633</t>
  </si>
  <si>
    <t>B-501634</t>
  </si>
  <si>
    <t>M-701634</t>
  </si>
  <si>
    <t>F-901634</t>
  </si>
  <si>
    <t>B-501635</t>
  </si>
  <si>
    <t>M-701635</t>
  </si>
  <si>
    <t>F-901635</t>
  </si>
  <si>
    <t>B-501636</t>
  </si>
  <si>
    <t>M-701636</t>
  </si>
  <si>
    <t>F-901636</t>
  </si>
  <si>
    <t>B-501637</t>
  </si>
  <si>
    <t>M-701637</t>
  </si>
  <si>
    <t>F-901637</t>
  </si>
  <si>
    <t>B-501638</t>
  </si>
  <si>
    <t>M-701638</t>
  </si>
  <si>
    <t>F-901638</t>
  </si>
  <si>
    <t>B-501639</t>
  </si>
  <si>
    <t>M-701639</t>
  </si>
  <si>
    <t>F-901639</t>
  </si>
  <si>
    <t>B-501640</t>
  </si>
  <si>
    <t>M-701640</t>
  </si>
  <si>
    <t>F-901640</t>
  </si>
  <si>
    <t>B-501641</t>
  </si>
  <si>
    <t>M-701641</t>
  </si>
  <si>
    <t>F-901641</t>
  </si>
  <si>
    <t>B-501642</t>
  </si>
  <si>
    <t>M-701642</t>
  </si>
  <si>
    <t>F-901642</t>
  </si>
  <si>
    <t>B-501643</t>
  </si>
  <si>
    <t>M-701643</t>
  </si>
  <si>
    <t>F-901643</t>
  </si>
  <si>
    <t>B-501644</t>
  </si>
  <si>
    <t>M-701644</t>
  </si>
  <si>
    <t>F-901644</t>
  </si>
  <si>
    <t>B-501645</t>
  </si>
  <si>
    <t>M-701645</t>
  </si>
  <si>
    <t>F-901645</t>
  </si>
  <si>
    <t>B-501646</t>
  </si>
  <si>
    <t>M-701646</t>
  </si>
  <si>
    <t>F-901646</t>
  </si>
  <si>
    <t>B-501647</t>
  </si>
  <si>
    <t>M-701647</t>
  </si>
  <si>
    <t>F-901647</t>
  </si>
  <si>
    <t>B-501648</t>
  </si>
  <si>
    <t>M-701648</t>
  </si>
  <si>
    <t>F-901648</t>
  </si>
  <si>
    <t>B-501649</t>
  </si>
  <si>
    <t>M-701649</t>
  </si>
  <si>
    <t>F-901649</t>
  </si>
  <si>
    <t>B-501650</t>
  </si>
  <si>
    <t>M-701650</t>
  </si>
  <si>
    <t>F-901650</t>
  </si>
  <si>
    <t>B-501651</t>
  </si>
  <si>
    <t>M-701651</t>
  </si>
  <si>
    <t>F-901651</t>
  </si>
  <si>
    <t>B-501652</t>
  </si>
  <si>
    <t>M-701652</t>
  </si>
  <si>
    <t>F-901652</t>
  </si>
  <si>
    <t>B-501653</t>
  </si>
  <si>
    <t>M-701653</t>
  </si>
  <si>
    <t>F-901653</t>
  </si>
  <si>
    <t>B-501654</t>
  </si>
  <si>
    <t>M-701654</t>
  </si>
  <si>
    <t>F-901654</t>
  </si>
  <si>
    <t>B-501655</t>
  </si>
  <si>
    <t>M-701655</t>
  </si>
  <si>
    <t>F-901655</t>
  </si>
  <si>
    <t>B-501656</t>
  </si>
  <si>
    <t>M-701656</t>
  </si>
  <si>
    <t>F-901656</t>
  </si>
  <si>
    <t>B-501657</t>
  </si>
  <si>
    <t>M-701657</t>
  </si>
  <si>
    <t>F-901657</t>
  </si>
  <si>
    <t>B-501658</t>
  </si>
  <si>
    <t>M-701658</t>
  </si>
  <si>
    <t>F-901658</t>
  </si>
  <si>
    <t>B-501659</t>
  </si>
  <si>
    <t>M-701659</t>
  </si>
  <si>
    <t>F-901659</t>
  </si>
  <si>
    <t>B-501660</t>
  </si>
  <si>
    <t>M-701660</t>
  </si>
  <si>
    <t>F-901660</t>
  </si>
  <si>
    <t>B-501661</t>
  </si>
  <si>
    <t>M-701661</t>
  </si>
  <si>
    <t>F-901661</t>
  </si>
  <si>
    <t>B-501662</t>
  </si>
  <si>
    <t>M-701662</t>
  </si>
  <si>
    <t>F-901662</t>
  </si>
  <si>
    <t>B-501663</t>
  </si>
  <si>
    <t>M-701663</t>
  </si>
  <si>
    <t>F-901663</t>
  </si>
  <si>
    <t>B-501664</t>
  </si>
  <si>
    <t>M-701664</t>
  </si>
  <si>
    <t>F-901664</t>
  </si>
  <si>
    <t>B-501665</t>
  </si>
  <si>
    <t>M-701665</t>
  </si>
  <si>
    <t>F-901665</t>
  </si>
  <si>
    <t>B-501666</t>
  </si>
  <si>
    <t>M-701666</t>
  </si>
  <si>
    <t>F-901666</t>
  </si>
  <si>
    <t>B-501667</t>
  </si>
  <si>
    <t>M-701667</t>
  </si>
  <si>
    <t>F-901667</t>
  </si>
  <si>
    <t>B-501668</t>
  </si>
  <si>
    <t>M-701668</t>
  </si>
  <si>
    <t>F-901668</t>
  </si>
  <si>
    <t>B-501669</t>
  </si>
  <si>
    <t>M-701669</t>
  </si>
  <si>
    <t>F-901669</t>
  </si>
  <si>
    <t>B-501670</t>
  </si>
  <si>
    <t>M-701670</t>
  </si>
  <si>
    <t>F-901670</t>
  </si>
  <si>
    <t>B-501671</t>
  </si>
  <si>
    <t>M-701671</t>
  </si>
  <si>
    <t>F-901671</t>
  </si>
  <si>
    <t>B-501672</t>
  </si>
  <si>
    <t>M-701672</t>
  </si>
  <si>
    <t>F-901672</t>
  </si>
  <si>
    <t>B-501673</t>
  </si>
  <si>
    <t>M-701673</t>
  </si>
  <si>
    <t>F-901673</t>
  </si>
  <si>
    <t>B-501674</t>
  </si>
  <si>
    <t>M-701674</t>
  </si>
  <si>
    <t>F-901674</t>
  </si>
  <si>
    <t>B-501675</t>
  </si>
  <si>
    <t>M-701675</t>
  </si>
  <si>
    <t>F-901675</t>
  </si>
  <si>
    <t>B-501676</t>
  </si>
  <si>
    <t>M-701676</t>
  </si>
  <si>
    <t>F-901676</t>
  </si>
  <si>
    <t>B-501677</t>
  </si>
  <si>
    <t>M-701677</t>
  </si>
  <si>
    <t>F-901677</t>
  </si>
  <si>
    <t>B-501678</t>
  </si>
  <si>
    <t>M-701678</t>
  </si>
  <si>
    <t>F-901678</t>
  </si>
  <si>
    <t>B-501679</t>
  </si>
  <si>
    <t>M-701679</t>
  </si>
  <si>
    <t>F-901679</t>
  </si>
  <si>
    <t>B-501680</t>
  </si>
  <si>
    <t>M-701680</t>
  </si>
  <si>
    <t>F-901680</t>
  </si>
  <si>
    <t>B-501681</t>
  </si>
  <si>
    <t>M-701681</t>
  </si>
  <si>
    <t>F-901681</t>
  </si>
  <si>
    <t>B-501682</t>
  </si>
  <si>
    <t>M-701682</t>
  </si>
  <si>
    <t>F-901682</t>
  </si>
  <si>
    <t>B-501683</t>
  </si>
  <si>
    <t>M-701683</t>
  </si>
  <si>
    <t>F-901683</t>
  </si>
  <si>
    <t>B-501684</t>
  </si>
  <si>
    <t>M-701684</t>
  </si>
  <si>
    <t>F-901684</t>
  </si>
  <si>
    <t>B-501685</t>
  </si>
  <si>
    <t>M-701685</t>
  </si>
  <si>
    <t>F-901685</t>
  </si>
  <si>
    <t>B-501686</t>
  </si>
  <si>
    <t>M-701686</t>
  </si>
  <si>
    <t>F-901686</t>
  </si>
  <si>
    <t>B-501687</t>
  </si>
  <si>
    <t>M-701687</t>
  </si>
  <si>
    <t>F-901687</t>
  </si>
  <si>
    <t>B-501688</t>
  </si>
  <si>
    <t>M-701688</t>
  </si>
  <si>
    <t>F-901688</t>
  </si>
  <si>
    <t>B-501689</t>
  </si>
  <si>
    <t>M-701689</t>
  </si>
  <si>
    <t>F-901689</t>
  </si>
  <si>
    <t>B-501690</t>
  </si>
  <si>
    <t>M-701690</t>
  </si>
  <si>
    <t>F-901690</t>
  </si>
  <si>
    <t>B-501691</t>
  </si>
  <si>
    <t>M-701691</t>
  </si>
  <si>
    <t>F-901691</t>
  </si>
  <si>
    <t>B-501692</t>
  </si>
  <si>
    <t>M-701692</t>
  </si>
  <si>
    <t>F-901692</t>
  </si>
  <si>
    <t>B-501693</t>
  </si>
  <si>
    <t>M-701693</t>
  </si>
  <si>
    <t>F-901693</t>
  </si>
  <si>
    <t>B-501694</t>
  </si>
  <si>
    <t>M-701694</t>
  </si>
  <si>
    <t>F-901694</t>
  </si>
  <si>
    <t>B-501695</t>
  </si>
  <si>
    <t>M-701695</t>
  </si>
  <si>
    <t>F-901695</t>
  </si>
  <si>
    <t>B-501696</t>
  </si>
  <si>
    <t>M-701696</t>
  </si>
  <si>
    <t>F-901696</t>
  </si>
  <si>
    <t>B-501697</t>
  </si>
  <si>
    <t>M-701697</t>
  </si>
  <si>
    <t>F-901697</t>
  </si>
  <si>
    <t>B-501698</t>
  </si>
  <si>
    <t>M-701698</t>
  </si>
  <si>
    <t>F-901698</t>
  </si>
  <si>
    <t>B-501699</t>
  </si>
  <si>
    <t>M-701699</t>
  </si>
  <si>
    <t>F-901699</t>
  </si>
  <si>
    <t>B-501700</t>
  </si>
  <si>
    <t>M-701700</t>
  </si>
  <si>
    <t>F-901700</t>
  </si>
  <si>
    <t>B-501701</t>
  </si>
  <si>
    <t>M-701701</t>
  </si>
  <si>
    <t>F-901701</t>
  </si>
  <si>
    <t>B-501702</t>
  </si>
  <si>
    <t>M-701702</t>
  </si>
  <si>
    <t>F-901702</t>
  </si>
  <si>
    <t>B-501703</t>
  </si>
  <si>
    <t>M-701703</t>
  </si>
  <si>
    <t>F-901703</t>
  </si>
  <si>
    <t>B-501704</t>
  </si>
  <si>
    <t>M-701704</t>
  </si>
  <si>
    <t>F-901704</t>
  </si>
  <si>
    <t>B-501705</t>
  </si>
  <si>
    <t>M-701705</t>
  </si>
  <si>
    <t>F-901705</t>
  </si>
  <si>
    <t>B-501706</t>
  </si>
  <si>
    <t>M-701706</t>
  </si>
  <si>
    <t>F-901706</t>
  </si>
  <si>
    <t>B-501707</t>
  </si>
  <si>
    <t>M-701707</t>
  </si>
  <si>
    <t>F-901707</t>
  </si>
  <si>
    <t>B-501708</t>
  </si>
  <si>
    <t>M-701708</t>
  </si>
  <si>
    <t>F-901708</t>
  </si>
  <si>
    <t>B-501709</t>
  </si>
  <si>
    <t>M-701709</t>
  </si>
  <si>
    <t>F-901709</t>
  </si>
  <si>
    <t>B-501710</t>
  </si>
  <si>
    <t>M-701710</t>
  </si>
  <si>
    <t>F-901710</t>
  </si>
  <si>
    <t>B-501711</t>
  </si>
  <si>
    <t>M-701711</t>
  </si>
  <si>
    <t>F-901711</t>
  </si>
  <si>
    <t>B-501712</t>
  </si>
  <si>
    <t>M-701712</t>
  </si>
  <si>
    <t>F-901712</t>
  </si>
  <si>
    <t>B-501713</t>
  </si>
  <si>
    <t>M-701713</t>
  </si>
  <si>
    <t>F-901713</t>
  </si>
  <si>
    <t>B-501714</t>
  </si>
  <si>
    <t>M-701714</t>
  </si>
  <si>
    <t>F-901714</t>
  </si>
  <si>
    <t>B-501715</t>
  </si>
  <si>
    <t>M-701715</t>
  </si>
  <si>
    <t>F-901715</t>
  </si>
  <si>
    <t>B-501716</t>
  </si>
  <si>
    <t>M-701716</t>
  </si>
  <si>
    <t>F-901716</t>
  </si>
  <si>
    <t>B-501717</t>
  </si>
  <si>
    <t>M-701717</t>
  </si>
  <si>
    <t>F-901717</t>
  </si>
  <si>
    <t>B-501718</t>
  </si>
  <si>
    <t>M-701718</t>
  </si>
  <si>
    <t>F-901718</t>
  </si>
  <si>
    <t>B-501719</t>
  </si>
  <si>
    <t>M-701719</t>
  </si>
  <si>
    <t>F-901719</t>
  </si>
  <si>
    <t>B-501720</t>
  </si>
  <si>
    <t>M-701720</t>
  </si>
  <si>
    <t>F-901720</t>
  </si>
  <si>
    <t>B-501721</t>
  </si>
  <si>
    <t>M-701721</t>
  </si>
  <si>
    <t>F-901721</t>
  </si>
  <si>
    <t>B-501722</t>
  </si>
  <si>
    <t>M-701722</t>
  </si>
  <si>
    <t>F-901722</t>
  </si>
  <si>
    <t>B-501723</t>
  </si>
  <si>
    <t>M-701723</t>
  </si>
  <si>
    <t>F-901723</t>
  </si>
  <si>
    <t>B-501724</t>
  </si>
  <si>
    <t>M-701724</t>
  </si>
  <si>
    <t>F-901724</t>
  </si>
  <si>
    <t>B-501725</t>
  </si>
  <si>
    <t>M-701725</t>
  </si>
  <si>
    <t>F-901725</t>
  </si>
  <si>
    <t>B-501726</t>
  </si>
  <si>
    <t>M-701726</t>
  </si>
  <si>
    <t>F-901726</t>
  </si>
  <si>
    <t>B-501727</t>
  </si>
  <si>
    <t>M-701727</t>
  </si>
  <si>
    <t>F-901727</t>
  </si>
  <si>
    <t>B-501728</t>
  </si>
  <si>
    <t>M-701728</t>
  </si>
  <si>
    <t>F-901728</t>
  </si>
  <si>
    <t>B-501729</t>
  </si>
  <si>
    <t>M-701729</t>
  </si>
  <si>
    <t>F-901729</t>
  </si>
  <si>
    <t>B-501730</t>
  </si>
  <si>
    <t>M-701730</t>
  </si>
  <si>
    <t>F-901730</t>
  </si>
  <si>
    <t>B-501731</t>
  </si>
  <si>
    <t>M-701731</t>
  </si>
  <si>
    <t>F-901731</t>
  </si>
  <si>
    <t>B-501732</t>
  </si>
  <si>
    <t>M-701732</t>
  </si>
  <si>
    <t>F-901732</t>
  </si>
  <si>
    <t>B-501733</t>
  </si>
  <si>
    <t>M-701733</t>
  </si>
  <si>
    <t>F-901733</t>
  </si>
  <si>
    <t>B-501734</t>
  </si>
  <si>
    <t>M-701734</t>
  </si>
  <si>
    <t>F-901734</t>
  </si>
  <si>
    <t>B-501735</t>
  </si>
  <si>
    <t>M-701735</t>
  </si>
  <si>
    <t>F-901735</t>
  </si>
  <si>
    <t>B-501736</t>
  </si>
  <si>
    <t>M-701736</t>
  </si>
  <si>
    <t>F-901736</t>
  </si>
  <si>
    <t>B-501737</t>
  </si>
  <si>
    <t>M-701737</t>
  </si>
  <si>
    <t>F-901737</t>
  </si>
  <si>
    <t>B-501738</t>
  </si>
  <si>
    <t>M-701738</t>
  </si>
  <si>
    <t>F-901738</t>
  </si>
  <si>
    <t>B-501739</t>
  </si>
  <si>
    <t>M-701739</t>
  </si>
  <si>
    <t>F-901739</t>
  </si>
  <si>
    <t>B-501740</t>
  </si>
  <si>
    <t>M-701740</t>
  </si>
  <si>
    <t>F-901740</t>
  </si>
  <si>
    <t>B-501741</t>
  </si>
  <si>
    <t>M-701741</t>
  </si>
  <si>
    <t>F-901741</t>
  </si>
  <si>
    <t>B-501742</t>
  </si>
  <si>
    <t>M-701742</t>
  </si>
  <si>
    <t>F-901742</t>
  </si>
  <si>
    <t>B-501743</t>
  </si>
  <si>
    <t>M-701743</t>
  </si>
  <si>
    <t>F-901743</t>
  </si>
  <si>
    <t>B-501744</t>
  </si>
  <si>
    <t>M-701744</t>
  </si>
  <si>
    <t>F-901744</t>
  </si>
  <si>
    <t>B-501745</t>
  </si>
  <si>
    <t>M-701745</t>
  </si>
  <si>
    <t>F-901745</t>
  </si>
  <si>
    <t>B-501746</t>
  </si>
  <si>
    <t>M-701746</t>
  </si>
  <si>
    <t>F-901746</t>
  </si>
  <si>
    <t>B-501747</t>
  </si>
  <si>
    <t>M-701747</t>
  </si>
  <si>
    <t>F-901747</t>
  </si>
  <si>
    <t>B-501748</t>
  </si>
  <si>
    <t>M-701748</t>
  </si>
  <si>
    <t>F-901748</t>
  </si>
  <si>
    <t>B-501749</t>
  </si>
  <si>
    <t>M-701749</t>
  </si>
  <si>
    <t>F-901749</t>
  </si>
  <si>
    <t>B-501750</t>
  </si>
  <si>
    <t>M-701750</t>
  </si>
  <si>
    <t>F-901750</t>
  </si>
  <si>
    <t>B-501751</t>
  </si>
  <si>
    <t>M-701751</t>
  </si>
  <si>
    <t>F-901751</t>
  </si>
  <si>
    <t>B-501752</t>
  </si>
  <si>
    <t>M-701752</t>
  </si>
  <si>
    <t>F-901752</t>
  </si>
  <si>
    <t>B-501753</t>
  </si>
  <si>
    <t>M-701753</t>
  </si>
  <si>
    <t>F-901753</t>
  </si>
  <si>
    <t>B-501754</t>
  </si>
  <si>
    <t>M-701754</t>
  </si>
  <si>
    <t>F-901754</t>
  </si>
  <si>
    <t>B-501755</t>
  </si>
  <si>
    <t>M-701755</t>
  </si>
  <si>
    <t>F-901755</t>
  </si>
  <si>
    <t>B-501756</t>
  </si>
  <si>
    <t>M-701756</t>
  </si>
  <si>
    <t>F-901756</t>
  </si>
  <si>
    <t>B-501757</t>
  </si>
  <si>
    <t>M-701757</t>
  </si>
  <si>
    <t>F-901757</t>
  </si>
  <si>
    <t>B-501758</t>
  </si>
  <si>
    <t>M-701758</t>
  </si>
  <si>
    <t>F-901758</t>
  </si>
  <si>
    <t>B-501759</t>
  </si>
  <si>
    <t>M-701759</t>
  </si>
  <si>
    <t>F-901759</t>
  </si>
  <si>
    <t>B-501760</t>
  </si>
  <si>
    <t>M-701760</t>
  </si>
  <si>
    <t>F-901760</t>
  </si>
  <si>
    <t>B-501761</t>
  </si>
  <si>
    <t>M-701761</t>
  </si>
  <si>
    <t>F-901761</t>
  </si>
  <si>
    <t>B-501762</t>
  </si>
  <si>
    <t>M-701762</t>
  </si>
  <si>
    <t>F-901762</t>
  </si>
  <si>
    <t>B-501763</t>
  </si>
  <si>
    <t>M-701763</t>
  </si>
  <si>
    <t>F-901763</t>
  </si>
  <si>
    <t>B-501764</t>
  </si>
  <si>
    <t>M-701764</t>
  </si>
  <si>
    <t>F-901764</t>
  </si>
  <si>
    <t>B-501765</t>
  </si>
  <si>
    <t>M-701765</t>
  </si>
  <si>
    <t>F-901765</t>
  </si>
  <si>
    <t>B-501766</t>
  </si>
  <si>
    <t>M-701766</t>
  </si>
  <si>
    <t>F-901766</t>
  </si>
  <si>
    <t>B-501767</t>
  </si>
  <si>
    <t>M-701767</t>
  </si>
  <si>
    <t>F-901767</t>
  </si>
  <si>
    <t>B-501768</t>
  </si>
  <si>
    <t>M-701768</t>
  </si>
  <si>
    <t>F-901768</t>
  </si>
  <si>
    <t>B-501769</t>
  </si>
  <si>
    <t>M-701769</t>
  </si>
  <si>
    <t>F-901769</t>
  </si>
  <si>
    <t>B-501770</t>
  </si>
  <si>
    <t>M-701770</t>
  </si>
  <si>
    <t>F-901770</t>
  </si>
  <si>
    <t>B-501771</t>
  </si>
  <si>
    <t>M-701771</t>
  </si>
  <si>
    <t>F-901771</t>
  </si>
  <si>
    <t>B-501772</t>
  </si>
  <si>
    <t>M-701772</t>
  </si>
  <si>
    <t>F-901772</t>
  </si>
  <si>
    <t>B-501773</t>
  </si>
  <si>
    <t>M-701773</t>
  </si>
  <si>
    <t>F-901773</t>
  </si>
  <si>
    <t>B-501774</t>
  </si>
  <si>
    <t>M-701774</t>
  </si>
  <si>
    <t>F-901774</t>
  </si>
  <si>
    <t>B-501775</t>
  </si>
  <si>
    <t>M-701775</t>
  </si>
  <si>
    <t>F-901775</t>
  </si>
  <si>
    <t>B-501776</t>
  </si>
  <si>
    <t>M-701776</t>
  </si>
  <si>
    <t>F-901776</t>
  </si>
  <si>
    <t>B-501777</t>
  </si>
  <si>
    <t>M-701777</t>
  </si>
  <si>
    <t>F-901777</t>
  </si>
  <si>
    <t>B-501778</t>
  </si>
  <si>
    <t>M-701778</t>
  </si>
  <si>
    <t>F-901778</t>
  </si>
  <si>
    <t>B-501779</t>
  </si>
  <si>
    <t>M-701779</t>
  </si>
  <si>
    <t>F-901779</t>
  </si>
  <si>
    <t>B-501780</t>
  </si>
  <si>
    <t>M-701780</t>
  </si>
  <si>
    <t>F-901780</t>
  </si>
  <si>
    <t>B-501781</t>
  </si>
  <si>
    <t>M-701781</t>
  </si>
  <si>
    <t>F-901781</t>
  </si>
  <si>
    <t>B-501782</t>
  </si>
  <si>
    <t>M-701782</t>
  </si>
  <si>
    <t>F-901782</t>
  </si>
  <si>
    <t>B-501783</t>
  </si>
  <si>
    <t>M-701783</t>
  </si>
  <si>
    <t>F-901783</t>
  </si>
  <si>
    <t>B-501784</t>
  </si>
  <si>
    <t>M-701784</t>
  </si>
  <si>
    <t>F-901784</t>
  </si>
  <si>
    <t>B-501785</t>
  </si>
  <si>
    <t>M-701785</t>
  </si>
  <si>
    <t>F-901785</t>
  </si>
  <si>
    <t>B-501786</t>
  </si>
  <si>
    <t>M-701786</t>
  </si>
  <si>
    <t>F-901786</t>
  </si>
  <si>
    <t>B-501787</t>
  </si>
  <si>
    <t>M-701787</t>
  </si>
  <si>
    <t>F-901787</t>
  </si>
  <si>
    <t>B-501788</t>
  </si>
  <si>
    <t>M-701788</t>
  </si>
  <si>
    <t>F-901788</t>
  </si>
  <si>
    <t>B-501789</t>
  </si>
  <si>
    <t>M-701789</t>
  </si>
  <si>
    <t>F-901789</t>
  </si>
  <si>
    <t>B-501790</t>
  </si>
  <si>
    <t>M-701790</t>
  </si>
  <si>
    <t>F-901790</t>
  </si>
  <si>
    <t>B-501791</t>
  </si>
  <si>
    <t>M-701791</t>
  </si>
  <si>
    <t>F-901791</t>
  </si>
  <si>
    <t>B-501792</t>
  </si>
  <si>
    <t>M-701792</t>
  </si>
  <si>
    <t>F-901792</t>
  </si>
  <si>
    <t>B-501793</t>
  </si>
  <si>
    <t>M-701793</t>
  </si>
  <si>
    <t>F-901793</t>
  </si>
  <si>
    <t>B-501794</t>
  </si>
  <si>
    <t>M-701794</t>
  </si>
  <si>
    <t>F-901794</t>
  </si>
  <si>
    <t>B-501795</t>
  </si>
  <si>
    <t>M-701795</t>
  </si>
  <si>
    <t>F-901795</t>
  </si>
  <si>
    <t>B-501796</t>
  </si>
  <si>
    <t>M-701796</t>
  </si>
  <si>
    <t>F-901796</t>
  </si>
  <si>
    <t>B-501797</t>
  </si>
  <si>
    <t>M-701797</t>
  </si>
  <si>
    <t>F-901797</t>
  </si>
  <si>
    <t>B-501798</t>
  </si>
  <si>
    <t>M-701798</t>
  </si>
  <si>
    <t>F-901798</t>
  </si>
  <si>
    <t>B-501799</t>
  </si>
  <si>
    <t>M-701799</t>
  </si>
  <si>
    <t>F-901799</t>
  </si>
  <si>
    <t>B-501800</t>
  </si>
  <si>
    <t>M-701800</t>
  </si>
  <si>
    <t>F-901800</t>
  </si>
  <si>
    <t>B-501801</t>
  </si>
  <si>
    <t>M-701801</t>
  </si>
  <si>
    <t>F-901801</t>
  </si>
  <si>
    <t>B-501802</t>
  </si>
  <si>
    <t>M-701802</t>
  </si>
  <si>
    <t>F-901802</t>
  </si>
  <si>
    <t>B-501803</t>
  </si>
  <si>
    <t>M-701803</t>
  </si>
  <si>
    <t>F-901803</t>
  </si>
  <si>
    <t>B-501804</t>
  </si>
  <si>
    <t>M-701804</t>
  </si>
  <si>
    <t>F-901804</t>
  </si>
  <si>
    <t>B-501805</t>
  </si>
  <si>
    <t>M-701805</t>
  </si>
  <si>
    <t>F-901805</t>
  </si>
  <si>
    <t>B-501806</t>
  </si>
  <si>
    <t>M-701806</t>
  </si>
  <si>
    <t>F-901806</t>
  </si>
  <si>
    <t>B-501807</t>
  </si>
  <si>
    <t>M-701807</t>
  </si>
  <si>
    <t>F-901807</t>
  </si>
  <si>
    <t>B-501808</t>
  </si>
  <si>
    <t>M-701808</t>
  </si>
  <si>
    <t>F-901808</t>
  </si>
  <si>
    <t>B-501809</t>
  </si>
  <si>
    <t>M-701809</t>
  </si>
  <si>
    <t>F-901809</t>
  </si>
  <si>
    <t>B-501810</t>
  </si>
  <si>
    <t>M-701810</t>
  </si>
  <si>
    <t>F-901810</t>
  </si>
  <si>
    <t>B-501811</t>
  </si>
  <si>
    <t>M-701811</t>
  </si>
  <si>
    <t>F-901811</t>
  </si>
  <si>
    <t>B-501812</t>
  </si>
  <si>
    <t>M-701812</t>
  </si>
  <si>
    <t>F-901812</t>
  </si>
  <si>
    <t>B-501813</t>
  </si>
  <si>
    <t>M-701813</t>
  </si>
  <si>
    <t>F-901813</t>
  </si>
  <si>
    <t>B-501814</t>
  </si>
  <si>
    <t>M-701814</t>
  </si>
  <si>
    <t>F-901814</t>
  </si>
  <si>
    <t>B-501815</t>
  </si>
  <si>
    <t>M-701815</t>
  </si>
  <si>
    <t>F-901815</t>
  </si>
  <si>
    <t>B-501816</t>
  </si>
  <si>
    <t>M-701816</t>
  </si>
  <si>
    <t>F-901816</t>
  </si>
  <si>
    <t>B-501817</t>
  </si>
  <si>
    <t>M-701817</t>
  </si>
  <si>
    <t>F-901817</t>
  </si>
  <si>
    <t>B-501818</t>
  </si>
  <si>
    <t>M-701818</t>
  </si>
  <si>
    <t>F-901818</t>
  </si>
  <si>
    <t>B-501819</t>
  </si>
  <si>
    <t>M-701819</t>
  </si>
  <si>
    <t>F-901819</t>
  </si>
  <si>
    <t>B-501820</t>
  </si>
  <si>
    <t>M-701820</t>
  </si>
  <si>
    <t>F-901820</t>
  </si>
  <si>
    <t>B-501821</t>
  </si>
  <si>
    <t>M-701821</t>
  </si>
  <si>
    <t>F-901821</t>
  </si>
  <si>
    <t>B-501822</t>
  </si>
  <si>
    <t>M-701822</t>
  </si>
  <si>
    <t>F-901822</t>
  </si>
  <si>
    <t>B-501823</t>
  </si>
  <si>
    <t>M-701823</t>
  </si>
  <si>
    <t>F-901823</t>
  </si>
  <si>
    <t>B-501824</t>
  </si>
  <si>
    <t>M-701824</t>
  </si>
  <si>
    <t>F-901824</t>
  </si>
  <si>
    <t>B-501825</t>
  </si>
  <si>
    <t>M-701825</t>
  </si>
  <si>
    <t>F-901825</t>
  </si>
  <si>
    <t>B-501826</t>
  </si>
  <si>
    <t>M-701826</t>
  </si>
  <si>
    <t>F-901826</t>
  </si>
  <si>
    <t>B-501827</t>
  </si>
  <si>
    <t>M-701827</t>
  </si>
  <si>
    <t>F-901827</t>
  </si>
  <si>
    <t>B-501828</t>
  </si>
  <si>
    <t>M-701828</t>
  </si>
  <si>
    <t>F-901828</t>
  </si>
  <si>
    <t>B-501829</t>
  </si>
  <si>
    <t>M-701829</t>
  </si>
  <si>
    <t>F-901829</t>
  </si>
  <si>
    <t>B-501830</t>
  </si>
  <si>
    <t>M-701830</t>
  </si>
  <si>
    <t>F-901830</t>
  </si>
  <si>
    <t>B-501831</t>
  </si>
  <si>
    <t>M-701831</t>
  </si>
  <si>
    <t>F-901831</t>
  </si>
  <si>
    <t>B-501832</t>
  </si>
  <si>
    <t>M-701832</t>
  </si>
  <si>
    <t>F-901832</t>
  </si>
  <si>
    <t>B-501833</t>
  </si>
  <si>
    <t>M-701833</t>
  </si>
  <si>
    <t>F-901833</t>
  </si>
  <si>
    <t>B-501834</t>
  </si>
  <si>
    <t>M-701834</t>
  </si>
  <si>
    <t>F-901834</t>
  </si>
  <si>
    <t>B-501835</t>
  </si>
  <si>
    <t>M-701835</t>
  </si>
  <si>
    <t>F-901835</t>
  </si>
  <si>
    <t>B-501836</t>
  </si>
  <si>
    <t>M-701836</t>
  </si>
  <si>
    <t>F-901836</t>
  </si>
  <si>
    <t>B-501837</t>
  </si>
  <si>
    <t>M-701837</t>
  </si>
  <si>
    <t>F-901837</t>
  </si>
  <si>
    <t>B-501838</t>
  </si>
  <si>
    <t>M-701838</t>
  </si>
  <si>
    <t>F-901838</t>
  </si>
  <si>
    <t>B-501839</t>
  </si>
  <si>
    <t>M-701839</t>
  </si>
  <si>
    <t>F-901839</t>
  </si>
  <si>
    <t>B-501840</t>
  </si>
  <si>
    <t>M-701840</t>
  </si>
  <si>
    <t>F-901840</t>
  </si>
  <si>
    <t>B-501841</t>
  </si>
  <si>
    <t>M-701841</t>
  </si>
  <si>
    <t>F-901841</t>
  </si>
  <si>
    <t>B-501842</t>
  </si>
  <si>
    <t>M-701842</t>
  </si>
  <si>
    <t>F-901842</t>
  </si>
  <si>
    <t>B-501843</t>
  </si>
  <si>
    <t>M-701843</t>
  </si>
  <si>
    <t>F-901843</t>
  </si>
  <si>
    <t>B-501844</t>
  </si>
  <si>
    <t>M-701844</t>
  </si>
  <si>
    <t>F-901844</t>
  </si>
  <si>
    <t>B-501845</t>
  </si>
  <si>
    <t>M-701845</t>
  </si>
  <si>
    <t>F-901845</t>
  </si>
  <si>
    <t>B-501846</t>
  </si>
  <si>
    <t>M-701846</t>
  </si>
  <si>
    <t>F-901846</t>
  </si>
  <si>
    <t>B-501847</t>
  </si>
  <si>
    <t>M-701847</t>
  </si>
  <si>
    <t>F-901847</t>
  </si>
  <si>
    <t>B-501848</t>
  </si>
  <si>
    <t>M-701848</t>
  </si>
  <si>
    <t>F-901848</t>
  </si>
  <si>
    <t>B-501849</t>
  </si>
  <si>
    <t>M-701849</t>
  </si>
  <si>
    <t>F-901849</t>
  </si>
  <si>
    <t>B-501850</t>
  </si>
  <si>
    <t>M-701850</t>
  </si>
  <si>
    <t>F-901850</t>
  </si>
  <si>
    <t>B-501851</t>
  </si>
  <si>
    <t>M-701851</t>
  </si>
  <si>
    <t>F-901851</t>
  </si>
  <si>
    <t>B-501852</t>
  </si>
  <si>
    <t>M-701852</t>
  </si>
  <si>
    <t>F-901852</t>
  </si>
  <si>
    <t>B-501853</t>
  </si>
  <si>
    <t>M-701853</t>
  </si>
  <si>
    <t>F-901853</t>
  </si>
  <si>
    <t>B-501854</t>
  </si>
  <si>
    <t>M-701854</t>
  </si>
  <si>
    <t>F-901854</t>
  </si>
  <si>
    <t>B-501855</t>
  </si>
  <si>
    <t>M-701855</t>
  </si>
  <si>
    <t>F-901855</t>
  </si>
  <si>
    <t>B-501856</t>
  </si>
  <si>
    <t>M-701856</t>
  </si>
  <si>
    <t>F-901856</t>
  </si>
  <si>
    <t>B-501857</t>
  </si>
  <si>
    <t>M-701857</t>
  </si>
  <si>
    <t>F-901857</t>
  </si>
  <si>
    <t>B-501858</t>
  </si>
  <si>
    <t>M-701858</t>
  </si>
  <si>
    <t>F-901858</t>
  </si>
  <si>
    <t>B-501859</t>
  </si>
  <si>
    <t>M-701859</t>
  </si>
  <si>
    <t>F-901859</t>
  </si>
  <si>
    <t>B-501860</t>
  </si>
  <si>
    <t>M-701860</t>
  </si>
  <si>
    <t>F-901860</t>
  </si>
  <si>
    <t>B-501861</t>
  </si>
  <si>
    <t>M-701861</t>
  </si>
  <si>
    <t>F-901861</t>
  </si>
  <si>
    <t>B-501862</t>
  </si>
  <si>
    <t>M-701862</t>
  </si>
  <si>
    <t>F-901862</t>
  </si>
  <si>
    <t>B-501863</t>
  </si>
  <si>
    <t>M-701863</t>
  </si>
  <si>
    <t>F-901863</t>
  </si>
  <si>
    <t>B-501864</t>
  </si>
  <si>
    <t>M-701864</t>
  </si>
  <si>
    <t>F-901864</t>
  </si>
  <si>
    <t>B-501865</t>
  </si>
  <si>
    <t>M-701865</t>
  </si>
  <si>
    <t>F-901865</t>
  </si>
  <si>
    <t>B-501866</t>
  </si>
  <si>
    <t>M-701866</t>
  </si>
  <si>
    <t>F-901866</t>
  </si>
  <si>
    <t>B-501867</t>
  </si>
  <si>
    <t>M-701867</t>
  </si>
  <si>
    <t>F-901867</t>
  </si>
  <si>
    <t>B-501868</t>
  </si>
  <si>
    <t>M-701868</t>
  </si>
  <si>
    <t>F-901868</t>
  </si>
  <si>
    <t>B-501869</t>
  </si>
  <si>
    <t>M-701869</t>
  </si>
  <si>
    <t>F-901869</t>
  </si>
  <si>
    <t>B-501870</t>
  </si>
  <si>
    <t>M-701870</t>
  </si>
  <si>
    <t>F-901870</t>
  </si>
  <si>
    <t>B-501871</t>
  </si>
  <si>
    <t>M-701871</t>
  </si>
  <si>
    <t>F-901871</t>
  </si>
  <si>
    <t>B-501872</t>
  </si>
  <si>
    <t>M-701872</t>
  </si>
  <si>
    <t>F-901872</t>
  </si>
  <si>
    <t>B-501873</t>
  </si>
  <si>
    <t>M-701873</t>
  </si>
  <si>
    <t>F-901873</t>
  </si>
  <si>
    <t>B-501874</t>
  </si>
  <si>
    <t>M-701874</t>
  </si>
  <si>
    <t>F-901874</t>
  </si>
  <si>
    <t>B-501875</t>
  </si>
  <si>
    <t>M-701875</t>
  </si>
  <si>
    <t>F-901875</t>
  </si>
  <si>
    <t>B-501876</t>
  </si>
  <si>
    <t>M-701876</t>
  </si>
  <si>
    <t>F-901876</t>
  </si>
  <si>
    <t>B-501877</t>
  </si>
  <si>
    <t>M-701877</t>
  </si>
  <si>
    <t>F-901877</t>
  </si>
  <si>
    <t>B-501878</t>
  </si>
  <si>
    <t>M-701878</t>
  </si>
  <si>
    <t>F-901878</t>
  </si>
  <si>
    <t>B-501879</t>
  </si>
  <si>
    <t>M-701879</t>
  </si>
  <si>
    <t>F-901879</t>
  </si>
  <si>
    <t>B-501880</t>
  </si>
  <si>
    <t>M-701880</t>
  </si>
  <si>
    <t>F-901880</t>
  </si>
  <si>
    <t>B-501881</t>
  </si>
  <si>
    <t>M-701881</t>
  </si>
  <si>
    <t>F-901881</t>
  </si>
  <si>
    <t>B-501882</t>
  </si>
  <si>
    <t>M-701882</t>
  </si>
  <si>
    <t>F-901882</t>
  </si>
  <si>
    <t>B-501883</t>
  </si>
  <si>
    <t>M-701883</t>
  </si>
  <si>
    <t>F-901883</t>
  </si>
  <si>
    <t>B-501884</t>
  </si>
  <si>
    <t>M-701884</t>
  </si>
  <si>
    <t>F-901884</t>
  </si>
  <si>
    <t>B-501885</t>
  </si>
  <si>
    <t>M-701885</t>
  </si>
  <si>
    <t>F-901885</t>
  </si>
  <si>
    <t>B-501886</t>
  </si>
  <si>
    <t>M-701886</t>
  </si>
  <si>
    <t>F-901886</t>
  </si>
  <si>
    <t>B-501887</t>
  </si>
  <si>
    <t>M-701887</t>
  </si>
  <si>
    <t>F-901887</t>
  </si>
  <si>
    <t>B-501888</t>
  </si>
  <si>
    <t>M-701888</t>
  </si>
  <si>
    <t>F-901888</t>
  </si>
  <si>
    <t>B-501889</t>
  </si>
  <si>
    <t>M-701889</t>
  </si>
  <si>
    <t>F-901889</t>
  </si>
  <si>
    <t>B-501890</t>
  </si>
  <si>
    <t>M-701890</t>
  </si>
  <si>
    <t>F-901890</t>
  </si>
  <si>
    <t>B-501891</t>
  </si>
  <si>
    <t>M-701891</t>
  </si>
  <si>
    <t>F-901891</t>
  </si>
  <si>
    <t>B-501892</t>
  </si>
  <si>
    <t>M-701892</t>
  </si>
  <si>
    <t>F-901892</t>
  </si>
  <si>
    <t>B-501893</t>
  </si>
  <si>
    <t>M-701893</t>
  </si>
  <si>
    <t>F-901893</t>
  </si>
  <si>
    <t>B-501894</t>
  </si>
  <si>
    <t>M-701894</t>
  </si>
  <si>
    <t>F-901894</t>
  </si>
  <si>
    <t>B-501895</t>
  </si>
  <si>
    <t>M-701895</t>
  </si>
  <si>
    <t>F-901895</t>
  </si>
  <si>
    <t>B-501896</t>
  </si>
  <si>
    <t>M-701896</t>
  </si>
  <si>
    <t>F-901896</t>
  </si>
  <si>
    <t>B-501897</t>
  </si>
  <si>
    <t>M-701897</t>
  </si>
  <si>
    <t>F-901897</t>
  </si>
  <si>
    <t>B-501898</t>
  </si>
  <si>
    <t>M-701898</t>
  </si>
  <si>
    <t>F-901898</t>
  </si>
  <si>
    <t>B-501899</t>
  </si>
  <si>
    <t>M-701899</t>
  </si>
  <si>
    <t>F-901899</t>
  </si>
  <si>
    <t>B-501900</t>
  </si>
  <si>
    <t>M-701900</t>
  </si>
  <si>
    <t>F-901900</t>
  </si>
  <si>
    <t>B-501901</t>
  </si>
  <si>
    <t>M-701901</t>
  </si>
  <si>
    <t>F-901901</t>
  </si>
  <si>
    <t>B-501902</t>
  </si>
  <si>
    <t>M-701902</t>
  </si>
  <si>
    <t>F-901902</t>
  </si>
  <si>
    <t>B-501903</t>
  </si>
  <si>
    <t>M-701903</t>
  </si>
  <si>
    <t>F-901903</t>
  </si>
  <si>
    <t>B-501904</t>
  </si>
  <si>
    <t>M-701904</t>
  </si>
  <si>
    <t>F-901904</t>
  </si>
  <si>
    <t>B-501905</t>
  </si>
  <si>
    <t>M-701905</t>
  </si>
  <si>
    <t>F-901905</t>
  </si>
  <si>
    <t>B-501906</t>
  </si>
  <si>
    <t>M-701906</t>
  </si>
  <si>
    <t>F-901906</t>
  </si>
  <si>
    <t>B-501907</t>
  </si>
  <si>
    <t>M-701907</t>
  </si>
  <si>
    <t>F-901907</t>
  </si>
  <si>
    <t>B-501908</t>
  </si>
  <si>
    <t>M-701908</t>
  </si>
  <si>
    <t>F-901908</t>
  </si>
  <si>
    <t>B-501909</t>
  </si>
  <si>
    <t>M-701909</t>
  </si>
  <si>
    <t>F-901909</t>
  </si>
  <si>
    <t>B-501910</t>
  </si>
  <si>
    <t>M-701910</t>
  </si>
  <si>
    <t>F-901910</t>
  </si>
  <si>
    <t>B-501911</t>
  </si>
  <si>
    <t>M-701911</t>
  </si>
  <si>
    <t>F-901911</t>
  </si>
  <si>
    <t>B-501912</t>
  </si>
  <si>
    <t>M-701912</t>
  </si>
  <si>
    <t>F-901912</t>
  </si>
  <si>
    <t>B-501913</t>
  </si>
  <si>
    <t>M-701913</t>
  </si>
  <si>
    <t>F-901913</t>
  </si>
  <si>
    <t>B-501914</t>
  </si>
  <si>
    <t>M-701914</t>
  </si>
  <si>
    <t>F-901914</t>
  </si>
  <si>
    <t>B-501915</t>
  </si>
  <si>
    <t>M-701915</t>
  </si>
  <si>
    <t>F-901915</t>
  </si>
  <si>
    <t>B-501916</t>
  </si>
  <si>
    <t>M-701916</t>
  </si>
  <si>
    <t>F-901916</t>
  </si>
  <si>
    <t>B-501917</t>
  </si>
  <si>
    <t>M-701917</t>
  </si>
  <si>
    <t>F-901917</t>
  </si>
  <si>
    <t>B-501918</t>
  </si>
  <si>
    <t>M-701918</t>
  </si>
  <si>
    <t>F-901918</t>
  </si>
  <si>
    <t>B-501919</t>
  </si>
  <si>
    <t>M-701919</t>
  </si>
  <si>
    <t>F-901919</t>
  </si>
  <si>
    <t>B-501920</t>
  </si>
  <si>
    <t>M-701920</t>
  </si>
  <si>
    <t>F-901920</t>
  </si>
  <si>
    <t>B-501921</t>
  </si>
  <si>
    <t>M-701921</t>
  </si>
  <si>
    <t>F-901921</t>
  </si>
  <si>
    <t>B-501922</t>
  </si>
  <si>
    <t>M-701922</t>
  </si>
  <si>
    <t>F-901922</t>
  </si>
  <si>
    <t>B-501923</t>
  </si>
  <si>
    <t>M-701923</t>
  </si>
  <si>
    <t>F-901923</t>
  </si>
  <si>
    <t>B-501924</t>
  </si>
  <si>
    <t>M-701924</t>
  </si>
  <si>
    <t>F-901924</t>
  </si>
  <si>
    <t>B-501925</t>
  </si>
  <si>
    <t>M-701925</t>
  </si>
  <si>
    <t>F-901925</t>
  </si>
  <si>
    <t>B-501926</t>
  </si>
  <si>
    <t>M-701926</t>
  </si>
  <si>
    <t>F-901926</t>
  </si>
  <si>
    <t>B-501927</t>
  </si>
  <si>
    <t>M-701927</t>
  </si>
  <si>
    <t>F-901927</t>
  </si>
  <si>
    <t>B-501928</t>
  </si>
  <si>
    <t>M-701928</t>
  </si>
  <si>
    <t>F-901928</t>
  </si>
  <si>
    <t>B-501929</t>
  </si>
  <si>
    <t>M-701929</t>
  </si>
  <si>
    <t>F-901929</t>
  </si>
  <si>
    <t>B-501930</t>
  </si>
  <si>
    <t>M-701930</t>
  </si>
  <si>
    <t>F-901930</t>
  </si>
  <si>
    <t>B-501931</t>
  </si>
  <si>
    <t>M-701931</t>
  </si>
  <si>
    <t>F-901931</t>
  </si>
  <si>
    <t>B-501932</t>
  </si>
  <si>
    <t>M-701932</t>
  </si>
  <si>
    <t>F-901932</t>
  </si>
  <si>
    <t>B-501933</t>
  </si>
  <si>
    <t>M-701933</t>
  </si>
  <si>
    <t>F-901933</t>
  </si>
  <si>
    <t>B-501934</t>
  </si>
  <si>
    <t>M-701934</t>
  </si>
  <si>
    <t>F-901934</t>
  </si>
  <si>
    <t>B-501935</t>
  </si>
  <si>
    <t>M-701935</t>
  </si>
  <si>
    <t>F-901935</t>
  </si>
  <si>
    <t>B-501936</t>
  </si>
  <si>
    <t>M-701936</t>
  </si>
  <si>
    <t>F-901936</t>
  </si>
  <si>
    <t>B-501937</t>
  </si>
  <si>
    <t>M-701937</t>
  </si>
  <si>
    <t>F-901937</t>
  </si>
  <si>
    <t>B-501938</t>
  </si>
  <si>
    <t>M-701938</t>
  </si>
  <si>
    <t>F-901938</t>
  </si>
  <si>
    <t>B-501939</t>
  </si>
  <si>
    <t>M-701939</t>
  </si>
  <si>
    <t>F-901939</t>
  </si>
  <si>
    <t>B-501940</t>
  </si>
  <si>
    <t>M-701940</t>
  </si>
  <si>
    <t>F-901940</t>
  </si>
  <si>
    <t>B-501941</t>
  </si>
  <si>
    <t>M-701941</t>
  </si>
  <si>
    <t>F-901941</t>
  </si>
  <si>
    <t>B-501942</t>
  </si>
  <si>
    <t>M-701942</t>
  </si>
  <si>
    <t>F-901942</t>
  </si>
  <si>
    <t>B-501943</t>
  </si>
  <si>
    <t>M-701943</t>
  </si>
  <si>
    <t>F-901943</t>
  </si>
  <si>
    <t>B-501944</t>
  </si>
  <si>
    <t>M-701944</t>
  </si>
  <si>
    <t>F-901944</t>
  </si>
  <si>
    <t>B-501945</t>
  </si>
  <si>
    <t>M-701945</t>
  </si>
  <si>
    <t>F-901945</t>
  </si>
  <si>
    <t>B-501946</t>
  </si>
  <si>
    <t>M-701946</t>
  </si>
  <si>
    <t>F-901946</t>
  </si>
  <si>
    <t>B-501947</t>
  </si>
  <si>
    <t>M-701947</t>
  </si>
  <si>
    <t>F-901947</t>
  </si>
  <si>
    <t>B-501948</t>
  </si>
  <si>
    <t>M-701948</t>
  </si>
  <si>
    <t>F-901948</t>
  </si>
  <si>
    <t>B-501949</t>
  </si>
  <si>
    <t>M-701949</t>
  </si>
  <si>
    <t>F-901949</t>
  </si>
  <si>
    <t>B-501950</t>
  </si>
  <si>
    <t>M-701950</t>
  </si>
  <si>
    <t>F-901950</t>
  </si>
  <si>
    <t>B-501951</t>
  </si>
  <si>
    <t>M-701951</t>
  </si>
  <si>
    <t>F-901951</t>
  </si>
  <si>
    <t>B-501952</t>
  </si>
  <si>
    <t>M-701952</t>
  </si>
  <si>
    <t>F-901952</t>
  </si>
  <si>
    <t>B-501953</t>
  </si>
  <si>
    <t>M-701953</t>
  </si>
  <si>
    <t>F-901953</t>
  </si>
  <si>
    <t>B-501954</t>
  </si>
  <si>
    <t>M-701954</t>
  </si>
  <si>
    <t>F-901954</t>
  </si>
  <si>
    <t>B-501955</t>
  </si>
  <si>
    <t>M-701955</t>
  </si>
  <si>
    <t>F-901955</t>
  </si>
  <si>
    <t>B-501956</t>
  </si>
  <si>
    <t>M-701956</t>
  </si>
  <si>
    <t>F-901956</t>
  </si>
  <si>
    <t>B-501957</t>
  </si>
  <si>
    <t>M-701957</t>
  </si>
  <si>
    <t>F-901957</t>
  </si>
  <si>
    <t>B-501958</t>
  </si>
  <si>
    <t>M-701958</t>
  </si>
  <si>
    <t>F-901958</t>
  </si>
  <si>
    <t>B-501959</t>
  </si>
  <si>
    <t>M-701959</t>
  </si>
  <si>
    <t>F-901959</t>
  </si>
  <si>
    <t>B-501960</t>
  </si>
  <si>
    <t>M-701960</t>
  </si>
  <si>
    <t>F-901960</t>
  </si>
  <si>
    <t>B-501961</t>
  </si>
  <si>
    <t>M-701961</t>
  </si>
  <si>
    <t>F-901961</t>
  </si>
  <si>
    <t>B-501962</t>
  </si>
  <si>
    <t>M-701962</t>
  </si>
  <si>
    <t>F-901962</t>
  </si>
  <si>
    <t>B-501963</t>
  </si>
  <si>
    <t>M-701963</t>
  </si>
  <si>
    <t>F-901963</t>
  </si>
  <si>
    <t>B-501964</t>
  </si>
  <si>
    <t>M-701964</t>
  </si>
  <si>
    <t>F-901964</t>
  </si>
  <si>
    <t>B-501965</t>
  </si>
  <si>
    <t>M-701965</t>
  </si>
  <si>
    <t>F-901965</t>
  </si>
  <si>
    <t>B-501966</t>
  </si>
  <si>
    <t>M-701966</t>
  </si>
  <si>
    <t>F-901966</t>
  </si>
  <si>
    <t>B-501967</t>
  </si>
  <si>
    <t>M-701967</t>
  </si>
  <si>
    <t>F-901967</t>
  </si>
  <si>
    <t>B-501968</t>
  </si>
  <si>
    <t>M-701968</t>
  </si>
  <si>
    <t>F-901968</t>
  </si>
  <si>
    <t>B-501969</t>
  </si>
  <si>
    <t>M-701969</t>
  </si>
  <si>
    <t>F-901969</t>
  </si>
  <si>
    <t>B-501970</t>
  </si>
  <si>
    <t>M-701970</t>
  </si>
  <si>
    <t>F-901970</t>
  </si>
  <si>
    <t>B-501971</t>
  </si>
  <si>
    <t>M-701971</t>
  </si>
  <si>
    <t>F-901971</t>
  </si>
  <si>
    <t>B-501972</t>
  </si>
  <si>
    <t>M-701972</t>
  </si>
  <si>
    <t>F-901972</t>
  </si>
  <si>
    <t>B-501973</t>
  </si>
  <si>
    <t>M-701973</t>
  </si>
  <si>
    <t>F-901973</t>
  </si>
  <si>
    <t>B-501974</t>
  </si>
  <si>
    <t>M-701974</t>
  </si>
  <si>
    <t>F-901974</t>
  </si>
  <si>
    <t>B-501975</t>
  </si>
  <si>
    <t>M-701975</t>
  </si>
  <si>
    <t>F-901975</t>
  </si>
  <si>
    <t>B-501976</t>
  </si>
  <si>
    <t>M-701976</t>
  </si>
  <si>
    <t>F-901976</t>
  </si>
  <si>
    <t>B-501977</t>
  </si>
  <si>
    <t>M-701977</t>
  </si>
  <si>
    <t>F-901977</t>
  </si>
  <si>
    <t>B-501978</t>
  </si>
  <si>
    <t>M-701978</t>
  </si>
  <si>
    <t>F-901978</t>
  </si>
  <si>
    <t>B-501979</t>
  </si>
  <si>
    <t>M-701979</t>
  </si>
  <si>
    <t>F-901979</t>
  </si>
  <si>
    <t>B-501980</t>
  </si>
  <si>
    <t>M-701980</t>
  </si>
  <si>
    <t>F-901980</t>
  </si>
  <si>
    <t>B-501981</t>
  </si>
  <si>
    <t>M-701981</t>
  </si>
  <si>
    <t>F-901981</t>
  </si>
  <si>
    <t>B-501982</t>
  </si>
  <si>
    <t>M-701982</t>
  </si>
  <si>
    <t>F-901982</t>
  </si>
  <si>
    <t>B-501983</t>
  </si>
  <si>
    <t>M-701983</t>
  </si>
  <si>
    <t>F-901983</t>
  </si>
  <si>
    <t>B-501984</t>
  </si>
  <si>
    <t>M-701984</t>
  </si>
  <si>
    <t>F-901984</t>
  </si>
  <si>
    <t>B-501985</t>
  </si>
  <si>
    <t>M-701985</t>
  </si>
  <si>
    <t>F-901985</t>
  </si>
  <si>
    <t>B-501986</t>
  </si>
  <si>
    <t>M-701986</t>
  </si>
  <si>
    <t>F-901986</t>
  </si>
  <si>
    <t>B-501987</t>
  </si>
  <si>
    <t>M-701987</t>
  </si>
  <si>
    <t>F-901987</t>
  </si>
  <si>
    <t>B-501988</t>
  </si>
  <si>
    <t>M-701988</t>
  </si>
  <si>
    <t>F-901988</t>
  </si>
  <si>
    <t>B-501989</t>
  </si>
  <si>
    <t>M-701989</t>
  </si>
  <si>
    <t>F-901989</t>
  </si>
  <si>
    <t>B-501990</t>
  </si>
  <si>
    <t>M-701990</t>
  </si>
  <si>
    <t>F-901990</t>
  </si>
  <si>
    <t>B-501991</t>
  </si>
  <si>
    <t>M-701991</t>
  </si>
  <si>
    <t>F-901991</t>
  </si>
  <si>
    <t>B-501992</t>
  </si>
  <si>
    <t>M-701992</t>
  </si>
  <si>
    <t>F-901992</t>
  </si>
  <si>
    <t>B-501993</t>
  </si>
  <si>
    <t>M-701993</t>
  </si>
  <si>
    <t>F-901993</t>
  </si>
  <si>
    <t>B-501994</t>
  </si>
  <si>
    <t>M-701994</t>
  </si>
  <si>
    <t>F-901994</t>
  </si>
  <si>
    <t>B-501995</t>
  </si>
  <si>
    <t>M-701995</t>
  </si>
  <si>
    <t>F-901995</t>
  </si>
  <si>
    <t>B-501996</t>
  </si>
  <si>
    <t>M-701996</t>
  </si>
  <si>
    <t>F-901996</t>
  </si>
  <si>
    <t>B-501997</t>
  </si>
  <si>
    <t>M-701997</t>
  </si>
  <si>
    <t>F-901997</t>
  </si>
  <si>
    <t>B-501998</t>
  </si>
  <si>
    <t>M-701998</t>
  </si>
  <si>
    <t>F-901998</t>
  </si>
  <si>
    <t>B-501999</t>
  </si>
  <si>
    <t>M-701999</t>
  </si>
  <si>
    <t>F-901999</t>
  </si>
  <si>
    <t>B-502000</t>
  </si>
  <si>
    <t>M-702000</t>
  </si>
  <si>
    <t>F-902000</t>
  </si>
  <si>
    <t>B-502001</t>
  </si>
  <si>
    <t>M-702001</t>
  </si>
  <si>
    <t>F-902001</t>
  </si>
  <si>
    <t>B-502002</t>
  </si>
  <si>
    <t>M-702002</t>
  </si>
  <si>
    <t>F-902002</t>
  </si>
  <si>
    <t>B-502003</t>
  </si>
  <si>
    <t>M-702003</t>
  </si>
  <si>
    <t>F-902003</t>
  </si>
  <si>
    <t>B-502004</t>
  </si>
  <si>
    <t>M-702004</t>
  </si>
  <si>
    <t>F-902004</t>
  </si>
  <si>
    <t>B-502005</t>
  </si>
  <si>
    <t>M-702005</t>
  </si>
  <si>
    <t>F-902005</t>
  </si>
  <si>
    <t>B-502006</t>
  </si>
  <si>
    <t>M-702006</t>
  </si>
  <si>
    <t>F-902006</t>
  </si>
  <si>
    <t>B-502007</t>
  </si>
  <si>
    <t>M-702007</t>
  </si>
  <si>
    <t>F-902007</t>
  </si>
  <si>
    <t>B-502008</t>
  </si>
  <si>
    <t>M-702008</t>
  </si>
  <si>
    <t>F-902008</t>
  </si>
  <si>
    <t>B-502009</t>
  </si>
  <si>
    <t>M-702009</t>
  </si>
  <si>
    <t>F-902009</t>
  </si>
  <si>
    <t>B-502010</t>
  </si>
  <si>
    <t>M-702010</t>
  </si>
  <si>
    <t>F-902010</t>
  </si>
  <si>
    <t>B-502011</t>
  </si>
  <si>
    <t>M-702011</t>
  </si>
  <si>
    <t>F-902011</t>
  </si>
  <si>
    <t>B-502012</t>
  </si>
  <si>
    <t>M-702012</t>
  </si>
  <si>
    <t>F-902012</t>
  </si>
  <si>
    <t>B-502013</t>
  </si>
  <si>
    <t>M-702013</t>
  </si>
  <si>
    <t>F-902013</t>
  </si>
  <si>
    <t>B-502014</t>
  </si>
  <si>
    <t>M-702014</t>
  </si>
  <si>
    <t>F-902014</t>
  </si>
  <si>
    <t>B-502015</t>
  </si>
  <si>
    <t>M-702015</t>
  </si>
  <si>
    <t>F-902015</t>
  </si>
  <si>
    <t>B-502016</t>
  </si>
  <si>
    <t>M-702016</t>
  </si>
  <si>
    <t>F-902016</t>
  </si>
  <si>
    <t>B-502017</t>
  </si>
  <si>
    <t>M-702017</t>
  </si>
  <si>
    <t>F-902017</t>
  </si>
  <si>
    <t>B-502018</t>
  </si>
  <si>
    <t>M-702018</t>
  </si>
  <si>
    <t>F-902018</t>
  </si>
  <si>
    <t>B-502019</t>
  </si>
  <si>
    <t>M-702019</t>
  </si>
  <si>
    <t>F-902019</t>
  </si>
  <si>
    <t>B-502020</t>
  </si>
  <si>
    <t>M-702020</t>
  </si>
  <si>
    <t>F-902020</t>
  </si>
  <si>
    <t>B-502021</t>
  </si>
  <si>
    <t>M-702021</t>
  </si>
  <si>
    <t>F-902021</t>
  </si>
  <si>
    <t>B-502022</t>
  </si>
  <si>
    <t>M-702022</t>
  </si>
  <si>
    <t>F-902022</t>
  </si>
  <si>
    <t>B-502023</t>
  </si>
  <si>
    <t>M-702023</t>
  </si>
  <si>
    <t>F-902023</t>
  </si>
  <si>
    <t>B-502024</t>
  </si>
  <si>
    <t>M-702024</t>
  </si>
  <si>
    <t>F-902024</t>
  </si>
  <si>
    <t>B-502025</t>
  </si>
  <si>
    <t>M-702025</t>
  </si>
  <si>
    <t>F-902025</t>
  </si>
  <si>
    <t>B-502026</t>
  </si>
  <si>
    <t>M-702026</t>
  </si>
  <si>
    <t>F-902026</t>
  </si>
  <si>
    <t>B-502027</t>
  </si>
  <si>
    <t>M-702027</t>
  </si>
  <si>
    <t>F-902027</t>
  </si>
  <si>
    <t>B-502028</t>
  </si>
  <si>
    <t>M-702028</t>
  </si>
  <si>
    <t>F-902028</t>
  </si>
  <si>
    <t>B-502029</t>
  </si>
  <si>
    <t>M-702029</t>
  </si>
  <si>
    <t>F-902029</t>
  </si>
  <si>
    <t>B-502030</t>
  </si>
  <si>
    <t>M-702030</t>
  </si>
  <si>
    <t>F-902030</t>
  </si>
  <si>
    <t>B-502031</t>
  </si>
  <si>
    <t>M-702031</t>
  </si>
  <si>
    <t>F-902031</t>
  </si>
  <si>
    <t>B-502032</t>
  </si>
  <si>
    <t>M-702032</t>
  </si>
  <si>
    <t>F-902032</t>
  </si>
  <si>
    <t>B-502033</t>
  </si>
  <si>
    <t>M-702033</t>
  </si>
  <si>
    <t>F-902033</t>
  </si>
  <si>
    <t>B-502034</t>
  </si>
  <si>
    <t>M-702034</t>
  </si>
  <si>
    <t>F-902034</t>
  </si>
  <si>
    <t>B-502035</t>
  </si>
  <si>
    <t>M-702035</t>
  </si>
  <si>
    <t>F-902035</t>
  </si>
  <si>
    <t>B-502036</t>
  </si>
  <si>
    <t>M-702036</t>
  </si>
  <si>
    <t>F-902036</t>
  </si>
  <si>
    <t>B-502037</t>
  </si>
  <si>
    <t>M-702037</t>
  </si>
  <si>
    <t>F-902037</t>
  </si>
  <si>
    <t>B-502038</t>
  </si>
  <si>
    <t>M-702038</t>
  </si>
  <si>
    <t>F-902038</t>
  </si>
  <si>
    <t>B-502039</t>
  </si>
  <si>
    <t>M-702039</t>
  </si>
  <si>
    <t>F-902039</t>
  </si>
  <si>
    <t>B-502040</t>
  </si>
  <si>
    <t>M-702040</t>
  </si>
  <si>
    <t>F-902040</t>
  </si>
  <si>
    <t>B-502041</t>
  </si>
  <si>
    <t>M-702041</t>
  </si>
  <si>
    <t>F-902041</t>
  </si>
  <si>
    <t>B-502042</t>
  </si>
  <si>
    <t>M-702042</t>
  </si>
  <si>
    <t>F-902042</t>
  </si>
  <si>
    <t>B-502043</t>
  </si>
  <si>
    <t>M-702043</t>
  </si>
  <si>
    <t>F-902043</t>
  </si>
  <si>
    <t>B-502044</t>
  </si>
  <si>
    <t>M-702044</t>
  </si>
  <si>
    <t>F-902044</t>
  </si>
  <si>
    <t>B-502045</t>
  </si>
  <si>
    <t>M-702045</t>
  </si>
  <si>
    <t>F-902045</t>
  </si>
  <si>
    <t>B-502046</t>
  </si>
  <si>
    <t>M-702046</t>
  </si>
  <si>
    <t>F-902046</t>
  </si>
  <si>
    <t>B-502047</t>
  </si>
  <si>
    <t>M-702047</t>
  </si>
  <si>
    <t>F-902047</t>
  </si>
  <si>
    <t>B-502048</t>
  </si>
  <si>
    <t>M-702048</t>
  </si>
  <si>
    <t>F-902048</t>
  </si>
  <si>
    <t>B-502049</t>
  </si>
  <si>
    <t>M-702049</t>
  </si>
  <si>
    <t>F-902049</t>
  </si>
  <si>
    <t>B-502050</t>
  </si>
  <si>
    <t>M-702050</t>
  </si>
  <si>
    <t>F-902050</t>
  </si>
  <si>
    <t>B-502051</t>
  </si>
  <si>
    <t>M-702051</t>
  </si>
  <si>
    <t>F-902051</t>
  </si>
  <si>
    <t>B-502052</t>
  </si>
  <si>
    <t>M-702052</t>
  </si>
  <si>
    <t>F-902052</t>
  </si>
  <si>
    <t>B-502053</t>
  </si>
  <si>
    <t>M-702053</t>
  </si>
  <si>
    <t>F-902053</t>
  </si>
  <si>
    <t>B-502054</t>
  </si>
  <si>
    <t>M-702054</t>
  </si>
  <si>
    <t>F-902054</t>
  </si>
  <si>
    <t>B-502055</t>
  </si>
  <si>
    <t>M-702055</t>
  </si>
  <si>
    <t>F-902055</t>
  </si>
  <si>
    <t>B-502056</t>
  </si>
  <si>
    <t>M-702056</t>
  </si>
  <si>
    <t>F-902056</t>
  </si>
  <si>
    <t>B-502057</t>
  </si>
  <si>
    <t>M-702057</t>
  </si>
  <si>
    <t>F-902057</t>
  </si>
  <si>
    <t>B-502058</t>
  </si>
  <si>
    <t>M-702058</t>
  </si>
  <si>
    <t>F-902058</t>
  </si>
  <si>
    <t>B-502059</t>
  </si>
  <si>
    <t>M-702059</t>
  </si>
  <si>
    <t>F-902059</t>
  </si>
  <si>
    <t>B-502060</t>
  </si>
  <si>
    <t>M-702060</t>
  </si>
  <si>
    <t>F-902060</t>
  </si>
  <si>
    <t>B-502061</t>
  </si>
  <si>
    <t>M-702061</t>
  </si>
  <si>
    <t>F-902061</t>
  </si>
  <si>
    <t>B-502062</t>
  </si>
  <si>
    <t>M-702062</t>
  </si>
  <si>
    <t>F-902062</t>
  </si>
  <si>
    <t>B-502063</t>
  </si>
  <si>
    <t>M-702063</t>
  </si>
  <si>
    <t>F-902063</t>
  </si>
  <si>
    <t>B-502064</t>
  </si>
  <si>
    <t>M-702064</t>
  </si>
  <si>
    <t>F-902064</t>
  </si>
  <si>
    <t>B-502065</t>
  </si>
  <si>
    <t>M-702065</t>
  </si>
  <si>
    <t>F-902065</t>
  </si>
  <si>
    <t>B-502066</t>
  </si>
  <si>
    <t>M-702066</t>
  </si>
  <si>
    <t>F-902066</t>
  </si>
  <si>
    <t>B-502067</t>
  </si>
  <si>
    <t>M-702067</t>
  </si>
  <si>
    <t>F-902067</t>
  </si>
  <si>
    <t>B-502068</t>
  </si>
  <si>
    <t>M-702068</t>
  </si>
  <si>
    <t>F-902068</t>
  </si>
  <si>
    <t>B-502069</t>
  </si>
  <si>
    <t>M-702069</t>
  </si>
  <si>
    <t>F-902069</t>
  </si>
  <si>
    <t>B-502070</t>
  </si>
  <si>
    <t>M-702070</t>
  </si>
  <si>
    <t>F-902070</t>
  </si>
  <si>
    <t>B-502071</t>
  </si>
  <si>
    <t>M-702071</t>
  </si>
  <si>
    <t>F-902071</t>
  </si>
  <si>
    <t>B-502072</t>
  </si>
  <si>
    <t>M-702072</t>
  </si>
  <si>
    <t>F-902072</t>
  </si>
  <si>
    <t>B-502073</t>
  </si>
  <si>
    <t>M-702073</t>
  </si>
  <si>
    <t>F-902073</t>
  </si>
  <si>
    <t>B-502074</t>
  </si>
  <si>
    <t>M-702074</t>
  </si>
  <si>
    <t>F-902074</t>
  </si>
  <si>
    <t>B-502075</t>
  </si>
  <si>
    <t>M-702075</t>
  </si>
  <si>
    <t>F-902075</t>
  </si>
  <si>
    <t>B-502076</t>
  </si>
  <si>
    <t>M-702076</t>
  </si>
  <si>
    <t>F-902076</t>
  </si>
  <si>
    <t>B-502077</t>
  </si>
  <si>
    <t>M-702077</t>
  </si>
  <si>
    <t>F-902077</t>
  </si>
  <si>
    <t>B-502078</t>
  </si>
  <si>
    <t>M-702078</t>
  </si>
  <si>
    <t>F-902078</t>
  </si>
  <si>
    <t>B-502079</t>
  </si>
  <si>
    <t>M-702079</t>
  </si>
  <si>
    <t>F-902079</t>
  </si>
  <si>
    <t>B-502080</t>
  </si>
  <si>
    <t>M-702080</t>
  </si>
  <si>
    <t>F-902080</t>
  </si>
  <si>
    <t>B-502081</t>
  </si>
  <si>
    <t>M-702081</t>
  </si>
  <si>
    <t>F-902081</t>
  </si>
  <si>
    <t>B-502082</t>
  </si>
  <si>
    <t>M-702082</t>
  </si>
  <si>
    <t>F-902082</t>
  </si>
  <si>
    <t>B-502083</t>
  </si>
  <si>
    <t>M-702083</t>
  </si>
  <si>
    <t>F-902083</t>
  </si>
  <si>
    <t>B-502084</t>
  </si>
  <si>
    <t>M-702084</t>
  </si>
  <si>
    <t>F-902084</t>
  </si>
  <si>
    <t>B-502085</t>
  </si>
  <si>
    <t>M-702085</t>
  </si>
  <si>
    <t>F-902085</t>
  </si>
  <si>
    <t>B-502086</t>
  </si>
  <si>
    <t>M-702086</t>
  </si>
  <si>
    <t>F-902086</t>
  </si>
  <si>
    <t>B-502087</t>
  </si>
  <si>
    <t>M-702087</t>
  </si>
  <si>
    <t>F-902087</t>
  </si>
  <si>
    <t>B-502088</t>
  </si>
  <si>
    <t>M-702088</t>
  </si>
  <si>
    <t>F-902088</t>
  </si>
  <si>
    <t>B-502089</t>
  </si>
  <si>
    <t>M-702089</t>
  </si>
  <si>
    <t>F-902089</t>
  </si>
  <si>
    <t>B-502090</t>
  </si>
  <si>
    <t>M-702090</t>
  </si>
  <si>
    <t>F-902090</t>
  </si>
  <si>
    <t>B-502091</t>
  </si>
  <si>
    <t>M-702091</t>
  </si>
  <si>
    <t>F-902091</t>
  </si>
  <si>
    <t>B-502092</t>
  </si>
  <si>
    <t>M-702092</t>
  </si>
  <si>
    <t>F-902092</t>
  </si>
  <si>
    <t>B-502093</t>
  </si>
  <si>
    <t>M-702093</t>
  </si>
  <si>
    <t>F-902093</t>
  </si>
  <si>
    <t>B-502094</t>
  </si>
  <si>
    <t>M-702094</t>
  </si>
  <si>
    <t>F-902094</t>
  </si>
  <si>
    <t>B-502095</t>
  </si>
  <si>
    <t>M-702095</t>
  </si>
  <si>
    <t>F-902095</t>
  </si>
  <si>
    <t>B-502096</t>
  </si>
  <si>
    <t>M-702096</t>
  </si>
  <si>
    <t>F-902096</t>
  </si>
  <si>
    <t>B-502097</t>
  </si>
  <si>
    <t>M-702097</t>
  </si>
  <si>
    <t>F-902097</t>
  </si>
  <si>
    <t>B-502098</t>
  </si>
  <si>
    <t>M-702098</t>
  </si>
  <si>
    <t>F-902098</t>
  </si>
  <si>
    <t>B-502099</t>
  </si>
  <si>
    <t>M-702099</t>
  </si>
  <si>
    <t>F-902099</t>
  </si>
  <si>
    <t>B-502100</t>
  </si>
  <si>
    <t>M-702100</t>
  </si>
  <si>
    <t>F-902100</t>
  </si>
  <si>
    <t>B-502101</t>
  </si>
  <si>
    <t>M-702101</t>
  </si>
  <si>
    <t>F-902101</t>
  </si>
  <si>
    <t>B-502102</t>
  </si>
  <si>
    <t>M-702102</t>
  </si>
  <si>
    <t>F-902102</t>
  </si>
  <si>
    <t>B-502103</t>
  </si>
  <si>
    <t>M-702103</t>
  </si>
  <si>
    <t>F-902103</t>
  </si>
  <si>
    <t>B-502104</t>
  </si>
  <si>
    <t>M-702104</t>
  </si>
  <si>
    <t>F-902104</t>
  </si>
  <si>
    <t>B-502105</t>
  </si>
  <si>
    <t>M-702105</t>
  </si>
  <si>
    <t>F-902105</t>
  </si>
  <si>
    <t>B-502106</t>
  </si>
  <si>
    <t>M-702106</t>
  </si>
  <si>
    <t>F-902106</t>
  </si>
  <si>
    <t>B-502107</t>
  </si>
  <si>
    <t>M-702107</t>
  </si>
  <si>
    <t>F-902107</t>
  </si>
  <si>
    <t>B-502108</t>
  </si>
  <si>
    <t>M-702108</t>
  </si>
  <si>
    <t>F-902108</t>
  </si>
  <si>
    <t>B-502109</t>
  </si>
  <si>
    <t>M-702109</t>
  </si>
  <si>
    <t>F-902109</t>
  </si>
  <si>
    <t>B-502110</t>
  </si>
  <si>
    <t>M-702110</t>
  </si>
  <si>
    <t>F-902110</t>
  </si>
  <si>
    <t>B-502111</t>
  </si>
  <si>
    <t>M-702111</t>
  </si>
  <si>
    <t>F-902111</t>
  </si>
  <si>
    <t>B-502112</t>
  </si>
  <si>
    <t>M-702112</t>
  </si>
  <si>
    <t>F-902112</t>
  </si>
  <si>
    <t>B-502113</t>
  </si>
  <si>
    <t>M-702113</t>
  </si>
  <si>
    <t>F-902113</t>
  </si>
  <si>
    <t>B-502114</t>
  </si>
  <si>
    <t>M-702114</t>
  </si>
  <si>
    <t>F-902114</t>
  </si>
  <si>
    <t>B-502115</t>
  </si>
  <si>
    <t>M-702115</t>
  </si>
  <si>
    <t>F-902115</t>
  </si>
  <si>
    <t>B-502116</t>
  </si>
  <si>
    <t>M-702116</t>
  </si>
  <si>
    <t>F-902116</t>
  </si>
  <si>
    <t>B-502117</t>
  </si>
  <si>
    <t>M-702117</t>
  </si>
  <si>
    <t>F-902117</t>
  </si>
  <si>
    <t>B-502118</t>
  </si>
  <si>
    <t>M-702118</t>
  </si>
  <si>
    <t>F-902118</t>
  </si>
  <si>
    <t>B-502119</t>
  </si>
  <si>
    <t>M-702119</t>
  </si>
  <si>
    <t>F-902119</t>
  </si>
  <si>
    <t>B-502120</t>
  </si>
  <si>
    <t>M-702120</t>
  </si>
  <si>
    <t>F-902120</t>
  </si>
  <si>
    <t>B-502121</t>
  </si>
  <si>
    <t>M-702121</t>
  </si>
  <si>
    <t>F-902121</t>
  </si>
  <si>
    <t>B-502122</t>
  </si>
  <si>
    <t>M-702122</t>
  </si>
  <si>
    <t>F-902122</t>
  </si>
  <si>
    <t>B-502123</t>
  </si>
  <si>
    <t>M-702123</t>
  </si>
  <si>
    <t>F-902123</t>
  </si>
  <si>
    <t>B-502124</t>
  </si>
  <si>
    <t>M-702124</t>
  </si>
  <si>
    <t>F-902124</t>
  </si>
  <si>
    <t>B-502125</t>
  </si>
  <si>
    <t>M-702125</t>
  </si>
  <si>
    <t>F-902125</t>
  </si>
  <si>
    <t>B-502126</t>
  </si>
  <si>
    <t>M-702126</t>
  </si>
  <si>
    <t>F-902126</t>
  </si>
  <si>
    <t>B-502127</t>
  </si>
  <si>
    <t>M-702127</t>
  </si>
  <si>
    <t>F-902127</t>
  </si>
  <si>
    <t>B-502128</t>
  </si>
  <si>
    <t>M-702128</t>
  </si>
  <si>
    <t>F-902128</t>
  </si>
  <si>
    <t>B-502129</t>
  </si>
  <si>
    <t>M-702129</t>
  </si>
  <si>
    <t>F-902129</t>
  </si>
  <si>
    <t>B-502130</t>
  </si>
  <si>
    <t>M-702130</t>
  </si>
  <si>
    <t>F-902130</t>
  </si>
  <si>
    <t>B-502131</t>
  </si>
  <si>
    <t>M-702131</t>
  </si>
  <si>
    <t>F-902131</t>
  </si>
  <si>
    <t>B-502132</t>
  </si>
  <si>
    <t>M-702132</t>
  </si>
  <si>
    <t>F-902132</t>
  </si>
  <si>
    <t>B-502133</t>
  </si>
  <si>
    <t>M-702133</t>
  </si>
  <si>
    <t>F-902133</t>
  </si>
  <si>
    <t>B-502134</t>
  </si>
  <si>
    <t>M-702134</t>
  </si>
  <si>
    <t>F-902134</t>
  </si>
  <si>
    <t>B-502135</t>
  </si>
  <si>
    <t>M-702135</t>
  </si>
  <si>
    <t>F-902135</t>
  </si>
  <si>
    <t>B-502136</t>
  </si>
  <si>
    <t>M-702136</t>
  </si>
  <si>
    <t>F-902136</t>
  </si>
  <si>
    <t>B-502137</t>
  </si>
  <si>
    <t>M-702137</t>
  </si>
  <si>
    <t>F-902137</t>
  </si>
  <si>
    <t>B-502138</t>
  </si>
  <si>
    <t>M-702138</t>
  </si>
  <si>
    <t>F-902138</t>
  </si>
  <si>
    <t>B-502139</t>
  </si>
  <si>
    <t>M-702139</t>
  </si>
  <si>
    <t>F-902139</t>
  </si>
  <si>
    <t>B-502140</t>
  </si>
  <si>
    <t>M-702140</t>
  </si>
  <si>
    <t>F-902140</t>
  </si>
  <si>
    <t>B-502141</t>
  </si>
  <si>
    <t>M-702141</t>
  </si>
  <si>
    <t>F-902141</t>
  </si>
  <si>
    <t>B-502142</t>
  </si>
  <si>
    <t>M-702142</t>
  </si>
  <si>
    <t>F-902142</t>
  </si>
  <si>
    <t>B-502143</t>
  </si>
  <si>
    <t>M-702143</t>
  </si>
  <si>
    <t>F-902143</t>
  </si>
  <si>
    <t>B-502144</t>
  </si>
  <si>
    <t>M-702144</t>
  </si>
  <si>
    <t>F-902144</t>
  </si>
  <si>
    <t>B-502145</t>
  </si>
  <si>
    <t>M-702145</t>
  </si>
  <si>
    <t>F-902145</t>
  </si>
  <si>
    <t>B-502146</t>
  </si>
  <si>
    <t>M-702146</t>
  </si>
  <si>
    <t>F-902146</t>
  </si>
  <si>
    <t>B-502147</t>
  </si>
  <si>
    <t>M-702147</t>
  </si>
  <si>
    <t>F-902147</t>
  </si>
  <si>
    <t>B-502148</t>
  </si>
  <si>
    <t>M-702148</t>
  </si>
  <si>
    <t>F-902148</t>
  </si>
  <si>
    <t>B-502149</t>
  </si>
  <si>
    <t>M-702149</t>
  </si>
  <si>
    <t>F-902149</t>
  </si>
  <si>
    <t>B-502150</t>
  </si>
  <si>
    <t>M-702150</t>
  </si>
  <si>
    <t>F-902150</t>
  </si>
  <si>
    <t>B-502151</t>
  </si>
  <si>
    <t>M-702151</t>
  </si>
  <si>
    <t>F-902151</t>
  </si>
  <si>
    <t>B-502152</t>
  </si>
  <si>
    <t>M-702152</t>
  </si>
  <si>
    <t>F-902152</t>
  </si>
  <si>
    <t>B-502153</t>
  </si>
  <si>
    <t>M-702153</t>
  </si>
  <si>
    <t>F-902153</t>
  </si>
  <si>
    <t>B-502154</t>
  </si>
  <si>
    <t>M-702154</t>
  </si>
  <si>
    <t>F-902154</t>
  </si>
  <si>
    <t>B-502155</t>
  </si>
  <si>
    <t>M-702155</t>
  </si>
  <si>
    <t>F-902155</t>
  </si>
  <si>
    <t>B-502156</t>
  </si>
  <si>
    <t>M-702156</t>
  </si>
  <si>
    <t>F-902156</t>
  </si>
  <si>
    <t>B-502157</t>
  </si>
  <si>
    <t>M-702157</t>
  </si>
  <si>
    <t>F-902157</t>
  </si>
  <si>
    <t>B-502158</t>
  </si>
  <si>
    <t>M-702158</t>
  </si>
  <si>
    <t>F-902158</t>
  </si>
  <si>
    <t>B-502159</t>
  </si>
  <si>
    <t>M-702159</t>
  </si>
  <si>
    <t>F-902159</t>
  </si>
  <si>
    <t>B-502160</t>
  </si>
  <si>
    <t>M-702160</t>
  </si>
  <si>
    <t>F-902160</t>
  </si>
  <si>
    <t>B-502161</t>
  </si>
  <si>
    <t>M-702161</t>
  </si>
  <si>
    <t>F-902161</t>
  </si>
  <si>
    <t>B-502162</t>
  </si>
  <si>
    <t>M-702162</t>
  </si>
  <si>
    <t>F-902162</t>
  </si>
  <si>
    <t>B-502163</t>
  </si>
  <si>
    <t>M-702163</t>
  </si>
  <si>
    <t>F-902163</t>
  </si>
  <si>
    <t>B-502164</t>
  </si>
  <si>
    <t>M-702164</t>
  </si>
  <si>
    <t>F-902164</t>
  </si>
  <si>
    <t>B-502165</t>
  </si>
  <si>
    <t>M-702165</t>
  </si>
  <si>
    <t>F-902165</t>
  </si>
  <si>
    <t>B-502166</t>
  </si>
  <si>
    <t>M-702166</t>
  </si>
  <si>
    <t>F-902166</t>
  </si>
  <si>
    <t>B-502167</t>
  </si>
  <si>
    <t>M-702167</t>
  </si>
  <si>
    <t>F-902167</t>
  </si>
  <si>
    <t>B-502168</t>
  </si>
  <si>
    <t>M-702168</t>
  </si>
  <si>
    <t>F-902168</t>
  </si>
  <si>
    <t>B-502169</t>
  </si>
  <si>
    <t>M-702169</t>
  </si>
  <si>
    <t>F-902169</t>
  </si>
  <si>
    <t>B-502170</t>
  </si>
  <si>
    <t>M-702170</t>
  </si>
  <si>
    <t>F-902170</t>
  </si>
  <si>
    <t>B-502171</t>
  </si>
  <si>
    <t>M-702171</t>
  </si>
  <si>
    <t>F-902171</t>
  </si>
  <si>
    <t>B-502172</t>
  </si>
  <si>
    <t>M-702172</t>
  </si>
  <si>
    <t>F-902172</t>
  </si>
  <si>
    <t>B-502173</t>
  </si>
  <si>
    <t>M-702173</t>
  </si>
  <si>
    <t>F-902173</t>
  </si>
  <si>
    <t>B-502174</t>
  </si>
  <si>
    <t>M-702174</t>
  </si>
  <si>
    <t>F-902174</t>
  </si>
  <si>
    <t>B-502175</t>
  </si>
  <si>
    <t>M-702175</t>
  </si>
  <si>
    <t>F-902175</t>
  </si>
  <si>
    <t>B-502176</t>
  </si>
  <si>
    <t>M-702176</t>
  </si>
  <si>
    <t>F-902176</t>
  </si>
  <si>
    <t>B-502177</t>
  </si>
  <si>
    <t>M-702177</t>
  </si>
  <si>
    <t>F-902177</t>
  </si>
  <si>
    <t>B-502178</t>
  </si>
  <si>
    <t>M-702178</t>
  </si>
  <si>
    <t>F-902178</t>
  </si>
  <si>
    <t>B-502179</t>
  </si>
  <si>
    <t>M-702179</t>
  </si>
  <si>
    <t>F-902179</t>
  </si>
  <si>
    <t>B-502180</t>
  </si>
  <si>
    <t>M-702180</t>
  </si>
  <si>
    <t>F-902180</t>
  </si>
  <si>
    <t>B-502181</t>
  </si>
  <si>
    <t>M-702181</t>
  </si>
  <si>
    <t>F-902181</t>
  </si>
  <si>
    <t>B-502182</t>
  </si>
  <si>
    <t>M-702182</t>
  </si>
  <si>
    <t>F-902182</t>
  </si>
  <si>
    <t>B-502183</t>
  </si>
  <si>
    <t>M-702183</t>
  </si>
  <si>
    <t>F-902183</t>
  </si>
  <si>
    <t>B-502184</t>
  </si>
  <si>
    <t>M-702184</t>
  </si>
  <si>
    <t>F-902184</t>
  </si>
  <si>
    <t>B-502185</t>
  </si>
  <si>
    <t>M-702185</t>
  </si>
  <si>
    <t>F-902185</t>
  </si>
  <si>
    <t>B-502186</t>
  </si>
  <si>
    <t>M-702186</t>
  </si>
  <si>
    <t>F-902186</t>
  </si>
  <si>
    <t>B-502187</t>
  </si>
  <si>
    <t>M-702187</t>
  </si>
  <si>
    <t>F-902187</t>
  </si>
  <si>
    <t>B-502188</t>
  </si>
  <si>
    <t>M-702188</t>
  </si>
  <si>
    <t>F-902188</t>
  </si>
  <si>
    <t>B-502189</t>
  </si>
  <si>
    <t>M-702189</t>
  </si>
  <si>
    <t>F-902189</t>
  </si>
  <si>
    <t>B-502190</t>
  </si>
  <si>
    <t>M-702190</t>
  </si>
  <si>
    <t>F-902190</t>
  </si>
  <si>
    <t>B-502191</t>
  </si>
  <si>
    <t>M-702191</t>
  </si>
  <si>
    <t>F-902191</t>
  </si>
  <si>
    <t>B-502192</t>
  </si>
  <si>
    <t>M-702192</t>
  </si>
  <si>
    <t>F-902192</t>
  </si>
  <si>
    <t>B-502193</t>
  </si>
  <si>
    <t>M-702193</t>
  </si>
  <si>
    <t>F-902193</t>
  </si>
  <si>
    <t>B-502194</t>
  </si>
  <si>
    <t>M-702194</t>
  </si>
  <si>
    <t>F-902194</t>
  </si>
  <si>
    <t>B-502195</t>
  </si>
  <si>
    <t>M-702195</t>
  </si>
  <si>
    <t>F-902195</t>
  </si>
  <si>
    <t>B-502196</t>
  </si>
  <si>
    <t>M-702196</t>
  </si>
  <si>
    <t>F-902196</t>
  </si>
  <si>
    <t>B-502197</t>
  </si>
  <si>
    <t>M-702197</t>
  </si>
  <si>
    <t>F-902197</t>
  </si>
  <si>
    <t>B-502198</t>
  </si>
  <si>
    <t>M-702198</t>
  </si>
  <si>
    <t>F-902198</t>
  </si>
  <si>
    <t>B-502199</t>
  </si>
  <si>
    <t>M-702199</t>
  </si>
  <si>
    <t>F-902199</t>
  </si>
  <si>
    <t>B-502200</t>
  </si>
  <si>
    <t>M-702200</t>
  </si>
  <si>
    <t>F-902200</t>
  </si>
  <si>
    <t>B-502201</t>
  </si>
  <si>
    <t>M-702201</t>
  </si>
  <si>
    <t>F-902201</t>
  </si>
  <si>
    <t>B-502202</t>
  </si>
  <si>
    <t>M-702202</t>
  </si>
  <si>
    <t>F-902202</t>
  </si>
  <si>
    <t>B-502203</t>
  </si>
  <si>
    <t>M-702203</t>
  </si>
  <si>
    <t>F-902203</t>
  </si>
  <si>
    <t>B-502204</t>
  </si>
  <si>
    <t>M-702204</t>
  </si>
  <si>
    <t>F-902204</t>
  </si>
  <si>
    <t>B-502205</t>
  </si>
  <si>
    <t>M-702205</t>
  </si>
  <si>
    <t>F-902205</t>
  </si>
  <si>
    <t>B-502206</t>
  </si>
  <si>
    <t>M-702206</t>
  </si>
  <si>
    <t>F-902206</t>
  </si>
  <si>
    <t>B-502207</t>
  </si>
  <si>
    <t>M-702207</t>
  </si>
  <si>
    <t>F-902207</t>
  </si>
  <si>
    <t>B-502208</t>
  </si>
  <si>
    <t>M-702208</t>
  </si>
  <si>
    <t>F-902208</t>
  </si>
  <si>
    <t>B-502209</t>
  </si>
  <si>
    <t>M-702209</t>
  </si>
  <si>
    <t>F-902209</t>
  </si>
  <si>
    <t>B-502210</t>
  </si>
  <si>
    <t>M-702210</t>
  </si>
  <si>
    <t>F-902210</t>
  </si>
  <si>
    <t>B-502211</t>
  </si>
  <si>
    <t>M-702211</t>
  </si>
  <si>
    <t>F-902211</t>
  </si>
  <si>
    <t>B-502212</t>
  </si>
  <si>
    <t>M-702212</t>
  </si>
  <si>
    <t>F-902212</t>
  </si>
  <si>
    <t>B-502213</t>
  </si>
  <si>
    <t>M-702213</t>
  </si>
  <si>
    <t>F-902213</t>
  </si>
  <si>
    <t>B-502214</t>
  </si>
  <si>
    <t>M-702214</t>
  </si>
  <si>
    <t>F-902214</t>
  </si>
  <si>
    <t>B-502215</t>
  </si>
  <si>
    <t>M-702215</t>
  </si>
  <si>
    <t>F-902215</t>
  </si>
  <si>
    <t>B-502216</t>
  </si>
  <si>
    <t>M-702216</t>
  </si>
  <si>
    <t>F-902216</t>
  </si>
  <si>
    <t>B-502217</t>
  </si>
  <si>
    <t>M-702217</t>
  </si>
  <si>
    <t>F-902217</t>
  </si>
  <si>
    <t>B-502218</t>
  </si>
  <si>
    <t>M-702218</t>
  </si>
  <si>
    <t>F-902218</t>
  </si>
  <si>
    <t>B-502219</t>
  </si>
  <si>
    <t>M-702219</t>
  </si>
  <si>
    <t>F-902219</t>
  </si>
  <si>
    <t>B-502220</t>
  </si>
  <si>
    <t>M-702220</t>
  </si>
  <si>
    <t>F-902220</t>
  </si>
  <si>
    <t>B-502221</t>
  </si>
  <si>
    <t>M-702221</t>
  </si>
  <si>
    <t>F-902221</t>
  </si>
  <si>
    <t>B-502222</t>
  </si>
  <si>
    <t>M-702222</t>
  </si>
  <si>
    <t>F-902222</t>
  </si>
  <si>
    <t>B-502223</t>
  </si>
  <si>
    <t>M-702223</t>
  </si>
  <si>
    <t>F-902223</t>
  </si>
  <si>
    <t>B-502224</t>
  </si>
  <si>
    <t>M-702224</t>
  </si>
  <si>
    <t>F-902224</t>
  </si>
  <si>
    <t>B-502225</t>
  </si>
  <si>
    <t>M-702225</t>
  </si>
  <si>
    <t>F-902225</t>
  </si>
  <si>
    <t>B-502226</t>
  </si>
  <si>
    <t>M-702226</t>
  </si>
  <si>
    <t>F-902226</t>
  </si>
  <si>
    <t>B-502227</t>
  </si>
  <si>
    <t>M-702227</t>
  </si>
  <si>
    <t>F-902227</t>
  </si>
  <si>
    <t>B-502228</t>
  </si>
  <si>
    <t>M-702228</t>
  </si>
  <si>
    <t>F-902228</t>
  </si>
  <si>
    <t>B-502229</t>
  </si>
  <si>
    <t>M-702229</t>
  </si>
  <si>
    <t>F-902229</t>
  </si>
  <si>
    <t>B-502230</t>
  </si>
  <si>
    <t>M-702230</t>
  </si>
  <si>
    <t>F-902230</t>
  </si>
  <si>
    <t>B-502231</t>
  </si>
  <si>
    <t>M-702231</t>
  </si>
  <si>
    <t>F-902231</t>
  </si>
  <si>
    <t>B-502232</t>
  </si>
  <si>
    <t>M-702232</t>
  </si>
  <si>
    <t>F-902232</t>
  </si>
  <si>
    <t>B-502233</t>
  </si>
  <si>
    <t>M-702233</t>
  </si>
  <si>
    <t>F-902233</t>
  </si>
  <si>
    <t>B-502234</t>
  </si>
  <si>
    <t>M-702234</t>
  </si>
  <si>
    <t>F-902234</t>
  </si>
  <si>
    <t>B-502235</t>
  </si>
  <si>
    <t>M-702235</t>
  </si>
  <si>
    <t>F-902235</t>
  </si>
  <si>
    <t>B-502236</t>
  </si>
  <si>
    <t>M-702236</t>
  </si>
  <si>
    <t>F-902236</t>
  </si>
  <si>
    <t>B-502237</t>
  </si>
  <si>
    <t>M-702237</t>
  </si>
  <si>
    <t>F-902237</t>
  </si>
  <si>
    <t>B-502238</t>
  </si>
  <si>
    <t>M-702238</t>
  </si>
  <si>
    <t>F-902238</t>
  </si>
  <si>
    <t>B-502239</t>
  </si>
  <si>
    <t>M-702239</t>
  </si>
  <si>
    <t>F-902239</t>
  </si>
  <si>
    <t>B-502240</t>
  </si>
  <si>
    <t>M-702240</t>
  </si>
  <si>
    <t>F-902240</t>
  </si>
  <si>
    <t>B-502241</t>
  </si>
  <si>
    <t>M-702241</t>
  </si>
  <si>
    <t>F-902241</t>
  </si>
  <si>
    <t>B-502242</t>
  </si>
  <si>
    <t>M-702242</t>
  </si>
  <si>
    <t>F-902242</t>
  </si>
  <si>
    <t>B-502243</t>
  </si>
  <si>
    <t>M-702243</t>
  </si>
  <si>
    <t>F-902243</t>
  </si>
  <si>
    <t>B-502244</t>
  </si>
  <si>
    <t>M-702244</t>
  </si>
  <si>
    <t>F-902244</t>
  </si>
  <si>
    <t>B-502245</t>
  </si>
  <si>
    <t>M-702245</t>
  </si>
  <si>
    <t>F-902245</t>
  </si>
  <si>
    <t>B-502246</t>
  </si>
  <si>
    <t>M-702246</t>
  </si>
  <si>
    <t>F-902246</t>
  </si>
  <si>
    <t>B-502247</t>
  </si>
  <si>
    <t>M-702247</t>
  </si>
  <si>
    <t>F-902247</t>
  </si>
  <si>
    <t>B-502248</t>
  </si>
  <si>
    <t>M-702248</t>
  </si>
  <si>
    <t>F-902248</t>
  </si>
  <si>
    <t>B-502249</t>
  </si>
  <si>
    <t>M-702249</t>
  </si>
  <si>
    <t>F-902249</t>
  </si>
  <si>
    <t>B-502250</t>
  </si>
  <si>
    <t>M-702250</t>
  </si>
  <si>
    <t>F-902250</t>
  </si>
  <si>
    <t>B-502251</t>
  </si>
  <si>
    <t>M-702251</t>
  </si>
  <si>
    <t>F-902251</t>
  </si>
  <si>
    <t>B-502252</t>
  </si>
  <si>
    <t>M-702252</t>
  </si>
  <si>
    <t>F-902252</t>
  </si>
  <si>
    <t>B-502253</t>
  </si>
  <si>
    <t>M-702253</t>
  </si>
  <si>
    <t>F-902253</t>
  </si>
  <si>
    <t>B-502254</t>
  </si>
  <si>
    <t>M-702254</t>
  </si>
  <si>
    <t>F-902254</t>
  </si>
  <si>
    <t>B-502255</t>
  </si>
  <si>
    <t>M-702255</t>
  </si>
  <si>
    <t>F-902255</t>
  </si>
  <si>
    <t>B-502256</t>
  </si>
  <si>
    <t>M-702256</t>
  </si>
  <si>
    <t>F-902256</t>
  </si>
  <si>
    <t>B-502257</t>
  </si>
  <si>
    <t>M-702257</t>
  </si>
  <si>
    <t>F-902257</t>
  </si>
  <si>
    <t>B-502258</t>
  </si>
  <si>
    <t>M-702258</t>
  </si>
  <si>
    <t>F-902258</t>
  </si>
  <si>
    <t>B-502259</t>
  </si>
  <si>
    <t>M-702259</t>
  </si>
  <si>
    <t>F-902259</t>
  </si>
  <si>
    <t>B-502260</t>
  </si>
  <si>
    <t>M-702260</t>
  </si>
  <si>
    <t>F-902260</t>
  </si>
  <si>
    <t>B-502261</t>
  </si>
  <si>
    <t>M-702261</t>
  </si>
  <si>
    <t>F-902261</t>
  </si>
  <si>
    <t>B-502262</t>
  </si>
  <si>
    <t>M-702262</t>
  </si>
  <si>
    <t>F-902262</t>
  </si>
  <si>
    <t>B-502263</t>
  </si>
  <si>
    <t>M-702263</t>
  </si>
  <si>
    <t>F-902263</t>
  </si>
  <si>
    <t>B-502264</t>
  </si>
  <si>
    <t>M-702264</t>
  </si>
  <si>
    <t>F-902264</t>
  </si>
  <si>
    <t>B-502265</t>
  </si>
  <si>
    <t>M-702265</t>
  </si>
  <si>
    <t>F-902265</t>
  </si>
  <si>
    <t>B-502266</t>
  </si>
  <si>
    <t>M-702266</t>
  </si>
  <si>
    <t>F-902266</t>
  </si>
  <si>
    <t>B-502267</t>
  </si>
  <si>
    <t>M-702267</t>
  </si>
  <si>
    <t>F-902267</t>
  </si>
  <si>
    <t>B-502268</t>
  </si>
  <si>
    <t>M-702268</t>
  </si>
  <si>
    <t>F-902268</t>
  </si>
  <si>
    <t>B-502269</t>
  </si>
  <si>
    <t>M-702269</t>
  </si>
  <si>
    <t>F-902269</t>
  </si>
  <si>
    <t>B-502270</t>
  </si>
  <si>
    <t>M-702270</t>
  </si>
  <si>
    <t>F-902270</t>
  </si>
  <si>
    <t>B-502271</t>
  </si>
  <si>
    <t>M-702271</t>
  </si>
  <si>
    <t>F-902271</t>
  </si>
  <si>
    <t>B-502272</t>
  </si>
  <si>
    <t>M-702272</t>
  </si>
  <si>
    <t>F-902272</t>
  </si>
  <si>
    <t>B-502273</t>
  </si>
  <si>
    <t>M-702273</t>
  </si>
  <si>
    <t>F-902273</t>
  </si>
  <si>
    <t>B-502274</t>
  </si>
  <si>
    <t>M-702274</t>
  </si>
  <si>
    <t>F-902274</t>
  </si>
  <si>
    <t>B-502275</t>
  </si>
  <si>
    <t>M-702275</t>
  </si>
  <si>
    <t>F-902275</t>
  </si>
  <si>
    <t>B-502276</t>
  </si>
  <si>
    <t>M-702276</t>
  </si>
  <si>
    <t>F-902276</t>
  </si>
  <si>
    <t>B-502277</t>
  </si>
  <si>
    <t>M-702277</t>
  </si>
  <si>
    <t>F-902277</t>
  </si>
  <si>
    <t>B-502278</t>
  </si>
  <si>
    <t>M-702278</t>
  </si>
  <si>
    <t>F-902278</t>
  </si>
  <si>
    <t>B-502279</t>
  </si>
  <si>
    <t>M-702279</t>
  </si>
  <si>
    <t>F-902279</t>
  </si>
  <si>
    <t>B-502280</t>
  </si>
  <si>
    <t>M-702280</t>
  </si>
  <si>
    <t>F-902280</t>
  </si>
  <si>
    <t>B-502281</t>
  </si>
  <si>
    <t>M-702281</t>
  </si>
  <si>
    <t>F-902281</t>
  </si>
  <si>
    <t>B-502282</t>
  </si>
  <si>
    <t>M-702282</t>
  </si>
  <si>
    <t>F-902282</t>
  </si>
  <si>
    <t>B-502283</t>
  </si>
  <si>
    <t>M-702283</t>
  </si>
  <si>
    <t>F-902283</t>
  </si>
  <si>
    <t>B-502284</t>
  </si>
  <si>
    <t>M-702284</t>
  </si>
  <si>
    <t>F-902284</t>
  </si>
  <si>
    <t>B-502285</t>
  </si>
  <si>
    <t>M-702285</t>
  </si>
  <si>
    <t>F-902285</t>
  </si>
  <si>
    <t>B-502286</t>
  </si>
  <si>
    <t>M-702286</t>
  </si>
  <si>
    <t>F-902286</t>
  </si>
  <si>
    <t>B-502287</t>
  </si>
  <si>
    <t>M-702287</t>
  </si>
  <si>
    <t>F-902287</t>
  </si>
  <si>
    <t>B-502288</t>
  </si>
  <si>
    <t>M-702288</t>
  </si>
  <si>
    <t>F-902288</t>
  </si>
  <si>
    <t>B-502289</t>
  </si>
  <si>
    <t>M-702289</t>
  </si>
  <si>
    <t>F-902289</t>
  </si>
  <si>
    <t>B-502290</t>
  </si>
  <si>
    <t>M-702290</t>
  </si>
  <si>
    <t>F-902290</t>
  </si>
  <si>
    <t>B-502291</t>
  </si>
  <si>
    <t>M-702291</t>
  </si>
  <si>
    <t>F-902291</t>
  </si>
  <si>
    <t>B-502292</t>
  </si>
  <si>
    <t>M-702292</t>
  </si>
  <si>
    <t>F-902292</t>
  </si>
  <si>
    <t>B-502293</t>
  </si>
  <si>
    <t>M-702293</t>
  </si>
  <si>
    <t>F-902293</t>
  </si>
  <si>
    <t>B-502294</t>
  </si>
  <si>
    <t>M-702294</t>
  </si>
  <si>
    <t>F-902294</t>
  </si>
  <si>
    <t>B-502295</t>
  </si>
  <si>
    <t>M-702295</t>
  </si>
  <si>
    <t>F-902295</t>
  </si>
  <si>
    <t>B-502296</t>
  </si>
  <si>
    <t>M-702296</t>
  </si>
  <si>
    <t>F-902296</t>
  </si>
  <si>
    <t>B-502297</t>
  </si>
  <si>
    <t>M-702297</t>
  </si>
  <si>
    <t>F-902297</t>
  </si>
  <si>
    <t>B-502298</t>
  </si>
  <si>
    <t>M-702298</t>
  </si>
  <si>
    <t>F-902298</t>
  </si>
  <si>
    <t>B-502299</t>
  </si>
  <si>
    <t>M-702299</t>
  </si>
  <si>
    <t>F-902299</t>
  </si>
  <si>
    <t>B-502300</t>
  </si>
  <si>
    <t>M-702300</t>
  </si>
  <si>
    <t>F-902300</t>
  </si>
  <si>
    <t>B-502301</t>
  </si>
  <si>
    <t>M-702301</t>
  </si>
  <si>
    <t>F-902301</t>
  </si>
  <si>
    <t>B-502302</t>
  </si>
  <si>
    <t>M-702302</t>
  </si>
  <si>
    <t>F-902302</t>
  </si>
  <si>
    <t>B-502303</t>
  </si>
  <si>
    <t>M-702303</t>
  </si>
  <si>
    <t>F-902303</t>
  </si>
  <si>
    <t>B-502304</t>
  </si>
  <si>
    <t>M-702304</t>
  </si>
  <si>
    <t>F-902304</t>
  </si>
  <si>
    <t>B-502305</t>
  </si>
  <si>
    <t>M-702305</t>
  </si>
  <si>
    <t>F-902305</t>
  </si>
  <si>
    <t>B-502306</t>
  </si>
  <si>
    <t>M-702306</t>
  </si>
  <si>
    <t>F-902306</t>
  </si>
  <si>
    <t>B-502307</t>
  </si>
  <si>
    <t>M-702307</t>
  </si>
  <si>
    <t>F-902307</t>
  </si>
  <si>
    <t>B-502308</t>
  </si>
  <si>
    <t>M-702308</t>
  </si>
  <si>
    <t>F-902308</t>
  </si>
  <si>
    <t>B-502309</t>
  </si>
  <si>
    <t>M-702309</t>
  </si>
  <si>
    <t>F-902309</t>
  </si>
  <si>
    <t>B-502310</t>
  </si>
  <si>
    <t>M-702310</t>
  </si>
  <si>
    <t>F-902310</t>
  </si>
  <si>
    <t>B-502311</t>
  </si>
  <si>
    <t>M-702311</t>
  </si>
  <si>
    <t>F-902311</t>
  </si>
  <si>
    <t>B-502312</t>
  </si>
  <si>
    <t>M-702312</t>
  </si>
  <si>
    <t>F-902312</t>
  </si>
  <si>
    <t>B-502313</t>
  </si>
  <si>
    <t>M-702313</t>
  </si>
  <si>
    <t>F-902313</t>
  </si>
  <si>
    <t>B-502314</t>
  </si>
  <si>
    <t>M-702314</t>
  </si>
  <si>
    <t>F-902314</t>
  </si>
  <si>
    <t>B-502315</t>
  </si>
  <si>
    <t>M-702315</t>
  </si>
  <si>
    <t>F-902315</t>
  </si>
  <si>
    <t>B-502316</t>
  </si>
  <si>
    <t>M-702316</t>
  </si>
  <si>
    <t>F-902316</t>
  </si>
  <si>
    <t>B-502317</t>
  </si>
  <si>
    <t>M-702317</t>
  </si>
  <si>
    <t>F-902317</t>
  </si>
  <si>
    <t>B-502318</t>
  </si>
  <si>
    <t>M-702318</t>
  </si>
  <si>
    <t>F-902318</t>
  </si>
  <si>
    <t>B-502319</t>
  </si>
  <si>
    <t>M-702319</t>
  </si>
  <si>
    <t>F-902319</t>
  </si>
  <si>
    <t>B-502320</t>
  </si>
  <si>
    <t>M-702320</t>
  </si>
  <si>
    <t>F-902320</t>
  </si>
  <si>
    <t>B-502321</t>
  </si>
  <si>
    <t>M-702321</t>
  </si>
  <si>
    <t>F-902321</t>
  </si>
  <si>
    <t>B-502322</t>
  </si>
  <si>
    <t>M-702322</t>
  </si>
  <si>
    <t>F-902322</t>
  </si>
  <si>
    <t>B-502323</t>
  </si>
  <si>
    <t>M-702323</t>
  </si>
  <si>
    <t>F-902323</t>
  </si>
  <si>
    <t>B-502324</t>
  </si>
  <si>
    <t>M-702324</t>
  </si>
  <si>
    <t>F-902324</t>
  </si>
  <si>
    <t>B-502325</t>
  </si>
  <si>
    <t>M-702325</t>
  </si>
  <si>
    <t>F-902325</t>
  </si>
  <si>
    <t>B-502326</t>
  </si>
  <si>
    <t>M-702326</t>
  </si>
  <si>
    <t>F-902326</t>
  </si>
  <si>
    <t>B-502327</t>
  </si>
  <si>
    <t>M-702327</t>
  </si>
  <si>
    <t>F-902327</t>
  </si>
  <si>
    <t>B-502328</t>
  </si>
  <si>
    <t>M-702328</t>
  </si>
  <si>
    <t>F-902328</t>
  </si>
  <si>
    <t>B-502329</t>
  </si>
  <si>
    <t>M-702329</t>
  </si>
  <si>
    <t>F-902329</t>
  </si>
  <si>
    <t>B-502330</t>
  </si>
  <si>
    <t>M-702330</t>
  </si>
  <si>
    <t>F-902330</t>
  </si>
  <si>
    <t>B-502331</t>
  </si>
  <si>
    <t>M-702331</t>
  </si>
  <si>
    <t>F-902331</t>
  </si>
  <si>
    <t>B-502332</t>
  </si>
  <si>
    <t>M-702332</t>
  </si>
  <si>
    <t>F-902332</t>
  </si>
  <si>
    <t>B-502333</t>
  </si>
  <si>
    <t>M-702333</t>
  </si>
  <si>
    <t>F-902333</t>
  </si>
  <si>
    <t>B-502334</t>
  </si>
  <si>
    <t>M-702334</t>
  </si>
  <si>
    <t>F-902334</t>
  </si>
  <si>
    <t>B-502335</t>
  </si>
  <si>
    <t>M-702335</t>
  </si>
  <si>
    <t>F-902335</t>
  </si>
  <si>
    <t>B-502336</t>
  </si>
  <si>
    <t>M-702336</t>
  </si>
  <si>
    <t>F-902336</t>
  </si>
  <si>
    <t>B-502337</t>
  </si>
  <si>
    <t>M-702337</t>
  </si>
  <si>
    <t>F-902337</t>
  </si>
  <si>
    <t>B-502338</t>
  </si>
  <si>
    <t>M-702338</t>
  </si>
  <si>
    <t>F-902338</t>
  </si>
  <si>
    <t>B-502339</t>
  </si>
  <si>
    <t>M-702339</t>
  </si>
  <si>
    <t>F-902339</t>
  </si>
  <si>
    <t>B-502340</t>
  </si>
  <si>
    <t>M-702340</t>
  </si>
  <si>
    <t>F-902340</t>
  </si>
  <si>
    <t>B-502341</t>
  </si>
  <si>
    <t>M-702341</t>
  </si>
  <si>
    <t>F-902341</t>
  </si>
  <si>
    <t>B-502342</t>
  </si>
  <si>
    <t>M-702342</t>
  </si>
  <si>
    <t>F-902342</t>
  </si>
  <si>
    <t>B-502343</t>
  </si>
  <si>
    <t>M-702343</t>
  </si>
  <si>
    <t>F-902343</t>
  </si>
  <si>
    <t>B-502344</t>
  </si>
  <si>
    <t>M-702344</t>
  </si>
  <si>
    <t>F-902344</t>
  </si>
  <si>
    <t>B-502345</t>
  </si>
  <si>
    <t>M-702345</t>
  </si>
  <si>
    <t>F-902345</t>
  </si>
  <si>
    <t>B-502346</t>
  </si>
  <si>
    <t>M-702346</t>
  </si>
  <si>
    <t>F-902346</t>
  </si>
  <si>
    <t>B-502347</t>
  </si>
  <si>
    <t>M-702347</t>
  </si>
  <si>
    <t>F-902347</t>
  </si>
  <si>
    <t>B-502348</t>
  </si>
  <si>
    <t>M-702348</t>
  </si>
  <si>
    <t>F-902348</t>
  </si>
  <si>
    <t>B-502349</t>
  </si>
  <si>
    <t>M-702349</t>
  </si>
  <si>
    <t>F-902349</t>
  </si>
  <si>
    <t>B-502350</t>
  </si>
  <si>
    <t>M-702350</t>
  </si>
  <si>
    <t>F-902350</t>
  </si>
  <si>
    <t>B-502351</t>
  </si>
  <si>
    <t>M-702351</t>
  </si>
  <si>
    <t>F-902351</t>
  </si>
  <si>
    <t>B-502352</t>
  </si>
  <si>
    <t>M-702352</t>
  </si>
  <si>
    <t>F-902352</t>
  </si>
  <si>
    <t>B-502353</t>
  </si>
  <si>
    <t>M-702353</t>
  </si>
  <si>
    <t>F-902353</t>
  </si>
  <si>
    <t>B-502354</t>
  </si>
  <si>
    <t>M-702354</t>
  </si>
  <si>
    <t>F-902354</t>
  </si>
  <si>
    <t>B-502355</t>
  </si>
  <si>
    <t>M-702355</t>
  </si>
  <si>
    <t>F-902355</t>
  </si>
  <si>
    <t>B-502356</t>
  </si>
  <si>
    <t>M-702356</t>
  </si>
  <si>
    <t>F-902356</t>
  </si>
  <si>
    <t>B-502357</t>
  </si>
  <si>
    <t>M-702357</t>
  </si>
  <si>
    <t>F-902357</t>
  </si>
  <si>
    <t>B-502358</t>
  </si>
  <si>
    <t>M-702358</t>
  </si>
  <si>
    <t>F-902358</t>
  </si>
  <si>
    <t>B-502359</t>
  </si>
  <si>
    <t>M-702359</t>
  </si>
  <si>
    <t>F-902359</t>
  </si>
  <si>
    <t>B-502360</t>
  </si>
  <si>
    <t>M-702360</t>
  </si>
  <si>
    <t>F-902360</t>
  </si>
  <si>
    <t>B-502361</t>
  </si>
  <si>
    <t>M-702361</t>
  </si>
  <si>
    <t>F-902361</t>
  </si>
  <si>
    <t>B-502362</t>
  </si>
  <si>
    <t>M-702362</t>
  </si>
  <si>
    <t>F-902362</t>
  </si>
  <si>
    <t>B-502363</t>
  </si>
  <si>
    <t>M-702363</t>
  </si>
  <si>
    <t>F-902363</t>
  </si>
  <si>
    <t>B-502364</t>
  </si>
  <si>
    <t>M-702364</t>
  </si>
  <si>
    <t>F-902364</t>
  </si>
  <si>
    <t>B-502365</t>
  </si>
  <si>
    <t>M-702365</t>
  </si>
  <si>
    <t>F-902365</t>
  </si>
  <si>
    <t>B-502366</t>
  </si>
  <si>
    <t>M-702366</t>
  </si>
  <si>
    <t>F-902366</t>
  </si>
  <si>
    <t>B-502367</t>
  </si>
  <si>
    <t>M-702367</t>
  </si>
  <si>
    <t>F-902367</t>
  </si>
  <si>
    <t>B-502368</t>
  </si>
  <si>
    <t>M-702368</t>
  </si>
  <si>
    <t>F-902368</t>
  </si>
  <si>
    <t>B-502369</t>
  </si>
  <si>
    <t>M-702369</t>
  </si>
  <si>
    <t>F-902369</t>
  </si>
  <si>
    <t>B-502370</t>
  </si>
  <si>
    <t>M-702370</t>
  </si>
  <si>
    <t>F-902370</t>
  </si>
  <si>
    <t>B-502371</t>
  </si>
  <si>
    <t>M-702371</t>
  </si>
  <si>
    <t>F-902371</t>
  </si>
  <si>
    <t>B-502372</t>
  </si>
  <si>
    <t>M-702372</t>
  </si>
  <si>
    <t>F-902372</t>
  </si>
  <si>
    <t>B-502373</t>
  </si>
  <si>
    <t>M-702373</t>
  </si>
  <si>
    <t>F-902373</t>
  </si>
  <si>
    <t>B-502374</t>
  </si>
  <si>
    <t>M-702374</t>
  </si>
  <si>
    <t>F-902374</t>
  </si>
  <si>
    <t>B-502375</t>
  </si>
  <si>
    <t>M-702375</t>
  </si>
  <si>
    <t>F-902375</t>
  </si>
  <si>
    <t>B-502376</t>
  </si>
  <si>
    <t>M-702376</t>
  </si>
  <si>
    <t>F-902376</t>
  </si>
  <si>
    <t>B-502377</t>
  </si>
  <si>
    <t>M-702377</t>
  </si>
  <si>
    <t>F-902377</t>
  </si>
  <si>
    <t>B-502378</t>
  </si>
  <si>
    <t>M-702378</t>
  </si>
  <si>
    <t>F-902378</t>
  </si>
  <si>
    <t>B-502379</t>
  </si>
  <si>
    <t>M-702379</t>
  </si>
  <si>
    <t>F-902379</t>
  </si>
  <si>
    <t>B-502380</t>
  </si>
  <si>
    <t>M-702380</t>
  </si>
  <si>
    <t>F-902380</t>
  </si>
  <si>
    <t>B-502381</t>
  </si>
  <si>
    <t>M-702381</t>
  </si>
  <si>
    <t>F-902381</t>
  </si>
  <si>
    <t>B-502382</t>
  </si>
  <si>
    <t>M-702382</t>
  </si>
  <si>
    <t>F-902382</t>
  </si>
  <si>
    <t>B-502383</t>
  </si>
  <si>
    <t>M-702383</t>
  </si>
  <si>
    <t>F-902383</t>
  </si>
  <si>
    <t>B-502384</t>
  </si>
  <si>
    <t>M-702384</t>
  </si>
  <si>
    <t>F-902384</t>
  </si>
  <si>
    <t>B-502385</t>
  </si>
  <si>
    <t>M-702385</t>
  </si>
  <si>
    <t>F-902385</t>
  </si>
  <si>
    <t>B-502386</t>
  </si>
  <si>
    <t>M-702386</t>
  </si>
  <si>
    <t>F-902386</t>
  </si>
  <si>
    <t>B-502387</t>
  </si>
  <si>
    <t>M-702387</t>
  </si>
  <si>
    <t>F-902387</t>
  </si>
  <si>
    <t>B-502388</t>
  </si>
  <si>
    <t>M-702388</t>
  </si>
  <si>
    <t>F-902388</t>
  </si>
  <si>
    <t>B-502389</t>
  </si>
  <si>
    <t>M-702389</t>
  </si>
  <si>
    <t>F-902389</t>
  </si>
  <si>
    <t>B-502390</t>
  </si>
  <si>
    <t>M-702390</t>
  </si>
  <si>
    <t>F-902390</t>
  </si>
  <si>
    <t>B-502391</t>
  </si>
  <si>
    <t>M-702391</t>
  </si>
  <si>
    <t>F-902391</t>
  </si>
  <si>
    <t>B-502392</t>
  </si>
  <si>
    <t>M-702392</t>
  </si>
  <si>
    <t>F-902392</t>
  </si>
  <si>
    <t>B-502393</t>
  </si>
  <si>
    <t>M-702393</t>
  </si>
  <si>
    <t>F-902393</t>
  </si>
  <si>
    <t>B-502394</t>
  </si>
  <si>
    <t>M-702394</t>
  </si>
  <si>
    <t>F-902394</t>
  </si>
  <si>
    <t>B-502395</t>
  </si>
  <si>
    <t>M-702395</t>
  </si>
  <si>
    <t>F-902395</t>
  </si>
  <si>
    <t>B-502396</t>
  </si>
  <si>
    <t>M-702396</t>
  </si>
  <si>
    <t>F-902396</t>
  </si>
  <si>
    <t>B-502397</t>
  </si>
  <si>
    <t>M-702397</t>
  </si>
  <si>
    <t>F-902397</t>
  </si>
  <si>
    <t>B-502398</t>
  </si>
  <si>
    <t>M-702398</t>
  </si>
  <si>
    <t>F-902398</t>
  </si>
  <si>
    <t>B-502399</t>
  </si>
  <si>
    <t>M-702399</t>
  </si>
  <si>
    <t>F-902399</t>
  </si>
  <si>
    <t>B-502400</t>
  </si>
  <si>
    <t>M-702400</t>
  </si>
  <si>
    <t>F-902400</t>
  </si>
  <si>
    <t>B-502401</t>
  </si>
  <si>
    <t>M-702401</t>
  </si>
  <si>
    <t>F-902401</t>
  </si>
  <si>
    <t>B-502402</t>
  </si>
  <si>
    <t>M-702402</t>
  </si>
  <si>
    <t>F-902402</t>
  </si>
  <si>
    <t>B-502403</t>
  </si>
  <si>
    <t>M-702403</t>
  </si>
  <si>
    <t>F-902403</t>
  </si>
  <si>
    <t>B-502404</t>
  </si>
  <si>
    <t>M-702404</t>
  </si>
  <si>
    <t>F-902404</t>
  </si>
  <si>
    <t>B-502405</t>
  </si>
  <si>
    <t>M-702405</t>
  </si>
  <si>
    <t>F-902405</t>
  </si>
  <si>
    <t>B-502406</t>
  </si>
  <si>
    <t>M-702406</t>
  </si>
  <si>
    <t>F-902406</t>
  </si>
  <si>
    <t>B-502407</t>
  </si>
  <si>
    <t>M-702407</t>
  </si>
  <si>
    <t>F-902407</t>
  </si>
  <si>
    <t>B-502408</t>
  </si>
  <si>
    <t>M-702408</t>
  </si>
  <si>
    <t>F-902408</t>
  </si>
  <si>
    <t>B-502409</t>
  </si>
  <si>
    <t>M-702409</t>
  </si>
  <si>
    <t>F-902409</t>
  </si>
  <si>
    <t>B-502410</t>
  </si>
  <si>
    <t>M-702410</t>
  </si>
  <si>
    <t>F-902410</t>
  </si>
  <si>
    <t>B-502411</t>
  </si>
  <si>
    <t>M-702411</t>
  </si>
  <si>
    <t>F-902411</t>
  </si>
  <si>
    <t>B-502412</t>
  </si>
  <si>
    <t>M-702412</t>
  </si>
  <si>
    <t>F-902412</t>
  </si>
  <si>
    <t>B-502413</t>
  </si>
  <si>
    <t>M-702413</t>
  </si>
  <si>
    <t>F-902413</t>
  </si>
  <si>
    <t>B-502414</t>
  </si>
  <si>
    <t>M-702414</t>
  </si>
  <si>
    <t>F-902414</t>
  </si>
  <si>
    <t>B-502415</t>
  </si>
  <si>
    <t>M-702415</t>
  </si>
  <si>
    <t>F-902415</t>
  </si>
  <si>
    <t>B-502416</t>
  </si>
  <si>
    <t>M-702416</t>
  </si>
  <si>
    <t>F-902416</t>
  </si>
  <si>
    <t>B-502417</t>
  </si>
  <si>
    <t>M-702417</t>
  </si>
  <si>
    <t>F-902417</t>
  </si>
  <si>
    <t>B-502418</t>
  </si>
  <si>
    <t>M-702418</t>
  </si>
  <si>
    <t>F-902418</t>
  </si>
  <si>
    <t>B-502419</t>
  </si>
  <si>
    <t>M-702419</t>
  </si>
  <si>
    <t>F-902419</t>
  </si>
  <si>
    <t>B-502420</t>
  </si>
  <si>
    <t>M-702420</t>
  </si>
  <si>
    <t>F-902420</t>
  </si>
  <si>
    <t>B-502421</t>
  </si>
  <si>
    <t>M-702421</t>
  </si>
  <si>
    <t>F-902421</t>
  </si>
  <si>
    <t>B-502422</t>
  </si>
  <si>
    <t>M-702422</t>
  </si>
  <si>
    <t>F-902422</t>
  </si>
  <si>
    <t>B-502423</t>
  </si>
  <si>
    <t>M-702423</t>
  </si>
  <si>
    <t>F-902423</t>
  </si>
  <si>
    <t>B-502424</t>
  </si>
  <si>
    <t>M-702424</t>
  </si>
  <si>
    <t>F-902424</t>
  </si>
  <si>
    <t>B-502425</t>
  </si>
  <si>
    <t>M-702425</t>
  </si>
  <si>
    <t>F-902425</t>
  </si>
  <si>
    <t>B-502426</t>
  </si>
  <si>
    <t>M-702426</t>
  </si>
  <si>
    <t>F-902426</t>
  </si>
  <si>
    <t>B-502427</t>
  </si>
  <si>
    <t>M-702427</t>
  </si>
  <si>
    <t>F-902427</t>
  </si>
  <si>
    <t>B-502428</t>
  </si>
  <si>
    <t>M-702428</t>
  </si>
  <si>
    <t>F-902428</t>
  </si>
  <si>
    <t>B-502429</t>
  </si>
  <si>
    <t>M-702429</t>
  </si>
  <si>
    <t>F-902429</t>
  </si>
  <si>
    <t>B-502430</t>
  </si>
  <si>
    <t>M-702430</t>
  </si>
  <si>
    <t>F-902430</t>
  </si>
  <si>
    <t>B-502431</t>
  </si>
  <si>
    <t>M-702431</t>
  </si>
  <si>
    <t>F-902431</t>
  </si>
  <si>
    <t>B-502432</t>
  </si>
  <si>
    <t>M-702432</t>
  </si>
  <si>
    <t>F-902432</t>
  </si>
  <si>
    <t>B-502433</t>
  </si>
  <si>
    <t>M-702433</t>
  </si>
  <si>
    <t>F-902433</t>
  </si>
  <si>
    <t>B-502434</t>
  </si>
  <si>
    <t>M-702434</t>
  </si>
  <si>
    <t>F-902434</t>
  </si>
  <si>
    <t>B-502435</t>
  </si>
  <si>
    <t>M-702435</t>
  </si>
  <si>
    <t>F-902435</t>
  </si>
  <si>
    <t>B-502436</t>
  </si>
  <si>
    <t>M-702436</t>
  </si>
  <si>
    <t>F-902436</t>
  </si>
  <si>
    <t>B-502437</t>
  </si>
  <si>
    <t>M-702437</t>
  </si>
  <si>
    <t>F-902437</t>
  </si>
  <si>
    <t>B-502438</t>
  </si>
  <si>
    <t>M-702438</t>
  </si>
  <si>
    <t>F-902438</t>
  </si>
  <si>
    <t>B-502439</t>
  </si>
  <si>
    <t>M-702439</t>
  </si>
  <si>
    <t>F-902439</t>
  </si>
  <si>
    <t>B-502440</t>
  </si>
  <si>
    <t>M-702440</t>
  </si>
  <si>
    <t>F-902440</t>
  </si>
  <si>
    <t>B-502441</t>
  </si>
  <si>
    <t>M-702441</t>
  </si>
  <si>
    <t>F-902441</t>
  </si>
  <si>
    <t>B-502442</t>
  </si>
  <si>
    <t>M-702442</t>
  </si>
  <si>
    <t>F-902442</t>
  </si>
  <si>
    <t>B-502443</t>
  </si>
  <si>
    <t>M-702443</t>
  </si>
  <si>
    <t>F-902443</t>
  </si>
  <si>
    <t>B-502444</t>
  </si>
  <si>
    <t>M-702444</t>
  </si>
  <si>
    <t>F-902444</t>
  </si>
  <si>
    <t>B-502445</t>
  </si>
  <si>
    <t>M-702445</t>
  </si>
  <si>
    <t>F-902445</t>
  </si>
  <si>
    <t>B-502446</t>
  </si>
  <si>
    <t>M-702446</t>
  </si>
  <si>
    <t>F-902446</t>
  </si>
  <si>
    <t>B-502447</t>
  </si>
  <si>
    <t>M-702447</t>
  </si>
  <si>
    <t>F-902447</t>
  </si>
  <si>
    <t>B-502448</t>
  </si>
  <si>
    <t>M-702448</t>
  </si>
  <si>
    <t>F-902448</t>
  </si>
  <si>
    <t>B-502449</t>
  </si>
  <si>
    <t>M-702449</t>
  </si>
  <si>
    <t>F-902449</t>
  </si>
  <si>
    <t>B-502450</t>
  </si>
  <si>
    <t>M-702450</t>
  </si>
  <si>
    <t>F-902450</t>
  </si>
  <si>
    <t>B-502451</t>
  </si>
  <si>
    <t>M-702451</t>
  </si>
  <si>
    <t>F-902451</t>
  </si>
  <si>
    <t>B-502452</t>
  </si>
  <si>
    <t>M-702452</t>
  </si>
  <si>
    <t>F-902452</t>
  </si>
  <si>
    <t>B-502453</t>
  </si>
  <si>
    <t>M-702453</t>
  </si>
  <si>
    <t>F-902453</t>
  </si>
  <si>
    <t>B-502454</t>
  </si>
  <si>
    <t>M-702454</t>
  </si>
  <si>
    <t>F-902454</t>
  </si>
  <si>
    <t>B-502455</t>
  </si>
  <si>
    <t>M-702455</t>
  </si>
  <si>
    <t>F-902455</t>
  </si>
  <si>
    <t>B-502456</t>
  </si>
  <si>
    <t>M-702456</t>
  </si>
  <si>
    <t>F-902456</t>
  </si>
  <si>
    <t>B-502457</t>
  </si>
  <si>
    <t>M-702457</t>
  </si>
  <si>
    <t>F-902457</t>
  </si>
  <si>
    <t>B-502458</t>
  </si>
  <si>
    <t>M-702458</t>
  </si>
  <si>
    <t>F-902458</t>
  </si>
  <si>
    <t>B-502459</t>
  </si>
  <si>
    <t>M-702459</t>
  </si>
  <si>
    <t>F-902459</t>
  </si>
  <si>
    <t>B-502460</t>
  </si>
  <si>
    <t>M-702460</t>
  </si>
  <si>
    <t>F-902460</t>
  </si>
  <si>
    <t>B-502461</t>
  </si>
  <si>
    <t>M-702461</t>
  </si>
  <si>
    <t>F-902461</t>
  </si>
  <si>
    <t>B-502462</t>
  </si>
  <si>
    <t>M-702462</t>
  </si>
  <si>
    <t>F-902462</t>
  </si>
  <si>
    <t>B-502463</t>
  </si>
  <si>
    <t>M-702463</t>
  </si>
  <si>
    <t>F-902463</t>
  </si>
  <si>
    <t>B-502464</t>
  </si>
  <si>
    <t>M-702464</t>
  </si>
  <si>
    <t>F-902464</t>
  </si>
  <si>
    <t>B-502465</t>
  </si>
  <si>
    <t>M-702465</t>
  </si>
  <si>
    <t>F-902465</t>
  </si>
  <si>
    <t>B-502466</t>
  </si>
  <si>
    <t>M-702466</t>
  </si>
  <si>
    <t>F-902466</t>
  </si>
  <si>
    <t>B-502467</t>
  </si>
  <si>
    <t>M-702467</t>
  </si>
  <si>
    <t>F-902467</t>
  </si>
  <si>
    <t>B-502468</t>
  </si>
  <si>
    <t>M-702468</t>
  </si>
  <si>
    <t>F-902468</t>
  </si>
  <si>
    <t>B-502469</t>
  </si>
  <si>
    <t>M-702469</t>
  </si>
  <si>
    <t>F-902469</t>
  </si>
  <si>
    <t>B-502470</t>
  </si>
  <si>
    <t>M-702470</t>
  </si>
  <si>
    <t>F-902470</t>
  </si>
  <si>
    <t>B-502471</t>
  </si>
  <si>
    <t>M-702471</t>
  </si>
  <si>
    <t>F-902471</t>
  </si>
  <si>
    <t>B-502472</t>
  </si>
  <si>
    <t>M-702472</t>
  </si>
  <si>
    <t>F-902472</t>
  </si>
  <si>
    <t>B-502473</t>
  </si>
  <si>
    <t>M-702473</t>
  </si>
  <si>
    <t>F-902473</t>
  </si>
  <si>
    <t>B-502474</t>
  </si>
  <si>
    <t>M-702474</t>
  </si>
  <si>
    <t>F-902474</t>
  </si>
  <si>
    <t>B-502475</t>
  </si>
  <si>
    <t>M-702475</t>
  </si>
  <si>
    <t>F-902475</t>
  </si>
  <si>
    <t>B-502476</t>
  </si>
  <si>
    <t>M-702476</t>
  </si>
  <si>
    <t>F-902476</t>
  </si>
  <si>
    <t>B-502477</t>
  </si>
  <si>
    <t>M-702477</t>
  </si>
  <si>
    <t>F-902477</t>
  </si>
  <si>
    <t>B-502478</t>
  </si>
  <si>
    <t>M-702478</t>
  </si>
  <si>
    <t>F-902478</t>
  </si>
  <si>
    <t>B-502479</t>
  </si>
  <si>
    <t>M-702479</t>
  </si>
  <si>
    <t>F-902479</t>
  </si>
  <si>
    <t>B-502480</t>
  </si>
  <si>
    <t>M-702480</t>
  </si>
  <si>
    <t>F-902480</t>
  </si>
  <si>
    <t>B-502481</t>
  </si>
  <si>
    <t>M-702481</t>
  </si>
  <si>
    <t>F-902481</t>
  </si>
  <si>
    <t>B-502482</t>
  </si>
  <si>
    <t>M-702482</t>
  </si>
  <si>
    <t>F-902482</t>
  </si>
  <si>
    <t>B-502483</t>
  </si>
  <si>
    <t>M-702483</t>
  </si>
  <si>
    <t>F-902483</t>
  </si>
  <si>
    <t>B-502484</t>
  </si>
  <si>
    <t>M-702484</t>
  </si>
  <si>
    <t>F-902484</t>
  </si>
  <si>
    <t>B-502485</t>
  </si>
  <si>
    <t>M-702485</t>
  </si>
  <si>
    <t>F-902485</t>
  </si>
  <si>
    <t>B-502486</t>
  </si>
  <si>
    <t>M-702486</t>
  </si>
  <si>
    <t>F-902486</t>
  </si>
  <si>
    <t>B-502487</t>
  </si>
  <si>
    <t>M-702487</t>
  </si>
  <si>
    <t>F-902487</t>
  </si>
  <si>
    <t>B-502488</t>
  </si>
  <si>
    <t>M-702488</t>
  </si>
  <si>
    <t>F-902488</t>
  </si>
  <si>
    <t>B-502489</t>
  </si>
  <si>
    <t>M-702489</t>
  </si>
  <si>
    <t>F-902489</t>
  </si>
  <si>
    <t>B-502490</t>
  </si>
  <si>
    <t>M-702490</t>
  </si>
  <si>
    <t>F-902490</t>
  </si>
  <si>
    <t>B-502491</t>
  </si>
  <si>
    <t>M-702491</t>
  </si>
  <si>
    <t>F-902491</t>
  </si>
  <si>
    <t>B-502492</t>
  </si>
  <si>
    <t>M-702492</t>
  </si>
  <si>
    <t>F-902492</t>
  </si>
  <si>
    <t>B-502493</t>
  </si>
  <si>
    <t>M-702493</t>
  </si>
  <si>
    <t>F-902493</t>
  </si>
  <si>
    <t>B-502494</t>
  </si>
  <si>
    <t>M-702494</t>
  </si>
  <si>
    <t>F-902494</t>
  </si>
  <si>
    <t>B-502495</t>
  </si>
  <si>
    <t>M-702495</t>
  </si>
  <si>
    <t>F-902495</t>
  </si>
  <si>
    <t>B-502496</t>
  </si>
  <si>
    <t>M-702496</t>
  </si>
  <si>
    <t>F-902496</t>
  </si>
  <si>
    <t>B-502497</t>
  </si>
  <si>
    <t>M-702497</t>
  </si>
  <si>
    <t>F-902497</t>
  </si>
  <si>
    <t>B-502498</t>
  </si>
  <si>
    <t>M-702498</t>
  </si>
  <si>
    <t>F-902498</t>
  </si>
  <si>
    <t>B-502499</t>
  </si>
  <si>
    <t>M-702499</t>
  </si>
  <si>
    <t>F-902499</t>
  </si>
  <si>
    <t>B-502500</t>
  </si>
  <si>
    <t>M-702500</t>
  </si>
  <si>
    <t>F-902500</t>
  </si>
  <si>
    <t>B-502501</t>
  </si>
  <si>
    <t>M-702501</t>
  </si>
  <si>
    <t>F-902501</t>
  </si>
  <si>
    <t>B-502502</t>
  </si>
  <si>
    <t>M-702502</t>
  </si>
  <si>
    <t>F-902502</t>
  </si>
  <si>
    <t>B-502503</t>
  </si>
  <si>
    <t>M-702503</t>
  </si>
  <si>
    <t>F-902503</t>
  </si>
  <si>
    <t>B-502504</t>
  </si>
  <si>
    <t>M-702504</t>
  </si>
  <si>
    <t>F-902504</t>
  </si>
  <si>
    <t>B-502505</t>
  </si>
  <si>
    <t>M-702505</t>
  </si>
  <si>
    <t>F-902505</t>
  </si>
  <si>
    <t>B-502506</t>
  </si>
  <si>
    <t>M-702506</t>
  </si>
  <si>
    <t>F-902506</t>
  </si>
  <si>
    <t>B-502507</t>
  </si>
  <si>
    <t>M-702507</t>
  </si>
  <si>
    <t>F-902507</t>
  </si>
  <si>
    <t>B-502508</t>
  </si>
  <si>
    <t>M-702508</t>
  </si>
  <si>
    <t>F-902508</t>
  </si>
  <si>
    <t>B-502509</t>
  </si>
  <si>
    <t>M-702509</t>
  </si>
  <si>
    <t>F-902509</t>
  </si>
  <si>
    <t>B-502510</t>
  </si>
  <si>
    <t>M-702510</t>
  </si>
  <si>
    <t>F-902510</t>
  </si>
  <si>
    <t>B-502511</t>
  </si>
  <si>
    <t>M-702511</t>
  </si>
  <si>
    <t>F-902511</t>
  </si>
  <si>
    <t>B-502512</t>
  </si>
  <si>
    <t>M-702512</t>
  </si>
  <si>
    <t>F-902512</t>
  </si>
  <si>
    <t>B-502513</t>
  </si>
  <si>
    <t>M-702513</t>
  </si>
  <si>
    <t>F-902513</t>
  </si>
  <si>
    <t>B-502514</t>
  </si>
  <si>
    <t>M-702514</t>
  </si>
  <si>
    <t>F-902514</t>
  </si>
  <si>
    <t>B-502515</t>
  </si>
  <si>
    <t>M-702515</t>
  </si>
  <si>
    <t>F-902515</t>
  </si>
  <si>
    <t>B-502516</t>
  </si>
  <si>
    <t>M-702516</t>
  </si>
  <si>
    <t>F-902516</t>
  </si>
  <si>
    <t>B-502517</t>
  </si>
  <si>
    <t>M-702517</t>
  </si>
  <si>
    <t>F-902517</t>
  </si>
  <si>
    <t>B-502518</t>
  </si>
  <si>
    <t>M-702518</t>
  </si>
  <si>
    <t>F-902518</t>
  </si>
  <si>
    <t>B-502519</t>
  </si>
  <si>
    <t>M-702519</t>
  </si>
  <si>
    <t>F-902519</t>
  </si>
  <si>
    <t>B-502520</t>
  </si>
  <si>
    <t>M-702520</t>
  </si>
  <si>
    <t>F-902520</t>
  </si>
  <si>
    <t>B-502521</t>
  </si>
  <si>
    <t>M-702521</t>
  </si>
  <si>
    <t>F-902521</t>
  </si>
  <si>
    <t>B-502522</t>
  </si>
  <si>
    <t>M-702522</t>
  </si>
  <si>
    <t>F-902522</t>
  </si>
  <si>
    <t>B-502523</t>
  </si>
  <si>
    <t>M-702523</t>
  </si>
  <si>
    <t>F-902523</t>
  </si>
  <si>
    <t>B-502524</t>
  </si>
  <si>
    <t>M-702524</t>
  </si>
  <si>
    <t>F-902524</t>
  </si>
  <si>
    <t>B-502525</t>
  </si>
  <si>
    <t>M-702525</t>
  </si>
  <si>
    <t>F-902525</t>
  </si>
  <si>
    <t>B-502526</t>
  </si>
  <si>
    <t>M-702526</t>
  </si>
  <si>
    <t>F-902526</t>
  </si>
  <si>
    <t>B-502527</t>
  </si>
  <si>
    <t>M-702527</t>
  </si>
  <si>
    <t>F-902527</t>
  </si>
  <si>
    <t>B-502528</t>
  </si>
  <si>
    <t>M-702528</t>
  </si>
  <si>
    <t>F-902528</t>
  </si>
  <si>
    <t>B-502529</t>
  </si>
  <si>
    <t>M-702529</t>
  </si>
  <si>
    <t>F-902529</t>
  </si>
  <si>
    <t>B-502530</t>
  </si>
  <si>
    <t>M-702530</t>
  </si>
  <si>
    <t>F-902530</t>
  </si>
  <si>
    <t>B-502531</t>
  </si>
  <si>
    <t>M-702531</t>
  </si>
  <si>
    <t>F-902531</t>
  </si>
  <si>
    <t>B-502532</t>
  </si>
  <si>
    <t>M-702532</t>
  </si>
  <si>
    <t>F-902532</t>
  </si>
  <si>
    <t>B-502533</t>
  </si>
  <si>
    <t>M-702533</t>
  </si>
  <si>
    <t>F-902533</t>
  </si>
  <si>
    <t>B-502534</t>
  </si>
  <si>
    <t>M-702534</t>
  </si>
  <si>
    <t>F-902534</t>
  </si>
  <si>
    <t>B-502535</t>
  </si>
  <si>
    <t>M-702535</t>
  </si>
  <si>
    <t>F-902535</t>
  </si>
  <si>
    <t>B-502536</t>
  </si>
  <si>
    <t>M-702536</t>
  </si>
  <si>
    <t>F-902536</t>
  </si>
  <si>
    <t>B-502537</t>
  </si>
  <si>
    <t>M-702537</t>
  </si>
  <si>
    <t>F-902537</t>
  </si>
  <si>
    <t>B-502538</t>
  </si>
  <si>
    <t>M-702538</t>
  </si>
  <si>
    <t>F-902538</t>
  </si>
  <si>
    <t>B-502539</t>
  </si>
  <si>
    <t>M-702539</t>
  </si>
  <si>
    <t>F-902539</t>
  </si>
  <si>
    <t>B-502540</t>
  </si>
  <si>
    <t>M-702540</t>
  </si>
  <si>
    <t>F-902540</t>
  </si>
  <si>
    <t>B-502541</t>
  </si>
  <si>
    <t>M-702541</t>
  </si>
  <si>
    <t>F-902541</t>
  </si>
  <si>
    <t>B-502542</t>
  </si>
  <si>
    <t>M-702542</t>
  </si>
  <si>
    <t>F-902542</t>
  </si>
  <si>
    <t>B-502543</t>
  </si>
  <si>
    <t>M-702543</t>
  </si>
  <si>
    <t>F-902543</t>
  </si>
  <si>
    <t>B-502544</t>
  </si>
  <si>
    <t>M-702544</t>
  </si>
  <si>
    <t>F-902544</t>
  </si>
  <si>
    <t>B-502545</t>
  </si>
  <si>
    <t>M-702545</t>
  </si>
  <si>
    <t>F-902545</t>
  </si>
  <si>
    <t>B-502546</t>
  </si>
  <si>
    <t>M-702546</t>
  </si>
  <si>
    <t>F-902546</t>
  </si>
  <si>
    <t>B-502547</t>
  </si>
  <si>
    <t>M-702547</t>
  </si>
  <si>
    <t>F-902547</t>
  </si>
  <si>
    <t>B-502548</t>
  </si>
  <si>
    <t>M-702548</t>
  </si>
  <si>
    <t>F-902548</t>
  </si>
  <si>
    <t>B-502549</t>
  </si>
  <si>
    <t>M-702549</t>
  </si>
  <si>
    <t>F-902549</t>
  </si>
  <si>
    <t>B-502550</t>
  </si>
  <si>
    <t>M-702550</t>
  </si>
  <si>
    <t>F-902550</t>
  </si>
  <si>
    <t>B-502551</t>
  </si>
  <si>
    <t>M-702551</t>
  </si>
  <si>
    <t>F-902551</t>
  </si>
  <si>
    <t>B-502552</t>
  </si>
  <si>
    <t>M-702552</t>
  </si>
  <si>
    <t>F-902552</t>
  </si>
  <si>
    <t>B-502553</t>
  </si>
  <si>
    <t>M-702553</t>
  </si>
  <si>
    <t>F-902553</t>
  </si>
  <si>
    <t>B-502554</t>
  </si>
  <si>
    <t>M-702554</t>
  </si>
  <si>
    <t>F-902554</t>
  </si>
  <si>
    <t>B-502555</t>
  </si>
  <si>
    <t>M-702555</t>
  </si>
  <si>
    <t>F-902555</t>
  </si>
  <si>
    <t>B-502556</t>
  </si>
  <si>
    <t>M-702556</t>
  </si>
  <si>
    <t>F-902556</t>
  </si>
  <si>
    <t>B-502557</t>
  </si>
  <si>
    <t>M-702557</t>
  </si>
  <si>
    <t>F-902557</t>
  </si>
  <si>
    <t>B-502558</t>
  </si>
  <si>
    <t>M-702558</t>
  </si>
  <si>
    <t>F-902558</t>
  </si>
  <si>
    <t>B-502559</t>
  </si>
  <si>
    <t>M-702559</t>
  </si>
  <si>
    <t>F-902559</t>
  </si>
  <si>
    <t>B-502560</t>
  </si>
  <si>
    <t>M-702560</t>
  </si>
  <si>
    <t>F-902560</t>
  </si>
  <si>
    <t>B-502561</t>
  </si>
  <si>
    <t>M-702561</t>
  </si>
  <si>
    <t>F-902561</t>
  </si>
  <si>
    <t>B-502562</t>
  </si>
  <si>
    <t>M-702562</t>
  </si>
  <si>
    <t>F-902562</t>
  </si>
  <si>
    <t>B-502563</t>
  </si>
  <si>
    <t>M-702563</t>
  </si>
  <si>
    <t>F-902563</t>
  </si>
  <si>
    <t>B-502564</t>
  </si>
  <si>
    <t>M-702564</t>
  </si>
  <si>
    <t>F-902564</t>
  </si>
  <si>
    <t>B-502565</t>
  </si>
  <si>
    <t>M-702565</t>
  </si>
  <si>
    <t>F-902565</t>
  </si>
  <si>
    <t>B-502566</t>
  </si>
  <si>
    <t>M-702566</t>
  </si>
  <si>
    <t>F-902566</t>
  </si>
  <si>
    <t>B-502567</t>
  </si>
  <si>
    <t>M-702567</t>
  </si>
  <si>
    <t>F-902567</t>
  </si>
  <si>
    <t>B-502568</t>
  </si>
  <si>
    <t>M-702568</t>
  </si>
  <si>
    <t>F-902568</t>
  </si>
  <si>
    <t>B-502569</t>
  </si>
  <si>
    <t>M-702569</t>
  </si>
  <si>
    <t>F-902569</t>
  </si>
  <si>
    <t>B-502570</t>
  </si>
  <si>
    <t>M-702570</t>
  </si>
  <si>
    <t>F-902570</t>
  </si>
  <si>
    <t>B-502571</t>
  </si>
  <si>
    <t>M-702571</t>
  </si>
  <si>
    <t>F-902571</t>
  </si>
  <si>
    <t>B-502572</t>
  </si>
  <si>
    <t>M-702572</t>
  </si>
  <si>
    <t>F-902572</t>
  </si>
  <si>
    <t>B-502573</t>
  </si>
  <si>
    <t>M-702573</t>
  </si>
  <si>
    <t>F-902573</t>
  </si>
  <si>
    <t>B-502574</t>
  </si>
  <si>
    <t>M-702574</t>
  </si>
  <si>
    <t>F-902574</t>
  </si>
  <si>
    <t>B-502575</t>
  </si>
  <si>
    <t>M-702575</t>
  </si>
  <si>
    <t>F-902575</t>
  </si>
  <si>
    <t>B-502576</t>
  </si>
  <si>
    <t>M-702576</t>
  </si>
  <si>
    <t>F-902576</t>
  </si>
  <si>
    <t>B-502577</t>
  </si>
  <si>
    <t>M-702577</t>
  </si>
  <si>
    <t>F-902577</t>
  </si>
  <si>
    <t>B-502578</t>
  </si>
  <si>
    <t>M-702578</t>
  </si>
  <si>
    <t>F-902578</t>
  </si>
  <si>
    <t>B-502579</t>
  </si>
  <si>
    <t>M-702579</t>
  </si>
  <si>
    <t>F-902579</t>
  </si>
  <si>
    <t>B-502580</t>
  </si>
  <si>
    <t>M-702580</t>
  </si>
  <si>
    <t>F-902580</t>
  </si>
  <si>
    <t>B-502581</t>
  </si>
  <si>
    <t>M-702581</t>
  </si>
  <si>
    <t>F-902581</t>
  </si>
  <si>
    <t>B-502582</t>
  </si>
  <si>
    <t>M-702582</t>
  </si>
  <si>
    <t>F-902582</t>
  </si>
  <si>
    <t>B-502583</t>
  </si>
  <si>
    <t>M-702583</t>
  </si>
  <si>
    <t>F-902583</t>
  </si>
  <si>
    <t>B-502584</t>
  </si>
  <si>
    <t>M-702584</t>
  </si>
  <si>
    <t>F-902584</t>
  </si>
  <si>
    <t>B-502585</t>
  </si>
  <si>
    <t>M-702585</t>
  </si>
  <si>
    <t>F-902585</t>
  </si>
  <si>
    <t>B-502586</t>
  </si>
  <si>
    <t>M-702586</t>
  </si>
  <si>
    <t>F-902586</t>
  </si>
  <si>
    <t>B-502587</t>
  </si>
  <si>
    <t>M-702587</t>
  </si>
  <si>
    <t>F-902587</t>
  </si>
  <si>
    <t>B-502588</t>
  </si>
  <si>
    <t>M-702588</t>
  </si>
  <si>
    <t>F-902588</t>
  </si>
  <si>
    <t>B-502589</t>
  </si>
  <si>
    <t>M-702589</t>
  </si>
  <si>
    <t>F-902589</t>
  </si>
  <si>
    <t>B-502590</t>
  </si>
  <si>
    <t>M-702590</t>
  </si>
  <si>
    <t>F-902590</t>
  </si>
  <si>
    <t>B-502591</t>
  </si>
  <si>
    <t>M-702591</t>
  </si>
  <si>
    <t>F-902591</t>
  </si>
  <si>
    <t>B-502592</t>
  </si>
  <si>
    <t>M-702592</t>
  </si>
  <si>
    <t>F-902592</t>
  </si>
  <si>
    <t>B-502593</t>
  </si>
  <si>
    <t>M-702593</t>
  </si>
  <si>
    <t>F-902593</t>
  </si>
  <si>
    <t>B-502594</t>
  </si>
  <si>
    <t>M-702594</t>
  </si>
  <si>
    <t>F-902594</t>
  </si>
  <si>
    <t>B-502595</t>
  </si>
  <si>
    <t>M-702595</t>
  </si>
  <si>
    <t>F-902595</t>
  </si>
  <si>
    <t>B-502596</t>
  </si>
  <si>
    <t>M-702596</t>
  </si>
  <si>
    <t>F-902596</t>
  </si>
  <si>
    <t>B-502597</t>
  </si>
  <si>
    <t>M-702597</t>
  </si>
  <si>
    <t>F-902597</t>
  </si>
  <si>
    <t>B-502598</t>
  </si>
  <si>
    <t>M-702598</t>
  </si>
  <si>
    <t>F-902598</t>
  </si>
  <si>
    <t>B-502599</t>
  </si>
  <si>
    <t>M-702599</t>
  </si>
  <si>
    <t>F-902599</t>
  </si>
  <si>
    <t>B-502600</t>
  </si>
  <si>
    <t>M-702600</t>
  </si>
  <si>
    <t>F-902600</t>
  </si>
  <si>
    <t>B-502601</t>
  </si>
  <si>
    <t>M-702601</t>
  </si>
  <si>
    <t>F-902601</t>
  </si>
  <si>
    <t>B-502602</t>
  </si>
  <si>
    <t>M-702602</t>
  </si>
  <si>
    <t>F-902602</t>
  </si>
  <si>
    <t>B-502603</t>
  </si>
  <si>
    <t>M-702603</t>
  </si>
  <si>
    <t>F-902603</t>
  </si>
  <si>
    <t>B-502604</t>
  </si>
  <si>
    <t>M-702604</t>
  </si>
  <si>
    <t>F-902604</t>
  </si>
  <si>
    <t>B-502605</t>
  </si>
  <si>
    <t>M-702605</t>
  </si>
  <si>
    <t>F-902605</t>
  </si>
  <si>
    <t>B-502606</t>
  </si>
  <si>
    <t>M-702606</t>
  </si>
  <si>
    <t>F-902606</t>
  </si>
  <si>
    <t>B-502607</t>
  </si>
  <si>
    <t>M-702607</t>
  </si>
  <si>
    <t>F-902607</t>
  </si>
  <si>
    <t>B-502608</t>
  </si>
  <si>
    <t>M-702608</t>
  </si>
  <si>
    <t>F-902608</t>
  </si>
  <si>
    <t>B-502609</t>
  </si>
  <si>
    <t>M-702609</t>
  </si>
  <si>
    <t>F-902609</t>
  </si>
  <si>
    <t>B-502610</t>
  </si>
  <si>
    <t>M-702610</t>
  </si>
  <si>
    <t>F-902610</t>
  </si>
  <si>
    <t>B-502611</t>
  </si>
  <si>
    <t>M-702611</t>
  </si>
  <si>
    <t>F-902611</t>
  </si>
  <si>
    <t>B-502612</t>
  </si>
  <si>
    <t>M-702612</t>
  </si>
  <si>
    <t>F-902612</t>
  </si>
  <si>
    <t>B-502613</t>
  </si>
  <si>
    <t>M-702613</t>
  </si>
  <si>
    <t>F-902613</t>
  </si>
  <si>
    <t>B-502614</t>
  </si>
  <si>
    <t>M-702614</t>
  </si>
  <si>
    <t>F-902614</t>
  </si>
  <si>
    <t>B-502615</t>
  </si>
  <si>
    <t>M-702615</t>
  </si>
  <si>
    <t>F-902615</t>
  </si>
  <si>
    <t>B-502616</t>
  </si>
  <si>
    <t>M-702616</t>
  </si>
  <si>
    <t>F-902616</t>
  </si>
  <si>
    <t>B-502617</t>
  </si>
  <si>
    <t>M-702617</t>
  </si>
  <si>
    <t>F-902617</t>
  </si>
  <si>
    <t>B-502618</t>
  </si>
  <si>
    <t>M-702618</t>
  </si>
  <si>
    <t>F-902618</t>
  </si>
  <si>
    <t>B-502619</t>
  </si>
  <si>
    <t>M-702619</t>
  </si>
  <si>
    <t>F-902619</t>
  </si>
  <si>
    <t>B-502620</t>
  </si>
  <si>
    <t>M-702620</t>
  </si>
  <si>
    <t>F-902620</t>
  </si>
  <si>
    <t>B-502621</t>
  </si>
  <si>
    <t>M-702621</t>
  </si>
  <si>
    <t>F-902621</t>
  </si>
  <si>
    <t>B-502622</t>
  </si>
  <si>
    <t>M-702622</t>
  </si>
  <si>
    <t>F-902622</t>
  </si>
  <si>
    <t>B-502623</t>
  </si>
  <si>
    <t>M-702623</t>
  </si>
  <si>
    <t>F-902623</t>
  </si>
  <si>
    <t>B-502624</t>
  </si>
  <si>
    <t>M-702624</t>
  </si>
  <si>
    <t>F-902624</t>
  </si>
  <si>
    <t>B-502625</t>
  </si>
  <si>
    <t>M-702625</t>
  </si>
  <si>
    <t>F-902625</t>
  </si>
  <si>
    <t>B-502626</t>
  </si>
  <si>
    <t>M-702626</t>
  </si>
  <si>
    <t>F-902626</t>
  </si>
  <si>
    <t>B-502627</t>
  </si>
  <si>
    <t>M-702627</t>
  </si>
  <si>
    <t>F-902627</t>
  </si>
  <si>
    <t>B-502628</t>
  </si>
  <si>
    <t>M-702628</t>
  </si>
  <si>
    <t>F-902628</t>
  </si>
  <si>
    <t>B-502629</t>
  </si>
  <si>
    <t>M-702629</t>
  </si>
  <si>
    <t>F-902629</t>
  </si>
  <si>
    <t>B-502630</t>
  </si>
  <si>
    <t>M-702630</t>
  </si>
  <si>
    <t>F-902630</t>
  </si>
  <si>
    <t>B-502631</t>
  </si>
  <si>
    <t>M-702631</t>
  </si>
  <si>
    <t>F-902631</t>
  </si>
  <si>
    <t>B-502632</t>
  </si>
  <si>
    <t>M-702632</t>
  </si>
  <si>
    <t>F-902632</t>
  </si>
  <si>
    <t>B-502633</t>
  </si>
  <si>
    <t>M-702633</t>
  </si>
  <si>
    <t>F-902633</t>
  </si>
  <si>
    <t>B-502634</t>
  </si>
  <si>
    <t>M-702634</t>
  </si>
  <si>
    <t>F-902634</t>
  </si>
  <si>
    <t>B-502635</t>
  </si>
  <si>
    <t>M-702635</t>
  </si>
  <si>
    <t>F-902635</t>
  </si>
  <si>
    <t>B-502636</t>
  </si>
  <si>
    <t>M-702636</t>
  </si>
  <si>
    <t>F-902636</t>
  </si>
  <si>
    <t>B-502637</t>
  </si>
  <si>
    <t>M-702637</t>
  </si>
  <si>
    <t>F-902637</t>
  </si>
  <si>
    <t>B-502638</t>
  </si>
  <si>
    <t>M-702638</t>
  </si>
  <si>
    <t>F-902638</t>
  </si>
  <si>
    <t>B-502639</t>
  </si>
  <si>
    <t>M-702639</t>
  </si>
  <si>
    <t>F-902639</t>
  </si>
  <si>
    <t>B-502640</t>
  </si>
  <si>
    <t>M-702640</t>
  </si>
  <si>
    <t>F-902640</t>
  </si>
  <si>
    <t>B-502641</t>
  </si>
  <si>
    <t>M-702641</t>
  </si>
  <si>
    <t>F-902641</t>
  </si>
  <si>
    <t>B-502642</t>
  </si>
  <si>
    <t>M-702642</t>
  </si>
  <si>
    <t>F-902642</t>
  </si>
  <si>
    <t>B-502643</t>
  </si>
  <si>
    <t>M-702643</t>
  </si>
  <si>
    <t>F-902643</t>
  </si>
  <si>
    <t>B-502644</t>
  </si>
  <si>
    <t>M-702644</t>
  </si>
  <si>
    <t>F-902644</t>
  </si>
  <si>
    <t>B-502645</t>
  </si>
  <si>
    <t>M-702645</t>
  </si>
  <si>
    <t>F-902645</t>
  </si>
  <si>
    <t>B-502646</t>
  </si>
  <si>
    <t>M-702646</t>
  </si>
  <si>
    <t>F-902646</t>
  </si>
  <si>
    <t>B-502647</t>
  </si>
  <si>
    <t>M-702647</t>
  </si>
  <si>
    <t>F-902647</t>
  </si>
  <si>
    <t>B-502648</t>
  </si>
  <si>
    <t>M-702648</t>
  </si>
  <si>
    <t>F-902648</t>
  </si>
  <si>
    <t>B-502649</t>
  </si>
  <si>
    <t>M-702649</t>
  </si>
  <si>
    <t>F-902649</t>
  </si>
  <si>
    <t>B-502650</t>
  </si>
  <si>
    <t>M-702650</t>
  </si>
  <si>
    <t>F-902650</t>
  </si>
  <si>
    <t>B-502651</t>
  </si>
  <si>
    <t>M-702651</t>
  </si>
  <si>
    <t>F-902651</t>
  </si>
  <si>
    <t>B-502652</t>
  </si>
  <si>
    <t>M-702652</t>
  </si>
  <si>
    <t>F-902652</t>
  </si>
  <si>
    <t>B-502653</t>
  </si>
  <si>
    <t>M-702653</t>
  </si>
  <si>
    <t>F-902653</t>
  </si>
  <si>
    <t>B-502654</t>
  </si>
  <si>
    <t>M-702654</t>
  </si>
  <si>
    <t>F-902654</t>
  </si>
  <si>
    <t>B-502655</t>
  </si>
  <si>
    <t>M-702655</t>
  </si>
  <si>
    <t>F-902655</t>
  </si>
  <si>
    <t>B-502656</t>
  </si>
  <si>
    <t>M-702656</t>
  </si>
  <si>
    <t>F-902656</t>
  </si>
  <si>
    <t>B-502657</t>
  </si>
  <si>
    <t>M-702657</t>
  </si>
  <si>
    <t>F-902657</t>
  </si>
  <si>
    <t>B-502658</t>
  </si>
  <si>
    <t>M-702658</t>
  </si>
  <si>
    <t>F-902658</t>
  </si>
  <si>
    <t>B-502659</t>
  </si>
  <si>
    <t>M-702659</t>
  </si>
  <si>
    <t>F-902659</t>
  </si>
  <si>
    <t>B-502660</t>
  </si>
  <si>
    <t>M-702660</t>
  </si>
  <si>
    <t>F-902660</t>
  </si>
  <si>
    <t>B-502661</t>
  </si>
  <si>
    <t>M-702661</t>
  </si>
  <si>
    <t>F-902661</t>
  </si>
  <si>
    <t>B-502662</t>
  </si>
  <si>
    <t>M-702662</t>
  </si>
  <si>
    <t>F-902662</t>
  </si>
  <si>
    <t>B-502663</t>
  </si>
  <si>
    <t>M-702663</t>
  </si>
  <si>
    <t>F-902663</t>
  </si>
  <si>
    <t>B-502664</t>
  </si>
  <si>
    <t>M-702664</t>
  </si>
  <si>
    <t>F-902664</t>
  </si>
  <si>
    <t>B-502665</t>
  </si>
  <si>
    <t>M-702665</t>
  </si>
  <si>
    <t>F-902665</t>
  </si>
  <si>
    <t>B-502666</t>
  </si>
  <si>
    <t>M-702666</t>
  </si>
  <si>
    <t>F-902666</t>
  </si>
  <si>
    <t>B-502667</t>
  </si>
  <si>
    <t>M-702667</t>
  </si>
  <si>
    <t>F-902667</t>
  </si>
  <si>
    <t>B-502668</t>
  </si>
  <si>
    <t>M-702668</t>
  </si>
  <si>
    <t>F-902668</t>
  </si>
  <si>
    <t>B-502669</t>
  </si>
  <si>
    <t>M-702669</t>
  </si>
  <si>
    <t>F-902669</t>
  </si>
  <si>
    <t>B-502670</t>
  </si>
  <si>
    <t>M-702670</t>
  </si>
  <si>
    <t>F-902670</t>
  </si>
  <si>
    <t>B-502671</t>
  </si>
  <si>
    <t>M-702671</t>
  </si>
  <si>
    <t>F-902671</t>
  </si>
  <si>
    <t>B-502672</t>
  </si>
  <si>
    <t>M-702672</t>
  </si>
  <si>
    <t>F-902672</t>
  </si>
  <si>
    <t>B-502673</t>
  </si>
  <si>
    <t>M-702673</t>
  </si>
  <si>
    <t>F-902673</t>
  </si>
  <si>
    <t>B-502674</t>
  </si>
  <si>
    <t>M-702674</t>
  </si>
  <si>
    <t>F-902674</t>
  </si>
  <si>
    <t>B-502675</t>
  </si>
  <si>
    <t>M-702675</t>
  </si>
  <si>
    <t>F-902675</t>
  </si>
  <si>
    <t>B-502676</t>
  </si>
  <si>
    <t>M-702676</t>
  </si>
  <si>
    <t>F-902676</t>
  </si>
  <si>
    <t>B-502677</t>
  </si>
  <si>
    <t>M-702677</t>
  </si>
  <si>
    <t>F-902677</t>
  </si>
  <si>
    <t>B-502678</t>
  </si>
  <si>
    <t>M-702678</t>
  </si>
  <si>
    <t>F-902678</t>
  </si>
  <si>
    <t>B-502679</t>
  </si>
  <si>
    <t>M-702679</t>
  </si>
  <si>
    <t>F-902679</t>
  </si>
  <si>
    <t>B-502680</t>
  </si>
  <si>
    <t>M-702680</t>
  </si>
  <si>
    <t>F-902680</t>
  </si>
  <si>
    <t>B-502681</t>
  </si>
  <si>
    <t>M-702681</t>
  </si>
  <si>
    <t>F-902681</t>
  </si>
  <si>
    <t>B-502682</t>
  </si>
  <si>
    <t>M-702682</t>
  </si>
  <si>
    <t>F-902682</t>
  </si>
  <si>
    <t>B-502683</t>
  </si>
  <si>
    <t>M-702683</t>
  </si>
  <si>
    <t>F-902683</t>
  </si>
  <si>
    <t>B-502684</t>
  </si>
  <si>
    <t>M-702684</t>
  </si>
  <si>
    <t>F-902684</t>
  </si>
  <si>
    <t>B-502685</t>
  </si>
  <si>
    <t>M-702685</t>
  </si>
  <si>
    <t>F-902685</t>
  </si>
  <si>
    <t>B-502686</t>
  </si>
  <si>
    <t>M-702686</t>
  </si>
  <si>
    <t>F-902686</t>
  </si>
  <si>
    <t>B-502687</t>
  </si>
  <si>
    <t>M-702687</t>
  </si>
  <si>
    <t>F-902687</t>
  </si>
  <si>
    <t>B-502688</t>
  </si>
  <si>
    <t>M-702688</t>
  </si>
  <si>
    <t>F-902688</t>
  </si>
  <si>
    <t>B-502689</t>
  </si>
  <si>
    <t>M-702689</t>
  </si>
  <si>
    <t>F-902689</t>
  </si>
  <si>
    <t>B-502690</t>
  </si>
  <si>
    <t>M-702690</t>
  </si>
  <si>
    <t>F-902690</t>
  </si>
  <si>
    <t>B-502691</t>
  </si>
  <si>
    <t>M-702691</t>
  </si>
  <si>
    <t>F-902691</t>
  </si>
  <si>
    <t>B-502692</t>
  </si>
  <si>
    <t>M-702692</t>
  </si>
  <si>
    <t>F-902692</t>
  </si>
  <si>
    <t>B-502693</t>
  </si>
  <si>
    <t>M-702693</t>
  </si>
  <si>
    <t>F-902693</t>
  </si>
  <si>
    <t>B-502694</t>
  </si>
  <si>
    <t>M-702694</t>
  </si>
  <si>
    <t>F-902694</t>
  </si>
  <si>
    <t>B-502695</t>
  </si>
  <si>
    <t>M-702695</t>
  </si>
  <si>
    <t>F-902695</t>
  </si>
  <si>
    <t>B-502696</t>
  </si>
  <si>
    <t>M-702696</t>
  </si>
  <si>
    <t>F-902696</t>
  </si>
  <si>
    <t>B-502697</t>
  </si>
  <si>
    <t>M-702697</t>
  </si>
  <si>
    <t>F-902697</t>
  </si>
  <si>
    <t>B-502698</t>
  </si>
  <si>
    <t>M-702698</t>
  </si>
  <si>
    <t>F-902698</t>
  </si>
  <si>
    <t>B-502699</t>
  </si>
  <si>
    <t>M-702699</t>
  </si>
  <si>
    <t>F-902699</t>
  </si>
  <si>
    <t>B-502700</t>
  </si>
  <si>
    <t>M-702700</t>
  </si>
  <si>
    <t>F-902700</t>
  </si>
  <si>
    <t>B-502701</t>
  </si>
  <si>
    <t>M-702701</t>
  </si>
  <si>
    <t>F-902701</t>
  </si>
  <si>
    <t>B-502702</t>
  </si>
  <si>
    <t>M-702702</t>
  </si>
  <si>
    <t>F-902702</t>
  </si>
  <si>
    <t>B-502703</t>
  </si>
  <si>
    <t>M-702703</t>
  </si>
  <si>
    <t>F-902703</t>
  </si>
  <si>
    <t>B-502704</t>
  </si>
  <si>
    <t>M-702704</t>
  </si>
  <si>
    <t>F-902704</t>
  </si>
  <si>
    <t>B-502705</t>
  </si>
  <si>
    <t>M-702705</t>
  </si>
  <si>
    <t>F-902705</t>
  </si>
  <si>
    <t>B-502706</t>
  </si>
  <si>
    <t>M-702706</t>
  </si>
  <si>
    <t>F-902706</t>
  </si>
  <si>
    <t>B-502707</t>
  </si>
  <si>
    <t>M-702707</t>
  </si>
  <si>
    <t>F-902707</t>
  </si>
  <si>
    <t>B-502708</t>
  </si>
  <si>
    <t>M-702708</t>
  </si>
  <si>
    <t>F-902708</t>
  </si>
  <si>
    <t>B-502709</t>
  </si>
  <si>
    <t>M-702709</t>
  </si>
  <si>
    <t>F-902709</t>
  </si>
  <si>
    <t>B-502710</t>
  </si>
  <si>
    <t>M-702710</t>
  </si>
  <si>
    <t>F-902710</t>
  </si>
  <si>
    <t>B-502711</t>
  </si>
  <si>
    <t>M-702711</t>
  </si>
  <si>
    <t>F-902711</t>
  </si>
  <si>
    <t>B-502712</t>
  </si>
  <si>
    <t>M-702712</t>
  </si>
  <si>
    <t>F-902712</t>
  </si>
  <si>
    <t>B-502713</t>
  </si>
  <si>
    <t>M-702713</t>
  </si>
  <si>
    <t>F-902713</t>
  </si>
  <si>
    <t>B-502714</t>
  </si>
  <si>
    <t>M-702714</t>
  </si>
  <si>
    <t>F-902714</t>
  </si>
  <si>
    <t>B-502715</t>
  </si>
  <si>
    <t>M-702715</t>
  </si>
  <si>
    <t>F-902715</t>
  </si>
  <si>
    <t>B-502716</t>
  </si>
  <si>
    <t>M-702716</t>
  </si>
  <si>
    <t>F-902716</t>
  </si>
  <si>
    <t>B-502717</t>
  </si>
  <si>
    <t>M-702717</t>
  </si>
  <si>
    <t>F-902717</t>
  </si>
  <si>
    <t>B-502718</t>
  </si>
  <si>
    <t>M-702718</t>
  </si>
  <si>
    <t>F-902718</t>
  </si>
  <si>
    <t>B-502719</t>
  </si>
  <si>
    <t>M-702719</t>
  </si>
  <si>
    <t>F-902719</t>
  </si>
  <si>
    <t>B-502720</t>
  </si>
  <si>
    <t>M-702720</t>
  </si>
  <si>
    <t>F-902720</t>
  </si>
  <si>
    <t>B-502721</t>
  </si>
  <si>
    <t>M-702721</t>
  </si>
  <si>
    <t>F-902721</t>
  </si>
  <si>
    <t>B-502722</t>
  </si>
  <si>
    <t>M-702722</t>
  </si>
  <si>
    <t>F-902722</t>
  </si>
  <si>
    <t>B-502723</t>
  </si>
  <si>
    <t>M-702723</t>
  </si>
  <si>
    <t>F-902723</t>
  </si>
  <si>
    <t>B-502724</t>
  </si>
  <si>
    <t>M-702724</t>
  </si>
  <si>
    <t>F-902724</t>
  </si>
  <si>
    <t>B-502725</t>
  </si>
  <si>
    <t>M-702725</t>
  </si>
  <si>
    <t>F-902725</t>
  </si>
  <si>
    <t>B-502726</t>
  </si>
  <si>
    <t>M-702726</t>
  </si>
  <si>
    <t>F-902726</t>
  </si>
  <si>
    <t>B-502727</t>
  </si>
  <si>
    <t>M-702727</t>
  </si>
  <si>
    <t>F-902727</t>
  </si>
  <si>
    <t>B-502728</t>
  </si>
  <si>
    <t>M-702728</t>
  </si>
  <si>
    <t>F-902728</t>
  </si>
  <si>
    <t>B-502729</t>
  </si>
  <si>
    <t>M-702729</t>
  </si>
  <si>
    <t>F-902729</t>
  </si>
  <si>
    <t>B-502730</t>
  </si>
  <si>
    <t>M-702730</t>
  </si>
  <si>
    <t>F-902730</t>
  </si>
  <si>
    <t>B-502731</t>
  </si>
  <si>
    <t>M-702731</t>
  </si>
  <si>
    <t>F-902731</t>
  </si>
  <si>
    <t>B-502732</t>
  </si>
  <si>
    <t>M-702732</t>
  </si>
  <si>
    <t>F-902732</t>
  </si>
  <si>
    <t>B-502733</t>
  </si>
  <si>
    <t>M-702733</t>
  </si>
  <si>
    <t>F-902733</t>
  </si>
  <si>
    <t>B-502734</t>
  </si>
  <si>
    <t>M-702734</t>
  </si>
  <si>
    <t>F-902734</t>
  </si>
  <si>
    <t>B-502735</t>
  </si>
  <si>
    <t>M-702735</t>
  </si>
  <si>
    <t>F-902735</t>
  </si>
  <si>
    <t>B-502736</t>
  </si>
  <si>
    <t>M-702736</t>
  </si>
  <si>
    <t>F-902736</t>
  </si>
  <si>
    <t>B-502737</t>
  </si>
  <si>
    <t>M-702737</t>
  </si>
  <si>
    <t>F-902737</t>
  </si>
  <si>
    <t>B-502738</t>
  </si>
  <si>
    <t>M-702738</t>
  </si>
  <si>
    <t>F-902738</t>
  </si>
  <si>
    <t>B-502739</t>
  </si>
  <si>
    <t>M-702739</t>
  </si>
  <si>
    <t>F-902739</t>
  </si>
  <si>
    <t>B-502740</t>
  </si>
  <si>
    <t>M-702740</t>
  </si>
  <si>
    <t>F-902740</t>
  </si>
  <si>
    <t>B-502741</t>
  </si>
  <si>
    <t>M-702741</t>
  </si>
  <si>
    <t>F-902741</t>
  </si>
  <si>
    <t>B-502742</t>
  </si>
  <si>
    <t>M-702742</t>
  </si>
  <si>
    <t>F-902742</t>
  </si>
  <si>
    <t>B-502743</t>
  </si>
  <si>
    <t>M-702743</t>
  </si>
  <si>
    <t>F-902743</t>
  </si>
  <si>
    <t>B-502744</t>
  </si>
  <si>
    <t>M-702744</t>
  </si>
  <si>
    <t>F-902744</t>
  </si>
  <si>
    <t>B-502745</t>
  </si>
  <si>
    <t>M-702745</t>
  </si>
  <si>
    <t>F-902745</t>
  </si>
  <si>
    <t>B-502746</t>
  </si>
  <si>
    <t>M-702746</t>
  </si>
  <si>
    <t>F-902746</t>
  </si>
  <si>
    <t>B-502747</t>
  </si>
  <si>
    <t>M-702747</t>
  </si>
  <si>
    <t>F-902747</t>
  </si>
  <si>
    <t>B-502748</t>
  </si>
  <si>
    <t>M-702748</t>
  </si>
  <si>
    <t>F-902748</t>
  </si>
  <si>
    <t>B-502749</t>
  </si>
  <si>
    <t>M-702749</t>
  </si>
  <si>
    <t>F-902749</t>
  </si>
  <si>
    <t>B-502750</t>
  </si>
  <si>
    <t>M-702750</t>
  </si>
  <si>
    <t>F-902750</t>
  </si>
  <si>
    <t>B-502751</t>
  </si>
  <si>
    <t>M-702751</t>
  </si>
  <si>
    <t>F-902751</t>
  </si>
  <si>
    <t>B-502752</t>
  </si>
  <si>
    <t>M-702752</t>
  </si>
  <si>
    <t>F-902752</t>
  </si>
  <si>
    <t>B-502753</t>
  </si>
  <si>
    <t>M-702753</t>
  </si>
  <si>
    <t>F-902753</t>
  </si>
  <si>
    <t>B-502754</t>
  </si>
  <si>
    <t>M-702754</t>
  </si>
  <si>
    <t>F-902754</t>
  </si>
  <si>
    <t>B-502755</t>
  </si>
  <si>
    <t>M-702755</t>
  </si>
  <si>
    <t>F-902755</t>
  </si>
  <si>
    <t>B-502756</t>
  </si>
  <si>
    <t>M-702756</t>
  </si>
  <si>
    <t>F-902756</t>
  </si>
  <si>
    <t>B-502757</t>
  </si>
  <si>
    <t>M-702757</t>
  </si>
  <si>
    <t>F-902757</t>
  </si>
  <si>
    <t>B-502758</t>
  </si>
  <si>
    <t>M-702758</t>
  </si>
  <si>
    <t>F-902758</t>
  </si>
  <si>
    <t>B-502759</t>
  </si>
  <si>
    <t>M-702759</t>
  </si>
  <si>
    <t>F-902759</t>
  </si>
  <si>
    <t>B-502760</t>
  </si>
  <si>
    <t>M-702760</t>
  </si>
  <si>
    <t>F-902760</t>
  </si>
  <si>
    <t>B-502761</t>
  </si>
  <si>
    <t>M-702761</t>
  </si>
  <si>
    <t>F-902761</t>
  </si>
  <si>
    <t>B-502762</t>
  </si>
  <si>
    <t>M-702762</t>
  </si>
  <si>
    <t>F-902762</t>
  </si>
  <si>
    <t>B-502763</t>
  </si>
  <si>
    <t>M-702763</t>
  </si>
  <si>
    <t>F-902763</t>
  </si>
  <si>
    <t>B-502764</t>
  </si>
  <si>
    <t>M-702764</t>
  </si>
  <si>
    <t>F-902764</t>
  </si>
  <si>
    <t>B-502765</t>
  </si>
  <si>
    <t>M-702765</t>
  </si>
  <si>
    <t>F-902765</t>
  </si>
  <si>
    <t>B-502766</t>
  </si>
  <si>
    <t>M-702766</t>
  </si>
  <si>
    <t>F-902766</t>
  </si>
  <si>
    <t>B-502767</t>
  </si>
  <si>
    <t>M-702767</t>
  </si>
  <si>
    <t>F-902767</t>
  </si>
  <si>
    <t>B-502768</t>
  </si>
  <si>
    <t>M-702768</t>
  </si>
  <si>
    <t>F-902768</t>
  </si>
  <si>
    <t>B-502769</t>
  </si>
  <si>
    <t>M-702769</t>
  </si>
  <si>
    <t>F-902769</t>
  </si>
  <si>
    <t>B-502770</t>
  </si>
  <si>
    <t>M-702770</t>
  </si>
  <si>
    <t>F-902770</t>
  </si>
  <si>
    <t>B-502771</t>
  </si>
  <si>
    <t>M-702771</t>
  </si>
  <si>
    <t>F-902771</t>
  </si>
  <si>
    <t>B-502772</t>
  </si>
  <si>
    <t>M-702772</t>
  </si>
  <si>
    <t>F-902772</t>
  </si>
  <si>
    <t>B-502773</t>
  </si>
  <si>
    <t>M-702773</t>
  </si>
  <si>
    <t>F-902773</t>
  </si>
  <si>
    <t>B-502774</t>
  </si>
  <si>
    <t>M-702774</t>
  </si>
  <si>
    <t>F-902774</t>
  </si>
  <si>
    <t>B-502775</t>
  </si>
  <si>
    <t>M-702775</t>
  </si>
  <si>
    <t>F-902775</t>
  </si>
  <si>
    <t>B-502776</t>
  </si>
  <si>
    <t>M-702776</t>
  </si>
  <si>
    <t>F-902776</t>
  </si>
  <si>
    <t>B-502777</t>
  </si>
  <si>
    <t>M-702777</t>
  </si>
  <si>
    <t>F-902777</t>
  </si>
  <si>
    <t>B-502778</t>
  </si>
  <si>
    <t>M-702778</t>
  </si>
  <si>
    <t>F-902778</t>
  </si>
  <si>
    <t>B-502779</t>
  </si>
  <si>
    <t>M-702779</t>
  </si>
  <si>
    <t>F-902779</t>
  </si>
  <si>
    <t>B-502780</t>
  </si>
  <si>
    <t>M-702780</t>
  </si>
  <si>
    <t>F-902780</t>
  </si>
  <si>
    <t>B-502781</t>
  </si>
  <si>
    <t>M-702781</t>
  </si>
  <si>
    <t>F-902781</t>
  </si>
  <si>
    <t>B-502782</t>
  </si>
  <si>
    <t>M-702782</t>
  </si>
  <si>
    <t>F-902782</t>
  </si>
  <si>
    <t>B-502783</t>
  </si>
  <si>
    <t>M-702783</t>
  </si>
  <si>
    <t>F-902783</t>
  </si>
  <si>
    <t>B-502784</t>
  </si>
  <si>
    <t>M-702784</t>
  </si>
  <si>
    <t>F-902784</t>
  </si>
  <si>
    <t>B-502785</t>
  </si>
  <si>
    <t>M-702785</t>
  </si>
  <si>
    <t>F-902785</t>
  </si>
  <si>
    <t>B-502786</t>
  </si>
  <si>
    <t>M-702786</t>
  </si>
  <si>
    <t>F-902786</t>
  </si>
  <si>
    <t>B-502787</t>
  </si>
  <si>
    <t>M-702787</t>
  </si>
  <si>
    <t>F-902787</t>
  </si>
  <si>
    <t>B-502788</t>
  </si>
  <si>
    <t>M-702788</t>
  </si>
  <si>
    <t>F-902788</t>
  </si>
  <si>
    <t>B-502789</t>
  </si>
  <si>
    <t>M-702789</t>
  </si>
  <si>
    <t>F-902789</t>
  </si>
  <si>
    <t>B-502790</t>
  </si>
  <si>
    <t>M-702790</t>
  </si>
  <si>
    <t>F-902790</t>
  </si>
  <si>
    <t>B-502791</t>
  </si>
  <si>
    <t>M-702791</t>
  </si>
  <si>
    <t>F-902791</t>
  </si>
  <si>
    <t>B-502792</t>
  </si>
  <si>
    <t>M-702792</t>
  </si>
  <si>
    <t>F-902792</t>
  </si>
  <si>
    <t>B-502793</t>
  </si>
  <si>
    <t>M-702793</t>
  </si>
  <si>
    <t>F-902793</t>
  </si>
  <si>
    <t>B-502794</t>
  </si>
  <si>
    <t>M-702794</t>
  </si>
  <si>
    <t>F-902794</t>
  </si>
  <si>
    <t>B-502795</t>
  </si>
  <si>
    <t>M-702795</t>
  </si>
  <si>
    <t>F-902795</t>
  </si>
  <si>
    <t>B-502796</t>
  </si>
  <si>
    <t>M-702796</t>
  </si>
  <si>
    <t>F-902796</t>
  </si>
  <si>
    <t>B-502797</t>
  </si>
  <si>
    <t>M-702797</t>
  </si>
  <si>
    <t>F-902797</t>
  </si>
  <si>
    <t>B-502798</t>
  </si>
  <si>
    <t>M-702798</t>
  </si>
  <si>
    <t>F-902798</t>
  </si>
  <si>
    <t>B-502799</t>
  </si>
  <si>
    <t>M-702799</t>
  </si>
  <si>
    <t>F-902799</t>
  </si>
  <si>
    <t>B-502800</t>
  </si>
  <si>
    <t>M-702800</t>
  </si>
  <si>
    <t>F-902800</t>
  </si>
  <si>
    <t>B-502801</t>
  </si>
  <si>
    <t>M-702801</t>
  </si>
  <si>
    <t>F-902801</t>
  </si>
  <si>
    <t>B-502802</t>
  </si>
  <si>
    <t>M-702802</t>
  </si>
  <si>
    <t>F-902802</t>
  </si>
  <si>
    <t>B-502803</t>
  </si>
  <si>
    <t>M-702803</t>
  </si>
  <si>
    <t>F-902803</t>
  </si>
  <si>
    <t>B-502804</t>
  </si>
  <si>
    <t>M-702804</t>
  </si>
  <si>
    <t>F-902804</t>
  </si>
  <si>
    <t>B-502805</t>
  </si>
  <si>
    <t>M-702805</t>
  </si>
  <si>
    <t>F-902805</t>
  </si>
  <si>
    <t>B-502806</t>
  </si>
  <si>
    <t>M-702806</t>
  </si>
  <si>
    <t>F-902806</t>
  </si>
  <si>
    <t>B-502807</t>
  </si>
  <si>
    <t>M-702807</t>
  </si>
  <si>
    <t>F-902807</t>
  </si>
  <si>
    <t>B-502808</t>
  </si>
  <si>
    <t>M-702808</t>
  </si>
  <si>
    <t>F-902808</t>
  </si>
  <si>
    <t>B-502809</t>
  </si>
  <si>
    <t>M-702809</t>
  </si>
  <si>
    <t>F-902809</t>
  </si>
  <si>
    <t>B-502810</t>
  </si>
  <si>
    <t>M-702810</t>
  </si>
  <si>
    <t>F-902810</t>
  </si>
  <si>
    <t>B-502811</t>
  </si>
  <si>
    <t>M-702811</t>
  </si>
  <si>
    <t>F-902811</t>
  </si>
  <si>
    <t>B-502812</t>
  </si>
  <si>
    <t>M-702812</t>
  </si>
  <si>
    <t>F-902812</t>
  </si>
  <si>
    <t>B-502813</t>
  </si>
  <si>
    <t>M-702813</t>
  </si>
  <si>
    <t>F-902813</t>
  </si>
  <si>
    <t>B-502814</t>
  </si>
  <si>
    <t>M-702814</t>
  </si>
  <si>
    <t>F-902814</t>
  </si>
  <si>
    <t>B-502815</t>
  </si>
  <si>
    <t>M-702815</t>
  </si>
  <si>
    <t>F-902815</t>
  </si>
  <si>
    <t>B-502816</t>
  </si>
  <si>
    <t>M-702816</t>
  </si>
  <si>
    <t>F-902816</t>
  </si>
  <si>
    <t>B-502817</t>
  </si>
  <si>
    <t>M-702817</t>
  </si>
  <si>
    <t>F-902817</t>
  </si>
  <si>
    <t>B-502818</t>
  </si>
  <si>
    <t>M-702818</t>
  </si>
  <si>
    <t>F-902818</t>
  </si>
  <si>
    <t>B-502819</t>
  </si>
  <si>
    <t>M-702819</t>
  </si>
  <si>
    <t>F-902819</t>
  </si>
  <si>
    <t>B-502820</t>
  </si>
  <si>
    <t>M-702820</t>
  </si>
  <si>
    <t>F-902820</t>
  </si>
  <si>
    <t>B-502821</t>
  </si>
  <si>
    <t>M-702821</t>
  </si>
  <si>
    <t>F-902821</t>
  </si>
  <si>
    <t>B-502822</t>
  </si>
  <si>
    <t>M-702822</t>
  </si>
  <si>
    <t>F-902822</t>
  </si>
  <si>
    <t>B-502823</t>
  </si>
  <si>
    <t>M-702823</t>
  </si>
  <si>
    <t>F-902823</t>
  </si>
  <si>
    <t>B-502824</t>
  </si>
  <si>
    <t>M-702824</t>
  </si>
  <si>
    <t>F-902824</t>
  </si>
  <si>
    <t>B-502825</t>
  </si>
  <si>
    <t>M-702825</t>
  </si>
  <si>
    <t>F-902825</t>
  </si>
  <si>
    <t>B-502826</t>
  </si>
  <si>
    <t>M-702826</t>
  </si>
  <si>
    <t>F-902826</t>
  </si>
  <si>
    <t>B-502827</t>
  </si>
  <si>
    <t>M-702827</t>
  </si>
  <si>
    <t>F-902827</t>
  </si>
  <si>
    <t>B-502828</t>
  </si>
  <si>
    <t>M-702828</t>
  </si>
  <si>
    <t>F-902828</t>
  </si>
  <si>
    <t>B-502829</t>
  </si>
  <si>
    <t>M-702829</t>
  </si>
  <si>
    <t>F-902829</t>
  </si>
  <si>
    <t>B-502830</t>
  </si>
  <si>
    <t>M-702830</t>
  </si>
  <si>
    <t>F-902830</t>
  </si>
  <si>
    <t>B-502831</t>
  </si>
  <si>
    <t>M-702831</t>
  </si>
  <si>
    <t>F-902831</t>
  </si>
  <si>
    <t>B-502832</t>
  </si>
  <si>
    <t>M-702832</t>
  </si>
  <si>
    <t>F-902832</t>
  </si>
  <si>
    <t>B-502833</t>
  </si>
  <si>
    <t>M-702833</t>
  </si>
  <si>
    <t>F-902833</t>
  </si>
  <si>
    <t>B-502834</t>
  </si>
  <si>
    <t>M-702834</t>
  </si>
  <si>
    <t>F-902834</t>
  </si>
  <si>
    <t>B-502835</t>
  </si>
  <si>
    <t>M-702835</t>
  </si>
  <si>
    <t>F-902835</t>
  </si>
  <si>
    <t>B-502836</t>
  </si>
  <si>
    <t>M-702836</t>
  </si>
  <si>
    <t>F-902836</t>
  </si>
  <si>
    <t>B-502837</t>
  </si>
  <si>
    <t>M-702837</t>
  </si>
  <si>
    <t>F-902837</t>
  </si>
  <si>
    <t>B-502838</t>
  </si>
  <si>
    <t>M-702838</t>
  </si>
  <si>
    <t>F-902838</t>
  </si>
  <si>
    <t>B-502839</t>
  </si>
  <si>
    <t>M-702839</t>
  </si>
  <si>
    <t>F-902839</t>
  </si>
  <si>
    <t>B-502840</t>
  </si>
  <si>
    <t>M-702840</t>
  </si>
  <si>
    <t>F-902840</t>
  </si>
  <si>
    <t>B-502841</t>
  </si>
  <si>
    <t>M-702841</t>
  </si>
  <si>
    <t>F-902841</t>
  </si>
  <si>
    <t>B-502842</t>
  </si>
  <si>
    <t>M-702842</t>
  </si>
  <si>
    <t>F-902842</t>
  </si>
  <si>
    <t>B-502843</t>
  </si>
  <si>
    <t>M-702843</t>
  </si>
  <si>
    <t>F-902843</t>
  </si>
  <si>
    <t>B-502844</t>
  </si>
  <si>
    <t>M-702844</t>
  </si>
  <si>
    <t>F-902844</t>
  </si>
  <si>
    <t>B-502845</t>
  </si>
  <si>
    <t>M-702845</t>
  </si>
  <si>
    <t>F-902845</t>
  </si>
  <si>
    <t>B-502846</t>
  </si>
  <si>
    <t>M-702846</t>
  </si>
  <si>
    <t>F-902846</t>
  </si>
  <si>
    <t>B-502847</t>
  </si>
  <si>
    <t>M-702847</t>
  </si>
  <si>
    <t>F-902847</t>
  </si>
  <si>
    <t>B-502848</t>
  </si>
  <si>
    <t>M-702848</t>
  </si>
  <si>
    <t>F-902848</t>
  </si>
  <si>
    <t>B-502849</t>
  </si>
  <si>
    <t>M-702849</t>
  </si>
  <si>
    <t>F-902849</t>
  </si>
  <si>
    <t>B-502850</t>
  </si>
  <si>
    <t>M-702850</t>
  </si>
  <si>
    <t>F-902850</t>
  </si>
  <si>
    <t>B-502851</t>
  </si>
  <si>
    <t>M-702851</t>
  </si>
  <si>
    <t>F-902851</t>
  </si>
  <si>
    <t>B-502852</t>
  </si>
  <si>
    <t>M-702852</t>
  </si>
  <si>
    <t>F-902852</t>
  </si>
  <si>
    <t>B-502853</t>
  </si>
  <si>
    <t>M-702853</t>
  </si>
  <si>
    <t>F-902853</t>
  </si>
  <si>
    <t>B-502854</t>
  </si>
  <si>
    <t>M-702854</t>
  </si>
  <si>
    <t>F-902854</t>
  </si>
  <si>
    <t>B-502855</t>
  </si>
  <si>
    <t>M-702855</t>
  </si>
  <si>
    <t>F-902855</t>
  </si>
  <si>
    <t>B-502856</t>
  </si>
  <si>
    <t>M-702856</t>
  </si>
  <si>
    <t>F-902856</t>
  </si>
  <si>
    <t>B-502857</t>
  </si>
  <si>
    <t>M-702857</t>
  </si>
  <si>
    <t>F-902857</t>
  </si>
  <si>
    <t>B-502858</t>
  </si>
  <si>
    <t>M-702858</t>
  </si>
  <si>
    <t>F-902858</t>
  </si>
  <si>
    <t>B-502859</t>
  </si>
  <si>
    <t>M-702859</t>
  </si>
  <si>
    <t>F-902859</t>
  </si>
  <si>
    <t>B-502860</t>
  </si>
  <si>
    <t>M-702860</t>
  </si>
  <si>
    <t>F-902860</t>
  </si>
  <si>
    <t>B-502861</t>
  </si>
  <si>
    <t>M-702861</t>
  </si>
  <si>
    <t>F-902861</t>
  </si>
  <si>
    <t>B-502862</t>
  </si>
  <si>
    <t>M-702862</t>
  </si>
  <si>
    <t>F-902862</t>
  </si>
  <si>
    <t>B-502863</t>
  </si>
  <si>
    <t>M-702863</t>
  </si>
  <si>
    <t>F-902863</t>
  </si>
  <si>
    <t>B-502864</t>
  </si>
  <si>
    <t>M-702864</t>
  </si>
  <si>
    <t>F-902864</t>
  </si>
  <si>
    <t>B-502865</t>
  </si>
  <si>
    <t>M-702865</t>
  </si>
  <si>
    <t>F-902865</t>
  </si>
  <si>
    <t>B-502866</t>
  </si>
  <si>
    <t>M-702866</t>
  </si>
  <si>
    <t>F-902866</t>
  </si>
  <si>
    <t>B-502867</t>
  </si>
  <si>
    <t>M-702867</t>
  </si>
  <si>
    <t>F-902867</t>
  </si>
  <si>
    <t>B-502868</t>
  </si>
  <si>
    <t>M-702868</t>
  </si>
  <si>
    <t>F-902868</t>
  </si>
  <si>
    <t>B-502869</t>
  </si>
  <si>
    <t>M-702869</t>
  </si>
  <si>
    <t>F-902869</t>
  </si>
  <si>
    <t>B-502870</t>
  </si>
  <si>
    <t>M-702870</t>
  </si>
  <si>
    <t>F-902870</t>
  </si>
  <si>
    <t>B-502871</t>
  </si>
  <si>
    <t>M-702871</t>
  </si>
  <si>
    <t>F-902871</t>
  </si>
  <si>
    <t>B-502872</t>
  </si>
  <si>
    <t>M-702872</t>
  </si>
  <si>
    <t>F-902872</t>
  </si>
  <si>
    <t>B-502873</t>
  </si>
  <si>
    <t>M-702873</t>
  </si>
  <si>
    <t>F-902873</t>
  </si>
  <si>
    <t>B-502874</t>
  </si>
  <si>
    <t>M-702874</t>
  </si>
  <si>
    <t>F-902874</t>
  </si>
  <si>
    <t>B-502875</t>
  </si>
  <si>
    <t>M-702875</t>
  </si>
  <si>
    <t>F-902875</t>
  </si>
  <si>
    <t>B-502876</t>
  </si>
  <si>
    <t>M-702876</t>
  </si>
  <si>
    <t>F-902876</t>
  </si>
  <si>
    <t>B-502877</t>
  </si>
  <si>
    <t>M-702877</t>
  </si>
  <si>
    <t>F-902877</t>
  </si>
  <si>
    <t>B-502878</t>
  </si>
  <si>
    <t>M-702878</t>
  </si>
  <si>
    <t>F-902878</t>
  </si>
  <si>
    <t>B-502879</t>
  </si>
  <si>
    <t>M-702879</t>
  </si>
  <si>
    <t>F-902879</t>
  </si>
  <si>
    <t>B-502880</t>
  </si>
  <si>
    <t>M-702880</t>
  </si>
  <si>
    <t>F-902880</t>
  </si>
  <si>
    <t>B-502881</t>
  </si>
  <si>
    <t>M-702881</t>
  </si>
  <si>
    <t>F-902881</t>
  </si>
  <si>
    <t>B-502882</t>
  </si>
  <si>
    <t>M-702882</t>
  </si>
  <si>
    <t>F-902882</t>
  </si>
  <si>
    <t>B-502883</t>
  </si>
  <si>
    <t>M-702883</t>
  </si>
  <si>
    <t>F-902883</t>
  </si>
  <si>
    <t>B-502884</t>
  </si>
  <si>
    <t>M-702884</t>
  </si>
  <si>
    <t>F-902884</t>
  </si>
  <si>
    <t>B-502885</t>
  </si>
  <si>
    <t>M-702885</t>
  </si>
  <si>
    <t>F-902885</t>
  </si>
  <si>
    <t>B-502886</t>
  </si>
  <si>
    <t>M-702886</t>
  </si>
  <si>
    <t>F-902886</t>
  </si>
  <si>
    <t>B-502887</t>
  </si>
  <si>
    <t>M-702887</t>
  </si>
  <si>
    <t>F-902887</t>
  </si>
  <si>
    <t>B-502888</t>
  </si>
  <si>
    <t>M-702888</t>
  </si>
  <si>
    <t>F-902888</t>
  </si>
  <si>
    <t>B-502889</t>
  </si>
  <si>
    <t>M-702889</t>
  </si>
  <si>
    <t>F-902889</t>
  </si>
  <si>
    <t>B-502890</t>
  </si>
  <si>
    <t>M-702890</t>
  </si>
  <si>
    <t>F-902890</t>
  </si>
  <si>
    <t>B-502891</t>
  </si>
  <si>
    <t>M-702891</t>
  </si>
  <si>
    <t>F-902891</t>
  </si>
  <si>
    <t>B-502892</t>
  </si>
  <si>
    <t>M-702892</t>
  </si>
  <si>
    <t>F-902892</t>
  </si>
  <si>
    <t>B-502893</t>
  </si>
  <si>
    <t>M-702893</t>
  </si>
  <si>
    <t>F-902893</t>
  </si>
  <si>
    <t>B-502894</t>
  </si>
  <si>
    <t>M-702894</t>
  </si>
  <si>
    <t>F-902894</t>
  </si>
  <si>
    <t>B-502895</t>
  </si>
  <si>
    <t>M-702895</t>
  </si>
  <si>
    <t>F-902895</t>
  </si>
  <si>
    <t>B-502896</t>
  </si>
  <si>
    <t>M-702896</t>
  </si>
  <si>
    <t>F-902896</t>
  </si>
  <si>
    <t>B-502897</t>
  </si>
  <si>
    <t>M-702897</t>
  </si>
  <si>
    <t>F-902897</t>
  </si>
  <si>
    <t>B-502898</t>
  </si>
  <si>
    <t>M-702898</t>
  </si>
  <si>
    <t>F-902898</t>
  </si>
  <si>
    <t>B-502899</t>
  </si>
  <si>
    <t>M-702899</t>
  </si>
  <si>
    <t>F-902899</t>
  </si>
  <si>
    <t>B-502900</t>
  </si>
  <si>
    <t>M-702900</t>
  </si>
  <si>
    <t>F-902900</t>
  </si>
  <si>
    <t>B-502901</t>
  </si>
  <si>
    <t>M-702901</t>
  </si>
  <si>
    <t>F-902901</t>
  </si>
  <si>
    <t>B-502902</t>
  </si>
  <si>
    <t>M-702902</t>
  </si>
  <si>
    <t>F-902902</t>
  </si>
  <si>
    <t>B-502903</t>
  </si>
  <si>
    <t>M-702903</t>
  </si>
  <si>
    <t>F-902903</t>
  </si>
  <si>
    <t>B-502904</t>
  </si>
  <si>
    <t>M-702904</t>
  </si>
  <si>
    <t>F-902904</t>
  </si>
  <si>
    <t>B-502905</t>
  </si>
  <si>
    <t>M-702905</t>
  </si>
  <si>
    <t>F-902905</t>
  </si>
  <si>
    <t>B-502906</t>
  </si>
  <si>
    <t>M-702906</t>
  </si>
  <si>
    <t>F-902906</t>
  </si>
  <si>
    <t>B-502907</t>
  </si>
  <si>
    <t>M-702907</t>
  </si>
  <si>
    <t>F-902907</t>
  </si>
  <si>
    <t>B-502908</t>
  </si>
  <si>
    <t>M-702908</t>
  </si>
  <si>
    <t>F-902908</t>
  </si>
  <si>
    <t>B-502909</t>
  </si>
  <si>
    <t>M-702909</t>
  </si>
  <si>
    <t>F-902909</t>
  </si>
  <si>
    <t>B-502910</t>
  </si>
  <si>
    <t>M-702910</t>
  </si>
  <si>
    <t>F-902910</t>
  </si>
  <si>
    <t>B-502911</t>
  </si>
  <si>
    <t>M-702911</t>
  </si>
  <si>
    <t>F-902911</t>
  </si>
  <si>
    <t>B-502912</t>
  </si>
  <si>
    <t>M-702912</t>
  </si>
  <si>
    <t>F-902912</t>
  </si>
  <si>
    <t>B-502913</t>
  </si>
  <si>
    <t>M-702913</t>
  </si>
  <si>
    <t>F-902913</t>
  </si>
  <si>
    <t>B-502914</t>
  </si>
  <si>
    <t>M-702914</t>
  </si>
  <si>
    <t>F-902914</t>
  </si>
  <si>
    <t>B-502915</t>
  </si>
  <si>
    <t>M-702915</t>
  </si>
  <si>
    <t>F-902915</t>
  </si>
  <si>
    <t>B-502916</t>
  </si>
  <si>
    <t>M-702916</t>
  </si>
  <si>
    <t>F-902916</t>
  </si>
  <si>
    <t>B-502917</t>
  </si>
  <si>
    <t>M-702917</t>
  </si>
  <si>
    <t>F-902917</t>
  </si>
  <si>
    <t>B-502918</t>
  </si>
  <si>
    <t>M-702918</t>
  </si>
  <si>
    <t>F-902918</t>
  </si>
  <si>
    <t>B-502919</t>
  </si>
  <si>
    <t>M-702919</t>
  </si>
  <si>
    <t>F-902919</t>
  </si>
  <si>
    <t>B-502920</t>
  </si>
  <si>
    <t>M-702920</t>
  </si>
  <si>
    <t>F-902920</t>
  </si>
  <si>
    <t>B-502921</t>
  </si>
  <si>
    <t>M-702921</t>
  </si>
  <si>
    <t>F-902921</t>
  </si>
  <si>
    <t>B-502922</t>
  </si>
  <si>
    <t>M-702922</t>
  </si>
  <si>
    <t>F-902922</t>
  </si>
  <si>
    <t>B-502923</t>
  </si>
  <si>
    <t>M-702923</t>
  </si>
  <si>
    <t>F-902923</t>
  </si>
  <si>
    <t>B-502924</t>
  </si>
  <si>
    <t>M-702924</t>
  </si>
  <si>
    <t>F-902924</t>
  </si>
  <si>
    <t>B-502925</t>
  </si>
  <si>
    <t>M-702925</t>
  </si>
  <si>
    <t>F-902925</t>
  </si>
  <si>
    <t>B-502926</t>
  </si>
  <si>
    <t>M-702926</t>
  </si>
  <si>
    <t>F-902926</t>
  </si>
  <si>
    <t>B-502927</t>
  </si>
  <si>
    <t>M-702927</t>
  </si>
  <si>
    <t>F-902927</t>
  </si>
  <si>
    <t>B-502928</t>
  </si>
  <si>
    <t>M-702928</t>
  </si>
  <si>
    <t>F-902928</t>
  </si>
  <si>
    <t>B-502929</t>
  </si>
  <si>
    <t>M-702929</t>
  </si>
  <si>
    <t>F-902929</t>
  </si>
  <si>
    <t>B-502930</t>
  </si>
  <si>
    <t>M-702930</t>
  </si>
  <si>
    <t>F-902930</t>
  </si>
  <si>
    <t>B-502931</t>
  </si>
  <si>
    <t>M-702931</t>
  </si>
  <si>
    <t>F-902931</t>
  </si>
  <si>
    <t>B-502932</t>
  </si>
  <si>
    <t>M-702932</t>
  </si>
  <si>
    <t>F-902932</t>
  </si>
  <si>
    <t>B-502933</t>
  </si>
  <si>
    <t>M-702933</t>
  </si>
  <si>
    <t>F-902933</t>
  </si>
  <si>
    <t>B-502934</t>
  </si>
  <si>
    <t>M-702934</t>
  </si>
  <si>
    <t>F-902934</t>
  </si>
  <si>
    <t>B-502935</t>
  </si>
  <si>
    <t>M-702935</t>
  </si>
  <si>
    <t>F-902935</t>
  </si>
  <si>
    <t>B-502936</t>
  </si>
  <si>
    <t>M-702936</t>
  </si>
  <si>
    <t>F-902936</t>
  </si>
  <si>
    <t>B-502937</t>
  </si>
  <si>
    <t>M-702937</t>
  </si>
  <si>
    <t>F-902937</t>
  </si>
  <si>
    <t>B-502938</t>
  </si>
  <si>
    <t>M-702938</t>
  </si>
  <si>
    <t>F-902938</t>
  </si>
  <si>
    <t>B-502939</t>
  </si>
  <si>
    <t>M-702939</t>
  </si>
  <si>
    <t>F-902939</t>
  </si>
  <si>
    <t>B-502940</t>
  </si>
  <si>
    <t>M-702940</t>
  </si>
  <si>
    <t>F-902940</t>
  </si>
  <si>
    <t>B-502941</t>
  </si>
  <si>
    <t>M-702941</t>
  </si>
  <si>
    <t>F-902941</t>
  </si>
  <si>
    <t>B-502942</t>
  </si>
  <si>
    <t>M-702942</t>
  </si>
  <si>
    <t>F-902942</t>
  </si>
  <si>
    <t>B-502943</t>
  </si>
  <si>
    <t>M-702943</t>
  </si>
  <si>
    <t>F-902943</t>
  </si>
  <si>
    <t>B-502944</t>
  </si>
  <si>
    <t>M-702944</t>
  </si>
  <si>
    <t>F-902944</t>
  </si>
  <si>
    <t>B-502945</t>
  </si>
  <si>
    <t>M-702945</t>
  </si>
  <si>
    <t>F-902945</t>
  </si>
  <si>
    <t>B-502946</t>
  </si>
  <si>
    <t>M-702946</t>
  </si>
  <si>
    <t>F-902946</t>
  </si>
  <si>
    <t>B-502947</t>
  </si>
  <si>
    <t>M-702947</t>
  </si>
  <si>
    <t>F-902947</t>
  </si>
  <si>
    <t>B-502948</t>
  </si>
  <si>
    <t>M-702948</t>
  </si>
  <si>
    <t>F-902948</t>
  </si>
  <si>
    <t>B-502949</t>
  </si>
  <si>
    <t>M-702949</t>
  </si>
  <si>
    <t>F-902949</t>
  </si>
  <si>
    <t>B-502950</t>
  </si>
  <si>
    <t>M-702950</t>
  </si>
  <si>
    <t>F-902950</t>
  </si>
  <si>
    <t>B-502951</t>
  </si>
  <si>
    <t>M-702951</t>
  </si>
  <si>
    <t>F-902951</t>
  </si>
  <si>
    <t>B-502952</t>
  </si>
  <si>
    <t>M-702952</t>
  </si>
  <si>
    <t>F-902952</t>
  </si>
  <si>
    <t>B-502953</t>
  </si>
  <si>
    <t>M-702953</t>
  </si>
  <si>
    <t>F-902953</t>
  </si>
  <si>
    <t>B-502954</t>
  </si>
  <si>
    <t>M-702954</t>
  </si>
  <si>
    <t>F-902954</t>
  </si>
  <si>
    <t>B-502955</t>
  </si>
  <si>
    <t>M-702955</t>
  </si>
  <si>
    <t>F-902955</t>
  </si>
  <si>
    <t>B-502956</t>
  </si>
  <si>
    <t>M-702956</t>
  </si>
  <si>
    <t>F-902956</t>
  </si>
  <si>
    <t>B-502957</t>
  </si>
  <si>
    <t>M-702957</t>
  </si>
  <si>
    <t>F-902957</t>
  </si>
  <si>
    <t>B-502958</t>
  </si>
  <si>
    <t>M-702958</t>
  </si>
  <si>
    <t>F-902958</t>
  </si>
  <si>
    <t>B-502959</t>
  </si>
  <si>
    <t>M-702959</t>
  </si>
  <si>
    <t>F-902959</t>
  </si>
  <si>
    <t>B-502960</t>
  </si>
  <si>
    <t>M-702960</t>
  </si>
  <si>
    <t>F-902960</t>
  </si>
  <si>
    <t>B-502961</t>
  </si>
  <si>
    <t>M-702961</t>
  </si>
  <si>
    <t>F-902961</t>
  </si>
  <si>
    <t>B-502962</t>
  </si>
  <si>
    <t>M-702962</t>
  </si>
  <si>
    <t>F-902962</t>
  </si>
  <si>
    <t>B-502963</t>
  </si>
  <si>
    <t>M-702963</t>
  </si>
  <si>
    <t>F-902963</t>
  </si>
  <si>
    <t>B-502964</t>
  </si>
  <si>
    <t>M-702964</t>
  </si>
  <si>
    <t>F-902964</t>
  </si>
  <si>
    <t>B-502965</t>
  </si>
  <si>
    <t>M-702965</t>
  </si>
  <si>
    <t>F-902965</t>
  </si>
  <si>
    <t>B-502966</t>
  </si>
  <si>
    <t>M-702966</t>
  </si>
  <si>
    <t>F-902966</t>
  </si>
  <si>
    <t>B-502967</t>
  </si>
  <si>
    <t>M-702967</t>
  </si>
  <si>
    <t>F-902967</t>
  </si>
  <si>
    <t>B-502968</t>
  </si>
  <si>
    <t>M-702968</t>
  </si>
  <si>
    <t>F-902968</t>
  </si>
  <si>
    <t>B-502969</t>
  </si>
  <si>
    <t>M-702969</t>
  </si>
  <si>
    <t>F-902969</t>
  </si>
  <si>
    <t>B-502970</t>
  </si>
  <si>
    <t>M-702970</t>
  </si>
  <si>
    <t>F-902970</t>
  </si>
  <si>
    <t>B-502971</t>
  </si>
  <si>
    <t>M-702971</t>
  </si>
  <si>
    <t>F-902971</t>
  </si>
  <si>
    <t>B-502972</t>
  </si>
  <si>
    <t>M-702972</t>
  </si>
  <si>
    <t>F-902972</t>
  </si>
  <si>
    <t>B-502973</t>
  </si>
  <si>
    <t>M-702973</t>
  </si>
  <si>
    <t>F-902973</t>
  </si>
  <si>
    <t>B-502974</t>
  </si>
  <si>
    <t>M-702974</t>
  </si>
  <si>
    <t>F-902974</t>
  </si>
  <si>
    <t>B-502975</t>
  </si>
  <si>
    <t>M-702975</t>
  </si>
  <si>
    <t>F-902975</t>
  </si>
  <si>
    <t>B-502976</t>
  </si>
  <si>
    <t>M-702976</t>
  </si>
  <si>
    <t>F-902976</t>
  </si>
  <si>
    <t>B-502977</t>
  </si>
  <si>
    <t>M-702977</t>
  </si>
  <si>
    <t>F-902977</t>
  </si>
  <si>
    <t>B-502978</t>
  </si>
  <si>
    <t>M-702978</t>
  </si>
  <si>
    <t>F-902978</t>
  </si>
  <si>
    <t>B-502979</t>
  </si>
  <si>
    <t>M-702979</t>
  </si>
  <si>
    <t>F-902979</t>
  </si>
  <si>
    <t>B-502980</t>
  </si>
  <si>
    <t>M-702980</t>
  </si>
  <si>
    <t>F-902980</t>
  </si>
  <si>
    <t>B-502981</t>
  </si>
  <si>
    <t>M-702981</t>
  </si>
  <si>
    <t>F-902981</t>
  </si>
  <si>
    <t>B-502982</t>
  </si>
  <si>
    <t>M-702982</t>
  </si>
  <si>
    <t>F-902982</t>
  </si>
  <si>
    <t>B-502983</t>
  </si>
  <si>
    <t>M-702983</t>
  </si>
  <si>
    <t>F-902983</t>
  </si>
  <si>
    <t>B-502984</t>
  </si>
  <si>
    <t>M-702984</t>
  </si>
  <si>
    <t>F-902984</t>
  </si>
  <si>
    <t>B-502985</t>
  </si>
  <si>
    <t>M-702985</t>
  </si>
  <si>
    <t>F-902985</t>
  </si>
  <si>
    <t>B-502986</t>
  </si>
  <si>
    <t>M-702986</t>
  </si>
  <si>
    <t>F-902986</t>
  </si>
  <si>
    <t>B-502987</t>
  </si>
  <si>
    <t>M-702987</t>
  </si>
  <si>
    <t>F-902987</t>
  </si>
  <si>
    <t>B-502988</t>
  </si>
  <si>
    <t>M-702988</t>
  </si>
  <si>
    <t>F-902988</t>
  </si>
  <si>
    <t>B-502989</t>
  </si>
  <si>
    <t>M-702989</t>
  </si>
  <si>
    <t>F-902989</t>
  </si>
  <si>
    <t>B-502990</t>
  </si>
  <si>
    <t>M-702990</t>
  </si>
  <si>
    <t>F-902990</t>
  </si>
  <si>
    <t>B-502991</t>
  </si>
  <si>
    <t>M-702991</t>
  </si>
  <si>
    <t>F-902991</t>
  </si>
  <si>
    <t>B-502992</t>
  </si>
  <si>
    <t>M-702992</t>
  </si>
  <si>
    <t>F-902992</t>
  </si>
  <si>
    <t>B-502993</t>
  </si>
  <si>
    <t>M-702993</t>
  </si>
  <si>
    <t>F-902993</t>
  </si>
  <si>
    <t>B-502994</t>
  </si>
  <si>
    <t>M-702994</t>
  </si>
  <si>
    <t>F-902994</t>
  </si>
  <si>
    <t>B-502995</t>
  </si>
  <si>
    <t>M-702995</t>
  </si>
  <si>
    <t>F-902995</t>
  </si>
  <si>
    <t>B-502996</t>
  </si>
  <si>
    <t>M-702996</t>
  </si>
  <si>
    <t>F-902996</t>
  </si>
  <si>
    <t>B-502997</t>
  </si>
  <si>
    <t>M-702997</t>
  </si>
  <si>
    <t>F-902997</t>
  </si>
  <si>
    <t>B-502998</t>
  </si>
  <si>
    <t>M-702998</t>
  </si>
  <si>
    <t>F-902998</t>
  </si>
  <si>
    <t>B-502999</t>
  </si>
  <si>
    <t>M-702999</t>
  </si>
  <si>
    <t>F-902999</t>
  </si>
  <si>
    <t>B-503000</t>
  </si>
  <si>
    <t>M-703000</t>
  </si>
  <si>
    <t>F-903000</t>
  </si>
  <si>
    <t>B-503001</t>
  </si>
  <si>
    <t>M-703001</t>
  </si>
  <si>
    <t>F-903001</t>
  </si>
  <si>
    <t>B-503002</t>
  </si>
  <si>
    <t>M-703002</t>
  </si>
  <si>
    <t>F-903002</t>
  </si>
  <si>
    <t>B-503003</t>
  </si>
  <si>
    <t>M-703003</t>
  </si>
  <si>
    <t>F-903003</t>
  </si>
  <si>
    <t>B-503004</t>
  </si>
  <si>
    <t>M-703004</t>
  </si>
  <si>
    <t>F-903004</t>
  </si>
  <si>
    <t>B-503005</t>
  </si>
  <si>
    <t>M-703005</t>
  </si>
  <si>
    <t>F-903005</t>
  </si>
  <si>
    <t>B-503006</t>
  </si>
  <si>
    <t>M-703006</t>
  </si>
  <si>
    <t>F-903006</t>
  </si>
  <si>
    <t>B-503007</t>
  </si>
  <si>
    <t>M-703007</t>
  </si>
  <si>
    <t>F-903007</t>
  </si>
  <si>
    <t>B-503008</t>
  </si>
  <si>
    <t>M-703008</t>
  </si>
  <si>
    <t>F-903008</t>
  </si>
  <si>
    <t>B-503009</t>
  </si>
  <si>
    <t>M-703009</t>
  </si>
  <si>
    <t>F-903009</t>
  </si>
  <si>
    <t>B-503010</t>
  </si>
  <si>
    <t>M-703010</t>
  </si>
  <si>
    <t>F-903010</t>
  </si>
  <si>
    <t>B-503011</t>
  </si>
  <si>
    <t>M-703011</t>
  </si>
  <si>
    <t>F-903011</t>
  </si>
  <si>
    <t>B-503012</t>
  </si>
  <si>
    <t>M-703012</t>
  </si>
  <si>
    <t>F-903012</t>
  </si>
  <si>
    <t>B-503013</t>
  </si>
  <si>
    <t>M-703013</t>
  </si>
  <si>
    <t>F-903013</t>
  </si>
  <si>
    <t>B-503014</t>
  </si>
  <si>
    <t>M-703014</t>
  </si>
  <si>
    <t>F-903014</t>
  </si>
  <si>
    <t>B-503015</t>
  </si>
  <si>
    <t>M-703015</t>
  </si>
  <si>
    <t>F-903015</t>
  </si>
  <si>
    <t>B-503016</t>
  </si>
  <si>
    <t>M-703016</t>
  </si>
  <si>
    <t>F-903016</t>
  </si>
  <si>
    <t>B-503017</t>
  </si>
  <si>
    <t>M-703017</t>
  </si>
  <si>
    <t>F-903017</t>
  </si>
  <si>
    <t>B-503018</t>
  </si>
  <si>
    <t>M-703018</t>
  </si>
  <si>
    <t>F-903018</t>
  </si>
  <si>
    <t>B-503019</t>
  </si>
  <si>
    <t>M-703019</t>
  </si>
  <si>
    <t>F-903019</t>
  </si>
  <si>
    <t>B-503020</t>
  </si>
  <si>
    <t>M-703020</t>
  </si>
  <si>
    <t>F-903020</t>
  </si>
  <si>
    <t>B-503021</t>
  </si>
  <si>
    <t>M-703021</t>
  </si>
  <si>
    <t>F-903021</t>
  </si>
  <si>
    <t>B-503022</t>
  </si>
  <si>
    <t>M-703022</t>
  </si>
  <si>
    <t>F-903022</t>
  </si>
  <si>
    <t>B-503023</t>
  </si>
  <si>
    <t>M-703023</t>
  </si>
  <si>
    <t>F-903023</t>
  </si>
  <si>
    <t>B-503024</t>
  </si>
  <si>
    <t>M-703024</t>
  </si>
  <si>
    <t>F-903024</t>
  </si>
  <si>
    <t>B-503025</t>
  </si>
  <si>
    <t>M-703025</t>
  </si>
  <si>
    <t>F-903025</t>
  </si>
  <si>
    <t>B-503026</t>
  </si>
  <si>
    <t>M-703026</t>
  </si>
  <si>
    <t>F-903026</t>
  </si>
  <si>
    <t>B-503027</t>
  </si>
  <si>
    <t>M-703027</t>
  </si>
  <si>
    <t>F-903027</t>
  </si>
  <si>
    <t>B-503028</t>
  </si>
  <si>
    <t>M-703028</t>
  </si>
  <si>
    <t>F-903028</t>
  </si>
  <si>
    <t>B-503029</t>
  </si>
  <si>
    <t>M-703029</t>
  </si>
  <si>
    <t>F-903029</t>
  </si>
  <si>
    <t>B-503030</t>
  </si>
  <si>
    <t>M-703030</t>
  </si>
  <si>
    <t>F-903030</t>
  </si>
  <si>
    <t>B-503031</t>
  </si>
  <si>
    <t>M-703031</t>
  </si>
  <si>
    <t>F-903031</t>
  </si>
  <si>
    <t>B-503032</t>
  </si>
  <si>
    <t>M-703032</t>
  </si>
  <si>
    <t>F-903032</t>
  </si>
  <si>
    <t>B-503033</t>
  </si>
  <si>
    <t>M-703033</t>
  </si>
  <si>
    <t>F-903033</t>
  </si>
  <si>
    <t>B-503034</t>
  </si>
  <si>
    <t>M-703034</t>
  </si>
  <si>
    <t>F-903034</t>
  </si>
  <si>
    <t>B-503035</t>
  </si>
  <si>
    <t>M-703035</t>
  </si>
  <si>
    <t>F-903035</t>
  </si>
  <si>
    <t>B-503036</t>
  </si>
  <si>
    <t>M-703036</t>
  </si>
  <si>
    <t>F-903036</t>
  </si>
  <si>
    <t>B-503037</t>
  </si>
  <si>
    <t>M-703037</t>
  </si>
  <si>
    <t>F-903037</t>
  </si>
  <si>
    <t>B-503038</t>
  </si>
  <si>
    <t>M-703038</t>
  </si>
  <si>
    <t>F-903038</t>
  </si>
  <si>
    <t>B-503039</t>
  </si>
  <si>
    <t>M-703039</t>
  </si>
  <si>
    <t>F-903039</t>
  </si>
  <si>
    <t>B-503040</t>
  </si>
  <si>
    <t>M-703040</t>
  </si>
  <si>
    <t>F-903040</t>
  </si>
  <si>
    <t>B-503041</t>
  </si>
  <si>
    <t>M-703041</t>
  </si>
  <si>
    <t>F-903041</t>
  </si>
  <si>
    <t>B-503042</t>
  </si>
  <si>
    <t>M-703042</t>
  </si>
  <si>
    <t>F-903042</t>
  </si>
  <si>
    <t>B-503043</t>
  </si>
  <si>
    <t>M-703043</t>
  </si>
  <si>
    <t>F-903043</t>
  </si>
  <si>
    <t>B-503044</t>
  </si>
  <si>
    <t>M-703044</t>
  </si>
  <si>
    <t>F-903044</t>
  </si>
  <si>
    <t>B-503045</t>
  </si>
  <si>
    <t>M-703045</t>
  </si>
  <si>
    <t>F-903045</t>
  </si>
  <si>
    <t>B-503046</t>
  </si>
  <si>
    <t>M-703046</t>
  </si>
  <si>
    <t>F-903046</t>
  </si>
  <si>
    <t>B-503047</t>
  </si>
  <si>
    <t>M-703047</t>
  </si>
  <si>
    <t>F-903047</t>
  </si>
  <si>
    <t>B-503048</t>
  </si>
  <si>
    <t>M-703048</t>
  </si>
  <si>
    <t>F-903048</t>
  </si>
  <si>
    <t>B-503049</t>
  </si>
  <si>
    <t>M-703049</t>
  </si>
  <si>
    <t>F-903049</t>
  </si>
  <si>
    <t>B-503050</t>
  </si>
  <si>
    <t>M-703050</t>
  </si>
  <si>
    <t>F-903050</t>
  </si>
  <si>
    <t>B-503051</t>
  </si>
  <si>
    <t>M-703051</t>
  </si>
  <si>
    <t>F-903051</t>
  </si>
  <si>
    <t>B-503052</t>
  </si>
  <si>
    <t>M-703052</t>
  </si>
  <si>
    <t>F-903052</t>
  </si>
  <si>
    <t>B-503053</t>
  </si>
  <si>
    <t>M-703053</t>
  </si>
  <si>
    <t>F-903053</t>
  </si>
  <si>
    <t>B-503054</t>
  </si>
  <si>
    <t>M-703054</t>
  </si>
  <si>
    <t>F-903054</t>
  </si>
  <si>
    <t>B-503055</t>
  </si>
  <si>
    <t>M-703055</t>
  </si>
  <si>
    <t>F-903055</t>
  </si>
  <si>
    <t>B-503056</t>
  </si>
  <si>
    <t>M-703056</t>
  </si>
  <si>
    <t>F-903056</t>
  </si>
  <si>
    <t>B-503057</t>
  </si>
  <si>
    <t>M-703057</t>
  </si>
  <si>
    <t>F-903057</t>
  </si>
  <si>
    <t>B-503058</t>
  </si>
  <si>
    <t>M-703058</t>
  </si>
  <si>
    <t>F-903058</t>
  </si>
  <si>
    <t>B-503059</t>
  </si>
  <si>
    <t>M-703059</t>
  </si>
  <si>
    <t>F-903059</t>
  </si>
  <si>
    <t>B-503060</t>
  </si>
  <si>
    <t>M-703060</t>
  </si>
  <si>
    <t>F-903060</t>
  </si>
  <si>
    <t>B-503061</t>
  </si>
  <si>
    <t>M-703061</t>
  </si>
  <si>
    <t>F-903061</t>
  </si>
  <si>
    <t>B-503062</t>
  </si>
  <si>
    <t>M-703062</t>
  </si>
  <si>
    <t>F-903062</t>
  </si>
  <si>
    <t>B-503063</t>
  </si>
  <si>
    <t>M-703063</t>
  </si>
  <si>
    <t>F-903063</t>
  </si>
  <si>
    <t>B-503064</t>
  </si>
  <si>
    <t>M-703064</t>
  </si>
  <si>
    <t>F-903064</t>
  </si>
  <si>
    <t>B-503065</t>
  </si>
  <si>
    <t>M-703065</t>
  </si>
  <si>
    <t>F-903065</t>
  </si>
  <si>
    <t>B-503066</t>
  </si>
  <si>
    <t>M-703066</t>
  </si>
  <si>
    <t>F-903066</t>
  </si>
  <si>
    <t>B-503067</t>
  </si>
  <si>
    <t>M-703067</t>
  </si>
  <si>
    <t>F-903067</t>
  </si>
  <si>
    <t>B-503068</t>
  </si>
  <si>
    <t>M-703068</t>
  </si>
  <si>
    <t>F-903068</t>
  </si>
  <si>
    <t>B-503069</t>
  </si>
  <si>
    <t>M-703069</t>
  </si>
  <si>
    <t>F-903069</t>
  </si>
  <si>
    <t>B-503070</t>
  </si>
  <si>
    <t>M-703070</t>
  </si>
  <si>
    <t>F-903070</t>
  </si>
  <si>
    <t>B-503071</t>
  </si>
  <si>
    <t>M-703071</t>
  </si>
  <si>
    <t>F-903071</t>
  </si>
  <si>
    <t>B-503072</t>
  </si>
  <si>
    <t>M-703072</t>
  </si>
  <si>
    <t>F-903072</t>
  </si>
  <si>
    <t>B-503073</t>
  </si>
  <si>
    <t>M-703073</t>
  </si>
  <si>
    <t>F-903073</t>
  </si>
  <si>
    <t>B-503074</t>
  </si>
  <si>
    <t>M-703074</t>
  </si>
  <si>
    <t>F-903074</t>
  </si>
  <si>
    <t>B-503075</t>
  </si>
  <si>
    <t>M-703075</t>
  </si>
  <si>
    <t>F-903075</t>
  </si>
  <si>
    <t>B-503076</t>
  </si>
  <si>
    <t>M-703076</t>
  </si>
  <si>
    <t>F-903076</t>
  </si>
  <si>
    <t>B-503077</t>
  </si>
  <si>
    <t>M-703077</t>
  </si>
  <si>
    <t>F-903077</t>
  </si>
  <si>
    <t>B-503078</t>
  </si>
  <si>
    <t>M-703078</t>
  </si>
  <si>
    <t>F-903078</t>
  </si>
  <si>
    <t>B-503079</t>
  </si>
  <si>
    <t>M-703079</t>
  </si>
  <si>
    <t>F-903079</t>
  </si>
  <si>
    <t>B-503080</t>
  </si>
  <si>
    <t>M-703080</t>
  </si>
  <si>
    <t>F-903080</t>
  </si>
  <si>
    <t>B-503081</t>
  </si>
  <si>
    <t>M-703081</t>
  </si>
  <si>
    <t>F-903081</t>
  </si>
  <si>
    <t>B-503082</t>
  </si>
  <si>
    <t>M-703082</t>
  </si>
  <si>
    <t>F-903082</t>
  </si>
  <si>
    <t>B-503083</t>
  </si>
  <si>
    <t>M-703083</t>
  </si>
  <si>
    <t>F-903083</t>
  </si>
  <si>
    <t>B-503084</t>
  </si>
  <si>
    <t>M-703084</t>
  </si>
  <si>
    <t>F-903084</t>
  </si>
  <si>
    <t>B-503085</t>
  </si>
  <si>
    <t>M-703085</t>
  </si>
  <si>
    <t>F-903085</t>
  </si>
  <si>
    <t>B-503086</t>
  </si>
  <si>
    <t>M-703086</t>
  </si>
  <si>
    <t>F-903086</t>
  </si>
  <si>
    <t>B-503087</t>
  </si>
  <si>
    <t>M-703087</t>
  </si>
  <si>
    <t>F-903087</t>
  </si>
  <si>
    <t>B-503088</t>
  </si>
  <si>
    <t>M-703088</t>
  </si>
  <si>
    <t>F-903088</t>
  </si>
  <si>
    <t>B-503089</t>
  </si>
  <si>
    <t>M-703089</t>
  </si>
  <si>
    <t>F-903089</t>
  </si>
  <si>
    <t>B-503090</t>
  </si>
  <si>
    <t>M-703090</t>
  </si>
  <si>
    <t>F-903090</t>
  </si>
  <si>
    <t>B-503091</t>
  </si>
  <si>
    <t>M-703091</t>
  </si>
  <si>
    <t>F-903091</t>
  </si>
  <si>
    <t>B-503092</t>
  </si>
  <si>
    <t>M-703092</t>
  </si>
  <si>
    <t>F-903092</t>
  </si>
  <si>
    <t>B-503093</t>
  </si>
  <si>
    <t>M-703093</t>
  </si>
  <si>
    <t>F-903093</t>
  </si>
  <si>
    <t>B-503094</t>
  </si>
  <si>
    <t>M-703094</t>
  </si>
  <si>
    <t>F-903094</t>
  </si>
  <si>
    <t>B-503095</t>
  </si>
  <si>
    <t>M-703095</t>
  </si>
  <si>
    <t>F-903095</t>
  </si>
  <si>
    <t>B-503096</t>
  </si>
  <si>
    <t>M-703096</t>
  </si>
  <si>
    <t>F-903096</t>
  </si>
  <si>
    <t>B-503097</t>
  </si>
  <si>
    <t>M-703097</t>
  </si>
  <si>
    <t>F-903097</t>
  </si>
  <si>
    <t>B-503098</t>
  </si>
  <si>
    <t>M-703098</t>
  </si>
  <si>
    <t>F-903098</t>
  </si>
  <si>
    <t>B-503099</t>
  </si>
  <si>
    <t>M-703099</t>
  </si>
  <si>
    <t>F-903099</t>
  </si>
  <si>
    <t>B-503100</t>
  </si>
  <si>
    <t>M-703100</t>
  </si>
  <si>
    <t>F-903100</t>
  </si>
  <si>
    <t>B-503101</t>
  </si>
  <si>
    <t>M-703101</t>
  </si>
  <si>
    <t>F-903101</t>
  </si>
  <si>
    <t>B-503102</t>
  </si>
  <si>
    <t>M-703102</t>
  </si>
  <si>
    <t>F-903102</t>
  </si>
  <si>
    <t>B-503103</t>
  </si>
  <si>
    <t>M-703103</t>
  </si>
  <si>
    <t>F-903103</t>
  </si>
  <si>
    <t>B-503104</t>
  </si>
  <si>
    <t>M-703104</t>
  </si>
  <si>
    <t>F-903104</t>
  </si>
  <si>
    <t>B-503105</t>
  </si>
  <si>
    <t>M-703105</t>
  </si>
  <si>
    <t>F-903105</t>
  </si>
  <si>
    <t>B-503106</t>
  </si>
  <si>
    <t>M-703106</t>
  </si>
  <si>
    <t>F-903106</t>
  </si>
  <si>
    <t>B-503107</t>
  </si>
  <si>
    <t>M-703107</t>
  </si>
  <si>
    <t>F-903107</t>
  </si>
  <si>
    <t>B-503108</t>
  </si>
  <si>
    <t>M-703108</t>
  </si>
  <si>
    <t>F-903108</t>
  </si>
  <si>
    <t>B-503109</t>
  </si>
  <si>
    <t>M-703109</t>
  </si>
  <si>
    <t>F-903109</t>
  </si>
  <si>
    <t>B-503110</t>
  </si>
  <si>
    <t>M-703110</t>
  </si>
  <si>
    <t>F-903110</t>
  </si>
  <si>
    <t>B-503111</t>
  </si>
  <si>
    <t>M-703111</t>
  </si>
  <si>
    <t>F-903111</t>
  </si>
  <si>
    <t>B-503112</t>
  </si>
  <si>
    <t>M-703112</t>
  </si>
  <si>
    <t>F-903112</t>
  </si>
  <si>
    <t>B-503113</t>
  </si>
  <si>
    <t>M-703113</t>
  </si>
  <si>
    <t>F-903113</t>
  </si>
  <si>
    <t>B-503114</t>
  </si>
  <si>
    <t>M-703114</t>
  </si>
  <si>
    <t>F-903114</t>
  </si>
  <si>
    <t>B-503115</t>
  </si>
  <si>
    <t>M-703115</t>
  </si>
  <si>
    <t>F-903115</t>
  </si>
  <si>
    <t>B-503116</t>
  </si>
  <si>
    <t>M-703116</t>
  </si>
  <si>
    <t>F-903116</t>
  </si>
  <si>
    <t>B-503117</t>
  </si>
  <si>
    <t>M-703117</t>
  </si>
  <si>
    <t>F-903117</t>
  </si>
  <si>
    <t>B-503118</t>
  </si>
  <si>
    <t>M-703118</t>
  </si>
  <si>
    <t>F-903118</t>
  </si>
  <si>
    <t>B-503119</t>
  </si>
  <si>
    <t>M-703119</t>
  </si>
  <si>
    <t>F-903119</t>
  </si>
  <si>
    <t>B-503120</t>
  </si>
  <si>
    <t>M-703120</t>
  </si>
  <si>
    <t>F-903120</t>
  </si>
  <si>
    <t>B-503121</t>
  </si>
  <si>
    <t>M-703121</t>
  </si>
  <si>
    <t>F-903121</t>
  </si>
  <si>
    <t>B-503122</t>
  </si>
  <si>
    <t>M-703122</t>
  </si>
  <si>
    <t>F-903122</t>
  </si>
  <si>
    <t>B-503123</t>
  </si>
  <si>
    <t>M-703123</t>
  </si>
  <si>
    <t>F-903123</t>
  </si>
  <si>
    <t>B-503124</t>
  </si>
  <si>
    <t>M-703124</t>
  </si>
  <si>
    <t>F-903124</t>
  </si>
  <si>
    <t>B-503125</t>
  </si>
  <si>
    <t>M-703125</t>
  </si>
  <si>
    <t>F-903125</t>
  </si>
  <si>
    <t>B-503126</t>
  </si>
  <si>
    <t>M-703126</t>
  </si>
  <si>
    <t>F-903126</t>
  </si>
  <si>
    <t>B-503127</t>
  </si>
  <si>
    <t>M-703127</t>
  </si>
  <si>
    <t>F-903127</t>
  </si>
  <si>
    <t>B-503128</t>
  </si>
  <si>
    <t>M-703128</t>
  </si>
  <si>
    <t>F-903128</t>
  </si>
  <si>
    <t>B-503129</t>
  </si>
  <si>
    <t>M-703129</t>
  </si>
  <si>
    <t>F-903129</t>
  </si>
  <si>
    <t>B-503130</t>
  </si>
  <si>
    <t>M-703130</t>
  </si>
  <si>
    <t>F-903130</t>
  </si>
  <si>
    <t>B-503131</t>
  </si>
  <si>
    <t>M-703131</t>
  </si>
  <si>
    <t>F-903131</t>
  </si>
  <si>
    <t>B-503132</t>
  </si>
  <si>
    <t>M-703132</t>
  </si>
  <si>
    <t>F-903132</t>
  </si>
  <si>
    <t>B-503133</t>
  </si>
  <si>
    <t>M-703133</t>
  </si>
  <si>
    <t>F-903133</t>
  </si>
  <si>
    <t>B-503134</t>
  </si>
  <si>
    <t>M-703134</t>
  </si>
  <si>
    <t>F-903134</t>
  </si>
  <si>
    <t>B-503135</t>
  </si>
  <si>
    <t>M-703135</t>
  </si>
  <si>
    <t>F-903135</t>
  </si>
  <si>
    <t>B-503136</t>
  </si>
  <si>
    <t>M-703136</t>
  </si>
  <si>
    <t>F-903136</t>
  </si>
  <si>
    <t>B-503137</t>
  </si>
  <si>
    <t>M-703137</t>
  </si>
  <si>
    <t>F-903137</t>
  </si>
  <si>
    <t>B-503138</t>
  </si>
  <si>
    <t>M-703138</t>
  </si>
  <si>
    <t>F-903138</t>
  </si>
  <si>
    <t>B-503139</t>
  </si>
  <si>
    <t>M-703139</t>
  </si>
  <si>
    <t>F-903139</t>
  </si>
  <si>
    <t>B-503140</t>
  </si>
  <si>
    <t>M-703140</t>
  </si>
  <si>
    <t>F-903140</t>
  </si>
  <si>
    <t>B-503141</t>
  </si>
  <si>
    <t>M-703141</t>
  </si>
  <si>
    <t>F-903141</t>
  </si>
  <si>
    <t>B-503142</t>
  </si>
  <si>
    <t>M-703142</t>
  </si>
  <si>
    <t>F-903142</t>
  </si>
  <si>
    <t>B-503143</t>
  </si>
  <si>
    <t>M-703143</t>
  </si>
  <si>
    <t>F-903143</t>
  </si>
  <si>
    <t>B-503144</t>
  </si>
  <si>
    <t>M-703144</t>
  </si>
  <si>
    <t>F-903144</t>
  </si>
  <si>
    <t>B-503145</t>
  </si>
  <si>
    <t>M-703145</t>
  </si>
  <si>
    <t>F-903145</t>
  </si>
  <si>
    <t>B-503146</t>
  </si>
  <si>
    <t>M-703146</t>
  </si>
  <si>
    <t>F-903146</t>
  </si>
  <si>
    <t>B-503147</t>
  </si>
  <si>
    <t>M-703147</t>
  </si>
  <si>
    <t>F-903147</t>
  </si>
  <si>
    <t>B-503148</t>
  </si>
  <si>
    <t>M-703148</t>
  </si>
  <si>
    <t>F-903148</t>
  </si>
  <si>
    <t>B-503149</t>
  </si>
  <si>
    <t>M-703149</t>
  </si>
  <si>
    <t>F-903149</t>
  </si>
  <si>
    <t>B-503150</t>
  </si>
  <si>
    <t>M-703150</t>
  </si>
  <si>
    <t>F-903150</t>
  </si>
  <si>
    <t>B-503151</t>
  </si>
  <si>
    <t>M-703151</t>
  </si>
  <si>
    <t>F-903151</t>
  </si>
  <si>
    <t>B-503152</t>
  </si>
  <si>
    <t>M-703152</t>
  </si>
  <si>
    <t>F-903152</t>
  </si>
  <si>
    <t>B-503153</t>
  </si>
  <si>
    <t>M-703153</t>
  </si>
  <si>
    <t>F-903153</t>
  </si>
  <si>
    <t>B-503154</t>
  </si>
  <si>
    <t>M-703154</t>
  </si>
  <si>
    <t>F-903154</t>
  </si>
  <si>
    <t>B-503155</t>
  </si>
  <si>
    <t>M-703155</t>
  </si>
  <si>
    <t>F-903155</t>
  </si>
  <si>
    <t>B-503156</t>
  </si>
  <si>
    <t>M-703156</t>
  </si>
  <si>
    <t>F-903156</t>
  </si>
  <si>
    <t>B-503157</t>
  </si>
  <si>
    <t>M-703157</t>
  </si>
  <si>
    <t>F-903157</t>
  </si>
  <si>
    <t>B-503158</t>
  </si>
  <si>
    <t>M-703158</t>
  </si>
  <si>
    <t>F-903158</t>
  </si>
  <si>
    <t>B-503159</t>
  </si>
  <si>
    <t>M-703159</t>
  </si>
  <si>
    <t>F-903159</t>
  </si>
  <si>
    <t>B-503160</t>
  </si>
  <si>
    <t>M-703160</t>
  </si>
  <si>
    <t>F-903160</t>
  </si>
  <si>
    <t>B-503161</t>
  </si>
  <si>
    <t>M-703161</t>
  </si>
  <si>
    <t>F-903161</t>
  </si>
  <si>
    <t>B-503162</t>
  </si>
  <si>
    <t>M-703162</t>
  </si>
  <si>
    <t>F-903162</t>
  </si>
  <si>
    <t>B-503163</t>
  </si>
  <si>
    <t>M-703163</t>
  </si>
  <si>
    <t>F-903163</t>
  </si>
  <si>
    <t>B-503164</t>
  </si>
  <si>
    <t>M-703164</t>
  </si>
  <si>
    <t>F-903164</t>
  </si>
  <si>
    <t>B-503165</t>
  </si>
  <si>
    <t>M-703165</t>
  </si>
  <si>
    <t>F-903165</t>
  </si>
  <si>
    <t>B-503166</t>
  </si>
  <si>
    <t>M-703166</t>
  </si>
  <si>
    <t>F-903166</t>
  </si>
  <si>
    <t>B-503167</t>
  </si>
  <si>
    <t>M-703167</t>
  </si>
  <si>
    <t>F-903167</t>
  </si>
  <si>
    <t>B-503168</t>
  </si>
  <si>
    <t>M-703168</t>
  </si>
  <si>
    <t>F-903168</t>
  </si>
  <si>
    <t>B-503169</t>
  </si>
  <si>
    <t>M-703169</t>
  </si>
  <si>
    <t>F-903169</t>
  </si>
  <si>
    <t>B-503170</t>
  </si>
  <si>
    <t>M-703170</t>
  </si>
  <si>
    <t>F-903170</t>
  </si>
  <si>
    <t>B-503171</t>
  </si>
  <si>
    <t>M-703171</t>
  </si>
  <si>
    <t>F-903171</t>
  </si>
  <si>
    <t>B-503172</t>
  </si>
  <si>
    <t>M-703172</t>
  </si>
  <si>
    <t>F-903172</t>
  </si>
  <si>
    <t>B-503173</t>
  </si>
  <si>
    <t>M-703173</t>
  </si>
  <si>
    <t>F-903173</t>
  </si>
  <si>
    <t>B-503174</t>
  </si>
  <si>
    <t>M-703174</t>
  </si>
  <si>
    <t>F-903174</t>
  </si>
  <si>
    <t>B-503175</t>
  </si>
  <si>
    <t>M-703175</t>
  </si>
  <si>
    <t>F-903175</t>
  </si>
  <si>
    <t>B-503176</t>
  </si>
  <si>
    <t>M-703176</t>
  </si>
  <si>
    <t>F-903176</t>
  </si>
  <si>
    <t>B-503177</t>
  </si>
  <si>
    <t>M-703177</t>
  </si>
  <si>
    <t>F-903177</t>
  </si>
  <si>
    <t>B-503178</t>
  </si>
  <si>
    <t>M-703178</t>
  </si>
  <si>
    <t>F-903178</t>
  </si>
  <si>
    <t>B-503179</t>
  </si>
  <si>
    <t>M-703179</t>
  </si>
  <si>
    <t>F-903179</t>
  </si>
  <si>
    <t>B-503180</t>
  </si>
  <si>
    <t>M-703180</t>
  </si>
  <si>
    <t>F-903180</t>
  </si>
  <si>
    <t>B-503181</t>
  </si>
  <si>
    <t>M-703181</t>
  </si>
  <si>
    <t>F-903181</t>
  </si>
  <si>
    <t>B-503182</t>
  </si>
  <si>
    <t>M-703182</t>
  </si>
  <si>
    <t>F-903182</t>
  </si>
  <si>
    <t>B-503183</t>
  </si>
  <si>
    <t>M-703183</t>
  </si>
  <si>
    <t>F-903183</t>
  </si>
  <si>
    <t>B-503184</t>
  </si>
  <si>
    <t>M-703184</t>
  </si>
  <si>
    <t>F-903184</t>
  </si>
  <si>
    <t>B-503185</t>
  </si>
  <si>
    <t>M-703185</t>
  </si>
  <si>
    <t>F-903185</t>
  </si>
  <si>
    <t>B-503186</t>
  </si>
  <si>
    <t>M-703186</t>
  </si>
  <si>
    <t>F-903186</t>
  </si>
  <si>
    <t>B-503187</t>
  </si>
  <si>
    <t>M-703187</t>
  </si>
  <si>
    <t>F-903187</t>
  </si>
  <si>
    <t>B-503188</t>
  </si>
  <si>
    <t>M-703188</t>
  </si>
  <si>
    <t>F-903188</t>
  </si>
  <si>
    <t>B-503189</t>
  </si>
  <si>
    <t>M-703189</t>
  </si>
  <si>
    <t>F-903189</t>
  </si>
  <si>
    <t>B-503190</t>
  </si>
  <si>
    <t>M-703190</t>
  </si>
  <si>
    <t>F-903190</t>
  </si>
  <si>
    <t>B-503191</t>
  </si>
  <si>
    <t>M-703191</t>
  </si>
  <si>
    <t>F-903191</t>
  </si>
  <si>
    <t>B-503192</t>
  </si>
  <si>
    <t>M-703192</t>
  </si>
  <si>
    <t>F-903192</t>
  </si>
  <si>
    <t>B-503193</t>
  </si>
  <si>
    <t>M-703193</t>
  </si>
  <si>
    <t>F-903193</t>
  </si>
  <si>
    <t>B-503194</t>
  </si>
  <si>
    <t>M-703194</t>
  </si>
  <si>
    <t>F-903194</t>
  </si>
  <si>
    <t>B-503195</t>
  </si>
  <si>
    <t>M-703195</t>
  </si>
  <si>
    <t>F-903195</t>
  </si>
  <si>
    <t>B-503196</t>
  </si>
  <si>
    <t>M-703196</t>
  </si>
  <si>
    <t>F-903196</t>
  </si>
  <si>
    <t>B-503197</t>
  </si>
  <si>
    <t>M-703197</t>
  </si>
  <si>
    <t>F-903197</t>
  </si>
  <si>
    <t>B-503198</t>
  </si>
  <si>
    <t>M-703198</t>
  </si>
  <si>
    <t>F-903198</t>
  </si>
  <si>
    <t>B-503199</t>
  </si>
  <si>
    <t>M-703199</t>
  </si>
  <si>
    <t>F-903199</t>
  </si>
  <si>
    <t>B-503200</t>
  </si>
  <si>
    <t>M-703200</t>
  </si>
  <si>
    <t>F-903200</t>
  </si>
  <si>
    <t>B-503201</t>
  </si>
  <si>
    <t>M-703201</t>
  </si>
  <si>
    <t>F-903201</t>
  </si>
  <si>
    <t>B-503202</t>
  </si>
  <si>
    <t>M-703202</t>
  </si>
  <si>
    <t>F-903202</t>
  </si>
  <si>
    <t>B-503203</t>
  </si>
  <si>
    <t>M-703203</t>
  </si>
  <si>
    <t>F-903203</t>
  </si>
  <si>
    <t>B-503204</t>
  </si>
  <si>
    <t>M-703204</t>
  </si>
  <si>
    <t>F-903204</t>
  </si>
  <si>
    <t>B-503205</t>
  </si>
  <si>
    <t>M-703205</t>
  </si>
  <si>
    <t>F-903205</t>
  </si>
  <si>
    <t>B-503206</t>
  </si>
  <si>
    <t>M-703206</t>
  </si>
  <si>
    <t>F-903206</t>
  </si>
  <si>
    <t>B-503207</t>
  </si>
  <si>
    <t>M-703207</t>
  </si>
  <si>
    <t>F-903207</t>
  </si>
  <si>
    <t>B-503208</t>
  </si>
  <si>
    <t>M-703208</t>
  </si>
  <si>
    <t>F-903208</t>
  </si>
  <si>
    <t>B-503209</t>
  </si>
  <si>
    <t>M-703209</t>
  </si>
  <si>
    <t>F-903209</t>
  </si>
  <si>
    <t>B-503210</t>
  </si>
  <si>
    <t>M-703210</t>
  </si>
  <si>
    <t>F-903210</t>
  </si>
  <si>
    <t>B-503211</t>
  </si>
  <si>
    <t>M-703211</t>
  </si>
  <si>
    <t>F-903211</t>
  </si>
  <si>
    <t>B-503212</t>
  </si>
  <si>
    <t>M-703212</t>
  </si>
  <si>
    <t>F-903212</t>
  </si>
  <si>
    <t>B-503213</t>
  </si>
  <si>
    <t>M-703213</t>
  </si>
  <si>
    <t>F-903213</t>
  </si>
  <si>
    <t>B-503214</t>
  </si>
  <si>
    <t>M-703214</t>
  </si>
  <si>
    <t>F-903214</t>
  </si>
  <si>
    <t>B-503215</t>
  </si>
  <si>
    <t>M-703215</t>
  </si>
  <si>
    <t>F-903215</t>
  </si>
  <si>
    <t>B-503216</t>
  </si>
  <si>
    <t>M-703216</t>
  </si>
  <si>
    <t>F-903216</t>
  </si>
  <si>
    <t>B-503217</t>
  </si>
  <si>
    <t>M-703217</t>
  </si>
  <si>
    <t>F-903217</t>
  </si>
  <si>
    <t>B-503218</t>
  </si>
  <si>
    <t>M-703218</t>
  </si>
  <si>
    <t>F-903218</t>
  </si>
  <si>
    <t>B-503219</t>
  </si>
  <si>
    <t>M-703219</t>
  </si>
  <si>
    <t>F-903219</t>
  </si>
  <si>
    <t>B-503220</t>
  </si>
  <si>
    <t>M-703220</t>
  </si>
  <si>
    <t>F-903220</t>
  </si>
  <si>
    <t>B-503221</t>
  </si>
  <si>
    <t>M-703221</t>
  </si>
  <si>
    <t>F-903221</t>
  </si>
  <si>
    <t>B-503222</t>
  </si>
  <si>
    <t>M-703222</t>
  </si>
  <si>
    <t>F-903222</t>
  </si>
  <si>
    <t>B-503223</t>
  </si>
  <si>
    <t>M-703223</t>
  </si>
  <si>
    <t>F-903223</t>
  </si>
  <si>
    <t>B-503224</t>
  </si>
  <si>
    <t>M-703224</t>
  </si>
  <si>
    <t>F-903224</t>
  </si>
  <si>
    <t>B-503225</t>
  </si>
  <si>
    <t>M-703225</t>
  </si>
  <si>
    <t>F-903225</t>
  </si>
  <si>
    <t>B-503226</t>
  </si>
  <si>
    <t>M-703226</t>
  </si>
  <si>
    <t>F-903226</t>
  </si>
  <si>
    <t>B-503227</t>
  </si>
  <si>
    <t>M-703227</t>
  </si>
  <si>
    <t>F-903227</t>
  </si>
  <si>
    <t>B-503228</t>
  </si>
  <si>
    <t>M-703228</t>
  </si>
  <si>
    <t>F-903228</t>
  </si>
  <si>
    <t>B-503229</t>
  </si>
  <si>
    <t>M-703229</t>
  </si>
  <si>
    <t>F-903229</t>
  </si>
  <si>
    <t>B-503230</t>
  </si>
  <si>
    <t>M-703230</t>
  </si>
  <si>
    <t>F-903230</t>
  </si>
  <si>
    <t>B-503231</t>
  </si>
  <si>
    <t>M-703231</t>
  </si>
  <si>
    <t>F-903231</t>
  </si>
  <si>
    <t>B-503232</t>
  </si>
  <si>
    <t>M-703232</t>
  </si>
  <si>
    <t>F-903232</t>
  </si>
  <si>
    <t>B-503233</t>
  </si>
  <si>
    <t>M-703233</t>
  </si>
  <si>
    <t>F-903233</t>
  </si>
  <si>
    <t>B-503234</t>
  </si>
  <si>
    <t>M-703234</t>
  </si>
  <si>
    <t>F-903234</t>
  </si>
  <si>
    <t>B-503235</t>
  </si>
  <si>
    <t>M-703235</t>
  </si>
  <si>
    <t>F-903235</t>
  </si>
  <si>
    <t>B-503236</t>
  </si>
  <si>
    <t>M-703236</t>
  </si>
  <si>
    <t>F-903236</t>
  </si>
  <si>
    <t>B-503237</t>
  </si>
  <si>
    <t>M-703237</t>
  </si>
  <si>
    <t>F-903237</t>
  </si>
  <si>
    <t>B-503238</t>
  </si>
  <si>
    <t>M-703238</t>
  </si>
  <si>
    <t>F-903238</t>
  </si>
  <si>
    <t>B-503239</t>
  </si>
  <si>
    <t>M-703239</t>
  </si>
  <si>
    <t>F-903239</t>
  </si>
  <si>
    <t>B-503240</t>
  </si>
  <si>
    <t>M-703240</t>
  </si>
  <si>
    <t>F-903240</t>
  </si>
  <si>
    <t>B-503241</t>
  </si>
  <si>
    <t>M-703241</t>
  </si>
  <si>
    <t>F-903241</t>
  </si>
  <si>
    <t>B-503242</t>
  </si>
  <si>
    <t>M-703242</t>
  </si>
  <si>
    <t>F-903242</t>
  </si>
  <si>
    <t>B-503243</t>
  </si>
  <si>
    <t>M-703243</t>
  </si>
  <si>
    <t>F-903243</t>
  </si>
  <si>
    <t>B-503244</t>
  </si>
  <si>
    <t>M-703244</t>
  </si>
  <si>
    <t>F-903244</t>
  </si>
  <si>
    <t>B-503245</t>
  </si>
  <si>
    <t>M-703245</t>
  </si>
  <si>
    <t>F-903245</t>
  </si>
  <si>
    <t>B-503246</t>
  </si>
  <si>
    <t>M-703246</t>
  </si>
  <si>
    <t>F-903246</t>
  </si>
  <si>
    <t>B-503247</t>
  </si>
  <si>
    <t>M-703247</t>
  </si>
  <si>
    <t>F-903247</t>
  </si>
  <si>
    <t>B-503248</t>
  </si>
  <si>
    <t>M-703248</t>
  </si>
  <si>
    <t>F-903248</t>
  </si>
  <si>
    <t>B-503249</t>
  </si>
  <si>
    <t>M-703249</t>
  </si>
  <si>
    <t>F-903249</t>
  </si>
  <si>
    <t>B-503250</t>
  </si>
  <si>
    <t>M-703250</t>
  </si>
  <si>
    <t>F-903250</t>
  </si>
  <si>
    <t>B-503251</t>
  </si>
  <si>
    <t>M-703251</t>
  </si>
  <si>
    <t>F-903251</t>
  </si>
  <si>
    <t>B-503252</t>
  </si>
  <si>
    <t>M-703252</t>
  </si>
  <si>
    <t>F-903252</t>
  </si>
  <si>
    <t>B-503253</t>
  </si>
  <si>
    <t>M-703253</t>
  </si>
  <si>
    <t>F-903253</t>
  </si>
  <si>
    <t>B-503254</t>
  </si>
  <si>
    <t>M-703254</t>
  </si>
  <si>
    <t>F-903254</t>
  </si>
  <si>
    <t>B-503255</t>
  </si>
  <si>
    <t>M-703255</t>
  </si>
  <si>
    <t>F-903255</t>
  </si>
  <si>
    <t>B-503256</t>
  </si>
  <si>
    <t>M-703256</t>
  </si>
  <si>
    <t>F-903256</t>
  </si>
  <si>
    <t>B-503257</t>
  </si>
  <si>
    <t>M-703257</t>
  </si>
  <si>
    <t>F-903257</t>
  </si>
  <si>
    <t>B-503258</t>
  </si>
  <si>
    <t>M-703258</t>
  </si>
  <si>
    <t>F-903258</t>
  </si>
  <si>
    <t>B-503259</t>
  </si>
  <si>
    <t>M-703259</t>
  </si>
  <si>
    <t>F-903259</t>
  </si>
  <si>
    <t>B-503260</t>
  </si>
  <si>
    <t>M-703260</t>
  </si>
  <si>
    <t>F-903260</t>
  </si>
  <si>
    <t>B-503261</t>
  </si>
  <si>
    <t>M-703261</t>
  </si>
  <si>
    <t>F-903261</t>
  </si>
  <si>
    <t>B-503262</t>
  </si>
  <si>
    <t>M-703262</t>
  </si>
  <si>
    <t>F-903262</t>
  </si>
  <si>
    <t>B-503263</t>
  </si>
  <si>
    <t>M-703263</t>
  </si>
  <si>
    <t>F-903263</t>
  </si>
  <si>
    <t>B-503264</t>
  </si>
  <si>
    <t>M-703264</t>
  </si>
  <si>
    <t>F-903264</t>
  </si>
  <si>
    <t>B-503265</t>
  </si>
  <si>
    <t>M-703265</t>
  </si>
  <si>
    <t>F-903265</t>
  </si>
  <si>
    <t>B-503266</t>
  </si>
  <si>
    <t>M-703266</t>
  </si>
  <si>
    <t>F-903266</t>
  </si>
  <si>
    <t>B-503267</t>
  </si>
  <si>
    <t>M-703267</t>
  </si>
  <si>
    <t>F-903267</t>
  </si>
  <si>
    <t>B-503268</t>
  </si>
  <si>
    <t>M-703268</t>
  </si>
  <si>
    <t>F-903268</t>
  </si>
  <si>
    <t>B-503269</t>
  </si>
  <si>
    <t>M-703269</t>
  </si>
  <si>
    <t>F-903269</t>
  </si>
  <si>
    <t>B-503270</t>
  </si>
  <si>
    <t>M-703270</t>
  </si>
  <si>
    <t>F-903270</t>
  </si>
  <si>
    <t>Blades</t>
  </si>
  <si>
    <t>Factory</t>
  </si>
  <si>
    <t>Unit Cost</t>
  </si>
  <si>
    <t>Seattle WA</t>
  </si>
  <si>
    <t>Tacoma WA</t>
  </si>
  <si>
    <t>Vancouver WA</t>
  </si>
  <si>
    <t>Motor</t>
  </si>
  <si>
    <t>Portland OR</t>
  </si>
  <si>
    <t>Denver CO</t>
  </si>
  <si>
    <t>Frame</t>
  </si>
  <si>
    <t>Dallas TX</t>
  </si>
  <si>
    <t>Richardson TX</t>
  </si>
  <si>
    <t>Plano TX</t>
  </si>
  <si>
    <t>Defect: y/n</t>
  </si>
  <si>
    <t>Defect Part</t>
  </si>
  <si>
    <t>Refund Amount</t>
  </si>
  <si>
    <t>Return Date</t>
  </si>
  <si>
    <t>Y</t>
  </si>
  <si>
    <t>N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</si>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</sst>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F3271">
  <autoFilter ref="A1:F3271" xr:uid="{00000000-0009-0000-0100-000001000000}"/>
  <tableColumns count="6">
    <tableColumn id="1" xr3:uid="{00000000-0010-0000-0000-000001000000}" name="Sales ID"/>
    <tableColumn id="2" xr3:uid="{00000000-0010-0000-0000-000002000000}" name="Product Serial #"/>
    <tableColumn id="3" xr3:uid="{00000000-0010-0000-0000-000003000000}" name="Price"/>
    <tableColumn id="4" xr3:uid="{00000000-0010-0000-0000-000004000000}" name="Cost"/>
    <tableColumn id="5" xr3:uid="{00000000-0010-0000-0000-000005000000}" name="Date"/>
    <tableColumn id="6" xr3:uid="{00000000-0010-0000-0000-000006000000}" name="Location: Country shipped 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Table" displayName="InventoryTable" ref="A1:D3271">
  <autoFilter ref="A1:D3271" xr:uid="{00000000-0009-0000-0100-000002000000}"/>
  <tableColumns count="4">
    <tableColumn id="1" xr3:uid="{00000000-0010-0000-0100-000001000000}" name="Product Serial #"/>
    <tableColumn id="2" xr3:uid="{00000000-0010-0000-0100-000002000000}" name="Blades Serial #"/>
    <tableColumn id="3" xr3:uid="{00000000-0010-0000-0100-000003000000}" name="Motor Serial #"/>
    <tableColumn id="4" xr3:uid="{00000000-0010-0000-0100-000004000000}" name="Frame Serial #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ladesTable" displayName="BladesTable" ref="A1:C3271">
  <autoFilter ref="A1:C3271" xr:uid="{00000000-0009-0000-0100-000003000000}"/>
  <tableColumns count="3">
    <tableColumn id="1" xr3:uid="{00000000-0010-0000-0200-000001000000}" name="Blades Serial #"/>
    <tableColumn id="2" xr3:uid="{00000000-0010-0000-0200-000002000000}" name="Factory"/>
    <tableColumn id="3" xr3:uid="{00000000-0010-0000-0200-000003000000}" name="Unit 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torTable" displayName="MotorTable" ref="A1:C3271">
  <autoFilter ref="A1:C3271" xr:uid="{00000000-0009-0000-0100-000004000000}"/>
  <tableColumns count="3">
    <tableColumn id="1" xr3:uid="{00000000-0010-0000-0300-000001000000}" name="Motor Serial #"/>
    <tableColumn id="2" xr3:uid="{00000000-0010-0000-0300-000002000000}" name="Factory"/>
    <tableColumn id="3" xr3:uid="{00000000-0010-0000-0300-000003000000}" name="Unit 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rameTable" displayName="FrameTable" ref="A1:C3271">
  <autoFilter ref="A1:C3271" xr:uid="{00000000-0009-0000-0100-000005000000}"/>
  <tableColumns count="3">
    <tableColumn id="1" xr3:uid="{00000000-0010-0000-0400-000001000000}" name="Frame Serial #"/>
    <tableColumn id="2" xr3:uid="{00000000-0010-0000-0400-000002000000}" name="Factory"/>
    <tableColumn id="3" xr3:uid="{00000000-0010-0000-0400-000003000000}" name="Unit Co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turnsTable" displayName="ReturnsTable" ref="A1:E361">
  <autoFilter ref="A1:E361" xr:uid="{00000000-0009-0000-0100-000006000000}"/>
  <tableColumns count="5">
    <tableColumn id="1" xr3:uid="{00000000-0010-0000-0500-000001000000}" name="Product Serial #"/>
    <tableColumn id="2" xr3:uid="{00000000-0010-0000-0500-000002000000}" name="Defect: y/n"/>
    <tableColumn id="3" xr3:uid="{00000000-0010-0000-0500-000003000000}" name="Defect Part"/>
    <tableColumn id="4" xr3:uid="{00000000-0010-0000-0500-000004000000}" name="Refund Amount"/>
    <tableColumn id="5" xr3:uid="{00000000-0010-0000-0500-000005000000}" name="Return 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actoryCostsTable" displayName="FactoryCostsTable" ref="A1:C9">
  <autoFilter ref="A1:C9" xr:uid="{00000000-0009-0000-0100-000008000000}"/>
  <tableColumns count="3">
    <tableColumn id="1" xr3:uid="{00000000-0010-0000-0700-000001000000}" name="Component"/>
    <tableColumn id="2" xr3:uid="{00000000-0010-0000-0700-000002000000}" name="Factory"/>
    <tableColumn id="3" xr3:uid="{00000000-0010-0000-0700-000003000000}" name="Unit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71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5" width="19" customWidth="1"/>
    <col min="6" max="6" width="29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3">
        <v>200</v>
      </c>
      <c r="D2" s="3" t="str">
        <f ca="1">IF(B2="","",IFERROR(_xludf.XLOOKUP(_xludf.XLOOKUP(B2,Inventory!$A:$A,Inventory!$B:$B),Blades!$A:$A,Blades!$C:$C)+_xludf.XLOOKUP(_xludf.XLOOKUP(B2,Inventory!$A:$A,Inventory!$C:$C),Motor!$A:$A,Motor!$C:$C)+_xludf.XLOOKUP(_xludf.XLOOKUP(B2,Inventory!$A:$A,Inventory!$D:$D),Frame!$A:$A,Frame!$C:$C)+#REF!,""))</f>
        <v/>
      </c>
      <c r="E2" s="4">
        <v>43831</v>
      </c>
      <c r="F2" s="1" t="s">
        <v>8</v>
      </c>
    </row>
    <row r="3" spans="1:6" x14ac:dyDescent="0.25">
      <c r="A3" s="1" t="s">
        <v>9</v>
      </c>
      <c r="B3" s="1" t="s">
        <v>10</v>
      </c>
      <c r="C3" s="3">
        <v>200</v>
      </c>
      <c r="D3" s="3" t="str">
        <f ca="1">IF(B3="","",IFERROR(_xludf.XLOOKUP(_xludf.XLOOKUP(B3,Inventory!$A:$A,Inventory!$B:$B),Blades!$A:$A,Blades!$C:$C)+_xludf.XLOOKUP(_xludf.XLOOKUP(B3,Inventory!$A:$A,Inventory!$C:$C),Motor!$A:$A,Motor!$C:$C)+_xludf.XLOOKUP(_xludf.XLOOKUP(B3,Inventory!$A:$A,Inventory!$D:$D),Frame!$A:$A,Frame!$C:$C)+#REF!,""))</f>
        <v/>
      </c>
      <c r="E3" s="4">
        <v>43832</v>
      </c>
      <c r="F3" s="1" t="s">
        <v>11</v>
      </c>
    </row>
    <row r="4" spans="1:6" x14ac:dyDescent="0.25">
      <c r="A4" s="1" t="s">
        <v>12</v>
      </c>
      <c r="B4" s="1" t="s">
        <v>13</v>
      </c>
      <c r="C4" s="3">
        <v>200</v>
      </c>
      <c r="D4" s="3" t="str">
        <f ca="1">IF(B4="","",IFERROR(_xludf.XLOOKUP(_xludf.XLOOKUP(B4,Inventory!$A:$A,Inventory!$B:$B),Blades!$A:$A,Blades!$C:$C)+_xludf.XLOOKUP(_xludf.XLOOKUP(B4,Inventory!$A:$A,Inventory!$C:$C),Motor!$A:$A,Motor!$C:$C)+_xludf.XLOOKUP(_xludf.XLOOKUP(B4,Inventory!$A:$A,Inventory!$D:$D),Frame!$A:$A,Frame!$C:$C)+#REF!,""))</f>
        <v/>
      </c>
      <c r="E4" s="4">
        <v>43834</v>
      </c>
      <c r="F4" s="1" t="s">
        <v>8</v>
      </c>
    </row>
    <row r="5" spans="1:6" x14ac:dyDescent="0.25">
      <c r="A5" s="1" t="s">
        <v>14</v>
      </c>
      <c r="B5" s="1" t="s">
        <v>15</v>
      </c>
      <c r="C5" s="3">
        <v>200</v>
      </c>
      <c r="D5" s="3" t="str">
        <f ca="1">IF(B5="","",IFERROR(_xludf.XLOOKUP(_xludf.XLOOKUP(B5,Inventory!$A:$A,Inventory!$B:$B),Blades!$A:$A,Blades!$C:$C)+_xludf.XLOOKUP(_xludf.XLOOKUP(B5,Inventory!$A:$A,Inventory!$C:$C),Motor!$A:$A,Motor!$C:$C)+_xludf.XLOOKUP(_xludf.XLOOKUP(B5,Inventory!$A:$A,Inventory!$D:$D),Frame!$A:$A,Frame!$C:$C)+#REF!,""))</f>
        <v/>
      </c>
      <c r="E5" s="4">
        <v>43834</v>
      </c>
      <c r="F5" s="1" t="s">
        <v>11</v>
      </c>
    </row>
    <row r="6" spans="1:6" x14ac:dyDescent="0.25">
      <c r="A6" s="1" t="s">
        <v>16</v>
      </c>
      <c r="B6" s="1" t="s">
        <v>17</v>
      </c>
      <c r="C6" s="3">
        <v>200</v>
      </c>
      <c r="D6" s="3" t="str">
        <f ca="1">IF(B6="","",IFERROR(_xludf.XLOOKUP(_xludf.XLOOKUP(B6,Inventory!$A:$A,Inventory!$B:$B),Blades!$A:$A,Blades!$C:$C)+_xludf.XLOOKUP(_xludf.XLOOKUP(B6,Inventory!$A:$A,Inventory!$C:$C),Motor!$A:$A,Motor!$C:$C)+_xludf.XLOOKUP(_xludf.XLOOKUP(B6,Inventory!$A:$A,Inventory!$D:$D),Frame!$A:$A,Frame!$C:$C)+#REF!,""))</f>
        <v/>
      </c>
      <c r="E6" s="4">
        <v>43836</v>
      </c>
      <c r="F6" s="1" t="s">
        <v>11</v>
      </c>
    </row>
    <row r="7" spans="1:6" x14ac:dyDescent="0.25">
      <c r="A7" s="1" t="s">
        <v>18</v>
      </c>
      <c r="B7" s="1" t="s">
        <v>19</v>
      </c>
      <c r="C7" s="3">
        <v>200</v>
      </c>
      <c r="D7" s="3" t="str">
        <f ca="1">IF(B7="","",IFERROR(_xludf.XLOOKUP(_xludf.XLOOKUP(B7,Inventory!$A:$A,Inventory!$B:$B),Blades!$A:$A,Blades!$C:$C)+_xludf.XLOOKUP(_xludf.XLOOKUP(B7,Inventory!$A:$A,Inventory!$C:$C),Motor!$A:$A,Motor!$C:$C)+_xludf.XLOOKUP(_xludf.XLOOKUP(B7,Inventory!$A:$A,Inventory!$D:$D),Frame!$A:$A,Frame!$C:$C)+#REF!,""))</f>
        <v/>
      </c>
      <c r="E7" s="4">
        <v>43840</v>
      </c>
      <c r="F7" s="1" t="s">
        <v>20</v>
      </c>
    </row>
    <row r="8" spans="1:6" x14ac:dyDescent="0.25">
      <c r="A8" s="1" t="s">
        <v>21</v>
      </c>
      <c r="B8" s="1" t="s">
        <v>22</v>
      </c>
      <c r="C8" s="3">
        <v>200</v>
      </c>
      <c r="D8" s="3" t="str">
        <f ca="1">IF(B8="","",IFERROR(_xludf.XLOOKUP(_xludf.XLOOKUP(B8,Inventory!$A:$A,Inventory!$B:$B),Blades!$A:$A,Blades!$C:$C)+_xludf.XLOOKUP(_xludf.XLOOKUP(B8,Inventory!$A:$A,Inventory!$C:$C),Motor!$A:$A,Motor!$C:$C)+_xludf.XLOOKUP(_xludf.XLOOKUP(B8,Inventory!$A:$A,Inventory!$D:$D),Frame!$A:$A,Frame!$C:$C)+#REF!,""))</f>
        <v/>
      </c>
      <c r="E8" s="4">
        <v>43841</v>
      </c>
      <c r="F8" s="1" t="s">
        <v>11</v>
      </c>
    </row>
    <row r="9" spans="1:6" x14ac:dyDescent="0.25">
      <c r="A9" s="1" t="s">
        <v>23</v>
      </c>
      <c r="B9" s="1" t="s">
        <v>24</v>
      </c>
      <c r="C9" s="3">
        <v>200</v>
      </c>
      <c r="D9" s="3" t="str">
        <f ca="1">IF(B9="","",IFERROR(_xludf.XLOOKUP(_xludf.XLOOKUP(B9,Inventory!$A:$A,Inventory!$B:$B),Blades!$A:$A,Blades!$C:$C)+_xludf.XLOOKUP(_xludf.XLOOKUP(B9,Inventory!$A:$A,Inventory!$C:$C),Motor!$A:$A,Motor!$C:$C)+_xludf.XLOOKUP(_xludf.XLOOKUP(B9,Inventory!$A:$A,Inventory!$D:$D),Frame!$A:$A,Frame!$C:$C)+#REF!,""))</f>
        <v/>
      </c>
      <c r="E9" s="4">
        <v>43843</v>
      </c>
      <c r="F9" s="1" t="s">
        <v>25</v>
      </c>
    </row>
    <row r="10" spans="1:6" x14ac:dyDescent="0.25">
      <c r="A10" s="1" t="s">
        <v>26</v>
      </c>
      <c r="B10" s="1" t="s">
        <v>27</v>
      </c>
      <c r="C10" s="3">
        <v>200</v>
      </c>
      <c r="D10" s="3" t="str">
        <f ca="1">IF(B10="","",IFERROR(_xludf.XLOOKUP(_xludf.XLOOKUP(B10,Inventory!$A:$A,Inventory!$B:$B),Blades!$A:$A,Blades!$C:$C)+_xludf.XLOOKUP(_xludf.XLOOKUP(B10,Inventory!$A:$A,Inventory!$C:$C),Motor!$A:$A,Motor!$C:$C)+_xludf.XLOOKUP(_xludf.XLOOKUP(B10,Inventory!$A:$A,Inventory!$D:$D),Frame!$A:$A,Frame!$C:$C)+#REF!,""))</f>
        <v/>
      </c>
      <c r="E10" s="4">
        <v>43844</v>
      </c>
      <c r="F10" s="1" t="s">
        <v>11</v>
      </c>
    </row>
    <row r="11" spans="1:6" x14ac:dyDescent="0.25">
      <c r="A11" s="1" t="s">
        <v>28</v>
      </c>
      <c r="B11" s="1" t="s">
        <v>29</v>
      </c>
      <c r="C11" s="3">
        <v>200</v>
      </c>
      <c r="D11" s="3" t="str">
        <f ca="1">IF(B11="","",IFERROR(_xludf.XLOOKUP(_xludf.XLOOKUP(B11,Inventory!$A:$A,Inventory!$B:$B),Blades!$A:$A,Blades!$C:$C)+_xludf.XLOOKUP(_xludf.XLOOKUP(B11,Inventory!$A:$A,Inventory!$C:$C),Motor!$A:$A,Motor!$C:$C)+_xludf.XLOOKUP(_xludf.XLOOKUP(B11,Inventory!$A:$A,Inventory!$D:$D),Frame!$A:$A,Frame!$C:$C)+#REF!,""))</f>
        <v/>
      </c>
      <c r="E11" s="4">
        <v>43846</v>
      </c>
      <c r="F11" s="1" t="s">
        <v>8</v>
      </c>
    </row>
    <row r="12" spans="1:6" x14ac:dyDescent="0.25">
      <c r="A12" s="1" t="s">
        <v>30</v>
      </c>
      <c r="B12" s="1" t="s">
        <v>31</v>
      </c>
      <c r="C12" s="3">
        <v>200</v>
      </c>
      <c r="D12" s="3" t="str">
        <f ca="1">IF(B12="","",IFERROR(_xludf.XLOOKUP(_xludf.XLOOKUP(B12,Inventory!$A:$A,Inventory!$B:$B),Blades!$A:$A,Blades!$C:$C)+_xludf.XLOOKUP(_xludf.XLOOKUP(B12,Inventory!$A:$A,Inventory!$C:$C),Motor!$A:$A,Motor!$C:$C)+_xludf.XLOOKUP(_xludf.XLOOKUP(B12,Inventory!$A:$A,Inventory!$D:$D),Frame!$A:$A,Frame!$C:$C)+#REF!,""))</f>
        <v/>
      </c>
      <c r="E12" s="4">
        <v>43847</v>
      </c>
      <c r="F12" s="1" t="s">
        <v>32</v>
      </c>
    </row>
    <row r="13" spans="1:6" x14ac:dyDescent="0.25">
      <c r="A13" s="1" t="s">
        <v>33</v>
      </c>
      <c r="B13" s="1" t="s">
        <v>34</v>
      </c>
      <c r="C13" s="3">
        <v>200</v>
      </c>
      <c r="D13" s="3" t="str">
        <f ca="1">IF(B13="","",IFERROR(_xludf.XLOOKUP(_xludf.XLOOKUP(B13,Inventory!$A:$A,Inventory!$B:$B),Blades!$A:$A,Blades!$C:$C)+_xludf.XLOOKUP(_xludf.XLOOKUP(B13,Inventory!$A:$A,Inventory!$C:$C),Motor!$A:$A,Motor!$C:$C)+_xludf.XLOOKUP(_xludf.XLOOKUP(B13,Inventory!$A:$A,Inventory!$D:$D),Frame!$A:$A,Frame!$C:$C)+#REF!,""))</f>
        <v/>
      </c>
      <c r="E13" s="4">
        <v>43847</v>
      </c>
      <c r="F13" s="1" t="s">
        <v>8</v>
      </c>
    </row>
    <row r="14" spans="1:6" x14ac:dyDescent="0.25">
      <c r="A14" s="1" t="s">
        <v>35</v>
      </c>
      <c r="B14" s="1" t="s">
        <v>36</v>
      </c>
      <c r="C14" s="3">
        <v>200</v>
      </c>
      <c r="D14" s="3" t="str">
        <f ca="1">IF(B14="","",IFERROR(_xludf.XLOOKUP(_xludf.XLOOKUP(B14,Inventory!$A:$A,Inventory!$B:$B),Blades!$A:$A,Blades!$C:$C)+_xludf.XLOOKUP(_xludf.XLOOKUP(B14,Inventory!$A:$A,Inventory!$C:$C),Motor!$A:$A,Motor!$C:$C)+_xludf.XLOOKUP(_xludf.XLOOKUP(B14,Inventory!$A:$A,Inventory!$D:$D),Frame!$A:$A,Frame!$C:$C)+#REF!,""))</f>
        <v/>
      </c>
      <c r="E14" s="4">
        <v>43847</v>
      </c>
      <c r="F14" s="1" t="s">
        <v>8</v>
      </c>
    </row>
    <row r="15" spans="1:6" x14ac:dyDescent="0.25">
      <c r="A15" s="1" t="s">
        <v>37</v>
      </c>
      <c r="B15" s="1" t="s">
        <v>38</v>
      </c>
      <c r="C15" s="3">
        <v>200</v>
      </c>
      <c r="D15" s="3" t="str">
        <f ca="1">IF(B15="","",IFERROR(_xludf.XLOOKUP(_xludf.XLOOKUP(B15,Inventory!$A:$A,Inventory!$B:$B),Blades!$A:$A,Blades!$C:$C)+_xludf.XLOOKUP(_xludf.XLOOKUP(B15,Inventory!$A:$A,Inventory!$C:$C),Motor!$A:$A,Motor!$C:$C)+_xludf.XLOOKUP(_xludf.XLOOKUP(B15,Inventory!$A:$A,Inventory!$D:$D),Frame!$A:$A,Frame!$C:$C)+#REF!,""))</f>
        <v/>
      </c>
      <c r="E15" s="4">
        <v>43853</v>
      </c>
      <c r="F15" s="1" t="s">
        <v>25</v>
      </c>
    </row>
    <row r="16" spans="1:6" x14ac:dyDescent="0.25">
      <c r="A16" s="1" t="s">
        <v>39</v>
      </c>
      <c r="B16" s="1" t="s">
        <v>40</v>
      </c>
      <c r="C16" s="3">
        <v>200</v>
      </c>
      <c r="D16" s="3" t="str">
        <f ca="1">IF(B16="","",IFERROR(_xludf.XLOOKUP(_xludf.XLOOKUP(B16,Inventory!$A:$A,Inventory!$B:$B),Blades!$A:$A,Blades!$C:$C)+_xludf.XLOOKUP(_xludf.XLOOKUP(B16,Inventory!$A:$A,Inventory!$C:$C),Motor!$A:$A,Motor!$C:$C)+_xludf.XLOOKUP(_xludf.XLOOKUP(B16,Inventory!$A:$A,Inventory!$D:$D),Frame!$A:$A,Frame!$C:$C)+#REF!,""))</f>
        <v/>
      </c>
      <c r="E16" s="4">
        <v>43854</v>
      </c>
      <c r="F16" s="1" t="s">
        <v>32</v>
      </c>
    </row>
    <row r="17" spans="1:6" x14ac:dyDescent="0.25">
      <c r="A17" s="1" t="s">
        <v>41</v>
      </c>
      <c r="B17" s="1" t="s">
        <v>42</v>
      </c>
      <c r="C17" s="3">
        <v>200</v>
      </c>
      <c r="D17" s="3" t="str">
        <f ca="1">IF(B17="","",IFERROR(_xludf.XLOOKUP(_xludf.XLOOKUP(B17,Inventory!$A:$A,Inventory!$B:$B),Blades!$A:$A,Blades!$C:$C)+_xludf.XLOOKUP(_xludf.XLOOKUP(B17,Inventory!$A:$A,Inventory!$C:$C),Motor!$A:$A,Motor!$C:$C)+_xludf.XLOOKUP(_xludf.XLOOKUP(B17,Inventory!$A:$A,Inventory!$D:$D),Frame!$A:$A,Frame!$C:$C)+#REF!,""))</f>
        <v/>
      </c>
      <c r="E17" s="4">
        <v>43855</v>
      </c>
      <c r="F17" s="1" t="s">
        <v>11</v>
      </c>
    </row>
    <row r="18" spans="1:6" x14ac:dyDescent="0.25">
      <c r="A18" s="1" t="s">
        <v>43</v>
      </c>
      <c r="B18" s="1" t="s">
        <v>44</v>
      </c>
      <c r="C18" s="3">
        <v>200</v>
      </c>
      <c r="D18" s="3" t="str">
        <f ca="1">IF(B18="","",IFERROR(_xludf.XLOOKUP(_xludf.XLOOKUP(B18,Inventory!$A:$A,Inventory!$B:$B),Blades!$A:$A,Blades!$C:$C)+_xludf.XLOOKUP(_xludf.XLOOKUP(B18,Inventory!$A:$A,Inventory!$C:$C),Motor!$A:$A,Motor!$C:$C)+_xludf.XLOOKUP(_xludf.XLOOKUP(B18,Inventory!$A:$A,Inventory!$D:$D),Frame!$A:$A,Frame!$C:$C)+#REF!,""))</f>
        <v/>
      </c>
      <c r="E18" s="4">
        <v>43859</v>
      </c>
      <c r="F18" s="1" t="s">
        <v>11</v>
      </c>
    </row>
    <row r="19" spans="1:6" x14ac:dyDescent="0.25">
      <c r="A19" s="1" t="s">
        <v>45</v>
      </c>
      <c r="B19" s="1" t="s">
        <v>46</v>
      </c>
      <c r="C19" s="3">
        <v>200</v>
      </c>
      <c r="D19" s="3" t="str">
        <f ca="1">IF(B19="","",IFERROR(_xludf.XLOOKUP(_xludf.XLOOKUP(B19,Inventory!$A:$A,Inventory!$B:$B),Blades!$A:$A,Blades!$C:$C)+_xludf.XLOOKUP(_xludf.XLOOKUP(B19,Inventory!$A:$A,Inventory!$C:$C),Motor!$A:$A,Motor!$C:$C)+_xludf.XLOOKUP(_xludf.XLOOKUP(B19,Inventory!$A:$A,Inventory!$D:$D),Frame!$A:$A,Frame!$C:$C)+#REF!,""))</f>
        <v/>
      </c>
      <c r="E19" s="4">
        <v>43860</v>
      </c>
      <c r="F19" s="1" t="s">
        <v>25</v>
      </c>
    </row>
    <row r="20" spans="1:6" x14ac:dyDescent="0.25">
      <c r="A20" s="1" t="s">
        <v>47</v>
      </c>
      <c r="B20" s="1" t="s">
        <v>48</v>
      </c>
      <c r="C20" s="3">
        <v>200</v>
      </c>
      <c r="D20" s="3" t="str">
        <f ca="1">IF(B20="","",IFERROR(_xludf.XLOOKUP(_xludf.XLOOKUP(B20,Inventory!$A:$A,Inventory!$B:$B),Blades!$A:$A,Blades!$C:$C)+_xludf.XLOOKUP(_xludf.XLOOKUP(B20,Inventory!$A:$A,Inventory!$C:$C),Motor!$A:$A,Motor!$C:$C)+_xludf.XLOOKUP(_xludf.XLOOKUP(B20,Inventory!$A:$A,Inventory!$D:$D),Frame!$A:$A,Frame!$C:$C)+#REF!,""))</f>
        <v/>
      </c>
      <c r="E20" s="4">
        <v>43861</v>
      </c>
      <c r="F20" s="1" t="s">
        <v>49</v>
      </c>
    </row>
    <row r="21" spans="1:6" x14ac:dyDescent="0.25">
      <c r="A21" s="1" t="s">
        <v>50</v>
      </c>
      <c r="B21" s="1" t="s">
        <v>51</v>
      </c>
      <c r="C21" s="3">
        <v>200</v>
      </c>
      <c r="D21" s="3" t="str">
        <f ca="1">IF(B21="","",IFERROR(_xludf.XLOOKUP(_xludf.XLOOKUP(B21,Inventory!$A:$A,Inventory!$B:$B),Blades!$A:$A,Blades!$C:$C)+_xludf.XLOOKUP(_xludf.XLOOKUP(B21,Inventory!$A:$A,Inventory!$C:$C),Motor!$A:$A,Motor!$C:$C)+_xludf.XLOOKUP(_xludf.XLOOKUP(B21,Inventory!$A:$A,Inventory!$D:$D),Frame!$A:$A,Frame!$C:$C)+#REF!,""))</f>
        <v/>
      </c>
      <c r="E21" s="4">
        <v>43863</v>
      </c>
      <c r="F21" s="1" t="s">
        <v>52</v>
      </c>
    </row>
    <row r="22" spans="1:6" x14ac:dyDescent="0.25">
      <c r="A22" s="1" t="s">
        <v>53</v>
      </c>
      <c r="B22" s="1" t="s">
        <v>54</v>
      </c>
      <c r="C22" s="3">
        <v>200</v>
      </c>
      <c r="D22" s="3" t="str">
        <f ca="1">IF(B22="","",IFERROR(_xludf.XLOOKUP(_xludf.XLOOKUP(B22,Inventory!$A:$A,Inventory!$B:$B),Blades!$A:$A,Blades!$C:$C)+_xludf.XLOOKUP(_xludf.XLOOKUP(B22,Inventory!$A:$A,Inventory!$C:$C),Motor!$A:$A,Motor!$C:$C)+_xludf.XLOOKUP(_xludf.XLOOKUP(B22,Inventory!$A:$A,Inventory!$D:$D),Frame!$A:$A,Frame!$C:$C)+#REF!,""))</f>
        <v/>
      </c>
      <c r="E22" s="4">
        <v>43863</v>
      </c>
      <c r="F22" s="1" t="s">
        <v>8</v>
      </c>
    </row>
    <row r="23" spans="1:6" x14ac:dyDescent="0.25">
      <c r="A23" s="1" t="s">
        <v>55</v>
      </c>
      <c r="B23" s="1" t="s">
        <v>56</v>
      </c>
      <c r="C23" s="3">
        <v>200</v>
      </c>
      <c r="D23" s="3" t="str">
        <f ca="1">IF(B23="","",IFERROR(_xludf.XLOOKUP(_xludf.XLOOKUP(B23,Inventory!$A:$A,Inventory!$B:$B),Blades!$A:$A,Blades!$C:$C)+_xludf.XLOOKUP(_xludf.XLOOKUP(B23,Inventory!$A:$A,Inventory!$C:$C),Motor!$A:$A,Motor!$C:$C)+_xludf.XLOOKUP(_xludf.XLOOKUP(B23,Inventory!$A:$A,Inventory!$D:$D),Frame!$A:$A,Frame!$C:$C)+#REF!,""))</f>
        <v/>
      </c>
      <c r="E23" s="4">
        <v>43864</v>
      </c>
      <c r="F23" s="1" t="s">
        <v>8</v>
      </c>
    </row>
    <row r="24" spans="1:6" x14ac:dyDescent="0.25">
      <c r="A24" s="1" t="s">
        <v>57</v>
      </c>
      <c r="B24" s="1" t="s">
        <v>58</v>
      </c>
      <c r="C24" s="3">
        <v>200</v>
      </c>
      <c r="D24" s="3" t="str">
        <f ca="1">IF(B24="","",IFERROR(_xludf.XLOOKUP(_xludf.XLOOKUP(B24,Inventory!$A:$A,Inventory!$B:$B),Blades!$A:$A,Blades!$C:$C)+_xludf.XLOOKUP(_xludf.XLOOKUP(B24,Inventory!$A:$A,Inventory!$C:$C),Motor!$A:$A,Motor!$C:$C)+_xludf.XLOOKUP(_xludf.XLOOKUP(B24,Inventory!$A:$A,Inventory!$D:$D),Frame!$A:$A,Frame!$C:$C)+#REF!,""))</f>
        <v/>
      </c>
      <c r="E24" s="4">
        <v>43865</v>
      </c>
      <c r="F24" s="1" t="s">
        <v>52</v>
      </c>
    </row>
    <row r="25" spans="1:6" x14ac:dyDescent="0.25">
      <c r="A25" s="1" t="s">
        <v>59</v>
      </c>
      <c r="B25" s="1" t="s">
        <v>60</v>
      </c>
      <c r="C25" s="3">
        <v>200</v>
      </c>
      <c r="D25" s="3" t="str">
        <f ca="1">IF(B25="","",IFERROR(_xludf.XLOOKUP(_xludf.XLOOKUP(B25,Inventory!$A:$A,Inventory!$B:$B),Blades!$A:$A,Blades!$C:$C)+_xludf.XLOOKUP(_xludf.XLOOKUP(B25,Inventory!$A:$A,Inventory!$C:$C),Motor!$A:$A,Motor!$C:$C)+_xludf.XLOOKUP(_xludf.XLOOKUP(B25,Inventory!$A:$A,Inventory!$D:$D),Frame!$A:$A,Frame!$C:$C)+#REF!,""))</f>
        <v/>
      </c>
      <c r="E25" s="4">
        <v>43866</v>
      </c>
      <c r="F25" s="1" t="s">
        <v>11</v>
      </c>
    </row>
    <row r="26" spans="1:6" x14ac:dyDescent="0.25">
      <c r="A26" s="1" t="s">
        <v>61</v>
      </c>
      <c r="B26" s="1" t="s">
        <v>62</v>
      </c>
      <c r="C26" s="3">
        <v>200</v>
      </c>
      <c r="D26" s="3" t="str">
        <f ca="1">IF(B26="","",IFERROR(_xludf.XLOOKUP(_xludf.XLOOKUP(B26,Inventory!$A:$A,Inventory!$B:$B),Blades!$A:$A,Blades!$C:$C)+_xludf.XLOOKUP(_xludf.XLOOKUP(B26,Inventory!$A:$A,Inventory!$C:$C),Motor!$A:$A,Motor!$C:$C)+_xludf.XLOOKUP(_xludf.XLOOKUP(B26,Inventory!$A:$A,Inventory!$D:$D),Frame!$A:$A,Frame!$C:$C)+#REF!,""))</f>
        <v/>
      </c>
      <c r="E26" s="4">
        <v>43866</v>
      </c>
      <c r="F26" s="1" t="s">
        <v>63</v>
      </c>
    </row>
    <row r="27" spans="1:6" x14ac:dyDescent="0.25">
      <c r="A27" s="1" t="s">
        <v>64</v>
      </c>
      <c r="B27" s="1" t="s">
        <v>65</v>
      </c>
      <c r="C27" s="3">
        <v>200</v>
      </c>
      <c r="D27" s="3" t="str">
        <f ca="1">IF(B27="","",IFERROR(_xludf.XLOOKUP(_xludf.XLOOKUP(B27,Inventory!$A:$A,Inventory!$B:$B),Blades!$A:$A,Blades!$C:$C)+_xludf.XLOOKUP(_xludf.XLOOKUP(B27,Inventory!$A:$A,Inventory!$C:$C),Motor!$A:$A,Motor!$C:$C)+_xludf.XLOOKUP(_xludf.XLOOKUP(B27,Inventory!$A:$A,Inventory!$D:$D),Frame!$A:$A,Frame!$C:$C)+#REF!,""))</f>
        <v/>
      </c>
      <c r="E27" s="4">
        <v>43867</v>
      </c>
      <c r="F27" s="1" t="s">
        <v>25</v>
      </c>
    </row>
    <row r="28" spans="1:6" x14ac:dyDescent="0.25">
      <c r="A28" s="1" t="s">
        <v>66</v>
      </c>
      <c r="B28" s="1" t="s">
        <v>67</v>
      </c>
      <c r="C28" s="3">
        <v>200</v>
      </c>
      <c r="D28" s="3" t="str">
        <f ca="1">IF(B28="","",IFERROR(_xludf.XLOOKUP(_xludf.XLOOKUP(B28,Inventory!$A:$A,Inventory!$B:$B),Blades!$A:$A,Blades!$C:$C)+_xludf.XLOOKUP(_xludf.XLOOKUP(B28,Inventory!$A:$A,Inventory!$C:$C),Motor!$A:$A,Motor!$C:$C)+_xludf.XLOOKUP(_xludf.XLOOKUP(B28,Inventory!$A:$A,Inventory!$D:$D),Frame!$A:$A,Frame!$C:$C)+#REF!,""))</f>
        <v/>
      </c>
      <c r="E28" s="4">
        <v>43867</v>
      </c>
      <c r="F28" s="1" t="s">
        <v>11</v>
      </c>
    </row>
    <row r="29" spans="1:6" x14ac:dyDescent="0.25">
      <c r="A29" s="1" t="s">
        <v>68</v>
      </c>
      <c r="B29" s="1" t="s">
        <v>69</v>
      </c>
      <c r="C29" s="3">
        <v>200</v>
      </c>
      <c r="D29" s="3" t="str">
        <f ca="1">IF(B29="","",IFERROR(_xludf.XLOOKUP(_xludf.XLOOKUP(B29,Inventory!$A:$A,Inventory!$B:$B),Blades!$A:$A,Blades!$C:$C)+_xludf.XLOOKUP(_xludf.XLOOKUP(B29,Inventory!$A:$A,Inventory!$C:$C),Motor!$A:$A,Motor!$C:$C)+_xludf.XLOOKUP(_xludf.XLOOKUP(B29,Inventory!$A:$A,Inventory!$D:$D),Frame!$A:$A,Frame!$C:$C)+#REF!,""))</f>
        <v/>
      </c>
      <c r="E29" s="4">
        <v>43867</v>
      </c>
      <c r="F29" s="1" t="s">
        <v>11</v>
      </c>
    </row>
    <row r="30" spans="1:6" x14ac:dyDescent="0.25">
      <c r="A30" s="1" t="s">
        <v>70</v>
      </c>
      <c r="B30" s="1" t="s">
        <v>71</v>
      </c>
      <c r="C30" s="3">
        <v>200</v>
      </c>
      <c r="D30" s="3" t="str">
        <f ca="1">IF(B30="","",IFERROR(_xludf.XLOOKUP(_xludf.XLOOKUP(B30,Inventory!$A:$A,Inventory!$B:$B),Blades!$A:$A,Blades!$C:$C)+_xludf.XLOOKUP(_xludf.XLOOKUP(B30,Inventory!$A:$A,Inventory!$C:$C),Motor!$A:$A,Motor!$C:$C)+_xludf.XLOOKUP(_xludf.XLOOKUP(B30,Inventory!$A:$A,Inventory!$D:$D),Frame!$A:$A,Frame!$C:$C)+#REF!,""))</f>
        <v/>
      </c>
      <c r="E30" s="4">
        <v>43871</v>
      </c>
      <c r="F30" s="1" t="s">
        <v>52</v>
      </c>
    </row>
    <row r="31" spans="1:6" x14ac:dyDescent="0.25">
      <c r="A31" s="1" t="s">
        <v>72</v>
      </c>
      <c r="B31" s="1" t="s">
        <v>73</v>
      </c>
      <c r="C31" s="3">
        <v>200</v>
      </c>
      <c r="D31" s="3" t="str">
        <f ca="1">IF(B31="","",IFERROR(_xludf.XLOOKUP(_xludf.XLOOKUP(B31,Inventory!$A:$A,Inventory!$B:$B),Blades!$A:$A,Blades!$C:$C)+_xludf.XLOOKUP(_xludf.XLOOKUP(B31,Inventory!$A:$A,Inventory!$C:$C),Motor!$A:$A,Motor!$C:$C)+_xludf.XLOOKUP(_xludf.XLOOKUP(B31,Inventory!$A:$A,Inventory!$D:$D),Frame!$A:$A,Frame!$C:$C)+#REF!,""))</f>
        <v/>
      </c>
      <c r="E31" s="4">
        <v>43871</v>
      </c>
      <c r="F31" s="1" t="s">
        <v>63</v>
      </c>
    </row>
    <row r="32" spans="1:6" x14ac:dyDescent="0.25">
      <c r="A32" s="1" t="s">
        <v>74</v>
      </c>
      <c r="B32" s="1" t="s">
        <v>75</v>
      </c>
      <c r="C32" s="3">
        <v>200</v>
      </c>
      <c r="D32" s="3" t="str">
        <f ca="1">IF(B32="","",IFERROR(_xludf.XLOOKUP(_xludf.XLOOKUP(B32,Inventory!$A:$A,Inventory!$B:$B),Blades!$A:$A,Blades!$C:$C)+_xludf.XLOOKUP(_xludf.XLOOKUP(B32,Inventory!$A:$A,Inventory!$C:$C),Motor!$A:$A,Motor!$C:$C)+_xludf.XLOOKUP(_xludf.XLOOKUP(B32,Inventory!$A:$A,Inventory!$D:$D),Frame!$A:$A,Frame!$C:$C)+#REF!,""))</f>
        <v/>
      </c>
      <c r="E32" s="4">
        <v>43871</v>
      </c>
      <c r="F32" s="1" t="s">
        <v>25</v>
      </c>
    </row>
    <row r="33" spans="1:6" x14ac:dyDescent="0.25">
      <c r="A33" s="1" t="s">
        <v>76</v>
      </c>
      <c r="B33" s="1" t="s">
        <v>77</v>
      </c>
      <c r="C33" s="3">
        <v>200</v>
      </c>
      <c r="D33" s="3" t="str">
        <f ca="1">IF(B33="","",IFERROR(_xludf.XLOOKUP(_xludf.XLOOKUP(B33,Inventory!$A:$A,Inventory!$B:$B),Blades!$A:$A,Blades!$C:$C)+_xludf.XLOOKUP(_xludf.XLOOKUP(B33,Inventory!$A:$A,Inventory!$C:$C),Motor!$A:$A,Motor!$C:$C)+_xludf.XLOOKUP(_xludf.XLOOKUP(B33,Inventory!$A:$A,Inventory!$D:$D),Frame!$A:$A,Frame!$C:$C)+#REF!,""))</f>
        <v/>
      </c>
      <c r="E33" s="4">
        <v>43874</v>
      </c>
      <c r="F33" s="1" t="s">
        <v>25</v>
      </c>
    </row>
    <row r="34" spans="1:6" x14ac:dyDescent="0.25">
      <c r="A34" s="1" t="s">
        <v>78</v>
      </c>
      <c r="B34" s="1" t="s">
        <v>79</v>
      </c>
      <c r="C34" s="3">
        <v>200</v>
      </c>
      <c r="D34" s="3" t="str">
        <f ca="1">IF(B34="","",IFERROR(_xludf.XLOOKUP(_xludf.XLOOKUP(B34,Inventory!$A:$A,Inventory!$B:$B),Blades!$A:$A,Blades!$C:$C)+_xludf.XLOOKUP(_xludf.XLOOKUP(B34,Inventory!$A:$A,Inventory!$C:$C),Motor!$A:$A,Motor!$C:$C)+_xludf.XLOOKUP(_xludf.XLOOKUP(B34,Inventory!$A:$A,Inventory!$D:$D),Frame!$A:$A,Frame!$C:$C)+#REF!,""))</f>
        <v/>
      </c>
      <c r="E34" s="4">
        <v>43875</v>
      </c>
      <c r="F34" s="1" t="s">
        <v>32</v>
      </c>
    </row>
    <row r="35" spans="1:6" x14ac:dyDescent="0.25">
      <c r="A35" s="1" t="s">
        <v>80</v>
      </c>
      <c r="B35" s="1" t="s">
        <v>81</v>
      </c>
      <c r="C35" s="3">
        <v>200</v>
      </c>
      <c r="D35" s="3" t="str">
        <f ca="1">IF(B35="","",IFERROR(_xludf.XLOOKUP(_xludf.XLOOKUP(B35,Inventory!$A:$A,Inventory!$B:$B),Blades!$A:$A,Blades!$C:$C)+_xludf.XLOOKUP(_xludf.XLOOKUP(B35,Inventory!$A:$A,Inventory!$C:$C),Motor!$A:$A,Motor!$C:$C)+_xludf.XLOOKUP(_xludf.XLOOKUP(B35,Inventory!$A:$A,Inventory!$D:$D),Frame!$A:$A,Frame!$C:$C)+#REF!,""))</f>
        <v/>
      </c>
      <c r="E35" s="4">
        <v>43877</v>
      </c>
      <c r="F35" s="1" t="s">
        <v>25</v>
      </c>
    </row>
    <row r="36" spans="1:6" x14ac:dyDescent="0.25">
      <c r="A36" s="1" t="s">
        <v>82</v>
      </c>
      <c r="B36" s="1" t="s">
        <v>83</v>
      </c>
      <c r="C36" s="3">
        <v>200</v>
      </c>
      <c r="D36" s="3" t="str">
        <f ca="1">IF(B36="","",IFERROR(_xludf.XLOOKUP(_xludf.XLOOKUP(B36,Inventory!$A:$A,Inventory!$B:$B),Blades!$A:$A,Blades!$C:$C)+_xludf.XLOOKUP(_xludf.XLOOKUP(B36,Inventory!$A:$A,Inventory!$C:$C),Motor!$A:$A,Motor!$C:$C)+_xludf.XLOOKUP(_xludf.XLOOKUP(B36,Inventory!$A:$A,Inventory!$D:$D),Frame!$A:$A,Frame!$C:$C)+#REF!,""))</f>
        <v/>
      </c>
      <c r="E36" s="4">
        <v>43878</v>
      </c>
      <c r="F36" s="1" t="s">
        <v>32</v>
      </c>
    </row>
    <row r="37" spans="1:6" x14ac:dyDescent="0.25">
      <c r="A37" s="1" t="s">
        <v>84</v>
      </c>
      <c r="B37" s="1" t="s">
        <v>85</v>
      </c>
      <c r="C37" s="3">
        <v>200</v>
      </c>
      <c r="D37" s="3" t="str">
        <f ca="1">IF(B37="","",IFERROR(_xludf.XLOOKUP(_xludf.XLOOKUP(B37,Inventory!$A:$A,Inventory!$B:$B),Blades!$A:$A,Blades!$C:$C)+_xludf.XLOOKUP(_xludf.XLOOKUP(B37,Inventory!$A:$A,Inventory!$C:$C),Motor!$A:$A,Motor!$C:$C)+_xludf.XLOOKUP(_xludf.XLOOKUP(B37,Inventory!$A:$A,Inventory!$D:$D),Frame!$A:$A,Frame!$C:$C)+#REF!,""))</f>
        <v/>
      </c>
      <c r="E37" s="4">
        <v>43878</v>
      </c>
      <c r="F37" s="1" t="s">
        <v>32</v>
      </c>
    </row>
    <row r="38" spans="1:6" x14ac:dyDescent="0.25">
      <c r="A38" s="1" t="s">
        <v>86</v>
      </c>
      <c r="B38" s="1" t="s">
        <v>87</v>
      </c>
      <c r="C38" s="3">
        <v>200</v>
      </c>
      <c r="D38" s="3" t="str">
        <f ca="1">IF(B38="","",IFERROR(_xludf.XLOOKUP(_xludf.XLOOKUP(B38,Inventory!$A:$A,Inventory!$B:$B),Blades!$A:$A,Blades!$C:$C)+_xludf.XLOOKUP(_xludf.XLOOKUP(B38,Inventory!$A:$A,Inventory!$C:$C),Motor!$A:$A,Motor!$C:$C)+_xludf.XLOOKUP(_xludf.XLOOKUP(B38,Inventory!$A:$A,Inventory!$D:$D),Frame!$A:$A,Frame!$C:$C)+#REF!,""))</f>
        <v/>
      </c>
      <c r="E38" s="4">
        <v>43880</v>
      </c>
      <c r="F38" s="1" t="s">
        <v>25</v>
      </c>
    </row>
    <row r="39" spans="1:6" x14ac:dyDescent="0.25">
      <c r="A39" s="1" t="s">
        <v>88</v>
      </c>
      <c r="B39" s="1" t="s">
        <v>89</v>
      </c>
      <c r="C39" s="3">
        <v>200</v>
      </c>
      <c r="D39" s="3" t="str">
        <f ca="1">IF(B39="","",IFERROR(_xludf.XLOOKUP(_xludf.XLOOKUP(B39,Inventory!$A:$A,Inventory!$B:$B),Blades!$A:$A,Blades!$C:$C)+_xludf.XLOOKUP(_xludf.XLOOKUP(B39,Inventory!$A:$A,Inventory!$C:$C),Motor!$A:$A,Motor!$C:$C)+_xludf.XLOOKUP(_xludf.XLOOKUP(B39,Inventory!$A:$A,Inventory!$D:$D),Frame!$A:$A,Frame!$C:$C)+#REF!,""))</f>
        <v/>
      </c>
      <c r="E39" s="4">
        <v>43882</v>
      </c>
      <c r="F39" s="1" t="s">
        <v>11</v>
      </c>
    </row>
    <row r="40" spans="1:6" x14ac:dyDescent="0.25">
      <c r="A40" s="1" t="s">
        <v>90</v>
      </c>
      <c r="B40" s="1" t="s">
        <v>91</v>
      </c>
      <c r="C40" s="3">
        <v>200</v>
      </c>
      <c r="D40" s="3" t="str">
        <f ca="1">IF(B40="","",IFERROR(_xludf.XLOOKUP(_xludf.XLOOKUP(B40,Inventory!$A:$A,Inventory!$B:$B),Blades!$A:$A,Blades!$C:$C)+_xludf.XLOOKUP(_xludf.XLOOKUP(B40,Inventory!$A:$A,Inventory!$C:$C),Motor!$A:$A,Motor!$C:$C)+_xludf.XLOOKUP(_xludf.XLOOKUP(B40,Inventory!$A:$A,Inventory!$D:$D),Frame!$A:$A,Frame!$C:$C)+#REF!,""))</f>
        <v/>
      </c>
      <c r="E40" s="4">
        <v>43883</v>
      </c>
      <c r="F40" s="1" t="s">
        <v>32</v>
      </c>
    </row>
    <row r="41" spans="1:6" x14ac:dyDescent="0.25">
      <c r="A41" s="1" t="s">
        <v>92</v>
      </c>
      <c r="B41" s="1" t="s">
        <v>93</v>
      </c>
      <c r="C41" s="3">
        <v>200</v>
      </c>
      <c r="D41" s="3" t="str">
        <f ca="1">IF(B41="","",IFERROR(_xludf.XLOOKUP(_xludf.XLOOKUP(B41,Inventory!$A:$A,Inventory!$B:$B),Blades!$A:$A,Blades!$C:$C)+_xludf.XLOOKUP(_xludf.XLOOKUP(B41,Inventory!$A:$A,Inventory!$C:$C),Motor!$A:$A,Motor!$C:$C)+_xludf.XLOOKUP(_xludf.XLOOKUP(B41,Inventory!$A:$A,Inventory!$D:$D),Frame!$A:$A,Frame!$C:$C)+#REF!,""))</f>
        <v/>
      </c>
      <c r="E41" s="4">
        <v>43883</v>
      </c>
      <c r="F41" s="1" t="s">
        <v>32</v>
      </c>
    </row>
    <row r="42" spans="1:6" x14ac:dyDescent="0.25">
      <c r="A42" s="1" t="s">
        <v>94</v>
      </c>
      <c r="B42" s="1" t="s">
        <v>95</v>
      </c>
      <c r="C42" s="3">
        <v>200</v>
      </c>
      <c r="D42" s="3" t="str">
        <f ca="1">IF(B42="","",IFERROR(_xludf.XLOOKUP(_xludf.XLOOKUP(B42,Inventory!$A:$A,Inventory!$B:$B),Blades!$A:$A,Blades!$C:$C)+_xludf.XLOOKUP(_xludf.XLOOKUP(B42,Inventory!$A:$A,Inventory!$C:$C),Motor!$A:$A,Motor!$C:$C)+_xludf.XLOOKUP(_xludf.XLOOKUP(B42,Inventory!$A:$A,Inventory!$D:$D),Frame!$A:$A,Frame!$C:$C)+#REF!,""))</f>
        <v/>
      </c>
      <c r="E42" s="4">
        <v>43885</v>
      </c>
      <c r="F42" s="1" t="s">
        <v>49</v>
      </c>
    </row>
    <row r="43" spans="1:6" x14ac:dyDescent="0.25">
      <c r="A43" s="1" t="s">
        <v>96</v>
      </c>
      <c r="B43" s="1" t="s">
        <v>97</v>
      </c>
      <c r="C43" s="3">
        <v>200</v>
      </c>
      <c r="D43" s="3" t="str">
        <f ca="1">IF(B43="","",IFERROR(_xludf.XLOOKUP(_xludf.XLOOKUP(B43,Inventory!$A:$A,Inventory!$B:$B),Blades!$A:$A,Blades!$C:$C)+_xludf.XLOOKUP(_xludf.XLOOKUP(B43,Inventory!$A:$A,Inventory!$C:$C),Motor!$A:$A,Motor!$C:$C)+_xludf.XLOOKUP(_xludf.XLOOKUP(B43,Inventory!$A:$A,Inventory!$D:$D),Frame!$A:$A,Frame!$C:$C)+#REF!,""))</f>
        <v/>
      </c>
      <c r="E43" s="4">
        <v>43887</v>
      </c>
      <c r="F43" s="1" t="s">
        <v>52</v>
      </c>
    </row>
    <row r="44" spans="1:6" x14ac:dyDescent="0.25">
      <c r="A44" s="1" t="s">
        <v>98</v>
      </c>
      <c r="B44" s="1" t="s">
        <v>99</v>
      </c>
      <c r="C44" s="3">
        <v>200</v>
      </c>
      <c r="D44" s="3" t="str">
        <f ca="1">IF(B44="","",IFERROR(_xludf.XLOOKUP(_xludf.XLOOKUP(B44,Inventory!$A:$A,Inventory!$B:$B),Blades!$A:$A,Blades!$C:$C)+_xludf.XLOOKUP(_xludf.XLOOKUP(B44,Inventory!$A:$A,Inventory!$C:$C),Motor!$A:$A,Motor!$C:$C)+_xludf.XLOOKUP(_xludf.XLOOKUP(B44,Inventory!$A:$A,Inventory!$D:$D),Frame!$A:$A,Frame!$C:$C)+#REF!,""))</f>
        <v/>
      </c>
      <c r="E44" s="4">
        <v>43888</v>
      </c>
      <c r="F44" s="1" t="s">
        <v>25</v>
      </c>
    </row>
    <row r="45" spans="1:6" x14ac:dyDescent="0.25">
      <c r="A45" s="1" t="s">
        <v>100</v>
      </c>
      <c r="B45" s="1" t="s">
        <v>101</v>
      </c>
      <c r="C45" s="3">
        <v>200</v>
      </c>
      <c r="D45" s="3" t="str">
        <f ca="1">IF(B45="","",IFERROR(_xludf.XLOOKUP(_xludf.XLOOKUP(B45,Inventory!$A:$A,Inventory!$B:$B),Blades!$A:$A,Blades!$C:$C)+_xludf.XLOOKUP(_xludf.XLOOKUP(B45,Inventory!$A:$A,Inventory!$C:$C),Motor!$A:$A,Motor!$C:$C)+_xludf.XLOOKUP(_xludf.XLOOKUP(B45,Inventory!$A:$A,Inventory!$D:$D),Frame!$A:$A,Frame!$C:$C)+#REF!,""))</f>
        <v/>
      </c>
      <c r="E45" s="4">
        <v>43888</v>
      </c>
      <c r="F45" s="1" t="s">
        <v>8</v>
      </c>
    </row>
    <row r="46" spans="1:6" x14ac:dyDescent="0.25">
      <c r="A46" s="1" t="s">
        <v>102</v>
      </c>
      <c r="B46" s="1" t="s">
        <v>103</v>
      </c>
      <c r="C46" s="3">
        <v>200</v>
      </c>
      <c r="D46" s="3" t="str">
        <f ca="1">IF(B46="","",IFERROR(_xludf.XLOOKUP(_xludf.XLOOKUP(B46,Inventory!$A:$A,Inventory!$B:$B),Blades!$A:$A,Blades!$C:$C)+_xludf.XLOOKUP(_xludf.XLOOKUP(B46,Inventory!$A:$A,Inventory!$C:$C),Motor!$A:$A,Motor!$C:$C)+_xludf.XLOOKUP(_xludf.XLOOKUP(B46,Inventory!$A:$A,Inventory!$D:$D),Frame!$A:$A,Frame!$C:$C)+#REF!,""))</f>
        <v/>
      </c>
      <c r="E46" s="4">
        <v>43888</v>
      </c>
      <c r="F46" s="1" t="s">
        <v>52</v>
      </c>
    </row>
    <row r="47" spans="1:6" x14ac:dyDescent="0.25">
      <c r="A47" s="1" t="s">
        <v>104</v>
      </c>
      <c r="B47" s="1" t="s">
        <v>105</v>
      </c>
      <c r="C47" s="3">
        <v>200</v>
      </c>
      <c r="D47" s="3" t="str">
        <f ca="1">IF(B47="","",IFERROR(_xludf.XLOOKUP(_xludf.XLOOKUP(B47,Inventory!$A:$A,Inventory!$B:$B),Blades!$A:$A,Blades!$C:$C)+_xludf.XLOOKUP(_xludf.XLOOKUP(B47,Inventory!$A:$A,Inventory!$C:$C),Motor!$A:$A,Motor!$C:$C)+_xludf.XLOOKUP(_xludf.XLOOKUP(B47,Inventory!$A:$A,Inventory!$D:$D),Frame!$A:$A,Frame!$C:$C)+#REF!,""))</f>
        <v/>
      </c>
      <c r="E47" s="4">
        <v>43889</v>
      </c>
      <c r="F47" s="1" t="s">
        <v>11</v>
      </c>
    </row>
    <row r="48" spans="1:6" x14ac:dyDescent="0.25">
      <c r="A48" s="1" t="s">
        <v>106</v>
      </c>
      <c r="B48" s="1" t="s">
        <v>107</v>
      </c>
      <c r="C48" s="3">
        <v>200</v>
      </c>
      <c r="D48" s="3" t="str">
        <f ca="1">IF(B48="","",IFERROR(_xludf.XLOOKUP(_xludf.XLOOKUP(B48,Inventory!$A:$A,Inventory!$B:$B),Blades!$A:$A,Blades!$C:$C)+_xludf.XLOOKUP(_xludf.XLOOKUP(B48,Inventory!$A:$A,Inventory!$C:$C),Motor!$A:$A,Motor!$C:$C)+_xludf.XLOOKUP(_xludf.XLOOKUP(B48,Inventory!$A:$A,Inventory!$D:$D),Frame!$A:$A,Frame!$C:$C)+#REF!,""))</f>
        <v/>
      </c>
      <c r="E48" s="4">
        <v>43892</v>
      </c>
      <c r="F48" s="1" t="s">
        <v>20</v>
      </c>
    </row>
    <row r="49" spans="1:6" x14ac:dyDescent="0.25">
      <c r="A49" s="1" t="s">
        <v>108</v>
      </c>
      <c r="B49" s="1" t="s">
        <v>109</v>
      </c>
      <c r="C49" s="3">
        <v>200</v>
      </c>
      <c r="D49" s="3" t="str">
        <f ca="1">IF(B49="","",IFERROR(_xludf.XLOOKUP(_xludf.XLOOKUP(B49,Inventory!$A:$A,Inventory!$B:$B),Blades!$A:$A,Blades!$C:$C)+_xludf.XLOOKUP(_xludf.XLOOKUP(B49,Inventory!$A:$A,Inventory!$C:$C),Motor!$A:$A,Motor!$C:$C)+_xludf.XLOOKUP(_xludf.XLOOKUP(B49,Inventory!$A:$A,Inventory!$D:$D),Frame!$A:$A,Frame!$C:$C)+#REF!,""))</f>
        <v/>
      </c>
      <c r="E49" s="4">
        <v>43894</v>
      </c>
      <c r="F49" s="1" t="s">
        <v>25</v>
      </c>
    </row>
    <row r="50" spans="1:6" x14ac:dyDescent="0.25">
      <c r="A50" s="1" t="s">
        <v>110</v>
      </c>
      <c r="B50" s="1" t="s">
        <v>111</v>
      </c>
      <c r="C50" s="3">
        <v>200</v>
      </c>
      <c r="D50" s="3" t="str">
        <f ca="1">IF(B50="","",IFERROR(_xludf.XLOOKUP(_xludf.XLOOKUP(B50,Inventory!$A:$A,Inventory!$B:$B),Blades!$A:$A,Blades!$C:$C)+_xludf.XLOOKUP(_xludf.XLOOKUP(B50,Inventory!$A:$A,Inventory!$C:$C),Motor!$A:$A,Motor!$C:$C)+_xludf.XLOOKUP(_xludf.XLOOKUP(B50,Inventory!$A:$A,Inventory!$D:$D),Frame!$A:$A,Frame!$C:$C)+#REF!,""))</f>
        <v/>
      </c>
      <c r="E50" s="4">
        <v>43895</v>
      </c>
      <c r="F50" s="1" t="s">
        <v>63</v>
      </c>
    </row>
    <row r="51" spans="1:6" x14ac:dyDescent="0.25">
      <c r="A51" s="1" t="s">
        <v>112</v>
      </c>
      <c r="B51" s="1" t="s">
        <v>113</v>
      </c>
      <c r="C51" s="3">
        <v>200</v>
      </c>
      <c r="D51" s="3" t="str">
        <f ca="1">IF(B51="","",IFERROR(_xludf.XLOOKUP(_xludf.XLOOKUP(B51,Inventory!$A:$A,Inventory!$B:$B),Blades!$A:$A,Blades!$C:$C)+_xludf.XLOOKUP(_xludf.XLOOKUP(B51,Inventory!$A:$A,Inventory!$C:$C),Motor!$A:$A,Motor!$C:$C)+_xludf.XLOOKUP(_xludf.XLOOKUP(B51,Inventory!$A:$A,Inventory!$D:$D),Frame!$A:$A,Frame!$C:$C)+#REF!,""))</f>
        <v/>
      </c>
      <c r="E51" s="4">
        <v>43896</v>
      </c>
      <c r="F51" s="1" t="s">
        <v>49</v>
      </c>
    </row>
    <row r="52" spans="1:6" x14ac:dyDescent="0.25">
      <c r="A52" s="1" t="s">
        <v>114</v>
      </c>
      <c r="B52" s="1" t="s">
        <v>115</v>
      </c>
      <c r="C52" s="3">
        <v>200</v>
      </c>
      <c r="D52" s="3" t="str">
        <f ca="1">IF(B52="","",IFERROR(_xludf.XLOOKUP(_xludf.XLOOKUP(B52,Inventory!$A:$A,Inventory!$B:$B),Blades!$A:$A,Blades!$C:$C)+_xludf.XLOOKUP(_xludf.XLOOKUP(B52,Inventory!$A:$A,Inventory!$C:$C),Motor!$A:$A,Motor!$C:$C)+_xludf.XLOOKUP(_xludf.XLOOKUP(B52,Inventory!$A:$A,Inventory!$D:$D),Frame!$A:$A,Frame!$C:$C)+#REF!,""))</f>
        <v/>
      </c>
      <c r="E52" s="4">
        <v>43898</v>
      </c>
      <c r="F52" s="1" t="s">
        <v>52</v>
      </c>
    </row>
    <row r="53" spans="1:6" x14ac:dyDescent="0.25">
      <c r="A53" s="1" t="s">
        <v>116</v>
      </c>
      <c r="B53" s="1" t="s">
        <v>117</v>
      </c>
      <c r="C53" s="3">
        <v>200</v>
      </c>
      <c r="D53" s="3" t="str">
        <f ca="1">IF(B53="","",IFERROR(_xludf.XLOOKUP(_xludf.XLOOKUP(B53,Inventory!$A:$A,Inventory!$B:$B),Blades!$A:$A,Blades!$C:$C)+_xludf.XLOOKUP(_xludf.XLOOKUP(B53,Inventory!$A:$A,Inventory!$C:$C),Motor!$A:$A,Motor!$C:$C)+_xludf.XLOOKUP(_xludf.XLOOKUP(B53,Inventory!$A:$A,Inventory!$D:$D),Frame!$A:$A,Frame!$C:$C)+#REF!,""))</f>
        <v/>
      </c>
      <c r="E53" s="4">
        <v>43901</v>
      </c>
      <c r="F53" s="1" t="s">
        <v>52</v>
      </c>
    </row>
    <row r="54" spans="1:6" x14ac:dyDescent="0.25">
      <c r="A54" s="1" t="s">
        <v>118</v>
      </c>
      <c r="B54" s="1" t="s">
        <v>119</v>
      </c>
      <c r="C54" s="3">
        <v>200</v>
      </c>
      <c r="D54" s="3" t="str">
        <f ca="1">IF(B54="","",IFERROR(_xludf.XLOOKUP(_xludf.XLOOKUP(B54,Inventory!$A:$A,Inventory!$B:$B),Blades!$A:$A,Blades!$C:$C)+_xludf.XLOOKUP(_xludf.XLOOKUP(B54,Inventory!$A:$A,Inventory!$C:$C),Motor!$A:$A,Motor!$C:$C)+_xludf.XLOOKUP(_xludf.XLOOKUP(B54,Inventory!$A:$A,Inventory!$D:$D),Frame!$A:$A,Frame!$C:$C)+#REF!,""))</f>
        <v/>
      </c>
      <c r="E54" s="4">
        <v>43902</v>
      </c>
      <c r="F54" s="1" t="s">
        <v>49</v>
      </c>
    </row>
    <row r="55" spans="1:6" x14ac:dyDescent="0.25">
      <c r="A55" s="1" t="s">
        <v>120</v>
      </c>
      <c r="B55" s="1" t="s">
        <v>121</v>
      </c>
      <c r="C55" s="3">
        <v>200</v>
      </c>
      <c r="D55" s="3" t="str">
        <f ca="1">IF(B55="","",IFERROR(_xludf.XLOOKUP(_xludf.XLOOKUP(B55,Inventory!$A:$A,Inventory!$B:$B),Blades!$A:$A,Blades!$C:$C)+_xludf.XLOOKUP(_xludf.XLOOKUP(B55,Inventory!$A:$A,Inventory!$C:$C),Motor!$A:$A,Motor!$C:$C)+_xludf.XLOOKUP(_xludf.XLOOKUP(B55,Inventory!$A:$A,Inventory!$D:$D),Frame!$A:$A,Frame!$C:$C)+#REF!,""))</f>
        <v/>
      </c>
      <c r="E55" s="4">
        <v>43902</v>
      </c>
      <c r="F55" s="1" t="s">
        <v>63</v>
      </c>
    </row>
    <row r="56" spans="1:6" x14ac:dyDescent="0.25">
      <c r="A56" s="1" t="s">
        <v>122</v>
      </c>
      <c r="B56" s="1" t="s">
        <v>123</v>
      </c>
      <c r="C56" s="3">
        <v>200</v>
      </c>
      <c r="D56" s="3" t="str">
        <f ca="1">IF(B56="","",IFERROR(_xludf.XLOOKUP(_xludf.XLOOKUP(B56,Inventory!$A:$A,Inventory!$B:$B),Blades!$A:$A,Blades!$C:$C)+_xludf.XLOOKUP(_xludf.XLOOKUP(B56,Inventory!$A:$A,Inventory!$C:$C),Motor!$A:$A,Motor!$C:$C)+_xludf.XLOOKUP(_xludf.XLOOKUP(B56,Inventory!$A:$A,Inventory!$D:$D),Frame!$A:$A,Frame!$C:$C)+#REF!,""))</f>
        <v/>
      </c>
      <c r="E56" s="4">
        <v>43904</v>
      </c>
      <c r="F56" s="1" t="s">
        <v>63</v>
      </c>
    </row>
    <row r="57" spans="1:6" x14ac:dyDescent="0.25">
      <c r="A57" s="1" t="s">
        <v>124</v>
      </c>
      <c r="B57" s="1" t="s">
        <v>125</v>
      </c>
      <c r="C57" s="3">
        <v>200</v>
      </c>
      <c r="D57" s="3" t="str">
        <f ca="1">IF(B57="","",IFERROR(_xludf.XLOOKUP(_xludf.XLOOKUP(B57,Inventory!$A:$A,Inventory!$B:$B),Blades!$A:$A,Blades!$C:$C)+_xludf.XLOOKUP(_xludf.XLOOKUP(B57,Inventory!$A:$A,Inventory!$C:$C),Motor!$A:$A,Motor!$C:$C)+_xludf.XLOOKUP(_xludf.XLOOKUP(B57,Inventory!$A:$A,Inventory!$D:$D),Frame!$A:$A,Frame!$C:$C)+#REF!,""))</f>
        <v/>
      </c>
      <c r="E57" s="4">
        <v>43909</v>
      </c>
      <c r="F57" s="1" t="s">
        <v>20</v>
      </c>
    </row>
    <row r="58" spans="1:6" x14ac:dyDescent="0.25">
      <c r="A58" s="1" t="s">
        <v>126</v>
      </c>
      <c r="B58" s="1" t="s">
        <v>127</v>
      </c>
      <c r="C58" s="3">
        <v>200</v>
      </c>
      <c r="D58" s="3" t="str">
        <f ca="1">IF(B58="","",IFERROR(_xludf.XLOOKUP(_xludf.XLOOKUP(B58,Inventory!$A:$A,Inventory!$B:$B),Blades!$A:$A,Blades!$C:$C)+_xludf.XLOOKUP(_xludf.XLOOKUP(B58,Inventory!$A:$A,Inventory!$C:$C),Motor!$A:$A,Motor!$C:$C)+_xludf.XLOOKUP(_xludf.XLOOKUP(B58,Inventory!$A:$A,Inventory!$D:$D),Frame!$A:$A,Frame!$C:$C)+#REF!,""))</f>
        <v/>
      </c>
      <c r="E58" s="4">
        <v>43909</v>
      </c>
      <c r="F58" s="1" t="s">
        <v>63</v>
      </c>
    </row>
    <row r="59" spans="1:6" x14ac:dyDescent="0.25">
      <c r="A59" s="1" t="s">
        <v>128</v>
      </c>
      <c r="B59" s="1" t="s">
        <v>129</v>
      </c>
      <c r="C59" s="3">
        <v>200</v>
      </c>
      <c r="D59" s="3" t="str">
        <f ca="1">IF(B59="","",IFERROR(_xludf.XLOOKUP(_xludf.XLOOKUP(B59,Inventory!$A:$A,Inventory!$B:$B),Blades!$A:$A,Blades!$C:$C)+_xludf.XLOOKUP(_xludf.XLOOKUP(B59,Inventory!$A:$A,Inventory!$C:$C),Motor!$A:$A,Motor!$C:$C)+_xludf.XLOOKUP(_xludf.XLOOKUP(B59,Inventory!$A:$A,Inventory!$D:$D),Frame!$A:$A,Frame!$C:$C)+#REF!,""))</f>
        <v/>
      </c>
      <c r="E59" s="4">
        <v>43910</v>
      </c>
      <c r="F59" s="1" t="s">
        <v>52</v>
      </c>
    </row>
    <row r="60" spans="1:6" x14ac:dyDescent="0.25">
      <c r="A60" s="1" t="s">
        <v>130</v>
      </c>
      <c r="B60" s="1" t="s">
        <v>131</v>
      </c>
      <c r="C60" s="3">
        <v>200</v>
      </c>
      <c r="D60" s="3" t="str">
        <f ca="1">IF(B60="","",IFERROR(_xludf.XLOOKUP(_xludf.XLOOKUP(B60,Inventory!$A:$A,Inventory!$B:$B),Blades!$A:$A,Blades!$C:$C)+_xludf.XLOOKUP(_xludf.XLOOKUP(B60,Inventory!$A:$A,Inventory!$C:$C),Motor!$A:$A,Motor!$C:$C)+_xludf.XLOOKUP(_xludf.XLOOKUP(B60,Inventory!$A:$A,Inventory!$D:$D),Frame!$A:$A,Frame!$C:$C)+#REF!,""))</f>
        <v/>
      </c>
      <c r="E60" s="4">
        <v>43911</v>
      </c>
      <c r="F60" s="1" t="s">
        <v>8</v>
      </c>
    </row>
    <row r="61" spans="1:6" x14ac:dyDescent="0.25">
      <c r="A61" s="1" t="s">
        <v>132</v>
      </c>
      <c r="B61" s="1" t="s">
        <v>133</v>
      </c>
      <c r="C61" s="3">
        <v>200</v>
      </c>
      <c r="D61" s="3" t="str">
        <f ca="1">IF(B61="","",IFERROR(_xludf.XLOOKUP(_xludf.XLOOKUP(B61,Inventory!$A:$A,Inventory!$B:$B),Blades!$A:$A,Blades!$C:$C)+_xludf.XLOOKUP(_xludf.XLOOKUP(B61,Inventory!$A:$A,Inventory!$C:$C),Motor!$A:$A,Motor!$C:$C)+_xludf.XLOOKUP(_xludf.XLOOKUP(B61,Inventory!$A:$A,Inventory!$D:$D),Frame!$A:$A,Frame!$C:$C)+#REF!,""))</f>
        <v/>
      </c>
      <c r="E61" s="4">
        <v>43912</v>
      </c>
      <c r="F61" s="1" t="s">
        <v>32</v>
      </c>
    </row>
    <row r="62" spans="1:6" x14ac:dyDescent="0.25">
      <c r="A62" s="1" t="s">
        <v>134</v>
      </c>
      <c r="B62" s="1" t="s">
        <v>135</v>
      </c>
      <c r="C62" s="3">
        <v>200</v>
      </c>
      <c r="D62" s="3" t="str">
        <f ca="1">IF(B62="","",IFERROR(_xludf.XLOOKUP(_xludf.XLOOKUP(B62,Inventory!$A:$A,Inventory!$B:$B),Blades!$A:$A,Blades!$C:$C)+_xludf.XLOOKUP(_xludf.XLOOKUP(B62,Inventory!$A:$A,Inventory!$C:$C),Motor!$A:$A,Motor!$C:$C)+_xludf.XLOOKUP(_xludf.XLOOKUP(B62,Inventory!$A:$A,Inventory!$D:$D),Frame!$A:$A,Frame!$C:$C)+#REF!,""))</f>
        <v/>
      </c>
      <c r="E62" s="4">
        <v>43912</v>
      </c>
      <c r="F62" s="1" t="s">
        <v>49</v>
      </c>
    </row>
    <row r="63" spans="1:6" x14ac:dyDescent="0.25">
      <c r="A63" s="1" t="s">
        <v>136</v>
      </c>
      <c r="B63" s="1" t="s">
        <v>137</v>
      </c>
      <c r="C63" s="3">
        <v>200</v>
      </c>
      <c r="D63" s="3" t="str">
        <f ca="1">IF(B63="","",IFERROR(_xludf.XLOOKUP(_xludf.XLOOKUP(B63,Inventory!$A:$A,Inventory!$B:$B),Blades!$A:$A,Blades!$C:$C)+_xludf.XLOOKUP(_xludf.XLOOKUP(B63,Inventory!$A:$A,Inventory!$C:$C),Motor!$A:$A,Motor!$C:$C)+_xludf.XLOOKUP(_xludf.XLOOKUP(B63,Inventory!$A:$A,Inventory!$D:$D),Frame!$A:$A,Frame!$C:$C)+#REF!,""))</f>
        <v/>
      </c>
      <c r="E63" s="4">
        <v>43913</v>
      </c>
      <c r="F63" s="1" t="s">
        <v>63</v>
      </c>
    </row>
    <row r="64" spans="1:6" x14ac:dyDescent="0.25">
      <c r="A64" s="1" t="s">
        <v>138</v>
      </c>
      <c r="B64" s="1" t="s">
        <v>139</v>
      </c>
      <c r="C64" s="3">
        <v>200</v>
      </c>
      <c r="D64" s="3" t="str">
        <f ca="1">IF(B64="","",IFERROR(_xludf.XLOOKUP(_xludf.XLOOKUP(B64,Inventory!$A:$A,Inventory!$B:$B),Blades!$A:$A,Blades!$C:$C)+_xludf.XLOOKUP(_xludf.XLOOKUP(B64,Inventory!$A:$A,Inventory!$C:$C),Motor!$A:$A,Motor!$C:$C)+_xludf.XLOOKUP(_xludf.XLOOKUP(B64,Inventory!$A:$A,Inventory!$D:$D),Frame!$A:$A,Frame!$C:$C)+#REF!,""))</f>
        <v/>
      </c>
      <c r="E64" s="4">
        <v>43914</v>
      </c>
      <c r="F64" s="1" t="s">
        <v>52</v>
      </c>
    </row>
    <row r="65" spans="1:6" x14ac:dyDescent="0.25">
      <c r="A65" s="1" t="s">
        <v>140</v>
      </c>
      <c r="B65" s="1" t="s">
        <v>141</v>
      </c>
      <c r="C65" s="3">
        <v>200</v>
      </c>
      <c r="D65" s="3" t="str">
        <f ca="1">IF(B65="","",IFERROR(_xludf.XLOOKUP(_xludf.XLOOKUP(B65,Inventory!$A:$A,Inventory!$B:$B),Blades!$A:$A,Blades!$C:$C)+_xludf.XLOOKUP(_xludf.XLOOKUP(B65,Inventory!$A:$A,Inventory!$C:$C),Motor!$A:$A,Motor!$C:$C)+_xludf.XLOOKUP(_xludf.XLOOKUP(B65,Inventory!$A:$A,Inventory!$D:$D),Frame!$A:$A,Frame!$C:$C)+#REF!,""))</f>
        <v/>
      </c>
      <c r="E65" s="4">
        <v>43914</v>
      </c>
      <c r="F65" s="1" t="s">
        <v>8</v>
      </c>
    </row>
    <row r="66" spans="1:6" x14ac:dyDescent="0.25">
      <c r="A66" s="1" t="s">
        <v>142</v>
      </c>
      <c r="B66" s="1" t="s">
        <v>143</v>
      </c>
      <c r="C66" s="3">
        <v>200</v>
      </c>
      <c r="D66" s="3" t="str">
        <f ca="1">IF(B66="","",IFERROR(_xludf.XLOOKUP(_xludf.XLOOKUP(B66,Inventory!$A:$A,Inventory!$B:$B),Blades!$A:$A,Blades!$C:$C)+_xludf.XLOOKUP(_xludf.XLOOKUP(B66,Inventory!$A:$A,Inventory!$C:$C),Motor!$A:$A,Motor!$C:$C)+_xludf.XLOOKUP(_xludf.XLOOKUP(B66,Inventory!$A:$A,Inventory!$D:$D),Frame!$A:$A,Frame!$C:$C)+#REF!,""))</f>
        <v/>
      </c>
      <c r="E66" s="4">
        <v>43915</v>
      </c>
      <c r="F66" s="1" t="s">
        <v>20</v>
      </c>
    </row>
    <row r="67" spans="1:6" x14ac:dyDescent="0.25">
      <c r="A67" s="1" t="s">
        <v>144</v>
      </c>
      <c r="B67" s="1" t="s">
        <v>145</v>
      </c>
      <c r="C67" s="3">
        <v>200</v>
      </c>
      <c r="D67" s="3" t="str">
        <f ca="1">IF(B67="","",IFERROR(_xludf.XLOOKUP(_xludf.XLOOKUP(B67,Inventory!$A:$A,Inventory!$B:$B),Blades!$A:$A,Blades!$C:$C)+_xludf.XLOOKUP(_xludf.XLOOKUP(B67,Inventory!$A:$A,Inventory!$C:$C),Motor!$A:$A,Motor!$C:$C)+_xludf.XLOOKUP(_xludf.XLOOKUP(B67,Inventory!$A:$A,Inventory!$D:$D),Frame!$A:$A,Frame!$C:$C)+#REF!,""))</f>
        <v/>
      </c>
      <c r="E67" s="4">
        <v>43918</v>
      </c>
      <c r="F67" s="1" t="s">
        <v>25</v>
      </c>
    </row>
    <row r="68" spans="1:6" x14ac:dyDescent="0.25">
      <c r="A68" s="1" t="s">
        <v>146</v>
      </c>
      <c r="B68" s="1" t="s">
        <v>147</v>
      </c>
      <c r="C68" s="3">
        <v>200</v>
      </c>
      <c r="D68" s="3" t="str">
        <f ca="1">IF(B68="","",IFERROR(_xludf.XLOOKUP(_xludf.XLOOKUP(B68,Inventory!$A:$A,Inventory!$B:$B),Blades!$A:$A,Blades!$C:$C)+_xludf.XLOOKUP(_xludf.XLOOKUP(B68,Inventory!$A:$A,Inventory!$C:$C),Motor!$A:$A,Motor!$C:$C)+_xludf.XLOOKUP(_xludf.XLOOKUP(B68,Inventory!$A:$A,Inventory!$D:$D),Frame!$A:$A,Frame!$C:$C)+#REF!,""))</f>
        <v/>
      </c>
      <c r="E68" s="4">
        <v>43922</v>
      </c>
      <c r="F68" s="1" t="s">
        <v>20</v>
      </c>
    </row>
    <row r="69" spans="1:6" x14ac:dyDescent="0.25">
      <c r="A69" s="1" t="s">
        <v>148</v>
      </c>
      <c r="B69" s="1" t="s">
        <v>149</v>
      </c>
      <c r="C69" s="3">
        <v>200</v>
      </c>
      <c r="D69" s="3" t="str">
        <f ca="1">IF(B69="","",IFERROR(_xludf.XLOOKUP(_xludf.XLOOKUP(B69,Inventory!$A:$A,Inventory!$B:$B),Blades!$A:$A,Blades!$C:$C)+_xludf.XLOOKUP(_xludf.XLOOKUP(B69,Inventory!$A:$A,Inventory!$C:$C),Motor!$A:$A,Motor!$C:$C)+_xludf.XLOOKUP(_xludf.XLOOKUP(B69,Inventory!$A:$A,Inventory!$D:$D),Frame!$A:$A,Frame!$C:$C)+#REF!,""))</f>
        <v/>
      </c>
      <c r="E69" s="4">
        <v>43929</v>
      </c>
      <c r="F69" s="1" t="s">
        <v>8</v>
      </c>
    </row>
    <row r="70" spans="1:6" x14ac:dyDescent="0.25">
      <c r="A70" s="1" t="s">
        <v>150</v>
      </c>
      <c r="B70" s="1" t="s">
        <v>151</v>
      </c>
      <c r="C70" s="3">
        <v>200</v>
      </c>
      <c r="D70" s="3" t="str">
        <f ca="1">IF(B70="","",IFERROR(_xludf.XLOOKUP(_xludf.XLOOKUP(B70,Inventory!$A:$A,Inventory!$B:$B),Blades!$A:$A,Blades!$C:$C)+_xludf.XLOOKUP(_xludf.XLOOKUP(B70,Inventory!$A:$A,Inventory!$C:$C),Motor!$A:$A,Motor!$C:$C)+_xludf.XLOOKUP(_xludf.XLOOKUP(B70,Inventory!$A:$A,Inventory!$D:$D),Frame!$A:$A,Frame!$C:$C)+#REF!,""))</f>
        <v/>
      </c>
      <c r="E70" s="4">
        <v>43932</v>
      </c>
      <c r="F70" s="1" t="s">
        <v>8</v>
      </c>
    </row>
    <row r="71" spans="1:6" x14ac:dyDescent="0.25">
      <c r="A71" s="1" t="s">
        <v>152</v>
      </c>
      <c r="B71" s="1" t="s">
        <v>153</v>
      </c>
      <c r="C71" s="3">
        <v>200</v>
      </c>
      <c r="D71" s="3" t="str">
        <f ca="1">IF(B71="","",IFERROR(_xludf.XLOOKUP(_xludf.XLOOKUP(B71,Inventory!$A:$A,Inventory!$B:$B),Blades!$A:$A,Blades!$C:$C)+_xludf.XLOOKUP(_xludf.XLOOKUP(B71,Inventory!$A:$A,Inventory!$C:$C),Motor!$A:$A,Motor!$C:$C)+_xludf.XLOOKUP(_xludf.XLOOKUP(B71,Inventory!$A:$A,Inventory!$D:$D),Frame!$A:$A,Frame!$C:$C)+#REF!,""))</f>
        <v/>
      </c>
      <c r="E71" s="4">
        <v>43932</v>
      </c>
      <c r="F71" s="1" t="s">
        <v>49</v>
      </c>
    </row>
    <row r="72" spans="1:6" x14ac:dyDescent="0.25">
      <c r="A72" s="1" t="s">
        <v>154</v>
      </c>
      <c r="B72" s="1" t="s">
        <v>155</v>
      </c>
      <c r="C72" s="3">
        <v>200</v>
      </c>
      <c r="D72" s="3" t="str">
        <f ca="1">IF(B72="","",IFERROR(_xludf.XLOOKUP(_xludf.XLOOKUP(B72,Inventory!$A:$A,Inventory!$B:$B),Blades!$A:$A,Blades!$C:$C)+_xludf.XLOOKUP(_xludf.XLOOKUP(B72,Inventory!$A:$A,Inventory!$C:$C),Motor!$A:$A,Motor!$C:$C)+_xludf.XLOOKUP(_xludf.XLOOKUP(B72,Inventory!$A:$A,Inventory!$D:$D),Frame!$A:$A,Frame!$C:$C)+#REF!,""))</f>
        <v/>
      </c>
      <c r="E72" s="4">
        <v>43933</v>
      </c>
      <c r="F72" s="1" t="s">
        <v>20</v>
      </c>
    </row>
    <row r="73" spans="1:6" x14ac:dyDescent="0.25">
      <c r="A73" s="1" t="s">
        <v>156</v>
      </c>
      <c r="B73" s="1" t="s">
        <v>157</v>
      </c>
      <c r="C73" s="3">
        <v>200</v>
      </c>
      <c r="D73" s="3" t="str">
        <f ca="1">IF(B73="","",IFERROR(_xludf.XLOOKUP(_xludf.XLOOKUP(B73,Inventory!$A:$A,Inventory!$B:$B),Blades!$A:$A,Blades!$C:$C)+_xludf.XLOOKUP(_xludf.XLOOKUP(B73,Inventory!$A:$A,Inventory!$C:$C),Motor!$A:$A,Motor!$C:$C)+_xludf.XLOOKUP(_xludf.XLOOKUP(B73,Inventory!$A:$A,Inventory!$D:$D),Frame!$A:$A,Frame!$C:$C)+#REF!,""))</f>
        <v/>
      </c>
      <c r="E73" s="4">
        <v>43938</v>
      </c>
      <c r="F73" s="1" t="s">
        <v>8</v>
      </c>
    </row>
    <row r="74" spans="1:6" x14ac:dyDescent="0.25">
      <c r="A74" s="1" t="s">
        <v>158</v>
      </c>
      <c r="B74" s="1" t="s">
        <v>159</v>
      </c>
      <c r="C74" s="3">
        <v>200</v>
      </c>
      <c r="D74" s="3" t="str">
        <f ca="1">IF(B74="","",IFERROR(_xludf.XLOOKUP(_xludf.XLOOKUP(B74,Inventory!$A:$A,Inventory!$B:$B),Blades!$A:$A,Blades!$C:$C)+_xludf.XLOOKUP(_xludf.XLOOKUP(B74,Inventory!$A:$A,Inventory!$C:$C),Motor!$A:$A,Motor!$C:$C)+_xludf.XLOOKUP(_xludf.XLOOKUP(B74,Inventory!$A:$A,Inventory!$D:$D),Frame!$A:$A,Frame!$C:$C)+#REF!,""))</f>
        <v/>
      </c>
      <c r="E74" s="4">
        <v>43939</v>
      </c>
      <c r="F74" s="1" t="s">
        <v>63</v>
      </c>
    </row>
    <row r="75" spans="1:6" x14ac:dyDescent="0.25">
      <c r="A75" s="1" t="s">
        <v>160</v>
      </c>
      <c r="B75" s="1" t="s">
        <v>161</v>
      </c>
      <c r="C75" s="3">
        <v>200</v>
      </c>
      <c r="D75" s="3" t="str">
        <f ca="1">IF(B75="","",IFERROR(_xludf.XLOOKUP(_xludf.XLOOKUP(B75,Inventory!$A:$A,Inventory!$B:$B),Blades!$A:$A,Blades!$C:$C)+_xludf.XLOOKUP(_xludf.XLOOKUP(B75,Inventory!$A:$A,Inventory!$C:$C),Motor!$A:$A,Motor!$C:$C)+_xludf.XLOOKUP(_xludf.XLOOKUP(B75,Inventory!$A:$A,Inventory!$D:$D),Frame!$A:$A,Frame!$C:$C)+#REF!,""))</f>
        <v/>
      </c>
      <c r="E75" s="4">
        <v>43939</v>
      </c>
      <c r="F75" s="1" t="s">
        <v>63</v>
      </c>
    </row>
    <row r="76" spans="1:6" x14ac:dyDescent="0.25">
      <c r="A76" s="1" t="s">
        <v>162</v>
      </c>
      <c r="B76" s="1" t="s">
        <v>163</v>
      </c>
      <c r="C76" s="3">
        <v>200</v>
      </c>
      <c r="D76" s="3" t="str">
        <f ca="1">IF(B76="","",IFERROR(_xludf.XLOOKUP(_xludf.XLOOKUP(B76,Inventory!$A:$A,Inventory!$B:$B),Blades!$A:$A,Blades!$C:$C)+_xludf.XLOOKUP(_xludf.XLOOKUP(B76,Inventory!$A:$A,Inventory!$C:$C),Motor!$A:$A,Motor!$C:$C)+_xludf.XLOOKUP(_xludf.XLOOKUP(B76,Inventory!$A:$A,Inventory!$D:$D),Frame!$A:$A,Frame!$C:$C)+#REF!,""))</f>
        <v/>
      </c>
      <c r="E76" s="4">
        <v>43939</v>
      </c>
      <c r="F76" s="1" t="s">
        <v>49</v>
      </c>
    </row>
    <row r="77" spans="1:6" x14ac:dyDescent="0.25">
      <c r="A77" s="1" t="s">
        <v>164</v>
      </c>
      <c r="B77" s="1" t="s">
        <v>165</v>
      </c>
      <c r="C77" s="3">
        <v>200</v>
      </c>
      <c r="D77" s="3" t="str">
        <f ca="1">IF(B77="","",IFERROR(_xludf.XLOOKUP(_xludf.XLOOKUP(B77,Inventory!$A:$A,Inventory!$B:$B),Blades!$A:$A,Blades!$C:$C)+_xludf.XLOOKUP(_xludf.XLOOKUP(B77,Inventory!$A:$A,Inventory!$C:$C),Motor!$A:$A,Motor!$C:$C)+_xludf.XLOOKUP(_xludf.XLOOKUP(B77,Inventory!$A:$A,Inventory!$D:$D),Frame!$A:$A,Frame!$C:$C)+#REF!,""))</f>
        <v/>
      </c>
      <c r="E77" s="4">
        <v>43940</v>
      </c>
      <c r="F77" s="1" t="s">
        <v>52</v>
      </c>
    </row>
    <row r="78" spans="1:6" x14ac:dyDescent="0.25">
      <c r="A78" s="1" t="s">
        <v>166</v>
      </c>
      <c r="B78" s="1" t="s">
        <v>167</v>
      </c>
      <c r="C78" s="3">
        <v>200</v>
      </c>
      <c r="D78" s="3" t="str">
        <f ca="1">IF(B78="","",IFERROR(_xludf.XLOOKUP(_xludf.XLOOKUP(B78,Inventory!$A:$A,Inventory!$B:$B),Blades!$A:$A,Blades!$C:$C)+_xludf.XLOOKUP(_xludf.XLOOKUP(B78,Inventory!$A:$A,Inventory!$C:$C),Motor!$A:$A,Motor!$C:$C)+_xludf.XLOOKUP(_xludf.XLOOKUP(B78,Inventory!$A:$A,Inventory!$D:$D),Frame!$A:$A,Frame!$C:$C)+#REF!,""))</f>
        <v/>
      </c>
      <c r="E78" s="4">
        <v>43941</v>
      </c>
      <c r="F78" s="1" t="s">
        <v>20</v>
      </c>
    </row>
    <row r="79" spans="1:6" x14ac:dyDescent="0.25">
      <c r="A79" s="1" t="s">
        <v>168</v>
      </c>
      <c r="B79" s="1" t="s">
        <v>169</v>
      </c>
      <c r="C79" s="3">
        <v>200</v>
      </c>
      <c r="D79" s="3" t="str">
        <f ca="1">IF(B79="","",IFERROR(_xludf.XLOOKUP(_xludf.XLOOKUP(B79,Inventory!$A:$A,Inventory!$B:$B),Blades!$A:$A,Blades!$C:$C)+_xludf.XLOOKUP(_xludf.XLOOKUP(B79,Inventory!$A:$A,Inventory!$C:$C),Motor!$A:$A,Motor!$C:$C)+_xludf.XLOOKUP(_xludf.XLOOKUP(B79,Inventory!$A:$A,Inventory!$D:$D),Frame!$A:$A,Frame!$C:$C)+#REF!,""))</f>
        <v/>
      </c>
      <c r="E79" s="4">
        <v>43942</v>
      </c>
      <c r="F79" s="1" t="s">
        <v>52</v>
      </c>
    </row>
    <row r="80" spans="1:6" x14ac:dyDescent="0.25">
      <c r="A80" s="1" t="s">
        <v>170</v>
      </c>
      <c r="B80" s="1" t="s">
        <v>171</v>
      </c>
      <c r="C80" s="3">
        <v>200</v>
      </c>
      <c r="D80" s="3" t="str">
        <f ca="1">IF(B80="","",IFERROR(_xludf.XLOOKUP(_xludf.XLOOKUP(B80,Inventory!$A:$A,Inventory!$B:$B),Blades!$A:$A,Blades!$C:$C)+_xludf.XLOOKUP(_xludf.XLOOKUP(B80,Inventory!$A:$A,Inventory!$C:$C),Motor!$A:$A,Motor!$C:$C)+_xludf.XLOOKUP(_xludf.XLOOKUP(B80,Inventory!$A:$A,Inventory!$D:$D),Frame!$A:$A,Frame!$C:$C)+#REF!,""))</f>
        <v/>
      </c>
      <c r="E80" s="4">
        <v>43943</v>
      </c>
      <c r="F80" s="1" t="s">
        <v>25</v>
      </c>
    </row>
    <row r="81" spans="1:6" x14ac:dyDescent="0.25">
      <c r="A81" s="1" t="s">
        <v>172</v>
      </c>
      <c r="B81" s="1" t="s">
        <v>173</v>
      </c>
      <c r="C81" s="3">
        <v>200</v>
      </c>
      <c r="D81" s="3" t="str">
        <f ca="1">IF(B81="","",IFERROR(_xludf.XLOOKUP(_xludf.XLOOKUP(B81,Inventory!$A:$A,Inventory!$B:$B),Blades!$A:$A,Blades!$C:$C)+_xludf.XLOOKUP(_xludf.XLOOKUP(B81,Inventory!$A:$A,Inventory!$C:$C),Motor!$A:$A,Motor!$C:$C)+_xludf.XLOOKUP(_xludf.XLOOKUP(B81,Inventory!$A:$A,Inventory!$D:$D),Frame!$A:$A,Frame!$C:$C)+#REF!,""))</f>
        <v/>
      </c>
      <c r="E81" s="4">
        <v>43943</v>
      </c>
      <c r="F81" s="1" t="s">
        <v>25</v>
      </c>
    </row>
    <row r="82" spans="1:6" x14ac:dyDescent="0.25">
      <c r="A82" s="1" t="s">
        <v>174</v>
      </c>
      <c r="B82" s="1" t="s">
        <v>175</v>
      </c>
      <c r="C82" s="3">
        <v>200</v>
      </c>
      <c r="D82" s="3" t="str">
        <f ca="1">IF(B82="","",IFERROR(_xludf.XLOOKUP(_xludf.XLOOKUP(B82,Inventory!$A:$A,Inventory!$B:$B),Blades!$A:$A,Blades!$C:$C)+_xludf.XLOOKUP(_xludf.XLOOKUP(B82,Inventory!$A:$A,Inventory!$C:$C),Motor!$A:$A,Motor!$C:$C)+_xludf.XLOOKUP(_xludf.XLOOKUP(B82,Inventory!$A:$A,Inventory!$D:$D),Frame!$A:$A,Frame!$C:$C)+#REF!,""))</f>
        <v/>
      </c>
      <c r="E82" s="4">
        <v>43943</v>
      </c>
      <c r="F82" s="1" t="s">
        <v>20</v>
      </c>
    </row>
    <row r="83" spans="1:6" x14ac:dyDescent="0.25">
      <c r="A83" s="1" t="s">
        <v>176</v>
      </c>
      <c r="B83" s="1" t="s">
        <v>177</v>
      </c>
      <c r="C83" s="3">
        <v>200</v>
      </c>
      <c r="D83" s="3" t="str">
        <f ca="1">IF(B83="","",IFERROR(_xludf.XLOOKUP(_xludf.XLOOKUP(B83,Inventory!$A:$A,Inventory!$B:$B),Blades!$A:$A,Blades!$C:$C)+_xludf.XLOOKUP(_xludf.XLOOKUP(B83,Inventory!$A:$A,Inventory!$C:$C),Motor!$A:$A,Motor!$C:$C)+_xludf.XLOOKUP(_xludf.XLOOKUP(B83,Inventory!$A:$A,Inventory!$D:$D),Frame!$A:$A,Frame!$C:$C)+#REF!,""))</f>
        <v/>
      </c>
      <c r="E83" s="4">
        <v>43943</v>
      </c>
      <c r="F83" s="1" t="s">
        <v>52</v>
      </c>
    </row>
    <row r="84" spans="1:6" x14ac:dyDescent="0.25">
      <c r="A84" s="1" t="s">
        <v>178</v>
      </c>
      <c r="B84" s="1" t="s">
        <v>179</v>
      </c>
      <c r="C84" s="3">
        <v>200</v>
      </c>
      <c r="D84" s="3" t="str">
        <f ca="1">IF(B84="","",IFERROR(_xludf.XLOOKUP(_xludf.XLOOKUP(B84,Inventory!$A:$A,Inventory!$B:$B),Blades!$A:$A,Blades!$C:$C)+_xludf.XLOOKUP(_xludf.XLOOKUP(B84,Inventory!$A:$A,Inventory!$C:$C),Motor!$A:$A,Motor!$C:$C)+_xludf.XLOOKUP(_xludf.XLOOKUP(B84,Inventory!$A:$A,Inventory!$D:$D),Frame!$A:$A,Frame!$C:$C)+#REF!,""))</f>
        <v/>
      </c>
      <c r="E84" s="4">
        <v>43945</v>
      </c>
      <c r="F84" s="1" t="s">
        <v>20</v>
      </c>
    </row>
    <row r="85" spans="1:6" x14ac:dyDescent="0.25">
      <c r="A85" s="1" t="s">
        <v>180</v>
      </c>
      <c r="B85" s="1" t="s">
        <v>181</v>
      </c>
      <c r="C85" s="3">
        <v>200</v>
      </c>
      <c r="D85" s="3" t="str">
        <f ca="1">IF(B85="","",IFERROR(_xludf.XLOOKUP(_xludf.XLOOKUP(B85,Inventory!$A:$A,Inventory!$B:$B),Blades!$A:$A,Blades!$C:$C)+_xludf.XLOOKUP(_xludf.XLOOKUP(B85,Inventory!$A:$A,Inventory!$C:$C),Motor!$A:$A,Motor!$C:$C)+_xludf.XLOOKUP(_xludf.XLOOKUP(B85,Inventory!$A:$A,Inventory!$D:$D),Frame!$A:$A,Frame!$C:$C)+#REF!,""))</f>
        <v/>
      </c>
      <c r="E85" s="4">
        <v>43946</v>
      </c>
      <c r="F85" s="1" t="s">
        <v>32</v>
      </c>
    </row>
    <row r="86" spans="1:6" x14ac:dyDescent="0.25">
      <c r="A86" s="1" t="s">
        <v>182</v>
      </c>
      <c r="B86" s="1" t="s">
        <v>183</v>
      </c>
      <c r="C86" s="3">
        <v>200</v>
      </c>
      <c r="D86" s="3" t="str">
        <f ca="1">IF(B86="","",IFERROR(_xludf.XLOOKUP(_xludf.XLOOKUP(B86,Inventory!$A:$A,Inventory!$B:$B),Blades!$A:$A,Blades!$C:$C)+_xludf.XLOOKUP(_xludf.XLOOKUP(B86,Inventory!$A:$A,Inventory!$C:$C),Motor!$A:$A,Motor!$C:$C)+_xludf.XLOOKUP(_xludf.XLOOKUP(B86,Inventory!$A:$A,Inventory!$D:$D),Frame!$A:$A,Frame!$C:$C)+#REF!,""))</f>
        <v/>
      </c>
      <c r="E86" s="4">
        <v>43947</v>
      </c>
      <c r="F86" s="1" t="s">
        <v>25</v>
      </c>
    </row>
    <row r="87" spans="1:6" x14ac:dyDescent="0.25">
      <c r="A87" s="1" t="s">
        <v>184</v>
      </c>
      <c r="B87" s="1" t="s">
        <v>185</v>
      </c>
      <c r="C87" s="3">
        <v>200</v>
      </c>
      <c r="D87" s="3" t="str">
        <f ca="1">IF(B87="","",IFERROR(_xludf.XLOOKUP(_xludf.XLOOKUP(B87,Inventory!$A:$A,Inventory!$B:$B),Blades!$A:$A,Blades!$C:$C)+_xludf.XLOOKUP(_xludf.XLOOKUP(B87,Inventory!$A:$A,Inventory!$C:$C),Motor!$A:$A,Motor!$C:$C)+_xludf.XLOOKUP(_xludf.XLOOKUP(B87,Inventory!$A:$A,Inventory!$D:$D),Frame!$A:$A,Frame!$C:$C)+#REF!,""))</f>
        <v/>
      </c>
      <c r="E87" s="4">
        <v>43948</v>
      </c>
      <c r="F87" s="1" t="s">
        <v>11</v>
      </c>
    </row>
    <row r="88" spans="1:6" x14ac:dyDescent="0.25">
      <c r="A88" s="1" t="s">
        <v>186</v>
      </c>
      <c r="B88" s="1" t="s">
        <v>187</v>
      </c>
      <c r="C88" s="3">
        <v>200</v>
      </c>
      <c r="D88" s="3" t="str">
        <f ca="1">IF(B88="","",IFERROR(_xludf.XLOOKUP(_xludf.XLOOKUP(B88,Inventory!$A:$A,Inventory!$B:$B),Blades!$A:$A,Blades!$C:$C)+_xludf.XLOOKUP(_xludf.XLOOKUP(B88,Inventory!$A:$A,Inventory!$C:$C),Motor!$A:$A,Motor!$C:$C)+_xludf.XLOOKUP(_xludf.XLOOKUP(B88,Inventory!$A:$A,Inventory!$D:$D),Frame!$A:$A,Frame!$C:$C)+#REF!,""))</f>
        <v/>
      </c>
      <c r="E88" s="4">
        <v>43948</v>
      </c>
      <c r="F88" s="1" t="s">
        <v>25</v>
      </c>
    </row>
    <row r="89" spans="1:6" x14ac:dyDescent="0.25">
      <c r="A89" s="1" t="s">
        <v>188</v>
      </c>
      <c r="B89" s="1" t="s">
        <v>189</v>
      </c>
      <c r="C89" s="3">
        <v>200</v>
      </c>
      <c r="D89" s="3" t="str">
        <f ca="1">IF(B89="","",IFERROR(_xludf.XLOOKUP(_xludf.XLOOKUP(B89,Inventory!$A:$A,Inventory!$B:$B),Blades!$A:$A,Blades!$C:$C)+_xludf.XLOOKUP(_xludf.XLOOKUP(B89,Inventory!$A:$A,Inventory!$C:$C),Motor!$A:$A,Motor!$C:$C)+_xludf.XLOOKUP(_xludf.XLOOKUP(B89,Inventory!$A:$A,Inventory!$D:$D),Frame!$A:$A,Frame!$C:$C)+#REF!,""))</f>
        <v/>
      </c>
      <c r="E89" s="4">
        <v>43948</v>
      </c>
      <c r="F89" s="1" t="s">
        <v>49</v>
      </c>
    </row>
    <row r="90" spans="1:6" x14ac:dyDescent="0.25">
      <c r="A90" s="1" t="s">
        <v>190</v>
      </c>
      <c r="B90" s="1" t="s">
        <v>191</v>
      </c>
      <c r="C90" s="3">
        <v>200</v>
      </c>
      <c r="D90" s="3" t="str">
        <f ca="1">IF(B90="","",IFERROR(_xludf.XLOOKUP(_xludf.XLOOKUP(B90,Inventory!$A:$A,Inventory!$B:$B),Blades!$A:$A,Blades!$C:$C)+_xludf.XLOOKUP(_xludf.XLOOKUP(B90,Inventory!$A:$A,Inventory!$C:$C),Motor!$A:$A,Motor!$C:$C)+_xludf.XLOOKUP(_xludf.XLOOKUP(B90,Inventory!$A:$A,Inventory!$D:$D),Frame!$A:$A,Frame!$C:$C)+#REF!,""))</f>
        <v/>
      </c>
      <c r="E90" s="4">
        <v>43950</v>
      </c>
      <c r="F90" s="1" t="s">
        <v>20</v>
      </c>
    </row>
    <row r="91" spans="1:6" x14ac:dyDescent="0.25">
      <c r="A91" s="1" t="s">
        <v>192</v>
      </c>
      <c r="B91" s="1" t="s">
        <v>193</v>
      </c>
      <c r="C91" s="3">
        <v>200</v>
      </c>
      <c r="D91" s="3" t="str">
        <f ca="1">IF(B91="","",IFERROR(_xludf.XLOOKUP(_xludf.XLOOKUP(B91,Inventory!$A:$A,Inventory!$B:$B),Blades!$A:$A,Blades!$C:$C)+_xludf.XLOOKUP(_xludf.XLOOKUP(B91,Inventory!$A:$A,Inventory!$C:$C),Motor!$A:$A,Motor!$C:$C)+_xludf.XLOOKUP(_xludf.XLOOKUP(B91,Inventory!$A:$A,Inventory!$D:$D),Frame!$A:$A,Frame!$C:$C)+#REF!,""))</f>
        <v/>
      </c>
      <c r="E91" s="4">
        <v>43950</v>
      </c>
      <c r="F91" s="1" t="s">
        <v>25</v>
      </c>
    </row>
    <row r="92" spans="1:6" x14ac:dyDescent="0.25">
      <c r="A92" s="1" t="s">
        <v>194</v>
      </c>
      <c r="B92" s="1" t="s">
        <v>195</v>
      </c>
      <c r="C92" s="3">
        <v>200</v>
      </c>
      <c r="D92" s="3" t="str">
        <f ca="1">IF(B92="","",IFERROR(_xludf.XLOOKUP(_xludf.XLOOKUP(B92,Inventory!$A:$A,Inventory!$B:$B),Blades!$A:$A,Blades!$C:$C)+_xludf.XLOOKUP(_xludf.XLOOKUP(B92,Inventory!$A:$A,Inventory!$C:$C),Motor!$A:$A,Motor!$C:$C)+_xludf.XLOOKUP(_xludf.XLOOKUP(B92,Inventory!$A:$A,Inventory!$D:$D),Frame!$A:$A,Frame!$C:$C)+#REF!,""))</f>
        <v/>
      </c>
      <c r="E92" s="4">
        <v>43952</v>
      </c>
      <c r="F92" s="1" t="s">
        <v>25</v>
      </c>
    </row>
    <row r="93" spans="1:6" x14ac:dyDescent="0.25">
      <c r="A93" s="1" t="s">
        <v>196</v>
      </c>
      <c r="B93" s="1" t="s">
        <v>197</v>
      </c>
      <c r="C93" s="3">
        <v>200</v>
      </c>
      <c r="D93" s="3" t="str">
        <f ca="1">IF(B93="","",IFERROR(_xludf.XLOOKUP(_xludf.XLOOKUP(B93,Inventory!$A:$A,Inventory!$B:$B),Blades!$A:$A,Blades!$C:$C)+_xludf.XLOOKUP(_xludf.XLOOKUP(B93,Inventory!$A:$A,Inventory!$C:$C),Motor!$A:$A,Motor!$C:$C)+_xludf.XLOOKUP(_xludf.XLOOKUP(B93,Inventory!$A:$A,Inventory!$D:$D),Frame!$A:$A,Frame!$C:$C)+#REF!,""))</f>
        <v/>
      </c>
      <c r="E93" s="4">
        <v>43953</v>
      </c>
      <c r="F93" s="1" t="s">
        <v>25</v>
      </c>
    </row>
    <row r="94" spans="1:6" x14ac:dyDescent="0.25">
      <c r="A94" s="1" t="s">
        <v>198</v>
      </c>
      <c r="B94" s="1" t="s">
        <v>199</v>
      </c>
      <c r="C94" s="3">
        <v>200</v>
      </c>
      <c r="D94" s="3" t="str">
        <f ca="1">IF(B94="","",IFERROR(_xludf.XLOOKUP(_xludf.XLOOKUP(B94,Inventory!$A:$A,Inventory!$B:$B),Blades!$A:$A,Blades!$C:$C)+_xludf.XLOOKUP(_xludf.XLOOKUP(B94,Inventory!$A:$A,Inventory!$C:$C),Motor!$A:$A,Motor!$C:$C)+_xludf.XLOOKUP(_xludf.XLOOKUP(B94,Inventory!$A:$A,Inventory!$D:$D),Frame!$A:$A,Frame!$C:$C)+#REF!,""))</f>
        <v/>
      </c>
      <c r="E94" s="4">
        <v>43954</v>
      </c>
      <c r="F94" s="1" t="s">
        <v>11</v>
      </c>
    </row>
    <row r="95" spans="1:6" x14ac:dyDescent="0.25">
      <c r="A95" s="1" t="s">
        <v>200</v>
      </c>
      <c r="B95" s="1" t="s">
        <v>201</v>
      </c>
      <c r="C95" s="3">
        <v>200</v>
      </c>
      <c r="D95" s="3" t="str">
        <f ca="1">IF(B95="","",IFERROR(_xludf.XLOOKUP(_xludf.XLOOKUP(B95,Inventory!$A:$A,Inventory!$B:$B),Blades!$A:$A,Blades!$C:$C)+_xludf.XLOOKUP(_xludf.XLOOKUP(B95,Inventory!$A:$A,Inventory!$C:$C),Motor!$A:$A,Motor!$C:$C)+_xludf.XLOOKUP(_xludf.XLOOKUP(B95,Inventory!$A:$A,Inventory!$D:$D),Frame!$A:$A,Frame!$C:$C)+#REF!,""))</f>
        <v/>
      </c>
      <c r="E95" s="4">
        <v>43956</v>
      </c>
      <c r="F95" s="1" t="s">
        <v>49</v>
      </c>
    </row>
    <row r="96" spans="1:6" x14ac:dyDescent="0.25">
      <c r="A96" s="1" t="s">
        <v>202</v>
      </c>
      <c r="B96" s="1" t="s">
        <v>203</v>
      </c>
      <c r="C96" s="3">
        <v>200</v>
      </c>
      <c r="D96" s="3" t="str">
        <f ca="1">IF(B96="","",IFERROR(_xludf.XLOOKUP(_xludf.XLOOKUP(B96,Inventory!$A:$A,Inventory!$B:$B),Blades!$A:$A,Blades!$C:$C)+_xludf.XLOOKUP(_xludf.XLOOKUP(B96,Inventory!$A:$A,Inventory!$C:$C),Motor!$A:$A,Motor!$C:$C)+_xludf.XLOOKUP(_xludf.XLOOKUP(B96,Inventory!$A:$A,Inventory!$D:$D),Frame!$A:$A,Frame!$C:$C)+#REF!,""))</f>
        <v/>
      </c>
      <c r="E96" s="4">
        <v>43956</v>
      </c>
      <c r="F96" s="1" t="s">
        <v>11</v>
      </c>
    </row>
    <row r="97" spans="1:6" x14ac:dyDescent="0.25">
      <c r="A97" s="1" t="s">
        <v>204</v>
      </c>
      <c r="B97" s="1" t="s">
        <v>205</v>
      </c>
      <c r="C97" s="3">
        <v>200</v>
      </c>
      <c r="D97" s="3" t="str">
        <f ca="1">IF(B97="","",IFERROR(_xludf.XLOOKUP(_xludf.XLOOKUP(B97,Inventory!$A:$A,Inventory!$B:$B),Blades!$A:$A,Blades!$C:$C)+_xludf.XLOOKUP(_xludf.XLOOKUP(B97,Inventory!$A:$A,Inventory!$C:$C),Motor!$A:$A,Motor!$C:$C)+_xludf.XLOOKUP(_xludf.XLOOKUP(B97,Inventory!$A:$A,Inventory!$D:$D),Frame!$A:$A,Frame!$C:$C)+#REF!,""))</f>
        <v/>
      </c>
      <c r="E97" s="4">
        <v>43957</v>
      </c>
      <c r="F97" s="1" t="s">
        <v>25</v>
      </c>
    </row>
    <row r="98" spans="1:6" x14ac:dyDescent="0.25">
      <c r="A98" s="1" t="s">
        <v>206</v>
      </c>
      <c r="B98" s="1" t="s">
        <v>207</v>
      </c>
      <c r="C98" s="3">
        <v>200</v>
      </c>
      <c r="D98" s="3" t="str">
        <f ca="1">IF(B98="","",IFERROR(_xludf.XLOOKUP(_xludf.XLOOKUP(B98,Inventory!$A:$A,Inventory!$B:$B),Blades!$A:$A,Blades!$C:$C)+_xludf.XLOOKUP(_xludf.XLOOKUP(B98,Inventory!$A:$A,Inventory!$C:$C),Motor!$A:$A,Motor!$C:$C)+_xludf.XLOOKUP(_xludf.XLOOKUP(B98,Inventory!$A:$A,Inventory!$D:$D),Frame!$A:$A,Frame!$C:$C)+#REF!,""))</f>
        <v/>
      </c>
      <c r="E98" s="4">
        <v>43957</v>
      </c>
      <c r="F98" s="1" t="s">
        <v>20</v>
      </c>
    </row>
    <row r="99" spans="1:6" x14ac:dyDescent="0.25">
      <c r="A99" s="1" t="s">
        <v>208</v>
      </c>
      <c r="B99" s="1" t="s">
        <v>209</v>
      </c>
      <c r="C99" s="3">
        <v>200</v>
      </c>
      <c r="D99" s="3" t="str">
        <f ca="1">IF(B99="","",IFERROR(_xludf.XLOOKUP(_xludf.XLOOKUP(B99,Inventory!$A:$A,Inventory!$B:$B),Blades!$A:$A,Blades!$C:$C)+_xludf.XLOOKUP(_xludf.XLOOKUP(B99,Inventory!$A:$A,Inventory!$C:$C),Motor!$A:$A,Motor!$C:$C)+_xludf.XLOOKUP(_xludf.XLOOKUP(B99,Inventory!$A:$A,Inventory!$D:$D),Frame!$A:$A,Frame!$C:$C)+#REF!,""))</f>
        <v/>
      </c>
      <c r="E99" s="4">
        <v>43959</v>
      </c>
      <c r="F99" s="1" t="s">
        <v>52</v>
      </c>
    </row>
    <row r="100" spans="1:6" x14ac:dyDescent="0.25">
      <c r="A100" s="1" t="s">
        <v>210</v>
      </c>
      <c r="B100" s="1" t="s">
        <v>211</v>
      </c>
      <c r="C100" s="3">
        <v>200</v>
      </c>
      <c r="D100" s="3" t="str">
        <f ca="1">IF(B100="","",IFERROR(_xludf.XLOOKUP(_xludf.XLOOKUP(B100,Inventory!$A:$A,Inventory!$B:$B),Blades!$A:$A,Blades!$C:$C)+_xludf.XLOOKUP(_xludf.XLOOKUP(B100,Inventory!$A:$A,Inventory!$C:$C),Motor!$A:$A,Motor!$C:$C)+_xludf.XLOOKUP(_xludf.XLOOKUP(B100,Inventory!$A:$A,Inventory!$D:$D),Frame!$A:$A,Frame!$C:$C)+#REF!,""))</f>
        <v/>
      </c>
      <c r="E100" s="4">
        <v>43965</v>
      </c>
      <c r="F100" s="1" t="s">
        <v>11</v>
      </c>
    </row>
    <row r="101" spans="1:6" x14ac:dyDescent="0.25">
      <c r="A101" s="1" t="s">
        <v>212</v>
      </c>
      <c r="B101" s="1" t="s">
        <v>213</v>
      </c>
      <c r="C101" s="3">
        <v>200</v>
      </c>
      <c r="D101" s="3" t="str">
        <f ca="1">IF(B101="","",IFERROR(_xludf.XLOOKUP(_xludf.XLOOKUP(B101,Inventory!$A:$A,Inventory!$B:$B),Blades!$A:$A,Blades!$C:$C)+_xludf.XLOOKUP(_xludf.XLOOKUP(B101,Inventory!$A:$A,Inventory!$C:$C),Motor!$A:$A,Motor!$C:$C)+_xludf.XLOOKUP(_xludf.XLOOKUP(B101,Inventory!$A:$A,Inventory!$D:$D),Frame!$A:$A,Frame!$C:$C)+#REF!,""))</f>
        <v/>
      </c>
      <c r="E101" s="4">
        <v>43965</v>
      </c>
      <c r="F101" s="1" t="s">
        <v>20</v>
      </c>
    </row>
    <row r="102" spans="1:6" x14ac:dyDescent="0.25">
      <c r="A102" s="1" t="s">
        <v>214</v>
      </c>
      <c r="B102" s="1" t="s">
        <v>215</v>
      </c>
      <c r="C102" s="3">
        <v>200</v>
      </c>
      <c r="D102" s="3" t="str">
        <f ca="1">IF(B102="","",IFERROR(_xludf.XLOOKUP(_xludf.XLOOKUP(B102,Inventory!$A:$A,Inventory!$B:$B),Blades!$A:$A,Blades!$C:$C)+_xludf.XLOOKUP(_xludf.XLOOKUP(B102,Inventory!$A:$A,Inventory!$C:$C),Motor!$A:$A,Motor!$C:$C)+_xludf.XLOOKUP(_xludf.XLOOKUP(B102,Inventory!$A:$A,Inventory!$D:$D),Frame!$A:$A,Frame!$C:$C)+#REF!,""))</f>
        <v/>
      </c>
      <c r="E102" s="4">
        <v>43966</v>
      </c>
      <c r="F102" s="1" t="s">
        <v>25</v>
      </c>
    </row>
    <row r="103" spans="1:6" x14ac:dyDescent="0.25">
      <c r="A103" s="1" t="s">
        <v>216</v>
      </c>
      <c r="B103" s="1" t="s">
        <v>217</v>
      </c>
      <c r="C103" s="3">
        <v>200</v>
      </c>
      <c r="D103" s="3" t="str">
        <f ca="1">IF(B103="","",IFERROR(_xludf.XLOOKUP(_xludf.XLOOKUP(B103,Inventory!$A:$A,Inventory!$B:$B),Blades!$A:$A,Blades!$C:$C)+_xludf.XLOOKUP(_xludf.XLOOKUP(B103,Inventory!$A:$A,Inventory!$C:$C),Motor!$A:$A,Motor!$C:$C)+_xludf.XLOOKUP(_xludf.XLOOKUP(B103,Inventory!$A:$A,Inventory!$D:$D),Frame!$A:$A,Frame!$C:$C)+#REF!,""))</f>
        <v/>
      </c>
      <c r="E103" s="4">
        <v>43966</v>
      </c>
      <c r="F103" s="1" t="s">
        <v>49</v>
      </c>
    </row>
    <row r="104" spans="1:6" x14ac:dyDescent="0.25">
      <c r="A104" s="1" t="s">
        <v>218</v>
      </c>
      <c r="B104" s="1" t="s">
        <v>219</v>
      </c>
      <c r="C104" s="3">
        <v>200</v>
      </c>
      <c r="D104" s="3" t="str">
        <f ca="1">IF(B104="","",IFERROR(_xludf.XLOOKUP(_xludf.XLOOKUP(B104,Inventory!$A:$A,Inventory!$B:$B),Blades!$A:$A,Blades!$C:$C)+_xludf.XLOOKUP(_xludf.XLOOKUP(B104,Inventory!$A:$A,Inventory!$C:$C),Motor!$A:$A,Motor!$C:$C)+_xludf.XLOOKUP(_xludf.XLOOKUP(B104,Inventory!$A:$A,Inventory!$D:$D),Frame!$A:$A,Frame!$C:$C)+#REF!,""))</f>
        <v/>
      </c>
      <c r="E104" s="4">
        <v>43966</v>
      </c>
      <c r="F104" s="1" t="s">
        <v>20</v>
      </c>
    </row>
    <row r="105" spans="1:6" x14ac:dyDescent="0.25">
      <c r="A105" s="1" t="s">
        <v>220</v>
      </c>
      <c r="B105" s="1" t="s">
        <v>221</v>
      </c>
      <c r="C105" s="3">
        <v>200</v>
      </c>
      <c r="D105" s="3" t="str">
        <f ca="1">IF(B105="","",IFERROR(_xludf.XLOOKUP(_xludf.XLOOKUP(B105,Inventory!$A:$A,Inventory!$B:$B),Blades!$A:$A,Blades!$C:$C)+_xludf.XLOOKUP(_xludf.XLOOKUP(B105,Inventory!$A:$A,Inventory!$C:$C),Motor!$A:$A,Motor!$C:$C)+_xludf.XLOOKUP(_xludf.XLOOKUP(B105,Inventory!$A:$A,Inventory!$D:$D),Frame!$A:$A,Frame!$C:$C)+#REF!,""))</f>
        <v/>
      </c>
      <c r="E105" s="4">
        <v>43967</v>
      </c>
      <c r="F105" s="1" t="s">
        <v>8</v>
      </c>
    </row>
    <row r="106" spans="1:6" x14ac:dyDescent="0.25">
      <c r="A106" s="1" t="s">
        <v>222</v>
      </c>
      <c r="B106" s="1" t="s">
        <v>223</v>
      </c>
      <c r="C106" s="3">
        <v>200</v>
      </c>
      <c r="D106" s="3" t="str">
        <f ca="1">IF(B106="","",IFERROR(_xludf.XLOOKUP(_xludf.XLOOKUP(B106,Inventory!$A:$A,Inventory!$B:$B),Blades!$A:$A,Blades!$C:$C)+_xludf.XLOOKUP(_xludf.XLOOKUP(B106,Inventory!$A:$A,Inventory!$C:$C),Motor!$A:$A,Motor!$C:$C)+_xludf.XLOOKUP(_xludf.XLOOKUP(B106,Inventory!$A:$A,Inventory!$D:$D),Frame!$A:$A,Frame!$C:$C)+#REF!,""))</f>
        <v/>
      </c>
      <c r="E106" s="4">
        <v>43967</v>
      </c>
      <c r="F106" s="1" t="s">
        <v>49</v>
      </c>
    </row>
    <row r="107" spans="1:6" x14ac:dyDescent="0.25">
      <c r="A107" s="1" t="s">
        <v>224</v>
      </c>
      <c r="B107" s="1" t="s">
        <v>225</v>
      </c>
      <c r="C107" s="3">
        <v>200</v>
      </c>
      <c r="D107" s="3" t="str">
        <f ca="1">IF(B107="","",IFERROR(_xludf.XLOOKUP(_xludf.XLOOKUP(B107,Inventory!$A:$A,Inventory!$B:$B),Blades!$A:$A,Blades!$C:$C)+_xludf.XLOOKUP(_xludf.XLOOKUP(B107,Inventory!$A:$A,Inventory!$C:$C),Motor!$A:$A,Motor!$C:$C)+_xludf.XLOOKUP(_xludf.XLOOKUP(B107,Inventory!$A:$A,Inventory!$D:$D),Frame!$A:$A,Frame!$C:$C)+#REF!,""))</f>
        <v/>
      </c>
      <c r="E107" s="4">
        <v>43968</v>
      </c>
      <c r="F107" s="1" t="s">
        <v>8</v>
      </c>
    </row>
    <row r="108" spans="1:6" x14ac:dyDescent="0.25">
      <c r="A108" s="1" t="s">
        <v>226</v>
      </c>
      <c r="B108" s="1" t="s">
        <v>227</v>
      </c>
      <c r="C108" s="3">
        <v>200</v>
      </c>
      <c r="D108" s="3" t="str">
        <f ca="1">IF(B108="","",IFERROR(_xludf.XLOOKUP(_xludf.XLOOKUP(B108,Inventory!$A:$A,Inventory!$B:$B),Blades!$A:$A,Blades!$C:$C)+_xludf.XLOOKUP(_xludf.XLOOKUP(B108,Inventory!$A:$A,Inventory!$C:$C),Motor!$A:$A,Motor!$C:$C)+_xludf.XLOOKUP(_xludf.XLOOKUP(B108,Inventory!$A:$A,Inventory!$D:$D),Frame!$A:$A,Frame!$C:$C)+#REF!,""))</f>
        <v/>
      </c>
      <c r="E108" s="4">
        <v>43969</v>
      </c>
      <c r="F108" s="1" t="s">
        <v>20</v>
      </c>
    </row>
    <row r="109" spans="1:6" x14ac:dyDescent="0.25">
      <c r="A109" s="1" t="s">
        <v>228</v>
      </c>
      <c r="B109" s="1" t="s">
        <v>229</v>
      </c>
      <c r="C109" s="3">
        <v>200</v>
      </c>
      <c r="D109" s="3" t="str">
        <f ca="1">IF(B109="","",IFERROR(_xludf.XLOOKUP(_xludf.XLOOKUP(B109,Inventory!$A:$A,Inventory!$B:$B),Blades!$A:$A,Blades!$C:$C)+_xludf.XLOOKUP(_xludf.XLOOKUP(B109,Inventory!$A:$A,Inventory!$C:$C),Motor!$A:$A,Motor!$C:$C)+_xludf.XLOOKUP(_xludf.XLOOKUP(B109,Inventory!$A:$A,Inventory!$D:$D),Frame!$A:$A,Frame!$C:$C)+#REF!,""))</f>
        <v/>
      </c>
      <c r="E109" s="4">
        <v>43971</v>
      </c>
      <c r="F109" s="1" t="s">
        <v>8</v>
      </c>
    </row>
    <row r="110" spans="1:6" x14ac:dyDescent="0.25">
      <c r="A110" s="1" t="s">
        <v>230</v>
      </c>
      <c r="B110" s="1" t="s">
        <v>231</v>
      </c>
      <c r="C110" s="3">
        <v>200</v>
      </c>
      <c r="D110" s="3" t="str">
        <f ca="1">IF(B110="","",IFERROR(_xludf.XLOOKUP(_xludf.XLOOKUP(B110,Inventory!$A:$A,Inventory!$B:$B),Blades!$A:$A,Blades!$C:$C)+_xludf.XLOOKUP(_xludf.XLOOKUP(B110,Inventory!$A:$A,Inventory!$C:$C),Motor!$A:$A,Motor!$C:$C)+_xludf.XLOOKUP(_xludf.XLOOKUP(B110,Inventory!$A:$A,Inventory!$D:$D),Frame!$A:$A,Frame!$C:$C)+#REF!,""))</f>
        <v/>
      </c>
      <c r="E110" s="4">
        <v>43973</v>
      </c>
      <c r="F110" s="1" t="s">
        <v>63</v>
      </c>
    </row>
    <row r="111" spans="1:6" x14ac:dyDescent="0.25">
      <c r="A111" s="1" t="s">
        <v>232</v>
      </c>
      <c r="B111" s="1" t="s">
        <v>233</v>
      </c>
      <c r="C111" s="3">
        <v>200</v>
      </c>
      <c r="D111" s="3" t="str">
        <f ca="1">IF(B111="","",IFERROR(_xludf.XLOOKUP(_xludf.XLOOKUP(B111,Inventory!$A:$A,Inventory!$B:$B),Blades!$A:$A,Blades!$C:$C)+_xludf.XLOOKUP(_xludf.XLOOKUP(B111,Inventory!$A:$A,Inventory!$C:$C),Motor!$A:$A,Motor!$C:$C)+_xludf.XLOOKUP(_xludf.XLOOKUP(B111,Inventory!$A:$A,Inventory!$D:$D),Frame!$A:$A,Frame!$C:$C)+#REF!,""))</f>
        <v/>
      </c>
      <c r="E111" s="4">
        <v>43973</v>
      </c>
      <c r="F111" s="1" t="s">
        <v>52</v>
      </c>
    </row>
    <row r="112" spans="1:6" x14ac:dyDescent="0.25">
      <c r="A112" s="1" t="s">
        <v>234</v>
      </c>
      <c r="B112" s="1" t="s">
        <v>235</v>
      </c>
      <c r="C112" s="3">
        <v>200</v>
      </c>
      <c r="D112" s="3" t="str">
        <f ca="1">IF(B112="","",IFERROR(_xludf.XLOOKUP(_xludf.XLOOKUP(B112,Inventory!$A:$A,Inventory!$B:$B),Blades!$A:$A,Blades!$C:$C)+_xludf.XLOOKUP(_xludf.XLOOKUP(B112,Inventory!$A:$A,Inventory!$C:$C),Motor!$A:$A,Motor!$C:$C)+_xludf.XLOOKUP(_xludf.XLOOKUP(B112,Inventory!$A:$A,Inventory!$D:$D),Frame!$A:$A,Frame!$C:$C)+#REF!,""))</f>
        <v/>
      </c>
      <c r="E112" s="4">
        <v>43973</v>
      </c>
      <c r="F112" s="1" t="s">
        <v>8</v>
      </c>
    </row>
    <row r="113" spans="1:6" x14ac:dyDescent="0.25">
      <c r="A113" s="1" t="s">
        <v>236</v>
      </c>
      <c r="B113" s="1" t="s">
        <v>237</v>
      </c>
      <c r="C113" s="3">
        <v>200</v>
      </c>
      <c r="D113" s="3" t="str">
        <f ca="1">IF(B113="","",IFERROR(_xludf.XLOOKUP(_xludf.XLOOKUP(B113,Inventory!$A:$A,Inventory!$B:$B),Blades!$A:$A,Blades!$C:$C)+_xludf.XLOOKUP(_xludf.XLOOKUP(B113,Inventory!$A:$A,Inventory!$C:$C),Motor!$A:$A,Motor!$C:$C)+_xludf.XLOOKUP(_xludf.XLOOKUP(B113,Inventory!$A:$A,Inventory!$D:$D),Frame!$A:$A,Frame!$C:$C)+#REF!,""))</f>
        <v/>
      </c>
      <c r="E113" s="4">
        <v>43973</v>
      </c>
      <c r="F113" s="1" t="s">
        <v>11</v>
      </c>
    </row>
    <row r="114" spans="1:6" x14ac:dyDescent="0.25">
      <c r="A114" s="1" t="s">
        <v>238</v>
      </c>
      <c r="B114" s="1" t="s">
        <v>239</v>
      </c>
      <c r="C114" s="3">
        <v>200</v>
      </c>
      <c r="D114" s="3" t="str">
        <f ca="1">IF(B114="","",IFERROR(_xludf.XLOOKUP(_xludf.XLOOKUP(B114,Inventory!$A:$A,Inventory!$B:$B),Blades!$A:$A,Blades!$C:$C)+_xludf.XLOOKUP(_xludf.XLOOKUP(B114,Inventory!$A:$A,Inventory!$C:$C),Motor!$A:$A,Motor!$C:$C)+_xludf.XLOOKUP(_xludf.XLOOKUP(B114,Inventory!$A:$A,Inventory!$D:$D),Frame!$A:$A,Frame!$C:$C)+#REF!,""))</f>
        <v/>
      </c>
      <c r="E114" s="4">
        <v>43979</v>
      </c>
      <c r="F114" s="1" t="s">
        <v>49</v>
      </c>
    </row>
    <row r="115" spans="1:6" x14ac:dyDescent="0.25">
      <c r="A115" s="1" t="s">
        <v>240</v>
      </c>
      <c r="B115" s="1" t="s">
        <v>241</v>
      </c>
      <c r="C115" s="3">
        <v>200</v>
      </c>
      <c r="D115" s="3" t="str">
        <f ca="1">IF(B115="","",IFERROR(_xludf.XLOOKUP(_xludf.XLOOKUP(B115,Inventory!$A:$A,Inventory!$B:$B),Blades!$A:$A,Blades!$C:$C)+_xludf.XLOOKUP(_xludf.XLOOKUP(B115,Inventory!$A:$A,Inventory!$C:$C),Motor!$A:$A,Motor!$C:$C)+_xludf.XLOOKUP(_xludf.XLOOKUP(B115,Inventory!$A:$A,Inventory!$D:$D),Frame!$A:$A,Frame!$C:$C)+#REF!,""))</f>
        <v/>
      </c>
      <c r="E115" s="4">
        <v>43981</v>
      </c>
      <c r="F115" s="1" t="s">
        <v>49</v>
      </c>
    </row>
    <row r="116" spans="1:6" x14ac:dyDescent="0.25">
      <c r="A116" s="1" t="s">
        <v>242</v>
      </c>
      <c r="B116" s="1" t="s">
        <v>243</v>
      </c>
      <c r="C116" s="3">
        <v>200</v>
      </c>
      <c r="D116" s="3" t="str">
        <f ca="1">IF(B116="","",IFERROR(_xludf.XLOOKUP(_xludf.XLOOKUP(B116,Inventory!$A:$A,Inventory!$B:$B),Blades!$A:$A,Blades!$C:$C)+_xludf.XLOOKUP(_xludf.XLOOKUP(B116,Inventory!$A:$A,Inventory!$C:$C),Motor!$A:$A,Motor!$C:$C)+_xludf.XLOOKUP(_xludf.XLOOKUP(B116,Inventory!$A:$A,Inventory!$D:$D),Frame!$A:$A,Frame!$C:$C)+#REF!,""))</f>
        <v/>
      </c>
      <c r="E116" s="4">
        <v>43981</v>
      </c>
      <c r="F116" s="1" t="s">
        <v>52</v>
      </c>
    </row>
    <row r="117" spans="1:6" x14ac:dyDescent="0.25">
      <c r="A117" s="1" t="s">
        <v>244</v>
      </c>
      <c r="B117" s="1" t="s">
        <v>245</v>
      </c>
      <c r="C117" s="3">
        <v>200</v>
      </c>
      <c r="D117" s="3" t="str">
        <f ca="1">IF(B117="","",IFERROR(_xludf.XLOOKUP(_xludf.XLOOKUP(B117,Inventory!$A:$A,Inventory!$B:$B),Blades!$A:$A,Blades!$C:$C)+_xludf.XLOOKUP(_xludf.XLOOKUP(B117,Inventory!$A:$A,Inventory!$C:$C),Motor!$A:$A,Motor!$C:$C)+_xludf.XLOOKUP(_xludf.XLOOKUP(B117,Inventory!$A:$A,Inventory!$D:$D),Frame!$A:$A,Frame!$C:$C)+#REF!,""))</f>
        <v/>
      </c>
      <c r="E117" s="4">
        <v>43983</v>
      </c>
      <c r="F117" s="1" t="s">
        <v>32</v>
      </c>
    </row>
    <row r="118" spans="1:6" x14ac:dyDescent="0.25">
      <c r="A118" s="1" t="s">
        <v>246</v>
      </c>
      <c r="B118" s="1" t="s">
        <v>247</v>
      </c>
      <c r="C118" s="3">
        <v>200</v>
      </c>
      <c r="D118" s="3" t="str">
        <f ca="1">IF(B118="","",IFERROR(_xludf.XLOOKUP(_xludf.XLOOKUP(B118,Inventory!$A:$A,Inventory!$B:$B),Blades!$A:$A,Blades!$C:$C)+_xludf.XLOOKUP(_xludf.XLOOKUP(B118,Inventory!$A:$A,Inventory!$C:$C),Motor!$A:$A,Motor!$C:$C)+_xludf.XLOOKUP(_xludf.XLOOKUP(B118,Inventory!$A:$A,Inventory!$D:$D),Frame!$A:$A,Frame!$C:$C)+#REF!,""))</f>
        <v/>
      </c>
      <c r="E118" s="4">
        <v>43988</v>
      </c>
      <c r="F118" s="1" t="s">
        <v>63</v>
      </c>
    </row>
    <row r="119" spans="1:6" x14ac:dyDescent="0.25">
      <c r="A119" s="1" t="s">
        <v>248</v>
      </c>
      <c r="B119" s="1" t="s">
        <v>249</v>
      </c>
      <c r="C119" s="3">
        <v>200</v>
      </c>
      <c r="D119" s="3" t="str">
        <f ca="1">IF(B119="","",IFERROR(_xludf.XLOOKUP(_xludf.XLOOKUP(B119,Inventory!$A:$A,Inventory!$B:$B),Blades!$A:$A,Blades!$C:$C)+_xludf.XLOOKUP(_xludf.XLOOKUP(B119,Inventory!$A:$A,Inventory!$C:$C),Motor!$A:$A,Motor!$C:$C)+_xludf.XLOOKUP(_xludf.XLOOKUP(B119,Inventory!$A:$A,Inventory!$D:$D),Frame!$A:$A,Frame!$C:$C)+#REF!,""))</f>
        <v/>
      </c>
      <c r="E119" s="4">
        <v>43990</v>
      </c>
      <c r="F119" s="1" t="s">
        <v>49</v>
      </c>
    </row>
    <row r="120" spans="1:6" x14ac:dyDescent="0.25">
      <c r="A120" s="1" t="s">
        <v>250</v>
      </c>
      <c r="B120" s="1" t="s">
        <v>251</v>
      </c>
      <c r="C120" s="3">
        <v>200</v>
      </c>
      <c r="D120" s="3" t="str">
        <f ca="1">IF(B120="","",IFERROR(_xludf.XLOOKUP(_xludf.XLOOKUP(B120,Inventory!$A:$A,Inventory!$B:$B),Blades!$A:$A,Blades!$C:$C)+_xludf.XLOOKUP(_xludf.XLOOKUP(B120,Inventory!$A:$A,Inventory!$C:$C),Motor!$A:$A,Motor!$C:$C)+_xludf.XLOOKUP(_xludf.XLOOKUP(B120,Inventory!$A:$A,Inventory!$D:$D),Frame!$A:$A,Frame!$C:$C)+#REF!,""))</f>
        <v/>
      </c>
      <c r="E120" s="4">
        <v>43992</v>
      </c>
      <c r="F120" s="1" t="s">
        <v>63</v>
      </c>
    </row>
    <row r="121" spans="1:6" x14ac:dyDescent="0.25">
      <c r="A121" s="1" t="s">
        <v>252</v>
      </c>
      <c r="B121" s="1" t="s">
        <v>253</v>
      </c>
      <c r="C121" s="3">
        <v>200</v>
      </c>
      <c r="D121" s="3" t="str">
        <f ca="1">IF(B121="","",IFERROR(_xludf.XLOOKUP(_xludf.XLOOKUP(B121,Inventory!$A:$A,Inventory!$B:$B),Blades!$A:$A,Blades!$C:$C)+_xludf.XLOOKUP(_xludf.XLOOKUP(B121,Inventory!$A:$A,Inventory!$C:$C),Motor!$A:$A,Motor!$C:$C)+_xludf.XLOOKUP(_xludf.XLOOKUP(B121,Inventory!$A:$A,Inventory!$D:$D),Frame!$A:$A,Frame!$C:$C)+#REF!,""))</f>
        <v/>
      </c>
      <c r="E121" s="4">
        <v>43992</v>
      </c>
      <c r="F121" s="1" t="s">
        <v>32</v>
      </c>
    </row>
    <row r="122" spans="1:6" x14ac:dyDescent="0.25">
      <c r="A122" s="1" t="s">
        <v>254</v>
      </c>
      <c r="B122" s="1" t="s">
        <v>255</v>
      </c>
      <c r="C122" s="3">
        <v>200</v>
      </c>
      <c r="D122" s="3" t="str">
        <f ca="1">IF(B122="","",IFERROR(_xludf.XLOOKUP(_xludf.XLOOKUP(B122,Inventory!$A:$A,Inventory!$B:$B),Blades!$A:$A,Blades!$C:$C)+_xludf.XLOOKUP(_xludf.XLOOKUP(B122,Inventory!$A:$A,Inventory!$C:$C),Motor!$A:$A,Motor!$C:$C)+_xludf.XLOOKUP(_xludf.XLOOKUP(B122,Inventory!$A:$A,Inventory!$D:$D),Frame!$A:$A,Frame!$C:$C)+#REF!,""))</f>
        <v/>
      </c>
      <c r="E122" s="4">
        <v>43996</v>
      </c>
      <c r="F122" s="1" t="s">
        <v>25</v>
      </c>
    </row>
    <row r="123" spans="1:6" x14ac:dyDescent="0.25">
      <c r="A123" s="1" t="s">
        <v>256</v>
      </c>
      <c r="B123" s="1" t="s">
        <v>257</v>
      </c>
      <c r="C123" s="3">
        <v>200</v>
      </c>
      <c r="D123" s="3" t="str">
        <f ca="1">IF(B123="","",IFERROR(_xludf.XLOOKUP(_xludf.XLOOKUP(B123,Inventory!$A:$A,Inventory!$B:$B),Blades!$A:$A,Blades!$C:$C)+_xludf.XLOOKUP(_xludf.XLOOKUP(B123,Inventory!$A:$A,Inventory!$C:$C),Motor!$A:$A,Motor!$C:$C)+_xludf.XLOOKUP(_xludf.XLOOKUP(B123,Inventory!$A:$A,Inventory!$D:$D),Frame!$A:$A,Frame!$C:$C)+#REF!,""))</f>
        <v/>
      </c>
      <c r="E123" s="4">
        <v>43997</v>
      </c>
      <c r="F123" s="1" t="s">
        <v>32</v>
      </c>
    </row>
    <row r="124" spans="1:6" x14ac:dyDescent="0.25">
      <c r="A124" s="1" t="s">
        <v>258</v>
      </c>
      <c r="B124" s="1" t="s">
        <v>259</v>
      </c>
      <c r="C124" s="3">
        <v>200</v>
      </c>
      <c r="D124" s="3" t="str">
        <f ca="1">IF(B124="","",IFERROR(_xludf.XLOOKUP(_xludf.XLOOKUP(B124,Inventory!$A:$A,Inventory!$B:$B),Blades!$A:$A,Blades!$C:$C)+_xludf.XLOOKUP(_xludf.XLOOKUP(B124,Inventory!$A:$A,Inventory!$C:$C),Motor!$A:$A,Motor!$C:$C)+_xludf.XLOOKUP(_xludf.XLOOKUP(B124,Inventory!$A:$A,Inventory!$D:$D),Frame!$A:$A,Frame!$C:$C)+#REF!,""))</f>
        <v/>
      </c>
      <c r="E124" s="4">
        <v>44000</v>
      </c>
      <c r="F124" s="1" t="s">
        <v>11</v>
      </c>
    </row>
    <row r="125" spans="1:6" x14ac:dyDescent="0.25">
      <c r="A125" s="1" t="s">
        <v>260</v>
      </c>
      <c r="B125" s="1" t="s">
        <v>261</v>
      </c>
      <c r="C125" s="3">
        <v>200</v>
      </c>
      <c r="D125" s="3" t="str">
        <f ca="1">IF(B125="","",IFERROR(_xludf.XLOOKUP(_xludf.XLOOKUP(B125,Inventory!$A:$A,Inventory!$B:$B),Blades!$A:$A,Blades!$C:$C)+_xludf.XLOOKUP(_xludf.XLOOKUP(B125,Inventory!$A:$A,Inventory!$C:$C),Motor!$A:$A,Motor!$C:$C)+_xludf.XLOOKUP(_xludf.XLOOKUP(B125,Inventory!$A:$A,Inventory!$D:$D),Frame!$A:$A,Frame!$C:$C)+#REF!,""))</f>
        <v/>
      </c>
      <c r="E125" s="4">
        <v>44003</v>
      </c>
      <c r="F125" s="1" t="s">
        <v>25</v>
      </c>
    </row>
    <row r="126" spans="1:6" x14ac:dyDescent="0.25">
      <c r="A126" s="1" t="s">
        <v>262</v>
      </c>
      <c r="B126" s="1" t="s">
        <v>263</v>
      </c>
      <c r="C126" s="3">
        <v>200</v>
      </c>
      <c r="D126" s="3" t="str">
        <f ca="1">IF(B126="","",IFERROR(_xludf.XLOOKUP(_xludf.XLOOKUP(B126,Inventory!$A:$A,Inventory!$B:$B),Blades!$A:$A,Blades!$C:$C)+_xludf.XLOOKUP(_xludf.XLOOKUP(B126,Inventory!$A:$A,Inventory!$C:$C),Motor!$A:$A,Motor!$C:$C)+_xludf.XLOOKUP(_xludf.XLOOKUP(B126,Inventory!$A:$A,Inventory!$D:$D),Frame!$A:$A,Frame!$C:$C)+#REF!,""))</f>
        <v/>
      </c>
      <c r="E126" s="4">
        <v>44004</v>
      </c>
      <c r="F126" s="1" t="s">
        <v>11</v>
      </c>
    </row>
    <row r="127" spans="1:6" x14ac:dyDescent="0.25">
      <c r="A127" s="1" t="s">
        <v>264</v>
      </c>
      <c r="B127" s="1" t="s">
        <v>265</v>
      </c>
      <c r="C127" s="3">
        <v>200</v>
      </c>
      <c r="D127" s="3" t="str">
        <f ca="1">IF(B127="","",IFERROR(_xludf.XLOOKUP(_xludf.XLOOKUP(B127,Inventory!$A:$A,Inventory!$B:$B),Blades!$A:$A,Blades!$C:$C)+_xludf.XLOOKUP(_xludf.XLOOKUP(B127,Inventory!$A:$A,Inventory!$C:$C),Motor!$A:$A,Motor!$C:$C)+_xludf.XLOOKUP(_xludf.XLOOKUP(B127,Inventory!$A:$A,Inventory!$D:$D),Frame!$A:$A,Frame!$C:$C)+#REF!,""))</f>
        <v/>
      </c>
      <c r="E127" s="4">
        <v>44005</v>
      </c>
      <c r="F127" s="1" t="s">
        <v>52</v>
      </c>
    </row>
    <row r="128" spans="1:6" x14ac:dyDescent="0.25">
      <c r="A128" s="1" t="s">
        <v>266</v>
      </c>
      <c r="B128" s="1" t="s">
        <v>267</v>
      </c>
      <c r="C128" s="3">
        <v>200</v>
      </c>
      <c r="D128" s="3" t="str">
        <f ca="1">IF(B128="","",IFERROR(_xludf.XLOOKUP(_xludf.XLOOKUP(B128,Inventory!$A:$A,Inventory!$B:$B),Blades!$A:$A,Blades!$C:$C)+_xludf.XLOOKUP(_xludf.XLOOKUP(B128,Inventory!$A:$A,Inventory!$C:$C),Motor!$A:$A,Motor!$C:$C)+_xludf.XLOOKUP(_xludf.XLOOKUP(B128,Inventory!$A:$A,Inventory!$D:$D),Frame!$A:$A,Frame!$C:$C)+#REF!,""))</f>
        <v/>
      </c>
      <c r="E128" s="4">
        <v>44005</v>
      </c>
      <c r="F128" s="1" t="s">
        <v>63</v>
      </c>
    </row>
    <row r="129" spans="1:6" x14ac:dyDescent="0.25">
      <c r="A129" s="1" t="s">
        <v>268</v>
      </c>
      <c r="B129" s="1" t="s">
        <v>269</v>
      </c>
      <c r="C129" s="3">
        <v>200</v>
      </c>
      <c r="D129" s="3" t="str">
        <f ca="1">IF(B129="","",IFERROR(_xludf.XLOOKUP(_xludf.XLOOKUP(B129,Inventory!$A:$A,Inventory!$B:$B),Blades!$A:$A,Blades!$C:$C)+_xludf.XLOOKUP(_xludf.XLOOKUP(B129,Inventory!$A:$A,Inventory!$C:$C),Motor!$A:$A,Motor!$C:$C)+_xludf.XLOOKUP(_xludf.XLOOKUP(B129,Inventory!$A:$A,Inventory!$D:$D),Frame!$A:$A,Frame!$C:$C)+#REF!,""))</f>
        <v/>
      </c>
      <c r="E129" s="4">
        <v>44007</v>
      </c>
      <c r="F129" s="1" t="s">
        <v>25</v>
      </c>
    </row>
    <row r="130" spans="1:6" x14ac:dyDescent="0.25">
      <c r="A130" s="1" t="s">
        <v>270</v>
      </c>
      <c r="B130" s="1" t="s">
        <v>271</v>
      </c>
      <c r="C130" s="3">
        <v>200</v>
      </c>
      <c r="D130" s="3" t="str">
        <f ca="1">IF(B130="","",IFERROR(_xludf.XLOOKUP(_xludf.XLOOKUP(B130,Inventory!$A:$A,Inventory!$B:$B),Blades!$A:$A,Blades!$C:$C)+_xludf.XLOOKUP(_xludf.XLOOKUP(B130,Inventory!$A:$A,Inventory!$C:$C),Motor!$A:$A,Motor!$C:$C)+_xludf.XLOOKUP(_xludf.XLOOKUP(B130,Inventory!$A:$A,Inventory!$D:$D),Frame!$A:$A,Frame!$C:$C)+#REF!,""))</f>
        <v/>
      </c>
      <c r="E130" s="4">
        <v>44012</v>
      </c>
      <c r="F130" s="1" t="s">
        <v>52</v>
      </c>
    </row>
    <row r="131" spans="1:6" x14ac:dyDescent="0.25">
      <c r="A131" s="1" t="s">
        <v>272</v>
      </c>
      <c r="B131" s="1" t="s">
        <v>273</v>
      </c>
      <c r="C131" s="3">
        <v>200</v>
      </c>
      <c r="D131" s="3" t="str">
        <f ca="1">IF(B131="","",IFERROR(_xludf.XLOOKUP(_xludf.XLOOKUP(B131,Inventory!$A:$A,Inventory!$B:$B),Blades!$A:$A,Blades!$C:$C)+_xludf.XLOOKUP(_xludf.XLOOKUP(B131,Inventory!$A:$A,Inventory!$C:$C),Motor!$A:$A,Motor!$C:$C)+_xludf.XLOOKUP(_xludf.XLOOKUP(B131,Inventory!$A:$A,Inventory!$D:$D),Frame!$A:$A,Frame!$C:$C)+#REF!,""))</f>
        <v/>
      </c>
      <c r="E131" s="4">
        <v>44014</v>
      </c>
      <c r="F131" s="1" t="s">
        <v>52</v>
      </c>
    </row>
    <row r="132" spans="1:6" x14ac:dyDescent="0.25">
      <c r="A132" s="1" t="s">
        <v>274</v>
      </c>
      <c r="B132" s="1" t="s">
        <v>275</v>
      </c>
      <c r="C132" s="3">
        <v>200</v>
      </c>
      <c r="D132" s="3" t="str">
        <f ca="1">IF(B132="","",IFERROR(_xludf.XLOOKUP(_xludf.XLOOKUP(B132,Inventory!$A:$A,Inventory!$B:$B),Blades!$A:$A,Blades!$C:$C)+_xludf.XLOOKUP(_xludf.XLOOKUP(B132,Inventory!$A:$A,Inventory!$C:$C),Motor!$A:$A,Motor!$C:$C)+_xludf.XLOOKUP(_xludf.XLOOKUP(B132,Inventory!$A:$A,Inventory!$D:$D),Frame!$A:$A,Frame!$C:$C)+#REF!,""))</f>
        <v/>
      </c>
      <c r="E132" s="4">
        <v>44016</v>
      </c>
      <c r="F132" s="1" t="s">
        <v>8</v>
      </c>
    </row>
    <row r="133" spans="1:6" x14ac:dyDescent="0.25">
      <c r="A133" s="1" t="s">
        <v>276</v>
      </c>
      <c r="B133" s="1" t="s">
        <v>277</v>
      </c>
      <c r="C133" s="3">
        <v>200</v>
      </c>
      <c r="D133" s="3" t="str">
        <f ca="1">IF(B133="","",IFERROR(_xludf.XLOOKUP(_xludf.XLOOKUP(B133,Inventory!$A:$A,Inventory!$B:$B),Blades!$A:$A,Blades!$C:$C)+_xludf.XLOOKUP(_xludf.XLOOKUP(B133,Inventory!$A:$A,Inventory!$C:$C),Motor!$A:$A,Motor!$C:$C)+_xludf.XLOOKUP(_xludf.XLOOKUP(B133,Inventory!$A:$A,Inventory!$D:$D),Frame!$A:$A,Frame!$C:$C)+#REF!,""))</f>
        <v/>
      </c>
      <c r="E133" s="4">
        <v>44016</v>
      </c>
      <c r="F133" s="1" t="s">
        <v>63</v>
      </c>
    </row>
    <row r="134" spans="1:6" x14ac:dyDescent="0.25">
      <c r="A134" s="1" t="s">
        <v>278</v>
      </c>
      <c r="B134" s="1" t="s">
        <v>279</v>
      </c>
      <c r="C134" s="3">
        <v>200</v>
      </c>
      <c r="D134" s="3" t="str">
        <f ca="1">IF(B134="","",IFERROR(_xludf.XLOOKUP(_xludf.XLOOKUP(B134,Inventory!$A:$A,Inventory!$B:$B),Blades!$A:$A,Blades!$C:$C)+_xludf.XLOOKUP(_xludf.XLOOKUP(B134,Inventory!$A:$A,Inventory!$C:$C),Motor!$A:$A,Motor!$C:$C)+_xludf.XLOOKUP(_xludf.XLOOKUP(B134,Inventory!$A:$A,Inventory!$D:$D),Frame!$A:$A,Frame!$C:$C)+#REF!,""))</f>
        <v/>
      </c>
      <c r="E134" s="4">
        <v>44016</v>
      </c>
      <c r="F134" s="1" t="s">
        <v>52</v>
      </c>
    </row>
    <row r="135" spans="1:6" x14ac:dyDescent="0.25">
      <c r="A135" s="1" t="s">
        <v>280</v>
      </c>
      <c r="B135" s="1" t="s">
        <v>281</v>
      </c>
      <c r="C135" s="3">
        <v>200</v>
      </c>
      <c r="D135" s="3" t="str">
        <f ca="1">IF(B135="","",IFERROR(_xludf.XLOOKUP(_xludf.XLOOKUP(B135,Inventory!$A:$A,Inventory!$B:$B),Blades!$A:$A,Blades!$C:$C)+_xludf.XLOOKUP(_xludf.XLOOKUP(B135,Inventory!$A:$A,Inventory!$C:$C),Motor!$A:$A,Motor!$C:$C)+_xludf.XLOOKUP(_xludf.XLOOKUP(B135,Inventory!$A:$A,Inventory!$D:$D),Frame!$A:$A,Frame!$C:$C)+#REF!,""))</f>
        <v/>
      </c>
      <c r="E135" s="4">
        <v>44017</v>
      </c>
      <c r="F135" s="1" t="s">
        <v>52</v>
      </c>
    </row>
    <row r="136" spans="1:6" x14ac:dyDescent="0.25">
      <c r="A136" s="1" t="s">
        <v>282</v>
      </c>
      <c r="B136" s="1" t="s">
        <v>283</v>
      </c>
      <c r="C136" s="3">
        <v>200</v>
      </c>
      <c r="D136" s="3" t="str">
        <f ca="1">IF(B136="","",IFERROR(_xludf.XLOOKUP(_xludf.XLOOKUP(B136,Inventory!$A:$A,Inventory!$B:$B),Blades!$A:$A,Blades!$C:$C)+_xludf.XLOOKUP(_xludf.XLOOKUP(B136,Inventory!$A:$A,Inventory!$C:$C),Motor!$A:$A,Motor!$C:$C)+_xludf.XLOOKUP(_xludf.XLOOKUP(B136,Inventory!$A:$A,Inventory!$D:$D),Frame!$A:$A,Frame!$C:$C)+#REF!,""))</f>
        <v/>
      </c>
      <c r="E136" s="4">
        <v>44020</v>
      </c>
      <c r="F136" s="1" t="s">
        <v>63</v>
      </c>
    </row>
    <row r="137" spans="1:6" x14ac:dyDescent="0.25">
      <c r="A137" s="1" t="s">
        <v>284</v>
      </c>
      <c r="B137" s="1" t="s">
        <v>285</v>
      </c>
      <c r="C137" s="3">
        <v>200</v>
      </c>
      <c r="D137" s="3" t="str">
        <f ca="1">IF(B137="","",IFERROR(_xludf.XLOOKUP(_xludf.XLOOKUP(B137,Inventory!$A:$A,Inventory!$B:$B),Blades!$A:$A,Blades!$C:$C)+_xludf.XLOOKUP(_xludf.XLOOKUP(B137,Inventory!$A:$A,Inventory!$C:$C),Motor!$A:$A,Motor!$C:$C)+_xludf.XLOOKUP(_xludf.XLOOKUP(B137,Inventory!$A:$A,Inventory!$D:$D),Frame!$A:$A,Frame!$C:$C)+#REF!,""))</f>
        <v/>
      </c>
      <c r="E137" s="4">
        <v>44022</v>
      </c>
      <c r="F137" s="1" t="s">
        <v>63</v>
      </c>
    </row>
    <row r="138" spans="1:6" x14ac:dyDescent="0.25">
      <c r="A138" s="1" t="s">
        <v>286</v>
      </c>
      <c r="B138" s="1" t="s">
        <v>287</v>
      </c>
      <c r="C138" s="3">
        <v>200</v>
      </c>
      <c r="D138" s="3" t="str">
        <f ca="1">IF(B138="","",IFERROR(_xludf.XLOOKUP(_xludf.XLOOKUP(B138,Inventory!$A:$A,Inventory!$B:$B),Blades!$A:$A,Blades!$C:$C)+_xludf.XLOOKUP(_xludf.XLOOKUP(B138,Inventory!$A:$A,Inventory!$C:$C),Motor!$A:$A,Motor!$C:$C)+_xludf.XLOOKUP(_xludf.XLOOKUP(B138,Inventory!$A:$A,Inventory!$D:$D),Frame!$A:$A,Frame!$C:$C)+#REF!,""))</f>
        <v/>
      </c>
      <c r="E138" s="4">
        <v>44022</v>
      </c>
      <c r="F138" s="1" t="s">
        <v>8</v>
      </c>
    </row>
    <row r="139" spans="1:6" x14ac:dyDescent="0.25">
      <c r="A139" s="1" t="s">
        <v>288</v>
      </c>
      <c r="B139" s="1" t="s">
        <v>289</v>
      </c>
      <c r="C139" s="3">
        <v>200</v>
      </c>
      <c r="D139" s="3" t="str">
        <f ca="1">IF(B139="","",IFERROR(_xludf.XLOOKUP(_xludf.XLOOKUP(B139,Inventory!$A:$A,Inventory!$B:$B),Blades!$A:$A,Blades!$C:$C)+_xludf.XLOOKUP(_xludf.XLOOKUP(B139,Inventory!$A:$A,Inventory!$C:$C),Motor!$A:$A,Motor!$C:$C)+_xludf.XLOOKUP(_xludf.XLOOKUP(B139,Inventory!$A:$A,Inventory!$D:$D),Frame!$A:$A,Frame!$C:$C)+#REF!,""))</f>
        <v/>
      </c>
      <c r="E139" s="4">
        <v>44024</v>
      </c>
      <c r="F139" s="1" t="s">
        <v>63</v>
      </c>
    </row>
    <row r="140" spans="1:6" x14ac:dyDescent="0.25">
      <c r="A140" s="1" t="s">
        <v>290</v>
      </c>
      <c r="B140" s="1" t="s">
        <v>291</v>
      </c>
      <c r="C140" s="3">
        <v>200</v>
      </c>
      <c r="D140" s="3" t="str">
        <f ca="1">IF(B140="","",IFERROR(_xludf.XLOOKUP(_xludf.XLOOKUP(B140,Inventory!$A:$A,Inventory!$B:$B),Blades!$A:$A,Blades!$C:$C)+_xludf.XLOOKUP(_xludf.XLOOKUP(B140,Inventory!$A:$A,Inventory!$C:$C),Motor!$A:$A,Motor!$C:$C)+_xludf.XLOOKUP(_xludf.XLOOKUP(B140,Inventory!$A:$A,Inventory!$D:$D),Frame!$A:$A,Frame!$C:$C)+#REF!,""))</f>
        <v/>
      </c>
      <c r="E140" s="4">
        <v>44025</v>
      </c>
      <c r="F140" s="1" t="s">
        <v>25</v>
      </c>
    </row>
    <row r="141" spans="1:6" x14ac:dyDescent="0.25">
      <c r="A141" s="1" t="s">
        <v>292</v>
      </c>
      <c r="B141" s="1" t="s">
        <v>293</v>
      </c>
      <c r="C141" s="3">
        <v>200</v>
      </c>
      <c r="D141" s="3" t="str">
        <f ca="1">IF(B141="","",IFERROR(_xludf.XLOOKUP(_xludf.XLOOKUP(B141,Inventory!$A:$A,Inventory!$B:$B),Blades!$A:$A,Blades!$C:$C)+_xludf.XLOOKUP(_xludf.XLOOKUP(B141,Inventory!$A:$A,Inventory!$C:$C),Motor!$A:$A,Motor!$C:$C)+_xludf.XLOOKUP(_xludf.XLOOKUP(B141,Inventory!$A:$A,Inventory!$D:$D),Frame!$A:$A,Frame!$C:$C)+#REF!,""))</f>
        <v/>
      </c>
      <c r="E141" s="4">
        <v>44025</v>
      </c>
      <c r="F141" s="1" t="s">
        <v>25</v>
      </c>
    </row>
    <row r="142" spans="1:6" x14ac:dyDescent="0.25">
      <c r="A142" s="1" t="s">
        <v>294</v>
      </c>
      <c r="B142" s="1" t="s">
        <v>295</v>
      </c>
      <c r="C142" s="3">
        <v>200</v>
      </c>
      <c r="D142" s="3" t="str">
        <f ca="1">IF(B142="","",IFERROR(_xludf.XLOOKUP(_xludf.XLOOKUP(B142,Inventory!$A:$A,Inventory!$B:$B),Blades!$A:$A,Blades!$C:$C)+_xludf.XLOOKUP(_xludf.XLOOKUP(B142,Inventory!$A:$A,Inventory!$C:$C),Motor!$A:$A,Motor!$C:$C)+_xludf.XLOOKUP(_xludf.XLOOKUP(B142,Inventory!$A:$A,Inventory!$D:$D),Frame!$A:$A,Frame!$C:$C)+#REF!,""))</f>
        <v/>
      </c>
      <c r="E142" s="4">
        <v>44025</v>
      </c>
      <c r="F142" s="1" t="s">
        <v>25</v>
      </c>
    </row>
    <row r="143" spans="1:6" x14ac:dyDescent="0.25">
      <c r="A143" s="1" t="s">
        <v>296</v>
      </c>
      <c r="B143" s="1" t="s">
        <v>297</v>
      </c>
      <c r="C143" s="3">
        <v>200</v>
      </c>
      <c r="D143" s="3" t="str">
        <f ca="1">IF(B143="","",IFERROR(_xludf.XLOOKUP(_xludf.XLOOKUP(B143,Inventory!$A:$A,Inventory!$B:$B),Blades!$A:$A,Blades!$C:$C)+_xludf.XLOOKUP(_xludf.XLOOKUP(B143,Inventory!$A:$A,Inventory!$C:$C),Motor!$A:$A,Motor!$C:$C)+_xludf.XLOOKUP(_xludf.XLOOKUP(B143,Inventory!$A:$A,Inventory!$D:$D),Frame!$A:$A,Frame!$C:$C)+#REF!,""))</f>
        <v/>
      </c>
      <c r="E143" s="4">
        <v>44026</v>
      </c>
      <c r="F143" s="1" t="s">
        <v>25</v>
      </c>
    </row>
    <row r="144" spans="1:6" x14ac:dyDescent="0.25">
      <c r="A144" s="1" t="s">
        <v>298</v>
      </c>
      <c r="B144" s="1" t="s">
        <v>299</v>
      </c>
      <c r="C144" s="3">
        <v>200</v>
      </c>
      <c r="D144" s="3" t="str">
        <f ca="1">IF(B144="","",IFERROR(_xludf.XLOOKUP(_xludf.XLOOKUP(B144,Inventory!$A:$A,Inventory!$B:$B),Blades!$A:$A,Blades!$C:$C)+_xludf.XLOOKUP(_xludf.XLOOKUP(B144,Inventory!$A:$A,Inventory!$C:$C),Motor!$A:$A,Motor!$C:$C)+_xludf.XLOOKUP(_xludf.XLOOKUP(B144,Inventory!$A:$A,Inventory!$D:$D),Frame!$A:$A,Frame!$C:$C)+#REF!,""))</f>
        <v/>
      </c>
      <c r="E144" s="4">
        <v>44028</v>
      </c>
      <c r="F144" s="1" t="s">
        <v>8</v>
      </c>
    </row>
    <row r="145" spans="1:6" x14ac:dyDescent="0.25">
      <c r="A145" s="1" t="s">
        <v>300</v>
      </c>
      <c r="B145" s="1" t="s">
        <v>301</v>
      </c>
      <c r="C145" s="3">
        <v>200</v>
      </c>
      <c r="D145" s="3" t="str">
        <f ca="1">IF(B145="","",IFERROR(_xludf.XLOOKUP(_xludf.XLOOKUP(B145,Inventory!$A:$A,Inventory!$B:$B),Blades!$A:$A,Blades!$C:$C)+_xludf.XLOOKUP(_xludf.XLOOKUP(B145,Inventory!$A:$A,Inventory!$C:$C),Motor!$A:$A,Motor!$C:$C)+_xludf.XLOOKUP(_xludf.XLOOKUP(B145,Inventory!$A:$A,Inventory!$D:$D),Frame!$A:$A,Frame!$C:$C)+#REF!,""))</f>
        <v/>
      </c>
      <c r="E145" s="4">
        <v>44033</v>
      </c>
      <c r="F145" s="1" t="s">
        <v>8</v>
      </c>
    </row>
    <row r="146" spans="1:6" x14ac:dyDescent="0.25">
      <c r="A146" s="1" t="s">
        <v>302</v>
      </c>
      <c r="B146" s="1" t="s">
        <v>303</v>
      </c>
      <c r="C146" s="3">
        <v>200</v>
      </c>
      <c r="D146" s="3" t="str">
        <f ca="1">IF(B146="","",IFERROR(_xludf.XLOOKUP(_xludf.XLOOKUP(B146,Inventory!$A:$A,Inventory!$B:$B),Blades!$A:$A,Blades!$C:$C)+_xludf.XLOOKUP(_xludf.XLOOKUP(B146,Inventory!$A:$A,Inventory!$C:$C),Motor!$A:$A,Motor!$C:$C)+_xludf.XLOOKUP(_xludf.XLOOKUP(B146,Inventory!$A:$A,Inventory!$D:$D),Frame!$A:$A,Frame!$C:$C)+#REF!,""))</f>
        <v/>
      </c>
      <c r="E146" s="4">
        <v>44035</v>
      </c>
      <c r="F146" s="1" t="s">
        <v>49</v>
      </c>
    </row>
    <row r="147" spans="1:6" x14ac:dyDescent="0.25">
      <c r="A147" s="1" t="s">
        <v>304</v>
      </c>
      <c r="B147" s="1" t="s">
        <v>305</v>
      </c>
      <c r="C147" s="3">
        <v>200</v>
      </c>
      <c r="D147" s="3" t="str">
        <f ca="1">IF(B147="","",IFERROR(_xludf.XLOOKUP(_xludf.XLOOKUP(B147,Inventory!$A:$A,Inventory!$B:$B),Blades!$A:$A,Blades!$C:$C)+_xludf.XLOOKUP(_xludf.XLOOKUP(B147,Inventory!$A:$A,Inventory!$C:$C),Motor!$A:$A,Motor!$C:$C)+_xludf.XLOOKUP(_xludf.XLOOKUP(B147,Inventory!$A:$A,Inventory!$D:$D),Frame!$A:$A,Frame!$C:$C)+#REF!,""))</f>
        <v/>
      </c>
      <c r="E147" s="4">
        <v>44035</v>
      </c>
      <c r="F147" s="1" t="s">
        <v>8</v>
      </c>
    </row>
    <row r="148" spans="1:6" x14ac:dyDescent="0.25">
      <c r="A148" s="1" t="s">
        <v>306</v>
      </c>
      <c r="B148" s="1" t="s">
        <v>307</v>
      </c>
      <c r="C148" s="3">
        <v>200</v>
      </c>
      <c r="D148" s="3" t="str">
        <f ca="1">IF(B148="","",IFERROR(_xludf.XLOOKUP(_xludf.XLOOKUP(B148,Inventory!$A:$A,Inventory!$B:$B),Blades!$A:$A,Blades!$C:$C)+_xludf.XLOOKUP(_xludf.XLOOKUP(B148,Inventory!$A:$A,Inventory!$C:$C),Motor!$A:$A,Motor!$C:$C)+_xludf.XLOOKUP(_xludf.XLOOKUP(B148,Inventory!$A:$A,Inventory!$D:$D),Frame!$A:$A,Frame!$C:$C)+#REF!,""))</f>
        <v/>
      </c>
      <c r="E148" s="4">
        <v>44036</v>
      </c>
      <c r="F148" s="1" t="s">
        <v>25</v>
      </c>
    </row>
    <row r="149" spans="1:6" x14ac:dyDescent="0.25">
      <c r="A149" s="1" t="s">
        <v>308</v>
      </c>
      <c r="B149" s="1" t="s">
        <v>309</v>
      </c>
      <c r="C149" s="3">
        <v>200</v>
      </c>
      <c r="D149" s="3" t="str">
        <f ca="1">IF(B149="","",IFERROR(_xludf.XLOOKUP(_xludf.XLOOKUP(B149,Inventory!$A:$A,Inventory!$B:$B),Blades!$A:$A,Blades!$C:$C)+_xludf.XLOOKUP(_xludf.XLOOKUP(B149,Inventory!$A:$A,Inventory!$C:$C),Motor!$A:$A,Motor!$C:$C)+_xludf.XLOOKUP(_xludf.XLOOKUP(B149,Inventory!$A:$A,Inventory!$D:$D),Frame!$A:$A,Frame!$C:$C)+#REF!,""))</f>
        <v/>
      </c>
      <c r="E149" s="4">
        <v>44045</v>
      </c>
      <c r="F149" s="1" t="s">
        <v>20</v>
      </c>
    </row>
    <row r="150" spans="1:6" x14ac:dyDescent="0.25">
      <c r="A150" s="1" t="s">
        <v>310</v>
      </c>
      <c r="B150" s="1" t="s">
        <v>311</v>
      </c>
      <c r="C150" s="3">
        <v>200</v>
      </c>
      <c r="D150" s="3" t="str">
        <f ca="1">IF(B150="","",IFERROR(_xludf.XLOOKUP(_xludf.XLOOKUP(B150,Inventory!$A:$A,Inventory!$B:$B),Blades!$A:$A,Blades!$C:$C)+_xludf.XLOOKUP(_xludf.XLOOKUP(B150,Inventory!$A:$A,Inventory!$C:$C),Motor!$A:$A,Motor!$C:$C)+_xludf.XLOOKUP(_xludf.XLOOKUP(B150,Inventory!$A:$A,Inventory!$D:$D),Frame!$A:$A,Frame!$C:$C)+#REF!,""))</f>
        <v/>
      </c>
      <c r="E150" s="4">
        <v>44047</v>
      </c>
      <c r="F150" s="1" t="s">
        <v>8</v>
      </c>
    </row>
    <row r="151" spans="1:6" x14ac:dyDescent="0.25">
      <c r="A151" s="1" t="s">
        <v>312</v>
      </c>
      <c r="B151" s="1" t="s">
        <v>313</v>
      </c>
      <c r="C151" s="3">
        <v>200</v>
      </c>
      <c r="D151" s="3" t="str">
        <f ca="1">IF(B151="","",IFERROR(_xludf.XLOOKUP(_xludf.XLOOKUP(B151,Inventory!$A:$A,Inventory!$B:$B),Blades!$A:$A,Blades!$C:$C)+_xludf.XLOOKUP(_xludf.XLOOKUP(B151,Inventory!$A:$A,Inventory!$C:$C),Motor!$A:$A,Motor!$C:$C)+_xludf.XLOOKUP(_xludf.XLOOKUP(B151,Inventory!$A:$A,Inventory!$D:$D),Frame!$A:$A,Frame!$C:$C)+#REF!,""))</f>
        <v/>
      </c>
      <c r="E151" s="4">
        <v>44047</v>
      </c>
      <c r="F151" s="1" t="s">
        <v>8</v>
      </c>
    </row>
    <row r="152" spans="1:6" x14ac:dyDescent="0.25">
      <c r="A152" s="1" t="s">
        <v>314</v>
      </c>
      <c r="B152" s="1" t="s">
        <v>315</v>
      </c>
      <c r="C152" s="3">
        <v>200</v>
      </c>
      <c r="D152" s="3" t="str">
        <f ca="1">IF(B152="","",IFERROR(_xludf.XLOOKUP(_xludf.XLOOKUP(B152,Inventory!$A:$A,Inventory!$B:$B),Blades!$A:$A,Blades!$C:$C)+_xludf.XLOOKUP(_xludf.XLOOKUP(B152,Inventory!$A:$A,Inventory!$C:$C),Motor!$A:$A,Motor!$C:$C)+_xludf.XLOOKUP(_xludf.XLOOKUP(B152,Inventory!$A:$A,Inventory!$D:$D),Frame!$A:$A,Frame!$C:$C)+#REF!,""))</f>
        <v/>
      </c>
      <c r="E152" s="4">
        <v>44047</v>
      </c>
      <c r="F152" s="1" t="s">
        <v>32</v>
      </c>
    </row>
    <row r="153" spans="1:6" x14ac:dyDescent="0.25">
      <c r="A153" s="1" t="s">
        <v>316</v>
      </c>
      <c r="B153" s="1" t="s">
        <v>317</v>
      </c>
      <c r="C153" s="3">
        <v>200</v>
      </c>
      <c r="D153" s="3" t="str">
        <f ca="1">IF(B153="","",IFERROR(_xludf.XLOOKUP(_xludf.XLOOKUP(B153,Inventory!$A:$A,Inventory!$B:$B),Blades!$A:$A,Blades!$C:$C)+_xludf.XLOOKUP(_xludf.XLOOKUP(B153,Inventory!$A:$A,Inventory!$C:$C),Motor!$A:$A,Motor!$C:$C)+_xludf.XLOOKUP(_xludf.XLOOKUP(B153,Inventory!$A:$A,Inventory!$D:$D),Frame!$A:$A,Frame!$C:$C)+#REF!,""))</f>
        <v/>
      </c>
      <c r="E153" s="4">
        <v>44047</v>
      </c>
      <c r="F153" s="1" t="s">
        <v>11</v>
      </c>
    </row>
    <row r="154" spans="1:6" x14ac:dyDescent="0.25">
      <c r="A154" s="1" t="s">
        <v>318</v>
      </c>
      <c r="B154" s="1" t="s">
        <v>319</v>
      </c>
      <c r="C154" s="3">
        <v>200</v>
      </c>
      <c r="D154" s="3" t="str">
        <f ca="1">IF(B154="","",IFERROR(_xludf.XLOOKUP(_xludf.XLOOKUP(B154,Inventory!$A:$A,Inventory!$B:$B),Blades!$A:$A,Blades!$C:$C)+_xludf.XLOOKUP(_xludf.XLOOKUP(B154,Inventory!$A:$A,Inventory!$C:$C),Motor!$A:$A,Motor!$C:$C)+_xludf.XLOOKUP(_xludf.XLOOKUP(B154,Inventory!$A:$A,Inventory!$D:$D),Frame!$A:$A,Frame!$C:$C)+#REF!,""))</f>
        <v/>
      </c>
      <c r="E154" s="4">
        <v>44050</v>
      </c>
      <c r="F154" s="1" t="s">
        <v>32</v>
      </c>
    </row>
    <row r="155" spans="1:6" x14ac:dyDescent="0.25">
      <c r="A155" s="1" t="s">
        <v>320</v>
      </c>
      <c r="B155" s="1" t="s">
        <v>321</v>
      </c>
      <c r="C155" s="3">
        <v>200</v>
      </c>
      <c r="D155" s="3" t="str">
        <f ca="1">IF(B155="","",IFERROR(_xludf.XLOOKUP(_xludf.XLOOKUP(B155,Inventory!$A:$A,Inventory!$B:$B),Blades!$A:$A,Blades!$C:$C)+_xludf.XLOOKUP(_xludf.XLOOKUP(B155,Inventory!$A:$A,Inventory!$C:$C),Motor!$A:$A,Motor!$C:$C)+_xludf.XLOOKUP(_xludf.XLOOKUP(B155,Inventory!$A:$A,Inventory!$D:$D),Frame!$A:$A,Frame!$C:$C)+#REF!,""))</f>
        <v/>
      </c>
      <c r="E155" s="4">
        <v>44053</v>
      </c>
      <c r="F155" s="1" t="s">
        <v>52</v>
      </c>
    </row>
    <row r="156" spans="1:6" x14ac:dyDescent="0.25">
      <c r="A156" s="1" t="s">
        <v>322</v>
      </c>
      <c r="B156" s="1" t="s">
        <v>323</v>
      </c>
      <c r="C156" s="3">
        <v>200</v>
      </c>
      <c r="D156" s="3" t="str">
        <f ca="1">IF(B156="","",IFERROR(_xludf.XLOOKUP(_xludf.XLOOKUP(B156,Inventory!$A:$A,Inventory!$B:$B),Blades!$A:$A,Blades!$C:$C)+_xludf.XLOOKUP(_xludf.XLOOKUP(B156,Inventory!$A:$A,Inventory!$C:$C),Motor!$A:$A,Motor!$C:$C)+_xludf.XLOOKUP(_xludf.XLOOKUP(B156,Inventory!$A:$A,Inventory!$D:$D),Frame!$A:$A,Frame!$C:$C)+#REF!,""))</f>
        <v/>
      </c>
      <c r="E156" s="4">
        <v>44055</v>
      </c>
      <c r="F156" s="1" t="s">
        <v>11</v>
      </c>
    </row>
    <row r="157" spans="1:6" x14ac:dyDescent="0.25">
      <c r="A157" s="1" t="s">
        <v>324</v>
      </c>
      <c r="B157" s="1" t="s">
        <v>325</v>
      </c>
      <c r="C157" s="3">
        <v>200</v>
      </c>
      <c r="D157" s="3" t="str">
        <f ca="1">IF(B157="","",IFERROR(_xludf.XLOOKUP(_xludf.XLOOKUP(B157,Inventory!$A:$A,Inventory!$B:$B),Blades!$A:$A,Blades!$C:$C)+_xludf.XLOOKUP(_xludf.XLOOKUP(B157,Inventory!$A:$A,Inventory!$C:$C),Motor!$A:$A,Motor!$C:$C)+_xludf.XLOOKUP(_xludf.XLOOKUP(B157,Inventory!$A:$A,Inventory!$D:$D),Frame!$A:$A,Frame!$C:$C)+#REF!,""))</f>
        <v/>
      </c>
      <c r="E157" s="4">
        <v>44060</v>
      </c>
      <c r="F157" s="1" t="s">
        <v>63</v>
      </c>
    </row>
    <row r="158" spans="1:6" x14ac:dyDescent="0.25">
      <c r="A158" s="1" t="s">
        <v>326</v>
      </c>
      <c r="B158" s="1" t="s">
        <v>327</v>
      </c>
      <c r="C158" s="3">
        <v>200</v>
      </c>
      <c r="D158" s="3" t="str">
        <f ca="1">IF(B158="","",IFERROR(_xludf.XLOOKUP(_xludf.XLOOKUP(B158,Inventory!$A:$A,Inventory!$B:$B),Blades!$A:$A,Blades!$C:$C)+_xludf.XLOOKUP(_xludf.XLOOKUP(B158,Inventory!$A:$A,Inventory!$C:$C),Motor!$A:$A,Motor!$C:$C)+_xludf.XLOOKUP(_xludf.XLOOKUP(B158,Inventory!$A:$A,Inventory!$D:$D),Frame!$A:$A,Frame!$C:$C)+#REF!,""))</f>
        <v/>
      </c>
      <c r="E158" s="4">
        <v>44062</v>
      </c>
      <c r="F158" s="1" t="s">
        <v>8</v>
      </c>
    </row>
    <row r="159" spans="1:6" x14ac:dyDescent="0.25">
      <c r="A159" s="1" t="s">
        <v>328</v>
      </c>
      <c r="B159" s="1" t="s">
        <v>329</v>
      </c>
      <c r="C159" s="3">
        <v>200</v>
      </c>
      <c r="D159" s="3" t="str">
        <f ca="1">IF(B159="","",IFERROR(_xludf.XLOOKUP(_xludf.XLOOKUP(B159,Inventory!$A:$A,Inventory!$B:$B),Blades!$A:$A,Blades!$C:$C)+_xludf.XLOOKUP(_xludf.XLOOKUP(B159,Inventory!$A:$A,Inventory!$C:$C),Motor!$A:$A,Motor!$C:$C)+_xludf.XLOOKUP(_xludf.XLOOKUP(B159,Inventory!$A:$A,Inventory!$D:$D),Frame!$A:$A,Frame!$C:$C)+#REF!,""))</f>
        <v/>
      </c>
      <c r="E159" s="4">
        <v>44063</v>
      </c>
      <c r="F159" s="1" t="s">
        <v>32</v>
      </c>
    </row>
    <row r="160" spans="1:6" x14ac:dyDescent="0.25">
      <c r="A160" s="1" t="s">
        <v>330</v>
      </c>
      <c r="B160" s="1" t="s">
        <v>331</v>
      </c>
      <c r="C160" s="3">
        <v>200</v>
      </c>
      <c r="D160" s="3" t="str">
        <f ca="1">IF(B160="","",IFERROR(_xludf.XLOOKUP(_xludf.XLOOKUP(B160,Inventory!$A:$A,Inventory!$B:$B),Blades!$A:$A,Blades!$C:$C)+_xludf.XLOOKUP(_xludf.XLOOKUP(B160,Inventory!$A:$A,Inventory!$C:$C),Motor!$A:$A,Motor!$C:$C)+_xludf.XLOOKUP(_xludf.XLOOKUP(B160,Inventory!$A:$A,Inventory!$D:$D),Frame!$A:$A,Frame!$C:$C)+#REF!,""))</f>
        <v/>
      </c>
      <c r="E160" s="4">
        <v>44063</v>
      </c>
      <c r="F160" s="1" t="s">
        <v>20</v>
      </c>
    </row>
    <row r="161" spans="1:6" x14ac:dyDescent="0.25">
      <c r="A161" s="1" t="s">
        <v>332</v>
      </c>
      <c r="B161" s="1" t="s">
        <v>333</v>
      </c>
      <c r="C161" s="3">
        <v>200</v>
      </c>
      <c r="D161" s="3" t="str">
        <f ca="1">IF(B161="","",IFERROR(_xludf.XLOOKUP(_xludf.XLOOKUP(B161,Inventory!$A:$A,Inventory!$B:$B),Blades!$A:$A,Blades!$C:$C)+_xludf.XLOOKUP(_xludf.XLOOKUP(B161,Inventory!$A:$A,Inventory!$C:$C),Motor!$A:$A,Motor!$C:$C)+_xludf.XLOOKUP(_xludf.XLOOKUP(B161,Inventory!$A:$A,Inventory!$D:$D),Frame!$A:$A,Frame!$C:$C)+#REF!,""))</f>
        <v/>
      </c>
      <c r="E161" s="4">
        <v>44065</v>
      </c>
      <c r="F161" s="1" t="s">
        <v>25</v>
      </c>
    </row>
    <row r="162" spans="1:6" x14ac:dyDescent="0.25">
      <c r="A162" s="1" t="s">
        <v>334</v>
      </c>
      <c r="B162" s="1" t="s">
        <v>335</v>
      </c>
      <c r="C162" s="3">
        <v>200</v>
      </c>
      <c r="D162" s="3" t="str">
        <f ca="1">IF(B162="","",IFERROR(_xludf.XLOOKUP(_xludf.XLOOKUP(B162,Inventory!$A:$A,Inventory!$B:$B),Blades!$A:$A,Blades!$C:$C)+_xludf.XLOOKUP(_xludf.XLOOKUP(B162,Inventory!$A:$A,Inventory!$C:$C),Motor!$A:$A,Motor!$C:$C)+_xludf.XLOOKUP(_xludf.XLOOKUP(B162,Inventory!$A:$A,Inventory!$D:$D),Frame!$A:$A,Frame!$C:$C)+#REF!,""))</f>
        <v/>
      </c>
      <c r="E162" s="4">
        <v>44066</v>
      </c>
      <c r="F162" s="1" t="s">
        <v>8</v>
      </c>
    </row>
    <row r="163" spans="1:6" x14ac:dyDescent="0.25">
      <c r="A163" s="1" t="s">
        <v>336</v>
      </c>
      <c r="B163" s="1" t="s">
        <v>337</v>
      </c>
      <c r="C163" s="3">
        <v>200</v>
      </c>
      <c r="D163" s="3" t="str">
        <f ca="1">IF(B163="","",IFERROR(_xludf.XLOOKUP(_xludf.XLOOKUP(B163,Inventory!$A:$A,Inventory!$B:$B),Blades!$A:$A,Blades!$C:$C)+_xludf.XLOOKUP(_xludf.XLOOKUP(B163,Inventory!$A:$A,Inventory!$C:$C),Motor!$A:$A,Motor!$C:$C)+_xludf.XLOOKUP(_xludf.XLOOKUP(B163,Inventory!$A:$A,Inventory!$D:$D),Frame!$A:$A,Frame!$C:$C)+#REF!,""))</f>
        <v/>
      </c>
      <c r="E163" s="4">
        <v>44067</v>
      </c>
      <c r="F163" s="1" t="s">
        <v>49</v>
      </c>
    </row>
    <row r="164" spans="1:6" x14ac:dyDescent="0.25">
      <c r="A164" s="1" t="s">
        <v>338</v>
      </c>
      <c r="B164" s="1" t="s">
        <v>339</v>
      </c>
      <c r="C164" s="3">
        <v>200</v>
      </c>
      <c r="D164" s="3" t="str">
        <f ca="1">IF(B164="","",IFERROR(_xludf.XLOOKUP(_xludf.XLOOKUP(B164,Inventory!$A:$A,Inventory!$B:$B),Blades!$A:$A,Blades!$C:$C)+_xludf.XLOOKUP(_xludf.XLOOKUP(B164,Inventory!$A:$A,Inventory!$C:$C),Motor!$A:$A,Motor!$C:$C)+_xludf.XLOOKUP(_xludf.XLOOKUP(B164,Inventory!$A:$A,Inventory!$D:$D),Frame!$A:$A,Frame!$C:$C)+#REF!,""))</f>
        <v/>
      </c>
      <c r="E164" s="4">
        <v>44070</v>
      </c>
      <c r="F164" s="1" t="s">
        <v>49</v>
      </c>
    </row>
    <row r="165" spans="1:6" x14ac:dyDescent="0.25">
      <c r="A165" s="1" t="s">
        <v>340</v>
      </c>
      <c r="B165" s="1" t="s">
        <v>341</v>
      </c>
      <c r="C165" s="3">
        <v>200</v>
      </c>
      <c r="D165" s="3" t="str">
        <f ca="1">IF(B165="","",IFERROR(_xludf.XLOOKUP(_xludf.XLOOKUP(B165,Inventory!$A:$A,Inventory!$B:$B),Blades!$A:$A,Blades!$C:$C)+_xludf.XLOOKUP(_xludf.XLOOKUP(B165,Inventory!$A:$A,Inventory!$C:$C),Motor!$A:$A,Motor!$C:$C)+_xludf.XLOOKUP(_xludf.XLOOKUP(B165,Inventory!$A:$A,Inventory!$D:$D),Frame!$A:$A,Frame!$C:$C)+#REF!,""))</f>
        <v/>
      </c>
      <c r="E165" s="4">
        <v>44074</v>
      </c>
      <c r="F165" s="1" t="s">
        <v>20</v>
      </c>
    </row>
    <row r="166" spans="1:6" x14ac:dyDescent="0.25">
      <c r="A166" s="1" t="s">
        <v>342</v>
      </c>
      <c r="B166" s="1" t="s">
        <v>343</v>
      </c>
      <c r="C166" s="3">
        <v>200</v>
      </c>
      <c r="D166" s="3" t="str">
        <f ca="1">IF(B166="","",IFERROR(_xludf.XLOOKUP(_xludf.XLOOKUP(B166,Inventory!$A:$A,Inventory!$B:$B),Blades!$A:$A,Blades!$C:$C)+_xludf.XLOOKUP(_xludf.XLOOKUP(B166,Inventory!$A:$A,Inventory!$C:$C),Motor!$A:$A,Motor!$C:$C)+_xludf.XLOOKUP(_xludf.XLOOKUP(B166,Inventory!$A:$A,Inventory!$D:$D),Frame!$A:$A,Frame!$C:$C)+#REF!,""))</f>
        <v/>
      </c>
      <c r="E166" s="4">
        <v>44079</v>
      </c>
      <c r="F166" s="1" t="s">
        <v>8</v>
      </c>
    </row>
    <row r="167" spans="1:6" x14ac:dyDescent="0.25">
      <c r="A167" s="1" t="s">
        <v>344</v>
      </c>
      <c r="B167" s="1" t="s">
        <v>345</v>
      </c>
      <c r="C167" s="3">
        <v>200</v>
      </c>
      <c r="D167" s="3" t="str">
        <f ca="1">IF(B167="","",IFERROR(_xludf.XLOOKUP(_xludf.XLOOKUP(B167,Inventory!$A:$A,Inventory!$B:$B),Blades!$A:$A,Blades!$C:$C)+_xludf.XLOOKUP(_xludf.XLOOKUP(B167,Inventory!$A:$A,Inventory!$C:$C),Motor!$A:$A,Motor!$C:$C)+_xludf.XLOOKUP(_xludf.XLOOKUP(B167,Inventory!$A:$A,Inventory!$D:$D),Frame!$A:$A,Frame!$C:$C)+#REF!,""))</f>
        <v/>
      </c>
      <c r="E167" s="4">
        <v>44079</v>
      </c>
      <c r="F167" s="1" t="s">
        <v>32</v>
      </c>
    </row>
    <row r="168" spans="1:6" x14ac:dyDescent="0.25">
      <c r="A168" s="1" t="s">
        <v>346</v>
      </c>
      <c r="B168" s="1" t="s">
        <v>347</v>
      </c>
      <c r="C168" s="3">
        <v>200</v>
      </c>
      <c r="D168" s="3" t="str">
        <f ca="1">IF(B168="","",IFERROR(_xludf.XLOOKUP(_xludf.XLOOKUP(B168,Inventory!$A:$A,Inventory!$B:$B),Blades!$A:$A,Blades!$C:$C)+_xludf.XLOOKUP(_xludf.XLOOKUP(B168,Inventory!$A:$A,Inventory!$C:$C),Motor!$A:$A,Motor!$C:$C)+_xludf.XLOOKUP(_xludf.XLOOKUP(B168,Inventory!$A:$A,Inventory!$D:$D),Frame!$A:$A,Frame!$C:$C)+#REF!,""))</f>
        <v/>
      </c>
      <c r="E168" s="4">
        <v>44081</v>
      </c>
      <c r="F168" s="1" t="s">
        <v>49</v>
      </c>
    </row>
    <row r="169" spans="1:6" x14ac:dyDescent="0.25">
      <c r="A169" s="1" t="s">
        <v>348</v>
      </c>
      <c r="B169" s="1" t="s">
        <v>349</v>
      </c>
      <c r="C169" s="3">
        <v>200</v>
      </c>
      <c r="D169" s="3" t="str">
        <f ca="1">IF(B169="","",IFERROR(_xludf.XLOOKUP(_xludf.XLOOKUP(B169,Inventory!$A:$A,Inventory!$B:$B),Blades!$A:$A,Blades!$C:$C)+_xludf.XLOOKUP(_xludf.XLOOKUP(B169,Inventory!$A:$A,Inventory!$C:$C),Motor!$A:$A,Motor!$C:$C)+_xludf.XLOOKUP(_xludf.XLOOKUP(B169,Inventory!$A:$A,Inventory!$D:$D),Frame!$A:$A,Frame!$C:$C)+#REF!,""))</f>
        <v/>
      </c>
      <c r="E169" s="4">
        <v>44083</v>
      </c>
      <c r="F169" s="1" t="s">
        <v>8</v>
      </c>
    </row>
    <row r="170" spans="1:6" x14ac:dyDescent="0.25">
      <c r="A170" s="1" t="s">
        <v>350</v>
      </c>
      <c r="B170" s="1" t="s">
        <v>351</v>
      </c>
      <c r="C170" s="3">
        <v>200</v>
      </c>
      <c r="D170" s="3" t="str">
        <f ca="1">IF(B170="","",IFERROR(_xludf.XLOOKUP(_xludf.XLOOKUP(B170,Inventory!$A:$A,Inventory!$B:$B),Blades!$A:$A,Blades!$C:$C)+_xludf.XLOOKUP(_xludf.XLOOKUP(B170,Inventory!$A:$A,Inventory!$C:$C),Motor!$A:$A,Motor!$C:$C)+_xludf.XLOOKUP(_xludf.XLOOKUP(B170,Inventory!$A:$A,Inventory!$D:$D),Frame!$A:$A,Frame!$C:$C)+#REF!,""))</f>
        <v/>
      </c>
      <c r="E170" s="4">
        <v>44086</v>
      </c>
      <c r="F170" s="1" t="s">
        <v>32</v>
      </c>
    </row>
    <row r="171" spans="1:6" x14ac:dyDescent="0.25">
      <c r="A171" s="1" t="s">
        <v>352</v>
      </c>
      <c r="B171" s="1" t="s">
        <v>353</v>
      </c>
      <c r="C171" s="3">
        <v>200</v>
      </c>
      <c r="D171" s="3" t="str">
        <f ca="1">IF(B171="","",IFERROR(_xludf.XLOOKUP(_xludf.XLOOKUP(B171,Inventory!$A:$A,Inventory!$B:$B),Blades!$A:$A,Blades!$C:$C)+_xludf.XLOOKUP(_xludf.XLOOKUP(B171,Inventory!$A:$A,Inventory!$C:$C),Motor!$A:$A,Motor!$C:$C)+_xludf.XLOOKUP(_xludf.XLOOKUP(B171,Inventory!$A:$A,Inventory!$D:$D),Frame!$A:$A,Frame!$C:$C)+#REF!,""))</f>
        <v/>
      </c>
      <c r="E171" s="4">
        <v>44087</v>
      </c>
      <c r="F171" s="1" t="s">
        <v>20</v>
      </c>
    </row>
    <row r="172" spans="1:6" x14ac:dyDescent="0.25">
      <c r="A172" s="1" t="s">
        <v>354</v>
      </c>
      <c r="B172" s="1" t="s">
        <v>355</v>
      </c>
      <c r="C172" s="3">
        <v>200</v>
      </c>
      <c r="D172" s="3" t="str">
        <f ca="1">IF(B172="","",IFERROR(_xludf.XLOOKUP(_xludf.XLOOKUP(B172,Inventory!$A:$A,Inventory!$B:$B),Blades!$A:$A,Blades!$C:$C)+_xludf.XLOOKUP(_xludf.XLOOKUP(B172,Inventory!$A:$A,Inventory!$C:$C),Motor!$A:$A,Motor!$C:$C)+_xludf.XLOOKUP(_xludf.XLOOKUP(B172,Inventory!$A:$A,Inventory!$D:$D),Frame!$A:$A,Frame!$C:$C)+#REF!,""))</f>
        <v/>
      </c>
      <c r="E172" s="4">
        <v>44089</v>
      </c>
      <c r="F172" s="1" t="s">
        <v>20</v>
      </c>
    </row>
    <row r="173" spans="1:6" x14ac:dyDescent="0.25">
      <c r="A173" s="1" t="s">
        <v>356</v>
      </c>
      <c r="B173" s="1" t="s">
        <v>357</v>
      </c>
      <c r="C173" s="3">
        <v>200</v>
      </c>
      <c r="D173" s="3" t="str">
        <f ca="1">IF(B173="","",IFERROR(_xludf.XLOOKUP(_xludf.XLOOKUP(B173,Inventory!$A:$A,Inventory!$B:$B),Blades!$A:$A,Blades!$C:$C)+_xludf.XLOOKUP(_xludf.XLOOKUP(B173,Inventory!$A:$A,Inventory!$C:$C),Motor!$A:$A,Motor!$C:$C)+_xludf.XLOOKUP(_xludf.XLOOKUP(B173,Inventory!$A:$A,Inventory!$D:$D),Frame!$A:$A,Frame!$C:$C)+#REF!,""))</f>
        <v/>
      </c>
      <c r="E173" s="4">
        <v>44090</v>
      </c>
      <c r="F173" s="1" t="s">
        <v>8</v>
      </c>
    </row>
    <row r="174" spans="1:6" x14ac:dyDescent="0.25">
      <c r="A174" s="1" t="s">
        <v>358</v>
      </c>
      <c r="B174" s="1" t="s">
        <v>359</v>
      </c>
      <c r="C174" s="3">
        <v>200</v>
      </c>
      <c r="D174" s="3" t="str">
        <f ca="1">IF(B174="","",IFERROR(_xludf.XLOOKUP(_xludf.XLOOKUP(B174,Inventory!$A:$A,Inventory!$B:$B),Blades!$A:$A,Blades!$C:$C)+_xludf.XLOOKUP(_xludf.XLOOKUP(B174,Inventory!$A:$A,Inventory!$C:$C),Motor!$A:$A,Motor!$C:$C)+_xludf.XLOOKUP(_xludf.XLOOKUP(B174,Inventory!$A:$A,Inventory!$D:$D),Frame!$A:$A,Frame!$C:$C)+#REF!,""))</f>
        <v/>
      </c>
      <c r="E174" s="4">
        <v>44090</v>
      </c>
      <c r="F174" s="1" t="s">
        <v>63</v>
      </c>
    </row>
    <row r="175" spans="1:6" x14ac:dyDescent="0.25">
      <c r="A175" s="1" t="s">
        <v>360</v>
      </c>
      <c r="B175" s="1" t="s">
        <v>361</v>
      </c>
      <c r="C175" s="3">
        <v>200</v>
      </c>
      <c r="D175" s="3" t="str">
        <f ca="1">IF(B175="","",IFERROR(_xludf.XLOOKUP(_xludf.XLOOKUP(B175,Inventory!$A:$A,Inventory!$B:$B),Blades!$A:$A,Blades!$C:$C)+_xludf.XLOOKUP(_xludf.XLOOKUP(B175,Inventory!$A:$A,Inventory!$C:$C),Motor!$A:$A,Motor!$C:$C)+_xludf.XLOOKUP(_xludf.XLOOKUP(B175,Inventory!$A:$A,Inventory!$D:$D),Frame!$A:$A,Frame!$C:$C)+#REF!,""))</f>
        <v/>
      </c>
      <c r="E175" s="4">
        <v>44091</v>
      </c>
      <c r="F175" s="1" t="s">
        <v>11</v>
      </c>
    </row>
    <row r="176" spans="1:6" x14ac:dyDescent="0.25">
      <c r="A176" s="1" t="s">
        <v>362</v>
      </c>
      <c r="B176" s="1" t="s">
        <v>363</v>
      </c>
      <c r="C176" s="3">
        <v>200</v>
      </c>
      <c r="D176" s="3" t="str">
        <f ca="1">IF(B176="","",IFERROR(_xludf.XLOOKUP(_xludf.XLOOKUP(B176,Inventory!$A:$A,Inventory!$B:$B),Blades!$A:$A,Blades!$C:$C)+_xludf.XLOOKUP(_xludf.XLOOKUP(B176,Inventory!$A:$A,Inventory!$C:$C),Motor!$A:$A,Motor!$C:$C)+_xludf.XLOOKUP(_xludf.XLOOKUP(B176,Inventory!$A:$A,Inventory!$D:$D),Frame!$A:$A,Frame!$C:$C)+#REF!,""))</f>
        <v/>
      </c>
      <c r="E176" s="4">
        <v>44094</v>
      </c>
      <c r="F176" s="1" t="s">
        <v>32</v>
      </c>
    </row>
    <row r="177" spans="1:6" x14ac:dyDescent="0.25">
      <c r="A177" s="1" t="s">
        <v>364</v>
      </c>
      <c r="B177" s="1" t="s">
        <v>365</v>
      </c>
      <c r="C177" s="3">
        <v>200</v>
      </c>
      <c r="D177" s="3" t="str">
        <f ca="1">IF(B177="","",IFERROR(_xludf.XLOOKUP(_xludf.XLOOKUP(B177,Inventory!$A:$A,Inventory!$B:$B),Blades!$A:$A,Blades!$C:$C)+_xludf.XLOOKUP(_xludf.XLOOKUP(B177,Inventory!$A:$A,Inventory!$C:$C),Motor!$A:$A,Motor!$C:$C)+_xludf.XLOOKUP(_xludf.XLOOKUP(B177,Inventory!$A:$A,Inventory!$D:$D),Frame!$A:$A,Frame!$C:$C)+#REF!,""))</f>
        <v/>
      </c>
      <c r="E177" s="4">
        <v>44095</v>
      </c>
      <c r="F177" s="1" t="s">
        <v>25</v>
      </c>
    </row>
    <row r="178" spans="1:6" x14ac:dyDescent="0.25">
      <c r="A178" s="1" t="s">
        <v>366</v>
      </c>
      <c r="B178" s="1" t="s">
        <v>367</v>
      </c>
      <c r="C178" s="3">
        <v>200</v>
      </c>
      <c r="D178" s="3" t="str">
        <f ca="1">IF(B178="","",IFERROR(_xludf.XLOOKUP(_xludf.XLOOKUP(B178,Inventory!$A:$A,Inventory!$B:$B),Blades!$A:$A,Blades!$C:$C)+_xludf.XLOOKUP(_xludf.XLOOKUP(B178,Inventory!$A:$A,Inventory!$C:$C),Motor!$A:$A,Motor!$C:$C)+_xludf.XLOOKUP(_xludf.XLOOKUP(B178,Inventory!$A:$A,Inventory!$D:$D),Frame!$A:$A,Frame!$C:$C)+#REF!,""))</f>
        <v/>
      </c>
      <c r="E178" s="4">
        <v>44101</v>
      </c>
      <c r="F178" s="1" t="s">
        <v>20</v>
      </c>
    </row>
    <row r="179" spans="1:6" x14ac:dyDescent="0.25">
      <c r="A179" s="1" t="s">
        <v>368</v>
      </c>
      <c r="B179" s="1" t="s">
        <v>369</v>
      </c>
      <c r="C179" s="3">
        <v>200</v>
      </c>
      <c r="D179" s="3" t="str">
        <f ca="1">IF(B179="","",IFERROR(_xludf.XLOOKUP(_xludf.XLOOKUP(B179,Inventory!$A:$A,Inventory!$B:$B),Blades!$A:$A,Blades!$C:$C)+_xludf.XLOOKUP(_xludf.XLOOKUP(B179,Inventory!$A:$A,Inventory!$C:$C),Motor!$A:$A,Motor!$C:$C)+_xludf.XLOOKUP(_xludf.XLOOKUP(B179,Inventory!$A:$A,Inventory!$D:$D),Frame!$A:$A,Frame!$C:$C)+#REF!,""))</f>
        <v/>
      </c>
      <c r="E179" s="4">
        <v>44101</v>
      </c>
      <c r="F179" s="1" t="s">
        <v>11</v>
      </c>
    </row>
    <row r="180" spans="1:6" x14ac:dyDescent="0.25">
      <c r="A180" s="1" t="s">
        <v>370</v>
      </c>
      <c r="B180" s="1" t="s">
        <v>371</v>
      </c>
      <c r="C180" s="3">
        <v>200</v>
      </c>
      <c r="D180" s="3" t="str">
        <f ca="1">IF(B180="","",IFERROR(_xludf.XLOOKUP(_xludf.XLOOKUP(B180,Inventory!$A:$A,Inventory!$B:$B),Blades!$A:$A,Blades!$C:$C)+_xludf.XLOOKUP(_xludf.XLOOKUP(B180,Inventory!$A:$A,Inventory!$C:$C),Motor!$A:$A,Motor!$C:$C)+_xludf.XLOOKUP(_xludf.XLOOKUP(B180,Inventory!$A:$A,Inventory!$D:$D),Frame!$A:$A,Frame!$C:$C)+#REF!,""))</f>
        <v/>
      </c>
      <c r="E180" s="4">
        <v>44102</v>
      </c>
      <c r="F180" s="1" t="s">
        <v>8</v>
      </c>
    </row>
    <row r="181" spans="1:6" x14ac:dyDescent="0.25">
      <c r="A181" s="1" t="s">
        <v>372</v>
      </c>
      <c r="B181" s="1" t="s">
        <v>373</v>
      </c>
      <c r="C181" s="3">
        <v>200</v>
      </c>
      <c r="D181" s="3" t="str">
        <f ca="1">IF(B181="","",IFERROR(_xludf.XLOOKUP(_xludf.XLOOKUP(B181,Inventory!$A:$A,Inventory!$B:$B),Blades!$A:$A,Blades!$C:$C)+_xludf.XLOOKUP(_xludf.XLOOKUP(B181,Inventory!$A:$A,Inventory!$C:$C),Motor!$A:$A,Motor!$C:$C)+_xludf.XLOOKUP(_xludf.XLOOKUP(B181,Inventory!$A:$A,Inventory!$D:$D),Frame!$A:$A,Frame!$C:$C)+#REF!,""))</f>
        <v/>
      </c>
      <c r="E181" s="4">
        <v>44103</v>
      </c>
      <c r="F181" s="1" t="s">
        <v>63</v>
      </c>
    </row>
    <row r="182" spans="1:6" x14ac:dyDescent="0.25">
      <c r="A182" s="1" t="s">
        <v>374</v>
      </c>
      <c r="B182" s="1" t="s">
        <v>375</v>
      </c>
      <c r="C182" s="3">
        <v>200</v>
      </c>
      <c r="D182" s="3" t="str">
        <f ca="1">IF(B182="","",IFERROR(_xludf.XLOOKUP(_xludf.XLOOKUP(B182,Inventory!$A:$A,Inventory!$B:$B),Blades!$A:$A,Blades!$C:$C)+_xludf.XLOOKUP(_xludf.XLOOKUP(B182,Inventory!$A:$A,Inventory!$C:$C),Motor!$A:$A,Motor!$C:$C)+_xludf.XLOOKUP(_xludf.XLOOKUP(B182,Inventory!$A:$A,Inventory!$D:$D),Frame!$A:$A,Frame!$C:$C)+#REF!,""))</f>
        <v/>
      </c>
      <c r="E182" s="4">
        <v>44104</v>
      </c>
      <c r="F182" s="1" t="s">
        <v>8</v>
      </c>
    </row>
    <row r="183" spans="1:6" x14ac:dyDescent="0.25">
      <c r="A183" s="1" t="s">
        <v>376</v>
      </c>
      <c r="B183" s="1" t="s">
        <v>377</v>
      </c>
      <c r="C183" s="3">
        <v>200</v>
      </c>
      <c r="D183" s="3" t="str">
        <f ca="1">IF(B183="","",IFERROR(_xludf.XLOOKUP(_xludf.XLOOKUP(B183,Inventory!$A:$A,Inventory!$B:$B),Blades!$A:$A,Blades!$C:$C)+_xludf.XLOOKUP(_xludf.XLOOKUP(B183,Inventory!$A:$A,Inventory!$C:$C),Motor!$A:$A,Motor!$C:$C)+_xludf.XLOOKUP(_xludf.XLOOKUP(B183,Inventory!$A:$A,Inventory!$D:$D),Frame!$A:$A,Frame!$C:$C)+#REF!,""))</f>
        <v/>
      </c>
      <c r="E183" s="4">
        <v>44105</v>
      </c>
      <c r="F183" s="1" t="s">
        <v>8</v>
      </c>
    </row>
    <row r="184" spans="1:6" x14ac:dyDescent="0.25">
      <c r="A184" s="1" t="s">
        <v>378</v>
      </c>
      <c r="B184" s="1" t="s">
        <v>379</v>
      </c>
      <c r="C184" s="3">
        <v>200</v>
      </c>
      <c r="D184" s="3" t="str">
        <f ca="1">IF(B184="","",IFERROR(_xludf.XLOOKUP(_xludf.XLOOKUP(B184,Inventory!$A:$A,Inventory!$B:$B),Blades!$A:$A,Blades!$C:$C)+_xludf.XLOOKUP(_xludf.XLOOKUP(B184,Inventory!$A:$A,Inventory!$C:$C),Motor!$A:$A,Motor!$C:$C)+_xludf.XLOOKUP(_xludf.XLOOKUP(B184,Inventory!$A:$A,Inventory!$D:$D),Frame!$A:$A,Frame!$C:$C)+#REF!,""))</f>
        <v/>
      </c>
      <c r="E184" s="4">
        <v>44105</v>
      </c>
      <c r="F184" s="1" t="s">
        <v>20</v>
      </c>
    </row>
    <row r="185" spans="1:6" x14ac:dyDescent="0.25">
      <c r="A185" s="1" t="s">
        <v>380</v>
      </c>
      <c r="B185" s="1" t="s">
        <v>381</v>
      </c>
      <c r="C185" s="3">
        <v>200</v>
      </c>
      <c r="D185" s="3" t="str">
        <f ca="1">IF(B185="","",IFERROR(_xludf.XLOOKUP(_xludf.XLOOKUP(B185,Inventory!$A:$A,Inventory!$B:$B),Blades!$A:$A,Blades!$C:$C)+_xludf.XLOOKUP(_xludf.XLOOKUP(B185,Inventory!$A:$A,Inventory!$C:$C),Motor!$A:$A,Motor!$C:$C)+_xludf.XLOOKUP(_xludf.XLOOKUP(B185,Inventory!$A:$A,Inventory!$D:$D),Frame!$A:$A,Frame!$C:$C)+#REF!,""))</f>
        <v/>
      </c>
      <c r="E185" s="4">
        <v>44106</v>
      </c>
      <c r="F185" s="1" t="s">
        <v>20</v>
      </c>
    </row>
    <row r="186" spans="1:6" x14ac:dyDescent="0.25">
      <c r="A186" s="1" t="s">
        <v>382</v>
      </c>
      <c r="B186" s="1" t="s">
        <v>383</v>
      </c>
      <c r="C186" s="3">
        <v>200</v>
      </c>
      <c r="D186" s="3" t="str">
        <f ca="1">IF(B186="","",IFERROR(_xludf.XLOOKUP(_xludf.XLOOKUP(B186,Inventory!$A:$A,Inventory!$B:$B),Blades!$A:$A,Blades!$C:$C)+_xludf.XLOOKUP(_xludf.XLOOKUP(B186,Inventory!$A:$A,Inventory!$C:$C),Motor!$A:$A,Motor!$C:$C)+_xludf.XLOOKUP(_xludf.XLOOKUP(B186,Inventory!$A:$A,Inventory!$D:$D),Frame!$A:$A,Frame!$C:$C)+#REF!,""))</f>
        <v/>
      </c>
      <c r="E186" s="4">
        <v>44107</v>
      </c>
      <c r="F186" s="1" t="s">
        <v>49</v>
      </c>
    </row>
    <row r="187" spans="1:6" x14ac:dyDescent="0.25">
      <c r="A187" s="1" t="s">
        <v>384</v>
      </c>
      <c r="B187" s="1" t="s">
        <v>385</v>
      </c>
      <c r="C187" s="3">
        <v>200</v>
      </c>
      <c r="D187" s="3" t="str">
        <f ca="1">IF(B187="","",IFERROR(_xludf.XLOOKUP(_xludf.XLOOKUP(B187,Inventory!$A:$A,Inventory!$B:$B),Blades!$A:$A,Blades!$C:$C)+_xludf.XLOOKUP(_xludf.XLOOKUP(B187,Inventory!$A:$A,Inventory!$C:$C),Motor!$A:$A,Motor!$C:$C)+_xludf.XLOOKUP(_xludf.XLOOKUP(B187,Inventory!$A:$A,Inventory!$D:$D),Frame!$A:$A,Frame!$C:$C)+#REF!,""))</f>
        <v/>
      </c>
      <c r="E187" s="4">
        <v>44107</v>
      </c>
      <c r="F187" s="1" t="s">
        <v>20</v>
      </c>
    </row>
    <row r="188" spans="1:6" x14ac:dyDescent="0.25">
      <c r="A188" s="1" t="s">
        <v>386</v>
      </c>
      <c r="B188" s="1" t="s">
        <v>387</v>
      </c>
      <c r="C188" s="3">
        <v>200</v>
      </c>
      <c r="D188" s="3" t="str">
        <f ca="1">IF(B188="","",IFERROR(_xludf.XLOOKUP(_xludf.XLOOKUP(B188,Inventory!$A:$A,Inventory!$B:$B),Blades!$A:$A,Blades!$C:$C)+_xludf.XLOOKUP(_xludf.XLOOKUP(B188,Inventory!$A:$A,Inventory!$C:$C),Motor!$A:$A,Motor!$C:$C)+_xludf.XLOOKUP(_xludf.XLOOKUP(B188,Inventory!$A:$A,Inventory!$D:$D),Frame!$A:$A,Frame!$C:$C)+#REF!,""))</f>
        <v/>
      </c>
      <c r="E188" s="4">
        <v>44107</v>
      </c>
      <c r="F188" s="1" t="s">
        <v>25</v>
      </c>
    </row>
    <row r="189" spans="1:6" x14ac:dyDescent="0.25">
      <c r="A189" s="1" t="s">
        <v>388</v>
      </c>
      <c r="B189" s="1" t="s">
        <v>389</v>
      </c>
      <c r="C189" s="3">
        <v>200</v>
      </c>
      <c r="D189" s="3" t="str">
        <f ca="1">IF(B189="","",IFERROR(_xludf.XLOOKUP(_xludf.XLOOKUP(B189,Inventory!$A:$A,Inventory!$B:$B),Blades!$A:$A,Blades!$C:$C)+_xludf.XLOOKUP(_xludf.XLOOKUP(B189,Inventory!$A:$A,Inventory!$C:$C),Motor!$A:$A,Motor!$C:$C)+_xludf.XLOOKUP(_xludf.XLOOKUP(B189,Inventory!$A:$A,Inventory!$D:$D),Frame!$A:$A,Frame!$C:$C)+#REF!,""))</f>
        <v/>
      </c>
      <c r="E189" s="4">
        <v>44110</v>
      </c>
      <c r="F189" s="1" t="s">
        <v>63</v>
      </c>
    </row>
    <row r="190" spans="1:6" x14ac:dyDescent="0.25">
      <c r="A190" s="1" t="s">
        <v>390</v>
      </c>
      <c r="B190" s="1" t="s">
        <v>391</v>
      </c>
      <c r="C190" s="3">
        <v>200</v>
      </c>
      <c r="D190" s="3" t="str">
        <f ca="1">IF(B190="","",IFERROR(_xludf.XLOOKUP(_xludf.XLOOKUP(B190,Inventory!$A:$A,Inventory!$B:$B),Blades!$A:$A,Blades!$C:$C)+_xludf.XLOOKUP(_xludf.XLOOKUP(B190,Inventory!$A:$A,Inventory!$C:$C),Motor!$A:$A,Motor!$C:$C)+_xludf.XLOOKUP(_xludf.XLOOKUP(B190,Inventory!$A:$A,Inventory!$D:$D),Frame!$A:$A,Frame!$C:$C)+#REF!,""))</f>
        <v/>
      </c>
      <c r="E190" s="4">
        <v>44110</v>
      </c>
      <c r="F190" s="1" t="s">
        <v>52</v>
      </c>
    </row>
    <row r="191" spans="1:6" x14ac:dyDescent="0.25">
      <c r="A191" s="1" t="s">
        <v>392</v>
      </c>
      <c r="B191" s="1" t="s">
        <v>393</v>
      </c>
      <c r="C191" s="3">
        <v>200</v>
      </c>
      <c r="D191" s="3" t="str">
        <f ca="1">IF(B191="","",IFERROR(_xludf.XLOOKUP(_xludf.XLOOKUP(B191,Inventory!$A:$A,Inventory!$B:$B),Blades!$A:$A,Blades!$C:$C)+_xludf.XLOOKUP(_xludf.XLOOKUP(B191,Inventory!$A:$A,Inventory!$C:$C),Motor!$A:$A,Motor!$C:$C)+_xludf.XLOOKUP(_xludf.XLOOKUP(B191,Inventory!$A:$A,Inventory!$D:$D),Frame!$A:$A,Frame!$C:$C)+#REF!,""))</f>
        <v/>
      </c>
      <c r="E191" s="4">
        <v>44112</v>
      </c>
      <c r="F191" s="1" t="s">
        <v>32</v>
      </c>
    </row>
    <row r="192" spans="1:6" x14ac:dyDescent="0.25">
      <c r="A192" s="1" t="s">
        <v>394</v>
      </c>
      <c r="B192" s="1" t="s">
        <v>395</v>
      </c>
      <c r="C192" s="3">
        <v>200</v>
      </c>
      <c r="D192" s="3" t="str">
        <f ca="1">IF(B192="","",IFERROR(_xludf.XLOOKUP(_xludf.XLOOKUP(B192,Inventory!$A:$A,Inventory!$B:$B),Blades!$A:$A,Blades!$C:$C)+_xludf.XLOOKUP(_xludf.XLOOKUP(B192,Inventory!$A:$A,Inventory!$C:$C),Motor!$A:$A,Motor!$C:$C)+_xludf.XLOOKUP(_xludf.XLOOKUP(B192,Inventory!$A:$A,Inventory!$D:$D),Frame!$A:$A,Frame!$C:$C)+#REF!,""))</f>
        <v/>
      </c>
      <c r="E192" s="4">
        <v>44113</v>
      </c>
      <c r="F192" s="1" t="s">
        <v>63</v>
      </c>
    </row>
    <row r="193" spans="1:6" x14ac:dyDescent="0.25">
      <c r="A193" s="1" t="s">
        <v>396</v>
      </c>
      <c r="B193" s="1" t="s">
        <v>397</v>
      </c>
      <c r="C193" s="3">
        <v>200</v>
      </c>
      <c r="D193" s="3" t="str">
        <f ca="1">IF(B193="","",IFERROR(_xludf.XLOOKUP(_xludf.XLOOKUP(B193,Inventory!$A:$A,Inventory!$B:$B),Blades!$A:$A,Blades!$C:$C)+_xludf.XLOOKUP(_xludf.XLOOKUP(B193,Inventory!$A:$A,Inventory!$C:$C),Motor!$A:$A,Motor!$C:$C)+_xludf.XLOOKUP(_xludf.XLOOKUP(B193,Inventory!$A:$A,Inventory!$D:$D),Frame!$A:$A,Frame!$C:$C)+#REF!,""))</f>
        <v/>
      </c>
      <c r="E193" s="4">
        <v>44114</v>
      </c>
      <c r="F193" s="1" t="s">
        <v>32</v>
      </c>
    </row>
    <row r="194" spans="1:6" x14ac:dyDescent="0.25">
      <c r="A194" s="1" t="s">
        <v>398</v>
      </c>
      <c r="B194" s="1" t="s">
        <v>399</v>
      </c>
      <c r="C194" s="3">
        <v>200</v>
      </c>
      <c r="D194" s="3" t="str">
        <f ca="1">IF(B194="","",IFERROR(_xludf.XLOOKUP(_xludf.XLOOKUP(B194,Inventory!$A:$A,Inventory!$B:$B),Blades!$A:$A,Blades!$C:$C)+_xludf.XLOOKUP(_xludf.XLOOKUP(B194,Inventory!$A:$A,Inventory!$C:$C),Motor!$A:$A,Motor!$C:$C)+_xludf.XLOOKUP(_xludf.XLOOKUP(B194,Inventory!$A:$A,Inventory!$D:$D),Frame!$A:$A,Frame!$C:$C)+#REF!,""))</f>
        <v/>
      </c>
      <c r="E194" s="4">
        <v>44114</v>
      </c>
      <c r="F194" s="1" t="s">
        <v>32</v>
      </c>
    </row>
    <row r="195" spans="1:6" x14ac:dyDescent="0.25">
      <c r="A195" s="1" t="s">
        <v>400</v>
      </c>
      <c r="B195" s="1" t="s">
        <v>401</v>
      </c>
      <c r="C195" s="3">
        <v>200</v>
      </c>
      <c r="D195" s="3" t="str">
        <f ca="1">IF(B195="","",IFERROR(_xludf.XLOOKUP(_xludf.XLOOKUP(B195,Inventory!$A:$A,Inventory!$B:$B),Blades!$A:$A,Blades!$C:$C)+_xludf.XLOOKUP(_xludf.XLOOKUP(B195,Inventory!$A:$A,Inventory!$C:$C),Motor!$A:$A,Motor!$C:$C)+_xludf.XLOOKUP(_xludf.XLOOKUP(B195,Inventory!$A:$A,Inventory!$D:$D),Frame!$A:$A,Frame!$C:$C)+#REF!,""))</f>
        <v/>
      </c>
      <c r="E195" s="4">
        <v>44116</v>
      </c>
      <c r="F195" s="1" t="s">
        <v>49</v>
      </c>
    </row>
    <row r="196" spans="1:6" x14ac:dyDescent="0.25">
      <c r="A196" s="1" t="s">
        <v>402</v>
      </c>
      <c r="B196" s="1" t="s">
        <v>403</v>
      </c>
      <c r="C196" s="3">
        <v>200</v>
      </c>
      <c r="D196" s="3" t="str">
        <f ca="1">IF(B196="","",IFERROR(_xludf.XLOOKUP(_xludf.XLOOKUP(B196,Inventory!$A:$A,Inventory!$B:$B),Blades!$A:$A,Blades!$C:$C)+_xludf.XLOOKUP(_xludf.XLOOKUP(B196,Inventory!$A:$A,Inventory!$C:$C),Motor!$A:$A,Motor!$C:$C)+_xludf.XLOOKUP(_xludf.XLOOKUP(B196,Inventory!$A:$A,Inventory!$D:$D),Frame!$A:$A,Frame!$C:$C)+#REF!,""))</f>
        <v/>
      </c>
      <c r="E196" s="4">
        <v>44118</v>
      </c>
      <c r="F196" s="1" t="s">
        <v>63</v>
      </c>
    </row>
    <row r="197" spans="1:6" x14ac:dyDescent="0.25">
      <c r="A197" s="1" t="s">
        <v>404</v>
      </c>
      <c r="B197" s="1" t="s">
        <v>405</v>
      </c>
      <c r="C197" s="3">
        <v>200</v>
      </c>
      <c r="D197" s="3" t="str">
        <f ca="1">IF(B197="","",IFERROR(_xludf.XLOOKUP(_xludf.XLOOKUP(B197,Inventory!$A:$A,Inventory!$B:$B),Blades!$A:$A,Blades!$C:$C)+_xludf.XLOOKUP(_xludf.XLOOKUP(B197,Inventory!$A:$A,Inventory!$C:$C),Motor!$A:$A,Motor!$C:$C)+_xludf.XLOOKUP(_xludf.XLOOKUP(B197,Inventory!$A:$A,Inventory!$D:$D),Frame!$A:$A,Frame!$C:$C)+#REF!,""))</f>
        <v/>
      </c>
      <c r="E197" s="4">
        <v>44118</v>
      </c>
      <c r="F197" s="1" t="s">
        <v>63</v>
      </c>
    </row>
    <row r="198" spans="1:6" x14ac:dyDescent="0.25">
      <c r="A198" s="1" t="s">
        <v>406</v>
      </c>
      <c r="B198" s="1" t="s">
        <v>407</v>
      </c>
      <c r="C198" s="3">
        <v>200</v>
      </c>
      <c r="D198" s="3" t="str">
        <f ca="1">IF(B198="","",IFERROR(_xludf.XLOOKUP(_xludf.XLOOKUP(B198,Inventory!$A:$A,Inventory!$B:$B),Blades!$A:$A,Blades!$C:$C)+_xludf.XLOOKUP(_xludf.XLOOKUP(B198,Inventory!$A:$A,Inventory!$C:$C),Motor!$A:$A,Motor!$C:$C)+_xludf.XLOOKUP(_xludf.XLOOKUP(B198,Inventory!$A:$A,Inventory!$D:$D),Frame!$A:$A,Frame!$C:$C)+#REF!,""))</f>
        <v/>
      </c>
      <c r="E198" s="4">
        <v>44121</v>
      </c>
      <c r="F198" s="1" t="s">
        <v>11</v>
      </c>
    </row>
    <row r="199" spans="1:6" x14ac:dyDescent="0.25">
      <c r="A199" s="1" t="s">
        <v>408</v>
      </c>
      <c r="B199" s="1" t="s">
        <v>409</v>
      </c>
      <c r="C199" s="3">
        <v>200</v>
      </c>
      <c r="D199" s="3" t="str">
        <f ca="1">IF(B199="","",IFERROR(_xludf.XLOOKUP(_xludf.XLOOKUP(B199,Inventory!$A:$A,Inventory!$B:$B),Blades!$A:$A,Blades!$C:$C)+_xludf.XLOOKUP(_xludf.XLOOKUP(B199,Inventory!$A:$A,Inventory!$C:$C),Motor!$A:$A,Motor!$C:$C)+_xludf.XLOOKUP(_xludf.XLOOKUP(B199,Inventory!$A:$A,Inventory!$D:$D),Frame!$A:$A,Frame!$C:$C)+#REF!,""))</f>
        <v/>
      </c>
      <c r="E199" s="4">
        <v>44121</v>
      </c>
      <c r="F199" s="1" t="s">
        <v>20</v>
      </c>
    </row>
    <row r="200" spans="1:6" x14ac:dyDescent="0.25">
      <c r="A200" s="1" t="s">
        <v>410</v>
      </c>
      <c r="B200" s="1" t="s">
        <v>411</v>
      </c>
      <c r="C200" s="3">
        <v>200</v>
      </c>
      <c r="D200" s="3" t="str">
        <f ca="1">IF(B200="","",IFERROR(_xludf.XLOOKUP(_xludf.XLOOKUP(B200,Inventory!$A:$A,Inventory!$B:$B),Blades!$A:$A,Blades!$C:$C)+_xludf.XLOOKUP(_xludf.XLOOKUP(B200,Inventory!$A:$A,Inventory!$C:$C),Motor!$A:$A,Motor!$C:$C)+_xludf.XLOOKUP(_xludf.XLOOKUP(B200,Inventory!$A:$A,Inventory!$D:$D),Frame!$A:$A,Frame!$C:$C)+#REF!,""))</f>
        <v/>
      </c>
      <c r="E200" s="4">
        <v>44123</v>
      </c>
      <c r="F200" s="1" t="s">
        <v>20</v>
      </c>
    </row>
    <row r="201" spans="1:6" x14ac:dyDescent="0.25">
      <c r="A201" s="1" t="s">
        <v>412</v>
      </c>
      <c r="B201" s="1" t="s">
        <v>413</v>
      </c>
      <c r="C201" s="3">
        <v>200</v>
      </c>
      <c r="D201" s="3" t="str">
        <f ca="1">IF(B201="","",IFERROR(_xludf.XLOOKUP(_xludf.XLOOKUP(B201,Inventory!$A:$A,Inventory!$B:$B),Blades!$A:$A,Blades!$C:$C)+_xludf.XLOOKUP(_xludf.XLOOKUP(B201,Inventory!$A:$A,Inventory!$C:$C),Motor!$A:$A,Motor!$C:$C)+_xludf.XLOOKUP(_xludf.XLOOKUP(B201,Inventory!$A:$A,Inventory!$D:$D),Frame!$A:$A,Frame!$C:$C)+#REF!,""))</f>
        <v/>
      </c>
      <c r="E201" s="4">
        <v>44126</v>
      </c>
      <c r="F201" s="1" t="s">
        <v>63</v>
      </c>
    </row>
    <row r="202" spans="1:6" x14ac:dyDescent="0.25">
      <c r="A202" s="1" t="s">
        <v>414</v>
      </c>
      <c r="B202" s="1" t="s">
        <v>415</v>
      </c>
      <c r="C202" s="3">
        <v>200</v>
      </c>
      <c r="D202" s="3" t="str">
        <f ca="1">IF(B202="","",IFERROR(_xludf.XLOOKUP(_xludf.XLOOKUP(B202,Inventory!$A:$A,Inventory!$B:$B),Blades!$A:$A,Blades!$C:$C)+_xludf.XLOOKUP(_xludf.XLOOKUP(B202,Inventory!$A:$A,Inventory!$C:$C),Motor!$A:$A,Motor!$C:$C)+_xludf.XLOOKUP(_xludf.XLOOKUP(B202,Inventory!$A:$A,Inventory!$D:$D),Frame!$A:$A,Frame!$C:$C)+#REF!,""))</f>
        <v/>
      </c>
      <c r="E202" s="4">
        <v>44126</v>
      </c>
      <c r="F202" s="1" t="s">
        <v>11</v>
      </c>
    </row>
    <row r="203" spans="1:6" x14ac:dyDescent="0.25">
      <c r="A203" s="1" t="s">
        <v>416</v>
      </c>
      <c r="B203" s="1" t="s">
        <v>417</v>
      </c>
      <c r="C203" s="3">
        <v>200</v>
      </c>
      <c r="D203" s="3" t="str">
        <f ca="1">IF(B203="","",IFERROR(_xludf.XLOOKUP(_xludf.XLOOKUP(B203,Inventory!$A:$A,Inventory!$B:$B),Blades!$A:$A,Blades!$C:$C)+_xludf.XLOOKUP(_xludf.XLOOKUP(B203,Inventory!$A:$A,Inventory!$C:$C),Motor!$A:$A,Motor!$C:$C)+_xludf.XLOOKUP(_xludf.XLOOKUP(B203,Inventory!$A:$A,Inventory!$D:$D),Frame!$A:$A,Frame!$C:$C)+#REF!,""))</f>
        <v/>
      </c>
      <c r="E203" s="4">
        <v>44129</v>
      </c>
      <c r="F203" s="1" t="s">
        <v>49</v>
      </c>
    </row>
    <row r="204" spans="1:6" x14ac:dyDescent="0.25">
      <c r="A204" s="1" t="s">
        <v>418</v>
      </c>
      <c r="B204" s="1" t="s">
        <v>419</v>
      </c>
      <c r="C204" s="3">
        <v>200</v>
      </c>
      <c r="D204" s="3" t="str">
        <f ca="1">IF(B204="","",IFERROR(_xludf.XLOOKUP(_xludf.XLOOKUP(B204,Inventory!$A:$A,Inventory!$B:$B),Blades!$A:$A,Blades!$C:$C)+_xludf.XLOOKUP(_xludf.XLOOKUP(B204,Inventory!$A:$A,Inventory!$C:$C),Motor!$A:$A,Motor!$C:$C)+_xludf.XLOOKUP(_xludf.XLOOKUP(B204,Inventory!$A:$A,Inventory!$D:$D),Frame!$A:$A,Frame!$C:$C)+#REF!,""))</f>
        <v/>
      </c>
      <c r="E204" s="4">
        <v>44130</v>
      </c>
      <c r="F204" s="1" t="s">
        <v>8</v>
      </c>
    </row>
    <row r="205" spans="1:6" x14ac:dyDescent="0.25">
      <c r="A205" s="1" t="s">
        <v>420</v>
      </c>
      <c r="B205" s="1" t="s">
        <v>421</v>
      </c>
      <c r="C205" s="3">
        <v>200</v>
      </c>
      <c r="D205" s="3" t="str">
        <f ca="1">IF(B205="","",IFERROR(_xludf.XLOOKUP(_xludf.XLOOKUP(B205,Inventory!$A:$A,Inventory!$B:$B),Blades!$A:$A,Blades!$C:$C)+_xludf.XLOOKUP(_xludf.XLOOKUP(B205,Inventory!$A:$A,Inventory!$C:$C),Motor!$A:$A,Motor!$C:$C)+_xludf.XLOOKUP(_xludf.XLOOKUP(B205,Inventory!$A:$A,Inventory!$D:$D),Frame!$A:$A,Frame!$C:$C)+#REF!,""))</f>
        <v/>
      </c>
      <c r="E205" s="4">
        <v>44132</v>
      </c>
      <c r="F205" s="1" t="s">
        <v>32</v>
      </c>
    </row>
    <row r="206" spans="1:6" x14ac:dyDescent="0.25">
      <c r="A206" s="1" t="s">
        <v>422</v>
      </c>
      <c r="B206" s="1" t="s">
        <v>423</v>
      </c>
      <c r="C206" s="3">
        <v>200</v>
      </c>
      <c r="D206" s="3" t="str">
        <f ca="1">IF(B206="","",IFERROR(_xludf.XLOOKUP(_xludf.XLOOKUP(B206,Inventory!$A:$A,Inventory!$B:$B),Blades!$A:$A,Blades!$C:$C)+_xludf.XLOOKUP(_xludf.XLOOKUP(B206,Inventory!$A:$A,Inventory!$C:$C),Motor!$A:$A,Motor!$C:$C)+_xludf.XLOOKUP(_xludf.XLOOKUP(B206,Inventory!$A:$A,Inventory!$D:$D),Frame!$A:$A,Frame!$C:$C)+#REF!,""))</f>
        <v/>
      </c>
      <c r="E206" s="4">
        <v>44132</v>
      </c>
      <c r="F206" s="1" t="s">
        <v>11</v>
      </c>
    </row>
    <row r="207" spans="1:6" x14ac:dyDescent="0.25">
      <c r="A207" s="1" t="s">
        <v>424</v>
      </c>
      <c r="B207" s="1" t="s">
        <v>425</v>
      </c>
      <c r="C207" s="3">
        <v>200</v>
      </c>
      <c r="D207" s="3" t="str">
        <f ca="1">IF(B207="","",IFERROR(_xludf.XLOOKUP(_xludf.XLOOKUP(B207,Inventory!$A:$A,Inventory!$B:$B),Blades!$A:$A,Blades!$C:$C)+_xludf.XLOOKUP(_xludf.XLOOKUP(B207,Inventory!$A:$A,Inventory!$C:$C),Motor!$A:$A,Motor!$C:$C)+_xludf.XLOOKUP(_xludf.XLOOKUP(B207,Inventory!$A:$A,Inventory!$D:$D),Frame!$A:$A,Frame!$C:$C)+#REF!,""))</f>
        <v/>
      </c>
      <c r="E207" s="4">
        <v>44132</v>
      </c>
      <c r="F207" s="1" t="s">
        <v>8</v>
      </c>
    </row>
    <row r="208" spans="1:6" x14ac:dyDescent="0.25">
      <c r="A208" s="1" t="s">
        <v>426</v>
      </c>
      <c r="B208" s="1" t="s">
        <v>427</v>
      </c>
      <c r="C208" s="3">
        <v>200</v>
      </c>
      <c r="D208" s="3" t="str">
        <f ca="1">IF(B208="","",IFERROR(_xludf.XLOOKUP(_xludf.XLOOKUP(B208,Inventory!$A:$A,Inventory!$B:$B),Blades!$A:$A,Blades!$C:$C)+_xludf.XLOOKUP(_xludf.XLOOKUP(B208,Inventory!$A:$A,Inventory!$C:$C),Motor!$A:$A,Motor!$C:$C)+_xludf.XLOOKUP(_xludf.XLOOKUP(B208,Inventory!$A:$A,Inventory!$D:$D),Frame!$A:$A,Frame!$C:$C)+#REF!,""))</f>
        <v/>
      </c>
      <c r="E208" s="4">
        <v>44133</v>
      </c>
      <c r="F208" s="1" t="s">
        <v>20</v>
      </c>
    </row>
    <row r="209" spans="1:6" x14ac:dyDescent="0.25">
      <c r="A209" s="1" t="s">
        <v>428</v>
      </c>
      <c r="B209" s="1" t="s">
        <v>429</v>
      </c>
      <c r="C209" s="3">
        <v>200</v>
      </c>
      <c r="D209" s="3" t="str">
        <f ca="1">IF(B209="","",IFERROR(_xludf.XLOOKUP(_xludf.XLOOKUP(B209,Inventory!$A:$A,Inventory!$B:$B),Blades!$A:$A,Blades!$C:$C)+_xludf.XLOOKUP(_xludf.XLOOKUP(B209,Inventory!$A:$A,Inventory!$C:$C),Motor!$A:$A,Motor!$C:$C)+_xludf.XLOOKUP(_xludf.XLOOKUP(B209,Inventory!$A:$A,Inventory!$D:$D),Frame!$A:$A,Frame!$C:$C)+#REF!,""))</f>
        <v/>
      </c>
      <c r="E209" s="4">
        <v>44136</v>
      </c>
      <c r="F209" s="1" t="s">
        <v>11</v>
      </c>
    </row>
    <row r="210" spans="1:6" x14ac:dyDescent="0.25">
      <c r="A210" s="1" t="s">
        <v>430</v>
      </c>
      <c r="B210" s="1" t="s">
        <v>431</v>
      </c>
      <c r="C210" s="3">
        <v>200</v>
      </c>
      <c r="D210" s="3" t="str">
        <f ca="1">IF(B210="","",IFERROR(_xludf.XLOOKUP(_xludf.XLOOKUP(B210,Inventory!$A:$A,Inventory!$B:$B),Blades!$A:$A,Blades!$C:$C)+_xludf.XLOOKUP(_xludf.XLOOKUP(B210,Inventory!$A:$A,Inventory!$C:$C),Motor!$A:$A,Motor!$C:$C)+_xludf.XLOOKUP(_xludf.XLOOKUP(B210,Inventory!$A:$A,Inventory!$D:$D),Frame!$A:$A,Frame!$C:$C)+#REF!,""))</f>
        <v/>
      </c>
      <c r="E210" s="4">
        <v>44136</v>
      </c>
      <c r="F210" s="1" t="s">
        <v>63</v>
      </c>
    </row>
    <row r="211" spans="1:6" x14ac:dyDescent="0.25">
      <c r="A211" s="1" t="s">
        <v>432</v>
      </c>
      <c r="B211" s="1" t="s">
        <v>433</v>
      </c>
      <c r="C211" s="3">
        <v>200</v>
      </c>
      <c r="D211" s="3" t="str">
        <f ca="1">IF(B211="","",IFERROR(_xludf.XLOOKUP(_xludf.XLOOKUP(B211,Inventory!$A:$A,Inventory!$B:$B),Blades!$A:$A,Blades!$C:$C)+_xludf.XLOOKUP(_xludf.XLOOKUP(B211,Inventory!$A:$A,Inventory!$C:$C),Motor!$A:$A,Motor!$C:$C)+_xludf.XLOOKUP(_xludf.XLOOKUP(B211,Inventory!$A:$A,Inventory!$D:$D),Frame!$A:$A,Frame!$C:$C)+#REF!,""))</f>
        <v/>
      </c>
      <c r="E211" s="4">
        <v>44137</v>
      </c>
      <c r="F211" s="1" t="s">
        <v>52</v>
      </c>
    </row>
    <row r="212" spans="1:6" x14ac:dyDescent="0.25">
      <c r="A212" s="1" t="s">
        <v>434</v>
      </c>
      <c r="B212" s="1" t="s">
        <v>435</v>
      </c>
      <c r="C212" s="3">
        <v>200</v>
      </c>
      <c r="D212" s="3" t="str">
        <f ca="1">IF(B212="","",IFERROR(_xludf.XLOOKUP(_xludf.XLOOKUP(B212,Inventory!$A:$A,Inventory!$B:$B),Blades!$A:$A,Blades!$C:$C)+_xludf.XLOOKUP(_xludf.XLOOKUP(B212,Inventory!$A:$A,Inventory!$C:$C),Motor!$A:$A,Motor!$C:$C)+_xludf.XLOOKUP(_xludf.XLOOKUP(B212,Inventory!$A:$A,Inventory!$D:$D),Frame!$A:$A,Frame!$C:$C)+#REF!,""))</f>
        <v/>
      </c>
      <c r="E212" s="4">
        <v>44139</v>
      </c>
      <c r="F212" s="1" t="s">
        <v>49</v>
      </c>
    </row>
    <row r="213" spans="1:6" x14ac:dyDescent="0.25">
      <c r="A213" s="1" t="s">
        <v>436</v>
      </c>
      <c r="B213" s="1" t="s">
        <v>437</v>
      </c>
      <c r="C213" s="3">
        <v>200</v>
      </c>
      <c r="D213" s="3" t="str">
        <f ca="1">IF(B213="","",IFERROR(_xludf.XLOOKUP(_xludf.XLOOKUP(B213,Inventory!$A:$A,Inventory!$B:$B),Blades!$A:$A,Blades!$C:$C)+_xludf.XLOOKUP(_xludf.XLOOKUP(B213,Inventory!$A:$A,Inventory!$C:$C),Motor!$A:$A,Motor!$C:$C)+_xludf.XLOOKUP(_xludf.XLOOKUP(B213,Inventory!$A:$A,Inventory!$D:$D),Frame!$A:$A,Frame!$C:$C)+#REF!,""))</f>
        <v/>
      </c>
      <c r="E213" s="4">
        <v>44140</v>
      </c>
      <c r="F213" s="1" t="s">
        <v>8</v>
      </c>
    </row>
    <row r="214" spans="1:6" x14ac:dyDescent="0.25">
      <c r="A214" s="1" t="s">
        <v>438</v>
      </c>
      <c r="B214" s="1" t="s">
        <v>439</v>
      </c>
      <c r="C214" s="3">
        <v>200</v>
      </c>
      <c r="D214" s="3" t="str">
        <f ca="1">IF(B214="","",IFERROR(_xludf.XLOOKUP(_xludf.XLOOKUP(B214,Inventory!$A:$A,Inventory!$B:$B),Blades!$A:$A,Blades!$C:$C)+_xludf.XLOOKUP(_xludf.XLOOKUP(B214,Inventory!$A:$A,Inventory!$C:$C),Motor!$A:$A,Motor!$C:$C)+_xludf.XLOOKUP(_xludf.XLOOKUP(B214,Inventory!$A:$A,Inventory!$D:$D),Frame!$A:$A,Frame!$C:$C)+#REF!,""))</f>
        <v/>
      </c>
      <c r="E214" s="4">
        <v>44141</v>
      </c>
      <c r="F214" s="1" t="s">
        <v>25</v>
      </c>
    </row>
    <row r="215" spans="1:6" x14ac:dyDescent="0.25">
      <c r="A215" s="1" t="s">
        <v>440</v>
      </c>
      <c r="B215" s="1" t="s">
        <v>441</v>
      </c>
      <c r="C215" s="3">
        <v>200</v>
      </c>
      <c r="D215" s="3" t="str">
        <f ca="1">IF(B215="","",IFERROR(_xludf.XLOOKUP(_xludf.XLOOKUP(B215,Inventory!$A:$A,Inventory!$B:$B),Blades!$A:$A,Blades!$C:$C)+_xludf.XLOOKUP(_xludf.XLOOKUP(B215,Inventory!$A:$A,Inventory!$C:$C),Motor!$A:$A,Motor!$C:$C)+_xludf.XLOOKUP(_xludf.XLOOKUP(B215,Inventory!$A:$A,Inventory!$D:$D),Frame!$A:$A,Frame!$C:$C)+#REF!,""))</f>
        <v/>
      </c>
      <c r="E215" s="4">
        <v>44142</v>
      </c>
      <c r="F215" s="1" t="s">
        <v>52</v>
      </c>
    </row>
    <row r="216" spans="1:6" x14ac:dyDescent="0.25">
      <c r="A216" s="1" t="s">
        <v>442</v>
      </c>
      <c r="B216" s="1" t="s">
        <v>443</v>
      </c>
      <c r="C216" s="3">
        <v>200</v>
      </c>
      <c r="D216" s="3" t="str">
        <f ca="1">IF(B216="","",IFERROR(_xludf.XLOOKUP(_xludf.XLOOKUP(B216,Inventory!$A:$A,Inventory!$B:$B),Blades!$A:$A,Blades!$C:$C)+_xludf.XLOOKUP(_xludf.XLOOKUP(B216,Inventory!$A:$A,Inventory!$C:$C),Motor!$A:$A,Motor!$C:$C)+_xludf.XLOOKUP(_xludf.XLOOKUP(B216,Inventory!$A:$A,Inventory!$D:$D),Frame!$A:$A,Frame!$C:$C)+#REF!,""))</f>
        <v/>
      </c>
      <c r="E216" s="4">
        <v>44142</v>
      </c>
      <c r="F216" s="1" t="s">
        <v>52</v>
      </c>
    </row>
    <row r="217" spans="1:6" x14ac:dyDescent="0.25">
      <c r="A217" s="1" t="s">
        <v>444</v>
      </c>
      <c r="B217" s="1" t="s">
        <v>445</v>
      </c>
      <c r="C217" s="3">
        <v>200</v>
      </c>
      <c r="D217" s="3" t="str">
        <f ca="1">IF(B217="","",IFERROR(_xludf.XLOOKUP(_xludf.XLOOKUP(B217,Inventory!$A:$A,Inventory!$B:$B),Blades!$A:$A,Blades!$C:$C)+_xludf.XLOOKUP(_xludf.XLOOKUP(B217,Inventory!$A:$A,Inventory!$C:$C),Motor!$A:$A,Motor!$C:$C)+_xludf.XLOOKUP(_xludf.XLOOKUP(B217,Inventory!$A:$A,Inventory!$D:$D),Frame!$A:$A,Frame!$C:$C)+#REF!,""))</f>
        <v/>
      </c>
      <c r="E217" s="4">
        <v>44147</v>
      </c>
      <c r="F217" s="1" t="s">
        <v>25</v>
      </c>
    </row>
    <row r="218" spans="1:6" x14ac:dyDescent="0.25">
      <c r="A218" s="1" t="s">
        <v>446</v>
      </c>
      <c r="B218" s="1" t="s">
        <v>447</v>
      </c>
      <c r="C218" s="3">
        <v>200</v>
      </c>
      <c r="D218" s="3" t="str">
        <f ca="1">IF(B218="","",IFERROR(_xludf.XLOOKUP(_xludf.XLOOKUP(B218,Inventory!$A:$A,Inventory!$B:$B),Blades!$A:$A,Blades!$C:$C)+_xludf.XLOOKUP(_xludf.XLOOKUP(B218,Inventory!$A:$A,Inventory!$C:$C),Motor!$A:$A,Motor!$C:$C)+_xludf.XLOOKUP(_xludf.XLOOKUP(B218,Inventory!$A:$A,Inventory!$D:$D),Frame!$A:$A,Frame!$C:$C)+#REF!,""))</f>
        <v/>
      </c>
      <c r="E218" s="4">
        <v>44151</v>
      </c>
      <c r="F218" s="1" t="s">
        <v>63</v>
      </c>
    </row>
    <row r="219" spans="1:6" x14ac:dyDescent="0.25">
      <c r="A219" s="1" t="s">
        <v>448</v>
      </c>
      <c r="B219" s="1" t="s">
        <v>449</v>
      </c>
      <c r="C219" s="3">
        <v>200</v>
      </c>
      <c r="D219" s="3" t="str">
        <f ca="1">IF(B219="","",IFERROR(_xludf.XLOOKUP(_xludf.XLOOKUP(B219,Inventory!$A:$A,Inventory!$B:$B),Blades!$A:$A,Blades!$C:$C)+_xludf.XLOOKUP(_xludf.XLOOKUP(B219,Inventory!$A:$A,Inventory!$C:$C),Motor!$A:$A,Motor!$C:$C)+_xludf.XLOOKUP(_xludf.XLOOKUP(B219,Inventory!$A:$A,Inventory!$D:$D),Frame!$A:$A,Frame!$C:$C)+#REF!,""))</f>
        <v/>
      </c>
      <c r="E219" s="4">
        <v>44152</v>
      </c>
      <c r="F219" s="1" t="s">
        <v>32</v>
      </c>
    </row>
    <row r="220" spans="1:6" x14ac:dyDescent="0.25">
      <c r="A220" s="1" t="s">
        <v>450</v>
      </c>
      <c r="B220" s="1" t="s">
        <v>451</v>
      </c>
      <c r="C220" s="3">
        <v>200</v>
      </c>
      <c r="D220" s="3" t="str">
        <f ca="1">IF(B220="","",IFERROR(_xludf.XLOOKUP(_xludf.XLOOKUP(B220,Inventory!$A:$A,Inventory!$B:$B),Blades!$A:$A,Blades!$C:$C)+_xludf.XLOOKUP(_xludf.XLOOKUP(B220,Inventory!$A:$A,Inventory!$C:$C),Motor!$A:$A,Motor!$C:$C)+_xludf.XLOOKUP(_xludf.XLOOKUP(B220,Inventory!$A:$A,Inventory!$D:$D),Frame!$A:$A,Frame!$C:$C)+#REF!,""))</f>
        <v/>
      </c>
      <c r="E220" s="4">
        <v>44152</v>
      </c>
      <c r="F220" s="1" t="s">
        <v>49</v>
      </c>
    </row>
    <row r="221" spans="1:6" x14ac:dyDescent="0.25">
      <c r="A221" s="1" t="s">
        <v>452</v>
      </c>
      <c r="B221" s="1" t="s">
        <v>453</v>
      </c>
      <c r="C221" s="3">
        <v>200</v>
      </c>
      <c r="D221" s="3" t="str">
        <f ca="1">IF(B221="","",IFERROR(_xludf.XLOOKUP(_xludf.XLOOKUP(B221,Inventory!$A:$A,Inventory!$B:$B),Blades!$A:$A,Blades!$C:$C)+_xludf.XLOOKUP(_xludf.XLOOKUP(B221,Inventory!$A:$A,Inventory!$C:$C),Motor!$A:$A,Motor!$C:$C)+_xludf.XLOOKUP(_xludf.XLOOKUP(B221,Inventory!$A:$A,Inventory!$D:$D),Frame!$A:$A,Frame!$C:$C)+#REF!,""))</f>
        <v/>
      </c>
      <c r="E221" s="4">
        <v>44154</v>
      </c>
      <c r="F221" s="1" t="s">
        <v>20</v>
      </c>
    </row>
    <row r="222" spans="1:6" x14ac:dyDescent="0.25">
      <c r="A222" s="1" t="s">
        <v>454</v>
      </c>
      <c r="B222" s="1" t="s">
        <v>455</v>
      </c>
      <c r="C222" s="3">
        <v>200</v>
      </c>
      <c r="D222" s="3" t="str">
        <f ca="1">IF(B222="","",IFERROR(_xludf.XLOOKUP(_xludf.XLOOKUP(B222,Inventory!$A:$A,Inventory!$B:$B),Blades!$A:$A,Blades!$C:$C)+_xludf.XLOOKUP(_xludf.XLOOKUP(B222,Inventory!$A:$A,Inventory!$C:$C),Motor!$A:$A,Motor!$C:$C)+_xludf.XLOOKUP(_xludf.XLOOKUP(B222,Inventory!$A:$A,Inventory!$D:$D),Frame!$A:$A,Frame!$C:$C)+#REF!,""))</f>
        <v/>
      </c>
      <c r="E222" s="4">
        <v>44156</v>
      </c>
      <c r="F222" s="1" t="s">
        <v>49</v>
      </c>
    </row>
    <row r="223" spans="1:6" x14ac:dyDescent="0.25">
      <c r="A223" s="1" t="s">
        <v>456</v>
      </c>
      <c r="B223" s="1" t="s">
        <v>457</v>
      </c>
      <c r="C223" s="3">
        <v>200</v>
      </c>
      <c r="D223" s="3" t="str">
        <f ca="1">IF(B223="","",IFERROR(_xludf.XLOOKUP(_xludf.XLOOKUP(B223,Inventory!$A:$A,Inventory!$B:$B),Blades!$A:$A,Blades!$C:$C)+_xludf.XLOOKUP(_xludf.XLOOKUP(B223,Inventory!$A:$A,Inventory!$C:$C),Motor!$A:$A,Motor!$C:$C)+_xludf.XLOOKUP(_xludf.XLOOKUP(B223,Inventory!$A:$A,Inventory!$D:$D),Frame!$A:$A,Frame!$C:$C)+#REF!,""))</f>
        <v/>
      </c>
      <c r="E223" s="4">
        <v>44156</v>
      </c>
      <c r="F223" s="1" t="s">
        <v>25</v>
      </c>
    </row>
    <row r="224" spans="1:6" x14ac:dyDescent="0.25">
      <c r="A224" s="1" t="s">
        <v>458</v>
      </c>
      <c r="B224" s="1" t="s">
        <v>459</v>
      </c>
      <c r="C224" s="3">
        <v>200</v>
      </c>
      <c r="D224" s="3" t="str">
        <f ca="1">IF(B224="","",IFERROR(_xludf.XLOOKUP(_xludf.XLOOKUP(B224,Inventory!$A:$A,Inventory!$B:$B),Blades!$A:$A,Blades!$C:$C)+_xludf.XLOOKUP(_xludf.XLOOKUP(B224,Inventory!$A:$A,Inventory!$C:$C),Motor!$A:$A,Motor!$C:$C)+_xludf.XLOOKUP(_xludf.XLOOKUP(B224,Inventory!$A:$A,Inventory!$D:$D),Frame!$A:$A,Frame!$C:$C)+#REF!,""))</f>
        <v/>
      </c>
      <c r="E224" s="4">
        <v>44158</v>
      </c>
      <c r="F224" s="1" t="s">
        <v>63</v>
      </c>
    </row>
    <row r="225" spans="1:6" x14ac:dyDescent="0.25">
      <c r="A225" s="1" t="s">
        <v>460</v>
      </c>
      <c r="B225" s="1" t="s">
        <v>461</v>
      </c>
      <c r="C225" s="3">
        <v>200</v>
      </c>
      <c r="D225" s="3" t="str">
        <f ca="1">IF(B225="","",IFERROR(_xludf.XLOOKUP(_xludf.XLOOKUP(B225,Inventory!$A:$A,Inventory!$B:$B),Blades!$A:$A,Blades!$C:$C)+_xludf.XLOOKUP(_xludf.XLOOKUP(B225,Inventory!$A:$A,Inventory!$C:$C),Motor!$A:$A,Motor!$C:$C)+_xludf.XLOOKUP(_xludf.XLOOKUP(B225,Inventory!$A:$A,Inventory!$D:$D),Frame!$A:$A,Frame!$C:$C)+#REF!,""))</f>
        <v/>
      </c>
      <c r="E225" s="4">
        <v>44158</v>
      </c>
      <c r="F225" s="1" t="s">
        <v>8</v>
      </c>
    </row>
    <row r="226" spans="1:6" x14ac:dyDescent="0.25">
      <c r="A226" s="1" t="s">
        <v>462</v>
      </c>
      <c r="B226" s="1" t="s">
        <v>463</v>
      </c>
      <c r="C226" s="3">
        <v>200</v>
      </c>
      <c r="D226" s="3" t="str">
        <f ca="1">IF(B226="","",IFERROR(_xludf.XLOOKUP(_xludf.XLOOKUP(B226,Inventory!$A:$A,Inventory!$B:$B),Blades!$A:$A,Blades!$C:$C)+_xludf.XLOOKUP(_xludf.XLOOKUP(B226,Inventory!$A:$A,Inventory!$C:$C),Motor!$A:$A,Motor!$C:$C)+_xludf.XLOOKUP(_xludf.XLOOKUP(B226,Inventory!$A:$A,Inventory!$D:$D),Frame!$A:$A,Frame!$C:$C)+#REF!,""))</f>
        <v/>
      </c>
      <c r="E226" s="4">
        <v>44158</v>
      </c>
      <c r="F226" s="1" t="s">
        <v>8</v>
      </c>
    </row>
    <row r="227" spans="1:6" x14ac:dyDescent="0.25">
      <c r="A227" s="1" t="s">
        <v>464</v>
      </c>
      <c r="B227" s="1" t="s">
        <v>465</v>
      </c>
      <c r="C227" s="3">
        <v>200</v>
      </c>
      <c r="D227" s="3" t="str">
        <f ca="1">IF(B227="","",IFERROR(_xludf.XLOOKUP(_xludf.XLOOKUP(B227,Inventory!$A:$A,Inventory!$B:$B),Blades!$A:$A,Blades!$C:$C)+_xludf.XLOOKUP(_xludf.XLOOKUP(B227,Inventory!$A:$A,Inventory!$C:$C),Motor!$A:$A,Motor!$C:$C)+_xludf.XLOOKUP(_xludf.XLOOKUP(B227,Inventory!$A:$A,Inventory!$D:$D),Frame!$A:$A,Frame!$C:$C)+#REF!,""))</f>
        <v/>
      </c>
      <c r="E227" s="4">
        <v>44159</v>
      </c>
      <c r="F227" s="1" t="s">
        <v>11</v>
      </c>
    </row>
    <row r="228" spans="1:6" x14ac:dyDescent="0.25">
      <c r="A228" s="1" t="s">
        <v>466</v>
      </c>
      <c r="B228" s="1" t="s">
        <v>467</v>
      </c>
      <c r="C228" s="3">
        <v>200</v>
      </c>
      <c r="D228" s="3" t="str">
        <f ca="1">IF(B228="","",IFERROR(_xludf.XLOOKUP(_xludf.XLOOKUP(B228,Inventory!$A:$A,Inventory!$B:$B),Blades!$A:$A,Blades!$C:$C)+_xludf.XLOOKUP(_xludf.XLOOKUP(B228,Inventory!$A:$A,Inventory!$C:$C),Motor!$A:$A,Motor!$C:$C)+_xludf.XLOOKUP(_xludf.XLOOKUP(B228,Inventory!$A:$A,Inventory!$D:$D),Frame!$A:$A,Frame!$C:$C)+#REF!,""))</f>
        <v/>
      </c>
      <c r="E228" s="4">
        <v>44160</v>
      </c>
      <c r="F228" s="1" t="s">
        <v>49</v>
      </c>
    </row>
    <row r="229" spans="1:6" x14ac:dyDescent="0.25">
      <c r="A229" s="1" t="s">
        <v>468</v>
      </c>
      <c r="B229" s="1" t="s">
        <v>469</v>
      </c>
      <c r="C229" s="3">
        <v>200</v>
      </c>
      <c r="D229" s="3" t="str">
        <f ca="1">IF(B229="","",IFERROR(_xludf.XLOOKUP(_xludf.XLOOKUP(B229,Inventory!$A:$A,Inventory!$B:$B),Blades!$A:$A,Blades!$C:$C)+_xludf.XLOOKUP(_xludf.XLOOKUP(B229,Inventory!$A:$A,Inventory!$C:$C),Motor!$A:$A,Motor!$C:$C)+_xludf.XLOOKUP(_xludf.XLOOKUP(B229,Inventory!$A:$A,Inventory!$D:$D),Frame!$A:$A,Frame!$C:$C)+#REF!,""))</f>
        <v/>
      </c>
      <c r="E229" s="4">
        <v>44162</v>
      </c>
      <c r="F229" s="1" t="s">
        <v>20</v>
      </c>
    </row>
    <row r="230" spans="1:6" x14ac:dyDescent="0.25">
      <c r="A230" s="1" t="s">
        <v>470</v>
      </c>
      <c r="B230" s="1" t="s">
        <v>471</v>
      </c>
      <c r="C230" s="3">
        <v>200</v>
      </c>
      <c r="D230" s="3" t="str">
        <f ca="1">IF(B230="","",IFERROR(_xludf.XLOOKUP(_xludf.XLOOKUP(B230,Inventory!$A:$A,Inventory!$B:$B),Blades!$A:$A,Blades!$C:$C)+_xludf.XLOOKUP(_xludf.XLOOKUP(B230,Inventory!$A:$A,Inventory!$C:$C),Motor!$A:$A,Motor!$C:$C)+_xludf.XLOOKUP(_xludf.XLOOKUP(B230,Inventory!$A:$A,Inventory!$D:$D),Frame!$A:$A,Frame!$C:$C)+#REF!,""))</f>
        <v/>
      </c>
      <c r="E230" s="4">
        <v>44163</v>
      </c>
      <c r="F230" s="1" t="s">
        <v>52</v>
      </c>
    </row>
    <row r="231" spans="1:6" x14ac:dyDescent="0.25">
      <c r="A231" s="1" t="s">
        <v>472</v>
      </c>
      <c r="B231" s="1" t="s">
        <v>473</v>
      </c>
      <c r="C231" s="3">
        <v>200</v>
      </c>
      <c r="D231" s="3" t="str">
        <f ca="1">IF(B231="","",IFERROR(_xludf.XLOOKUP(_xludf.XLOOKUP(B231,Inventory!$A:$A,Inventory!$B:$B),Blades!$A:$A,Blades!$C:$C)+_xludf.XLOOKUP(_xludf.XLOOKUP(B231,Inventory!$A:$A,Inventory!$C:$C),Motor!$A:$A,Motor!$C:$C)+_xludf.XLOOKUP(_xludf.XLOOKUP(B231,Inventory!$A:$A,Inventory!$D:$D),Frame!$A:$A,Frame!$C:$C)+#REF!,""))</f>
        <v/>
      </c>
      <c r="E231" s="4">
        <v>44163</v>
      </c>
      <c r="F231" s="1" t="s">
        <v>8</v>
      </c>
    </row>
    <row r="232" spans="1:6" x14ac:dyDescent="0.25">
      <c r="A232" s="1" t="s">
        <v>474</v>
      </c>
      <c r="B232" s="1" t="s">
        <v>475</v>
      </c>
      <c r="C232" s="3">
        <v>200</v>
      </c>
      <c r="D232" s="3" t="str">
        <f ca="1">IF(B232="","",IFERROR(_xludf.XLOOKUP(_xludf.XLOOKUP(B232,Inventory!$A:$A,Inventory!$B:$B),Blades!$A:$A,Blades!$C:$C)+_xludf.XLOOKUP(_xludf.XLOOKUP(B232,Inventory!$A:$A,Inventory!$C:$C),Motor!$A:$A,Motor!$C:$C)+_xludf.XLOOKUP(_xludf.XLOOKUP(B232,Inventory!$A:$A,Inventory!$D:$D),Frame!$A:$A,Frame!$C:$C)+#REF!,""))</f>
        <v/>
      </c>
      <c r="E232" s="4">
        <v>44166</v>
      </c>
      <c r="F232" s="1" t="s">
        <v>49</v>
      </c>
    </row>
    <row r="233" spans="1:6" x14ac:dyDescent="0.25">
      <c r="A233" s="1" t="s">
        <v>476</v>
      </c>
      <c r="B233" s="1" t="s">
        <v>477</v>
      </c>
      <c r="C233" s="3">
        <v>200</v>
      </c>
      <c r="D233" s="3" t="str">
        <f ca="1">IF(B233="","",IFERROR(_xludf.XLOOKUP(_xludf.XLOOKUP(B233,Inventory!$A:$A,Inventory!$B:$B),Blades!$A:$A,Blades!$C:$C)+_xludf.XLOOKUP(_xludf.XLOOKUP(B233,Inventory!$A:$A,Inventory!$C:$C),Motor!$A:$A,Motor!$C:$C)+_xludf.XLOOKUP(_xludf.XLOOKUP(B233,Inventory!$A:$A,Inventory!$D:$D),Frame!$A:$A,Frame!$C:$C)+#REF!,""))</f>
        <v/>
      </c>
      <c r="E233" s="4">
        <v>44168</v>
      </c>
      <c r="F233" s="1" t="s">
        <v>8</v>
      </c>
    </row>
    <row r="234" spans="1:6" x14ac:dyDescent="0.25">
      <c r="A234" s="1" t="s">
        <v>478</v>
      </c>
      <c r="B234" s="1" t="s">
        <v>479</v>
      </c>
      <c r="C234" s="3">
        <v>200</v>
      </c>
      <c r="D234" s="3" t="str">
        <f ca="1">IF(B234="","",IFERROR(_xludf.XLOOKUP(_xludf.XLOOKUP(B234,Inventory!$A:$A,Inventory!$B:$B),Blades!$A:$A,Blades!$C:$C)+_xludf.XLOOKUP(_xludf.XLOOKUP(B234,Inventory!$A:$A,Inventory!$C:$C),Motor!$A:$A,Motor!$C:$C)+_xludf.XLOOKUP(_xludf.XLOOKUP(B234,Inventory!$A:$A,Inventory!$D:$D),Frame!$A:$A,Frame!$C:$C)+#REF!,""))</f>
        <v/>
      </c>
      <c r="E234" s="4">
        <v>44169</v>
      </c>
      <c r="F234" s="1" t="s">
        <v>11</v>
      </c>
    </row>
    <row r="235" spans="1:6" x14ac:dyDescent="0.25">
      <c r="A235" s="1" t="s">
        <v>480</v>
      </c>
      <c r="B235" s="1" t="s">
        <v>481</v>
      </c>
      <c r="C235" s="3">
        <v>200</v>
      </c>
      <c r="D235" s="3" t="str">
        <f ca="1">IF(B235="","",IFERROR(_xludf.XLOOKUP(_xludf.XLOOKUP(B235,Inventory!$A:$A,Inventory!$B:$B),Blades!$A:$A,Blades!$C:$C)+_xludf.XLOOKUP(_xludf.XLOOKUP(B235,Inventory!$A:$A,Inventory!$C:$C),Motor!$A:$A,Motor!$C:$C)+_xludf.XLOOKUP(_xludf.XLOOKUP(B235,Inventory!$A:$A,Inventory!$D:$D),Frame!$A:$A,Frame!$C:$C)+#REF!,""))</f>
        <v/>
      </c>
      <c r="E235" s="4">
        <v>44173</v>
      </c>
      <c r="F235" s="1" t="s">
        <v>25</v>
      </c>
    </row>
    <row r="236" spans="1:6" x14ac:dyDescent="0.25">
      <c r="A236" s="1" t="s">
        <v>482</v>
      </c>
      <c r="B236" s="1" t="s">
        <v>483</v>
      </c>
      <c r="C236" s="3">
        <v>200</v>
      </c>
      <c r="D236" s="3" t="str">
        <f ca="1">IF(B236="","",IFERROR(_xludf.XLOOKUP(_xludf.XLOOKUP(B236,Inventory!$A:$A,Inventory!$B:$B),Blades!$A:$A,Blades!$C:$C)+_xludf.XLOOKUP(_xludf.XLOOKUP(B236,Inventory!$A:$A,Inventory!$C:$C),Motor!$A:$A,Motor!$C:$C)+_xludf.XLOOKUP(_xludf.XLOOKUP(B236,Inventory!$A:$A,Inventory!$D:$D),Frame!$A:$A,Frame!$C:$C)+#REF!,""))</f>
        <v/>
      </c>
      <c r="E236" s="4">
        <v>44174</v>
      </c>
      <c r="F236" s="1" t="s">
        <v>11</v>
      </c>
    </row>
    <row r="237" spans="1:6" x14ac:dyDescent="0.25">
      <c r="A237" s="1" t="s">
        <v>484</v>
      </c>
      <c r="B237" s="1" t="s">
        <v>485</v>
      </c>
      <c r="C237" s="3">
        <v>200</v>
      </c>
      <c r="D237" s="3" t="str">
        <f ca="1">IF(B237="","",IFERROR(_xludf.XLOOKUP(_xludf.XLOOKUP(B237,Inventory!$A:$A,Inventory!$B:$B),Blades!$A:$A,Blades!$C:$C)+_xludf.XLOOKUP(_xludf.XLOOKUP(B237,Inventory!$A:$A,Inventory!$C:$C),Motor!$A:$A,Motor!$C:$C)+_xludf.XLOOKUP(_xludf.XLOOKUP(B237,Inventory!$A:$A,Inventory!$D:$D),Frame!$A:$A,Frame!$C:$C)+#REF!,""))</f>
        <v/>
      </c>
      <c r="E237" s="4">
        <v>44174</v>
      </c>
      <c r="F237" s="1" t="s">
        <v>20</v>
      </c>
    </row>
    <row r="238" spans="1:6" x14ac:dyDescent="0.25">
      <c r="A238" s="1" t="s">
        <v>486</v>
      </c>
      <c r="B238" s="1" t="s">
        <v>487</v>
      </c>
      <c r="C238" s="3">
        <v>200</v>
      </c>
      <c r="D238" s="3" t="str">
        <f ca="1">IF(B238="","",IFERROR(_xludf.XLOOKUP(_xludf.XLOOKUP(B238,Inventory!$A:$A,Inventory!$B:$B),Blades!$A:$A,Blades!$C:$C)+_xludf.XLOOKUP(_xludf.XLOOKUP(B238,Inventory!$A:$A,Inventory!$C:$C),Motor!$A:$A,Motor!$C:$C)+_xludf.XLOOKUP(_xludf.XLOOKUP(B238,Inventory!$A:$A,Inventory!$D:$D),Frame!$A:$A,Frame!$C:$C)+#REF!,""))</f>
        <v/>
      </c>
      <c r="E238" s="4">
        <v>44177</v>
      </c>
      <c r="F238" s="1" t="s">
        <v>63</v>
      </c>
    </row>
    <row r="239" spans="1:6" x14ac:dyDescent="0.25">
      <c r="A239" s="1" t="s">
        <v>488</v>
      </c>
      <c r="B239" s="1" t="s">
        <v>489</v>
      </c>
      <c r="C239" s="3">
        <v>200</v>
      </c>
      <c r="D239" s="3" t="str">
        <f ca="1">IF(B239="","",IFERROR(_xludf.XLOOKUP(_xludf.XLOOKUP(B239,Inventory!$A:$A,Inventory!$B:$B),Blades!$A:$A,Blades!$C:$C)+_xludf.XLOOKUP(_xludf.XLOOKUP(B239,Inventory!$A:$A,Inventory!$C:$C),Motor!$A:$A,Motor!$C:$C)+_xludf.XLOOKUP(_xludf.XLOOKUP(B239,Inventory!$A:$A,Inventory!$D:$D),Frame!$A:$A,Frame!$C:$C)+#REF!,""))</f>
        <v/>
      </c>
      <c r="E239" s="4">
        <v>44179</v>
      </c>
      <c r="F239" s="1" t="s">
        <v>8</v>
      </c>
    </row>
    <row r="240" spans="1:6" x14ac:dyDescent="0.25">
      <c r="A240" s="1" t="s">
        <v>490</v>
      </c>
      <c r="B240" s="1" t="s">
        <v>491</v>
      </c>
      <c r="C240" s="3">
        <v>200</v>
      </c>
      <c r="D240" s="3" t="str">
        <f ca="1">IF(B240="","",IFERROR(_xludf.XLOOKUP(_xludf.XLOOKUP(B240,Inventory!$A:$A,Inventory!$B:$B),Blades!$A:$A,Blades!$C:$C)+_xludf.XLOOKUP(_xludf.XLOOKUP(B240,Inventory!$A:$A,Inventory!$C:$C),Motor!$A:$A,Motor!$C:$C)+_xludf.XLOOKUP(_xludf.XLOOKUP(B240,Inventory!$A:$A,Inventory!$D:$D),Frame!$A:$A,Frame!$C:$C)+#REF!,""))</f>
        <v/>
      </c>
      <c r="E240" s="4">
        <v>44179</v>
      </c>
      <c r="F240" s="1" t="s">
        <v>49</v>
      </c>
    </row>
    <row r="241" spans="1:6" x14ac:dyDescent="0.25">
      <c r="A241" s="1" t="s">
        <v>492</v>
      </c>
      <c r="B241" s="1" t="s">
        <v>493</v>
      </c>
      <c r="C241" s="3">
        <v>200</v>
      </c>
      <c r="D241" s="3" t="str">
        <f ca="1">IF(B241="","",IFERROR(_xludf.XLOOKUP(_xludf.XLOOKUP(B241,Inventory!$A:$A,Inventory!$B:$B),Blades!$A:$A,Blades!$C:$C)+_xludf.XLOOKUP(_xludf.XLOOKUP(B241,Inventory!$A:$A,Inventory!$C:$C),Motor!$A:$A,Motor!$C:$C)+_xludf.XLOOKUP(_xludf.XLOOKUP(B241,Inventory!$A:$A,Inventory!$D:$D),Frame!$A:$A,Frame!$C:$C)+#REF!,""))</f>
        <v/>
      </c>
      <c r="E241" s="4">
        <v>44180</v>
      </c>
      <c r="F241" s="1" t="s">
        <v>20</v>
      </c>
    </row>
    <row r="242" spans="1:6" x14ac:dyDescent="0.25">
      <c r="A242" s="1" t="s">
        <v>494</v>
      </c>
      <c r="B242" s="1" t="s">
        <v>495</v>
      </c>
      <c r="C242" s="3">
        <v>200</v>
      </c>
      <c r="D242" s="3" t="str">
        <f ca="1">IF(B242="","",IFERROR(_xludf.XLOOKUP(_xludf.XLOOKUP(B242,Inventory!$A:$A,Inventory!$B:$B),Blades!$A:$A,Blades!$C:$C)+_xludf.XLOOKUP(_xludf.XLOOKUP(B242,Inventory!$A:$A,Inventory!$C:$C),Motor!$A:$A,Motor!$C:$C)+_xludf.XLOOKUP(_xludf.XLOOKUP(B242,Inventory!$A:$A,Inventory!$D:$D),Frame!$A:$A,Frame!$C:$C)+#REF!,""))</f>
        <v/>
      </c>
      <c r="E242" s="4">
        <v>44180</v>
      </c>
      <c r="F242" s="1" t="s">
        <v>25</v>
      </c>
    </row>
    <row r="243" spans="1:6" x14ac:dyDescent="0.25">
      <c r="A243" s="1" t="s">
        <v>496</v>
      </c>
      <c r="B243" s="1" t="s">
        <v>497</v>
      </c>
      <c r="C243" s="3">
        <v>200</v>
      </c>
      <c r="D243" s="3" t="str">
        <f ca="1">IF(B243="","",IFERROR(_xludf.XLOOKUP(_xludf.XLOOKUP(B243,Inventory!$A:$A,Inventory!$B:$B),Blades!$A:$A,Blades!$C:$C)+_xludf.XLOOKUP(_xludf.XLOOKUP(B243,Inventory!$A:$A,Inventory!$C:$C),Motor!$A:$A,Motor!$C:$C)+_xludf.XLOOKUP(_xludf.XLOOKUP(B243,Inventory!$A:$A,Inventory!$D:$D),Frame!$A:$A,Frame!$C:$C)+#REF!,""))</f>
        <v/>
      </c>
      <c r="E243" s="4">
        <v>44181</v>
      </c>
      <c r="F243" s="1" t="s">
        <v>25</v>
      </c>
    </row>
    <row r="244" spans="1:6" x14ac:dyDescent="0.25">
      <c r="A244" s="1" t="s">
        <v>498</v>
      </c>
      <c r="B244" s="1" t="s">
        <v>499</v>
      </c>
      <c r="C244" s="3">
        <v>200</v>
      </c>
      <c r="D244" s="3" t="str">
        <f ca="1">IF(B244="","",IFERROR(_xludf.XLOOKUP(_xludf.XLOOKUP(B244,Inventory!$A:$A,Inventory!$B:$B),Blades!$A:$A,Blades!$C:$C)+_xludf.XLOOKUP(_xludf.XLOOKUP(B244,Inventory!$A:$A,Inventory!$C:$C),Motor!$A:$A,Motor!$C:$C)+_xludf.XLOOKUP(_xludf.XLOOKUP(B244,Inventory!$A:$A,Inventory!$D:$D),Frame!$A:$A,Frame!$C:$C)+#REF!,""))</f>
        <v/>
      </c>
      <c r="E244" s="4">
        <v>44183</v>
      </c>
      <c r="F244" s="1" t="s">
        <v>49</v>
      </c>
    </row>
    <row r="245" spans="1:6" x14ac:dyDescent="0.25">
      <c r="A245" s="1" t="s">
        <v>500</v>
      </c>
      <c r="B245" s="1" t="s">
        <v>501</v>
      </c>
      <c r="C245" s="3">
        <v>200</v>
      </c>
      <c r="D245" s="3" t="str">
        <f ca="1">IF(B245="","",IFERROR(_xludf.XLOOKUP(_xludf.XLOOKUP(B245,Inventory!$A:$A,Inventory!$B:$B),Blades!$A:$A,Blades!$C:$C)+_xludf.XLOOKUP(_xludf.XLOOKUP(B245,Inventory!$A:$A,Inventory!$C:$C),Motor!$A:$A,Motor!$C:$C)+_xludf.XLOOKUP(_xludf.XLOOKUP(B245,Inventory!$A:$A,Inventory!$D:$D),Frame!$A:$A,Frame!$C:$C)+#REF!,""))</f>
        <v/>
      </c>
      <c r="E245" s="4">
        <v>44184</v>
      </c>
      <c r="F245" s="1" t="s">
        <v>20</v>
      </c>
    </row>
    <row r="246" spans="1:6" x14ac:dyDescent="0.25">
      <c r="A246" s="1" t="s">
        <v>502</v>
      </c>
      <c r="B246" s="1" t="s">
        <v>503</v>
      </c>
      <c r="C246" s="3">
        <v>200</v>
      </c>
      <c r="D246" s="3" t="str">
        <f ca="1">IF(B246="","",IFERROR(_xludf.XLOOKUP(_xludf.XLOOKUP(B246,Inventory!$A:$A,Inventory!$B:$B),Blades!$A:$A,Blades!$C:$C)+_xludf.XLOOKUP(_xludf.XLOOKUP(B246,Inventory!$A:$A,Inventory!$C:$C),Motor!$A:$A,Motor!$C:$C)+_xludf.XLOOKUP(_xludf.XLOOKUP(B246,Inventory!$A:$A,Inventory!$D:$D),Frame!$A:$A,Frame!$C:$C)+#REF!,""))</f>
        <v/>
      </c>
      <c r="E246" s="4">
        <v>44188</v>
      </c>
      <c r="F246" s="1" t="s">
        <v>11</v>
      </c>
    </row>
    <row r="247" spans="1:6" x14ac:dyDescent="0.25">
      <c r="A247" s="1" t="s">
        <v>504</v>
      </c>
      <c r="B247" s="1" t="s">
        <v>505</v>
      </c>
      <c r="C247" s="3">
        <v>200</v>
      </c>
      <c r="D247" s="3" t="str">
        <f ca="1">IF(B247="","",IFERROR(_xludf.XLOOKUP(_xludf.XLOOKUP(B247,Inventory!$A:$A,Inventory!$B:$B),Blades!$A:$A,Blades!$C:$C)+_xludf.XLOOKUP(_xludf.XLOOKUP(B247,Inventory!$A:$A,Inventory!$C:$C),Motor!$A:$A,Motor!$C:$C)+_xludf.XLOOKUP(_xludf.XLOOKUP(B247,Inventory!$A:$A,Inventory!$D:$D),Frame!$A:$A,Frame!$C:$C)+#REF!,""))</f>
        <v/>
      </c>
      <c r="E247" s="4">
        <v>44190</v>
      </c>
      <c r="F247" s="1" t="s">
        <v>49</v>
      </c>
    </row>
    <row r="248" spans="1:6" x14ac:dyDescent="0.25">
      <c r="A248" s="1" t="s">
        <v>506</v>
      </c>
      <c r="B248" s="1" t="s">
        <v>507</v>
      </c>
      <c r="C248" s="3">
        <v>200</v>
      </c>
      <c r="D248" s="3" t="str">
        <f ca="1">IF(B248="","",IFERROR(_xludf.XLOOKUP(_xludf.XLOOKUP(B248,Inventory!$A:$A,Inventory!$B:$B),Blades!$A:$A,Blades!$C:$C)+_xludf.XLOOKUP(_xludf.XLOOKUP(B248,Inventory!$A:$A,Inventory!$C:$C),Motor!$A:$A,Motor!$C:$C)+_xludf.XLOOKUP(_xludf.XLOOKUP(B248,Inventory!$A:$A,Inventory!$D:$D),Frame!$A:$A,Frame!$C:$C)+#REF!,""))</f>
        <v/>
      </c>
      <c r="E248" s="4">
        <v>44190</v>
      </c>
      <c r="F248" s="1" t="s">
        <v>11</v>
      </c>
    </row>
    <row r="249" spans="1:6" x14ac:dyDescent="0.25">
      <c r="A249" s="1" t="s">
        <v>508</v>
      </c>
      <c r="B249" s="1" t="s">
        <v>509</v>
      </c>
      <c r="C249" s="3">
        <v>200</v>
      </c>
      <c r="D249" s="3" t="str">
        <f ca="1">IF(B249="","",IFERROR(_xludf.XLOOKUP(_xludf.XLOOKUP(B249,Inventory!$A:$A,Inventory!$B:$B),Blades!$A:$A,Blades!$C:$C)+_xludf.XLOOKUP(_xludf.XLOOKUP(B249,Inventory!$A:$A,Inventory!$C:$C),Motor!$A:$A,Motor!$C:$C)+_xludf.XLOOKUP(_xludf.XLOOKUP(B249,Inventory!$A:$A,Inventory!$D:$D),Frame!$A:$A,Frame!$C:$C)+#REF!,""))</f>
        <v/>
      </c>
      <c r="E249" s="4">
        <v>44191</v>
      </c>
      <c r="F249" s="1" t="s">
        <v>25</v>
      </c>
    </row>
    <row r="250" spans="1:6" x14ac:dyDescent="0.25">
      <c r="A250" s="1" t="s">
        <v>510</v>
      </c>
      <c r="B250" s="1" t="s">
        <v>511</v>
      </c>
      <c r="C250" s="3">
        <v>200</v>
      </c>
      <c r="D250" s="3" t="str">
        <f ca="1">IF(B250="","",IFERROR(_xludf.XLOOKUP(_xludf.XLOOKUP(B250,Inventory!$A:$A,Inventory!$B:$B),Blades!$A:$A,Blades!$C:$C)+_xludf.XLOOKUP(_xludf.XLOOKUP(B250,Inventory!$A:$A,Inventory!$C:$C),Motor!$A:$A,Motor!$C:$C)+_xludf.XLOOKUP(_xludf.XLOOKUP(B250,Inventory!$A:$A,Inventory!$D:$D),Frame!$A:$A,Frame!$C:$C)+#REF!,""))</f>
        <v/>
      </c>
      <c r="E250" s="4">
        <v>44193</v>
      </c>
      <c r="F250" s="1" t="s">
        <v>8</v>
      </c>
    </row>
    <row r="251" spans="1:6" x14ac:dyDescent="0.25">
      <c r="A251" s="1" t="s">
        <v>512</v>
      </c>
      <c r="B251" s="1" t="s">
        <v>513</v>
      </c>
      <c r="C251" s="3">
        <v>200</v>
      </c>
      <c r="D251" s="3" t="str">
        <f ca="1">IF(B251="","",IFERROR(_xludf.XLOOKUP(_xludf.XLOOKUP(B251,Inventory!$A:$A,Inventory!$B:$B),Blades!$A:$A,Blades!$C:$C)+_xludf.XLOOKUP(_xludf.XLOOKUP(B251,Inventory!$A:$A,Inventory!$C:$C),Motor!$A:$A,Motor!$C:$C)+_xludf.XLOOKUP(_xludf.XLOOKUP(B251,Inventory!$A:$A,Inventory!$D:$D),Frame!$A:$A,Frame!$C:$C)+#REF!,""))</f>
        <v/>
      </c>
      <c r="E251" s="4">
        <v>44196</v>
      </c>
      <c r="F251" s="1" t="s">
        <v>11</v>
      </c>
    </row>
    <row r="252" spans="1:6" x14ac:dyDescent="0.25">
      <c r="A252" s="1" t="s">
        <v>514</v>
      </c>
      <c r="B252" s="1" t="s">
        <v>515</v>
      </c>
      <c r="C252" s="3">
        <v>200</v>
      </c>
      <c r="D252" s="3" t="str">
        <f ca="1">IF(B252="","",IFERROR(_xludf.XLOOKUP(_xludf.XLOOKUP(B252,Inventory!$A:$A,Inventory!$B:$B),Blades!$A:$A,Blades!$C:$C)+_xludf.XLOOKUP(_xludf.XLOOKUP(B252,Inventory!$A:$A,Inventory!$C:$C),Motor!$A:$A,Motor!$C:$C)+_xludf.XLOOKUP(_xludf.XLOOKUP(B252,Inventory!$A:$A,Inventory!$D:$D),Frame!$A:$A,Frame!$C:$C)+#REF!,""))</f>
        <v/>
      </c>
      <c r="E252" s="4">
        <v>44199</v>
      </c>
      <c r="F252" s="1" t="s">
        <v>25</v>
      </c>
    </row>
    <row r="253" spans="1:6" x14ac:dyDescent="0.25">
      <c r="A253" s="1" t="s">
        <v>516</v>
      </c>
      <c r="B253" s="1" t="s">
        <v>517</v>
      </c>
      <c r="C253" s="3">
        <v>200</v>
      </c>
      <c r="D253" s="3" t="str">
        <f ca="1">IF(B253="","",IFERROR(_xludf.XLOOKUP(_xludf.XLOOKUP(B253,Inventory!$A:$A,Inventory!$B:$B),Blades!$A:$A,Blades!$C:$C)+_xludf.XLOOKUP(_xludf.XLOOKUP(B253,Inventory!$A:$A,Inventory!$C:$C),Motor!$A:$A,Motor!$C:$C)+_xludf.XLOOKUP(_xludf.XLOOKUP(B253,Inventory!$A:$A,Inventory!$D:$D),Frame!$A:$A,Frame!$C:$C)+#REF!,""))</f>
        <v/>
      </c>
      <c r="E253" s="4">
        <v>44200</v>
      </c>
      <c r="F253" s="1" t="s">
        <v>20</v>
      </c>
    </row>
    <row r="254" spans="1:6" x14ac:dyDescent="0.25">
      <c r="A254" s="1" t="s">
        <v>518</v>
      </c>
      <c r="B254" s="1" t="s">
        <v>519</v>
      </c>
      <c r="C254" s="3">
        <v>200</v>
      </c>
      <c r="D254" s="3" t="str">
        <f ca="1">IF(B254="","",IFERROR(_xludf.XLOOKUP(_xludf.XLOOKUP(B254,Inventory!$A:$A,Inventory!$B:$B),Blades!$A:$A,Blades!$C:$C)+_xludf.XLOOKUP(_xludf.XLOOKUP(B254,Inventory!$A:$A,Inventory!$C:$C),Motor!$A:$A,Motor!$C:$C)+_xludf.XLOOKUP(_xludf.XLOOKUP(B254,Inventory!$A:$A,Inventory!$D:$D),Frame!$A:$A,Frame!$C:$C)+#REF!,""))</f>
        <v/>
      </c>
      <c r="E254" s="4">
        <v>44200</v>
      </c>
      <c r="F254" s="1" t="s">
        <v>25</v>
      </c>
    </row>
    <row r="255" spans="1:6" x14ac:dyDescent="0.25">
      <c r="A255" s="1" t="s">
        <v>520</v>
      </c>
      <c r="B255" s="1" t="s">
        <v>521</v>
      </c>
      <c r="C255" s="3">
        <v>200</v>
      </c>
      <c r="D255" s="3" t="str">
        <f ca="1">IF(B255="","",IFERROR(_xludf.XLOOKUP(_xludf.XLOOKUP(B255,Inventory!$A:$A,Inventory!$B:$B),Blades!$A:$A,Blades!$C:$C)+_xludf.XLOOKUP(_xludf.XLOOKUP(B255,Inventory!$A:$A,Inventory!$C:$C),Motor!$A:$A,Motor!$C:$C)+_xludf.XLOOKUP(_xludf.XLOOKUP(B255,Inventory!$A:$A,Inventory!$D:$D),Frame!$A:$A,Frame!$C:$C)+#REF!,""))</f>
        <v/>
      </c>
      <c r="E255" s="4">
        <v>44206</v>
      </c>
      <c r="F255" s="1" t="s">
        <v>11</v>
      </c>
    </row>
    <row r="256" spans="1:6" x14ac:dyDescent="0.25">
      <c r="A256" s="1" t="s">
        <v>522</v>
      </c>
      <c r="B256" s="1" t="s">
        <v>523</v>
      </c>
      <c r="C256" s="3">
        <v>200</v>
      </c>
      <c r="D256" s="3" t="str">
        <f ca="1">IF(B256="","",IFERROR(_xludf.XLOOKUP(_xludf.XLOOKUP(B256,Inventory!$A:$A,Inventory!$B:$B),Blades!$A:$A,Blades!$C:$C)+_xludf.XLOOKUP(_xludf.XLOOKUP(B256,Inventory!$A:$A,Inventory!$C:$C),Motor!$A:$A,Motor!$C:$C)+_xludf.XLOOKUP(_xludf.XLOOKUP(B256,Inventory!$A:$A,Inventory!$D:$D),Frame!$A:$A,Frame!$C:$C)+#REF!,""))</f>
        <v/>
      </c>
      <c r="E256" s="4">
        <v>44206</v>
      </c>
      <c r="F256" s="1" t="s">
        <v>25</v>
      </c>
    </row>
    <row r="257" spans="1:6" x14ac:dyDescent="0.25">
      <c r="A257" s="1" t="s">
        <v>524</v>
      </c>
      <c r="B257" s="1" t="s">
        <v>525</v>
      </c>
      <c r="C257" s="3">
        <v>200</v>
      </c>
      <c r="D257" s="3" t="str">
        <f ca="1">IF(B257="","",IFERROR(_xludf.XLOOKUP(_xludf.XLOOKUP(B257,Inventory!$A:$A,Inventory!$B:$B),Blades!$A:$A,Blades!$C:$C)+_xludf.XLOOKUP(_xludf.XLOOKUP(B257,Inventory!$A:$A,Inventory!$C:$C),Motor!$A:$A,Motor!$C:$C)+_xludf.XLOOKUP(_xludf.XLOOKUP(B257,Inventory!$A:$A,Inventory!$D:$D),Frame!$A:$A,Frame!$C:$C)+#REF!,""))</f>
        <v/>
      </c>
      <c r="E257" s="4">
        <v>44207</v>
      </c>
      <c r="F257" s="1" t="s">
        <v>63</v>
      </c>
    </row>
    <row r="258" spans="1:6" x14ac:dyDescent="0.25">
      <c r="A258" s="1" t="s">
        <v>526</v>
      </c>
      <c r="B258" s="1" t="s">
        <v>527</v>
      </c>
      <c r="C258" s="3">
        <v>200</v>
      </c>
      <c r="D258" s="3" t="str">
        <f ca="1">IF(B258="","",IFERROR(_xludf.XLOOKUP(_xludf.XLOOKUP(B258,Inventory!$A:$A,Inventory!$B:$B),Blades!$A:$A,Blades!$C:$C)+_xludf.XLOOKUP(_xludf.XLOOKUP(B258,Inventory!$A:$A,Inventory!$C:$C),Motor!$A:$A,Motor!$C:$C)+_xludf.XLOOKUP(_xludf.XLOOKUP(B258,Inventory!$A:$A,Inventory!$D:$D),Frame!$A:$A,Frame!$C:$C)+#REF!,""))</f>
        <v/>
      </c>
      <c r="E258" s="4">
        <v>44210</v>
      </c>
      <c r="F258" s="1" t="s">
        <v>20</v>
      </c>
    </row>
    <row r="259" spans="1:6" x14ac:dyDescent="0.25">
      <c r="A259" s="1" t="s">
        <v>528</v>
      </c>
      <c r="B259" s="1" t="s">
        <v>529</v>
      </c>
      <c r="C259" s="3">
        <v>200</v>
      </c>
      <c r="D259" s="3" t="str">
        <f ca="1">IF(B259="","",IFERROR(_xludf.XLOOKUP(_xludf.XLOOKUP(B259,Inventory!$A:$A,Inventory!$B:$B),Blades!$A:$A,Blades!$C:$C)+_xludf.XLOOKUP(_xludf.XLOOKUP(B259,Inventory!$A:$A,Inventory!$C:$C),Motor!$A:$A,Motor!$C:$C)+_xludf.XLOOKUP(_xludf.XLOOKUP(B259,Inventory!$A:$A,Inventory!$D:$D),Frame!$A:$A,Frame!$C:$C)+#REF!,""))</f>
        <v/>
      </c>
      <c r="E259" s="4">
        <v>44211</v>
      </c>
      <c r="F259" s="1" t="s">
        <v>49</v>
      </c>
    </row>
    <row r="260" spans="1:6" x14ac:dyDescent="0.25">
      <c r="A260" s="1" t="s">
        <v>530</v>
      </c>
      <c r="B260" s="1" t="s">
        <v>531</v>
      </c>
      <c r="C260" s="3">
        <v>200</v>
      </c>
      <c r="D260" s="3" t="str">
        <f ca="1">IF(B260="","",IFERROR(_xludf.XLOOKUP(_xludf.XLOOKUP(B260,Inventory!$A:$A,Inventory!$B:$B),Blades!$A:$A,Blades!$C:$C)+_xludf.XLOOKUP(_xludf.XLOOKUP(B260,Inventory!$A:$A,Inventory!$C:$C),Motor!$A:$A,Motor!$C:$C)+_xludf.XLOOKUP(_xludf.XLOOKUP(B260,Inventory!$A:$A,Inventory!$D:$D),Frame!$A:$A,Frame!$C:$C)+#REF!,""))</f>
        <v/>
      </c>
      <c r="E260" s="4">
        <v>44216</v>
      </c>
      <c r="F260" s="1" t="s">
        <v>25</v>
      </c>
    </row>
    <row r="261" spans="1:6" x14ac:dyDescent="0.25">
      <c r="A261" s="1" t="s">
        <v>532</v>
      </c>
      <c r="B261" s="1" t="s">
        <v>533</v>
      </c>
      <c r="C261" s="3">
        <v>200</v>
      </c>
      <c r="D261" s="3" t="str">
        <f ca="1">IF(B261="","",IFERROR(_xludf.XLOOKUP(_xludf.XLOOKUP(B261,Inventory!$A:$A,Inventory!$B:$B),Blades!$A:$A,Blades!$C:$C)+_xludf.XLOOKUP(_xludf.XLOOKUP(B261,Inventory!$A:$A,Inventory!$C:$C),Motor!$A:$A,Motor!$C:$C)+_xludf.XLOOKUP(_xludf.XLOOKUP(B261,Inventory!$A:$A,Inventory!$D:$D),Frame!$A:$A,Frame!$C:$C)+#REF!,""))</f>
        <v/>
      </c>
      <c r="E261" s="4">
        <v>44216</v>
      </c>
      <c r="F261" s="1" t="s">
        <v>49</v>
      </c>
    </row>
    <row r="262" spans="1:6" x14ac:dyDescent="0.25">
      <c r="A262" s="1" t="s">
        <v>534</v>
      </c>
      <c r="B262" s="1" t="s">
        <v>535</v>
      </c>
      <c r="C262" s="3">
        <v>200</v>
      </c>
      <c r="D262" s="3" t="str">
        <f ca="1">IF(B262="","",IFERROR(_xludf.XLOOKUP(_xludf.XLOOKUP(B262,Inventory!$A:$A,Inventory!$B:$B),Blades!$A:$A,Blades!$C:$C)+_xludf.XLOOKUP(_xludf.XLOOKUP(B262,Inventory!$A:$A,Inventory!$C:$C),Motor!$A:$A,Motor!$C:$C)+_xludf.XLOOKUP(_xludf.XLOOKUP(B262,Inventory!$A:$A,Inventory!$D:$D),Frame!$A:$A,Frame!$C:$C)+#REF!,""))</f>
        <v/>
      </c>
      <c r="E262" s="4">
        <v>44216</v>
      </c>
      <c r="F262" s="1" t="s">
        <v>49</v>
      </c>
    </row>
    <row r="263" spans="1:6" x14ac:dyDescent="0.25">
      <c r="A263" s="1" t="s">
        <v>536</v>
      </c>
      <c r="B263" s="1" t="s">
        <v>537</v>
      </c>
      <c r="C263" s="3">
        <v>200</v>
      </c>
      <c r="D263" s="3" t="str">
        <f ca="1">IF(B263="","",IFERROR(_xludf.XLOOKUP(_xludf.XLOOKUP(B263,Inventory!$A:$A,Inventory!$B:$B),Blades!$A:$A,Blades!$C:$C)+_xludf.XLOOKUP(_xludf.XLOOKUP(B263,Inventory!$A:$A,Inventory!$C:$C),Motor!$A:$A,Motor!$C:$C)+_xludf.XLOOKUP(_xludf.XLOOKUP(B263,Inventory!$A:$A,Inventory!$D:$D),Frame!$A:$A,Frame!$C:$C)+#REF!,""))</f>
        <v/>
      </c>
      <c r="E263" s="4">
        <v>44217</v>
      </c>
      <c r="F263" s="1" t="s">
        <v>49</v>
      </c>
    </row>
    <row r="264" spans="1:6" x14ac:dyDescent="0.25">
      <c r="A264" s="1" t="s">
        <v>538</v>
      </c>
      <c r="B264" s="1" t="s">
        <v>539</v>
      </c>
      <c r="C264" s="3">
        <v>200</v>
      </c>
      <c r="D264" s="3" t="str">
        <f ca="1">IF(B264="","",IFERROR(_xludf.XLOOKUP(_xludf.XLOOKUP(B264,Inventory!$A:$A,Inventory!$B:$B),Blades!$A:$A,Blades!$C:$C)+_xludf.XLOOKUP(_xludf.XLOOKUP(B264,Inventory!$A:$A,Inventory!$C:$C),Motor!$A:$A,Motor!$C:$C)+_xludf.XLOOKUP(_xludf.XLOOKUP(B264,Inventory!$A:$A,Inventory!$D:$D),Frame!$A:$A,Frame!$C:$C)+#REF!,""))</f>
        <v/>
      </c>
      <c r="E264" s="4">
        <v>44218</v>
      </c>
      <c r="F264" s="1" t="s">
        <v>32</v>
      </c>
    </row>
    <row r="265" spans="1:6" x14ac:dyDescent="0.25">
      <c r="A265" s="1" t="s">
        <v>540</v>
      </c>
      <c r="B265" s="1" t="s">
        <v>541</v>
      </c>
      <c r="C265" s="3">
        <v>200</v>
      </c>
      <c r="D265" s="3" t="str">
        <f ca="1">IF(B265="","",IFERROR(_xludf.XLOOKUP(_xludf.XLOOKUP(B265,Inventory!$A:$A,Inventory!$B:$B),Blades!$A:$A,Blades!$C:$C)+_xludf.XLOOKUP(_xludf.XLOOKUP(B265,Inventory!$A:$A,Inventory!$C:$C),Motor!$A:$A,Motor!$C:$C)+_xludf.XLOOKUP(_xludf.XLOOKUP(B265,Inventory!$A:$A,Inventory!$D:$D),Frame!$A:$A,Frame!$C:$C)+#REF!,""))</f>
        <v/>
      </c>
      <c r="E265" s="4">
        <v>44218</v>
      </c>
      <c r="F265" s="1" t="s">
        <v>8</v>
      </c>
    </row>
    <row r="266" spans="1:6" x14ac:dyDescent="0.25">
      <c r="A266" s="1" t="s">
        <v>542</v>
      </c>
      <c r="B266" s="1" t="s">
        <v>543</v>
      </c>
      <c r="C266" s="3">
        <v>200</v>
      </c>
      <c r="D266" s="3" t="str">
        <f ca="1">IF(B266="","",IFERROR(_xludf.XLOOKUP(_xludf.XLOOKUP(B266,Inventory!$A:$A,Inventory!$B:$B),Blades!$A:$A,Blades!$C:$C)+_xludf.XLOOKUP(_xludf.XLOOKUP(B266,Inventory!$A:$A,Inventory!$C:$C),Motor!$A:$A,Motor!$C:$C)+_xludf.XLOOKUP(_xludf.XLOOKUP(B266,Inventory!$A:$A,Inventory!$D:$D),Frame!$A:$A,Frame!$C:$C)+#REF!,""))</f>
        <v/>
      </c>
      <c r="E266" s="4">
        <v>44219</v>
      </c>
      <c r="F266" s="1" t="s">
        <v>8</v>
      </c>
    </row>
    <row r="267" spans="1:6" x14ac:dyDescent="0.25">
      <c r="A267" s="1" t="s">
        <v>544</v>
      </c>
      <c r="B267" s="1" t="s">
        <v>545</v>
      </c>
      <c r="C267" s="3">
        <v>200</v>
      </c>
      <c r="D267" s="3" t="str">
        <f ca="1">IF(B267="","",IFERROR(_xludf.XLOOKUP(_xludf.XLOOKUP(B267,Inventory!$A:$A,Inventory!$B:$B),Blades!$A:$A,Blades!$C:$C)+_xludf.XLOOKUP(_xludf.XLOOKUP(B267,Inventory!$A:$A,Inventory!$C:$C),Motor!$A:$A,Motor!$C:$C)+_xludf.XLOOKUP(_xludf.XLOOKUP(B267,Inventory!$A:$A,Inventory!$D:$D),Frame!$A:$A,Frame!$C:$C)+#REF!,""))</f>
        <v/>
      </c>
      <c r="E267" s="4">
        <v>44220</v>
      </c>
      <c r="F267" s="1" t="s">
        <v>25</v>
      </c>
    </row>
    <row r="268" spans="1:6" x14ac:dyDescent="0.25">
      <c r="A268" s="1" t="s">
        <v>546</v>
      </c>
      <c r="B268" s="1" t="s">
        <v>547</v>
      </c>
      <c r="C268" s="3">
        <v>200</v>
      </c>
      <c r="D268" s="3" t="str">
        <f ca="1">IF(B268="","",IFERROR(_xludf.XLOOKUP(_xludf.XLOOKUP(B268,Inventory!$A:$A,Inventory!$B:$B),Blades!$A:$A,Blades!$C:$C)+_xludf.XLOOKUP(_xludf.XLOOKUP(B268,Inventory!$A:$A,Inventory!$C:$C),Motor!$A:$A,Motor!$C:$C)+_xludf.XLOOKUP(_xludf.XLOOKUP(B268,Inventory!$A:$A,Inventory!$D:$D),Frame!$A:$A,Frame!$C:$C)+#REF!,""))</f>
        <v/>
      </c>
      <c r="E268" s="4">
        <v>44223</v>
      </c>
      <c r="F268" s="1" t="s">
        <v>8</v>
      </c>
    </row>
    <row r="269" spans="1:6" x14ac:dyDescent="0.25">
      <c r="A269" s="1" t="s">
        <v>548</v>
      </c>
      <c r="B269" s="1" t="s">
        <v>549</v>
      </c>
      <c r="C269" s="3">
        <v>200</v>
      </c>
      <c r="D269" s="3" t="str">
        <f ca="1">IF(B269="","",IFERROR(_xludf.XLOOKUP(_xludf.XLOOKUP(B269,Inventory!$A:$A,Inventory!$B:$B),Blades!$A:$A,Blades!$C:$C)+_xludf.XLOOKUP(_xludf.XLOOKUP(B269,Inventory!$A:$A,Inventory!$C:$C),Motor!$A:$A,Motor!$C:$C)+_xludf.XLOOKUP(_xludf.XLOOKUP(B269,Inventory!$A:$A,Inventory!$D:$D),Frame!$A:$A,Frame!$C:$C)+#REF!,""))</f>
        <v/>
      </c>
      <c r="E269" s="4">
        <v>44223</v>
      </c>
      <c r="F269" s="1" t="s">
        <v>49</v>
      </c>
    </row>
    <row r="270" spans="1:6" x14ac:dyDescent="0.25">
      <c r="A270" s="1" t="s">
        <v>550</v>
      </c>
      <c r="B270" s="1" t="s">
        <v>551</v>
      </c>
      <c r="C270" s="3">
        <v>200</v>
      </c>
      <c r="D270" s="3" t="str">
        <f ca="1">IF(B270="","",IFERROR(_xludf.XLOOKUP(_xludf.XLOOKUP(B270,Inventory!$A:$A,Inventory!$B:$B),Blades!$A:$A,Blades!$C:$C)+_xludf.XLOOKUP(_xludf.XLOOKUP(B270,Inventory!$A:$A,Inventory!$C:$C),Motor!$A:$A,Motor!$C:$C)+_xludf.XLOOKUP(_xludf.XLOOKUP(B270,Inventory!$A:$A,Inventory!$D:$D),Frame!$A:$A,Frame!$C:$C)+#REF!,""))</f>
        <v/>
      </c>
      <c r="E270" s="4">
        <v>44224</v>
      </c>
      <c r="F270" s="1" t="s">
        <v>63</v>
      </c>
    </row>
    <row r="271" spans="1:6" x14ac:dyDescent="0.25">
      <c r="A271" s="1" t="s">
        <v>552</v>
      </c>
      <c r="B271" s="1" t="s">
        <v>553</v>
      </c>
      <c r="C271" s="3">
        <v>200</v>
      </c>
      <c r="D271" s="3" t="str">
        <f ca="1">IF(B271="","",IFERROR(_xludf.XLOOKUP(_xludf.XLOOKUP(B271,Inventory!$A:$A,Inventory!$B:$B),Blades!$A:$A,Blades!$C:$C)+_xludf.XLOOKUP(_xludf.XLOOKUP(B271,Inventory!$A:$A,Inventory!$C:$C),Motor!$A:$A,Motor!$C:$C)+_xludf.XLOOKUP(_xludf.XLOOKUP(B271,Inventory!$A:$A,Inventory!$D:$D),Frame!$A:$A,Frame!$C:$C)+#REF!,""))</f>
        <v/>
      </c>
      <c r="E271" s="4">
        <v>44225</v>
      </c>
      <c r="F271" s="1" t="s">
        <v>8</v>
      </c>
    </row>
    <row r="272" spans="1:6" x14ac:dyDescent="0.25">
      <c r="A272" s="1" t="s">
        <v>554</v>
      </c>
      <c r="B272" s="1" t="s">
        <v>555</v>
      </c>
      <c r="C272" s="3">
        <v>200</v>
      </c>
      <c r="D272" s="3" t="str">
        <f ca="1">IF(B272="","",IFERROR(_xludf.XLOOKUP(_xludf.XLOOKUP(B272,Inventory!$A:$A,Inventory!$B:$B),Blades!$A:$A,Blades!$C:$C)+_xludf.XLOOKUP(_xludf.XLOOKUP(B272,Inventory!$A:$A,Inventory!$C:$C),Motor!$A:$A,Motor!$C:$C)+_xludf.XLOOKUP(_xludf.XLOOKUP(B272,Inventory!$A:$A,Inventory!$D:$D),Frame!$A:$A,Frame!$C:$C)+#REF!,""))</f>
        <v/>
      </c>
      <c r="E272" s="4">
        <v>44225</v>
      </c>
      <c r="F272" s="1" t="s">
        <v>8</v>
      </c>
    </row>
    <row r="273" spans="1:6" x14ac:dyDescent="0.25">
      <c r="A273" s="1" t="s">
        <v>556</v>
      </c>
      <c r="B273" s="1" t="s">
        <v>557</v>
      </c>
      <c r="C273" s="3">
        <v>200</v>
      </c>
      <c r="D273" s="3" t="str">
        <f ca="1">IF(B273="","",IFERROR(_xludf.XLOOKUP(_xludf.XLOOKUP(B273,Inventory!$A:$A,Inventory!$B:$B),Blades!$A:$A,Blades!$C:$C)+_xludf.XLOOKUP(_xludf.XLOOKUP(B273,Inventory!$A:$A,Inventory!$C:$C),Motor!$A:$A,Motor!$C:$C)+_xludf.XLOOKUP(_xludf.XLOOKUP(B273,Inventory!$A:$A,Inventory!$D:$D),Frame!$A:$A,Frame!$C:$C)+#REF!,""))</f>
        <v/>
      </c>
      <c r="E273" s="4">
        <v>44226</v>
      </c>
      <c r="F273" s="1" t="s">
        <v>63</v>
      </c>
    </row>
    <row r="274" spans="1:6" x14ac:dyDescent="0.25">
      <c r="A274" s="1" t="s">
        <v>558</v>
      </c>
      <c r="B274" s="1" t="s">
        <v>559</v>
      </c>
      <c r="C274" s="3">
        <v>200</v>
      </c>
      <c r="D274" s="3" t="str">
        <f ca="1">IF(B274="","",IFERROR(_xludf.XLOOKUP(_xludf.XLOOKUP(B274,Inventory!$A:$A,Inventory!$B:$B),Blades!$A:$A,Blades!$C:$C)+_xludf.XLOOKUP(_xludf.XLOOKUP(B274,Inventory!$A:$A,Inventory!$C:$C),Motor!$A:$A,Motor!$C:$C)+_xludf.XLOOKUP(_xludf.XLOOKUP(B274,Inventory!$A:$A,Inventory!$D:$D),Frame!$A:$A,Frame!$C:$C)+#REF!,""))</f>
        <v/>
      </c>
      <c r="E274" s="4">
        <v>44228</v>
      </c>
      <c r="F274" s="1" t="s">
        <v>32</v>
      </c>
    </row>
    <row r="275" spans="1:6" x14ac:dyDescent="0.25">
      <c r="A275" s="1" t="s">
        <v>560</v>
      </c>
      <c r="B275" s="1" t="s">
        <v>561</v>
      </c>
      <c r="C275" s="3">
        <v>200</v>
      </c>
      <c r="D275" s="3" t="str">
        <f ca="1">IF(B275="","",IFERROR(_xludf.XLOOKUP(_xludf.XLOOKUP(B275,Inventory!$A:$A,Inventory!$B:$B),Blades!$A:$A,Blades!$C:$C)+_xludf.XLOOKUP(_xludf.XLOOKUP(B275,Inventory!$A:$A,Inventory!$C:$C),Motor!$A:$A,Motor!$C:$C)+_xludf.XLOOKUP(_xludf.XLOOKUP(B275,Inventory!$A:$A,Inventory!$D:$D),Frame!$A:$A,Frame!$C:$C)+#REF!,""))</f>
        <v/>
      </c>
      <c r="E275" s="4">
        <v>44230</v>
      </c>
      <c r="F275" s="1" t="s">
        <v>63</v>
      </c>
    </row>
    <row r="276" spans="1:6" x14ac:dyDescent="0.25">
      <c r="A276" s="1" t="s">
        <v>562</v>
      </c>
      <c r="B276" s="1" t="s">
        <v>563</v>
      </c>
      <c r="C276" s="3">
        <v>200</v>
      </c>
      <c r="D276" s="3" t="str">
        <f ca="1">IF(B276="","",IFERROR(_xludf.XLOOKUP(_xludf.XLOOKUP(B276,Inventory!$A:$A,Inventory!$B:$B),Blades!$A:$A,Blades!$C:$C)+_xludf.XLOOKUP(_xludf.XLOOKUP(B276,Inventory!$A:$A,Inventory!$C:$C),Motor!$A:$A,Motor!$C:$C)+_xludf.XLOOKUP(_xludf.XLOOKUP(B276,Inventory!$A:$A,Inventory!$D:$D),Frame!$A:$A,Frame!$C:$C)+#REF!,""))</f>
        <v/>
      </c>
      <c r="E276" s="4">
        <v>44231</v>
      </c>
      <c r="F276" s="1" t="s">
        <v>8</v>
      </c>
    </row>
    <row r="277" spans="1:6" x14ac:dyDescent="0.25">
      <c r="A277" s="1" t="s">
        <v>564</v>
      </c>
      <c r="B277" s="1" t="s">
        <v>565</v>
      </c>
      <c r="C277" s="3">
        <v>200</v>
      </c>
      <c r="D277" s="3" t="str">
        <f ca="1">IF(B277="","",IFERROR(_xludf.XLOOKUP(_xludf.XLOOKUP(B277,Inventory!$A:$A,Inventory!$B:$B),Blades!$A:$A,Blades!$C:$C)+_xludf.XLOOKUP(_xludf.XLOOKUP(B277,Inventory!$A:$A,Inventory!$C:$C),Motor!$A:$A,Motor!$C:$C)+_xludf.XLOOKUP(_xludf.XLOOKUP(B277,Inventory!$A:$A,Inventory!$D:$D),Frame!$A:$A,Frame!$C:$C)+#REF!,""))</f>
        <v/>
      </c>
      <c r="E277" s="4">
        <v>44233</v>
      </c>
      <c r="F277" s="1" t="s">
        <v>49</v>
      </c>
    </row>
    <row r="278" spans="1:6" x14ac:dyDescent="0.25">
      <c r="A278" s="1" t="s">
        <v>566</v>
      </c>
      <c r="B278" s="1" t="s">
        <v>567</v>
      </c>
      <c r="C278" s="3">
        <v>200</v>
      </c>
      <c r="D278" s="3" t="str">
        <f ca="1">IF(B278="","",IFERROR(_xludf.XLOOKUP(_xludf.XLOOKUP(B278,Inventory!$A:$A,Inventory!$B:$B),Blades!$A:$A,Blades!$C:$C)+_xludf.XLOOKUP(_xludf.XLOOKUP(B278,Inventory!$A:$A,Inventory!$C:$C),Motor!$A:$A,Motor!$C:$C)+_xludf.XLOOKUP(_xludf.XLOOKUP(B278,Inventory!$A:$A,Inventory!$D:$D),Frame!$A:$A,Frame!$C:$C)+#REF!,""))</f>
        <v/>
      </c>
      <c r="E278" s="4">
        <v>44234</v>
      </c>
      <c r="F278" s="1" t="s">
        <v>25</v>
      </c>
    </row>
    <row r="279" spans="1:6" x14ac:dyDescent="0.25">
      <c r="A279" s="1" t="s">
        <v>568</v>
      </c>
      <c r="B279" s="1" t="s">
        <v>569</v>
      </c>
      <c r="C279" s="3">
        <v>200</v>
      </c>
      <c r="D279" s="3" t="str">
        <f ca="1">IF(B279="","",IFERROR(_xludf.XLOOKUP(_xludf.XLOOKUP(B279,Inventory!$A:$A,Inventory!$B:$B),Blades!$A:$A,Blades!$C:$C)+_xludf.XLOOKUP(_xludf.XLOOKUP(B279,Inventory!$A:$A,Inventory!$C:$C),Motor!$A:$A,Motor!$C:$C)+_xludf.XLOOKUP(_xludf.XLOOKUP(B279,Inventory!$A:$A,Inventory!$D:$D),Frame!$A:$A,Frame!$C:$C)+#REF!,""))</f>
        <v/>
      </c>
      <c r="E279" s="4">
        <v>44235</v>
      </c>
      <c r="F279" s="1" t="s">
        <v>32</v>
      </c>
    </row>
    <row r="280" spans="1:6" x14ac:dyDescent="0.25">
      <c r="A280" s="1" t="s">
        <v>570</v>
      </c>
      <c r="B280" s="1" t="s">
        <v>571</v>
      </c>
      <c r="C280" s="3">
        <v>200</v>
      </c>
      <c r="D280" s="3" t="str">
        <f ca="1">IF(B280="","",IFERROR(_xludf.XLOOKUP(_xludf.XLOOKUP(B280,Inventory!$A:$A,Inventory!$B:$B),Blades!$A:$A,Blades!$C:$C)+_xludf.XLOOKUP(_xludf.XLOOKUP(B280,Inventory!$A:$A,Inventory!$C:$C),Motor!$A:$A,Motor!$C:$C)+_xludf.XLOOKUP(_xludf.XLOOKUP(B280,Inventory!$A:$A,Inventory!$D:$D),Frame!$A:$A,Frame!$C:$C)+#REF!,""))</f>
        <v/>
      </c>
      <c r="E280" s="4">
        <v>44236</v>
      </c>
      <c r="F280" s="1" t="s">
        <v>8</v>
      </c>
    </row>
    <row r="281" spans="1:6" x14ac:dyDescent="0.25">
      <c r="A281" s="1" t="s">
        <v>572</v>
      </c>
      <c r="B281" s="1" t="s">
        <v>573</v>
      </c>
      <c r="C281" s="3">
        <v>200</v>
      </c>
      <c r="D281" s="3" t="str">
        <f ca="1">IF(B281="","",IFERROR(_xludf.XLOOKUP(_xludf.XLOOKUP(B281,Inventory!$A:$A,Inventory!$B:$B),Blades!$A:$A,Blades!$C:$C)+_xludf.XLOOKUP(_xludf.XLOOKUP(B281,Inventory!$A:$A,Inventory!$C:$C),Motor!$A:$A,Motor!$C:$C)+_xludf.XLOOKUP(_xludf.XLOOKUP(B281,Inventory!$A:$A,Inventory!$D:$D),Frame!$A:$A,Frame!$C:$C)+#REF!,""))</f>
        <v/>
      </c>
      <c r="E281" s="4">
        <v>44236</v>
      </c>
      <c r="F281" s="1" t="s">
        <v>49</v>
      </c>
    </row>
    <row r="282" spans="1:6" x14ac:dyDescent="0.25">
      <c r="A282" s="1" t="s">
        <v>574</v>
      </c>
      <c r="B282" s="1" t="s">
        <v>575</v>
      </c>
      <c r="C282" s="3">
        <v>200</v>
      </c>
      <c r="D282" s="3" t="str">
        <f ca="1">IF(B282="","",IFERROR(_xludf.XLOOKUP(_xludf.XLOOKUP(B282,Inventory!$A:$A,Inventory!$B:$B),Blades!$A:$A,Blades!$C:$C)+_xludf.XLOOKUP(_xludf.XLOOKUP(B282,Inventory!$A:$A,Inventory!$C:$C),Motor!$A:$A,Motor!$C:$C)+_xludf.XLOOKUP(_xludf.XLOOKUP(B282,Inventory!$A:$A,Inventory!$D:$D),Frame!$A:$A,Frame!$C:$C)+#REF!,""))</f>
        <v/>
      </c>
      <c r="E282" s="4">
        <v>44236</v>
      </c>
      <c r="F282" s="1" t="s">
        <v>32</v>
      </c>
    </row>
    <row r="283" spans="1:6" x14ac:dyDescent="0.25">
      <c r="A283" s="1" t="s">
        <v>576</v>
      </c>
      <c r="B283" s="1" t="s">
        <v>577</v>
      </c>
      <c r="C283" s="3">
        <v>200</v>
      </c>
      <c r="D283" s="3" t="str">
        <f ca="1">IF(B283="","",IFERROR(_xludf.XLOOKUP(_xludf.XLOOKUP(B283,Inventory!$A:$A,Inventory!$B:$B),Blades!$A:$A,Blades!$C:$C)+_xludf.XLOOKUP(_xludf.XLOOKUP(B283,Inventory!$A:$A,Inventory!$C:$C),Motor!$A:$A,Motor!$C:$C)+_xludf.XLOOKUP(_xludf.XLOOKUP(B283,Inventory!$A:$A,Inventory!$D:$D),Frame!$A:$A,Frame!$C:$C)+#REF!,""))</f>
        <v/>
      </c>
      <c r="E283" s="4">
        <v>44236</v>
      </c>
      <c r="F283" s="1" t="s">
        <v>11</v>
      </c>
    </row>
    <row r="284" spans="1:6" x14ac:dyDescent="0.25">
      <c r="A284" s="1" t="s">
        <v>578</v>
      </c>
      <c r="B284" s="1" t="s">
        <v>579</v>
      </c>
      <c r="C284" s="3">
        <v>200</v>
      </c>
      <c r="D284" s="3" t="str">
        <f ca="1">IF(B284="","",IFERROR(_xludf.XLOOKUP(_xludf.XLOOKUP(B284,Inventory!$A:$A,Inventory!$B:$B),Blades!$A:$A,Blades!$C:$C)+_xludf.XLOOKUP(_xludf.XLOOKUP(B284,Inventory!$A:$A,Inventory!$C:$C),Motor!$A:$A,Motor!$C:$C)+_xludf.XLOOKUP(_xludf.XLOOKUP(B284,Inventory!$A:$A,Inventory!$D:$D),Frame!$A:$A,Frame!$C:$C)+#REF!,""))</f>
        <v/>
      </c>
      <c r="E284" s="4">
        <v>44237</v>
      </c>
      <c r="F284" s="1" t="s">
        <v>63</v>
      </c>
    </row>
    <row r="285" spans="1:6" x14ac:dyDescent="0.25">
      <c r="A285" s="1" t="s">
        <v>580</v>
      </c>
      <c r="B285" s="1" t="s">
        <v>581</v>
      </c>
      <c r="C285" s="3">
        <v>200</v>
      </c>
      <c r="D285" s="3" t="str">
        <f ca="1">IF(B285="","",IFERROR(_xludf.XLOOKUP(_xludf.XLOOKUP(B285,Inventory!$A:$A,Inventory!$B:$B),Blades!$A:$A,Blades!$C:$C)+_xludf.XLOOKUP(_xludf.XLOOKUP(B285,Inventory!$A:$A,Inventory!$C:$C),Motor!$A:$A,Motor!$C:$C)+_xludf.XLOOKUP(_xludf.XLOOKUP(B285,Inventory!$A:$A,Inventory!$D:$D),Frame!$A:$A,Frame!$C:$C)+#REF!,""))</f>
        <v/>
      </c>
      <c r="E285" s="4">
        <v>44237</v>
      </c>
      <c r="F285" s="1" t="s">
        <v>8</v>
      </c>
    </row>
    <row r="286" spans="1:6" x14ac:dyDescent="0.25">
      <c r="A286" s="1" t="s">
        <v>582</v>
      </c>
      <c r="B286" s="1" t="s">
        <v>583</v>
      </c>
      <c r="C286" s="3">
        <v>200</v>
      </c>
      <c r="D286" s="3" t="str">
        <f ca="1">IF(B286="","",IFERROR(_xludf.XLOOKUP(_xludf.XLOOKUP(B286,Inventory!$A:$A,Inventory!$B:$B),Blades!$A:$A,Blades!$C:$C)+_xludf.XLOOKUP(_xludf.XLOOKUP(B286,Inventory!$A:$A,Inventory!$C:$C),Motor!$A:$A,Motor!$C:$C)+_xludf.XLOOKUP(_xludf.XLOOKUP(B286,Inventory!$A:$A,Inventory!$D:$D),Frame!$A:$A,Frame!$C:$C)+#REF!,""))</f>
        <v/>
      </c>
      <c r="E286" s="4">
        <v>44238</v>
      </c>
      <c r="F286" s="1" t="s">
        <v>63</v>
      </c>
    </row>
    <row r="287" spans="1:6" x14ac:dyDescent="0.25">
      <c r="A287" s="1" t="s">
        <v>584</v>
      </c>
      <c r="B287" s="1" t="s">
        <v>585</v>
      </c>
      <c r="C287" s="3">
        <v>200</v>
      </c>
      <c r="D287" s="3" t="str">
        <f ca="1">IF(B287="","",IFERROR(_xludf.XLOOKUP(_xludf.XLOOKUP(B287,Inventory!$A:$A,Inventory!$B:$B),Blades!$A:$A,Blades!$C:$C)+_xludf.XLOOKUP(_xludf.XLOOKUP(B287,Inventory!$A:$A,Inventory!$C:$C),Motor!$A:$A,Motor!$C:$C)+_xludf.XLOOKUP(_xludf.XLOOKUP(B287,Inventory!$A:$A,Inventory!$D:$D),Frame!$A:$A,Frame!$C:$C)+#REF!,""))</f>
        <v/>
      </c>
      <c r="E287" s="4">
        <v>44238</v>
      </c>
      <c r="F287" s="1" t="s">
        <v>8</v>
      </c>
    </row>
    <row r="288" spans="1:6" x14ac:dyDescent="0.25">
      <c r="A288" s="1" t="s">
        <v>586</v>
      </c>
      <c r="B288" s="1" t="s">
        <v>587</v>
      </c>
      <c r="C288" s="3">
        <v>200</v>
      </c>
      <c r="D288" s="3" t="str">
        <f ca="1">IF(B288="","",IFERROR(_xludf.XLOOKUP(_xludf.XLOOKUP(B288,Inventory!$A:$A,Inventory!$B:$B),Blades!$A:$A,Blades!$C:$C)+_xludf.XLOOKUP(_xludf.XLOOKUP(B288,Inventory!$A:$A,Inventory!$C:$C),Motor!$A:$A,Motor!$C:$C)+_xludf.XLOOKUP(_xludf.XLOOKUP(B288,Inventory!$A:$A,Inventory!$D:$D),Frame!$A:$A,Frame!$C:$C)+#REF!,""))</f>
        <v/>
      </c>
      <c r="E288" s="4">
        <v>44239</v>
      </c>
      <c r="F288" s="1" t="s">
        <v>32</v>
      </c>
    </row>
    <row r="289" spans="1:6" x14ac:dyDescent="0.25">
      <c r="A289" s="1" t="s">
        <v>588</v>
      </c>
      <c r="B289" s="1" t="s">
        <v>589</v>
      </c>
      <c r="C289" s="3">
        <v>200</v>
      </c>
      <c r="D289" s="3" t="str">
        <f ca="1">IF(B289="","",IFERROR(_xludf.XLOOKUP(_xludf.XLOOKUP(B289,Inventory!$A:$A,Inventory!$B:$B),Blades!$A:$A,Blades!$C:$C)+_xludf.XLOOKUP(_xludf.XLOOKUP(B289,Inventory!$A:$A,Inventory!$C:$C),Motor!$A:$A,Motor!$C:$C)+_xludf.XLOOKUP(_xludf.XLOOKUP(B289,Inventory!$A:$A,Inventory!$D:$D),Frame!$A:$A,Frame!$C:$C)+#REF!,""))</f>
        <v/>
      </c>
      <c r="E289" s="4">
        <v>44240</v>
      </c>
      <c r="F289" s="1" t="s">
        <v>49</v>
      </c>
    </row>
    <row r="290" spans="1:6" x14ac:dyDescent="0.25">
      <c r="A290" s="1" t="s">
        <v>590</v>
      </c>
      <c r="B290" s="1" t="s">
        <v>591</v>
      </c>
      <c r="C290" s="3">
        <v>200</v>
      </c>
      <c r="D290" s="3" t="str">
        <f ca="1">IF(B290="","",IFERROR(_xludf.XLOOKUP(_xludf.XLOOKUP(B290,Inventory!$A:$A,Inventory!$B:$B),Blades!$A:$A,Blades!$C:$C)+_xludf.XLOOKUP(_xludf.XLOOKUP(B290,Inventory!$A:$A,Inventory!$C:$C),Motor!$A:$A,Motor!$C:$C)+_xludf.XLOOKUP(_xludf.XLOOKUP(B290,Inventory!$A:$A,Inventory!$D:$D),Frame!$A:$A,Frame!$C:$C)+#REF!,""))</f>
        <v/>
      </c>
      <c r="E290" s="4">
        <v>44240</v>
      </c>
      <c r="F290" s="1" t="s">
        <v>63</v>
      </c>
    </row>
    <row r="291" spans="1:6" x14ac:dyDescent="0.25">
      <c r="A291" s="1" t="s">
        <v>592</v>
      </c>
      <c r="B291" s="1" t="s">
        <v>593</v>
      </c>
      <c r="C291" s="3">
        <v>200</v>
      </c>
      <c r="D291" s="3" t="str">
        <f ca="1">IF(B291="","",IFERROR(_xludf.XLOOKUP(_xludf.XLOOKUP(B291,Inventory!$A:$A,Inventory!$B:$B),Blades!$A:$A,Blades!$C:$C)+_xludf.XLOOKUP(_xludf.XLOOKUP(B291,Inventory!$A:$A,Inventory!$C:$C),Motor!$A:$A,Motor!$C:$C)+_xludf.XLOOKUP(_xludf.XLOOKUP(B291,Inventory!$A:$A,Inventory!$D:$D),Frame!$A:$A,Frame!$C:$C)+#REF!,""))</f>
        <v/>
      </c>
      <c r="E291" s="4">
        <v>44242</v>
      </c>
      <c r="F291" s="1" t="s">
        <v>32</v>
      </c>
    </row>
    <row r="292" spans="1:6" x14ac:dyDescent="0.25">
      <c r="A292" s="1" t="s">
        <v>594</v>
      </c>
      <c r="B292" s="1" t="s">
        <v>595</v>
      </c>
      <c r="C292" s="3">
        <v>200</v>
      </c>
      <c r="D292" s="3" t="str">
        <f ca="1">IF(B292="","",IFERROR(_xludf.XLOOKUP(_xludf.XLOOKUP(B292,Inventory!$A:$A,Inventory!$B:$B),Blades!$A:$A,Blades!$C:$C)+_xludf.XLOOKUP(_xludf.XLOOKUP(B292,Inventory!$A:$A,Inventory!$C:$C),Motor!$A:$A,Motor!$C:$C)+_xludf.XLOOKUP(_xludf.XLOOKUP(B292,Inventory!$A:$A,Inventory!$D:$D),Frame!$A:$A,Frame!$C:$C)+#REF!,""))</f>
        <v/>
      </c>
      <c r="E292" s="4">
        <v>44243</v>
      </c>
      <c r="F292" s="1" t="s">
        <v>52</v>
      </c>
    </row>
    <row r="293" spans="1:6" x14ac:dyDescent="0.25">
      <c r="A293" s="1" t="s">
        <v>596</v>
      </c>
      <c r="B293" s="1" t="s">
        <v>597</v>
      </c>
      <c r="C293" s="3">
        <v>200</v>
      </c>
      <c r="D293" s="3" t="str">
        <f ca="1">IF(B293="","",IFERROR(_xludf.XLOOKUP(_xludf.XLOOKUP(B293,Inventory!$A:$A,Inventory!$B:$B),Blades!$A:$A,Blades!$C:$C)+_xludf.XLOOKUP(_xludf.XLOOKUP(B293,Inventory!$A:$A,Inventory!$C:$C),Motor!$A:$A,Motor!$C:$C)+_xludf.XLOOKUP(_xludf.XLOOKUP(B293,Inventory!$A:$A,Inventory!$D:$D),Frame!$A:$A,Frame!$C:$C)+#REF!,""))</f>
        <v/>
      </c>
      <c r="E293" s="4">
        <v>44243</v>
      </c>
      <c r="F293" s="1" t="s">
        <v>49</v>
      </c>
    </row>
    <row r="294" spans="1:6" x14ac:dyDescent="0.25">
      <c r="A294" s="1" t="s">
        <v>598</v>
      </c>
      <c r="B294" s="1" t="s">
        <v>599</v>
      </c>
      <c r="C294" s="3">
        <v>200</v>
      </c>
      <c r="D294" s="3" t="str">
        <f ca="1">IF(B294="","",IFERROR(_xludf.XLOOKUP(_xludf.XLOOKUP(B294,Inventory!$A:$A,Inventory!$B:$B),Blades!$A:$A,Blades!$C:$C)+_xludf.XLOOKUP(_xludf.XLOOKUP(B294,Inventory!$A:$A,Inventory!$C:$C),Motor!$A:$A,Motor!$C:$C)+_xludf.XLOOKUP(_xludf.XLOOKUP(B294,Inventory!$A:$A,Inventory!$D:$D),Frame!$A:$A,Frame!$C:$C)+#REF!,""))</f>
        <v/>
      </c>
      <c r="E294" s="4">
        <v>44244</v>
      </c>
      <c r="F294" s="1" t="s">
        <v>32</v>
      </c>
    </row>
    <row r="295" spans="1:6" x14ac:dyDescent="0.25">
      <c r="A295" s="1" t="s">
        <v>600</v>
      </c>
      <c r="B295" s="1" t="s">
        <v>601</v>
      </c>
      <c r="C295" s="3">
        <v>200</v>
      </c>
      <c r="D295" s="3" t="str">
        <f ca="1">IF(B295="","",IFERROR(_xludf.XLOOKUP(_xludf.XLOOKUP(B295,Inventory!$A:$A,Inventory!$B:$B),Blades!$A:$A,Blades!$C:$C)+_xludf.XLOOKUP(_xludf.XLOOKUP(B295,Inventory!$A:$A,Inventory!$C:$C),Motor!$A:$A,Motor!$C:$C)+_xludf.XLOOKUP(_xludf.XLOOKUP(B295,Inventory!$A:$A,Inventory!$D:$D),Frame!$A:$A,Frame!$C:$C)+#REF!,""))</f>
        <v/>
      </c>
      <c r="E295" s="4">
        <v>44245</v>
      </c>
      <c r="F295" s="1" t="s">
        <v>8</v>
      </c>
    </row>
    <row r="296" spans="1:6" x14ac:dyDescent="0.25">
      <c r="A296" s="1" t="s">
        <v>602</v>
      </c>
      <c r="B296" s="1" t="s">
        <v>603</v>
      </c>
      <c r="C296" s="3">
        <v>200</v>
      </c>
      <c r="D296" s="3" t="str">
        <f ca="1">IF(B296="","",IFERROR(_xludf.XLOOKUP(_xludf.XLOOKUP(B296,Inventory!$A:$A,Inventory!$B:$B),Blades!$A:$A,Blades!$C:$C)+_xludf.XLOOKUP(_xludf.XLOOKUP(B296,Inventory!$A:$A,Inventory!$C:$C),Motor!$A:$A,Motor!$C:$C)+_xludf.XLOOKUP(_xludf.XLOOKUP(B296,Inventory!$A:$A,Inventory!$D:$D),Frame!$A:$A,Frame!$C:$C)+#REF!,""))</f>
        <v/>
      </c>
      <c r="E296" s="4">
        <v>44247</v>
      </c>
      <c r="F296" s="1" t="s">
        <v>11</v>
      </c>
    </row>
    <row r="297" spans="1:6" x14ac:dyDescent="0.25">
      <c r="A297" s="1" t="s">
        <v>604</v>
      </c>
      <c r="B297" s="1" t="s">
        <v>605</v>
      </c>
      <c r="C297" s="3">
        <v>200</v>
      </c>
      <c r="D297" s="3" t="str">
        <f ca="1">IF(B297="","",IFERROR(_xludf.XLOOKUP(_xludf.XLOOKUP(B297,Inventory!$A:$A,Inventory!$B:$B),Blades!$A:$A,Blades!$C:$C)+_xludf.XLOOKUP(_xludf.XLOOKUP(B297,Inventory!$A:$A,Inventory!$C:$C),Motor!$A:$A,Motor!$C:$C)+_xludf.XLOOKUP(_xludf.XLOOKUP(B297,Inventory!$A:$A,Inventory!$D:$D),Frame!$A:$A,Frame!$C:$C)+#REF!,""))</f>
        <v/>
      </c>
      <c r="E297" s="4">
        <v>44248</v>
      </c>
      <c r="F297" s="1" t="s">
        <v>8</v>
      </c>
    </row>
    <row r="298" spans="1:6" x14ac:dyDescent="0.25">
      <c r="A298" s="1" t="s">
        <v>606</v>
      </c>
      <c r="B298" s="1" t="s">
        <v>607</v>
      </c>
      <c r="C298" s="3">
        <v>200</v>
      </c>
      <c r="D298" s="3" t="str">
        <f ca="1">IF(B298="","",IFERROR(_xludf.XLOOKUP(_xludf.XLOOKUP(B298,Inventory!$A:$A,Inventory!$B:$B),Blades!$A:$A,Blades!$C:$C)+_xludf.XLOOKUP(_xludf.XLOOKUP(B298,Inventory!$A:$A,Inventory!$C:$C),Motor!$A:$A,Motor!$C:$C)+_xludf.XLOOKUP(_xludf.XLOOKUP(B298,Inventory!$A:$A,Inventory!$D:$D),Frame!$A:$A,Frame!$C:$C)+#REF!,""))</f>
        <v/>
      </c>
      <c r="E298" s="4">
        <v>44249</v>
      </c>
      <c r="F298" s="1" t="s">
        <v>32</v>
      </c>
    </row>
    <row r="299" spans="1:6" x14ac:dyDescent="0.25">
      <c r="A299" s="1" t="s">
        <v>608</v>
      </c>
      <c r="B299" s="1" t="s">
        <v>609</v>
      </c>
      <c r="C299" s="3">
        <v>200</v>
      </c>
      <c r="D299" s="3" t="str">
        <f ca="1">IF(B299="","",IFERROR(_xludf.XLOOKUP(_xludf.XLOOKUP(B299,Inventory!$A:$A,Inventory!$B:$B),Blades!$A:$A,Blades!$C:$C)+_xludf.XLOOKUP(_xludf.XLOOKUP(B299,Inventory!$A:$A,Inventory!$C:$C),Motor!$A:$A,Motor!$C:$C)+_xludf.XLOOKUP(_xludf.XLOOKUP(B299,Inventory!$A:$A,Inventory!$D:$D),Frame!$A:$A,Frame!$C:$C)+#REF!,""))</f>
        <v/>
      </c>
      <c r="E299" s="4">
        <v>44249</v>
      </c>
      <c r="F299" s="1" t="s">
        <v>25</v>
      </c>
    </row>
    <row r="300" spans="1:6" x14ac:dyDescent="0.25">
      <c r="A300" s="1" t="s">
        <v>610</v>
      </c>
      <c r="B300" s="1" t="s">
        <v>611</v>
      </c>
      <c r="C300" s="3">
        <v>200</v>
      </c>
      <c r="D300" s="3" t="str">
        <f ca="1">IF(B300="","",IFERROR(_xludf.XLOOKUP(_xludf.XLOOKUP(B300,Inventory!$A:$A,Inventory!$B:$B),Blades!$A:$A,Blades!$C:$C)+_xludf.XLOOKUP(_xludf.XLOOKUP(B300,Inventory!$A:$A,Inventory!$C:$C),Motor!$A:$A,Motor!$C:$C)+_xludf.XLOOKUP(_xludf.XLOOKUP(B300,Inventory!$A:$A,Inventory!$D:$D),Frame!$A:$A,Frame!$C:$C)+#REF!,""))</f>
        <v/>
      </c>
      <c r="E300" s="4">
        <v>44249</v>
      </c>
      <c r="F300" s="1" t="s">
        <v>32</v>
      </c>
    </row>
    <row r="301" spans="1:6" x14ac:dyDescent="0.25">
      <c r="A301" s="1" t="s">
        <v>612</v>
      </c>
      <c r="B301" s="1" t="s">
        <v>613</v>
      </c>
      <c r="C301" s="3">
        <v>200</v>
      </c>
      <c r="D301" s="3" t="str">
        <f ca="1">IF(B301="","",IFERROR(_xludf.XLOOKUP(_xludf.XLOOKUP(B301,Inventory!$A:$A,Inventory!$B:$B),Blades!$A:$A,Blades!$C:$C)+_xludf.XLOOKUP(_xludf.XLOOKUP(B301,Inventory!$A:$A,Inventory!$C:$C),Motor!$A:$A,Motor!$C:$C)+_xludf.XLOOKUP(_xludf.XLOOKUP(B301,Inventory!$A:$A,Inventory!$D:$D),Frame!$A:$A,Frame!$C:$C)+#REF!,""))</f>
        <v/>
      </c>
      <c r="E301" s="4">
        <v>44251</v>
      </c>
      <c r="F301" s="1" t="s">
        <v>63</v>
      </c>
    </row>
    <row r="302" spans="1:6" x14ac:dyDescent="0.25">
      <c r="A302" s="1" t="s">
        <v>614</v>
      </c>
      <c r="B302" s="1" t="s">
        <v>615</v>
      </c>
      <c r="C302" s="3">
        <v>200</v>
      </c>
      <c r="D302" s="3" t="str">
        <f ca="1">IF(B302="","",IFERROR(_xludf.XLOOKUP(_xludf.XLOOKUP(B302,Inventory!$A:$A,Inventory!$B:$B),Blades!$A:$A,Blades!$C:$C)+_xludf.XLOOKUP(_xludf.XLOOKUP(B302,Inventory!$A:$A,Inventory!$C:$C),Motor!$A:$A,Motor!$C:$C)+_xludf.XLOOKUP(_xludf.XLOOKUP(B302,Inventory!$A:$A,Inventory!$D:$D),Frame!$A:$A,Frame!$C:$C)+#REF!,""))</f>
        <v/>
      </c>
      <c r="E302" s="4">
        <v>44255</v>
      </c>
      <c r="F302" s="1" t="s">
        <v>63</v>
      </c>
    </row>
    <row r="303" spans="1:6" x14ac:dyDescent="0.25">
      <c r="A303" s="1" t="s">
        <v>616</v>
      </c>
      <c r="B303" s="1" t="s">
        <v>617</v>
      </c>
      <c r="C303" s="3">
        <v>200</v>
      </c>
      <c r="D303" s="3" t="str">
        <f ca="1">IF(B303="","",IFERROR(_xludf.XLOOKUP(_xludf.XLOOKUP(B303,Inventory!$A:$A,Inventory!$B:$B),Blades!$A:$A,Blades!$C:$C)+_xludf.XLOOKUP(_xludf.XLOOKUP(B303,Inventory!$A:$A,Inventory!$C:$C),Motor!$A:$A,Motor!$C:$C)+_xludf.XLOOKUP(_xludf.XLOOKUP(B303,Inventory!$A:$A,Inventory!$D:$D),Frame!$A:$A,Frame!$C:$C)+#REF!,""))</f>
        <v/>
      </c>
      <c r="E303" s="4">
        <v>44255</v>
      </c>
      <c r="F303" s="1" t="s">
        <v>32</v>
      </c>
    </row>
    <row r="304" spans="1:6" x14ac:dyDescent="0.25">
      <c r="A304" s="1" t="s">
        <v>618</v>
      </c>
      <c r="B304" s="1" t="s">
        <v>619</v>
      </c>
      <c r="C304" s="3">
        <v>200</v>
      </c>
      <c r="D304" s="3" t="str">
        <f ca="1">IF(B304="","",IFERROR(_xludf.XLOOKUP(_xludf.XLOOKUP(B304,Inventory!$A:$A,Inventory!$B:$B),Blades!$A:$A,Blades!$C:$C)+_xludf.XLOOKUP(_xludf.XLOOKUP(B304,Inventory!$A:$A,Inventory!$C:$C),Motor!$A:$A,Motor!$C:$C)+_xludf.XLOOKUP(_xludf.XLOOKUP(B304,Inventory!$A:$A,Inventory!$D:$D),Frame!$A:$A,Frame!$C:$C)+#REF!,""))</f>
        <v/>
      </c>
      <c r="E304" s="4">
        <v>44258</v>
      </c>
      <c r="F304" s="1" t="s">
        <v>49</v>
      </c>
    </row>
    <row r="305" spans="1:6" x14ac:dyDescent="0.25">
      <c r="A305" s="1" t="s">
        <v>620</v>
      </c>
      <c r="B305" s="1" t="s">
        <v>621</v>
      </c>
      <c r="C305" s="3">
        <v>200</v>
      </c>
      <c r="D305" s="3" t="str">
        <f ca="1">IF(B305="","",IFERROR(_xludf.XLOOKUP(_xludf.XLOOKUP(B305,Inventory!$A:$A,Inventory!$B:$B),Blades!$A:$A,Blades!$C:$C)+_xludf.XLOOKUP(_xludf.XLOOKUP(B305,Inventory!$A:$A,Inventory!$C:$C),Motor!$A:$A,Motor!$C:$C)+_xludf.XLOOKUP(_xludf.XLOOKUP(B305,Inventory!$A:$A,Inventory!$D:$D),Frame!$A:$A,Frame!$C:$C)+#REF!,""))</f>
        <v/>
      </c>
      <c r="E305" s="4">
        <v>44260</v>
      </c>
      <c r="F305" s="1" t="s">
        <v>25</v>
      </c>
    </row>
    <row r="306" spans="1:6" x14ac:dyDescent="0.25">
      <c r="A306" s="1" t="s">
        <v>622</v>
      </c>
      <c r="B306" s="1" t="s">
        <v>623</v>
      </c>
      <c r="C306" s="3">
        <v>200</v>
      </c>
      <c r="D306" s="3" t="str">
        <f ca="1">IF(B306="","",IFERROR(_xludf.XLOOKUP(_xludf.XLOOKUP(B306,Inventory!$A:$A,Inventory!$B:$B),Blades!$A:$A,Blades!$C:$C)+_xludf.XLOOKUP(_xludf.XLOOKUP(B306,Inventory!$A:$A,Inventory!$C:$C),Motor!$A:$A,Motor!$C:$C)+_xludf.XLOOKUP(_xludf.XLOOKUP(B306,Inventory!$A:$A,Inventory!$D:$D),Frame!$A:$A,Frame!$C:$C)+#REF!,""))</f>
        <v/>
      </c>
      <c r="E306" s="4">
        <v>44262</v>
      </c>
      <c r="F306" s="1" t="s">
        <v>63</v>
      </c>
    </row>
    <row r="307" spans="1:6" x14ac:dyDescent="0.25">
      <c r="A307" s="1" t="s">
        <v>624</v>
      </c>
      <c r="B307" s="1" t="s">
        <v>625</v>
      </c>
      <c r="C307" s="3">
        <v>200</v>
      </c>
      <c r="D307" s="3" t="str">
        <f ca="1">IF(B307="","",IFERROR(_xludf.XLOOKUP(_xludf.XLOOKUP(B307,Inventory!$A:$A,Inventory!$B:$B),Blades!$A:$A,Blades!$C:$C)+_xludf.XLOOKUP(_xludf.XLOOKUP(B307,Inventory!$A:$A,Inventory!$C:$C),Motor!$A:$A,Motor!$C:$C)+_xludf.XLOOKUP(_xludf.XLOOKUP(B307,Inventory!$A:$A,Inventory!$D:$D),Frame!$A:$A,Frame!$C:$C)+#REF!,""))</f>
        <v/>
      </c>
      <c r="E307" s="4">
        <v>44263</v>
      </c>
      <c r="F307" s="1" t="s">
        <v>25</v>
      </c>
    </row>
    <row r="308" spans="1:6" x14ac:dyDescent="0.25">
      <c r="A308" s="1" t="s">
        <v>626</v>
      </c>
      <c r="B308" s="1" t="s">
        <v>627</v>
      </c>
      <c r="C308" s="3">
        <v>200</v>
      </c>
      <c r="D308" s="3" t="str">
        <f ca="1">IF(B308="","",IFERROR(_xludf.XLOOKUP(_xludf.XLOOKUP(B308,Inventory!$A:$A,Inventory!$B:$B),Blades!$A:$A,Blades!$C:$C)+_xludf.XLOOKUP(_xludf.XLOOKUP(B308,Inventory!$A:$A,Inventory!$C:$C),Motor!$A:$A,Motor!$C:$C)+_xludf.XLOOKUP(_xludf.XLOOKUP(B308,Inventory!$A:$A,Inventory!$D:$D),Frame!$A:$A,Frame!$C:$C)+#REF!,""))</f>
        <v/>
      </c>
      <c r="E308" s="4">
        <v>44263</v>
      </c>
      <c r="F308" s="1" t="s">
        <v>63</v>
      </c>
    </row>
    <row r="309" spans="1:6" x14ac:dyDescent="0.25">
      <c r="A309" s="1" t="s">
        <v>628</v>
      </c>
      <c r="B309" s="1" t="s">
        <v>629</v>
      </c>
      <c r="C309" s="3">
        <v>200</v>
      </c>
      <c r="D309" s="3" t="str">
        <f ca="1">IF(B309="","",IFERROR(_xludf.XLOOKUP(_xludf.XLOOKUP(B309,Inventory!$A:$A,Inventory!$B:$B),Blades!$A:$A,Blades!$C:$C)+_xludf.XLOOKUP(_xludf.XLOOKUP(B309,Inventory!$A:$A,Inventory!$C:$C),Motor!$A:$A,Motor!$C:$C)+_xludf.XLOOKUP(_xludf.XLOOKUP(B309,Inventory!$A:$A,Inventory!$D:$D),Frame!$A:$A,Frame!$C:$C)+#REF!,""))</f>
        <v/>
      </c>
      <c r="E309" s="4">
        <v>44264</v>
      </c>
      <c r="F309" s="1" t="s">
        <v>63</v>
      </c>
    </row>
    <row r="310" spans="1:6" x14ac:dyDescent="0.25">
      <c r="A310" s="1" t="s">
        <v>630</v>
      </c>
      <c r="B310" s="1" t="s">
        <v>631</v>
      </c>
      <c r="C310" s="3">
        <v>200</v>
      </c>
      <c r="D310" s="3" t="str">
        <f ca="1">IF(B310="","",IFERROR(_xludf.XLOOKUP(_xludf.XLOOKUP(B310,Inventory!$A:$A,Inventory!$B:$B),Blades!$A:$A,Blades!$C:$C)+_xludf.XLOOKUP(_xludf.XLOOKUP(B310,Inventory!$A:$A,Inventory!$C:$C),Motor!$A:$A,Motor!$C:$C)+_xludf.XLOOKUP(_xludf.XLOOKUP(B310,Inventory!$A:$A,Inventory!$D:$D),Frame!$A:$A,Frame!$C:$C)+#REF!,""))</f>
        <v/>
      </c>
      <c r="E310" s="4">
        <v>44267</v>
      </c>
      <c r="F310" s="1" t="s">
        <v>20</v>
      </c>
    </row>
    <row r="311" spans="1:6" x14ac:dyDescent="0.25">
      <c r="A311" s="1" t="s">
        <v>632</v>
      </c>
      <c r="B311" s="1" t="s">
        <v>633</v>
      </c>
      <c r="C311" s="3">
        <v>200</v>
      </c>
      <c r="D311" s="3" t="str">
        <f ca="1">IF(B311="","",IFERROR(_xludf.XLOOKUP(_xludf.XLOOKUP(B311,Inventory!$A:$A,Inventory!$B:$B),Blades!$A:$A,Blades!$C:$C)+_xludf.XLOOKUP(_xludf.XLOOKUP(B311,Inventory!$A:$A,Inventory!$C:$C),Motor!$A:$A,Motor!$C:$C)+_xludf.XLOOKUP(_xludf.XLOOKUP(B311,Inventory!$A:$A,Inventory!$D:$D),Frame!$A:$A,Frame!$C:$C)+#REF!,""))</f>
        <v/>
      </c>
      <c r="E311" s="4">
        <v>44267</v>
      </c>
      <c r="F311" s="1" t="s">
        <v>49</v>
      </c>
    </row>
    <row r="312" spans="1:6" x14ac:dyDescent="0.25">
      <c r="A312" s="1" t="s">
        <v>634</v>
      </c>
      <c r="B312" s="1" t="s">
        <v>635</v>
      </c>
      <c r="C312" s="3">
        <v>200</v>
      </c>
      <c r="D312" s="3" t="str">
        <f ca="1">IF(B312="","",IFERROR(_xludf.XLOOKUP(_xludf.XLOOKUP(B312,Inventory!$A:$A,Inventory!$B:$B),Blades!$A:$A,Blades!$C:$C)+_xludf.XLOOKUP(_xludf.XLOOKUP(B312,Inventory!$A:$A,Inventory!$C:$C),Motor!$A:$A,Motor!$C:$C)+_xludf.XLOOKUP(_xludf.XLOOKUP(B312,Inventory!$A:$A,Inventory!$D:$D),Frame!$A:$A,Frame!$C:$C)+#REF!,""))</f>
        <v/>
      </c>
      <c r="E312" s="4">
        <v>44267</v>
      </c>
      <c r="F312" s="1" t="s">
        <v>49</v>
      </c>
    </row>
    <row r="313" spans="1:6" x14ac:dyDescent="0.25">
      <c r="A313" s="1" t="s">
        <v>636</v>
      </c>
      <c r="B313" s="1" t="s">
        <v>637</v>
      </c>
      <c r="C313" s="3">
        <v>200</v>
      </c>
      <c r="D313" s="3" t="str">
        <f ca="1">IF(B313="","",IFERROR(_xludf.XLOOKUP(_xludf.XLOOKUP(B313,Inventory!$A:$A,Inventory!$B:$B),Blades!$A:$A,Blades!$C:$C)+_xludf.XLOOKUP(_xludf.XLOOKUP(B313,Inventory!$A:$A,Inventory!$C:$C),Motor!$A:$A,Motor!$C:$C)+_xludf.XLOOKUP(_xludf.XLOOKUP(B313,Inventory!$A:$A,Inventory!$D:$D),Frame!$A:$A,Frame!$C:$C)+#REF!,""))</f>
        <v/>
      </c>
      <c r="E313" s="4">
        <v>44267</v>
      </c>
      <c r="F313" s="1" t="s">
        <v>11</v>
      </c>
    </row>
    <row r="314" spans="1:6" x14ac:dyDescent="0.25">
      <c r="A314" s="1" t="s">
        <v>638</v>
      </c>
      <c r="B314" s="1" t="s">
        <v>639</v>
      </c>
      <c r="C314" s="3">
        <v>200</v>
      </c>
      <c r="D314" s="3" t="str">
        <f ca="1">IF(B314="","",IFERROR(_xludf.XLOOKUP(_xludf.XLOOKUP(B314,Inventory!$A:$A,Inventory!$B:$B),Blades!$A:$A,Blades!$C:$C)+_xludf.XLOOKUP(_xludf.XLOOKUP(B314,Inventory!$A:$A,Inventory!$C:$C),Motor!$A:$A,Motor!$C:$C)+_xludf.XLOOKUP(_xludf.XLOOKUP(B314,Inventory!$A:$A,Inventory!$D:$D),Frame!$A:$A,Frame!$C:$C)+#REF!,""))</f>
        <v/>
      </c>
      <c r="E314" s="4">
        <v>44268</v>
      </c>
      <c r="F314" s="1" t="s">
        <v>52</v>
      </c>
    </row>
    <row r="315" spans="1:6" x14ac:dyDescent="0.25">
      <c r="A315" s="1" t="s">
        <v>640</v>
      </c>
      <c r="B315" s="1" t="s">
        <v>641</v>
      </c>
      <c r="C315" s="3">
        <v>200</v>
      </c>
      <c r="D315" s="3" t="str">
        <f ca="1">IF(B315="","",IFERROR(_xludf.XLOOKUP(_xludf.XLOOKUP(B315,Inventory!$A:$A,Inventory!$B:$B),Blades!$A:$A,Blades!$C:$C)+_xludf.XLOOKUP(_xludf.XLOOKUP(B315,Inventory!$A:$A,Inventory!$C:$C),Motor!$A:$A,Motor!$C:$C)+_xludf.XLOOKUP(_xludf.XLOOKUP(B315,Inventory!$A:$A,Inventory!$D:$D),Frame!$A:$A,Frame!$C:$C)+#REF!,""))</f>
        <v/>
      </c>
      <c r="E315" s="4">
        <v>44269</v>
      </c>
      <c r="F315" s="1" t="s">
        <v>20</v>
      </c>
    </row>
    <row r="316" spans="1:6" x14ac:dyDescent="0.25">
      <c r="A316" s="1" t="s">
        <v>642</v>
      </c>
      <c r="B316" s="1" t="s">
        <v>643</v>
      </c>
      <c r="C316" s="3">
        <v>200</v>
      </c>
      <c r="D316" s="3" t="str">
        <f ca="1">IF(B316="","",IFERROR(_xludf.XLOOKUP(_xludf.XLOOKUP(B316,Inventory!$A:$A,Inventory!$B:$B),Blades!$A:$A,Blades!$C:$C)+_xludf.XLOOKUP(_xludf.XLOOKUP(B316,Inventory!$A:$A,Inventory!$C:$C),Motor!$A:$A,Motor!$C:$C)+_xludf.XLOOKUP(_xludf.XLOOKUP(B316,Inventory!$A:$A,Inventory!$D:$D),Frame!$A:$A,Frame!$C:$C)+#REF!,""))</f>
        <v/>
      </c>
      <c r="E316" s="4">
        <v>44271</v>
      </c>
      <c r="F316" s="1" t="s">
        <v>49</v>
      </c>
    </row>
    <row r="317" spans="1:6" x14ac:dyDescent="0.25">
      <c r="A317" s="1" t="s">
        <v>644</v>
      </c>
      <c r="B317" s="1" t="s">
        <v>645</v>
      </c>
      <c r="C317" s="3">
        <v>200</v>
      </c>
      <c r="D317" s="3" t="str">
        <f ca="1">IF(B317="","",IFERROR(_xludf.XLOOKUP(_xludf.XLOOKUP(B317,Inventory!$A:$A,Inventory!$B:$B),Blades!$A:$A,Blades!$C:$C)+_xludf.XLOOKUP(_xludf.XLOOKUP(B317,Inventory!$A:$A,Inventory!$C:$C),Motor!$A:$A,Motor!$C:$C)+_xludf.XLOOKUP(_xludf.XLOOKUP(B317,Inventory!$A:$A,Inventory!$D:$D),Frame!$A:$A,Frame!$C:$C)+#REF!,""))</f>
        <v/>
      </c>
      <c r="E317" s="4">
        <v>44271</v>
      </c>
      <c r="F317" s="1" t="s">
        <v>32</v>
      </c>
    </row>
    <row r="318" spans="1:6" x14ac:dyDescent="0.25">
      <c r="A318" s="1" t="s">
        <v>646</v>
      </c>
      <c r="B318" s="1" t="s">
        <v>647</v>
      </c>
      <c r="C318" s="3">
        <v>200</v>
      </c>
      <c r="D318" s="3" t="str">
        <f ca="1">IF(B318="","",IFERROR(_xludf.XLOOKUP(_xludf.XLOOKUP(B318,Inventory!$A:$A,Inventory!$B:$B),Blades!$A:$A,Blades!$C:$C)+_xludf.XLOOKUP(_xludf.XLOOKUP(B318,Inventory!$A:$A,Inventory!$C:$C),Motor!$A:$A,Motor!$C:$C)+_xludf.XLOOKUP(_xludf.XLOOKUP(B318,Inventory!$A:$A,Inventory!$D:$D),Frame!$A:$A,Frame!$C:$C)+#REF!,""))</f>
        <v/>
      </c>
      <c r="E318" s="4">
        <v>44272</v>
      </c>
      <c r="F318" s="1" t="s">
        <v>63</v>
      </c>
    </row>
    <row r="319" spans="1:6" x14ac:dyDescent="0.25">
      <c r="A319" s="1" t="s">
        <v>648</v>
      </c>
      <c r="B319" s="1" t="s">
        <v>649</v>
      </c>
      <c r="C319" s="3">
        <v>200</v>
      </c>
      <c r="D319" s="3" t="str">
        <f ca="1">IF(B319="","",IFERROR(_xludf.XLOOKUP(_xludf.XLOOKUP(B319,Inventory!$A:$A,Inventory!$B:$B),Blades!$A:$A,Blades!$C:$C)+_xludf.XLOOKUP(_xludf.XLOOKUP(B319,Inventory!$A:$A,Inventory!$C:$C),Motor!$A:$A,Motor!$C:$C)+_xludf.XLOOKUP(_xludf.XLOOKUP(B319,Inventory!$A:$A,Inventory!$D:$D),Frame!$A:$A,Frame!$C:$C)+#REF!,""))</f>
        <v/>
      </c>
      <c r="E319" s="4">
        <v>44272</v>
      </c>
      <c r="F319" s="1" t="s">
        <v>8</v>
      </c>
    </row>
    <row r="320" spans="1:6" x14ac:dyDescent="0.25">
      <c r="A320" s="1" t="s">
        <v>650</v>
      </c>
      <c r="B320" s="1" t="s">
        <v>651</v>
      </c>
      <c r="C320" s="3">
        <v>200</v>
      </c>
      <c r="D320" s="3" t="str">
        <f ca="1">IF(B320="","",IFERROR(_xludf.XLOOKUP(_xludf.XLOOKUP(B320,Inventory!$A:$A,Inventory!$B:$B),Blades!$A:$A,Blades!$C:$C)+_xludf.XLOOKUP(_xludf.XLOOKUP(B320,Inventory!$A:$A,Inventory!$C:$C),Motor!$A:$A,Motor!$C:$C)+_xludf.XLOOKUP(_xludf.XLOOKUP(B320,Inventory!$A:$A,Inventory!$D:$D),Frame!$A:$A,Frame!$C:$C)+#REF!,""))</f>
        <v/>
      </c>
      <c r="E320" s="4">
        <v>44273</v>
      </c>
      <c r="F320" s="1" t="s">
        <v>25</v>
      </c>
    </row>
    <row r="321" spans="1:6" x14ac:dyDescent="0.25">
      <c r="A321" s="1" t="s">
        <v>652</v>
      </c>
      <c r="B321" s="1" t="s">
        <v>653</v>
      </c>
      <c r="C321" s="3">
        <v>200</v>
      </c>
      <c r="D321" s="3" t="str">
        <f ca="1">IF(B321="","",IFERROR(_xludf.XLOOKUP(_xludf.XLOOKUP(B321,Inventory!$A:$A,Inventory!$B:$B),Blades!$A:$A,Blades!$C:$C)+_xludf.XLOOKUP(_xludf.XLOOKUP(B321,Inventory!$A:$A,Inventory!$C:$C),Motor!$A:$A,Motor!$C:$C)+_xludf.XLOOKUP(_xludf.XLOOKUP(B321,Inventory!$A:$A,Inventory!$D:$D),Frame!$A:$A,Frame!$C:$C)+#REF!,""))</f>
        <v/>
      </c>
      <c r="E321" s="4">
        <v>44274</v>
      </c>
      <c r="F321" s="1" t="s">
        <v>8</v>
      </c>
    </row>
    <row r="322" spans="1:6" x14ac:dyDescent="0.25">
      <c r="A322" s="1" t="s">
        <v>654</v>
      </c>
      <c r="B322" s="1" t="s">
        <v>655</v>
      </c>
      <c r="C322" s="3">
        <v>200</v>
      </c>
      <c r="D322" s="3" t="str">
        <f ca="1">IF(B322="","",IFERROR(_xludf.XLOOKUP(_xludf.XLOOKUP(B322,Inventory!$A:$A,Inventory!$B:$B),Blades!$A:$A,Blades!$C:$C)+_xludf.XLOOKUP(_xludf.XLOOKUP(B322,Inventory!$A:$A,Inventory!$C:$C),Motor!$A:$A,Motor!$C:$C)+_xludf.XLOOKUP(_xludf.XLOOKUP(B322,Inventory!$A:$A,Inventory!$D:$D),Frame!$A:$A,Frame!$C:$C)+#REF!,""))</f>
        <v/>
      </c>
      <c r="E322" s="4">
        <v>44274</v>
      </c>
      <c r="F322" s="1" t="s">
        <v>32</v>
      </c>
    </row>
    <row r="323" spans="1:6" x14ac:dyDescent="0.25">
      <c r="A323" s="1" t="s">
        <v>656</v>
      </c>
      <c r="B323" s="1" t="s">
        <v>657</v>
      </c>
      <c r="C323" s="3">
        <v>200</v>
      </c>
      <c r="D323" s="3" t="str">
        <f ca="1">IF(B323="","",IFERROR(_xludf.XLOOKUP(_xludf.XLOOKUP(B323,Inventory!$A:$A,Inventory!$B:$B),Blades!$A:$A,Blades!$C:$C)+_xludf.XLOOKUP(_xludf.XLOOKUP(B323,Inventory!$A:$A,Inventory!$C:$C),Motor!$A:$A,Motor!$C:$C)+_xludf.XLOOKUP(_xludf.XLOOKUP(B323,Inventory!$A:$A,Inventory!$D:$D),Frame!$A:$A,Frame!$C:$C)+#REF!,""))</f>
        <v/>
      </c>
      <c r="E323" s="4">
        <v>44275</v>
      </c>
      <c r="F323" s="1" t="s">
        <v>49</v>
      </c>
    </row>
    <row r="324" spans="1:6" x14ac:dyDescent="0.25">
      <c r="A324" s="1" t="s">
        <v>658</v>
      </c>
      <c r="B324" s="1" t="s">
        <v>659</v>
      </c>
      <c r="C324" s="3">
        <v>200</v>
      </c>
      <c r="D324" s="3" t="str">
        <f ca="1">IF(B324="","",IFERROR(_xludf.XLOOKUP(_xludf.XLOOKUP(B324,Inventory!$A:$A,Inventory!$B:$B),Blades!$A:$A,Blades!$C:$C)+_xludf.XLOOKUP(_xludf.XLOOKUP(B324,Inventory!$A:$A,Inventory!$C:$C),Motor!$A:$A,Motor!$C:$C)+_xludf.XLOOKUP(_xludf.XLOOKUP(B324,Inventory!$A:$A,Inventory!$D:$D),Frame!$A:$A,Frame!$C:$C)+#REF!,""))</f>
        <v/>
      </c>
      <c r="E324" s="4">
        <v>44275</v>
      </c>
      <c r="F324" s="1" t="s">
        <v>49</v>
      </c>
    </row>
    <row r="325" spans="1:6" x14ac:dyDescent="0.25">
      <c r="A325" s="1" t="s">
        <v>660</v>
      </c>
      <c r="B325" s="1" t="s">
        <v>661</v>
      </c>
      <c r="C325" s="3">
        <v>200</v>
      </c>
      <c r="D325" s="3" t="str">
        <f ca="1">IF(B325="","",IFERROR(_xludf.XLOOKUP(_xludf.XLOOKUP(B325,Inventory!$A:$A,Inventory!$B:$B),Blades!$A:$A,Blades!$C:$C)+_xludf.XLOOKUP(_xludf.XLOOKUP(B325,Inventory!$A:$A,Inventory!$C:$C),Motor!$A:$A,Motor!$C:$C)+_xludf.XLOOKUP(_xludf.XLOOKUP(B325,Inventory!$A:$A,Inventory!$D:$D),Frame!$A:$A,Frame!$C:$C)+#REF!,""))</f>
        <v/>
      </c>
      <c r="E325" s="4">
        <v>44276</v>
      </c>
      <c r="F325" s="1" t="s">
        <v>63</v>
      </c>
    </row>
    <row r="326" spans="1:6" x14ac:dyDescent="0.25">
      <c r="A326" s="1" t="s">
        <v>662</v>
      </c>
      <c r="B326" s="1" t="s">
        <v>663</v>
      </c>
      <c r="C326" s="3">
        <v>200</v>
      </c>
      <c r="D326" s="3" t="str">
        <f ca="1">IF(B326="","",IFERROR(_xludf.XLOOKUP(_xludf.XLOOKUP(B326,Inventory!$A:$A,Inventory!$B:$B),Blades!$A:$A,Blades!$C:$C)+_xludf.XLOOKUP(_xludf.XLOOKUP(B326,Inventory!$A:$A,Inventory!$C:$C),Motor!$A:$A,Motor!$C:$C)+_xludf.XLOOKUP(_xludf.XLOOKUP(B326,Inventory!$A:$A,Inventory!$D:$D),Frame!$A:$A,Frame!$C:$C)+#REF!,""))</f>
        <v/>
      </c>
      <c r="E326" s="4">
        <v>44278</v>
      </c>
      <c r="F326" s="1" t="s">
        <v>32</v>
      </c>
    </row>
    <row r="327" spans="1:6" x14ac:dyDescent="0.25">
      <c r="A327" s="1" t="s">
        <v>664</v>
      </c>
      <c r="B327" s="1" t="s">
        <v>665</v>
      </c>
      <c r="C327" s="3">
        <v>200</v>
      </c>
      <c r="D327" s="3" t="str">
        <f ca="1">IF(B327="","",IFERROR(_xludf.XLOOKUP(_xludf.XLOOKUP(B327,Inventory!$A:$A,Inventory!$B:$B),Blades!$A:$A,Blades!$C:$C)+_xludf.XLOOKUP(_xludf.XLOOKUP(B327,Inventory!$A:$A,Inventory!$C:$C),Motor!$A:$A,Motor!$C:$C)+_xludf.XLOOKUP(_xludf.XLOOKUP(B327,Inventory!$A:$A,Inventory!$D:$D),Frame!$A:$A,Frame!$C:$C)+#REF!,""))</f>
        <v/>
      </c>
      <c r="E327" s="4">
        <v>44279</v>
      </c>
      <c r="F327" s="1" t="s">
        <v>49</v>
      </c>
    </row>
    <row r="328" spans="1:6" x14ac:dyDescent="0.25">
      <c r="A328" s="1" t="s">
        <v>666</v>
      </c>
      <c r="B328" s="1" t="s">
        <v>667</v>
      </c>
      <c r="C328" s="3">
        <v>200</v>
      </c>
      <c r="D328" s="3" t="str">
        <f ca="1">IF(B328="","",IFERROR(_xludf.XLOOKUP(_xludf.XLOOKUP(B328,Inventory!$A:$A,Inventory!$B:$B),Blades!$A:$A,Blades!$C:$C)+_xludf.XLOOKUP(_xludf.XLOOKUP(B328,Inventory!$A:$A,Inventory!$C:$C),Motor!$A:$A,Motor!$C:$C)+_xludf.XLOOKUP(_xludf.XLOOKUP(B328,Inventory!$A:$A,Inventory!$D:$D),Frame!$A:$A,Frame!$C:$C)+#REF!,""))</f>
        <v/>
      </c>
      <c r="E328" s="4">
        <v>44279</v>
      </c>
      <c r="F328" s="1" t="s">
        <v>20</v>
      </c>
    </row>
    <row r="329" spans="1:6" x14ac:dyDescent="0.25">
      <c r="A329" s="1" t="s">
        <v>668</v>
      </c>
      <c r="B329" s="1" t="s">
        <v>669</v>
      </c>
      <c r="C329" s="3">
        <v>200</v>
      </c>
      <c r="D329" s="3" t="str">
        <f ca="1">IF(B329="","",IFERROR(_xludf.XLOOKUP(_xludf.XLOOKUP(B329,Inventory!$A:$A,Inventory!$B:$B),Blades!$A:$A,Blades!$C:$C)+_xludf.XLOOKUP(_xludf.XLOOKUP(B329,Inventory!$A:$A,Inventory!$C:$C),Motor!$A:$A,Motor!$C:$C)+_xludf.XLOOKUP(_xludf.XLOOKUP(B329,Inventory!$A:$A,Inventory!$D:$D),Frame!$A:$A,Frame!$C:$C)+#REF!,""))</f>
        <v/>
      </c>
      <c r="E329" s="4">
        <v>44280</v>
      </c>
      <c r="F329" s="1" t="s">
        <v>49</v>
      </c>
    </row>
    <row r="330" spans="1:6" x14ac:dyDescent="0.25">
      <c r="A330" s="1" t="s">
        <v>670</v>
      </c>
      <c r="B330" s="1" t="s">
        <v>671</v>
      </c>
      <c r="C330" s="3">
        <v>200</v>
      </c>
      <c r="D330" s="3" t="str">
        <f ca="1">IF(B330="","",IFERROR(_xludf.XLOOKUP(_xludf.XLOOKUP(B330,Inventory!$A:$A,Inventory!$B:$B),Blades!$A:$A,Blades!$C:$C)+_xludf.XLOOKUP(_xludf.XLOOKUP(B330,Inventory!$A:$A,Inventory!$C:$C),Motor!$A:$A,Motor!$C:$C)+_xludf.XLOOKUP(_xludf.XLOOKUP(B330,Inventory!$A:$A,Inventory!$D:$D),Frame!$A:$A,Frame!$C:$C)+#REF!,""))</f>
        <v/>
      </c>
      <c r="E330" s="4">
        <v>44281</v>
      </c>
      <c r="F330" s="1" t="s">
        <v>32</v>
      </c>
    </row>
    <row r="331" spans="1:6" x14ac:dyDescent="0.25">
      <c r="A331" s="1" t="s">
        <v>672</v>
      </c>
      <c r="B331" s="1" t="s">
        <v>673</v>
      </c>
      <c r="C331" s="3">
        <v>200</v>
      </c>
      <c r="D331" s="3" t="str">
        <f ca="1">IF(B331="","",IFERROR(_xludf.XLOOKUP(_xludf.XLOOKUP(B331,Inventory!$A:$A,Inventory!$B:$B),Blades!$A:$A,Blades!$C:$C)+_xludf.XLOOKUP(_xludf.XLOOKUP(B331,Inventory!$A:$A,Inventory!$C:$C),Motor!$A:$A,Motor!$C:$C)+_xludf.XLOOKUP(_xludf.XLOOKUP(B331,Inventory!$A:$A,Inventory!$D:$D),Frame!$A:$A,Frame!$C:$C)+#REF!,""))</f>
        <v/>
      </c>
      <c r="E331" s="4">
        <v>44283</v>
      </c>
      <c r="F331" s="1" t="s">
        <v>63</v>
      </c>
    </row>
    <row r="332" spans="1:6" x14ac:dyDescent="0.25">
      <c r="A332" s="1" t="s">
        <v>674</v>
      </c>
      <c r="B332" s="1" t="s">
        <v>675</v>
      </c>
      <c r="C332" s="3">
        <v>200</v>
      </c>
      <c r="D332" s="3" t="str">
        <f ca="1">IF(B332="","",IFERROR(_xludf.XLOOKUP(_xludf.XLOOKUP(B332,Inventory!$A:$A,Inventory!$B:$B),Blades!$A:$A,Blades!$C:$C)+_xludf.XLOOKUP(_xludf.XLOOKUP(B332,Inventory!$A:$A,Inventory!$C:$C),Motor!$A:$A,Motor!$C:$C)+_xludf.XLOOKUP(_xludf.XLOOKUP(B332,Inventory!$A:$A,Inventory!$D:$D),Frame!$A:$A,Frame!$C:$C)+#REF!,""))</f>
        <v/>
      </c>
      <c r="E332" s="4">
        <v>44284</v>
      </c>
      <c r="F332" s="1" t="s">
        <v>8</v>
      </c>
    </row>
    <row r="333" spans="1:6" x14ac:dyDescent="0.25">
      <c r="A333" s="1" t="s">
        <v>676</v>
      </c>
      <c r="B333" s="1" t="s">
        <v>677</v>
      </c>
      <c r="C333" s="3">
        <v>200</v>
      </c>
      <c r="D333" s="3" t="str">
        <f ca="1">IF(B333="","",IFERROR(_xludf.XLOOKUP(_xludf.XLOOKUP(B333,Inventory!$A:$A,Inventory!$B:$B),Blades!$A:$A,Blades!$C:$C)+_xludf.XLOOKUP(_xludf.XLOOKUP(B333,Inventory!$A:$A,Inventory!$C:$C),Motor!$A:$A,Motor!$C:$C)+_xludf.XLOOKUP(_xludf.XLOOKUP(B333,Inventory!$A:$A,Inventory!$D:$D),Frame!$A:$A,Frame!$C:$C)+#REF!,""))</f>
        <v/>
      </c>
      <c r="E333" s="4">
        <v>44285</v>
      </c>
      <c r="F333" s="1" t="s">
        <v>49</v>
      </c>
    </row>
    <row r="334" spans="1:6" x14ac:dyDescent="0.25">
      <c r="A334" s="1" t="s">
        <v>678</v>
      </c>
      <c r="B334" s="1" t="s">
        <v>679</v>
      </c>
      <c r="C334" s="3">
        <v>200</v>
      </c>
      <c r="D334" s="3" t="str">
        <f ca="1">IF(B334="","",IFERROR(_xludf.XLOOKUP(_xludf.XLOOKUP(B334,Inventory!$A:$A,Inventory!$B:$B),Blades!$A:$A,Blades!$C:$C)+_xludf.XLOOKUP(_xludf.XLOOKUP(B334,Inventory!$A:$A,Inventory!$C:$C),Motor!$A:$A,Motor!$C:$C)+_xludf.XLOOKUP(_xludf.XLOOKUP(B334,Inventory!$A:$A,Inventory!$D:$D),Frame!$A:$A,Frame!$C:$C)+#REF!,""))</f>
        <v/>
      </c>
      <c r="E334" s="4">
        <v>44285</v>
      </c>
      <c r="F334" s="1" t="s">
        <v>63</v>
      </c>
    </row>
    <row r="335" spans="1:6" x14ac:dyDescent="0.25">
      <c r="A335" s="1" t="s">
        <v>680</v>
      </c>
      <c r="B335" s="1" t="s">
        <v>681</v>
      </c>
      <c r="C335" s="3">
        <v>200</v>
      </c>
      <c r="D335" s="3" t="str">
        <f ca="1">IF(B335="","",IFERROR(_xludf.XLOOKUP(_xludf.XLOOKUP(B335,Inventory!$A:$A,Inventory!$B:$B),Blades!$A:$A,Blades!$C:$C)+_xludf.XLOOKUP(_xludf.XLOOKUP(B335,Inventory!$A:$A,Inventory!$C:$C),Motor!$A:$A,Motor!$C:$C)+_xludf.XLOOKUP(_xludf.XLOOKUP(B335,Inventory!$A:$A,Inventory!$D:$D),Frame!$A:$A,Frame!$C:$C)+#REF!,""))</f>
        <v/>
      </c>
      <c r="E335" s="4">
        <v>44286</v>
      </c>
      <c r="F335" s="1" t="s">
        <v>25</v>
      </c>
    </row>
    <row r="336" spans="1:6" x14ac:dyDescent="0.25">
      <c r="A336" s="1" t="s">
        <v>682</v>
      </c>
      <c r="B336" s="1" t="s">
        <v>683</v>
      </c>
      <c r="C336" s="3">
        <v>200</v>
      </c>
      <c r="D336" s="3" t="str">
        <f ca="1">IF(B336="","",IFERROR(_xludf.XLOOKUP(_xludf.XLOOKUP(B336,Inventory!$A:$A,Inventory!$B:$B),Blades!$A:$A,Blades!$C:$C)+_xludf.XLOOKUP(_xludf.XLOOKUP(B336,Inventory!$A:$A,Inventory!$C:$C),Motor!$A:$A,Motor!$C:$C)+_xludf.XLOOKUP(_xludf.XLOOKUP(B336,Inventory!$A:$A,Inventory!$D:$D),Frame!$A:$A,Frame!$C:$C)+#REF!,""))</f>
        <v/>
      </c>
      <c r="E336" s="4">
        <v>44287</v>
      </c>
      <c r="F336" s="1" t="s">
        <v>52</v>
      </c>
    </row>
    <row r="337" spans="1:6" x14ac:dyDescent="0.25">
      <c r="A337" s="1" t="s">
        <v>684</v>
      </c>
      <c r="B337" s="1" t="s">
        <v>685</v>
      </c>
      <c r="C337" s="3">
        <v>200</v>
      </c>
      <c r="D337" s="3" t="str">
        <f ca="1">IF(B337="","",IFERROR(_xludf.XLOOKUP(_xludf.XLOOKUP(B337,Inventory!$A:$A,Inventory!$B:$B),Blades!$A:$A,Blades!$C:$C)+_xludf.XLOOKUP(_xludf.XLOOKUP(B337,Inventory!$A:$A,Inventory!$C:$C),Motor!$A:$A,Motor!$C:$C)+_xludf.XLOOKUP(_xludf.XLOOKUP(B337,Inventory!$A:$A,Inventory!$D:$D),Frame!$A:$A,Frame!$C:$C)+#REF!,""))</f>
        <v/>
      </c>
      <c r="E337" s="4">
        <v>44289</v>
      </c>
      <c r="F337" s="1" t="s">
        <v>20</v>
      </c>
    </row>
    <row r="338" spans="1:6" x14ac:dyDescent="0.25">
      <c r="A338" s="1" t="s">
        <v>686</v>
      </c>
      <c r="B338" s="1" t="s">
        <v>687</v>
      </c>
      <c r="C338" s="3">
        <v>200</v>
      </c>
      <c r="D338" s="3" t="str">
        <f ca="1">IF(B338="","",IFERROR(_xludf.XLOOKUP(_xludf.XLOOKUP(B338,Inventory!$A:$A,Inventory!$B:$B),Blades!$A:$A,Blades!$C:$C)+_xludf.XLOOKUP(_xludf.XLOOKUP(B338,Inventory!$A:$A,Inventory!$C:$C),Motor!$A:$A,Motor!$C:$C)+_xludf.XLOOKUP(_xludf.XLOOKUP(B338,Inventory!$A:$A,Inventory!$D:$D),Frame!$A:$A,Frame!$C:$C)+#REF!,""))</f>
        <v/>
      </c>
      <c r="E338" s="4">
        <v>44289</v>
      </c>
      <c r="F338" s="1" t="s">
        <v>11</v>
      </c>
    </row>
    <row r="339" spans="1:6" x14ac:dyDescent="0.25">
      <c r="A339" s="1" t="s">
        <v>688</v>
      </c>
      <c r="B339" s="1" t="s">
        <v>689</v>
      </c>
      <c r="C339" s="3">
        <v>200</v>
      </c>
      <c r="D339" s="3" t="str">
        <f ca="1">IF(B339="","",IFERROR(_xludf.XLOOKUP(_xludf.XLOOKUP(B339,Inventory!$A:$A,Inventory!$B:$B),Blades!$A:$A,Blades!$C:$C)+_xludf.XLOOKUP(_xludf.XLOOKUP(B339,Inventory!$A:$A,Inventory!$C:$C),Motor!$A:$A,Motor!$C:$C)+_xludf.XLOOKUP(_xludf.XLOOKUP(B339,Inventory!$A:$A,Inventory!$D:$D),Frame!$A:$A,Frame!$C:$C)+#REF!,""))</f>
        <v/>
      </c>
      <c r="E339" s="4">
        <v>44293</v>
      </c>
      <c r="F339" s="1" t="s">
        <v>20</v>
      </c>
    </row>
    <row r="340" spans="1:6" x14ac:dyDescent="0.25">
      <c r="A340" s="1" t="s">
        <v>690</v>
      </c>
      <c r="B340" s="1" t="s">
        <v>691</v>
      </c>
      <c r="C340" s="3">
        <v>200</v>
      </c>
      <c r="D340" s="3" t="str">
        <f ca="1">IF(B340="","",IFERROR(_xludf.XLOOKUP(_xludf.XLOOKUP(B340,Inventory!$A:$A,Inventory!$B:$B),Blades!$A:$A,Blades!$C:$C)+_xludf.XLOOKUP(_xludf.XLOOKUP(B340,Inventory!$A:$A,Inventory!$C:$C),Motor!$A:$A,Motor!$C:$C)+_xludf.XLOOKUP(_xludf.XLOOKUP(B340,Inventory!$A:$A,Inventory!$D:$D),Frame!$A:$A,Frame!$C:$C)+#REF!,""))</f>
        <v/>
      </c>
      <c r="E340" s="4">
        <v>44295</v>
      </c>
      <c r="F340" s="1" t="s">
        <v>8</v>
      </c>
    </row>
    <row r="341" spans="1:6" x14ac:dyDescent="0.25">
      <c r="A341" s="1" t="s">
        <v>692</v>
      </c>
      <c r="B341" s="1" t="s">
        <v>693</v>
      </c>
      <c r="C341" s="3">
        <v>200</v>
      </c>
      <c r="D341" s="3" t="str">
        <f ca="1">IF(B341="","",IFERROR(_xludf.XLOOKUP(_xludf.XLOOKUP(B341,Inventory!$A:$A,Inventory!$B:$B),Blades!$A:$A,Blades!$C:$C)+_xludf.XLOOKUP(_xludf.XLOOKUP(B341,Inventory!$A:$A,Inventory!$C:$C),Motor!$A:$A,Motor!$C:$C)+_xludf.XLOOKUP(_xludf.XLOOKUP(B341,Inventory!$A:$A,Inventory!$D:$D),Frame!$A:$A,Frame!$C:$C)+#REF!,""))</f>
        <v/>
      </c>
      <c r="E341" s="4">
        <v>44296</v>
      </c>
      <c r="F341" s="1" t="s">
        <v>32</v>
      </c>
    </row>
    <row r="342" spans="1:6" x14ac:dyDescent="0.25">
      <c r="A342" s="1" t="s">
        <v>694</v>
      </c>
      <c r="B342" s="1" t="s">
        <v>695</v>
      </c>
      <c r="C342" s="3">
        <v>200</v>
      </c>
      <c r="D342" s="3" t="str">
        <f ca="1">IF(B342="","",IFERROR(_xludf.XLOOKUP(_xludf.XLOOKUP(B342,Inventory!$A:$A,Inventory!$B:$B),Blades!$A:$A,Blades!$C:$C)+_xludf.XLOOKUP(_xludf.XLOOKUP(B342,Inventory!$A:$A,Inventory!$C:$C),Motor!$A:$A,Motor!$C:$C)+_xludf.XLOOKUP(_xludf.XLOOKUP(B342,Inventory!$A:$A,Inventory!$D:$D),Frame!$A:$A,Frame!$C:$C)+#REF!,""))</f>
        <v/>
      </c>
      <c r="E342" s="4">
        <v>44296</v>
      </c>
      <c r="F342" s="1" t="s">
        <v>8</v>
      </c>
    </row>
    <row r="343" spans="1:6" x14ac:dyDescent="0.25">
      <c r="A343" s="1" t="s">
        <v>696</v>
      </c>
      <c r="B343" s="1" t="s">
        <v>697</v>
      </c>
      <c r="C343" s="3">
        <v>200</v>
      </c>
      <c r="D343" s="3" t="str">
        <f ca="1">IF(B343="","",IFERROR(_xludf.XLOOKUP(_xludf.XLOOKUP(B343,Inventory!$A:$A,Inventory!$B:$B),Blades!$A:$A,Blades!$C:$C)+_xludf.XLOOKUP(_xludf.XLOOKUP(B343,Inventory!$A:$A,Inventory!$C:$C),Motor!$A:$A,Motor!$C:$C)+_xludf.XLOOKUP(_xludf.XLOOKUP(B343,Inventory!$A:$A,Inventory!$D:$D),Frame!$A:$A,Frame!$C:$C)+#REF!,""))</f>
        <v/>
      </c>
      <c r="E343" s="4">
        <v>44298</v>
      </c>
      <c r="F343" s="1" t="s">
        <v>49</v>
      </c>
    </row>
    <row r="344" spans="1:6" x14ac:dyDescent="0.25">
      <c r="A344" s="1" t="s">
        <v>698</v>
      </c>
      <c r="B344" s="1" t="s">
        <v>699</v>
      </c>
      <c r="C344" s="3">
        <v>200</v>
      </c>
      <c r="D344" s="3" t="str">
        <f ca="1">IF(B344="","",IFERROR(_xludf.XLOOKUP(_xludf.XLOOKUP(B344,Inventory!$A:$A,Inventory!$B:$B),Blades!$A:$A,Blades!$C:$C)+_xludf.XLOOKUP(_xludf.XLOOKUP(B344,Inventory!$A:$A,Inventory!$C:$C),Motor!$A:$A,Motor!$C:$C)+_xludf.XLOOKUP(_xludf.XLOOKUP(B344,Inventory!$A:$A,Inventory!$D:$D),Frame!$A:$A,Frame!$C:$C)+#REF!,""))</f>
        <v/>
      </c>
      <c r="E344" s="4">
        <v>44299</v>
      </c>
      <c r="F344" s="1" t="s">
        <v>63</v>
      </c>
    </row>
    <row r="345" spans="1:6" x14ac:dyDescent="0.25">
      <c r="A345" s="1" t="s">
        <v>700</v>
      </c>
      <c r="B345" s="1" t="s">
        <v>701</v>
      </c>
      <c r="C345" s="3">
        <v>200</v>
      </c>
      <c r="D345" s="3" t="str">
        <f ca="1">IF(B345="","",IFERROR(_xludf.XLOOKUP(_xludf.XLOOKUP(B345,Inventory!$A:$A,Inventory!$B:$B),Blades!$A:$A,Blades!$C:$C)+_xludf.XLOOKUP(_xludf.XLOOKUP(B345,Inventory!$A:$A,Inventory!$C:$C),Motor!$A:$A,Motor!$C:$C)+_xludf.XLOOKUP(_xludf.XLOOKUP(B345,Inventory!$A:$A,Inventory!$D:$D),Frame!$A:$A,Frame!$C:$C)+#REF!,""))</f>
        <v/>
      </c>
      <c r="E345" s="4">
        <v>44301</v>
      </c>
      <c r="F345" s="1" t="s">
        <v>63</v>
      </c>
    </row>
    <row r="346" spans="1:6" x14ac:dyDescent="0.25">
      <c r="A346" s="1" t="s">
        <v>702</v>
      </c>
      <c r="B346" s="1" t="s">
        <v>703</v>
      </c>
      <c r="C346" s="3">
        <v>200</v>
      </c>
      <c r="D346" s="3" t="str">
        <f ca="1">IF(B346="","",IFERROR(_xludf.XLOOKUP(_xludf.XLOOKUP(B346,Inventory!$A:$A,Inventory!$B:$B),Blades!$A:$A,Blades!$C:$C)+_xludf.XLOOKUP(_xludf.XLOOKUP(B346,Inventory!$A:$A,Inventory!$C:$C),Motor!$A:$A,Motor!$C:$C)+_xludf.XLOOKUP(_xludf.XLOOKUP(B346,Inventory!$A:$A,Inventory!$D:$D),Frame!$A:$A,Frame!$C:$C)+#REF!,""))</f>
        <v/>
      </c>
      <c r="E346" s="4">
        <v>44305</v>
      </c>
      <c r="F346" s="1" t="s">
        <v>63</v>
      </c>
    </row>
    <row r="347" spans="1:6" x14ac:dyDescent="0.25">
      <c r="A347" s="1" t="s">
        <v>704</v>
      </c>
      <c r="B347" s="1" t="s">
        <v>705</v>
      </c>
      <c r="C347" s="3">
        <v>200</v>
      </c>
      <c r="D347" s="3" t="str">
        <f ca="1">IF(B347="","",IFERROR(_xludf.XLOOKUP(_xludf.XLOOKUP(B347,Inventory!$A:$A,Inventory!$B:$B),Blades!$A:$A,Blades!$C:$C)+_xludf.XLOOKUP(_xludf.XLOOKUP(B347,Inventory!$A:$A,Inventory!$C:$C),Motor!$A:$A,Motor!$C:$C)+_xludf.XLOOKUP(_xludf.XLOOKUP(B347,Inventory!$A:$A,Inventory!$D:$D),Frame!$A:$A,Frame!$C:$C)+#REF!,""))</f>
        <v/>
      </c>
      <c r="E347" s="4">
        <v>44306</v>
      </c>
      <c r="F347" s="1" t="s">
        <v>8</v>
      </c>
    </row>
    <row r="348" spans="1:6" x14ac:dyDescent="0.25">
      <c r="A348" s="1" t="s">
        <v>706</v>
      </c>
      <c r="B348" s="1" t="s">
        <v>707</v>
      </c>
      <c r="C348" s="3">
        <v>200</v>
      </c>
      <c r="D348" s="3" t="str">
        <f ca="1">IF(B348="","",IFERROR(_xludf.XLOOKUP(_xludf.XLOOKUP(B348,Inventory!$A:$A,Inventory!$B:$B),Blades!$A:$A,Blades!$C:$C)+_xludf.XLOOKUP(_xludf.XLOOKUP(B348,Inventory!$A:$A,Inventory!$C:$C),Motor!$A:$A,Motor!$C:$C)+_xludf.XLOOKUP(_xludf.XLOOKUP(B348,Inventory!$A:$A,Inventory!$D:$D),Frame!$A:$A,Frame!$C:$C)+#REF!,""))</f>
        <v/>
      </c>
      <c r="E348" s="4">
        <v>44309</v>
      </c>
      <c r="F348" s="1" t="s">
        <v>63</v>
      </c>
    </row>
    <row r="349" spans="1:6" x14ac:dyDescent="0.25">
      <c r="A349" s="1" t="s">
        <v>708</v>
      </c>
      <c r="B349" s="1" t="s">
        <v>709</v>
      </c>
      <c r="C349" s="3">
        <v>200</v>
      </c>
      <c r="D349" s="3" t="str">
        <f ca="1">IF(B349="","",IFERROR(_xludf.XLOOKUP(_xludf.XLOOKUP(B349,Inventory!$A:$A,Inventory!$B:$B),Blades!$A:$A,Blades!$C:$C)+_xludf.XLOOKUP(_xludf.XLOOKUP(B349,Inventory!$A:$A,Inventory!$C:$C),Motor!$A:$A,Motor!$C:$C)+_xludf.XLOOKUP(_xludf.XLOOKUP(B349,Inventory!$A:$A,Inventory!$D:$D),Frame!$A:$A,Frame!$C:$C)+#REF!,""))</f>
        <v/>
      </c>
      <c r="E349" s="4">
        <v>44310</v>
      </c>
      <c r="F349" s="1" t="s">
        <v>20</v>
      </c>
    </row>
    <row r="350" spans="1:6" x14ac:dyDescent="0.25">
      <c r="A350" s="1" t="s">
        <v>710</v>
      </c>
      <c r="B350" s="1" t="s">
        <v>711</v>
      </c>
      <c r="C350" s="3">
        <v>200</v>
      </c>
      <c r="D350" s="3" t="str">
        <f ca="1">IF(B350="","",IFERROR(_xludf.XLOOKUP(_xludf.XLOOKUP(B350,Inventory!$A:$A,Inventory!$B:$B),Blades!$A:$A,Blades!$C:$C)+_xludf.XLOOKUP(_xludf.XLOOKUP(B350,Inventory!$A:$A,Inventory!$C:$C),Motor!$A:$A,Motor!$C:$C)+_xludf.XLOOKUP(_xludf.XLOOKUP(B350,Inventory!$A:$A,Inventory!$D:$D),Frame!$A:$A,Frame!$C:$C)+#REF!,""))</f>
        <v/>
      </c>
      <c r="E350" s="4">
        <v>44310</v>
      </c>
      <c r="F350" s="1" t="s">
        <v>63</v>
      </c>
    </row>
    <row r="351" spans="1:6" x14ac:dyDescent="0.25">
      <c r="A351" s="1" t="s">
        <v>712</v>
      </c>
      <c r="B351" s="1" t="s">
        <v>713</v>
      </c>
      <c r="C351" s="3">
        <v>200</v>
      </c>
      <c r="D351" s="3" t="str">
        <f ca="1">IF(B351="","",IFERROR(_xludf.XLOOKUP(_xludf.XLOOKUP(B351,Inventory!$A:$A,Inventory!$B:$B),Blades!$A:$A,Blades!$C:$C)+_xludf.XLOOKUP(_xludf.XLOOKUP(B351,Inventory!$A:$A,Inventory!$C:$C),Motor!$A:$A,Motor!$C:$C)+_xludf.XLOOKUP(_xludf.XLOOKUP(B351,Inventory!$A:$A,Inventory!$D:$D),Frame!$A:$A,Frame!$C:$C)+#REF!,""))</f>
        <v/>
      </c>
      <c r="E351" s="4">
        <v>44311</v>
      </c>
      <c r="F351" s="1" t="s">
        <v>8</v>
      </c>
    </row>
    <row r="352" spans="1:6" x14ac:dyDescent="0.25">
      <c r="A352" s="1" t="s">
        <v>714</v>
      </c>
      <c r="B352" s="1" t="s">
        <v>715</v>
      </c>
      <c r="C352" s="3">
        <v>200</v>
      </c>
      <c r="D352" s="3" t="str">
        <f ca="1">IF(B352="","",IFERROR(_xludf.XLOOKUP(_xludf.XLOOKUP(B352,Inventory!$A:$A,Inventory!$B:$B),Blades!$A:$A,Blades!$C:$C)+_xludf.XLOOKUP(_xludf.XLOOKUP(B352,Inventory!$A:$A,Inventory!$C:$C),Motor!$A:$A,Motor!$C:$C)+_xludf.XLOOKUP(_xludf.XLOOKUP(B352,Inventory!$A:$A,Inventory!$D:$D),Frame!$A:$A,Frame!$C:$C)+#REF!,""))</f>
        <v/>
      </c>
      <c r="E352" s="4">
        <v>44312</v>
      </c>
      <c r="F352" s="1" t="s">
        <v>63</v>
      </c>
    </row>
    <row r="353" spans="1:6" x14ac:dyDescent="0.25">
      <c r="A353" s="1" t="s">
        <v>716</v>
      </c>
      <c r="B353" s="1" t="s">
        <v>717</v>
      </c>
      <c r="C353" s="3">
        <v>200</v>
      </c>
      <c r="D353" s="3" t="str">
        <f ca="1">IF(B353="","",IFERROR(_xludf.XLOOKUP(_xludf.XLOOKUP(B353,Inventory!$A:$A,Inventory!$B:$B),Blades!$A:$A,Blades!$C:$C)+_xludf.XLOOKUP(_xludf.XLOOKUP(B353,Inventory!$A:$A,Inventory!$C:$C),Motor!$A:$A,Motor!$C:$C)+_xludf.XLOOKUP(_xludf.XLOOKUP(B353,Inventory!$A:$A,Inventory!$D:$D),Frame!$A:$A,Frame!$C:$C)+#REF!,""))</f>
        <v/>
      </c>
      <c r="E353" s="4">
        <v>44314</v>
      </c>
      <c r="F353" s="1" t="s">
        <v>52</v>
      </c>
    </row>
    <row r="354" spans="1:6" x14ac:dyDescent="0.25">
      <c r="A354" s="1" t="s">
        <v>718</v>
      </c>
      <c r="B354" s="1" t="s">
        <v>719</v>
      </c>
      <c r="C354" s="3">
        <v>200</v>
      </c>
      <c r="D354" s="3" t="str">
        <f ca="1">IF(B354="","",IFERROR(_xludf.XLOOKUP(_xludf.XLOOKUP(B354,Inventory!$A:$A,Inventory!$B:$B),Blades!$A:$A,Blades!$C:$C)+_xludf.XLOOKUP(_xludf.XLOOKUP(B354,Inventory!$A:$A,Inventory!$C:$C),Motor!$A:$A,Motor!$C:$C)+_xludf.XLOOKUP(_xludf.XLOOKUP(B354,Inventory!$A:$A,Inventory!$D:$D),Frame!$A:$A,Frame!$C:$C)+#REF!,""))</f>
        <v/>
      </c>
      <c r="E354" s="4">
        <v>44316</v>
      </c>
      <c r="F354" s="1" t="s">
        <v>52</v>
      </c>
    </row>
    <row r="355" spans="1:6" x14ac:dyDescent="0.25">
      <c r="A355" s="1" t="s">
        <v>720</v>
      </c>
      <c r="B355" s="1" t="s">
        <v>721</v>
      </c>
      <c r="C355" s="3">
        <v>200</v>
      </c>
      <c r="D355" s="3" t="str">
        <f ca="1">IF(B355="","",IFERROR(_xludf.XLOOKUP(_xludf.XLOOKUP(B355,Inventory!$A:$A,Inventory!$B:$B),Blades!$A:$A,Blades!$C:$C)+_xludf.XLOOKUP(_xludf.XLOOKUP(B355,Inventory!$A:$A,Inventory!$C:$C),Motor!$A:$A,Motor!$C:$C)+_xludf.XLOOKUP(_xludf.XLOOKUP(B355,Inventory!$A:$A,Inventory!$D:$D),Frame!$A:$A,Frame!$C:$C)+#REF!,""))</f>
        <v/>
      </c>
      <c r="E355" s="4">
        <v>44317</v>
      </c>
      <c r="F355" s="1" t="s">
        <v>11</v>
      </c>
    </row>
    <row r="356" spans="1:6" x14ac:dyDescent="0.25">
      <c r="A356" s="1" t="s">
        <v>722</v>
      </c>
      <c r="B356" s="1" t="s">
        <v>723</v>
      </c>
      <c r="C356" s="3">
        <v>200</v>
      </c>
      <c r="D356" s="3" t="str">
        <f ca="1">IF(B356="","",IFERROR(_xludf.XLOOKUP(_xludf.XLOOKUP(B356,Inventory!$A:$A,Inventory!$B:$B),Blades!$A:$A,Blades!$C:$C)+_xludf.XLOOKUP(_xludf.XLOOKUP(B356,Inventory!$A:$A,Inventory!$C:$C),Motor!$A:$A,Motor!$C:$C)+_xludf.XLOOKUP(_xludf.XLOOKUP(B356,Inventory!$A:$A,Inventory!$D:$D),Frame!$A:$A,Frame!$C:$C)+#REF!,""))</f>
        <v/>
      </c>
      <c r="E356" s="4">
        <v>44317</v>
      </c>
      <c r="F356" s="1" t="s">
        <v>32</v>
      </c>
    </row>
    <row r="357" spans="1:6" x14ac:dyDescent="0.25">
      <c r="A357" s="1" t="s">
        <v>724</v>
      </c>
      <c r="B357" s="1" t="s">
        <v>725</v>
      </c>
      <c r="C357" s="3">
        <v>200</v>
      </c>
      <c r="D357" s="3" t="str">
        <f ca="1">IF(B357="","",IFERROR(_xludf.XLOOKUP(_xludf.XLOOKUP(B357,Inventory!$A:$A,Inventory!$B:$B),Blades!$A:$A,Blades!$C:$C)+_xludf.XLOOKUP(_xludf.XLOOKUP(B357,Inventory!$A:$A,Inventory!$C:$C),Motor!$A:$A,Motor!$C:$C)+_xludf.XLOOKUP(_xludf.XLOOKUP(B357,Inventory!$A:$A,Inventory!$D:$D),Frame!$A:$A,Frame!$C:$C)+#REF!,""))</f>
        <v/>
      </c>
      <c r="E357" s="4">
        <v>44318</v>
      </c>
      <c r="F357" s="1" t="s">
        <v>8</v>
      </c>
    </row>
    <row r="358" spans="1:6" x14ac:dyDescent="0.25">
      <c r="A358" s="1" t="s">
        <v>726</v>
      </c>
      <c r="B358" s="1" t="s">
        <v>727</v>
      </c>
      <c r="C358" s="3">
        <v>200</v>
      </c>
      <c r="D358" s="3" t="str">
        <f ca="1">IF(B358="","",IFERROR(_xludf.XLOOKUP(_xludf.XLOOKUP(B358,Inventory!$A:$A,Inventory!$B:$B),Blades!$A:$A,Blades!$C:$C)+_xludf.XLOOKUP(_xludf.XLOOKUP(B358,Inventory!$A:$A,Inventory!$C:$C),Motor!$A:$A,Motor!$C:$C)+_xludf.XLOOKUP(_xludf.XLOOKUP(B358,Inventory!$A:$A,Inventory!$D:$D),Frame!$A:$A,Frame!$C:$C)+#REF!,""))</f>
        <v/>
      </c>
      <c r="E358" s="4">
        <v>44319</v>
      </c>
      <c r="F358" s="1" t="s">
        <v>63</v>
      </c>
    </row>
    <row r="359" spans="1:6" x14ac:dyDescent="0.25">
      <c r="A359" s="1" t="s">
        <v>728</v>
      </c>
      <c r="B359" s="1" t="s">
        <v>729</v>
      </c>
      <c r="C359" s="3">
        <v>200</v>
      </c>
      <c r="D359" s="3" t="str">
        <f ca="1">IF(B359="","",IFERROR(_xludf.XLOOKUP(_xludf.XLOOKUP(B359,Inventory!$A:$A,Inventory!$B:$B),Blades!$A:$A,Blades!$C:$C)+_xludf.XLOOKUP(_xludf.XLOOKUP(B359,Inventory!$A:$A,Inventory!$C:$C),Motor!$A:$A,Motor!$C:$C)+_xludf.XLOOKUP(_xludf.XLOOKUP(B359,Inventory!$A:$A,Inventory!$D:$D),Frame!$A:$A,Frame!$C:$C)+#REF!,""))</f>
        <v/>
      </c>
      <c r="E359" s="4">
        <v>44321</v>
      </c>
      <c r="F359" s="1" t="s">
        <v>52</v>
      </c>
    </row>
    <row r="360" spans="1:6" x14ac:dyDescent="0.25">
      <c r="A360" s="1" t="s">
        <v>730</v>
      </c>
      <c r="B360" s="1" t="s">
        <v>731</v>
      </c>
      <c r="C360" s="3">
        <v>200</v>
      </c>
      <c r="D360" s="3" t="str">
        <f ca="1">IF(B360="","",IFERROR(_xludf.XLOOKUP(_xludf.XLOOKUP(B360,Inventory!$A:$A,Inventory!$B:$B),Blades!$A:$A,Blades!$C:$C)+_xludf.XLOOKUP(_xludf.XLOOKUP(B360,Inventory!$A:$A,Inventory!$C:$C),Motor!$A:$A,Motor!$C:$C)+_xludf.XLOOKUP(_xludf.XLOOKUP(B360,Inventory!$A:$A,Inventory!$D:$D),Frame!$A:$A,Frame!$C:$C)+#REF!,""))</f>
        <v/>
      </c>
      <c r="E360" s="4">
        <v>44323</v>
      </c>
      <c r="F360" s="1" t="s">
        <v>32</v>
      </c>
    </row>
    <row r="361" spans="1:6" x14ac:dyDescent="0.25">
      <c r="A361" s="1" t="s">
        <v>732</v>
      </c>
      <c r="B361" s="1" t="s">
        <v>733</v>
      </c>
      <c r="C361" s="3">
        <v>200</v>
      </c>
      <c r="D361" s="3" t="str">
        <f ca="1">IF(B361="","",IFERROR(_xludf.XLOOKUP(_xludf.XLOOKUP(B361,Inventory!$A:$A,Inventory!$B:$B),Blades!$A:$A,Blades!$C:$C)+_xludf.XLOOKUP(_xludf.XLOOKUP(B361,Inventory!$A:$A,Inventory!$C:$C),Motor!$A:$A,Motor!$C:$C)+_xludf.XLOOKUP(_xludf.XLOOKUP(B361,Inventory!$A:$A,Inventory!$D:$D),Frame!$A:$A,Frame!$C:$C)+#REF!,""))</f>
        <v/>
      </c>
      <c r="E361" s="4">
        <v>44325</v>
      </c>
      <c r="F361" s="1" t="s">
        <v>25</v>
      </c>
    </row>
    <row r="362" spans="1:6" x14ac:dyDescent="0.25">
      <c r="A362" s="1" t="s">
        <v>734</v>
      </c>
      <c r="B362" s="1" t="s">
        <v>735</v>
      </c>
      <c r="C362" s="3">
        <v>200</v>
      </c>
      <c r="D362" s="3" t="str">
        <f ca="1">IF(B362="","",IFERROR(_xludf.XLOOKUP(_xludf.XLOOKUP(B362,Inventory!$A:$A,Inventory!$B:$B),Blades!$A:$A,Blades!$C:$C)+_xludf.XLOOKUP(_xludf.XLOOKUP(B362,Inventory!$A:$A,Inventory!$C:$C),Motor!$A:$A,Motor!$C:$C)+_xludf.XLOOKUP(_xludf.XLOOKUP(B362,Inventory!$A:$A,Inventory!$D:$D),Frame!$A:$A,Frame!$C:$C)+#REF!,""))</f>
        <v/>
      </c>
      <c r="E362" s="4">
        <v>44326</v>
      </c>
      <c r="F362" s="1" t="s">
        <v>63</v>
      </c>
    </row>
    <row r="363" spans="1:6" x14ac:dyDescent="0.25">
      <c r="A363" s="1" t="s">
        <v>736</v>
      </c>
      <c r="B363" s="1" t="s">
        <v>737</v>
      </c>
      <c r="C363" s="3">
        <v>200</v>
      </c>
      <c r="D363" s="3" t="str">
        <f ca="1">IF(B363="","",IFERROR(_xludf.XLOOKUP(_xludf.XLOOKUP(B363,Inventory!$A:$A,Inventory!$B:$B),Blades!$A:$A,Blades!$C:$C)+_xludf.XLOOKUP(_xludf.XLOOKUP(B363,Inventory!$A:$A,Inventory!$C:$C),Motor!$A:$A,Motor!$C:$C)+_xludf.XLOOKUP(_xludf.XLOOKUP(B363,Inventory!$A:$A,Inventory!$D:$D),Frame!$A:$A,Frame!$C:$C)+#REF!,""))</f>
        <v/>
      </c>
      <c r="E363" s="4">
        <v>44327</v>
      </c>
      <c r="F363" s="1" t="s">
        <v>11</v>
      </c>
    </row>
    <row r="364" spans="1:6" x14ac:dyDescent="0.25">
      <c r="A364" s="1" t="s">
        <v>738</v>
      </c>
      <c r="B364" s="1" t="s">
        <v>739</v>
      </c>
      <c r="C364" s="3">
        <v>200</v>
      </c>
      <c r="D364" s="3" t="str">
        <f ca="1">IF(B364="","",IFERROR(_xludf.XLOOKUP(_xludf.XLOOKUP(B364,Inventory!$A:$A,Inventory!$B:$B),Blades!$A:$A,Blades!$C:$C)+_xludf.XLOOKUP(_xludf.XLOOKUP(B364,Inventory!$A:$A,Inventory!$C:$C),Motor!$A:$A,Motor!$C:$C)+_xludf.XLOOKUP(_xludf.XLOOKUP(B364,Inventory!$A:$A,Inventory!$D:$D),Frame!$A:$A,Frame!$C:$C)+#REF!,""))</f>
        <v/>
      </c>
      <c r="E364" s="4">
        <v>44328</v>
      </c>
      <c r="F364" s="1" t="s">
        <v>8</v>
      </c>
    </row>
    <row r="365" spans="1:6" x14ac:dyDescent="0.25">
      <c r="A365" s="1" t="s">
        <v>740</v>
      </c>
      <c r="B365" s="1" t="s">
        <v>741</v>
      </c>
      <c r="C365" s="3">
        <v>200</v>
      </c>
      <c r="D365" s="3" t="str">
        <f ca="1">IF(B365="","",IFERROR(_xludf.XLOOKUP(_xludf.XLOOKUP(B365,Inventory!$A:$A,Inventory!$B:$B),Blades!$A:$A,Blades!$C:$C)+_xludf.XLOOKUP(_xludf.XLOOKUP(B365,Inventory!$A:$A,Inventory!$C:$C),Motor!$A:$A,Motor!$C:$C)+_xludf.XLOOKUP(_xludf.XLOOKUP(B365,Inventory!$A:$A,Inventory!$D:$D),Frame!$A:$A,Frame!$C:$C)+#REF!,""))</f>
        <v/>
      </c>
      <c r="E365" s="4">
        <v>44336</v>
      </c>
      <c r="F365" s="1" t="s">
        <v>63</v>
      </c>
    </row>
    <row r="366" spans="1:6" x14ac:dyDescent="0.25">
      <c r="A366" s="1" t="s">
        <v>742</v>
      </c>
      <c r="B366" s="1" t="s">
        <v>743</v>
      </c>
      <c r="C366" s="3">
        <v>200</v>
      </c>
      <c r="D366" s="3" t="str">
        <f ca="1">IF(B366="","",IFERROR(_xludf.XLOOKUP(_xludf.XLOOKUP(B366,Inventory!$A:$A,Inventory!$B:$B),Blades!$A:$A,Blades!$C:$C)+_xludf.XLOOKUP(_xludf.XLOOKUP(B366,Inventory!$A:$A,Inventory!$C:$C),Motor!$A:$A,Motor!$C:$C)+_xludf.XLOOKUP(_xludf.XLOOKUP(B366,Inventory!$A:$A,Inventory!$D:$D),Frame!$A:$A,Frame!$C:$C)+#REF!,""))</f>
        <v/>
      </c>
      <c r="E366" s="4">
        <v>44337</v>
      </c>
      <c r="F366" s="1" t="s">
        <v>8</v>
      </c>
    </row>
    <row r="367" spans="1:6" x14ac:dyDescent="0.25">
      <c r="A367" s="1" t="s">
        <v>744</v>
      </c>
      <c r="B367" s="1" t="s">
        <v>745</v>
      </c>
      <c r="C367" s="3">
        <v>200</v>
      </c>
      <c r="D367" s="3" t="str">
        <f ca="1">IF(B367="","",IFERROR(_xludf.XLOOKUP(_xludf.XLOOKUP(B367,Inventory!$A:$A,Inventory!$B:$B),Blades!$A:$A,Blades!$C:$C)+_xludf.XLOOKUP(_xludf.XLOOKUP(B367,Inventory!$A:$A,Inventory!$C:$C),Motor!$A:$A,Motor!$C:$C)+_xludf.XLOOKUP(_xludf.XLOOKUP(B367,Inventory!$A:$A,Inventory!$D:$D),Frame!$A:$A,Frame!$C:$C)+#REF!,""))</f>
        <v/>
      </c>
      <c r="E367" s="4">
        <v>44341</v>
      </c>
      <c r="F367" s="1" t="s">
        <v>49</v>
      </c>
    </row>
    <row r="368" spans="1:6" x14ac:dyDescent="0.25">
      <c r="A368" s="1" t="s">
        <v>746</v>
      </c>
      <c r="B368" s="1" t="s">
        <v>747</v>
      </c>
      <c r="C368" s="3">
        <v>200</v>
      </c>
      <c r="D368" s="3" t="str">
        <f ca="1">IF(B368="","",IFERROR(_xludf.XLOOKUP(_xludf.XLOOKUP(B368,Inventory!$A:$A,Inventory!$B:$B),Blades!$A:$A,Blades!$C:$C)+_xludf.XLOOKUP(_xludf.XLOOKUP(B368,Inventory!$A:$A,Inventory!$C:$C),Motor!$A:$A,Motor!$C:$C)+_xludf.XLOOKUP(_xludf.XLOOKUP(B368,Inventory!$A:$A,Inventory!$D:$D),Frame!$A:$A,Frame!$C:$C)+#REF!,""))</f>
        <v/>
      </c>
      <c r="E368" s="4">
        <v>44341</v>
      </c>
      <c r="F368" s="1" t="s">
        <v>32</v>
      </c>
    </row>
    <row r="369" spans="1:6" x14ac:dyDescent="0.25">
      <c r="A369" s="1" t="s">
        <v>748</v>
      </c>
      <c r="B369" s="1" t="s">
        <v>749</v>
      </c>
      <c r="C369" s="3">
        <v>200</v>
      </c>
      <c r="D369" s="3" t="str">
        <f ca="1">IF(B369="","",IFERROR(_xludf.XLOOKUP(_xludf.XLOOKUP(B369,Inventory!$A:$A,Inventory!$B:$B),Blades!$A:$A,Blades!$C:$C)+_xludf.XLOOKUP(_xludf.XLOOKUP(B369,Inventory!$A:$A,Inventory!$C:$C),Motor!$A:$A,Motor!$C:$C)+_xludf.XLOOKUP(_xludf.XLOOKUP(B369,Inventory!$A:$A,Inventory!$D:$D),Frame!$A:$A,Frame!$C:$C)+#REF!,""))</f>
        <v/>
      </c>
      <c r="E369" s="4">
        <v>44342</v>
      </c>
      <c r="F369" s="1" t="s">
        <v>20</v>
      </c>
    </row>
    <row r="370" spans="1:6" x14ac:dyDescent="0.25">
      <c r="A370" s="1" t="s">
        <v>750</v>
      </c>
      <c r="B370" s="1" t="s">
        <v>751</v>
      </c>
      <c r="C370" s="3">
        <v>200</v>
      </c>
      <c r="D370" s="3" t="str">
        <f ca="1">IF(B370="","",IFERROR(_xludf.XLOOKUP(_xludf.XLOOKUP(B370,Inventory!$A:$A,Inventory!$B:$B),Blades!$A:$A,Blades!$C:$C)+_xludf.XLOOKUP(_xludf.XLOOKUP(B370,Inventory!$A:$A,Inventory!$C:$C),Motor!$A:$A,Motor!$C:$C)+_xludf.XLOOKUP(_xludf.XLOOKUP(B370,Inventory!$A:$A,Inventory!$D:$D),Frame!$A:$A,Frame!$C:$C)+#REF!,""))</f>
        <v/>
      </c>
      <c r="E370" s="4">
        <v>44342</v>
      </c>
      <c r="F370" s="1" t="s">
        <v>32</v>
      </c>
    </row>
    <row r="371" spans="1:6" x14ac:dyDescent="0.25">
      <c r="A371" s="1" t="s">
        <v>752</v>
      </c>
      <c r="B371" s="1" t="s">
        <v>753</v>
      </c>
      <c r="C371" s="3">
        <v>200</v>
      </c>
      <c r="D371" s="3" t="str">
        <f ca="1">IF(B371="","",IFERROR(_xludf.XLOOKUP(_xludf.XLOOKUP(B371,Inventory!$A:$A,Inventory!$B:$B),Blades!$A:$A,Blades!$C:$C)+_xludf.XLOOKUP(_xludf.XLOOKUP(B371,Inventory!$A:$A,Inventory!$C:$C),Motor!$A:$A,Motor!$C:$C)+_xludf.XLOOKUP(_xludf.XLOOKUP(B371,Inventory!$A:$A,Inventory!$D:$D),Frame!$A:$A,Frame!$C:$C)+#REF!,""))</f>
        <v/>
      </c>
      <c r="E371" s="4">
        <v>44342</v>
      </c>
      <c r="F371" s="1" t="s">
        <v>25</v>
      </c>
    </row>
    <row r="372" spans="1:6" x14ac:dyDescent="0.25">
      <c r="A372" s="1" t="s">
        <v>754</v>
      </c>
      <c r="B372" s="1" t="s">
        <v>755</v>
      </c>
      <c r="C372" s="3">
        <v>200</v>
      </c>
      <c r="D372" s="3" t="str">
        <f ca="1">IF(B372="","",IFERROR(_xludf.XLOOKUP(_xludf.XLOOKUP(B372,Inventory!$A:$A,Inventory!$B:$B),Blades!$A:$A,Blades!$C:$C)+_xludf.XLOOKUP(_xludf.XLOOKUP(B372,Inventory!$A:$A,Inventory!$C:$C),Motor!$A:$A,Motor!$C:$C)+_xludf.XLOOKUP(_xludf.XLOOKUP(B372,Inventory!$A:$A,Inventory!$D:$D),Frame!$A:$A,Frame!$C:$C)+#REF!,""))</f>
        <v/>
      </c>
      <c r="E372" s="4">
        <v>44343</v>
      </c>
      <c r="F372" s="1" t="s">
        <v>49</v>
      </c>
    </row>
    <row r="373" spans="1:6" x14ac:dyDescent="0.25">
      <c r="A373" s="1" t="s">
        <v>756</v>
      </c>
      <c r="B373" s="1" t="s">
        <v>757</v>
      </c>
      <c r="C373" s="3">
        <v>200</v>
      </c>
      <c r="D373" s="3" t="str">
        <f ca="1">IF(B373="","",IFERROR(_xludf.XLOOKUP(_xludf.XLOOKUP(B373,Inventory!$A:$A,Inventory!$B:$B),Blades!$A:$A,Blades!$C:$C)+_xludf.XLOOKUP(_xludf.XLOOKUP(B373,Inventory!$A:$A,Inventory!$C:$C),Motor!$A:$A,Motor!$C:$C)+_xludf.XLOOKUP(_xludf.XLOOKUP(B373,Inventory!$A:$A,Inventory!$D:$D),Frame!$A:$A,Frame!$C:$C)+#REF!,""))</f>
        <v/>
      </c>
      <c r="E373" s="4">
        <v>44343</v>
      </c>
      <c r="F373" s="1" t="s">
        <v>49</v>
      </c>
    </row>
    <row r="374" spans="1:6" x14ac:dyDescent="0.25">
      <c r="A374" s="1" t="s">
        <v>758</v>
      </c>
      <c r="B374" s="1" t="s">
        <v>759</v>
      </c>
      <c r="C374" s="3">
        <v>200</v>
      </c>
      <c r="D374" s="3" t="str">
        <f ca="1">IF(B374="","",IFERROR(_xludf.XLOOKUP(_xludf.XLOOKUP(B374,Inventory!$A:$A,Inventory!$B:$B),Blades!$A:$A,Blades!$C:$C)+_xludf.XLOOKUP(_xludf.XLOOKUP(B374,Inventory!$A:$A,Inventory!$C:$C),Motor!$A:$A,Motor!$C:$C)+_xludf.XLOOKUP(_xludf.XLOOKUP(B374,Inventory!$A:$A,Inventory!$D:$D),Frame!$A:$A,Frame!$C:$C)+#REF!,""))</f>
        <v/>
      </c>
      <c r="E374" s="4">
        <v>44345</v>
      </c>
      <c r="F374" s="1" t="s">
        <v>63</v>
      </c>
    </row>
    <row r="375" spans="1:6" x14ac:dyDescent="0.25">
      <c r="A375" s="1" t="s">
        <v>760</v>
      </c>
      <c r="B375" s="1" t="s">
        <v>761</v>
      </c>
      <c r="C375" s="3">
        <v>200</v>
      </c>
      <c r="D375" s="3" t="str">
        <f ca="1">IF(B375="","",IFERROR(_xludf.XLOOKUP(_xludf.XLOOKUP(B375,Inventory!$A:$A,Inventory!$B:$B),Blades!$A:$A,Blades!$C:$C)+_xludf.XLOOKUP(_xludf.XLOOKUP(B375,Inventory!$A:$A,Inventory!$C:$C),Motor!$A:$A,Motor!$C:$C)+_xludf.XLOOKUP(_xludf.XLOOKUP(B375,Inventory!$A:$A,Inventory!$D:$D),Frame!$A:$A,Frame!$C:$C)+#REF!,""))</f>
        <v/>
      </c>
      <c r="E375" s="4">
        <v>44345</v>
      </c>
      <c r="F375" s="1" t="s">
        <v>63</v>
      </c>
    </row>
    <row r="376" spans="1:6" x14ac:dyDescent="0.25">
      <c r="A376" s="1" t="s">
        <v>762</v>
      </c>
      <c r="B376" s="1" t="s">
        <v>763</v>
      </c>
      <c r="C376" s="3">
        <v>200</v>
      </c>
      <c r="D376" s="3" t="str">
        <f ca="1">IF(B376="","",IFERROR(_xludf.XLOOKUP(_xludf.XLOOKUP(B376,Inventory!$A:$A,Inventory!$B:$B),Blades!$A:$A,Blades!$C:$C)+_xludf.XLOOKUP(_xludf.XLOOKUP(B376,Inventory!$A:$A,Inventory!$C:$C),Motor!$A:$A,Motor!$C:$C)+_xludf.XLOOKUP(_xludf.XLOOKUP(B376,Inventory!$A:$A,Inventory!$D:$D),Frame!$A:$A,Frame!$C:$C)+#REF!,""))</f>
        <v/>
      </c>
      <c r="E376" s="4">
        <v>44348</v>
      </c>
      <c r="F376" s="1" t="s">
        <v>49</v>
      </c>
    </row>
    <row r="377" spans="1:6" x14ac:dyDescent="0.25">
      <c r="A377" s="1" t="s">
        <v>764</v>
      </c>
      <c r="B377" s="1" t="s">
        <v>765</v>
      </c>
      <c r="C377" s="3">
        <v>200</v>
      </c>
      <c r="D377" s="3" t="str">
        <f ca="1">IF(B377="","",IFERROR(_xludf.XLOOKUP(_xludf.XLOOKUP(B377,Inventory!$A:$A,Inventory!$B:$B),Blades!$A:$A,Blades!$C:$C)+_xludf.XLOOKUP(_xludf.XLOOKUP(B377,Inventory!$A:$A,Inventory!$C:$C),Motor!$A:$A,Motor!$C:$C)+_xludf.XLOOKUP(_xludf.XLOOKUP(B377,Inventory!$A:$A,Inventory!$D:$D),Frame!$A:$A,Frame!$C:$C)+#REF!,""))</f>
        <v/>
      </c>
      <c r="E377" s="4">
        <v>44351</v>
      </c>
      <c r="F377" s="1" t="s">
        <v>32</v>
      </c>
    </row>
    <row r="378" spans="1:6" x14ac:dyDescent="0.25">
      <c r="A378" s="1" t="s">
        <v>766</v>
      </c>
      <c r="B378" s="1" t="s">
        <v>767</v>
      </c>
      <c r="C378" s="3">
        <v>200</v>
      </c>
      <c r="D378" s="3" t="str">
        <f ca="1">IF(B378="","",IFERROR(_xludf.XLOOKUP(_xludf.XLOOKUP(B378,Inventory!$A:$A,Inventory!$B:$B),Blades!$A:$A,Blades!$C:$C)+_xludf.XLOOKUP(_xludf.XLOOKUP(B378,Inventory!$A:$A,Inventory!$C:$C),Motor!$A:$A,Motor!$C:$C)+_xludf.XLOOKUP(_xludf.XLOOKUP(B378,Inventory!$A:$A,Inventory!$D:$D),Frame!$A:$A,Frame!$C:$C)+#REF!,""))</f>
        <v/>
      </c>
      <c r="E378" s="4">
        <v>44352</v>
      </c>
      <c r="F378" s="1" t="s">
        <v>8</v>
      </c>
    </row>
    <row r="379" spans="1:6" x14ac:dyDescent="0.25">
      <c r="A379" s="1" t="s">
        <v>768</v>
      </c>
      <c r="B379" s="1" t="s">
        <v>769</v>
      </c>
      <c r="C379" s="3">
        <v>200</v>
      </c>
      <c r="D379" s="3" t="str">
        <f ca="1">IF(B379="","",IFERROR(_xludf.XLOOKUP(_xludf.XLOOKUP(B379,Inventory!$A:$A,Inventory!$B:$B),Blades!$A:$A,Blades!$C:$C)+_xludf.XLOOKUP(_xludf.XLOOKUP(B379,Inventory!$A:$A,Inventory!$C:$C),Motor!$A:$A,Motor!$C:$C)+_xludf.XLOOKUP(_xludf.XLOOKUP(B379,Inventory!$A:$A,Inventory!$D:$D),Frame!$A:$A,Frame!$C:$C)+#REF!,""))</f>
        <v/>
      </c>
      <c r="E379" s="4">
        <v>44354</v>
      </c>
      <c r="F379" s="1" t="s">
        <v>52</v>
      </c>
    </row>
    <row r="380" spans="1:6" x14ac:dyDescent="0.25">
      <c r="A380" s="1" t="s">
        <v>770</v>
      </c>
      <c r="B380" s="1" t="s">
        <v>771</v>
      </c>
      <c r="C380" s="3">
        <v>200</v>
      </c>
      <c r="D380" s="3" t="str">
        <f ca="1">IF(B380="","",IFERROR(_xludf.XLOOKUP(_xludf.XLOOKUP(B380,Inventory!$A:$A,Inventory!$B:$B),Blades!$A:$A,Blades!$C:$C)+_xludf.XLOOKUP(_xludf.XLOOKUP(B380,Inventory!$A:$A,Inventory!$C:$C),Motor!$A:$A,Motor!$C:$C)+_xludf.XLOOKUP(_xludf.XLOOKUP(B380,Inventory!$A:$A,Inventory!$D:$D),Frame!$A:$A,Frame!$C:$C)+#REF!,""))</f>
        <v/>
      </c>
      <c r="E380" s="4">
        <v>44355</v>
      </c>
      <c r="F380" s="1" t="s">
        <v>8</v>
      </c>
    </row>
    <row r="381" spans="1:6" x14ac:dyDescent="0.25">
      <c r="A381" s="1" t="s">
        <v>772</v>
      </c>
      <c r="B381" s="1" t="s">
        <v>773</v>
      </c>
      <c r="C381" s="3">
        <v>200</v>
      </c>
      <c r="D381" s="3" t="str">
        <f ca="1">IF(B381="","",IFERROR(_xludf.XLOOKUP(_xludf.XLOOKUP(B381,Inventory!$A:$A,Inventory!$B:$B),Blades!$A:$A,Blades!$C:$C)+_xludf.XLOOKUP(_xludf.XLOOKUP(B381,Inventory!$A:$A,Inventory!$C:$C),Motor!$A:$A,Motor!$C:$C)+_xludf.XLOOKUP(_xludf.XLOOKUP(B381,Inventory!$A:$A,Inventory!$D:$D),Frame!$A:$A,Frame!$C:$C)+#REF!,""))</f>
        <v/>
      </c>
      <c r="E381" s="4">
        <v>44355</v>
      </c>
      <c r="F381" s="1" t="s">
        <v>11</v>
      </c>
    </row>
    <row r="382" spans="1:6" x14ac:dyDescent="0.25">
      <c r="A382" s="1" t="s">
        <v>774</v>
      </c>
      <c r="B382" s="1" t="s">
        <v>775</v>
      </c>
      <c r="C382" s="3">
        <v>200</v>
      </c>
      <c r="D382" s="3" t="str">
        <f ca="1">IF(B382="","",IFERROR(_xludf.XLOOKUP(_xludf.XLOOKUP(B382,Inventory!$A:$A,Inventory!$B:$B),Blades!$A:$A,Blades!$C:$C)+_xludf.XLOOKUP(_xludf.XLOOKUP(B382,Inventory!$A:$A,Inventory!$C:$C),Motor!$A:$A,Motor!$C:$C)+_xludf.XLOOKUP(_xludf.XLOOKUP(B382,Inventory!$A:$A,Inventory!$D:$D),Frame!$A:$A,Frame!$C:$C)+#REF!,""))</f>
        <v/>
      </c>
      <c r="E382" s="4">
        <v>44355</v>
      </c>
      <c r="F382" s="1" t="s">
        <v>32</v>
      </c>
    </row>
    <row r="383" spans="1:6" x14ac:dyDescent="0.25">
      <c r="A383" s="1" t="s">
        <v>776</v>
      </c>
      <c r="B383" s="1" t="s">
        <v>777</v>
      </c>
      <c r="C383" s="3">
        <v>200</v>
      </c>
      <c r="D383" s="3" t="str">
        <f ca="1">IF(B383="","",IFERROR(_xludf.XLOOKUP(_xludf.XLOOKUP(B383,Inventory!$A:$A,Inventory!$B:$B),Blades!$A:$A,Blades!$C:$C)+_xludf.XLOOKUP(_xludf.XLOOKUP(B383,Inventory!$A:$A,Inventory!$C:$C),Motor!$A:$A,Motor!$C:$C)+_xludf.XLOOKUP(_xludf.XLOOKUP(B383,Inventory!$A:$A,Inventory!$D:$D),Frame!$A:$A,Frame!$C:$C)+#REF!,""))</f>
        <v/>
      </c>
      <c r="E383" s="4">
        <v>44355</v>
      </c>
      <c r="F383" s="1" t="s">
        <v>52</v>
      </c>
    </row>
    <row r="384" spans="1:6" x14ac:dyDescent="0.25">
      <c r="A384" s="1" t="s">
        <v>778</v>
      </c>
      <c r="B384" s="1" t="s">
        <v>779</v>
      </c>
      <c r="C384" s="3">
        <v>200</v>
      </c>
      <c r="D384" s="3" t="str">
        <f ca="1">IF(B384="","",IFERROR(_xludf.XLOOKUP(_xludf.XLOOKUP(B384,Inventory!$A:$A,Inventory!$B:$B),Blades!$A:$A,Blades!$C:$C)+_xludf.XLOOKUP(_xludf.XLOOKUP(B384,Inventory!$A:$A,Inventory!$C:$C),Motor!$A:$A,Motor!$C:$C)+_xludf.XLOOKUP(_xludf.XLOOKUP(B384,Inventory!$A:$A,Inventory!$D:$D),Frame!$A:$A,Frame!$C:$C)+#REF!,""))</f>
        <v/>
      </c>
      <c r="E384" s="4">
        <v>44355</v>
      </c>
      <c r="F384" s="1" t="s">
        <v>8</v>
      </c>
    </row>
    <row r="385" spans="1:6" x14ac:dyDescent="0.25">
      <c r="A385" s="1" t="s">
        <v>780</v>
      </c>
      <c r="B385" s="1" t="s">
        <v>781</v>
      </c>
      <c r="C385" s="3">
        <v>200</v>
      </c>
      <c r="D385" s="3" t="str">
        <f ca="1">IF(B385="","",IFERROR(_xludf.XLOOKUP(_xludf.XLOOKUP(B385,Inventory!$A:$A,Inventory!$B:$B),Blades!$A:$A,Blades!$C:$C)+_xludf.XLOOKUP(_xludf.XLOOKUP(B385,Inventory!$A:$A,Inventory!$C:$C),Motor!$A:$A,Motor!$C:$C)+_xludf.XLOOKUP(_xludf.XLOOKUP(B385,Inventory!$A:$A,Inventory!$D:$D),Frame!$A:$A,Frame!$C:$C)+#REF!,""))</f>
        <v/>
      </c>
      <c r="E385" s="4">
        <v>44355</v>
      </c>
      <c r="F385" s="1" t="s">
        <v>8</v>
      </c>
    </row>
    <row r="386" spans="1:6" x14ac:dyDescent="0.25">
      <c r="A386" s="1" t="s">
        <v>782</v>
      </c>
      <c r="B386" s="1" t="s">
        <v>783</v>
      </c>
      <c r="C386" s="3">
        <v>200</v>
      </c>
      <c r="D386" s="3" t="str">
        <f ca="1">IF(B386="","",IFERROR(_xludf.XLOOKUP(_xludf.XLOOKUP(B386,Inventory!$A:$A,Inventory!$B:$B),Blades!$A:$A,Blades!$C:$C)+_xludf.XLOOKUP(_xludf.XLOOKUP(B386,Inventory!$A:$A,Inventory!$C:$C),Motor!$A:$A,Motor!$C:$C)+_xludf.XLOOKUP(_xludf.XLOOKUP(B386,Inventory!$A:$A,Inventory!$D:$D),Frame!$A:$A,Frame!$C:$C)+#REF!,""))</f>
        <v/>
      </c>
      <c r="E386" s="4">
        <v>44357</v>
      </c>
      <c r="F386" s="1" t="s">
        <v>63</v>
      </c>
    </row>
    <row r="387" spans="1:6" x14ac:dyDescent="0.25">
      <c r="A387" s="1" t="s">
        <v>784</v>
      </c>
      <c r="B387" s="1" t="s">
        <v>785</v>
      </c>
      <c r="C387" s="3">
        <v>200</v>
      </c>
      <c r="D387" s="3" t="str">
        <f ca="1">IF(B387="","",IFERROR(_xludf.XLOOKUP(_xludf.XLOOKUP(B387,Inventory!$A:$A,Inventory!$B:$B),Blades!$A:$A,Blades!$C:$C)+_xludf.XLOOKUP(_xludf.XLOOKUP(B387,Inventory!$A:$A,Inventory!$C:$C),Motor!$A:$A,Motor!$C:$C)+_xludf.XLOOKUP(_xludf.XLOOKUP(B387,Inventory!$A:$A,Inventory!$D:$D),Frame!$A:$A,Frame!$C:$C)+#REF!,""))</f>
        <v/>
      </c>
      <c r="E387" s="4">
        <v>44358</v>
      </c>
      <c r="F387" s="1" t="s">
        <v>52</v>
      </c>
    </row>
    <row r="388" spans="1:6" x14ac:dyDescent="0.25">
      <c r="A388" s="1" t="s">
        <v>786</v>
      </c>
      <c r="B388" s="1" t="s">
        <v>787</v>
      </c>
      <c r="C388" s="3">
        <v>200</v>
      </c>
      <c r="D388" s="3" t="str">
        <f ca="1">IF(B388="","",IFERROR(_xludf.XLOOKUP(_xludf.XLOOKUP(B388,Inventory!$A:$A,Inventory!$B:$B),Blades!$A:$A,Blades!$C:$C)+_xludf.XLOOKUP(_xludf.XLOOKUP(B388,Inventory!$A:$A,Inventory!$C:$C),Motor!$A:$A,Motor!$C:$C)+_xludf.XLOOKUP(_xludf.XLOOKUP(B388,Inventory!$A:$A,Inventory!$D:$D),Frame!$A:$A,Frame!$C:$C)+#REF!,""))</f>
        <v/>
      </c>
      <c r="E388" s="4">
        <v>44360</v>
      </c>
      <c r="F388" s="1" t="s">
        <v>11</v>
      </c>
    </row>
    <row r="389" spans="1:6" x14ac:dyDescent="0.25">
      <c r="A389" s="1" t="s">
        <v>788</v>
      </c>
      <c r="B389" s="1" t="s">
        <v>789</v>
      </c>
      <c r="C389" s="3">
        <v>200</v>
      </c>
      <c r="D389" s="3" t="str">
        <f ca="1">IF(B389="","",IFERROR(_xludf.XLOOKUP(_xludf.XLOOKUP(B389,Inventory!$A:$A,Inventory!$B:$B),Blades!$A:$A,Blades!$C:$C)+_xludf.XLOOKUP(_xludf.XLOOKUP(B389,Inventory!$A:$A,Inventory!$C:$C),Motor!$A:$A,Motor!$C:$C)+_xludf.XLOOKUP(_xludf.XLOOKUP(B389,Inventory!$A:$A,Inventory!$D:$D),Frame!$A:$A,Frame!$C:$C)+#REF!,""))</f>
        <v/>
      </c>
      <c r="E389" s="4">
        <v>44361</v>
      </c>
      <c r="F389" s="1" t="s">
        <v>8</v>
      </c>
    </row>
    <row r="390" spans="1:6" x14ac:dyDescent="0.25">
      <c r="A390" s="1" t="s">
        <v>790</v>
      </c>
      <c r="B390" s="1" t="s">
        <v>791</v>
      </c>
      <c r="C390" s="3">
        <v>200</v>
      </c>
      <c r="D390" s="3" t="str">
        <f ca="1">IF(B390="","",IFERROR(_xludf.XLOOKUP(_xludf.XLOOKUP(B390,Inventory!$A:$A,Inventory!$B:$B),Blades!$A:$A,Blades!$C:$C)+_xludf.XLOOKUP(_xludf.XLOOKUP(B390,Inventory!$A:$A,Inventory!$C:$C),Motor!$A:$A,Motor!$C:$C)+_xludf.XLOOKUP(_xludf.XLOOKUP(B390,Inventory!$A:$A,Inventory!$D:$D),Frame!$A:$A,Frame!$C:$C)+#REF!,""))</f>
        <v/>
      </c>
      <c r="E390" s="4">
        <v>44362</v>
      </c>
      <c r="F390" s="1" t="s">
        <v>20</v>
      </c>
    </row>
    <row r="391" spans="1:6" x14ac:dyDescent="0.25">
      <c r="A391" s="1" t="s">
        <v>792</v>
      </c>
      <c r="B391" s="1" t="s">
        <v>793</v>
      </c>
      <c r="C391" s="3">
        <v>200</v>
      </c>
      <c r="D391" s="3" t="str">
        <f ca="1">IF(B391="","",IFERROR(_xludf.XLOOKUP(_xludf.XLOOKUP(B391,Inventory!$A:$A,Inventory!$B:$B),Blades!$A:$A,Blades!$C:$C)+_xludf.XLOOKUP(_xludf.XLOOKUP(B391,Inventory!$A:$A,Inventory!$C:$C),Motor!$A:$A,Motor!$C:$C)+_xludf.XLOOKUP(_xludf.XLOOKUP(B391,Inventory!$A:$A,Inventory!$D:$D),Frame!$A:$A,Frame!$C:$C)+#REF!,""))</f>
        <v/>
      </c>
      <c r="E391" s="4">
        <v>44363</v>
      </c>
      <c r="F391" s="1" t="s">
        <v>20</v>
      </c>
    </row>
    <row r="392" spans="1:6" x14ac:dyDescent="0.25">
      <c r="A392" s="1" t="s">
        <v>794</v>
      </c>
      <c r="B392" s="1" t="s">
        <v>795</v>
      </c>
      <c r="C392" s="3">
        <v>200</v>
      </c>
      <c r="D392" s="3" t="str">
        <f ca="1">IF(B392="","",IFERROR(_xludf.XLOOKUP(_xludf.XLOOKUP(B392,Inventory!$A:$A,Inventory!$B:$B),Blades!$A:$A,Blades!$C:$C)+_xludf.XLOOKUP(_xludf.XLOOKUP(B392,Inventory!$A:$A,Inventory!$C:$C),Motor!$A:$A,Motor!$C:$C)+_xludf.XLOOKUP(_xludf.XLOOKUP(B392,Inventory!$A:$A,Inventory!$D:$D),Frame!$A:$A,Frame!$C:$C)+#REF!,""))</f>
        <v/>
      </c>
      <c r="E392" s="4">
        <v>44364</v>
      </c>
      <c r="F392" s="1" t="s">
        <v>32</v>
      </c>
    </row>
    <row r="393" spans="1:6" x14ac:dyDescent="0.25">
      <c r="A393" s="1" t="s">
        <v>796</v>
      </c>
      <c r="B393" s="1" t="s">
        <v>797</v>
      </c>
      <c r="C393" s="3">
        <v>200</v>
      </c>
      <c r="D393" s="3" t="str">
        <f ca="1">IF(B393="","",IFERROR(_xludf.XLOOKUP(_xludf.XLOOKUP(B393,Inventory!$A:$A,Inventory!$B:$B),Blades!$A:$A,Blades!$C:$C)+_xludf.XLOOKUP(_xludf.XLOOKUP(B393,Inventory!$A:$A,Inventory!$C:$C),Motor!$A:$A,Motor!$C:$C)+_xludf.XLOOKUP(_xludf.XLOOKUP(B393,Inventory!$A:$A,Inventory!$D:$D),Frame!$A:$A,Frame!$C:$C)+#REF!,""))</f>
        <v/>
      </c>
      <c r="E393" s="4">
        <v>44365</v>
      </c>
      <c r="F393" s="1" t="s">
        <v>20</v>
      </c>
    </row>
    <row r="394" spans="1:6" x14ac:dyDescent="0.25">
      <c r="A394" s="1" t="s">
        <v>798</v>
      </c>
      <c r="B394" s="1" t="s">
        <v>799</v>
      </c>
      <c r="C394" s="3">
        <v>200</v>
      </c>
      <c r="D394" s="3" t="str">
        <f ca="1">IF(B394="","",IFERROR(_xludf.XLOOKUP(_xludf.XLOOKUP(B394,Inventory!$A:$A,Inventory!$B:$B),Blades!$A:$A,Blades!$C:$C)+_xludf.XLOOKUP(_xludf.XLOOKUP(B394,Inventory!$A:$A,Inventory!$C:$C),Motor!$A:$A,Motor!$C:$C)+_xludf.XLOOKUP(_xludf.XLOOKUP(B394,Inventory!$A:$A,Inventory!$D:$D),Frame!$A:$A,Frame!$C:$C)+#REF!,""))</f>
        <v/>
      </c>
      <c r="E394" s="4">
        <v>44365</v>
      </c>
      <c r="F394" s="1" t="s">
        <v>25</v>
      </c>
    </row>
    <row r="395" spans="1:6" x14ac:dyDescent="0.25">
      <c r="A395" s="1" t="s">
        <v>800</v>
      </c>
      <c r="B395" s="1" t="s">
        <v>801</v>
      </c>
      <c r="C395" s="3">
        <v>200</v>
      </c>
      <c r="D395" s="3" t="str">
        <f ca="1">IF(B395="","",IFERROR(_xludf.XLOOKUP(_xludf.XLOOKUP(B395,Inventory!$A:$A,Inventory!$B:$B),Blades!$A:$A,Blades!$C:$C)+_xludf.XLOOKUP(_xludf.XLOOKUP(B395,Inventory!$A:$A,Inventory!$C:$C),Motor!$A:$A,Motor!$C:$C)+_xludf.XLOOKUP(_xludf.XLOOKUP(B395,Inventory!$A:$A,Inventory!$D:$D),Frame!$A:$A,Frame!$C:$C)+#REF!,""))</f>
        <v/>
      </c>
      <c r="E395" s="4">
        <v>44367</v>
      </c>
      <c r="F395" s="1" t="s">
        <v>20</v>
      </c>
    </row>
    <row r="396" spans="1:6" x14ac:dyDescent="0.25">
      <c r="A396" s="1" t="s">
        <v>802</v>
      </c>
      <c r="B396" s="1" t="s">
        <v>803</v>
      </c>
      <c r="C396" s="3">
        <v>200</v>
      </c>
      <c r="D396" s="3" t="str">
        <f ca="1">IF(B396="","",IFERROR(_xludf.XLOOKUP(_xludf.XLOOKUP(B396,Inventory!$A:$A,Inventory!$B:$B),Blades!$A:$A,Blades!$C:$C)+_xludf.XLOOKUP(_xludf.XLOOKUP(B396,Inventory!$A:$A,Inventory!$C:$C),Motor!$A:$A,Motor!$C:$C)+_xludf.XLOOKUP(_xludf.XLOOKUP(B396,Inventory!$A:$A,Inventory!$D:$D),Frame!$A:$A,Frame!$C:$C)+#REF!,""))</f>
        <v/>
      </c>
      <c r="E396" s="4">
        <v>44367</v>
      </c>
      <c r="F396" s="1" t="s">
        <v>49</v>
      </c>
    </row>
    <row r="397" spans="1:6" x14ac:dyDescent="0.25">
      <c r="A397" s="1" t="s">
        <v>804</v>
      </c>
      <c r="B397" s="1" t="s">
        <v>805</v>
      </c>
      <c r="C397" s="3">
        <v>200</v>
      </c>
      <c r="D397" s="3" t="str">
        <f ca="1">IF(B397="","",IFERROR(_xludf.XLOOKUP(_xludf.XLOOKUP(B397,Inventory!$A:$A,Inventory!$B:$B),Blades!$A:$A,Blades!$C:$C)+_xludf.XLOOKUP(_xludf.XLOOKUP(B397,Inventory!$A:$A,Inventory!$C:$C),Motor!$A:$A,Motor!$C:$C)+_xludf.XLOOKUP(_xludf.XLOOKUP(B397,Inventory!$A:$A,Inventory!$D:$D),Frame!$A:$A,Frame!$C:$C)+#REF!,""))</f>
        <v/>
      </c>
      <c r="E397" s="4">
        <v>44368</v>
      </c>
      <c r="F397" s="1" t="s">
        <v>11</v>
      </c>
    </row>
    <row r="398" spans="1:6" x14ac:dyDescent="0.25">
      <c r="A398" s="1" t="s">
        <v>806</v>
      </c>
      <c r="B398" s="1" t="s">
        <v>807</v>
      </c>
      <c r="C398" s="3">
        <v>200</v>
      </c>
      <c r="D398" s="3" t="str">
        <f ca="1">IF(B398="","",IFERROR(_xludf.XLOOKUP(_xludf.XLOOKUP(B398,Inventory!$A:$A,Inventory!$B:$B),Blades!$A:$A,Blades!$C:$C)+_xludf.XLOOKUP(_xludf.XLOOKUP(B398,Inventory!$A:$A,Inventory!$C:$C),Motor!$A:$A,Motor!$C:$C)+_xludf.XLOOKUP(_xludf.XLOOKUP(B398,Inventory!$A:$A,Inventory!$D:$D),Frame!$A:$A,Frame!$C:$C)+#REF!,""))</f>
        <v/>
      </c>
      <c r="E398" s="4">
        <v>44368</v>
      </c>
      <c r="F398" s="1" t="s">
        <v>25</v>
      </c>
    </row>
    <row r="399" spans="1:6" x14ac:dyDescent="0.25">
      <c r="A399" s="1" t="s">
        <v>808</v>
      </c>
      <c r="B399" s="1" t="s">
        <v>809</v>
      </c>
      <c r="C399" s="3">
        <v>200</v>
      </c>
      <c r="D399" s="3" t="str">
        <f ca="1">IF(B399="","",IFERROR(_xludf.XLOOKUP(_xludf.XLOOKUP(B399,Inventory!$A:$A,Inventory!$B:$B),Blades!$A:$A,Blades!$C:$C)+_xludf.XLOOKUP(_xludf.XLOOKUP(B399,Inventory!$A:$A,Inventory!$C:$C),Motor!$A:$A,Motor!$C:$C)+_xludf.XLOOKUP(_xludf.XLOOKUP(B399,Inventory!$A:$A,Inventory!$D:$D),Frame!$A:$A,Frame!$C:$C)+#REF!,""))</f>
        <v/>
      </c>
      <c r="E399" s="4">
        <v>44369</v>
      </c>
      <c r="F399" s="1" t="s">
        <v>8</v>
      </c>
    </row>
    <row r="400" spans="1:6" x14ac:dyDescent="0.25">
      <c r="A400" s="1" t="s">
        <v>810</v>
      </c>
      <c r="B400" s="1" t="s">
        <v>811</v>
      </c>
      <c r="C400" s="3">
        <v>200</v>
      </c>
      <c r="D400" s="3" t="str">
        <f ca="1">IF(B400="","",IFERROR(_xludf.XLOOKUP(_xludf.XLOOKUP(B400,Inventory!$A:$A,Inventory!$B:$B),Blades!$A:$A,Blades!$C:$C)+_xludf.XLOOKUP(_xludf.XLOOKUP(B400,Inventory!$A:$A,Inventory!$C:$C),Motor!$A:$A,Motor!$C:$C)+_xludf.XLOOKUP(_xludf.XLOOKUP(B400,Inventory!$A:$A,Inventory!$D:$D),Frame!$A:$A,Frame!$C:$C)+#REF!,""))</f>
        <v/>
      </c>
      <c r="E400" s="4">
        <v>44370</v>
      </c>
      <c r="F400" s="1" t="s">
        <v>25</v>
      </c>
    </row>
    <row r="401" spans="1:6" x14ac:dyDescent="0.25">
      <c r="A401" s="1" t="s">
        <v>812</v>
      </c>
      <c r="B401" s="1" t="s">
        <v>813</v>
      </c>
      <c r="C401" s="3">
        <v>200</v>
      </c>
      <c r="D401" s="3" t="str">
        <f ca="1">IF(B401="","",IFERROR(_xludf.XLOOKUP(_xludf.XLOOKUP(B401,Inventory!$A:$A,Inventory!$B:$B),Blades!$A:$A,Blades!$C:$C)+_xludf.XLOOKUP(_xludf.XLOOKUP(B401,Inventory!$A:$A,Inventory!$C:$C),Motor!$A:$A,Motor!$C:$C)+_xludf.XLOOKUP(_xludf.XLOOKUP(B401,Inventory!$A:$A,Inventory!$D:$D),Frame!$A:$A,Frame!$C:$C)+#REF!,""))</f>
        <v/>
      </c>
      <c r="E401" s="4">
        <v>44370</v>
      </c>
      <c r="F401" s="1" t="s">
        <v>25</v>
      </c>
    </row>
    <row r="402" spans="1:6" x14ac:dyDescent="0.25">
      <c r="A402" s="1" t="s">
        <v>814</v>
      </c>
      <c r="B402" s="1" t="s">
        <v>815</v>
      </c>
      <c r="C402" s="3">
        <v>200</v>
      </c>
      <c r="D402" s="3" t="str">
        <f ca="1">IF(B402="","",IFERROR(_xludf.XLOOKUP(_xludf.XLOOKUP(B402,Inventory!$A:$A,Inventory!$B:$B),Blades!$A:$A,Blades!$C:$C)+_xludf.XLOOKUP(_xludf.XLOOKUP(B402,Inventory!$A:$A,Inventory!$C:$C),Motor!$A:$A,Motor!$C:$C)+_xludf.XLOOKUP(_xludf.XLOOKUP(B402,Inventory!$A:$A,Inventory!$D:$D),Frame!$A:$A,Frame!$C:$C)+#REF!,""))</f>
        <v/>
      </c>
      <c r="E402" s="4">
        <v>44371</v>
      </c>
      <c r="F402" s="1" t="s">
        <v>49</v>
      </c>
    </row>
    <row r="403" spans="1:6" x14ac:dyDescent="0.25">
      <c r="A403" s="1" t="s">
        <v>816</v>
      </c>
      <c r="B403" s="1" t="s">
        <v>817</v>
      </c>
      <c r="C403" s="3">
        <v>200</v>
      </c>
      <c r="D403" s="3" t="str">
        <f ca="1">IF(B403="","",IFERROR(_xludf.XLOOKUP(_xludf.XLOOKUP(B403,Inventory!$A:$A,Inventory!$B:$B),Blades!$A:$A,Blades!$C:$C)+_xludf.XLOOKUP(_xludf.XLOOKUP(B403,Inventory!$A:$A,Inventory!$C:$C),Motor!$A:$A,Motor!$C:$C)+_xludf.XLOOKUP(_xludf.XLOOKUP(B403,Inventory!$A:$A,Inventory!$D:$D),Frame!$A:$A,Frame!$C:$C)+#REF!,""))</f>
        <v/>
      </c>
      <c r="E403" s="4">
        <v>44372</v>
      </c>
      <c r="F403" s="1" t="s">
        <v>52</v>
      </c>
    </row>
    <row r="404" spans="1:6" x14ac:dyDescent="0.25">
      <c r="A404" s="1" t="s">
        <v>818</v>
      </c>
      <c r="B404" s="1" t="s">
        <v>819</v>
      </c>
      <c r="C404" s="3">
        <v>200</v>
      </c>
      <c r="D404" s="3" t="str">
        <f ca="1">IF(B404="","",IFERROR(_xludf.XLOOKUP(_xludf.XLOOKUP(B404,Inventory!$A:$A,Inventory!$B:$B),Blades!$A:$A,Blades!$C:$C)+_xludf.XLOOKUP(_xludf.XLOOKUP(B404,Inventory!$A:$A,Inventory!$C:$C),Motor!$A:$A,Motor!$C:$C)+_xludf.XLOOKUP(_xludf.XLOOKUP(B404,Inventory!$A:$A,Inventory!$D:$D),Frame!$A:$A,Frame!$C:$C)+#REF!,""))</f>
        <v/>
      </c>
      <c r="E404" s="4">
        <v>44375</v>
      </c>
      <c r="F404" s="1" t="s">
        <v>52</v>
      </c>
    </row>
    <row r="405" spans="1:6" x14ac:dyDescent="0.25">
      <c r="A405" s="1" t="s">
        <v>820</v>
      </c>
      <c r="B405" s="1" t="s">
        <v>821</v>
      </c>
      <c r="C405" s="3">
        <v>200</v>
      </c>
      <c r="D405" s="3" t="str">
        <f ca="1">IF(B405="","",IFERROR(_xludf.XLOOKUP(_xludf.XLOOKUP(B405,Inventory!$A:$A,Inventory!$B:$B),Blades!$A:$A,Blades!$C:$C)+_xludf.XLOOKUP(_xludf.XLOOKUP(B405,Inventory!$A:$A,Inventory!$C:$C),Motor!$A:$A,Motor!$C:$C)+_xludf.XLOOKUP(_xludf.XLOOKUP(B405,Inventory!$A:$A,Inventory!$D:$D),Frame!$A:$A,Frame!$C:$C)+#REF!,""))</f>
        <v/>
      </c>
      <c r="E405" s="4">
        <v>44375</v>
      </c>
      <c r="F405" s="1" t="s">
        <v>32</v>
      </c>
    </row>
    <row r="406" spans="1:6" x14ac:dyDescent="0.25">
      <c r="A406" s="1" t="s">
        <v>822</v>
      </c>
      <c r="B406" s="1" t="s">
        <v>823</v>
      </c>
      <c r="C406" s="3">
        <v>200</v>
      </c>
      <c r="D406" s="3" t="str">
        <f ca="1">IF(B406="","",IFERROR(_xludf.XLOOKUP(_xludf.XLOOKUP(B406,Inventory!$A:$A,Inventory!$B:$B),Blades!$A:$A,Blades!$C:$C)+_xludf.XLOOKUP(_xludf.XLOOKUP(B406,Inventory!$A:$A,Inventory!$C:$C),Motor!$A:$A,Motor!$C:$C)+_xludf.XLOOKUP(_xludf.XLOOKUP(B406,Inventory!$A:$A,Inventory!$D:$D),Frame!$A:$A,Frame!$C:$C)+#REF!,""))</f>
        <v/>
      </c>
      <c r="E406" s="4">
        <v>44376</v>
      </c>
      <c r="F406" s="1" t="s">
        <v>49</v>
      </c>
    </row>
    <row r="407" spans="1:6" x14ac:dyDescent="0.25">
      <c r="A407" s="1" t="s">
        <v>824</v>
      </c>
      <c r="B407" s="1" t="s">
        <v>825</v>
      </c>
      <c r="C407" s="3">
        <v>200</v>
      </c>
      <c r="D407" s="3" t="str">
        <f ca="1">IF(B407="","",IFERROR(_xludf.XLOOKUP(_xludf.XLOOKUP(B407,Inventory!$A:$A,Inventory!$B:$B),Blades!$A:$A,Blades!$C:$C)+_xludf.XLOOKUP(_xludf.XLOOKUP(B407,Inventory!$A:$A,Inventory!$C:$C),Motor!$A:$A,Motor!$C:$C)+_xludf.XLOOKUP(_xludf.XLOOKUP(B407,Inventory!$A:$A,Inventory!$D:$D),Frame!$A:$A,Frame!$C:$C)+#REF!,""))</f>
        <v/>
      </c>
      <c r="E407" s="4">
        <v>44376</v>
      </c>
      <c r="F407" s="1" t="s">
        <v>49</v>
      </c>
    </row>
    <row r="408" spans="1:6" x14ac:dyDescent="0.25">
      <c r="A408" s="1" t="s">
        <v>826</v>
      </c>
      <c r="B408" s="1" t="s">
        <v>827</v>
      </c>
      <c r="C408" s="3">
        <v>200</v>
      </c>
      <c r="D408" s="3" t="str">
        <f ca="1">IF(B408="","",IFERROR(_xludf.XLOOKUP(_xludf.XLOOKUP(B408,Inventory!$A:$A,Inventory!$B:$B),Blades!$A:$A,Blades!$C:$C)+_xludf.XLOOKUP(_xludf.XLOOKUP(B408,Inventory!$A:$A,Inventory!$C:$C),Motor!$A:$A,Motor!$C:$C)+_xludf.XLOOKUP(_xludf.XLOOKUP(B408,Inventory!$A:$A,Inventory!$D:$D),Frame!$A:$A,Frame!$C:$C)+#REF!,""))</f>
        <v/>
      </c>
      <c r="E408" s="4">
        <v>44377</v>
      </c>
      <c r="F408" s="1" t="s">
        <v>32</v>
      </c>
    </row>
    <row r="409" spans="1:6" x14ac:dyDescent="0.25">
      <c r="A409" s="1" t="s">
        <v>828</v>
      </c>
      <c r="B409" s="1" t="s">
        <v>829</v>
      </c>
      <c r="C409" s="3">
        <v>200</v>
      </c>
      <c r="D409" s="3" t="str">
        <f ca="1">IF(B409="","",IFERROR(_xludf.XLOOKUP(_xludf.XLOOKUP(B409,Inventory!$A:$A,Inventory!$B:$B),Blades!$A:$A,Blades!$C:$C)+_xludf.XLOOKUP(_xludf.XLOOKUP(B409,Inventory!$A:$A,Inventory!$C:$C),Motor!$A:$A,Motor!$C:$C)+_xludf.XLOOKUP(_xludf.XLOOKUP(B409,Inventory!$A:$A,Inventory!$D:$D),Frame!$A:$A,Frame!$C:$C)+#REF!,""))</f>
        <v/>
      </c>
      <c r="E409" s="4">
        <v>44378</v>
      </c>
      <c r="F409" s="1" t="s">
        <v>63</v>
      </c>
    </row>
    <row r="410" spans="1:6" x14ac:dyDescent="0.25">
      <c r="A410" s="1" t="s">
        <v>830</v>
      </c>
      <c r="B410" s="1" t="s">
        <v>831</v>
      </c>
      <c r="C410" s="3">
        <v>200</v>
      </c>
      <c r="D410" s="3" t="str">
        <f ca="1">IF(B410="","",IFERROR(_xludf.XLOOKUP(_xludf.XLOOKUP(B410,Inventory!$A:$A,Inventory!$B:$B),Blades!$A:$A,Blades!$C:$C)+_xludf.XLOOKUP(_xludf.XLOOKUP(B410,Inventory!$A:$A,Inventory!$C:$C),Motor!$A:$A,Motor!$C:$C)+_xludf.XLOOKUP(_xludf.XLOOKUP(B410,Inventory!$A:$A,Inventory!$D:$D),Frame!$A:$A,Frame!$C:$C)+#REF!,""))</f>
        <v/>
      </c>
      <c r="E410" s="4">
        <v>44382</v>
      </c>
      <c r="F410" s="1" t="s">
        <v>25</v>
      </c>
    </row>
    <row r="411" spans="1:6" x14ac:dyDescent="0.25">
      <c r="A411" s="1" t="s">
        <v>832</v>
      </c>
      <c r="B411" s="1" t="s">
        <v>833</v>
      </c>
      <c r="C411" s="3">
        <v>200</v>
      </c>
      <c r="D411" s="3" t="str">
        <f ca="1">IF(B411="","",IFERROR(_xludf.XLOOKUP(_xludf.XLOOKUP(B411,Inventory!$A:$A,Inventory!$B:$B),Blades!$A:$A,Blades!$C:$C)+_xludf.XLOOKUP(_xludf.XLOOKUP(B411,Inventory!$A:$A,Inventory!$C:$C),Motor!$A:$A,Motor!$C:$C)+_xludf.XLOOKUP(_xludf.XLOOKUP(B411,Inventory!$A:$A,Inventory!$D:$D),Frame!$A:$A,Frame!$C:$C)+#REF!,""))</f>
        <v/>
      </c>
      <c r="E411" s="4">
        <v>44382</v>
      </c>
      <c r="F411" s="1" t="s">
        <v>32</v>
      </c>
    </row>
    <row r="412" spans="1:6" x14ac:dyDescent="0.25">
      <c r="A412" s="1" t="s">
        <v>834</v>
      </c>
      <c r="B412" s="1" t="s">
        <v>835</v>
      </c>
      <c r="C412" s="3">
        <v>200</v>
      </c>
      <c r="D412" s="3" t="str">
        <f ca="1">IF(B412="","",IFERROR(_xludf.XLOOKUP(_xludf.XLOOKUP(B412,Inventory!$A:$A,Inventory!$B:$B),Blades!$A:$A,Blades!$C:$C)+_xludf.XLOOKUP(_xludf.XLOOKUP(B412,Inventory!$A:$A,Inventory!$C:$C),Motor!$A:$A,Motor!$C:$C)+_xludf.XLOOKUP(_xludf.XLOOKUP(B412,Inventory!$A:$A,Inventory!$D:$D),Frame!$A:$A,Frame!$C:$C)+#REF!,""))</f>
        <v/>
      </c>
      <c r="E412" s="4">
        <v>44382</v>
      </c>
      <c r="F412" s="1" t="s">
        <v>11</v>
      </c>
    </row>
    <row r="413" spans="1:6" x14ac:dyDescent="0.25">
      <c r="A413" s="1" t="s">
        <v>836</v>
      </c>
      <c r="B413" s="1" t="s">
        <v>837</v>
      </c>
      <c r="C413" s="3">
        <v>200</v>
      </c>
      <c r="D413" s="3" t="str">
        <f ca="1">IF(B413="","",IFERROR(_xludf.XLOOKUP(_xludf.XLOOKUP(B413,Inventory!$A:$A,Inventory!$B:$B),Blades!$A:$A,Blades!$C:$C)+_xludf.XLOOKUP(_xludf.XLOOKUP(B413,Inventory!$A:$A,Inventory!$C:$C),Motor!$A:$A,Motor!$C:$C)+_xludf.XLOOKUP(_xludf.XLOOKUP(B413,Inventory!$A:$A,Inventory!$D:$D),Frame!$A:$A,Frame!$C:$C)+#REF!,""))</f>
        <v/>
      </c>
      <c r="E413" s="4">
        <v>44383</v>
      </c>
      <c r="F413" s="1" t="s">
        <v>52</v>
      </c>
    </row>
    <row r="414" spans="1:6" x14ac:dyDescent="0.25">
      <c r="A414" s="1" t="s">
        <v>838</v>
      </c>
      <c r="B414" s="1" t="s">
        <v>839</v>
      </c>
      <c r="C414" s="3">
        <v>200</v>
      </c>
      <c r="D414" s="3" t="str">
        <f ca="1">IF(B414="","",IFERROR(_xludf.XLOOKUP(_xludf.XLOOKUP(B414,Inventory!$A:$A,Inventory!$B:$B),Blades!$A:$A,Blades!$C:$C)+_xludf.XLOOKUP(_xludf.XLOOKUP(B414,Inventory!$A:$A,Inventory!$C:$C),Motor!$A:$A,Motor!$C:$C)+_xludf.XLOOKUP(_xludf.XLOOKUP(B414,Inventory!$A:$A,Inventory!$D:$D),Frame!$A:$A,Frame!$C:$C)+#REF!,""))</f>
        <v/>
      </c>
      <c r="E414" s="4">
        <v>44383</v>
      </c>
      <c r="F414" s="1" t="s">
        <v>25</v>
      </c>
    </row>
    <row r="415" spans="1:6" x14ac:dyDescent="0.25">
      <c r="A415" s="1" t="s">
        <v>840</v>
      </c>
      <c r="B415" s="1" t="s">
        <v>841</v>
      </c>
      <c r="C415" s="3">
        <v>200</v>
      </c>
      <c r="D415" s="3" t="str">
        <f ca="1">IF(B415="","",IFERROR(_xludf.XLOOKUP(_xludf.XLOOKUP(B415,Inventory!$A:$A,Inventory!$B:$B),Blades!$A:$A,Blades!$C:$C)+_xludf.XLOOKUP(_xludf.XLOOKUP(B415,Inventory!$A:$A,Inventory!$C:$C),Motor!$A:$A,Motor!$C:$C)+_xludf.XLOOKUP(_xludf.XLOOKUP(B415,Inventory!$A:$A,Inventory!$D:$D),Frame!$A:$A,Frame!$C:$C)+#REF!,""))</f>
        <v/>
      </c>
      <c r="E415" s="4">
        <v>44385</v>
      </c>
      <c r="F415" s="1" t="s">
        <v>52</v>
      </c>
    </row>
    <row r="416" spans="1:6" x14ac:dyDescent="0.25">
      <c r="A416" s="1" t="s">
        <v>842</v>
      </c>
      <c r="B416" s="1" t="s">
        <v>843</v>
      </c>
      <c r="C416" s="3">
        <v>200</v>
      </c>
      <c r="D416" s="3" t="str">
        <f ca="1">IF(B416="","",IFERROR(_xludf.XLOOKUP(_xludf.XLOOKUP(B416,Inventory!$A:$A,Inventory!$B:$B),Blades!$A:$A,Blades!$C:$C)+_xludf.XLOOKUP(_xludf.XLOOKUP(B416,Inventory!$A:$A,Inventory!$C:$C),Motor!$A:$A,Motor!$C:$C)+_xludf.XLOOKUP(_xludf.XLOOKUP(B416,Inventory!$A:$A,Inventory!$D:$D),Frame!$A:$A,Frame!$C:$C)+#REF!,""))</f>
        <v/>
      </c>
      <c r="E416" s="4">
        <v>44385</v>
      </c>
      <c r="F416" s="1" t="s">
        <v>25</v>
      </c>
    </row>
    <row r="417" spans="1:6" x14ac:dyDescent="0.25">
      <c r="A417" s="1" t="s">
        <v>844</v>
      </c>
      <c r="B417" s="1" t="s">
        <v>845</v>
      </c>
      <c r="C417" s="3">
        <v>200</v>
      </c>
      <c r="D417" s="3" t="str">
        <f ca="1">IF(B417="","",IFERROR(_xludf.XLOOKUP(_xludf.XLOOKUP(B417,Inventory!$A:$A,Inventory!$B:$B),Blades!$A:$A,Blades!$C:$C)+_xludf.XLOOKUP(_xludf.XLOOKUP(B417,Inventory!$A:$A,Inventory!$C:$C),Motor!$A:$A,Motor!$C:$C)+_xludf.XLOOKUP(_xludf.XLOOKUP(B417,Inventory!$A:$A,Inventory!$D:$D),Frame!$A:$A,Frame!$C:$C)+#REF!,""))</f>
        <v/>
      </c>
      <c r="E417" s="4">
        <v>44387</v>
      </c>
      <c r="F417" s="1" t="s">
        <v>8</v>
      </c>
    </row>
    <row r="418" spans="1:6" x14ac:dyDescent="0.25">
      <c r="A418" s="1" t="s">
        <v>846</v>
      </c>
      <c r="B418" s="1" t="s">
        <v>847</v>
      </c>
      <c r="C418" s="3">
        <v>200</v>
      </c>
      <c r="D418" s="3" t="str">
        <f ca="1">IF(B418="","",IFERROR(_xludf.XLOOKUP(_xludf.XLOOKUP(B418,Inventory!$A:$A,Inventory!$B:$B),Blades!$A:$A,Blades!$C:$C)+_xludf.XLOOKUP(_xludf.XLOOKUP(B418,Inventory!$A:$A,Inventory!$C:$C),Motor!$A:$A,Motor!$C:$C)+_xludf.XLOOKUP(_xludf.XLOOKUP(B418,Inventory!$A:$A,Inventory!$D:$D),Frame!$A:$A,Frame!$C:$C)+#REF!,""))</f>
        <v/>
      </c>
      <c r="E418" s="4">
        <v>44387</v>
      </c>
      <c r="F418" s="1" t="s">
        <v>20</v>
      </c>
    </row>
    <row r="419" spans="1:6" x14ac:dyDescent="0.25">
      <c r="A419" s="1" t="s">
        <v>848</v>
      </c>
      <c r="B419" s="1" t="s">
        <v>849</v>
      </c>
      <c r="C419" s="3">
        <v>200</v>
      </c>
      <c r="D419" s="3" t="str">
        <f ca="1">IF(B419="","",IFERROR(_xludf.XLOOKUP(_xludf.XLOOKUP(B419,Inventory!$A:$A,Inventory!$B:$B),Blades!$A:$A,Blades!$C:$C)+_xludf.XLOOKUP(_xludf.XLOOKUP(B419,Inventory!$A:$A,Inventory!$C:$C),Motor!$A:$A,Motor!$C:$C)+_xludf.XLOOKUP(_xludf.XLOOKUP(B419,Inventory!$A:$A,Inventory!$D:$D),Frame!$A:$A,Frame!$C:$C)+#REF!,""))</f>
        <v/>
      </c>
      <c r="E419" s="4">
        <v>44388</v>
      </c>
      <c r="F419" s="1" t="s">
        <v>20</v>
      </c>
    </row>
    <row r="420" spans="1:6" x14ac:dyDescent="0.25">
      <c r="A420" s="1" t="s">
        <v>850</v>
      </c>
      <c r="B420" s="1" t="s">
        <v>851</v>
      </c>
      <c r="C420" s="3">
        <v>200</v>
      </c>
      <c r="D420" s="3" t="str">
        <f ca="1">IF(B420="","",IFERROR(_xludf.XLOOKUP(_xludf.XLOOKUP(B420,Inventory!$A:$A,Inventory!$B:$B),Blades!$A:$A,Blades!$C:$C)+_xludf.XLOOKUP(_xludf.XLOOKUP(B420,Inventory!$A:$A,Inventory!$C:$C),Motor!$A:$A,Motor!$C:$C)+_xludf.XLOOKUP(_xludf.XLOOKUP(B420,Inventory!$A:$A,Inventory!$D:$D),Frame!$A:$A,Frame!$C:$C)+#REF!,""))</f>
        <v/>
      </c>
      <c r="E420" s="4">
        <v>44388</v>
      </c>
      <c r="F420" s="1" t="s">
        <v>49</v>
      </c>
    </row>
    <row r="421" spans="1:6" x14ac:dyDescent="0.25">
      <c r="A421" s="1" t="s">
        <v>852</v>
      </c>
      <c r="B421" s="1" t="s">
        <v>853</v>
      </c>
      <c r="C421" s="3">
        <v>200</v>
      </c>
      <c r="D421" s="3" t="str">
        <f ca="1">IF(B421="","",IFERROR(_xludf.XLOOKUP(_xludf.XLOOKUP(B421,Inventory!$A:$A,Inventory!$B:$B),Blades!$A:$A,Blades!$C:$C)+_xludf.XLOOKUP(_xludf.XLOOKUP(B421,Inventory!$A:$A,Inventory!$C:$C),Motor!$A:$A,Motor!$C:$C)+_xludf.XLOOKUP(_xludf.XLOOKUP(B421,Inventory!$A:$A,Inventory!$D:$D),Frame!$A:$A,Frame!$C:$C)+#REF!,""))</f>
        <v/>
      </c>
      <c r="E421" s="4">
        <v>44389</v>
      </c>
      <c r="F421" s="1" t="s">
        <v>8</v>
      </c>
    </row>
    <row r="422" spans="1:6" x14ac:dyDescent="0.25">
      <c r="A422" s="1" t="s">
        <v>854</v>
      </c>
      <c r="B422" s="1" t="s">
        <v>855</v>
      </c>
      <c r="C422" s="3">
        <v>200</v>
      </c>
      <c r="D422" s="3" t="str">
        <f ca="1">IF(B422="","",IFERROR(_xludf.XLOOKUP(_xludf.XLOOKUP(B422,Inventory!$A:$A,Inventory!$B:$B),Blades!$A:$A,Blades!$C:$C)+_xludf.XLOOKUP(_xludf.XLOOKUP(B422,Inventory!$A:$A,Inventory!$C:$C),Motor!$A:$A,Motor!$C:$C)+_xludf.XLOOKUP(_xludf.XLOOKUP(B422,Inventory!$A:$A,Inventory!$D:$D),Frame!$A:$A,Frame!$C:$C)+#REF!,""))</f>
        <v/>
      </c>
      <c r="E422" s="4">
        <v>44389</v>
      </c>
      <c r="F422" s="1" t="s">
        <v>49</v>
      </c>
    </row>
    <row r="423" spans="1:6" x14ac:dyDescent="0.25">
      <c r="A423" s="1" t="s">
        <v>856</v>
      </c>
      <c r="B423" s="1" t="s">
        <v>857</v>
      </c>
      <c r="C423" s="3">
        <v>200</v>
      </c>
      <c r="D423" s="3" t="str">
        <f ca="1">IF(B423="","",IFERROR(_xludf.XLOOKUP(_xludf.XLOOKUP(B423,Inventory!$A:$A,Inventory!$B:$B),Blades!$A:$A,Blades!$C:$C)+_xludf.XLOOKUP(_xludf.XLOOKUP(B423,Inventory!$A:$A,Inventory!$C:$C),Motor!$A:$A,Motor!$C:$C)+_xludf.XLOOKUP(_xludf.XLOOKUP(B423,Inventory!$A:$A,Inventory!$D:$D),Frame!$A:$A,Frame!$C:$C)+#REF!,""))</f>
        <v/>
      </c>
      <c r="E423" s="4">
        <v>44391</v>
      </c>
      <c r="F423" s="1" t="s">
        <v>32</v>
      </c>
    </row>
    <row r="424" spans="1:6" x14ac:dyDescent="0.25">
      <c r="A424" s="1" t="s">
        <v>858</v>
      </c>
      <c r="B424" s="1" t="s">
        <v>859</v>
      </c>
      <c r="C424" s="3">
        <v>200</v>
      </c>
      <c r="D424" s="3" t="str">
        <f ca="1">IF(B424="","",IFERROR(_xludf.XLOOKUP(_xludf.XLOOKUP(B424,Inventory!$A:$A,Inventory!$B:$B),Blades!$A:$A,Blades!$C:$C)+_xludf.XLOOKUP(_xludf.XLOOKUP(B424,Inventory!$A:$A,Inventory!$C:$C),Motor!$A:$A,Motor!$C:$C)+_xludf.XLOOKUP(_xludf.XLOOKUP(B424,Inventory!$A:$A,Inventory!$D:$D),Frame!$A:$A,Frame!$C:$C)+#REF!,""))</f>
        <v/>
      </c>
      <c r="E424" s="4">
        <v>44392</v>
      </c>
      <c r="F424" s="1" t="s">
        <v>20</v>
      </c>
    </row>
    <row r="425" spans="1:6" x14ac:dyDescent="0.25">
      <c r="A425" s="1" t="s">
        <v>860</v>
      </c>
      <c r="B425" s="1" t="s">
        <v>861</v>
      </c>
      <c r="C425" s="3">
        <v>200</v>
      </c>
      <c r="D425" s="3" t="str">
        <f ca="1">IF(B425="","",IFERROR(_xludf.XLOOKUP(_xludf.XLOOKUP(B425,Inventory!$A:$A,Inventory!$B:$B),Blades!$A:$A,Blades!$C:$C)+_xludf.XLOOKUP(_xludf.XLOOKUP(B425,Inventory!$A:$A,Inventory!$C:$C),Motor!$A:$A,Motor!$C:$C)+_xludf.XLOOKUP(_xludf.XLOOKUP(B425,Inventory!$A:$A,Inventory!$D:$D),Frame!$A:$A,Frame!$C:$C)+#REF!,""))</f>
        <v/>
      </c>
      <c r="E425" s="4">
        <v>44393</v>
      </c>
      <c r="F425" s="1" t="s">
        <v>52</v>
      </c>
    </row>
    <row r="426" spans="1:6" x14ac:dyDescent="0.25">
      <c r="A426" s="1" t="s">
        <v>862</v>
      </c>
      <c r="B426" s="1" t="s">
        <v>863</v>
      </c>
      <c r="C426" s="3">
        <v>200</v>
      </c>
      <c r="D426" s="3" t="str">
        <f ca="1">IF(B426="","",IFERROR(_xludf.XLOOKUP(_xludf.XLOOKUP(B426,Inventory!$A:$A,Inventory!$B:$B),Blades!$A:$A,Blades!$C:$C)+_xludf.XLOOKUP(_xludf.XLOOKUP(B426,Inventory!$A:$A,Inventory!$C:$C),Motor!$A:$A,Motor!$C:$C)+_xludf.XLOOKUP(_xludf.XLOOKUP(B426,Inventory!$A:$A,Inventory!$D:$D),Frame!$A:$A,Frame!$C:$C)+#REF!,""))</f>
        <v/>
      </c>
      <c r="E426" s="4">
        <v>44394</v>
      </c>
      <c r="F426" s="1" t="s">
        <v>63</v>
      </c>
    </row>
    <row r="427" spans="1:6" x14ac:dyDescent="0.25">
      <c r="A427" s="1" t="s">
        <v>864</v>
      </c>
      <c r="B427" s="1" t="s">
        <v>865</v>
      </c>
      <c r="C427" s="3">
        <v>200</v>
      </c>
      <c r="D427" s="3" t="str">
        <f ca="1">IF(B427="","",IFERROR(_xludf.XLOOKUP(_xludf.XLOOKUP(B427,Inventory!$A:$A,Inventory!$B:$B),Blades!$A:$A,Blades!$C:$C)+_xludf.XLOOKUP(_xludf.XLOOKUP(B427,Inventory!$A:$A,Inventory!$C:$C),Motor!$A:$A,Motor!$C:$C)+_xludf.XLOOKUP(_xludf.XLOOKUP(B427,Inventory!$A:$A,Inventory!$D:$D),Frame!$A:$A,Frame!$C:$C)+#REF!,""))</f>
        <v/>
      </c>
      <c r="E427" s="4">
        <v>44394</v>
      </c>
      <c r="F427" s="1" t="s">
        <v>8</v>
      </c>
    </row>
    <row r="428" spans="1:6" x14ac:dyDescent="0.25">
      <c r="A428" s="1" t="s">
        <v>866</v>
      </c>
      <c r="B428" s="1" t="s">
        <v>867</v>
      </c>
      <c r="C428" s="3">
        <v>200</v>
      </c>
      <c r="D428" s="3" t="str">
        <f ca="1">IF(B428="","",IFERROR(_xludf.XLOOKUP(_xludf.XLOOKUP(B428,Inventory!$A:$A,Inventory!$B:$B),Blades!$A:$A,Blades!$C:$C)+_xludf.XLOOKUP(_xludf.XLOOKUP(B428,Inventory!$A:$A,Inventory!$C:$C),Motor!$A:$A,Motor!$C:$C)+_xludf.XLOOKUP(_xludf.XLOOKUP(B428,Inventory!$A:$A,Inventory!$D:$D),Frame!$A:$A,Frame!$C:$C)+#REF!,""))</f>
        <v/>
      </c>
      <c r="E428" s="4">
        <v>44395</v>
      </c>
      <c r="F428" s="1" t="s">
        <v>32</v>
      </c>
    </row>
    <row r="429" spans="1:6" x14ac:dyDescent="0.25">
      <c r="A429" s="1" t="s">
        <v>868</v>
      </c>
      <c r="B429" s="1" t="s">
        <v>869</v>
      </c>
      <c r="C429" s="3">
        <v>200</v>
      </c>
      <c r="D429" s="3" t="str">
        <f ca="1">IF(B429="","",IFERROR(_xludf.XLOOKUP(_xludf.XLOOKUP(B429,Inventory!$A:$A,Inventory!$B:$B),Blades!$A:$A,Blades!$C:$C)+_xludf.XLOOKUP(_xludf.XLOOKUP(B429,Inventory!$A:$A,Inventory!$C:$C),Motor!$A:$A,Motor!$C:$C)+_xludf.XLOOKUP(_xludf.XLOOKUP(B429,Inventory!$A:$A,Inventory!$D:$D),Frame!$A:$A,Frame!$C:$C)+#REF!,""))</f>
        <v/>
      </c>
      <c r="E429" s="4">
        <v>44397</v>
      </c>
      <c r="F429" s="1" t="s">
        <v>25</v>
      </c>
    </row>
    <row r="430" spans="1:6" x14ac:dyDescent="0.25">
      <c r="A430" s="1" t="s">
        <v>870</v>
      </c>
      <c r="B430" s="1" t="s">
        <v>871</v>
      </c>
      <c r="C430" s="3">
        <v>200</v>
      </c>
      <c r="D430" s="3" t="str">
        <f ca="1">IF(B430="","",IFERROR(_xludf.XLOOKUP(_xludf.XLOOKUP(B430,Inventory!$A:$A,Inventory!$B:$B),Blades!$A:$A,Blades!$C:$C)+_xludf.XLOOKUP(_xludf.XLOOKUP(B430,Inventory!$A:$A,Inventory!$C:$C),Motor!$A:$A,Motor!$C:$C)+_xludf.XLOOKUP(_xludf.XLOOKUP(B430,Inventory!$A:$A,Inventory!$D:$D),Frame!$A:$A,Frame!$C:$C)+#REF!,""))</f>
        <v/>
      </c>
      <c r="E430" s="4">
        <v>44399</v>
      </c>
      <c r="F430" s="1" t="s">
        <v>25</v>
      </c>
    </row>
    <row r="431" spans="1:6" x14ac:dyDescent="0.25">
      <c r="A431" s="1" t="s">
        <v>872</v>
      </c>
      <c r="B431" s="1" t="s">
        <v>873</v>
      </c>
      <c r="C431" s="3">
        <v>200</v>
      </c>
      <c r="D431" s="3" t="str">
        <f ca="1">IF(B431="","",IFERROR(_xludf.XLOOKUP(_xludf.XLOOKUP(B431,Inventory!$A:$A,Inventory!$B:$B),Blades!$A:$A,Blades!$C:$C)+_xludf.XLOOKUP(_xludf.XLOOKUP(B431,Inventory!$A:$A,Inventory!$C:$C),Motor!$A:$A,Motor!$C:$C)+_xludf.XLOOKUP(_xludf.XLOOKUP(B431,Inventory!$A:$A,Inventory!$D:$D),Frame!$A:$A,Frame!$C:$C)+#REF!,""))</f>
        <v/>
      </c>
      <c r="E431" s="4">
        <v>44399</v>
      </c>
      <c r="F431" s="1" t="s">
        <v>52</v>
      </c>
    </row>
    <row r="432" spans="1:6" x14ac:dyDescent="0.25">
      <c r="A432" s="1" t="s">
        <v>874</v>
      </c>
      <c r="B432" s="1" t="s">
        <v>875</v>
      </c>
      <c r="C432" s="3">
        <v>200</v>
      </c>
      <c r="D432" s="3" t="str">
        <f ca="1">IF(B432="","",IFERROR(_xludf.XLOOKUP(_xludf.XLOOKUP(B432,Inventory!$A:$A,Inventory!$B:$B),Blades!$A:$A,Blades!$C:$C)+_xludf.XLOOKUP(_xludf.XLOOKUP(B432,Inventory!$A:$A,Inventory!$C:$C),Motor!$A:$A,Motor!$C:$C)+_xludf.XLOOKUP(_xludf.XLOOKUP(B432,Inventory!$A:$A,Inventory!$D:$D),Frame!$A:$A,Frame!$C:$C)+#REF!,""))</f>
        <v/>
      </c>
      <c r="E432" s="4">
        <v>44399</v>
      </c>
      <c r="F432" s="1" t="s">
        <v>8</v>
      </c>
    </row>
    <row r="433" spans="1:6" x14ac:dyDescent="0.25">
      <c r="A433" s="1" t="s">
        <v>876</v>
      </c>
      <c r="B433" s="1" t="s">
        <v>877</v>
      </c>
      <c r="C433" s="3">
        <v>200</v>
      </c>
      <c r="D433" s="3" t="str">
        <f ca="1">IF(B433="","",IFERROR(_xludf.XLOOKUP(_xludf.XLOOKUP(B433,Inventory!$A:$A,Inventory!$B:$B),Blades!$A:$A,Blades!$C:$C)+_xludf.XLOOKUP(_xludf.XLOOKUP(B433,Inventory!$A:$A,Inventory!$C:$C),Motor!$A:$A,Motor!$C:$C)+_xludf.XLOOKUP(_xludf.XLOOKUP(B433,Inventory!$A:$A,Inventory!$D:$D),Frame!$A:$A,Frame!$C:$C)+#REF!,""))</f>
        <v/>
      </c>
      <c r="E433" s="4">
        <v>44400</v>
      </c>
      <c r="F433" s="1" t="s">
        <v>8</v>
      </c>
    </row>
    <row r="434" spans="1:6" x14ac:dyDescent="0.25">
      <c r="A434" s="1" t="s">
        <v>878</v>
      </c>
      <c r="B434" s="1" t="s">
        <v>879</v>
      </c>
      <c r="C434" s="3">
        <v>200</v>
      </c>
      <c r="D434" s="3" t="str">
        <f ca="1">IF(B434="","",IFERROR(_xludf.XLOOKUP(_xludf.XLOOKUP(B434,Inventory!$A:$A,Inventory!$B:$B),Blades!$A:$A,Blades!$C:$C)+_xludf.XLOOKUP(_xludf.XLOOKUP(B434,Inventory!$A:$A,Inventory!$C:$C),Motor!$A:$A,Motor!$C:$C)+_xludf.XLOOKUP(_xludf.XLOOKUP(B434,Inventory!$A:$A,Inventory!$D:$D),Frame!$A:$A,Frame!$C:$C)+#REF!,""))</f>
        <v/>
      </c>
      <c r="E434" s="4">
        <v>44402</v>
      </c>
      <c r="F434" s="1" t="s">
        <v>20</v>
      </c>
    </row>
    <row r="435" spans="1:6" x14ac:dyDescent="0.25">
      <c r="A435" s="1" t="s">
        <v>880</v>
      </c>
      <c r="B435" s="1" t="s">
        <v>881</v>
      </c>
      <c r="C435" s="3">
        <v>200</v>
      </c>
      <c r="D435" s="3" t="str">
        <f ca="1">IF(B435="","",IFERROR(_xludf.XLOOKUP(_xludf.XLOOKUP(B435,Inventory!$A:$A,Inventory!$B:$B),Blades!$A:$A,Blades!$C:$C)+_xludf.XLOOKUP(_xludf.XLOOKUP(B435,Inventory!$A:$A,Inventory!$C:$C),Motor!$A:$A,Motor!$C:$C)+_xludf.XLOOKUP(_xludf.XLOOKUP(B435,Inventory!$A:$A,Inventory!$D:$D),Frame!$A:$A,Frame!$C:$C)+#REF!,""))</f>
        <v/>
      </c>
      <c r="E435" s="4">
        <v>44404</v>
      </c>
      <c r="F435" s="1" t="s">
        <v>63</v>
      </c>
    </row>
    <row r="436" spans="1:6" x14ac:dyDescent="0.25">
      <c r="A436" s="1" t="s">
        <v>882</v>
      </c>
      <c r="B436" s="1" t="s">
        <v>883</v>
      </c>
      <c r="C436" s="3">
        <v>200</v>
      </c>
      <c r="D436" s="3" t="str">
        <f ca="1">IF(B436="","",IFERROR(_xludf.XLOOKUP(_xludf.XLOOKUP(B436,Inventory!$A:$A,Inventory!$B:$B),Blades!$A:$A,Blades!$C:$C)+_xludf.XLOOKUP(_xludf.XLOOKUP(B436,Inventory!$A:$A,Inventory!$C:$C),Motor!$A:$A,Motor!$C:$C)+_xludf.XLOOKUP(_xludf.XLOOKUP(B436,Inventory!$A:$A,Inventory!$D:$D),Frame!$A:$A,Frame!$C:$C)+#REF!,""))</f>
        <v/>
      </c>
      <c r="E436" s="4">
        <v>44404</v>
      </c>
      <c r="F436" s="1" t="s">
        <v>32</v>
      </c>
    </row>
    <row r="437" spans="1:6" x14ac:dyDescent="0.25">
      <c r="A437" s="1" t="s">
        <v>884</v>
      </c>
      <c r="B437" s="1" t="s">
        <v>885</v>
      </c>
      <c r="C437" s="3">
        <v>200</v>
      </c>
      <c r="D437" s="3" t="str">
        <f ca="1">IF(B437="","",IFERROR(_xludf.XLOOKUP(_xludf.XLOOKUP(B437,Inventory!$A:$A,Inventory!$B:$B),Blades!$A:$A,Blades!$C:$C)+_xludf.XLOOKUP(_xludf.XLOOKUP(B437,Inventory!$A:$A,Inventory!$C:$C),Motor!$A:$A,Motor!$C:$C)+_xludf.XLOOKUP(_xludf.XLOOKUP(B437,Inventory!$A:$A,Inventory!$D:$D),Frame!$A:$A,Frame!$C:$C)+#REF!,""))</f>
        <v/>
      </c>
      <c r="E437" s="4">
        <v>44406</v>
      </c>
      <c r="F437" s="1" t="s">
        <v>52</v>
      </c>
    </row>
    <row r="438" spans="1:6" x14ac:dyDescent="0.25">
      <c r="A438" s="1" t="s">
        <v>886</v>
      </c>
      <c r="B438" s="1" t="s">
        <v>887</v>
      </c>
      <c r="C438" s="3">
        <v>200</v>
      </c>
      <c r="D438" s="3" t="str">
        <f ca="1">IF(B438="","",IFERROR(_xludf.XLOOKUP(_xludf.XLOOKUP(B438,Inventory!$A:$A,Inventory!$B:$B),Blades!$A:$A,Blades!$C:$C)+_xludf.XLOOKUP(_xludf.XLOOKUP(B438,Inventory!$A:$A,Inventory!$C:$C),Motor!$A:$A,Motor!$C:$C)+_xludf.XLOOKUP(_xludf.XLOOKUP(B438,Inventory!$A:$A,Inventory!$D:$D),Frame!$A:$A,Frame!$C:$C)+#REF!,""))</f>
        <v/>
      </c>
      <c r="E438" s="4">
        <v>44407</v>
      </c>
      <c r="F438" s="1" t="s">
        <v>20</v>
      </c>
    </row>
    <row r="439" spans="1:6" x14ac:dyDescent="0.25">
      <c r="A439" s="1" t="s">
        <v>888</v>
      </c>
      <c r="B439" s="1" t="s">
        <v>889</v>
      </c>
      <c r="C439" s="3">
        <v>200</v>
      </c>
      <c r="D439" s="3" t="str">
        <f ca="1">IF(B439="","",IFERROR(_xludf.XLOOKUP(_xludf.XLOOKUP(B439,Inventory!$A:$A,Inventory!$B:$B),Blades!$A:$A,Blades!$C:$C)+_xludf.XLOOKUP(_xludf.XLOOKUP(B439,Inventory!$A:$A,Inventory!$C:$C),Motor!$A:$A,Motor!$C:$C)+_xludf.XLOOKUP(_xludf.XLOOKUP(B439,Inventory!$A:$A,Inventory!$D:$D),Frame!$A:$A,Frame!$C:$C)+#REF!,""))</f>
        <v/>
      </c>
      <c r="E439" s="4">
        <v>44409</v>
      </c>
      <c r="F439" s="1" t="s">
        <v>52</v>
      </c>
    </row>
    <row r="440" spans="1:6" x14ac:dyDescent="0.25">
      <c r="A440" s="1" t="s">
        <v>890</v>
      </c>
      <c r="B440" s="1" t="s">
        <v>891</v>
      </c>
      <c r="C440" s="3">
        <v>200</v>
      </c>
      <c r="D440" s="3" t="str">
        <f ca="1">IF(B440="","",IFERROR(_xludf.XLOOKUP(_xludf.XLOOKUP(B440,Inventory!$A:$A,Inventory!$B:$B),Blades!$A:$A,Blades!$C:$C)+_xludf.XLOOKUP(_xludf.XLOOKUP(B440,Inventory!$A:$A,Inventory!$C:$C),Motor!$A:$A,Motor!$C:$C)+_xludf.XLOOKUP(_xludf.XLOOKUP(B440,Inventory!$A:$A,Inventory!$D:$D),Frame!$A:$A,Frame!$C:$C)+#REF!,""))</f>
        <v/>
      </c>
      <c r="E440" s="4">
        <v>44410</v>
      </c>
      <c r="F440" s="1" t="s">
        <v>11</v>
      </c>
    </row>
    <row r="441" spans="1:6" x14ac:dyDescent="0.25">
      <c r="A441" s="1" t="s">
        <v>892</v>
      </c>
      <c r="B441" s="1" t="s">
        <v>893</v>
      </c>
      <c r="C441" s="3">
        <v>200</v>
      </c>
      <c r="D441" s="3" t="str">
        <f ca="1">IF(B441="","",IFERROR(_xludf.XLOOKUP(_xludf.XLOOKUP(B441,Inventory!$A:$A,Inventory!$B:$B),Blades!$A:$A,Blades!$C:$C)+_xludf.XLOOKUP(_xludf.XLOOKUP(B441,Inventory!$A:$A,Inventory!$C:$C),Motor!$A:$A,Motor!$C:$C)+_xludf.XLOOKUP(_xludf.XLOOKUP(B441,Inventory!$A:$A,Inventory!$D:$D),Frame!$A:$A,Frame!$C:$C)+#REF!,""))</f>
        <v/>
      </c>
      <c r="E441" s="4">
        <v>44411</v>
      </c>
      <c r="F441" s="1" t="s">
        <v>11</v>
      </c>
    </row>
    <row r="442" spans="1:6" x14ac:dyDescent="0.25">
      <c r="A442" s="1" t="s">
        <v>894</v>
      </c>
      <c r="B442" s="1" t="s">
        <v>895</v>
      </c>
      <c r="C442" s="3">
        <v>200</v>
      </c>
      <c r="D442" s="3" t="str">
        <f ca="1">IF(B442="","",IFERROR(_xludf.XLOOKUP(_xludf.XLOOKUP(B442,Inventory!$A:$A,Inventory!$B:$B),Blades!$A:$A,Blades!$C:$C)+_xludf.XLOOKUP(_xludf.XLOOKUP(B442,Inventory!$A:$A,Inventory!$C:$C),Motor!$A:$A,Motor!$C:$C)+_xludf.XLOOKUP(_xludf.XLOOKUP(B442,Inventory!$A:$A,Inventory!$D:$D),Frame!$A:$A,Frame!$C:$C)+#REF!,""))</f>
        <v/>
      </c>
      <c r="E442" s="4">
        <v>44413</v>
      </c>
      <c r="F442" s="1" t="s">
        <v>25</v>
      </c>
    </row>
    <row r="443" spans="1:6" x14ac:dyDescent="0.25">
      <c r="A443" s="1" t="s">
        <v>896</v>
      </c>
      <c r="B443" s="1" t="s">
        <v>897</v>
      </c>
      <c r="C443" s="3">
        <v>200</v>
      </c>
      <c r="D443" s="3" t="str">
        <f ca="1">IF(B443="","",IFERROR(_xludf.XLOOKUP(_xludf.XLOOKUP(B443,Inventory!$A:$A,Inventory!$B:$B),Blades!$A:$A,Blades!$C:$C)+_xludf.XLOOKUP(_xludf.XLOOKUP(B443,Inventory!$A:$A,Inventory!$C:$C),Motor!$A:$A,Motor!$C:$C)+_xludf.XLOOKUP(_xludf.XLOOKUP(B443,Inventory!$A:$A,Inventory!$D:$D),Frame!$A:$A,Frame!$C:$C)+#REF!,""))</f>
        <v/>
      </c>
      <c r="E443" s="4">
        <v>44416</v>
      </c>
      <c r="F443" s="1" t="s">
        <v>49</v>
      </c>
    </row>
    <row r="444" spans="1:6" x14ac:dyDescent="0.25">
      <c r="A444" s="1" t="s">
        <v>898</v>
      </c>
      <c r="B444" s="1" t="s">
        <v>899</v>
      </c>
      <c r="C444" s="3">
        <v>200</v>
      </c>
      <c r="D444" s="3" t="str">
        <f ca="1">IF(B444="","",IFERROR(_xludf.XLOOKUP(_xludf.XLOOKUP(B444,Inventory!$A:$A,Inventory!$B:$B),Blades!$A:$A,Blades!$C:$C)+_xludf.XLOOKUP(_xludf.XLOOKUP(B444,Inventory!$A:$A,Inventory!$C:$C),Motor!$A:$A,Motor!$C:$C)+_xludf.XLOOKUP(_xludf.XLOOKUP(B444,Inventory!$A:$A,Inventory!$D:$D),Frame!$A:$A,Frame!$C:$C)+#REF!,""))</f>
        <v/>
      </c>
      <c r="E444" s="4">
        <v>44417</v>
      </c>
      <c r="F444" s="1" t="s">
        <v>25</v>
      </c>
    </row>
    <row r="445" spans="1:6" x14ac:dyDescent="0.25">
      <c r="A445" s="1" t="s">
        <v>900</v>
      </c>
      <c r="B445" s="1" t="s">
        <v>901</v>
      </c>
      <c r="C445" s="3">
        <v>200</v>
      </c>
      <c r="D445" s="3" t="str">
        <f ca="1">IF(B445="","",IFERROR(_xludf.XLOOKUP(_xludf.XLOOKUP(B445,Inventory!$A:$A,Inventory!$B:$B),Blades!$A:$A,Blades!$C:$C)+_xludf.XLOOKUP(_xludf.XLOOKUP(B445,Inventory!$A:$A,Inventory!$C:$C),Motor!$A:$A,Motor!$C:$C)+_xludf.XLOOKUP(_xludf.XLOOKUP(B445,Inventory!$A:$A,Inventory!$D:$D),Frame!$A:$A,Frame!$C:$C)+#REF!,""))</f>
        <v/>
      </c>
      <c r="E445" s="4">
        <v>44420</v>
      </c>
      <c r="F445" s="1" t="s">
        <v>8</v>
      </c>
    </row>
    <row r="446" spans="1:6" x14ac:dyDescent="0.25">
      <c r="A446" s="1" t="s">
        <v>902</v>
      </c>
      <c r="B446" s="1" t="s">
        <v>903</v>
      </c>
      <c r="C446" s="3">
        <v>200</v>
      </c>
      <c r="D446" s="3" t="str">
        <f ca="1">IF(B446="","",IFERROR(_xludf.XLOOKUP(_xludf.XLOOKUP(B446,Inventory!$A:$A,Inventory!$B:$B),Blades!$A:$A,Blades!$C:$C)+_xludf.XLOOKUP(_xludf.XLOOKUP(B446,Inventory!$A:$A,Inventory!$C:$C),Motor!$A:$A,Motor!$C:$C)+_xludf.XLOOKUP(_xludf.XLOOKUP(B446,Inventory!$A:$A,Inventory!$D:$D),Frame!$A:$A,Frame!$C:$C)+#REF!,""))</f>
        <v/>
      </c>
      <c r="E446" s="4">
        <v>44420</v>
      </c>
      <c r="F446" s="1" t="s">
        <v>63</v>
      </c>
    </row>
    <row r="447" spans="1:6" x14ac:dyDescent="0.25">
      <c r="A447" s="1" t="s">
        <v>904</v>
      </c>
      <c r="B447" s="1" t="s">
        <v>905</v>
      </c>
      <c r="C447" s="3">
        <v>200</v>
      </c>
      <c r="D447" s="3" t="str">
        <f ca="1">IF(B447="","",IFERROR(_xludf.XLOOKUP(_xludf.XLOOKUP(B447,Inventory!$A:$A,Inventory!$B:$B),Blades!$A:$A,Blades!$C:$C)+_xludf.XLOOKUP(_xludf.XLOOKUP(B447,Inventory!$A:$A,Inventory!$C:$C),Motor!$A:$A,Motor!$C:$C)+_xludf.XLOOKUP(_xludf.XLOOKUP(B447,Inventory!$A:$A,Inventory!$D:$D),Frame!$A:$A,Frame!$C:$C)+#REF!,""))</f>
        <v/>
      </c>
      <c r="E447" s="4">
        <v>44420</v>
      </c>
      <c r="F447" s="1" t="s">
        <v>49</v>
      </c>
    </row>
    <row r="448" spans="1:6" x14ac:dyDescent="0.25">
      <c r="A448" s="1" t="s">
        <v>906</v>
      </c>
      <c r="B448" s="1" t="s">
        <v>907</v>
      </c>
      <c r="C448" s="3">
        <v>200</v>
      </c>
      <c r="D448" s="3" t="str">
        <f ca="1">IF(B448="","",IFERROR(_xludf.XLOOKUP(_xludf.XLOOKUP(B448,Inventory!$A:$A,Inventory!$B:$B),Blades!$A:$A,Blades!$C:$C)+_xludf.XLOOKUP(_xludf.XLOOKUP(B448,Inventory!$A:$A,Inventory!$C:$C),Motor!$A:$A,Motor!$C:$C)+_xludf.XLOOKUP(_xludf.XLOOKUP(B448,Inventory!$A:$A,Inventory!$D:$D),Frame!$A:$A,Frame!$C:$C)+#REF!,""))</f>
        <v/>
      </c>
      <c r="E448" s="4">
        <v>44420</v>
      </c>
      <c r="F448" s="1" t="s">
        <v>20</v>
      </c>
    </row>
    <row r="449" spans="1:6" x14ac:dyDescent="0.25">
      <c r="A449" s="1" t="s">
        <v>908</v>
      </c>
      <c r="B449" s="1" t="s">
        <v>909</v>
      </c>
      <c r="C449" s="3">
        <v>200</v>
      </c>
      <c r="D449" s="3" t="str">
        <f ca="1">IF(B449="","",IFERROR(_xludf.XLOOKUP(_xludf.XLOOKUP(B449,Inventory!$A:$A,Inventory!$B:$B),Blades!$A:$A,Blades!$C:$C)+_xludf.XLOOKUP(_xludf.XLOOKUP(B449,Inventory!$A:$A,Inventory!$C:$C),Motor!$A:$A,Motor!$C:$C)+_xludf.XLOOKUP(_xludf.XLOOKUP(B449,Inventory!$A:$A,Inventory!$D:$D),Frame!$A:$A,Frame!$C:$C)+#REF!,""))</f>
        <v/>
      </c>
      <c r="E449" s="4">
        <v>44421</v>
      </c>
      <c r="F449" s="1" t="s">
        <v>20</v>
      </c>
    </row>
    <row r="450" spans="1:6" x14ac:dyDescent="0.25">
      <c r="A450" s="1" t="s">
        <v>910</v>
      </c>
      <c r="B450" s="1" t="s">
        <v>911</v>
      </c>
      <c r="C450" s="3">
        <v>200</v>
      </c>
      <c r="D450" s="3" t="str">
        <f ca="1">IF(B450="","",IFERROR(_xludf.XLOOKUP(_xludf.XLOOKUP(B450,Inventory!$A:$A,Inventory!$B:$B),Blades!$A:$A,Blades!$C:$C)+_xludf.XLOOKUP(_xludf.XLOOKUP(B450,Inventory!$A:$A,Inventory!$C:$C),Motor!$A:$A,Motor!$C:$C)+_xludf.XLOOKUP(_xludf.XLOOKUP(B450,Inventory!$A:$A,Inventory!$D:$D),Frame!$A:$A,Frame!$C:$C)+#REF!,""))</f>
        <v/>
      </c>
      <c r="E450" s="4">
        <v>44421</v>
      </c>
      <c r="F450" s="1" t="s">
        <v>32</v>
      </c>
    </row>
    <row r="451" spans="1:6" x14ac:dyDescent="0.25">
      <c r="A451" s="1" t="s">
        <v>912</v>
      </c>
      <c r="B451" s="1" t="s">
        <v>913</v>
      </c>
      <c r="C451" s="3">
        <v>200</v>
      </c>
      <c r="D451" s="3" t="str">
        <f ca="1">IF(B451="","",IFERROR(_xludf.XLOOKUP(_xludf.XLOOKUP(B451,Inventory!$A:$A,Inventory!$B:$B),Blades!$A:$A,Blades!$C:$C)+_xludf.XLOOKUP(_xludf.XLOOKUP(B451,Inventory!$A:$A,Inventory!$C:$C),Motor!$A:$A,Motor!$C:$C)+_xludf.XLOOKUP(_xludf.XLOOKUP(B451,Inventory!$A:$A,Inventory!$D:$D),Frame!$A:$A,Frame!$C:$C)+#REF!,""))</f>
        <v/>
      </c>
      <c r="E451" s="4">
        <v>44421</v>
      </c>
      <c r="F451" s="1" t="s">
        <v>49</v>
      </c>
    </row>
    <row r="452" spans="1:6" x14ac:dyDescent="0.25">
      <c r="A452" s="1" t="s">
        <v>914</v>
      </c>
      <c r="B452" s="1" t="s">
        <v>915</v>
      </c>
      <c r="C452" s="3">
        <v>200</v>
      </c>
      <c r="D452" s="3" t="str">
        <f ca="1">IF(B452="","",IFERROR(_xludf.XLOOKUP(_xludf.XLOOKUP(B452,Inventory!$A:$A,Inventory!$B:$B),Blades!$A:$A,Blades!$C:$C)+_xludf.XLOOKUP(_xludf.XLOOKUP(B452,Inventory!$A:$A,Inventory!$C:$C),Motor!$A:$A,Motor!$C:$C)+_xludf.XLOOKUP(_xludf.XLOOKUP(B452,Inventory!$A:$A,Inventory!$D:$D),Frame!$A:$A,Frame!$C:$C)+#REF!,""))</f>
        <v/>
      </c>
      <c r="E452" s="4">
        <v>44422</v>
      </c>
      <c r="F452" s="1" t="s">
        <v>49</v>
      </c>
    </row>
    <row r="453" spans="1:6" x14ac:dyDescent="0.25">
      <c r="A453" s="1" t="s">
        <v>916</v>
      </c>
      <c r="B453" s="1" t="s">
        <v>917</v>
      </c>
      <c r="C453" s="3">
        <v>200</v>
      </c>
      <c r="D453" s="3" t="str">
        <f ca="1">IF(B453="","",IFERROR(_xludf.XLOOKUP(_xludf.XLOOKUP(B453,Inventory!$A:$A,Inventory!$B:$B),Blades!$A:$A,Blades!$C:$C)+_xludf.XLOOKUP(_xludf.XLOOKUP(B453,Inventory!$A:$A,Inventory!$C:$C),Motor!$A:$A,Motor!$C:$C)+_xludf.XLOOKUP(_xludf.XLOOKUP(B453,Inventory!$A:$A,Inventory!$D:$D),Frame!$A:$A,Frame!$C:$C)+#REF!,""))</f>
        <v/>
      </c>
      <c r="E453" s="4">
        <v>44422</v>
      </c>
      <c r="F453" s="1" t="s">
        <v>49</v>
      </c>
    </row>
    <row r="454" spans="1:6" x14ac:dyDescent="0.25">
      <c r="A454" s="1" t="s">
        <v>918</v>
      </c>
      <c r="B454" s="1" t="s">
        <v>919</v>
      </c>
      <c r="C454" s="3">
        <v>200</v>
      </c>
      <c r="D454" s="3" t="str">
        <f ca="1">IF(B454="","",IFERROR(_xludf.XLOOKUP(_xludf.XLOOKUP(B454,Inventory!$A:$A,Inventory!$B:$B),Blades!$A:$A,Blades!$C:$C)+_xludf.XLOOKUP(_xludf.XLOOKUP(B454,Inventory!$A:$A,Inventory!$C:$C),Motor!$A:$A,Motor!$C:$C)+_xludf.XLOOKUP(_xludf.XLOOKUP(B454,Inventory!$A:$A,Inventory!$D:$D),Frame!$A:$A,Frame!$C:$C)+#REF!,""))</f>
        <v/>
      </c>
      <c r="E454" s="4">
        <v>44423</v>
      </c>
      <c r="F454" s="1" t="s">
        <v>8</v>
      </c>
    </row>
    <row r="455" spans="1:6" x14ac:dyDescent="0.25">
      <c r="A455" s="1" t="s">
        <v>920</v>
      </c>
      <c r="B455" s="1" t="s">
        <v>921</v>
      </c>
      <c r="C455" s="3">
        <v>200</v>
      </c>
      <c r="D455" s="3" t="str">
        <f ca="1">IF(B455="","",IFERROR(_xludf.XLOOKUP(_xludf.XLOOKUP(B455,Inventory!$A:$A,Inventory!$B:$B),Blades!$A:$A,Blades!$C:$C)+_xludf.XLOOKUP(_xludf.XLOOKUP(B455,Inventory!$A:$A,Inventory!$C:$C),Motor!$A:$A,Motor!$C:$C)+_xludf.XLOOKUP(_xludf.XLOOKUP(B455,Inventory!$A:$A,Inventory!$D:$D),Frame!$A:$A,Frame!$C:$C)+#REF!,""))</f>
        <v/>
      </c>
      <c r="E455" s="4">
        <v>44424</v>
      </c>
      <c r="F455" s="1" t="s">
        <v>32</v>
      </c>
    </row>
    <row r="456" spans="1:6" x14ac:dyDescent="0.25">
      <c r="A456" s="1" t="s">
        <v>922</v>
      </c>
      <c r="B456" s="1" t="s">
        <v>923</v>
      </c>
      <c r="C456" s="3">
        <v>200</v>
      </c>
      <c r="D456" s="3" t="str">
        <f ca="1">IF(B456="","",IFERROR(_xludf.XLOOKUP(_xludf.XLOOKUP(B456,Inventory!$A:$A,Inventory!$B:$B),Blades!$A:$A,Blades!$C:$C)+_xludf.XLOOKUP(_xludf.XLOOKUP(B456,Inventory!$A:$A,Inventory!$C:$C),Motor!$A:$A,Motor!$C:$C)+_xludf.XLOOKUP(_xludf.XLOOKUP(B456,Inventory!$A:$A,Inventory!$D:$D),Frame!$A:$A,Frame!$C:$C)+#REF!,""))</f>
        <v/>
      </c>
      <c r="E456" s="4">
        <v>44426</v>
      </c>
      <c r="F456" s="1" t="s">
        <v>63</v>
      </c>
    </row>
    <row r="457" spans="1:6" x14ac:dyDescent="0.25">
      <c r="A457" s="1" t="s">
        <v>924</v>
      </c>
      <c r="B457" s="1" t="s">
        <v>925</v>
      </c>
      <c r="C457" s="3">
        <v>200</v>
      </c>
      <c r="D457" s="3" t="str">
        <f ca="1">IF(B457="","",IFERROR(_xludf.XLOOKUP(_xludf.XLOOKUP(B457,Inventory!$A:$A,Inventory!$B:$B),Blades!$A:$A,Blades!$C:$C)+_xludf.XLOOKUP(_xludf.XLOOKUP(B457,Inventory!$A:$A,Inventory!$C:$C),Motor!$A:$A,Motor!$C:$C)+_xludf.XLOOKUP(_xludf.XLOOKUP(B457,Inventory!$A:$A,Inventory!$D:$D),Frame!$A:$A,Frame!$C:$C)+#REF!,""))</f>
        <v/>
      </c>
      <c r="E457" s="4">
        <v>44426</v>
      </c>
      <c r="F457" s="1" t="s">
        <v>32</v>
      </c>
    </row>
    <row r="458" spans="1:6" x14ac:dyDescent="0.25">
      <c r="A458" s="1" t="s">
        <v>926</v>
      </c>
      <c r="B458" s="1" t="s">
        <v>927</v>
      </c>
      <c r="C458" s="3">
        <v>200</v>
      </c>
      <c r="D458" s="3" t="str">
        <f ca="1">IF(B458="","",IFERROR(_xludf.XLOOKUP(_xludf.XLOOKUP(B458,Inventory!$A:$A,Inventory!$B:$B),Blades!$A:$A,Blades!$C:$C)+_xludf.XLOOKUP(_xludf.XLOOKUP(B458,Inventory!$A:$A,Inventory!$C:$C),Motor!$A:$A,Motor!$C:$C)+_xludf.XLOOKUP(_xludf.XLOOKUP(B458,Inventory!$A:$A,Inventory!$D:$D),Frame!$A:$A,Frame!$C:$C)+#REF!,""))</f>
        <v/>
      </c>
      <c r="E458" s="4">
        <v>44426</v>
      </c>
      <c r="F458" s="1" t="s">
        <v>20</v>
      </c>
    </row>
    <row r="459" spans="1:6" x14ac:dyDescent="0.25">
      <c r="A459" s="1" t="s">
        <v>928</v>
      </c>
      <c r="B459" s="1" t="s">
        <v>929</v>
      </c>
      <c r="C459" s="3">
        <v>200</v>
      </c>
      <c r="D459" s="3" t="str">
        <f ca="1">IF(B459="","",IFERROR(_xludf.XLOOKUP(_xludf.XLOOKUP(B459,Inventory!$A:$A,Inventory!$B:$B),Blades!$A:$A,Blades!$C:$C)+_xludf.XLOOKUP(_xludf.XLOOKUP(B459,Inventory!$A:$A,Inventory!$C:$C),Motor!$A:$A,Motor!$C:$C)+_xludf.XLOOKUP(_xludf.XLOOKUP(B459,Inventory!$A:$A,Inventory!$D:$D),Frame!$A:$A,Frame!$C:$C)+#REF!,""))</f>
        <v/>
      </c>
      <c r="E459" s="4">
        <v>44427</v>
      </c>
      <c r="F459" s="1" t="s">
        <v>63</v>
      </c>
    </row>
    <row r="460" spans="1:6" x14ac:dyDescent="0.25">
      <c r="A460" s="1" t="s">
        <v>930</v>
      </c>
      <c r="B460" s="1" t="s">
        <v>931</v>
      </c>
      <c r="C460" s="3">
        <v>200</v>
      </c>
      <c r="D460" s="3" t="str">
        <f ca="1">IF(B460="","",IFERROR(_xludf.XLOOKUP(_xludf.XLOOKUP(B460,Inventory!$A:$A,Inventory!$B:$B),Blades!$A:$A,Blades!$C:$C)+_xludf.XLOOKUP(_xludf.XLOOKUP(B460,Inventory!$A:$A,Inventory!$C:$C),Motor!$A:$A,Motor!$C:$C)+_xludf.XLOOKUP(_xludf.XLOOKUP(B460,Inventory!$A:$A,Inventory!$D:$D),Frame!$A:$A,Frame!$C:$C)+#REF!,""))</f>
        <v/>
      </c>
      <c r="E460" s="4">
        <v>44427</v>
      </c>
      <c r="F460" s="1" t="s">
        <v>11</v>
      </c>
    </row>
    <row r="461" spans="1:6" x14ac:dyDescent="0.25">
      <c r="A461" s="1" t="s">
        <v>932</v>
      </c>
      <c r="B461" s="1" t="s">
        <v>933</v>
      </c>
      <c r="C461" s="3">
        <v>200</v>
      </c>
      <c r="D461" s="3" t="str">
        <f ca="1">IF(B461="","",IFERROR(_xludf.XLOOKUP(_xludf.XLOOKUP(B461,Inventory!$A:$A,Inventory!$B:$B),Blades!$A:$A,Blades!$C:$C)+_xludf.XLOOKUP(_xludf.XLOOKUP(B461,Inventory!$A:$A,Inventory!$C:$C),Motor!$A:$A,Motor!$C:$C)+_xludf.XLOOKUP(_xludf.XLOOKUP(B461,Inventory!$A:$A,Inventory!$D:$D),Frame!$A:$A,Frame!$C:$C)+#REF!,""))</f>
        <v/>
      </c>
      <c r="E461" s="4">
        <v>44427</v>
      </c>
      <c r="F461" s="1" t="s">
        <v>20</v>
      </c>
    </row>
    <row r="462" spans="1:6" x14ac:dyDescent="0.25">
      <c r="A462" s="1" t="s">
        <v>934</v>
      </c>
      <c r="B462" s="1" t="s">
        <v>935</v>
      </c>
      <c r="C462" s="3">
        <v>200</v>
      </c>
      <c r="D462" s="3" t="str">
        <f ca="1">IF(B462="","",IFERROR(_xludf.XLOOKUP(_xludf.XLOOKUP(B462,Inventory!$A:$A,Inventory!$B:$B),Blades!$A:$A,Blades!$C:$C)+_xludf.XLOOKUP(_xludf.XLOOKUP(B462,Inventory!$A:$A,Inventory!$C:$C),Motor!$A:$A,Motor!$C:$C)+_xludf.XLOOKUP(_xludf.XLOOKUP(B462,Inventory!$A:$A,Inventory!$D:$D),Frame!$A:$A,Frame!$C:$C)+#REF!,""))</f>
        <v/>
      </c>
      <c r="E462" s="4">
        <v>44427</v>
      </c>
      <c r="F462" s="1" t="s">
        <v>49</v>
      </c>
    </row>
    <row r="463" spans="1:6" x14ac:dyDescent="0.25">
      <c r="A463" s="1" t="s">
        <v>936</v>
      </c>
      <c r="B463" s="1" t="s">
        <v>937</v>
      </c>
      <c r="C463" s="3">
        <v>200</v>
      </c>
      <c r="D463" s="3" t="str">
        <f ca="1">IF(B463="","",IFERROR(_xludf.XLOOKUP(_xludf.XLOOKUP(B463,Inventory!$A:$A,Inventory!$B:$B),Blades!$A:$A,Blades!$C:$C)+_xludf.XLOOKUP(_xludf.XLOOKUP(B463,Inventory!$A:$A,Inventory!$C:$C),Motor!$A:$A,Motor!$C:$C)+_xludf.XLOOKUP(_xludf.XLOOKUP(B463,Inventory!$A:$A,Inventory!$D:$D),Frame!$A:$A,Frame!$C:$C)+#REF!,""))</f>
        <v/>
      </c>
      <c r="E463" s="4">
        <v>44428</v>
      </c>
      <c r="F463" s="1" t="s">
        <v>11</v>
      </c>
    </row>
    <row r="464" spans="1:6" x14ac:dyDescent="0.25">
      <c r="A464" s="1" t="s">
        <v>938</v>
      </c>
      <c r="B464" s="1" t="s">
        <v>939</v>
      </c>
      <c r="C464" s="3">
        <v>200</v>
      </c>
      <c r="D464" s="3" t="str">
        <f ca="1">IF(B464="","",IFERROR(_xludf.XLOOKUP(_xludf.XLOOKUP(B464,Inventory!$A:$A,Inventory!$B:$B),Blades!$A:$A,Blades!$C:$C)+_xludf.XLOOKUP(_xludf.XLOOKUP(B464,Inventory!$A:$A,Inventory!$C:$C),Motor!$A:$A,Motor!$C:$C)+_xludf.XLOOKUP(_xludf.XLOOKUP(B464,Inventory!$A:$A,Inventory!$D:$D),Frame!$A:$A,Frame!$C:$C)+#REF!,""))</f>
        <v/>
      </c>
      <c r="E464" s="4">
        <v>44432</v>
      </c>
      <c r="F464" s="1" t="s">
        <v>52</v>
      </c>
    </row>
    <row r="465" spans="1:6" x14ac:dyDescent="0.25">
      <c r="A465" s="1" t="s">
        <v>940</v>
      </c>
      <c r="B465" s="1" t="s">
        <v>941</v>
      </c>
      <c r="C465" s="3">
        <v>200</v>
      </c>
      <c r="D465" s="3" t="str">
        <f ca="1">IF(B465="","",IFERROR(_xludf.XLOOKUP(_xludf.XLOOKUP(B465,Inventory!$A:$A,Inventory!$B:$B),Blades!$A:$A,Blades!$C:$C)+_xludf.XLOOKUP(_xludf.XLOOKUP(B465,Inventory!$A:$A,Inventory!$C:$C),Motor!$A:$A,Motor!$C:$C)+_xludf.XLOOKUP(_xludf.XLOOKUP(B465,Inventory!$A:$A,Inventory!$D:$D),Frame!$A:$A,Frame!$C:$C)+#REF!,""))</f>
        <v/>
      </c>
      <c r="E465" s="4">
        <v>44432</v>
      </c>
      <c r="F465" s="1" t="s">
        <v>32</v>
      </c>
    </row>
    <row r="466" spans="1:6" x14ac:dyDescent="0.25">
      <c r="A466" s="1" t="s">
        <v>942</v>
      </c>
      <c r="B466" s="1" t="s">
        <v>943</v>
      </c>
      <c r="C466" s="3">
        <v>200</v>
      </c>
      <c r="D466" s="3" t="str">
        <f ca="1">IF(B466="","",IFERROR(_xludf.XLOOKUP(_xludf.XLOOKUP(B466,Inventory!$A:$A,Inventory!$B:$B),Blades!$A:$A,Blades!$C:$C)+_xludf.XLOOKUP(_xludf.XLOOKUP(B466,Inventory!$A:$A,Inventory!$C:$C),Motor!$A:$A,Motor!$C:$C)+_xludf.XLOOKUP(_xludf.XLOOKUP(B466,Inventory!$A:$A,Inventory!$D:$D),Frame!$A:$A,Frame!$C:$C)+#REF!,""))</f>
        <v/>
      </c>
      <c r="E466" s="4">
        <v>44433</v>
      </c>
      <c r="F466" s="1" t="s">
        <v>32</v>
      </c>
    </row>
    <row r="467" spans="1:6" x14ac:dyDescent="0.25">
      <c r="A467" s="1" t="s">
        <v>944</v>
      </c>
      <c r="B467" s="1" t="s">
        <v>945</v>
      </c>
      <c r="C467" s="3">
        <v>200</v>
      </c>
      <c r="D467" s="3" t="str">
        <f ca="1">IF(B467="","",IFERROR(_xludf.XLOOKUP(_xludf.XLOOKUP(B467,Inventory!$A:$A,Inventory!$B:$B),Blades!$A:$A,Blades!$C:$C)+_xludf.XLOOKUP(_xludf.XLOOKUP(B467,Inventory!$A:$A,Inventory!$C:$C),Motor!$A:$A,Motor!$C:$C)+_xludf.XLOOKUP(_xludf.XLOOKUP(B467,Inventory!$A:$A,Inventory!$D:$D),Frame!$A:$A,Frame!$C:$C)+#REF!,""))</f>
        <v/>
      </c>
      <c r="E467" s="4">
        <v>44433</v>
      </c>
      <c r="F467" s="1" t="s">
        <v>11</v>
      </c>
    </row>
    <row r="468" spans="1:6" x14ac:dyDescent="0.25">
      <c r="A468" s="1" t="s">
        <v>946</v>
      </c>
      <c r="B468" s="1" t="s">
        <v>947</v>
      </c>
      <c r="C468" s="3">
        <v>200</v>
      </c>
      <c r="D468" s="3" t="str">
        <f ca="1">IF(B468="","",IFERROR(_xludf.XLOOKUP(_xludf.XLOOKUP(B468,Inventory!$A:$A,Inventory!$B:$B),Blades!$A:$A,Blades!$C:$C)+_xludf.XLOOKUP(_xludf.XLOOKUP(B468,Inventory!$A:$A,Inventory!$C:$C),Motor!$A:$A,Motor!$C:$C)+_xludf.XLOOKUP(_xludf.XLOOKUP(B468,Inventory!$A:$A,Inventory!$D:$D),Frame!$A:$A,Frame!$C:$C)+#REF!,""))</f>
        <v/>
      </c>
      <c r="E468" s="4">
        <v>44433</v>
      </c>
      <c r="F468" s="1" t="s">
        <v>8</v>
      </c>
    </row>
    <row r="469" spans="1:6" x14ac:dyDescent="0.25">
      <c r="A469" s="1" t="s">
        <v>948</v>
      </c>
      <c r="B469" s="1" t="s">
        <v>949</v>
      </c>
      <c r="C469" s="3">
        <v>200</v>
      </c>
      <c r="D469" s="3" t="str">
        <f ca="1">IF(B469="","",IFERROR(_xludf.XLOOKUP(_xludf.XLOOKUP(B469,Inventory!$A:$A,Inventory!$B:$B),Blades!$A:$A,Blades!$C:$C)+_xludf.XLOOKUP(_xludf.XLOOKUP(B469,Inventory!$A:$A,Inventory!$C:$C),Motor!$A:$A,Motor!$C:$C)+_xludf.XLOOKUP(_xludf.XLOOKUP(B469,Inventory!$A:$A,Inventory!$D:$D),Frame!$A:$A,Frame!$C:$C)+#REF!,""))</f>
        <v/>
      </c>
      <c r="E469" s="4">
        <v>44434</v>
      </c>
      <c r="F469" s="1" t="s">
        <v>63</v>
      </c>
    </row>
    <row r="470" spans="1:6" x14ac:dyDescent="0.25">
      <c r="A470" s="1" t="s">
        <v>950</v>
      </c>
      <c r="B470" s="1" t="s">
        <v>951</v>
      </c>
      <c r="C470" s="3">
        <v>200</v>
      </c>
      <c r="D470" s="3" t="str">
        <f ca="1">IF(B470="","",IFERROR(_xludf.XLOOKUP(_xludf.XLOOKUP(B470,Inventory!$A:$A,Inventory!$B:$B),Blades!$A:$A,Blades!$C:$C)+_xludf.XLOOKUP(_xludf.XLOOKUP(B470,Inventory!$A:$A,Inventory!$C:$C),Motor!$A:$A,Motor!$C:$C)+_xludf.XLOOKUP(_xludf.XLOOKUP(B470,Inventory!$A:$A,Inventory!$D:$D),Frame!$A:$A,Frame!$C:$C)+#REF!,""))</f>
        <v/>
      </c>
      <c r="E470" s="4">
        <v>44437</v>
      </c>
      <c r="F470" s="1" t="s">
        <v>20</v>
      </c>
    </row>
    <row r="471" spans="1:6" x14ac:dyDescent="0.25">
      <c r="A471" s="1" t="s">
        <v>952</v>
      </c>
      <c r="B471" s="1" t="s">
        <v>953</v>
      </c>
      <c r="C471" s="3">
        <v>200</v>
      </c>
      <c r="D471" s="3" t="str">
        <f ca="1">IF(B471="","",IFERROR(_xludf.XLOOKUP(_xludf.XLOOKUP(B471,Inventory!$A:$A,Inventory!$B:$B),Blades!$A:$A,Blades!$C:$C)+_xludf.XLOOKUP(_xludf.XLOOKUP(B471,Inventory!$A:$A,Inventory!$C:$C),Motor!$A:$A,Motor!$C:$C)+_xludf.XLOOKUP(_xludf.XLOOKUP(B471,Inventory!$A:$A,Inventory!$D:$D),Frame!$A:$A,Frame!$C:$C)+#REF!,""))</f>
        <v/>
      </c>
      <c r="E471" s="4">
        <v>44437</v>
      </c>
      <c r="F471" s="1" t="s">
        <v>32</v>
      </c>
    </row>
    <row r="472" spans="1:6" x14ac:dyDescent="0.25">
      <c r="A472" s="1" t="s">
        <v>954</v>
      </c>
      <c r="B472" s="1" t="s">
        <v>955</v>
      </c>
      <c r="C472" s="3">
        <v>200</v>
      </c>
      <c r="D472" s="3" t="str">
        <f ca="1">IF(B472="","",IFERROR(_xludf.XLOOKUP(_xludf.XLOOKUP(B472,Inventory!$A:$A,Inventory!$B:$B),Blades!$A:$A,Blades!$C:$C)+_xludf.XLOOKUP(_xludf.XLOOKUP(B472,Inventory!$A:$A,Inventory!$C:$C),Motor!$A:$A,Motor!$C:$C)+_xludf.XLOOKUP(_xludf.XLOOKUP(B472,Inventory!$A:$A,Inventory!$D:$D),Frame!$A:$A,Frame!$C:$C)+#REF!,""))</f>
        <v/>
      </c>
      <c r="E472" s="4">
        <v>44437</v>
      </c>
      <c r="F472" s="1" t="s">
        <v>8</v>
      </c>
    </row>
    <row r="473" spans="1:6" x14ac:dyDescent="0.25">
      <c r="A473" s="1" t="s">
        <v>956</v>
      </c>
      <c r="B473" s="1" t="s">
        <v>957</v>
      </c>
      <c r="C473" s="3">
        <v>200</v>
      </c>
      <c r="D473" s="3" t="str">
        <f ca="1">IF(B473="","",IFERROR(_xludf.XLOOKUP(_xludf.XLOOKUP(B473,Inventory!$A:$A,Inventory!$B:$B),Blades!$A:$A,Blades!$C:$C)+_xludf.XLOOKUP(_xludf.XLOOKUP(B473,Inventory!$A:$A,Inventory!$C:$C),Motor!$A:$A,Motor!$C:$C)+_xludf.XLOOKUP(_xludf.XLOOKUP(B473,Inventory!$A:$A,Inventory!$D:$D),Frame!$A:$A,Frame!$C:$C)+#REF!,""))</f>
        <v/>
      </c>
      <c r="E473" s="4">
        <v>44438</v>
      </c>
      <c r="F473" s="1" t="s">
        <v>63</v>
      </c>
    </row>
    <row r="474" spans="1:6" x14ac:dyDescent="0.25">
      <c r="A474" s="1" t="s">
        <v>958</v>
      </c>
      <c r="B474" s="1" t="s">
        <v>959</v>
      </c>
      <c r="C474" s="3">
        <v>200</v>
      </c>
      <c r="D474" s="3" t="str">
        <f ca="1">IF(B474="","",IFERROR(_xludf.XLOOKUP(_xludf.XLOOKUP(B474,Inventory!$A:$A,Inventory!$B:$B),Blades!$A:$A,Blades!$C:$C)+_xludf.XLOOKUP(_xludf.XLOOKUP(B474,Inventory!$A:$A,Inventory!$C:$C),Motor!$A:$A,Motor!$C:$C)+_xludf.XLOOKUP(_xludf.XLOOKUP(B474,Inventory!$A:$A,Inventory!$D:$D),Frame!$A:$A,Frame!$C:$C)+#REF!,""))</f>
        <v/>
      </c>
      <c r="E474" s="4">
        <v>44440</v>
      </c>
      <c r="F474" s="1" t="s">
        <v>52</v>
      </c>
    </row>
    <row r="475" spans="1:6" x14ac:dyDescent="0.25">
      <c r="A475" s="1" t="s">
        <v>960</v>
      </c>
      <c r="B475" s="1" t="s">
        <v>961</v>
      </c>
      <c r="C475" s="3">
        <v>200</v>
      </c>
      <c r="D475" s="3" t="str">
        <f ca="1">IF(B475="","",IFERROR(_xludf.XLOOKUP(_xludf.XLOOKUP(B475,Inventory!$A:$A,Inventory!$B:$B),Blades!$A:$A,Blades!$C:$C)+_xludf.XLOOKUP(_xludf.XLOOKUP(B475,Inventory!$A:$A,Inventory!$C:$C),Motor!$A:$A,Motor!$C:$C)+_xludf.XLOOKUP(_xludf.XLOOKUP(B475,Inventory!$A:$A,Inventory!$D:$D),Frame!$A:$A,Frame!$C:$C)+#REF!,""))</f>
        <v/>
      </c>
      <c r="E475" s="4">
        <v>44443</v>
      </c>
      <c r="F475" s="1" t="s">
        <v>49</v>
      </c>
    </row>
    <row r="476" spans="1:6" x14ac:dyDescent="0.25">
      <c r="A476" s="1" t="s">
        <v>962</v>
      </c>
      <c r="B476" s="1" t="s">
        <v>963</v>
      </c>
      <c r="C476" s="3">
        <v>200</v>
      </c>
      <c r="D476" s="3" t="str">
        <f ca="1">IF(B476="","",IFERROR(_xludf.XLOOKUP(_xludf.XLOOKUP(B476,Inventory!$A:$A,Inventory!$B:$B),Blades!$A:$A,Blades!$C:$C)+_xludf.XLOOKUP(_xludf.XLOOKUP(B476,Inventory!$A:$A,Inventory!$C:$C),Motor!$A:$A,Motor!$C:$C)+_xludf.XLOOKUP(_xludf.XLOOKUP(B476,Inventory!$A:$A,Inventory!$D:$D),Frame!$A:$A,Frame!$C:$C)+#REF!,""))</f>
        <v/>
      </c>
      <c r="E476" s="4">
        <v>44445</v>
      </c>
      <c r="F476" s="1" t="s">
        <v>32</v>
      </c>
    </row>
    <row r="477" spans="1:6" x14ac:dyDescent="0.25">
      <c r="A477" s="1" t="s">
        <v>964</v>
      </c>
      <c r="B477" s="1" t="s">
        <v>965</v>
      </c>
      <c r="C477" s="3">
        <v>200</v>
      </c>
      <c r="D477" s="3" t="str">
        <f ca="1">IF(B477="","",IFERROR(_xludf.XLOOKUP(_xludf.XLOOKUP(B477,Inventory!$A:$A,Inventory!$B:$B),Blades!$A:$A,Blades!$C:$C)+_xludf.XLOOKUP(_xludf.XLOOKUP(B477,Inventory!$A:$A,Inventory!$C:$C),Motor!$A:$A,Motor!$C:$C)+_xludf.XLOOKUP(_xludf.XLOOKUP(B477,Inventory!$A:$A,Inventory!$D:$D),Frame!$A:$A,Frame!$C:$C)+#REF!,""))</f>
        <v/>
      </c>
      <c r="E477" s="4">
        <v>44446</v>
      </c>
      <c r="F477" s="1" t="s">
        <v>8</v>
      </c>
    </row>
    <row r="478" spans="1:6" x14ac:dyDescent="0.25">
      <c r="A478" s="1" t="s">
        <v>966</v>
      </c>
      <c r="B478" s="1" t="s">
        <v>967</v>
      </c>
      <c r="C478" s="3">
        <v>200</v>
      </c>
      <c r="D478" s="3" t="str">
        <f ca="1">IF(B478="","",IFERROR(_xludf.XLOOKUP(_xludf.XLOOKUP(B478,Inventory!$A:$A,Inventory!$B:$B),Blades!$A:$A,Blades!$C:$C)+_xludf.XLOOKUP(_xludf.XLOOKUP(B478,Inventory!$A:$A,Inventory!$C:$C),Motor!$A:$A,Motor!$C:$C)+_xludf.XLOOKUP(_xludf.XLOOKUP(B478,Inventory!$A:$A,Inventory!$D:$D),Frame!$A:$A,Frame!$C:$C)+#REF!,""))</f>
        <v/>
      </c>
      <c r="E478" s="4">
        <v>44449</v>
      </c>
      <c r="F478" s="1" t="s">
        <v>11</v>
      </c>
    </row>
    <row r="479" spans="1:6" x14ac:dyDescent="0.25">
      <c r="A479" s="1" t="s">
        <v>968</v>
      </c>
      <c r="B479" s="1" t="s">
        <v>969</v>
      </c>
      <c r="C479" s="3">
        <v>200</v>
      </c>
      <c r="D479" s="3" t="str">
        <f ca="1">IF(B479="","",IFERROR(_xludf.XLOOKUP(_xludf.XLOOKUP(B479,Inventory!$A:$A,Inventory!$B:$B),Blades!$A:$A,Blades!$C:$C)+_xludf.XLOOKUP(_xludf.XLOOKUP(B479,Inventory!$A:$A,Inventory!$C:$C),Motor!$A:$A,Motor!$C:$C)+_xludf.XLOOKUP(_xludf.XLOOKUP(B479,Inventory!$A:$A,Inventory!$D:$D),Frame!$A:$A,Frame!$C:$C)+#REF!,""))</f>
        <v/>
      </c>
      <c r="E479" s="4">
        <v>44451</v>
      </c>
      <c r="F479" s="1" t="s">
        <v>8</v>
      </c>
    </row>
    <row r="480" spans="1:6" x14ac:dyDescent="0.25">
      <c r="A480" s="1" t="s">
        <v>970</v>
      </c>
      <c r="B480" s="1" t="s">
        <v>971</v>
      </c>
      <c r="C480" s="3">
        <v>200</v>
      </c>
      <c r="D480" s="3" t="str">
        <f ca="1">IF(B480="","",IFERROR(_xludf.XLOOKUP(_xludf.XLOOKUP(B480,Inventory!$A:$A,Inventory!$B:$B),Blades!$A:$A,Blades!$C:$C)+_xludf.XLOOKUP(_xludf.XLOOKUP(B480,Inventory!$A:$A,Inventory!$C:$C),Motor!$A:$A,Motor!$C:$C)+_xludf.XLOOKUP(_xludf.XLOOKUP(B480,Inventory!$A:$A,Inventory!$D:$D),Frame!$A:$A,Frame!$C:$C)+#REF!,""))</f>
        <v/>
      </c>
      <c r="E480" s="4">
        <v>44453</v>
      </c>
      <c r="F480" s="1" t="s">
        <v>32</v>
      </c>
    </row>
    <row r="481" spans="1:6" x14ac:dyDescent="0.25">
      <c r="A481" s="1" t="s">
        <v>972</v>
      </c>
      <c r="B481" s="1" t="s">
        <v>973</v>
      </c>
      <c r="C481" s="3">
        <v>200</v>
      </c>
      <c r="D481" s="3" t="str">
        <f ca="1">IF(B481="","",IFERROR(_xludf.XLOOKUP(_xludf.XLOOKUP(B481,Inventory!$A:$A,Inventory!$B:$B),Blades!$A:$A,Blades!$C:$C)+_xludf.XLOOKUP(_xludf.XLOOKUP(B481,Inventory!$A:$A,Inventory!$C:$C),Motor!$A:$A,Motor!$C:$C)+_xludf.XLOOKUP(_xludf.XLOOKUP(B481,Inventory!$A:$A,Inventory!$D:$D),Frame!$A:$A,Frame!$C:$C)+#REF!,""))</f>
        <v/>
      </c>
      <c r="E481" s="4">
        <v>44453</v>
      </c>
      <c r="F481" s="1" t="s">
        <v>8</v>
      </c>
    </row>
    <row r="482" spans="1:6" x14ac:dyDescent="0.25">
      <c r="A482" s="1" t="s">
        <v>974</v>
      </c>
      <c r="B482" s="1" t="s">
        <v>975</v>
      </c>
      <c r="C482" s="3">
        <v>200</v>
      </c>
      <c r="D482" s="3" t="str">
        <f ca="1">IF(B482="","",IFERROR(_xludf.XLOOKUP(_xludf.XLOOKUP(B482,Inventory!$A:$A,Inventory!$B:$B),Blades!$A:$A,Blades!$C:$C)+_xludf.XLOOKUP(_xludf.XLOOKUP(B482,Inventory!$A:$A,Inventory!$C:$C),Motor!$A:$A,Motor!$C:$C)+_xludf.XLOOKUP(_xludf.XLOOKUP(B482,Inventory!$A:$A,Inventory!$D:$D),Frame!$A:$A,Frame!$C:$C)+#REF!,""))</f>
        <v/>
      </c>
      <c r="E482" s="4">
        <v>44454</v>
      </c>
      <c r="F482" s="1" t="s">
        <v>20</v>
      </c>
    </row>
    <row r="483" spans="1:6" x14ac:dyDescent="0.25">
      <c r="A483" s="1" t="s">
        <v>976</v>
      </c>
      <c r="B483" s="1" t="s">
        <v>977</v>
      </c>
      <c r="C483" s="3">
        <v>200</v>
      </c>
      <c r="D483" s="3" t="str">
        <f ca="1">IF(B483="","",IFERROR(_xludf.XLOOKUP(_xludf.XLOOKUP(B483,Inventory!$A:$A,Inventory!$B:$B),Blades!$A:$A,Blades!$C:$C)+_xludf.XLOOKUP(_xludf.XLOOKUP(B483,Inventory!$A:$A,Inventory!$C:$C),Motor!$A:$A,Motor!$C:$C)+_xludf.XLOOKUP(_xludf.XLOOKUP(B483,Inventory!$A:$A,Inventory!$D:$D),Frame!$A:$A,Frame!$C:$C)+#REF!,""))</f>
        <v/>
      </c>
      <c r="E483" s="4">
        <v>44454</v>
      </c>
      <c r="F483" s="1" t="s">
        <v>11</v>
      </c>
    </row>
    <row r="484" spans="1:6" x14ac:dyDescent="0.25">
      <c r="A484" s="1" t="s">
        <v>978</v>
      </c>
      <c r="B484" s="1" t="s">
        <v>979</v>
      </c>
      <c r="C484" s="3">
        <v>200</v>
      </c>
      <c r="D484" s="3" t="str">
        <f ca="1">IF(B484="","",IFERROR(_xludf.XLOOKUP(_xludf.XLOOKUP(B484,Inventory!$A:$A,Inventory!$B:$B),Blades!$A:$A,Blades!$C:$C)+_xludf.XLOOKUP(_xludf.XLOOKUP(B484,Inventory!$A:$A,Inventory!$C:$C),Motor!$A:$A,Motor!$C:$C)+_xludf.XLOOKUP(_xludf.XLOOKUP(B484,Inventory!$A:$A,Inventory!$D:$D),Frame!$A:$A,Frame!$C:$C)+#REF!,""))</f>
        <v/>
      </c>
      <c r="E484" s="4">
        <v>44455</v>
      </c>
      <c r="F484" s="1" t="s">
        <v>32</v>
      </c>
    </row>
    <row r="485" spans="1:6" x14ac:dyDescent="0.25">
      <c r="A485" s="1" t="s">
        <v>980</v>
      </c>
      <c r="B485" s="1" t="s">
        <v>981</v>
      </c>
      <c r="C485" s="3">
        <v>200</v>
      </c>
      <c r="D485" s="3" t="str">
        <f ca="1">IF(B485="","",IFERROR(_xludf.XLOOKUP(_xludf.XLOOKUP(B485,Inventory!$A:$A,Inventory!$B:$B),Blades!$A:$A,Blades!$C:$C)+_xludf.XLOOKUP(_xludf.XLOOKUP(B485,Inventory!$A:$A,Inventory!$C:$C),Motor!$A:$A,Motor!$C:$C)+_xludf.XLOOKUP(_xludf.XLOOKUP(B485,Inventory!$A:$A,Inventory!$D:$D),Frame!$A:$A,Frame!$C:$C)+#REF!,""))</f>
        <v/>
      </c>
      <c r="E485" s="4">
        <v>44456</v>
      </c>
      <c r="F485" s="1" t="s">
        <v>20</v>
      </c>
    </row>
    <row r="486" spans="1:6" x14ac:dyDescent="0.25">
      <c r="A486" s="1" t="s">
        <v>982</v>
      </c>
      <c r="B486" s="1" t="s">
        <v>983</v>
      </c>
      <c r="C486" s="3">
        <v>200</v>
      </c>
      <c r="D486" s="3" t="str">
        <f ca="1">IF(B486="","",IFERROR(_xludf.XLOOKUP(_xludf.XLOOKUP(B486,Inventory!$A:$A,Inventory!$B:$B),Blades!$A:$A,Blades!$C:$C)+_xludf.XLOOKUP(_xludf.XLOOKUP(B486,Inventory!$A:$A,Inventory!$C:$C),Motor!$A:$A,Motor!$C:$C)+_xludf.XLOOKUP(_xludf.XLOOKUP(B486,Inventory!$A:$A,Inventory!$D:$D),Frame!$A:$A,Frame!$C:$C)+#REF!,""))</f>
        <v/>
      </c>
      <c r="E486" s="4">
        <v>44456</v>
      </c>
      <c r="F486" s="1" t="s">
        <v>11</v>
      </c>
    </row>
    <row r="487" spans="1:6" x14ac:dyDescent="0.25">
      <c r="A487" s="1" t="s">
        <v>984</v>
      </c>
      <c r="B487" s="1" t="s">
        <v>985</v>
      </c>
      <c r="C487" s="3">
        <v>200</v>
      </c>
      <c r="D487" s="3" t="str">
        <f ca="1">IF(B487="","",IFERROR(_xludf.XLOOKUP(_xludf.XLOOKUP(B487,Inventory!$A:$A,Inventory!$B:$B),Blades!$A:$A,Blades!$C:$C)+_xludf.XLOOKUP(_xludf.XLOOKUP(B487,Inventory!$A:$A,Inventory!$C:$C),Motor!$A:$A,Motor!$C:$C)+_xludf.XLOOKUP(_xludf.XLOOKUP(B487,Inventory!$A:$A,Inventory!$D:$D),Frame!$A:$A,Frame!$C:$C)+#REF!,""))</f>
        <v/>
      </c>
      <c r="E487" s="4">
        <v>44456</v>
      </c>
      <c r="F487" s="1" t="s">
        <v>52</v>
      </c>
    </row>
    <row r="488" spans="1:6" x14ac:dyDescent="0.25">
      <c r="A488" s="1" t="s">
        <v>986</v>
      </c>
      <c r="B488" s="1" t="s">
        <v>987</v>
      </c>
      <c r="C488" s="3">
        <v>200</v>
      </c>
      <c r="D488" s="3" t="str">
        <f ca="1">IF(B488="","",IFERROR(_xludf.XLOOKUP(_xludf.XLOOKUP(B488,Inventory!$A:$A,Inventory!$B:$B),Blades!$A:$A,Blades!$C:$C)+_xludf.XLOOKUP(_xludf.XLOOKUP(B488,Inventory!$A:$A,Inventory!$C:$C),Motor!$A:$A,Motor!$C:$C)+_xludf.XLOOKUP(_xludf.XLOOKUP(B488,Inventory!$A:$A,Inventory!$D:$D),Frame!$A:$A,Frame!$C:$C)+#REF!,""))</f>
        <v/>
      </c>
      <c r="E488" s="4">
        <v>44457</v>
      </c>
      <c r="F488" s="1" t="s">
        <v>32</v>
      </c>
    </row>
    <row r="489" spans="1:6" x14ac:dyDescent="0.25">
      <c r="A489" s="1" t="s">
        <v>988</v>
      </c>
      <c r="B489" s="1" t="s">
        <v>989</v>
      </c>
      <c r="C489" s="3">
        <v>200</v>
      </c>
      <c r="D489" s="3" t="str">
        <f ca="1">IF(B489="","",IFERROR(_xludf.XLOOKUP(_xludf.XLOOKUP(B489,Inventory!$A:$A,Inventory!$B:$B),Blades!$A:$A,Blades!$C:$C)+_xludf.XLOOKUP(_xludf.XLOOKUP(B489,Inventory!$A:$A,Inventory!$C:$C),Motor!$A:$A,Motor!$C:$C)+_xludf.XLOOKUP(_xludf.XLOOKUP(B489,Inventory!$A:$A,Inventory!$D:$D),Frame!$A:$A,Frame!$C:$C)+#REF!,""))</f>
        <v/>
      </c>
      <c r="E489" s="4">
        <v>44458</v>
      </c>
      <c r="F489" s="1" t="s">
        <v>20</v>
      </c>
    </row>
    <row r="490" spans="1:6" x14ac:dyDescent="0.25">
      <c r="A490" s="1" t="s">
        <v>990</v>
      </c>
      <c r="B490" s="1" t="s">
        <v>991</v>
      </c>
      <c r="C490" s="3">
        <v>200</v>
      </c>
      <c r="D490" s="3" t="str">
        <f ca="1">IF(B490="","",IFERROR(_xludf.XLOOKUP(_xludf.XLOOKUP(B490,Inventory!$A:$A,Inventory!$B:$B),Blades!$A:$A,Blades!$C:$C)+_xludf.XLOOKUP(_xludf.XLOOKUP(B490,Inventory!$A:$A,Inventory!$C:$C),Motor!$A:$A,Motor!$C:$C)+_xludf.XLOOKUP(_xludf.XLOOKUP(B490,Inventory!$A:$A,Inventory!$D:$D),Frame!$A:$A,Frame!$C:$C)+#REF!,""))</f>
        <v/>
      </c>
      <c r="E490" s="4">
        <v>44458</v>
      </c>
      <c r="F490" s="1" t="s">
        <v>32</v>
      </c>
    </row>
    <row r="491" spans="1:6" x14ac:dyDescent="0.25">
      <c r="A491" s="1" t="s">
        <v>992</v>
      </c>
      <c r="B491" s="1" t="s">
        <v>993</v>
      </c>
      <c r="C491" s="3">
        <v>200</v>
      </c>
      <c r="D491" s="3" t="str">
        <f ca="1">IF(B491="","",IFERROR(_xludf.XLOOKUP(_xludf.XLOOKUP(B491,Inventory!$A:$A,Inventory!$B:$B),Blades!$A:$A,Blades!$C:$C)+_xludf.XLOOKUP(_xludf.XLOOKUP(B491,Inventory!$A:$A,Inventory!$C:$C),Motor!$A:$A,Motor!$C:$C)+_xludf.XLOOKUP(_xludf.XLOOKUP(B491,Inventory!$A:$A,Inventory!$D:$D),Frame!$A:$A,Frame!$C:$C)+#REF!,""))</f>
        <v/>
      </c>
      <c r="E491" s="4">
        <v>44459</v>
      </c>
      <c r="F491" s="1" t="s">
        <v>8</v>
      </c>
    </row>
    <row r="492" spans="1:6" x14ac:dyDescent="0.25">
      <c r="A492" s="1" t="s">
        <v>994</v>
      </c>
      <c r="B492" s="1" t="s">
        <v>995</v>
      </c>
      <c r="C492" s="3">
        <v>200</v>
      </c>
      <c r="D492" s="3" t="str">
        <f ca="1">IF(B492="","",IFERROR(_xludf.XLOOKUP(_xludf.XLOOKUP(B492,Inventory!$A:$A,Inventory!$B:$B),Blades!$A:$A,Blades!$C:$C)+_xludf.XLOOKUP(_xludf.XLOOKUP(B492,Inventory!$A:$A,Inventory!$C:$C),Motor!$A:$A,Motor!$C:$C)+_xludf.XLOOKUP(_xludf.XLOOKUP(B492,Inventory!$A:$A,Inventory!$D:$D),Frame!$A:$A,Frame!$C:$C)+#REF!,""))</f>
        <v/>
      </c>
      <c r="E492" s="4">
        <v>44461</v>
      </c>
      <c r="F492" s="1" t="s">
        <v>8</v>
      </c>
    </row>
    <row r="493" spans="1:6" x14ac:dyDescent="0.25">
      <c r="A493" s="1" t="s">
        <v>996</v>
      </c>
      <c r="B493" s="1" t="s">
        <v>997</v>
      </c>
      <c r="C493" s="3">
        <v>200</v>
      </c>
      <c r="D493" s="3" t="str">
        <f ca="1">IF(B493="","",IFERROR(_xludf.XLOOKUP(_xludf.XLOOKUP(B493,Inventory!$A:$A,Inventory!$B:$B),Blades!$A:$A,Blades!$C:$C)+_xludf.XLOOKUP(_xludf.XLOOKUP(B493,Inventory!$A:$A,Inventory!$C:$C),Motor!$A:$A,Motor!$C:$C)+_xludf.XLOOKUP(_xludf.XLOOKUP(B493,Inventory!$A:$A,Inventory!$D:$D),Frame!$A:$A,Frame!$C:$C)+#REF!,""))</f>
        <v/>
      </c>
      <c r="E493" s="4">
        <v>44464</v>
      </c>
      <c r="F493" s="1" t="s">
        <v>11</v>
      </c>
    </row>
    <row r="494" spans="1:6" x14ac:dyDescent="0.25">
      <c r="A494" s="1" t="s">
        <v>998</v>
      </c>
      <c r="B494" s="1" t="s">
        <v>999</v>
      </c>
      <c r="C494" s="3">
        <v>200</v>
      </c>
      <c r="D494" s="3" t="str">
        <f ca="1">IF(B494="","",IFERROR(_xludf.XLOOKUP(_xludf.XLOOKUP(B494,Inventory!$A:$A,Inventory!$B:$B),Blades!$A:$A,Blades!$C:$C)+_xludf.XLOOKUP(_xludf.XLOOKUP(B494,Inventory!$A:$A,Inventory!$C:$C),Motor!$A:$A,Motor!$C:$C)+_xludf.XLOOKUP(_xludf.XLOOKUP(B494,Inventory!$A:$A,Inventory!$D:$D),Frame!$A:$A,Frame!$C:$C)+#REF!,""))</f>
        <v/>
      </c>
      <c r="E494" s="4">
        <v>44465</v>
      </c>
      <c r="F494" s="1" t="s">
        <v>32</v>
      </c>
    </row>
    <row r="495" spans="1:6" x14ac:dyDescent="0.25">
      <c r="A495" s="1" t="s">
        <v>1000</v>
      </c>
      <c r="B495" s="1" t="s">
        <v>1001</v>
      </c>
      <c r="C495" s="3">
        <v>200</v>
      </c>
      <c r="D495" s="3" t="str">
        <f ca="1">IF(B495="","",IFERROR(_xludf.XLOOKUP(_xludf.XLOOKUP(B495,Inventory!$A:$A,Inventory!$B:$B),Blades!$A:$A,Blades!$C:$C)+_xludf.XLOOKUP(_xludf.XLOOKUP(B495,Inventory!$A:$A,Inventory!$C:$C),Motor!$A:$A,Motor!$C:$C)+_xludf.XLOOKUP(_xludf.XLOOKUP(B495,Inventory!$A:$A,Inventory!$D:$D),Frame!$A:$A,Frame!$C:$C)+#REF!,""))</f>
        <v/>
      </c>
      <c r="E495" s="4">
        <v>44465</v>
      </c>
      <c r="F495" s="1" t="s">
        <v>32</v>
      </c>
    </row>
    <row r="496" spans="1:6" x14ac:dyDescent="0.25">
      <c r="A496" s="1" t="s">
        <v>1002</v>
      </c>
      <c r="B496" s="1" t="s">
        <v>1003</v>
      </c>
      <c r="C496" s="3">
        <v>200</v>
      </c>
      <c r="D496" s="3" t="str">
        <f ca="1">IF(B496="","",IFERROR(_xludf.XLOOKUP(_xludf.XLOOKUP(B496,Inventory!$A:$A,Inventory!$B:$B),Blades!$A:$A,Blades!$C:$C)+_xludf.XLOOKUP(_xludf.XLOOKUP(B496,Inventory!$A:$A,Inventory!$C:$C),Motor!$A:$A,Motor!$C:$C)+_xludf.XLOOKUP(_xludf.XLOOKUP(B496,Inventory!$A:$A,Inventory!$D:$D),Frame!$A:$A,Frame!$C:$C)+#REF!,""))</f>
        <v/>
      </c>
      <c r="E496" s="4">
        <v>44466</v>
      </c>
      <c r="F496" s="1" t="s">
        <v>20</v>
      </c>
    </row>
    <row r="497" spans="1:6" x14ac:dyDescent="0.25">
      <c r="A497" s="1" t="s">
        <v>1004</v>
      </c>
      <c r="B497" s="1" t="s">
        <v>1005</v>
      </c>
      <c r="C497" s="3">
        <v>200</v>
      </c>
      <c r="D497" s="3" t="str">
        <f ca="1">IF(B497="","",IFERROR(_xludf.XLOOKUP(_xludf.XLOOKUP(B497,Inventory!$A:$A,Inventory!$B:$B),Blades!$A:$A,Blades!$C:$C)+_xludf.XLOOKUP(_xludf.XLOOKUP(B497,Inventory!$A:$A,Inventory!$C:$C),Motor!$A:$A,Motor!$C:$C)+_xludf.XLOOKUP(_xludf.XLOOKUP(B497,Inventory!$A:$A,Inventory!$D:$D),Frame!$A:$A,Frame!$C:$C)+#REF!,""))</f>
        <v/>
      </c>
      <c r="E497" s="4">
        <v>44466</v>
      </c>
      <c r="F497" s="1" t="s">
        <v>20</v>
      </c>
    </row>
    <row r="498" spans="1:6" x14ac:dyDescent="0.25">
      <c r="A498" s="1" t="s">
        <v>1006</v>
      </c>
      <c r="B498" s="1" t="s">
        <v>1007</v>
      </c>
      <c r="C498" s="3">
        <v>200</v>
      </c>
      <c r="D498" s="3" t="str">
        <f ca="1">IF(B498="","",IFERROR(_xludf.XLOOKUP(_xludf.XLOOKUP(B498,Inventory!$A:$A,Inventory!$B:$B),Blades!$A:$A,Blades!$C:$C)+_xludf.XLOOKUP(_xludf.XLOOKUP(B498,Inventory!$A:$A,Inventory!$C:$C),Motor!$A:$A,Motor!$C:$C)+_xludf.XLOOKUP(_xludf.XLOOKUP(B498,Inventory!$A:$A,Inventory!$D:$D),Frame!$A:$A,Frame!$C:$C)+#REF!,""))</f>
        <v/>
      </c>
      <c r="E498" s="4">
        <v>44466</v>
      </c>
      <c r="F498" s="1" t="s">
        <v>20</v>
      </c>
    </row>
    <row r="499" spans="1:6" x14ac:dyDescent="0.25">
      <c r="A499" s="1" t="s">
        <v>1008</v>
      </c>
      <c r="B499" s="1" t="s">
        <v>1009</v>
      </c>
      <c r="C499" s="3">
        <v>200</v>
      </c>
      <c r="D499" s="3" t="str">
        <f ca="1">IF(B499="","",IFERROR(_xludf.XLOOKUP(_xludf.XLOOKUP(B499,Inventory!$A:$A,Inventory!$B:$B),Blades!$A:$A,Blades!$C:$C)+_xludf.XLOOKUP(_xludf.XLOOKUP(B499,Inventory!$A:$A,Inventory!$C:$C),Motor!$A:$A,Motor!$C:$C)+_xludf.XLOOKUP(_xludf.XLOOKUP(B499,Inventory!$A:$A,Inventory!$D:$D),Frame!$A:$A,Frame!$C:$C)+#REF!,""))</f>
        <v/>
      </c>
      <c r="E499" s="4">
        <v>44467</v>
      </c>
      <c r="F499" s="1" t="s">
        <v>11</v>
      </c>
    </row>
    <row r="500" spans="1:6" x14ac:dyDescent="0.25">
      <c r="A500" s="1" t="s">
        <v>1010</v>
      </c>
      <c r="B500" s="1" t="s">
        <v>1011</v>
      </c>
      <c r="C500" s="3">
        <v>200</v>
      </c>
      <c r="D500" s="3" t="str">
        <f ca="1">IF(B500="","",IFERROR(_xludf.XLOOKUP(_xludf.XLOOKUP(B500,Inventory!$A:$A,Inventory!$B:$B),Blades!$A:$A,Blades!$C:$C)+_xludf.XLOOKUP(_xludf.XLOOKUP(B500,Inventory!$A:$A,Inventory!$C:$C),Motor!$A:$A,Motor!$C:$C)+_xludf.XLOOKUP(_xludf.XLOOKUP(B500,Inventory!$A:$A,Inventory!$D:$D),Frame!$A:$A,Frame!$C:$C)+#REF!,""))</f>
        <v/>
      </c>
      <c r="E500" s="4">
        <v>44468</v>
      </c>
      <c r="F500" s="1" t="s">
        <v>49</v>
      </c>
    </row>
    <row r="501" spans="1:6" x14ac:dyDescent="0.25">
      <c r="A501" s="1" t="s">
        <v>1012</v>
      </c>
      <c r="B501" s="1" t="s">
        <v>1013</v>
      </c>
      <c r="C501" s="3">
        <v>200</v>
      </c>
      <c r="D501" s="3" t="str">
        <f ca="1">IF(B501="","",IFERROR(_xludf.XLOOKUP(_xludf.XLOOKUP(B501,Inventory!$A:$A,Inventory!$B:$B),Blades!$A:$A,Blades!$C:$C)+_xludf.XLOOKUP(_xludf.XLOOKUP(B501,Inventory!$A:$A,Inventory!$C:$C),Motor!$A:$A,Motor!$C:$C)+_xludf.XLOOKUP(_xludf.XLOOKUP(B501,Inventory!$A:$A,Inventory!$D:$D),Frame!$A:$A,Frame!$C:$C)+#REF!,""))</f>
        <v/>
      </c>
      <c r="E501" s="4">
        <v>44469</v>
      </c>
      <c r="F501" s="1" t="s">
        <v>8</v>
      </c>
    </row>
    <row r="502" spans="1:6" x14ac:dyDescent="0.25">
      <c r="A502" s="1" t="s">
        <v>1014</v>
      </c>
      <c r="B502" s="1" t="s">
        <v>1015</v>
      </c>
      <c r="C502" s="3">
        <v>200</v>
      </c>
      <c r="D502" s="3" t="str">
        <f ca="1">IF(B502="","",IFERROR(_xludf.XLOOKUP(_xludf.XLOOKUP(B502,Inventory!$A:$A,Inventory!$B:$B),Blades!$A:$A,Blades!$C:$C)+_xludf.XLOOKUP(_xludf.XLOOKUP(B502,Inventory!$A:$A,Inventory!$C:$C),Motor!$A:$A,Motor!$C:$C)+_xludf.XLOOKUP(_xludf.XLOOKUP(B502,Inventory!$A:$A,Inventory!$D:$D),Frame!$A:$A,Frame!$C:$C)+#REF!,""))</f>
        <v/>
      </c>
      <c r="E502" s="4">
        <v>44470</v>
      </c>
      <c r="F502" s="1" t="s">
        <v>20</v>
      </c>
    </row>
    <row r="503" spans="1:6" x14ac:dyDescent="0.25">
      <c r="A503" s="1" t="s">
        <v>1016</v>
      </c>
      <c r="B503" s="1" t="s">
        <v>1017</v>
      </c>
      <c r="C503" s="3">
        <v>200</v>
      </c>
      <c r="D503" s="3" t="str">
        <f ca="1">IF(B503="","",IFERROR(_xludf.XLOOKUP(_xludf.XLOOKUP(B503,Inventory!$A:$A,Inventory!$B:$B),Blades!$A:$A,Blades!$C:$C)+_xludf.XLOOKUP(_xludf.XLOOKUP(B503,Inventory!$A:$A,Inventory!$C:$C),Motor!$A:$A,Motor!$C:$C)+_xludf.XLOOKUP(_xludf.XLOOKUP(B503,Inventory!$A:$A,Inventory!$D:$D),Frame!$A:$A,Frame!$C:$C)+#REF!,""))</f>
        <v/>
      </c>
      <c r="E503" s="4">
        <v>44473</v>
      </c>
      <c r="F503" s="1" t="s">
        <v>32</v>
      </c>
    </row>
    <row r="504" spans="1:6" x14ac:dyDescent="0.25">
      <c r="A504" s="1" t="s">
        <v>1018</v>
      </c>
      <c r="B504" s="1" t="s">
        <v>1019</v>
      </c>
      <c r="C504" s="3">
        <v>200</v>
      </c>
      <c r="D504" s="3" t="str">
        <f ca="1">IF(B504="","",IFERROR(_xludf.XLOOKUP(_xludf.XLOOKUP(B504,Inventory!$A:$A,Inventory!$B:$B),Blades!$A:$A,Blades!$C:$C)+_xludf.XLOOKUP(_xludf.XLOOKUP(B504,Inventory!$A:$A,Inventory!$C:$C),Motor!$A:$A,Motor!$C:$C)+_xludf.XLOOKUP(_xludf.XLOOKUP(B504,Inventory!$A:$A,Inventory!$D:$D),Frame!$A:$A,Frame!$C:$C)+#REF!,""))</f>
        <v/>
      </c>
      <c r="E504" s="4">
        <v>44480</v>
      </c>
      <c r="F504" s="1" t="s">
        <v>11</v>
      </c>
    </row>
    <row r="505" spans="1:6" x14ac:dyDescent="0.25">
      <c r="A505" s="1" t="s">
        <v>1020</v>
      </c>
      <c r="B505" s="1" t="s">
        <v>1021</v>
      </c>
      <c r="C505" s="3">
        <v>200</v>
      </c>
      <c r="D505" s="3" t="str">
        <f ca="1">IF(B505="","",IFERROR(_xludf.XLOOKUP(_xludf.XLOOKUP(B505,Inventory!$A:$A,Inventory!$B:$B),Blades!$A:$A,Blades!$C:$C)+_xludf.XLOOKUP(_xludf.XLOOKUP(B505,Inventory!$A:$A,Inventory!$C:$C),Motor!$A:$A,Motor!$C:$C)+_xludf.XLOOKUP(_xludf.XLOOKUP(B505,Inventory!$A:$A,Inventory!$D:$D),Frame!$A:$A,Frame!$C:$C)+#REF!,""))</f>
        <v/>
      </c>
      <c r="E505" s="4">
        <v>44480</v>
      </c>
      <c r="F505" s="1" t="s">
        <v>11</v>
      </c>
    </row>
    <row r="506" spans="1:6" x14ac:dyDescent="0.25">
      <c r="A506" s="1" t="s">
        <v>1022</v>
      </c>
      <c r="B506" s="1" t="s">
        <v>1023</v>
      </c>
      <c r="C506" s="3">
        <v>200</v>
      </c>
      <c r="D506" s="3" t="str">
        <f ca="1">IF(B506="","",IFERROR(_xludf.XLOOKUP(_xludf.XLOOKUP(B506,Inventory!$A:$A,Inventory!$B:$B),Blades!$A:$A,Blades!$C:$C)+_xludf.XLOOKUP(_xludf.XLOOKUP(B506,Inventory!$A:$A,Inventory!$C:$C),Motor!$A:$A,Motor!$C:$C)+_xludf.XLOOKUP(_xludf.XLOOKUP(B506,Inventory!$A:$A,Inventory!$D:$D),Frame!$A:$A,Frame!$C:$C)+#REF!,""))</f>
        <v/>
      </c>
      <c r="E506" s="4">
        <v>44482</v>
      </c>
      <c r="F506" s="1" t="s">
        <v>20</v>
      </c>
    </row>
    <row r="507" spans="1:6" x14ac:dyDescent="0.25">
      <c r="A507" s="1" t="s">
        <v>1024</v>
      </c>
      <c r="B507" s="1" t="s">
        <v>1025</v>
      </c>
      <c r="C507" s="3">
        <v>200</v>
      </c>
      <c r="D507" s="3" t="str">
        <f ca="1">IF(B507="","",IFERROR(_xludf.XLOOKUP(_xludf.XLOOKUP(B507,Inventory!$A:$A,Inventory!$B:$B),Blades!$A:$A,Blades!$C:$C)+_xludf.XLOOKUP(_xludf.XLOOKUP(B507,Inventory!$A:$A,Inventory!$C:$C),Motor!$A:$A,Motor!$C:$C)+_xludf.XLOOKUP(_xludf.XLOOKUP(B507,Inventory!$A:$A,Inventory!$D:$D),Frame!$A:$A,Frame!$C:$C)+#REF!,""))</f>
        <v/>
      </c>
      <c r="E507" s="4">
        <v>44483</v>
      </c>
      <c r="F507" s="1" t="s">
        <v>8</v>
      </c>
    </row>
    <row r="508" spans="1:6" x14ac:dyDescent="0.25">
      <c r="A508" s="1" t="s">
        <v>1026</v>
      </c>
      <c r="B508" s="1" t="s">
        <v>1027</v>
      </c>
      <c r="C508" s="3">
        <v>200</v>
      </c>
      <c r="D508" s="3" t="str">
        <f ca="1">IF(B508="","",IFERROR(_xludf.XLOOKUP(_xludf.XLOOKUP(B508,Inventory!$A:$A,Inventory!$B:$B),Blades!$A:$A,Blades!$C:$C)+_xludf.XLOOKUP(_xludf.XLOOKUP(B508,Inventory!$A:$A,Inventory!$C:$C),Motor!$A:$A,Motor!$C:$C)+_xludf.XLOOKUP(_xludf.XLOOKUP(B508,Inventory!$A:$A,Inventory!$D:$D),Frame!$A:$A,Frame!$C:$C)+#REF!,""))</f>
        <v/>
      </c>
      <c r="E508" s="4">
        <v>44483</v>
      </c>
      <c r="F508" s="1" t="s">
        <v>32</v>
      </c>
    </row>
    <row r="509" spans="1:6" x14ac:dyDescent="0.25">
      <c r="A509" s="1" t="s">
        <v>1028</v>
      </c>
      <c r="B509" s="1" t="s">
        <v>1029</v>
      </c>
      <c r="C509" s="3">
        <v>200</v>
      </c>
      <c r="D509" s="3" t="str">
        <f ca="1">IF(B509="","",IFERROR(_xludf.XLOOKUP(_xludf.XLOOKUP(B509,Inventory!$A:$A,Inventory!$B:$B),Blades!$A:$A,Blades!$C:$C)+_xludf.XLOOKUP(_xludf.XLOOKUP(B509,Inventory!$A:$A,Inventory!$C:$C),Motor!$A:$A,Motor!$C:$C)+_xludf.XLOOKUP(_xludf.XLOOKUP(B509,Inventory!$A:$A,Inventory!$D:$D),Frame!$A:$A,Frame!$C:$C)+#REF!,""))</f>
        <v/>
      </c>
      <c r="E509" s="4">
        <v>44485</v>
      </c>
      <c r="F509" s="1" t="s">
        <v>49</v>
      </c>
    </row>
    <row r="510" spans="1:6" x14ac:dyDescent="0.25">
      <c r="A510" s="1" t="s">
        <v>1030</v>
      </c>
      <c r="B510" s="1" t="s">
        <v>1031</v>
      </c>
      <c r="C510" s="3">
        <v>200</v>
      </c>
      <c r="D510" s="3" t="str">
        <f ca="1">IF(B510="","",IFERROR(_xludf.XLOOKUP(_xludf.XLOOKUP(B510,Inventory!$A:$A,Inventory!$B:$B),Blades!$A:$A,Blades!$C:$C)+_xludf.XLOOKUP(_xludf.XLOOKUP(B510,Inventory!$A:$A,Inventory!$C:$C),Motor!$A:$A,Motor!$C:$C)+_xludf.XLOOKUP(_xludf.XLOOKUP(B510,Inventory!$A:$A,Inventory!$D:$D),Frame!$A:$A,Frame!$C:$C)+#REF!,""))</f>
        <v/>
      </c>
      <c r="E510" s="4">
        <v>44486</v>
      </c>
      <c r="F510" s="1" t="s">
        <v>25</v>
      </c>
    </row>
    <row r="511" spans="1:6" x14ac:dyDescent="0.25">
      <c r="A511" s="1" t="s">
        <v>1032</v>
      </c>
      <c r="B511" s="1" t="s">
        <v>1033</v>
      </c>
      <c r="C511" s="3">
        <v>200</v>
      </c>
      <c r="D511" s="3" t="str">
        <f ca="1">IF(B511="","",IFERROR(_xludf.XLOOKUP(_xludf.XLOOKUP(B511,Inventory!$A:$A,Inventory!$B:$B),Blades!$A:$A,Blades!$C:$C)+_xludf.XLOOKUP(_xludf.XLOOKUP(B511,Inventory!$A:$A,Inventory!$C:$C),Motor!$A:$A,Motor!$C:$C)+_xludf.XLOOKUP(_xludf.XLOOKUP(B511,Inventory!$A:$A,Inventory!$D:$D),Frame!$A:$A,Frame!$C:$C)+#REF!,""))</f>
        <v/>
      </c>
      <c r="E511" s="4">
        <v>44489</v>
      </c>
      <c r="F511" s="1" t="s">
        <v>8</v>
      </c>
    </row>
    <row r="512" spans="1:6" x14ac:dyDescent="0.25">
      <c r="A512" s="1" t="s">
        <v>1034</v>
      </c>
      <c r="B512" s="1" t="s">
        <v>1035</v>
      </c>
      <c r="C512" s="3">
        <v>200</v>
      </c>
      <c r="D512" s="3" t="str">
        <f ca="1">IF(B512="","",IFERROR(_xludf.XLOOKUP(_xludf.XLOOKUP(B512,Inventory!$A:$A,Inventory!$B:$B),Blades!$A:$A,Blades!$C:$C)+_xludf.XLOOKUP(_xludf.XLOOKUP(B512,Inventory!$A:$A,Inventory!$C:$C),Motor!$A:$A,Motor!$C:$C)+_xludf.XLOOKUP(_xludf.XLOOKUP(B512,Inventory!$A:$A,Inventory!$D:$D),Frame!$A:$A,Frame!$C:$C)+#REF!,""))</f>
        <v/>
      </c>
      <c r="E512" s="4">
        <v>44489</v>
      </c>
      <c r="F512" s="1" t="s">
        <v>8</v>
      </c>
    </row>
    <row r="513" spans="1:6" x14ac:dyDescent="0.25">
      <c r="A513" s="1" t="s">
        <v>1036</v>
      </c>
      <c r="B513" s="1" t="s">
        <v>1037</v>
      </c>
      <c r="C513" s="3">
        <v>200</v>
      </c>
      <c r="D513" s="3" t="str">
        <f ca="1">IF(B513="","",IFERROR(_xludf.XLOOKUP(_xludf.XLOOKUP(B513,Inventory!$A:$A,Inventory!$B:$B),Blades!$A:$A,Blades!$C:$C)+_xludf.XLOOKUP(_xludf.XLOOKUP(B513,Inventory!$A:$A,Inventory!$C:$C),Motor!$A:$A,Motor!$C:$C)+_xludf.XLOOKUP(_xludf.XLOOKUP(B513,Inventory!$A:$A,Inventory!$D:$D),Frame!$A:$A,Frame!$C:$C)+#REF!,""))</f>
        <v/>
      </c>
      <c r="E513" s="4">
        <v>44490</v>
      </c>
      <c r="F513" s="1" t="s">
        <v>52</v>
      </c>
    </row>
    <row r="514" spans="1:6" x14ac:dyDescent="0.25">
      <c r="A514" s="1" t="s">
        <v>1038</v>
      </c>
      <c r="B514" s="1" t="s">
        <v>1039</v>
      </c>
      <c r="C514" s="3">
        <v>200</v>
      </c>
      <c r="D514" s="3" t="str">
        <f ca="1">IF(B514="","",IFERROR(_xludf.XLOOKUP(_xludf.XLOOKUP(B514,Inventory!$A:$A,Inventory!$B:$B),Blades!$A:$A,Blades!$C:$C)+_xludf.XLOOKUP(_xludf.XLOOKUP(B514,Inventory!$A:$A,Inventory!$C:$C),Motor!$A:$A,Motor!$C:$C)+_xludf.XLOOKUP(_xludf.XLOOKUP(B514,Inventory!$A:$A,Inventory!$D:$D),Frame!$A:$A,Frame!$C:$C)+#REF!,""))</f>
        <v/>
      </c>
      <c r="E514" s="4">
        <v>44491</v>
      </c>
      <c r="F514" s="1" t="s">
        <v>32</v>
      </c>
    </row>
    <row r="515" spans="1:6" x14ac:dyDescent="0.25">
      <c r="A515" s="1" t="s">
        <v>1040</v>
      </c>
      <c r="B515" s="1" t="s">
        <v>1041</v>
      </c>
      <c r="C515" s="3">
        <v>200</v>
      </c>
      <c r="D515" s="3" t="str">
        <f ca="1">IF(B515="","",IFERROR(_xludf.XLOOKUP(_xludf.XLOOKUP(B515,Inventory!$A:$A,Inventory!$B:$B),Blades!$A:$A,Blades!$C:$C)+_xludf.XLOOKUP(_xludf.XLOOKUP(B515,Inventory!$A:$A,Inventory!$C:$C),Motor!$A:$A,Motor!$C:$C)+_xludf.XLOOKUP(_xludf.XLOOKUP(B515,Inventory!$A:$A,Inventory!$D:$D),Frame!$A:$A,Frame!$C:$C)+#REF!,""))</f>
        <v/>
      </c>
      <c r="E515" s="4">
        <v>44493</v>
      </c>
      <c r="F515" s="1" t="s">
        <v>8</v>
      </c>
    </row>
    <row r="516" spans="1:6" x14ac:dyDescent="0.25">
      <c r="A516" s="1" t="s">
        <v>1042</v>
      </c>
      <c r="B516" s="1" t="s">
        <v>1043</v>
      </c>
      <c r="C516" s="3">
        <v>200</v>
      </c>
      <c r="D516" s="3" t="str">
        <f ca="1">IF(B516="","",IFERROR(_xludf.XLOOKUP(_xludf.XLOOKUP(B516,Inventory!$A:$A,Inventory!$B:$B),Blades!$A:$A,Blades!$C:$C)+_xludf.XLOOKUP(_xludf.XLOOKUP(B516,Inventory!$A:$A,Inventory!$C:$C),Motor!$A:$A,Motor!$C:$C)+_xludf.XLOOKUP(_xludf.XLOOKUP(B516,Inventory!$A:$A,Inventory!$D:$D),Frame!$A:$A,Frame!$C:$C)+#REF!,""))</f>
        <v/>
      </c>
      <c r="E516" s="4">
        <v>44494</v>
      </c>
      <c r="F516" s="1" t="s">
        <v>49</v>
      </c>
    </row>
    <row r="517" spans="1:6" x14ac:dyDescent="0.25">
      <c r="A517" s="1" t="s">
        <v>1044</v>
      </c>
      <c r="B517" s="1" t="s">
        <v>1045</v>
      </c>
      <c r="C517" s="3">
        <v>200</v>
      </c>
      <c r="D517" s="3" t="str">
        <f ca="1">IF(B517="","",IFERROR(_xludf.XLOOKUP(_xludf.XLOOKUP(B517,Inventory!$A:$A,Inventory!$B:$B),Blades!$A:$A,Blades!$C:$C)+_xludf.XLOOKUP(_xludf.XLOOKUP(B517,Inventory!$A:$A,Inventory!$C:$C),Motor!$A:$A,Motor!$C:$C)+_xludf.XLOOKUP(_xludf.XLOOKUP(B517,Inventory!$A:$A,Inventory!$D:$D),Frame!$A:$A,Frame!$C:$C)+#REF!,""))</f>
        <v/>
      </c>
      <c r="E517" s="4">
        <v>44495</v>
      </c>
      <c r="F517" s="1" t="s">
        <v>8</v>
      </c>
    </row>
    <row r="518" spans="1:6" x14ac:dyDescent="0.25">
      <c r="A518" s="1" t="s">
        <v>1046</v>
      </c>
      <c r="B518" s="1" t="s">
        <v>1047</v>
      </c>
      <c r="C518" s="3">
        <v>200</v>
      </c>
      <c r="D518" s="3" t="str">
        <f ca="1">IF(B518="","",IFERROR(_xludf.XLOOKUP(_xludf.XLOOKUP(B518,Inventory!$A:$A,Inventory!$B:$B),Blades!$A:$A,Blades!$C:$C)+_xludf.XLOOKUP(_xludf.XLOOKUP(B518,Inventory!$A:$A,Inventory!$C:$C),Motor!$A:$A,Motor!$C:$C)+_xludf.XLOOKUP(_xludf.XLOOKUP(B518,Inventory!$A:$A,Inventory!$D:$D),Frame!$A:$A,Frame!$C:$C)+#REF!,""))</f>
        <v/>
      </c>
      <c r="E518" s="4">
        <v>44498</v>
      </c>
      <c r="F518" s="1" t="s">
        <v>52</v>
      </c>
    </row>
    <row r="519" spans="1:6" x14ac:dyDescent="0.25">
      <c r="A519" s="1" t="s">
        <v>1048</v>
      </c>
      <c r="B519" s="1" t="s">
        <v>1049</v>
      </c>
      <c r="C519" s="3">
        <v>200</v>
      </c>
      <c r="D519" s="3" t="str">
        <f ca="1">IF(B519="","",IFERROR(_xludf.XLOOKUP(_xludf.XLOOKUP(B519,Inventory!$A:$A,Inventory!$B:$B),Blades!$A:$A,Blades!$C:$C)+_xludf.XLOOKUP(_xludf.XLOOKUP(B519,Inventory!$A:$A,Inventory!$C:$C),Motor!$A:$A,Motor!$C:$C)+_xludf.XLOOKUP(_xludf.XLOOKUP(B519,Inventory!$A:$A,Inventory!$D:$D),Frame!$A:$A,Frame!$C:$C)+#REF!,""))</f>
        <v/>
      </c>
      <c r="E519" s="4">
        <v>44499</v>
      </c>
      <c r="F519" s="1" t="s">
        <v>49</v>
      </c>
    </row>
    <row r="520" spans="1:6" x14ac:dyDescent="0.25">
      <c r="A520" s="1" t="s">
        <v>1050</v>
      </c>
      <c r="B520" s="1" t="s">
        <v>1051</v>
      </c>
      <c r="C520" s="3">
        <v>200</v>
      </c>
      <c r="D520" s="3" t="str">
        <f ca="1">IF(B520="","",IFERROR(_xludf.XLOOKUP(_xludf.XLOOKUP(B520,Inventory!$A:$A,Inventory!$B:$B),Blades!$A:$A,Blades!$C:$C)+_xludf.XLOOKUP(_xludf.XLOOKUP(B520,Inventory!$A:$A,Inventory!$C:$C),Motor!$A:$A,Motor!$C:$C)+_xludf.XLOOKUP(_xludf.XLOOKUP(B520,Inventory!$A:$A,Inventory!$D:$D),Frame!$A:$A,Frame!$C:$C)+#REF!,""))</f>
        <v/>
      </c>
      <c r="E520" s="4">
        <v>44500</v>
      </c>
      <c r="F520" s="1" t="s">
        <v>11</v>
      </c>
    </row>
    <row r="521" spans="1:6" x14ac:dyDescent="0.25">
      <c r="A521" s="1" t="s">
        <v>1052</v>
      </c>
      <c r="B521" s="1" t="s">
        <v>1053</v>
      </c>
      <c r="C521" s="3">
        <v>200</v>
      </c>
      <c r="D521" s="3" t="str">
        <f ca="1">IF(B521="","",IFERROR(_xludf.XLOOKUP(_xludf.XLOOKUP(B521,Inventory!$A:$A,Inventory!$B:$B),Blades!$A:$A,Blades!$C:$C)+_xludf.XLOOKUP(_xludf.XLOOKUP(B521,Inventory!$A:$A,Inventory!$C:$C),Motor!$A:$A,Motor!$C:$C)+_xludf.XLOOKUP(_xludf.XLOOKUP(B521,Inventory!$A:$A,Inventory!$D:$D),Frame!$A:$A,Frame!$C:$C)+#REF!,""))</f>
        <v/>
      </c>
      <c r="E521" s="4">
        <v>44501</v>
      </c>
      <c r="F521" s="1" t="s">
        <v>49</v>
      </c>
    </row>
    <row r="522" spans="1:6" x14ac:dyDescent="0.25">
      <c r="A522" s="1" t="s">
        <v>1054</v>
      </c>
      <c r="B522" s="1" t="s">
        <v>1055</v>
      </c>
      <c r="C522" s="3">
        <v>200</v>
      </c>
      <c r="D522" s="3" t="str">
        <f ca="1">IF(B522="","",IFERROR(_xludf.XLOOKUP(_xludf.XLOOKUP(B522,Inventory!$A:$A,Inventory!$B:$B),Blades!$A:$A,Blades!$C:$C)+_xludf.XLOOKUP(_xludf.XLOOKUP(B522,Inventory!$A:$A,Inventory!$C:$C),Motor!$A:$A,Motor!$C:$C)+_xludf.XLOOKUP(_xludf.XLOOKUP(B522,Inventory!$A:$A,Inventory!$D:$D),Frame!$A:$A,Frame!$C:$C)+#REF!,""))</f>
        <v/>
      </c>
      <c r="E522" s="4">
        <v>44501</v>
      </c>
      <c r="F522" s="1" t="s">
        <v>32</v>
      </c>
    </row>
    <row r="523" spans="1:6" x14ac:dyDescent="0.25">
      <c r="A523" s="1" t="s">
        <v>1056</v>
      </c>
      <c r="B523" s="1" t="s">
        <v>1057</v>
      </c>
      <c r="C523" s="3">
        <v>200</v>
      </c>
      <c r="D523" s="3" t="str">
        <f ca="1">IF(B523="","",IFERROR(_xludf.XLOOKUP(_xludf.XLOOKUP(B523,Inventory!$A:$A,Inventory!$B:$B),Blades!$A:$A,Blades!$C:$C)+_xludf.XLOOKUP(_xludf.XLOOKUP(B523,Inventory!$A:$A,Inventory!$C:$C),Motor!$A:$A,Motor!$C:$C)+_xludf.XLOOKUP(_xludf.XLOOKUP(B523,Inventory!$A:$A,Inventory!$D:$D),Frame!$A:$A,Frame!$C:$C)+#REF!,""))</f>
        <v/>
      </c>
      <c r="E523" s="4">
        <v>44502</v>
      </c>
      <c r="F523" s="1" t="s">
        <v>49</v>
      </c>
    </row>
    <row r="524" spans="1:6" x14ac:dyDescent="0.25">
      <c r="A524" s="1" t="s">
        <v>1058</v>
      </c>
      <c r="B524" s="1" t="s">
        <v>1059</v>
      </c>
      <c r="C524" s="3">
        <v>200</v>
      </c>
      <c r="D524" s="3" t="str">
        <f ca="1">IF(B524="","",IFERROR(_xludf.XLOOKUP(_xludf.XLOOKUP(B524,Inventory!$A:$A,Inventory!$B:$B),Blades!$A:$A,Blades!$C:$C)+_xludf.XLOOKUP(_xludf.XLOOKUP(B524,Inventory!$A:$A,Inventory!$C:$C),Motor!$A:$A,Motor!$C:$C)+_xludf.XLOOKUP(_xludf.XLOOKUP(B524,Inventory!$A:$A,Inventory!$D:$D),Frame!$A:$A,Frame!$C:$C)+#REF!,""))</f>
        <v/>
      </c>
      <c r="E524" s="4">
        <v>44503</v>
      </c>
      <c r="F524" s="1" t="s">
        <v>63</v>
      </c>
    </row>
    <row r="525" spans="1:6" x14ac:dyDescent="0.25">
      <c r="A525" s="1" t="s">
        <v>1060</v>
      </c>
      <c r="B525" s="1" t="s">
        <v>1061</v>
      </c>
      <c r="C525" s="3">
        <v>200</v>
      </c>
      <c r="D525" s="3" t="str">
        <f ca="1">IF(B525="","",IFERROR(_xludf.XLOOKUP(_xludf.XLOOKUP(B525,Inventory!$A:$A,Inventory!$B:$B),Blades!$A:$A,Blades!$C:$C)+_xludf.XLOOKUP(_xludf.XLOOKUP(B525,Inventory!$A:$A,Inventory!$C:$C),Motor!$A:$A,Motor!$C:$C)+_xludf.XLOOKUP(_xludf.XLOOKUP(B525,Inventory!$A:$A,Inventory!$D:$D),Frame!$A:$A,Frame!$C:$C)+#REF!,""))</f>
        <v/>
      </c>
      <c r="E525" s="4">
        <v>44503</v>
      </c>
      <c r="F525" s="1" t="s">
        <v>11</v>
      </c>
    </row>
    <row r="526" spans="1:6" x14ac:dyDescent="0.25">
      <c r="A526" s="1" t="s">
        <v>1062</v>
      </c>
      <c r="B526" s="1" t="s">
        <v>1063</v>
      </c>
      <c r="C526" s="3">
        <v>200</v>
      </c>
      <c r="D526" s="3" t="str">
        <f ca="1">IF(B526="","",IFERROR(_xludf.XLOOKUP(_xludf.XLOOKUP(B526,Inventory!$A:$A,Inventory!$B:$B),Blades!$A:$A,Blades!$C:$C)+_xludf.XLOOKUP(_xludf.XLOOKUP(B526,Inventory!$A:$A,Inventory!$C:$C),Motor!$A:$A,Motor!$C:$C)+_xludf.XLOOKUP(_xludf.XLOOKUP(B526,Inventory!$A:$A,Inventory!$D:$D),Frame!$A:$A,Frame!$C:$C)+#REF!,""))</f>
        <v/>
      </c>
      <c r="E526" s="4">
        <v>44505</v>
      </c>
      <c r="F526" s="1" t="s">
        <v>25</v>
      </c>
    </row>
    <row r="527" spans="1:6" x14ac:dyDescent="0.25">
      <c r="A527" s="1" t="s">
        <v>1064</v>
      </c>
      <c r="B527" s="1" t="s">
        <v>1065</v>
      </c>
      <c r="C527" s="3">
        <v>200</v>
      </c>
      <c r="D527" s="3" t="str">
        <f ca="1">IF(B527="","",IFERROR(_xludf.XLOOKUP(_xludf.XLOOKUP(B527,Inventory!$A:$A,Inventory!$B:$B),Blades!$A:$A,Blades!$C:$C)+_xludf.XLOOKUP(_xludf.XLOOKUP(B527,Inventory!$A:$A,Inventory!$C:$C),Motor!$A:$A,Motor!$C:$C)+_xludf.XLOOKUP(_xludf.XLOOKUP(B527,Inventory!$A:$A,Inventory!$D:$D),Frame!$A:$A,Frame!$C:$C)+#REF!,""))</f>
        <v/>
      </c>
      <c r="E527" s="4">
        <v>44505</v>
      </c>
      <c r="F527" s="1" t="s">
        <v>32</v>
      </c>
    </row>
    <row r="528" spans="1:6" x14ac:dyDescent="0.25">
      <c r="A528" s="1" t="s">
        <v>1066</v>
      </c>
      <c r="B528" s="1" t="s">
        <v>1067</v>
      </c>
      <c r="C528" s="3">
        <v>200</v>
      </c>
      <c r="D528" s="3" t="str">
        <f ca="1">IF(B528="","",IFERROR(_xludf.XLOOKUP(_xludf.XLOOKUP(B528,Inventory!$A:$A,Inventory!$B:$B),Blades!$A:$A,Blades!$C:$C)+_xludf.XLOOKUP(_xludf.XLOOKUP(B528,Inventory!$A:$A,Inventory!$C:$C),Motor!$A:$A,Motor!$C:$C)+_xludf.XLOOKUP(_xludf.XLOOKUP(B528,Inventory!$A:$A,Inventory!$D:$D),Frame!$A:$A,Frame!$C:$C)+#REF!,""))</f>
        <v/>
      </c>
      <c r="E528" s="4">
        <v>44506</v>
      </c>
      <c r="F528" s="1" t="s">
        <v>20</v>
      </c>
    </row>
    <row r="529" spans="1:6" x14ac:dyDescent="0.25">
      <c r="A529" s="1" t="s">
        <v>1068</v>
      </c>
      <c r="B529" s="1" t="s">
        <v>1069</v>
      </c>
      <c r="C529" s="3">
        <v>200</v>
      </c>
      <c r="D529" s="3" t="str">
        <f ca="1">IF(B529="","",IFERROR(_xludf.XLOOKUP(_xludf.XLOOKUP(B529,Inventory!$A:$A,Inventory!$B:$B),Blades!$A:$A,Blades!$C:$C)+_xludf.XLOOKUP(_xludf.XLOOKUP(B529,Inventory!$A:$A,Inventory!$C:$C),Motor!$A:$A,Motor!$C:$C)+_xludf.XLOOKUP(_xludf.XLOOKUP(B529,Inventory!$A:$A,Inventory!$D:$D),Frame!$A:$A,Frame!$C:$C)+#REF!,""))</f>
        <v/>
      </c>
      <c r="E529" s="4">
        <v>44506</v>
      </c>
      <c r="F529" s="1" t="s">
        <v>20</v>
      </c>
    </row>
    <row r="530" spans="1:6" x14ac:dyDescent="0.25">
      <c r="A530" s="1" t="s">
        <v>1070</v>
      </c>
      <c r="B530" s="1" t="s">
        <v>1071</v>
      </c>
      <c r="C530" s="3">
        <v>200</v>
      </c>
      <c r="D530" s="3" t="str">
        <f ca="1">IF(B530="","",IFERROR(_xludf.XLOOKUP(_xludf.XLOOKUP(B530,Inventory!$A:$A,Inventory!$B:$B),Blades!$A:$A,Blades!$C:$C)+_xludf.XLOOKUP(_xludf.XLOOKUP(B530,Inventory!$A:$A,Inventory!$C:$C),Motor!$A:$A,Motor!$C:$C)+_xludf.XLOOKUP(_xludf.XLOOKUP(B530,Inventory!$A:$A,Inventory!$D:$D),Frame!$A:$A,Frame!$C:$C)+#REF!,""))</f>
        <v/>
      </c>
      <c r="E530" s="4">
        <v>44509</v>
      </c>
      <c r="F530" s="1" t="s">
        <v>11</v>
      </c>
    </row>
    <row r="531" spans="1:6" x14ac:dyDescent="0.25">
      <c r="A531" s="1" t="s">
        <v>1072</v>
      </c>
      <c r="B531" s="1" t="s">
        <v>1073</v>
      </c>
      <c r="C531" s="3">
        <v>200</v>
      </c>
      <c r="D531" s="3" t="str">
        <f ca="1">IF(B531="","",IFERROR(_xludf.XLOOKUP(_xludf.XLOOKUP(B531,Inventory!$A:$A,Inventory!$B:$B),Blades!$A:$A,Blades!$C:$C)+_xludf.XLOOKUP(_xludf.XLOOKUP(B531,Inventory!$A:$A,Inventory!$C:$C),Motor!$A:$A,Motor!$C:$C)+_xludf.XLOOKUP(_xludf.XLOOKUP(B531,Inventory!$A:$A,Inventory!$D:$D),Frame!$A:$A,Frame!$C:$C)+#REF!,""))</f>
        <v/>
      </c>
      <c r="E531" s="4">
        <v>44509</v>
      </c>
      <c r="F531" s="1" t="s">
        <v>49</v>
      </c>
    </row>
    <row r="532" spans="1:6" x14ac:dyDescent="0.25">
      <c r="A532" s="1" t="s">
        <v>1074</v>
      </c>
      <c r="B532" s="1" t="s">
        <v>1075</v>
      </c>
      <c r="C532" s="3">
        <v>200</v>
      </c>
      <c r="D532" s="3" t="str">
        <f ca="1">IF(B532="","",IFERROR(_xludf.XLOOKUP(_xludf.XLOOKUP(B532,Inventory!$A:$A,Inventory!$B:$B),Blades!$A:$A,Blades!$C:$C)+_xludf.XLOOKUP(_xludf.XLOOKUP(B532,Inventory!$A:$A,Inventory!$C:$C),Motor!$A:$A,Motor!$C:$C)+_xludf.XLOOKUP(_xludf.XLOOKUP(B532,Inventory!$A:$A,Inventory!$D:$D),Frame!$A:$A,Frame!$C:$C)+#REF!,""))</f>
        <v/>
      </c>
      <c r="E532" s="4">
        <v>44511</v>
      </c>
      <c r="F532" s="1" t="s">
        <v>11</v>
      </c>
    </row>
    <row r="533" spans="1:6" x14ac:dyDescent="0.25">
      <c r="A533" s="1" t="s">
        <v>1076</v>
      </c>
      <c r="B533" s="1" t="s">
        <v>1077</v>
      </c>
      <c r="C533" s="3">
        <v>200</v>
      </c>
      <c r="D533" s="3" t="str">
        <f ca="1">IF(B533="","",IFERROR(_xludf.XLOOKUP(_xludf.XLOOKUP(B533,Inventory!$A:$A,Inventory!$B:$B),Blades!$A:$A,Blades!$C:$C)+_xludf.XLOOKUP(_xludf.XLOOKUP(B533,Inventory!$A:$A,Inventory!$C:$C),Motor!$A:$A,Motor!$C:$C)+_xludf.XLOOKUP(_xludf.XLOOKUP(B533,Inventory!$A:$A,Inventory!$D:$D),Frame!$A:$A,Frame!$C:$C)+#REF!,""))</f>
        <v/>
      </c>
      <c r="E533" s="4">
        <v>44512</v>
      </c>
      <c r="F533" s="1" t="s">
        <v>49</v>
      </c>
    </row>
    <row r="534" spans="1:6" x14ac:dyDescent="0.25">
      <c r="A534" s="1" t="s">
        <v>1078</v>
      </c>
      <c r="B534" s="1" t="s">
        <v>1079</v>
      </c>
      <c r="C534" s="3">
        <v>200</v>
      </c>
      <c r="D534" s="3" t="str">
        <f ca="1">IF(B534="","",IFERROR(_xludf.XLOOKUP(_xludf.XLOOKUP(B534,Inventory!$A:$A,Inventory!$B:$B),Blades!$A:$A,Blades!$C:$C)+_xludf.XLOOKUP(_xludf.XLOOKUP(B534,Inventory!$A:$A,Inventory!$C:$C),Motor!$A:$A,Motor!$C:$C)+_xludf.XLOOKUP(_xludf.XLOOKUP(B534,Inventory!$A:$A,Inventory!$D:$D),Frame!$A:$A,Frame!$C:$C)+#REF!,""))</f>
        <v/>
      </c>
      <c r="E534" s="4">
        <v>44513</v>
      </c>
      <c r="F534" s="1" t="s">
        <v>20</v>
      </c>
    </row>
    <row r="535" spans="1:6" x14ac:dyDescent="0.25">
      <c r="A535" s="1" t="s">
        <v>1080</v>
      </c>
      <c r="B535" s="1" t="s">
        <v>1081</v>
      </c>
      <c r="C535" s="3">
        <v>200</v>
      </c>
      <c r="D535" s="3" t="str">
        <f ca="1">IF(B535="","",IFERROR(_xludf.XLOOKUP(_xludf.XLOOKUP(B535,Inventory!$A:$A,Inventory!$B:$B),Blades!$A:$A,Blades!$C:$C)+_xludf.XLOOKUP(_xludf.XLOOKUP(B535,Inventory!$A:$A,Inventory!$C:$C),Motor!$A:$A,Motor!$C:$C)+_xludf.XLOOKUP(_xludf.XLOOKUP(B535,Inventory!$A:$A,Inventory!$D:$D),Frame!$A:$A,Frame!$C:$C)+#REF!,""))</f>
        <v/>
      </c>
      <c r="E535" s="4">
        <v>44513</v>
      </c>
      <c r="F535" s="1" t="s">
        <v>63</v>
      </c>
    </row>
    <row r="536" spans="1:6" x14ac:dyDescent="0.25">
      <c r="A536" s="1" t="s">
        <v>1082</v>
      </c>
      <c r="B536" s="1" t="s">
        <v>1083</v>
      </c>
      <c r="C536" s="3">
        <v>200</v>
      </c>
      <c r="D536" s="3" t="str">
        <f ca="1">IF(B536="","",IFERROR(_xludf.XLOOKUP(_xludf.XLOOKUP(B536,Inventory!$A:$A,Inventory!$B:$B),Blades!$A:$A,Blades!$C:$C)+_xludf.XLOOKUP(_xludf.XLOOKUP(B536,Inventory!$A:$A,Inventory!$C:$C),Motor!$A:$A,Motor!$C:$C)+_xludf.XLOOKUP(_xludf.XLOOKUP(B536,Inventory!$A:$A,Inventory!$D:$D),Frame!$A:$A,Frame!$C:$C)+#REF!,""))</f>
        <v/>
      </c>
      <c r="E536" s="4">
        <v>44516</v>
      </c>
      <c r="F536" s="1" t="s">
        <v>8</v>
      </c>
    </row>
    <row r="537" spans="1:6" x14ac:dyDescent="0.25">
      <c r="A537" s="1" t="s">
        <v>1084</v>
      </c>
      <c r="B537" s="1" t="s">
        <v>1085</v>
      </c>
      <c r="C537" s="3">
        <v>200</v>
      </c>
      <c r="D537" s="3" t="str">
        <f ca="1">IF(B537="","",IFERROR(_xludf.XLOOKUP(_xludf.XLOOKUP(B537,Inventory!$A:$A,Inventory!$B:$B),Blades!$A:$A,Blades!$C:$C)+_xludf.XLOOKUP(_xludf.XLOOKUP(B537,Inventory!$A:$A,Inventory!$C:$C),Motor!$A:$A,Motor!$C:$C)+_xludf.XLOOKUP(_xludf.XLOOKUP(B537,Inventory!$A:$A,Inventory!$D:$D),Frame!$A:$A,Frame!$C:$C)+#REF!,""))</f>
        <v/>
      </c>
      <c r="E537" s="4">
        <v>44516</v>
      </c>
      <c r="F537" s="1" t="s">
        <v>25</v>
      </c>
    </row>
    <row r="538" spans="1:6" x14ac:dyDescent="0.25">
      <c r="A538" s="1" t="s">
        <v>1086</v>
      </c>
      <c r="B538" s="1" t="s">
        <v>1087</v>
      </c>
      <c r="C538" s="3">
        <v>200</v>
      </c>
      <c r="D538" s="3" t="str">
        <f ca="1">IF(B538="","",IFERROR(_xludf.XLOOKUP(_xludf.XLOOKUP(B538,Inventory!$A:$A,Inventory!$B:$B),Blades!$A:$A,Blades!$C:$C)+_xludf.XLOOKUP(_xludf.XLOOKUP(B538,Inventory!$A:$A,Inventory!$C:$C),Motor!$A:$A,Motor!$C:$C)+_xludf.XLOOKUP(_xludf.XLOOKUP(B538,Inventory!$A:$A,Inventory!$D:$D),Frame!$A:$A,Frame!$C:$C)+#REF!,""))</f>
        <v/>
      </c>
      <c r="E538" s="4">
        <v>44518</v>
      </c>
      <c r="F538" s="1" t="s">
        <v>11</v>
      </c>
    </row>
    <row r="539" spans="1:6" x14ac:dyDescent="0.25">
      <c r="A539" s="1" t="s">
        <v>1088</v>
      </c>
      <c r="B539" s="1" t="s">
        <v>1089</v>
      </c>
      <c r="C539" s="3">
        <v>200</v>
      </c>
      <c r="D539" s="3" t="str">
        <f ca="1">IF(B539="","",IFERROR(_xludf.XLOOKUP(_xludf.XLOOKUP(B539,Inventory!$A:$A,Inventory!$B:$B),Blades!$A:$A,Blades!$C:$C)+_xludf.XLOOKUP(_xludf.XLOOKUP(B539,Inventory!$A:$A,Inventory!$C:$C),Motor!$A:$A,Motor!$C:$C)+_xludf.XLOOKUP(_xludf.XLOOKUP(B539,Inventory!$A:$A,Inventory!$D:$D),Frame!$A:$A,Frame!$C:$C)+#REF!,""))</f>
        <v/>
      </c>
      <c r="E539" s="4">
        <v>44518</v>
      </c>
      <c r="F539" s="1" t="s">
        <v>20</v>
      </c>
    </row>
    <row r="540" spans="1:6" x14ac:dyDescent="0.25">
      <c r="A540" s="1" t="s">
        <v>1090</v>
      </c>
      <c r="B540" s="1" t="s">
        <v>1091</v>
      </c>
      <c r="C540" s="3">
        <v>200</v>
      </c>
      <c r="D540" s="3" t="str">
        <f ca="1">IF(B540="","",IFERROR(_xludf.XLOOKUP(_xludf.XLOOKUP(B540,Inventory!$A:$A,Inventory!$B:$B),Blades!$A:$A,Blades!$C:$C)+_xludf.XLOOKUP(_xludf.XLOOKUP(B540,Inventory!$A:$A,Inventory!$C:$C),Motor!$A:$A,Motor!$C:$C)+_xludf.XLOOKUP(_xludf.XLOOKUP(B540,Inventory!$A:$A,Inventory!$D:$D),Frame!$A:$A,Frame!$C:$C)+#REF!,""))</f>
        <v/>
      </c>
      <c r="E540" s="4">
        <v>44520</v>
      </c>
      <c r="F540" s="1" t="s">
        <v>63</v>
      </c>
    </row>
    <row r="541" spans="1:6" x14ac:dyDescent="0.25">
      <c r="A541" s="1" t="s">
        <v>1092</v>
      </c>
      <c r="B541" s="1" t="s">
        <v>1093</v>
      </c>
      <c r="C541" s="3">
        <v>200</v>
      </c>
      <c r="D541" s="3" t="str">
        <f ca="1">IF(B541="","",IFERROR(_xludf.XLOOKUP(_xludf.XLOOKUP(B541,Inventory!$A:$A,Inventory!$B:$B),Blades!$A:$A,Blades!$C:$C)+_xludf.XLOOKUP(_xludf.XLOOKUP(B541,Inventory!$A:$A,Inventory!$C:$C),Motor!$A:$A,Motor!$C:$C)+_xludf.XLOOKUP(_xludf.XLOOKUP(B541,Inventory!$A:$A,Inventory!$D:$D),Frame!$A:$A,Frame!$C:$C)+#REF!,""))</f>
        <v/>
      </c>
      <c r="E541" s="4">
        <v>44520</v>
      </c>
      <c r="F541" s="1" t="s">
        <v>49</v>
      </c>
    </row>
    <row r="542" spans="1:6" x14ac:dyDescent="0.25">
      <c r="A542" s="1" t="s">
        <v>1094</v>
      </c>
      <c r="B542" s="1" t="s">
        <v>1095</v>
      </c>
      <c r="C542" s="3">
        <v>200</v>
      </c>
      <c r="D542" s="3" t="str">
        <f ca="1">IF(B542="","",IFERROR(_xludf.XLOOKUP(_xludf.XLOOKUP(B542,Inventory!$A:$A,Inventory!$B:$B),Blades!$A:$A,Blades!$C:$C)+_xludf.XLOOKUP(_xludf.XLOOKUP(B542,Inventory!$A:$A,Inventory!$C:$C),Motor!$A:$A,Motor!$C:$C)+_xludf.XLOOKUP(_xludf.XLOOKUP(B542,Inventory!$A:$A,Inventory!$D:$D),Frame!$A:$A,Frame!$C:$C)+#REF!,""))</f>
        <v/>
      </c>
      <c r="E542" s="4">
        <v>44521</v>
      </c>
      <c r="F542" s="1" t="s">
        <v>32</v>
      </c>
    </row>
    <row r="543" spans="1:6" x14ac:dyDescent="0.25">
      <c r="A543" s="1" t="s">
        <v>1096</v>
      </c>
      <c r="B543" s="1" t="s">
        <v>1097</v>
      </c>
      <c r="C543" s="3">
        <v>200</v>
      </c>
      <c r="D543" s="3" t="str">
        <f ca="1">IF(B543="","",IFERROR(_xludf.XLOOKUP(_xludf.XLOOKUP(B543,Inventory!$A:$A,Inventory!$B:$B),Blades!$A:$A,Blades!$C:$C)+_xludf.XLOOKUP(_xludf.XLOOKUP(B543,Inventory!$A:$A,Inventory!$C:$C),Motor!$A:$A,Motor!$C:$C)+_xludf.XLOOKUP(_xludf.XLOOKUP(B543,Inventory!$A:$A,Inventory!$D:$D),Frame!$A:$A,Frame!$C:$C)+#REF!,""))</f>
        <v/>
      </c>
      <c r="E543" s="4">
        <v>44522</v>
      </c>
      <c r="F543" s="1" t="s">
        <v>52</v>
      </c>
    </row>
    <row r="544" spans="1:6" x14ac:dyDescent="0.25">
      <c r="A544" s="1" t="s">
        <v>1098</v>
      </c>
      <c r="B544" s="1" t="s">
        <v>1099</v>
      </c>
      <c r="C544" s="3">
        <v>200</v>
      </c>
      <c r="D544" s="3" t="str">
        <f ca="1">IF(B544="","",IFERROR(_xludf.XLOOKUP(_xludf.XLOOKUP(B544,Inventory!$A:$A,Inventory!$B:$B),Blades!$A:$A,Blades!$C:$C)+_xludf.XLOOKUP(_xludf.XLOOKUP(B544,Inventory!$A:$A,Inventory!$C:$C),Motor!$A:$A,Motor!$C:$C)+_xludf.XLOOKUP(_xludf.XLOOKUP(B544,Inventory!$A:$A,Inventory!$D:$D),Frame!$A:$A,Frame!$C:$C)+#REF!,""))</f>
        <v/>
      </c>
      <c r="E544" s="4">
        <v>44524</v>
      </c>
      <c r="F544" s="1" t="s">
        <v>52</v>
      </c>
    </row>
    <row r="545" spans="1:6" x14ac:dyDescent="0.25">
      <c r="A545" s="1" t="s">
        <v>1100</v>
      </c>
      <c r="B545" s="1" t="s">
        <v>1101</v>
      </c>
      <c r="C545" s="3">
        <v>200</v>
      </c>
      <c r="D545" s="3" t="str">
        <f ca="1">IF(B545="","",IFERROR(_xludf.XLOOKUP(_xludf.XLOOKUP(B545,Inventory!$A:$A,Inventory!$B:$B),Blades!$A:$A,Blades!$C:$C)+_xludf.XLOOKUP(_xludf.XLOOKUP(B545,Inventory!$A:$A,Inventory!$C:$C),Motor!$A:$A,Motor!$C:$C)+_xludf.XLOOKUP(_xludf.XLOOKUP(B545,Inventory!$A:$A,Inventory!$D:$D),Frame!$A:$A,Frame!$C:$C)+#REF!,""))</f>
        <v/>
      </c>
      <c r="E545" s="4">
        <v>44525</v>
      </c>
      <c r="F545" s="1" t="s">
        <v>8</v>
      </c>
    </row>
    <row r="546" spans="1:6" x14ac:dyDescent="0.25">
      <c r="A546" s="1" t="s">
        <v>1102</v>
      </c>
      <c r="B546" s="1" t="s">
        <v>1103</v>
      </c>
      <c r="C546" s="3">
        <v>200</v>
      </c>
      <c r="D546" s="3" t="str">
        <f ca="1">IF(B546="","",IFERROR(_xludf.XLOOKUP(_xludf.XLOOKUP(B546,Inventory!$A:$A,Inventory!$B:$B),Blades!$A:$A,Blades!$C:$C)+_xludf.XLOOKUP(_xludf.XLOOKUP(B546,Inventory!$A:$A,Inventory!$C:$C),Motor!$A:$A,Motor!$C:$C)+_xludf.XLOOKUP(_xludf.XLOOKUP(B546,Inventory!$A:$A,Inventory!$D:$D),Frame!$A:$A,Frame!$C:$C)+#REF!,""))</f>
        <v/>
      </c>
      <c r="E546" s="4">
        <v>44526</v>
      </c>
      <c r="F546" s="1" t="s">
        <v>20</v>
      </c>
    </row>
    <row r="547" spans="1:6" x14ac:dyDescent="0.25">
      <c r="A547" s="1" t="s">
        <v>1104</v>
      </c>
      <c r="B547" s="1" t="s">
        <v>1105</v>
      </c>
      <c r="C547" s="3">
        <v>200</v>
      </c>
      <c r="D547" s="3" t="str">
        <f ca="1">IF(B547="","",IFERROR(_xludf.XLOOKUP(_xludf.XLOOKUP(B547,Inventory!$A:$A,Inventory!$B:$B),Blades!$A:$A,Blades!$C:$C)+_xludf.XLOOKUP(_xludf.XLOOKUP(B547,Inventory!$A:$A,Inventory!$C:$C),Motor!$A:$A,Motor!$C:$C)+_xludf.XLOOKUP(_xludf.XLOOKUP(B547,Inventory!$A:$A,Inventory!$D:$D),Frame!$A:$A,Frame!$C:$C)+#REF!,""))</f>
        <v/>
      </c>
      <c r="E547" s="4">
        <v>44526</v>
      </c>
      <c r="F547" s="1" t="s">
        <v>11</v>
      </c>
    </row>
    <row r="548" spans="1:6" x14ac:dyDescent="0.25">
      <c r="A548" s="1" t="s">
        <v>1106</v>
      </c>
      <c r="B548" s="1" t="s">
        <v>1107</v>
      </c>
      <c r="C548" s="3">
        <v>200</v>
      </c>
      <c r="D548" s="3" t="str">
        <f ca="1">IF(B548="","",IFERROR(_xludf.XLOOKUP(_xludf.XLOOKUP(B548,Inventory!$A:$A,Inventory!$B:$B),Blades!$A:$A,Blades!$C:$C)+_xludf.XLOOKUP(_xludf.XLOOKUP(B548,Inventory!$A:$A,Inventory!$C:$C),Motor!$A:$A,Motor!$C:$C)+_xludf.XLOOKUP(_xludf.XLOOKUP(B548,Inventory!$A:$A,Inventory!$D:$D),Frame!$A:$A,Frame!$C:$C)+#REF!,""))</f>
        <v/>
      </c>
      <c r="E548" s="4">
        <v>44527</v>
      </c>
      <c r="F548" s="1" t="s">
        <v>63</v>
      </c>
    </row>
    <row r="549" spans="1:6" x14ac:dyDescent="0.25">
      <c r="A549" s="1" t="s">
        <v>1108</v>
      </c>
      <c r="B549" s="1" t="s">
        <v>1109</v>
      </c>
      <c r="C549" s="3">
        <v>200</v>
      </c>
      <c r="D549" s="3" t="str">
        <f ca="1">IF(B549="","",IFERROR(_xludf.XLOOKUP(_xludf.XLOOKUP(B549,Inventory!$A:$A,Inventory!$B:$B),Blades!$A:$A,Blades!$C:$C)+_xludf.XLOOKUP(_xludf.XLOOKUP(B549,Inventory!$A:$A,Inventory!$C:$C),Motor!$A:$A,Motor!$C:$C)+_xludf.XLOOKUP(_xludf.XLOOKUP(B549,Inventory!$A:$A,Inventory!$D:$D),Frame!$A:$A,Frame!$C:$C)+#REF!,""))</f>
        <v/>
      </c>
      <c r="E549" s="4">
        <v>44527</v>
      </c>
      <c r="F549" s="1" t="s">
        <v>32</v>
      </c>
    </row>
    <row r="550" spans="1:6" x14ac:dyDescent="0.25">
      <c r="A550" s="1" t="s">
        <v>1110</v>
      </c>
      <c r="B550" s="1" t="s">
        <v>1111</v>
      </c>
      <c r="C550" s="3">
        <v>200</v>
      </c>
      <c r="D550" s="3" t="str">
        <f ca="1">IF(B550="","",IFERROR(_xludf.XLOOKUP(_xludf.XLOOKUP(B550,Inventory!$A:$A,Inventory!$B:$B),Blades!$A:$A,Blades!$C:$C)+_xludf.XLOOKUP(_xludf.XLOOKUP(B550,Inventory!$A:$A,Inventory!$C:$C),Motor!$A:$A,Motor!$C:$C)+_xludf.XLOOKUP(_xludf.XLOOKUP(B550,Inventory!$A:$A,Inventory!$D:$D),Frame!$A:$A,Frame!$C:$C)+#REF!,""))</f>
        <v/>
      </c>
      <c r="E550" s="4">
        <v>44527</v>
      </c>
      <c r="F550" s="1" t="s">
        <v>25</v>
      </c>
    </row>
    <row r="551" spans="1:6" x14ac:dyDescent="0.25">
      <c r="A551" s="1" t="s">
        <v>1112</v>
      </c>
      <c r="B551" s="1" t="s">
        <v>1113</v>
      </c>
      <c r="C551" s="3">
        <v>200</v>
      </c>
      <c r="D551" s="3" t="str">
        <f ca="1">IF(B551="","",IFERROR(_xludf.XLOOKUP(_xludf.XLOOKUP(B551,Inventory!$A:$A,Inventory!$B:$B),Blades!$A:$A,Blades!$C:$C)+_xludf.XLOOKUP(_xludf.XLOOKUP(B551,Inventory!$A:$A,Inventory!$C:$C),Motor!$A:$A,Motor!$C:$C)+_xludf.XLOOKUP(_xludf.XLOOKUP(B551,Inventory!$A:$A,Inventory!$D:$D),Frame!$A:$A,Frame!$C:$C)+#REF!,""))</f>
        <v/>
      </c>
      <c r="E551" s="4">
        <v>44527</v>
      </c>
      <c r="F551" s="1" t="s">
        <v>52</v>
      </c>
    </row>
    <row r="552" spans="1:6" x14ac:dyDescent="0.25">
      <c r="A552" s="1" t="s">
        <v>1114</v>
      </c>
      <c r="B552" s="1" t="s">
        <v>1115</v>
      </c>
      <c r="C552" s="3">
        <v>200</v>
      </c>
      <c r="D552" s="3" t="str">
        <f ca="1">IF(B552="","",IFERROR(_xludf.XLOOKUP(_xludf.XLOOKUP(B552,Inventory!$A:$A,Inventory!$B:$B),Blades!$A:$A,Blades!$C:$C)+_xludf.XLOOKUP(_xludf.XLOOKUP(B552,Inventory!$A:$A,Inventory!$C:$C),Motor!$A:$A,Motor!$C:$C)+_xludf.XLOOKUP(_xludf.XLOOKUP(B552,Inventory!$A:$A,Inventory!$D:$D),Frame!$A:$A,Frame!$C:$C)+#REF!,""))</f>
        <v/>
      </c>
      <c r="E552" s="4">
        <v>44528</v>
      </c>
      <c r="F552" s="1" t="s">
        <v>8</v>
      </c>
    </row>
    <row r="553" spans="1:6" x14ac:dyDescent="0.25">
      <c r="A553" s="1" t="s">
        <v>1116</v>
      </c>
      <c r="B553" s="1" t="s">
        <v>1117</v>
      </c>
      <c r="C553" s="3">
        <v>200</v>
      </c>
      <c r="D553" s="3" t="str">
        <f ca="1">IF(B553="","",IFERROR(_xludf.XLOOKUP(_xludf.XLOOKUP(B553,Inventory!$A:$A,Inventory!$B:$B),Blades!$A:$A,Blades!$C:$C)+_xludf.XLOOKUP(_xludf.XLOOKUP(B553,Inventory!$A:$A,Inventory!$C:$C),Motor!$A:$A,Motor!$C:$C)+_xludf.XLOOKUP(_xludf.XLOOKUP(B553,Inventory!$A:$A,Inventory!$D:$D),Frame!$A:$A,Frame!$C:$C)+#REF!,""))</f>
        <v/>
      </c>
      <c r="E553" s="4">
        <v>44529</v>
      </c>
      <c r="F553" s="1" t="s">
        <v>11</v>
      </c>
    </row>
    <row r="554" spans="1:6" x14ac:dyDescent="0.25">
      <c r="A554" s="1" t="s">
        <v>1118</v>
      </c>
      <c r="B554" s="1" t="s">
        <v>1119</v>
      </c>
      <c r="C554" s="3">
        <v>200</v>
      </c>
      <c r="D554" s="3" t="str">
        <f ca="1">IF(B554="","",IFERROR(_xludf.XLOOKUP(_xludf.XLOOKUP(B554,Inventory!$A:$A,Inventory!$B:$B),Blades!$A:$A,Blades!$C:$C)+_xludf.XLOOKUP(_xludf.XLOOKUP(B554,Inventory!$A:$A,Inventory!$C:$C),Motor!$A:$A,Motor!$C:$C)+_xludf.XLOOKUP(_xludf.XLOOKUP(B554,Inventory!$A:$A,Inventory!$D:$D),Frame!$A:$A,Frame!$C:$C)+#REF!,""))</f>
        <v/>
      </c>
      <c r="E554" s="4">
        <v>44530</v>
      </c>
      <c r="F554" s="1" t="s">
        <v>49</v>
      </c>
    </row>
    <row r="555" spans="1:6" x14ac:dyDescent="0.25">
      <c r="A555" s="1" t="s">
        <v>1120</v>
      </c>
      <c r="B555" s="1" t="s">
        <v>1121</v>
      </c>
      <c r="C555" s="3">
        <v>200</v>
      </c>
      <c r="D555" s="3" t="str">
        <f ca="1">IF(B555="","",IFERROR(_xludf.XLOOKUP(_xludf.XLOOKUP(B555,Inventory!$A:$A,Inventory!$B:$B),Blades!$A:$A,Blades!$C:$C)+_xludf.XLOOKUP(_xludf.XLOOKUP(B555,Inventory!$A:$A,Inventory!$C:$C),Motor!$A:$A,Motor!$C:$C)+_xludf.XLOOKUP(_xludf.XLOOKUP(B555,Inventory!$A:$A,Inventory!$D:$D),Frame!$A:$A,Frame!$C:$C)+#REF!,""))</f>
        <v/>
      </c>
      <c r="E555" s="4">
        <v>44532</v>
      </c>
      <c r="F555" s="1" t="s">
        <v>52</v>
      </c>
    </row>
    <row r="556" spans="1:6" x14ac:dyDescent="0.25">
      <c r="A556" s="1" t="s">
        <v>1122</v>
      </c>
      <c r="B556" s="1" t="s">
        <v>1123</v>
      </c>
      <c r="C556" s="3">
        <v>200</v>
      </c>
      <c r="D556" s="3" t="str">
        <f ca="1">IF(B556="","",IFERROR(_xludf.XLOOKUP(_xludf.XLOOKUP(B556,Inventory!$A:$A,Inventory!$B:$B),Blades!$A:$A,Blades!$C:$C)+_xludf.XLOOKUP(_xludf.XLOOKUP(B556,Inventory!$A:$A,Inventory!$C:$C),Motor!$A:$A,Motor!$C:$C)+_xludf.XLOOKUP(_xludf.XLOOKUP(B556,Inventory!$A:$A,Inventory!$D:$D),Frame!$A:$A,Frame!$C:$C)+#REF!,""))</f>
        <v/>
      </c>
      <c r="E556" s="4">
        <v>44532</v>
      </c>
      <c r="F556" s="1" t="s">
        <v>25</v>
      </c>
    </row>
    <row r="557" spans="1:6" x14ac:dyDescent="0.25">
      <c r="A557" s="1" t="s">
        <v>1124</v>
      </c>
      <c r="B557" s="1" t="s">
        <v>1125</v>
      </c>
      <c r="C557" s="3">
        <v>200</v>
      </c>
      <c r="D557" s="3" t="str">
        <f ca="1">IF(B557="","",IFERROR(_xludf.XLOOKUP(_xludf.XLOOKUP(B557,Inventory!$A:$A,Inventory!$B:$B),Blades!$A:$A,Blades!$C:$C)+_xludf.XLOOKUP(_xludf.XLOOKUP(B557,Inventory!$A:$A,Inventory!$C:$C),Motor!$A:$A,Motor!$C:$C)+_xludf.XLOOKUP(_xludf.XLOOKUP(B557,Inventory!$A:$A,Inventory!$D:$D),Frame!$A:$A,Frame!$C:$C)+#REF!,""))</f>
        <v/>
      </c>
      <c r="E557" s="4">
        <v>44533</v>
      </c>
      <c r="F557" s="1" t="s">
        <v>52</v>
      </c>
    </row>
    <row r="558" spans="1:6" x14ac:dyDescent="0.25">
      <c r="A558" s="1" t="s">
        <v>1126</v>
      </c>
      <c r="B558" s="1" t="s">
        <v>1127</v>
      </c>
      <c r="C558" s="3">
        <v>200</v>
      </c>
      <c r="D558" s="3" t="str">
        <f ca="1">IF(B558="","",IFERROR(_xludf.XLOOKUP(_xludf.XLOOKUP(B558,Inventory!$A:$A,Inventory!$B:$B),Blades!$A:$A,Blades!$C:$C)+_xludf.XLOOKUP(_xludf.XLOOKUP(B558,Inventory!$A:$A,Inventory!$C:$C),Motor!$A:$A,Motor!$C:$C)+_xludf.XLOOKUP(_xludf.XLOOKUP(B558,Inventory!$A:$A,Inventory!$D:$D),Frame!$A:$A,Frame!$C:$C)+#REF!,""))</f>
        <v/>
      </c>
      <c r="E558" s="4">
        <v>44535</v>
      </c>
      <c r="F558" s="1" t="s">
        <v>52</v>
      </c>
    </row>
    <row r="559" spans="1:6" x14ac:dyDescent="0.25">
      <c r="A559" s="1" t="s">
        <v>1128</v>
      </c>
      <c r="B559" s="1" t="s">
        <v>1129</v>
      </c>
      <c r="C559" s="3">
        <v>200</v>
      </c>
      <c r="D559" s="3" t="str">
        <f ca="1">IF(B559="","",IFERROR(_xludf.XLOOKUP(_xludf.XLOOKUP(B559,Inventory!$A:$A,Inventory!$B:$B),Blades!$A:$A,Blades!$C:$C)+_xludf.XLOOKUP(_xludf.XLOOKUP(B559,Inventory!$A:$A,Inventory!$C:$C),Motor!$A:$A,Motor!$C:$C)+_xludf.XLOOKUP(_xludf.XLOOKUP(B559,Inventory!$A:$A,Inventory!$D:$D),Frame!$A:$A,Frame!$C:$C)+#REF!,""))</f>
        <v/>
      </c>
      <c r="E559" s="4">
        <v>44536</v>
      </c>
      <c r="F559" s="1" t="s">
        <v>11</v>
      </c>
    </row>
    <row r="560" spans="1:6" x14ac:dyDescent="0.25">
      <c r="A560" s="1" t="s">
        <v>1130</v>
      </c>
      <c r="B560" s="1" t="s">
        <v>1131</v>
      </c>
      <c r="C560" s="3">
        <v>200</v>
      </c>
      <c r="D560" s="3" t="str">
        <f ca="1">IF(B560="","",IFERROR(_xludf.XLOOKUP(_xludf.XLOOKUP(B560,Inventory!$A:$A,Inventory!$B:$B),Blades!$A:$A,Blades!$C:$C)+_xludf.XLOOKUP(_xludf.XLOOKUP(B560,Inventory!$A:$A,Inventory!$C:$C),Motor!$A:$A,Motor!$C:$C)+_xludf.XLOOKUP(_xludf.XLOOKUP(B560,Inventory!$A:$A,Inventory!$D:$D),Frame!$A:$A,Frame!$C:$C)+#REF!,""))</f>
        <v/>
      </c>
      <c r="E560" s="4">
        <v>44536</v>
      </c>
      <c r="F560" s="1" t="s">
        <v>49</v>
      </c>
    </row>
    <row r="561" spans="1:6" x14ac:dyDescent="0.25">
      <c r="A561" s="1" t="s">
        <v>1132</v>
      </c>
      <c r="B561" s="1" t="s">
        <v>1133</v>
      </c>
      <c r="C561" s="3">
        <v>200</v>
      </c>
      <c r="D561" s="3" t="str">
        <f ca="1">IF(B561="","",IFERROR(_xludf.XLOOKUP(_xludf.XLOOKUP(B561,Inventory!$A:$A,Inventory!$B:$B),Blades!$A:$A,Blades!$C:$C)+_xludf.XLOOKUP(_xludf.XLOOKUP(B561,Inventory!$A:$A,Inventory!$C:$C),Motor!$A:$A,Motor!$C:$C)+_xludf.XLOOKUP(_xludf.XLOOKUP(B561,Inventory!$A:$A,Inventory!$D:$D),Frame!$A:$A,Frame!$C:$C)+#REF!,""))</f>
        <v/>
      </c>
      <c r="E561" s="4">
        <v>44538</v>
      </c>
      <c r="F561" s="1" t="s">
        <v>49</v>
      </c>
    </row>
    <row r="562" spans="1:6" x14ac:dyDescent="0.25">
      <c r="A562" s="1" t="s">
        <v>1134</v>
      </c>
      <c r="B562" s="1" t="s">
        <v>1135</v>
      </c>
      <c r="C562" s="3">
        <v>200</v>
      </c>
      <c r="D562" s="3" t="str">
        <f ca="1">IF(B562="","",IFERROR(_xludf.XLOOKUP(_xludf.XLOOKUP(B562,Inventory!$A:$A,Inventory!$B:$B),Blades!$A:$A,Blades!$C:$C)+_xludf.XLOOKUP(_xludf.XLOOKUP(B562,Inventory!$A:$A,Inventory!$C:$C),Motor!$A:$A,Motor!$C:$C)+_xludf.XLOOKUP(_xludf.XLOOKUP(B562,Inventory!$A:$A,Inventory!$D:$D),Frame!$A:$A,Frame!$C:$C)+#REF!,""))</f>
        <v/>
      </c>
      <c r="E562" s="4">
        <v>44539</v>
      </c>
      <c r="F562" s="1" t="s">
        <v>11</v>
      </c>
    </row>
    <row r="563" spans="1:6" x14ac:dyDescent="0.25">
      <c r="A563" s="1" t="s">
        <v>1136</v>
      </c>
      <c r="B563" s="1" t="s">
        <v>1137</v>
      </c>
      <c r="C563" s="3">
        <v>200</v>
      </c>
      <c r="D563" s="3" t="str">
        <f ca="1">IF(B563="","",IFERROR(_xludf.XLOOKUP(_xludf.XLOOKUP(B563,Inventory!$A:$A,Inventory!$B:$B),Blades!$A:$A,Blades!$C:$C)+_xludf.XLOOKUP(_xludf.XLOOKUP(B563,Inventory!$A:$A,Inventory!$C:$C),Motor!$A:$A,Motor!$C:$C)+_xludf.XLOOKUP(_xludf.XLOOKUP(B563,Inventory!$A:$A,Inventory!$D:$D),Frame!$A:$A,Frame!$C:$C)+#REF!,""))</f>
        <v/>
      </c>
      <c r="E563" s="4">
        <v>44540</v>
      </c>
      <c r="F563" s="1" t="s">
        <v>25</v>
      </c>
    </row>
    <row r="564" spans="1:6" x14ac:dyDescent="0.25">
      <c r="A564" s="1" t="s">
        <v>1138</v>
      </c>
      <c r="B564" s="1" t="s">
        <v>1139</v>
      </c>
      <c r="C564" s="3">
        <v>200</v>
      </c>
      <c r="D564" s="3" t="str">
        <f ca="1">IF(B564="","",IFERROR(_xludf.XLOOKUP(_xludf.XLOOKUP(B564,Inventory!$A:$A,Inventory!$B:$B),Blades!$A:$A,Blades!$C:$C)+_xludf.XLOOKUP(_xludf.XLOOKUP(B564,Inventory!$A:$A,Inventory!$C:$C),Motor!$A:$A,Motor!$C:$C)+_xludf.XLOOKUP(_xludf.XLOOKUP(B564,Inventory!$A:$A,Inventory!$D:$D),Frame!$A:$A,Frame!$C:$C)+#REF!,""))</f>
        <v/>
      </c>
      <c r="E564" s="4">
        <v>44540</v>
      </c>
      <c r="F564" s="1" t="s">
        <v>63</v>
      </c>
    </row>
    <row r="565" spans="1:6" x14ac:dyDescent="0.25">
      <c r="A565" s="1" t="s">
        <v>1140</v>
      </c>
      <c r="B565" s="1" t="s">
        <v>1141</v>
      </c>
      <c r="C565" s="3">
        <v>200</v>
      </c>
      <c r="D565" s="3" t="str">
        <f ca="1">IF(B565="","",IFERROR(_xludf.XLOOKUP(_xludf.XLOOKUP(B565,Inventory!$A:$A,Inventory!$B:$B),Blades!$A:$A,Blades!$C:$C)+_xludf.XLOOKUP(_xludf.XLOOKUP(B565,Inventory!$A:$A,Inventory!$C:$C),Motor!$A:$A,Motor!$C:$C)+_xludf.XLOOKUP(_xludf.XLOOKUP(B565,Inventory!$A:$A,Inventory!$D:$D),Frame!$A:$A,Frame!$C:$C)+#REF!,""))</f>
        <v/>
      </c>
      <c r="E565" s="4">
        <v>44543</v>
      </c>
      <c r="F565" s="1" t="s">
        <v>20</v>
      </c>
    </row>
    <row r="566" spans="1:6" x14ac:dyDescent="0.25">
      <c r="A566" s="1" t="s">
        <v>1142</v>
      </c>
      <c r="B566" s="1" t="s">
        <v>1143</v>
      </c>
      <c r="C566" s="3">
        <v>200</v>
      </c>
      <c r="D566" s="3" t="str">
        <f ca="1">IF(B566="","",IFERROR(_xludf.XLOOKUP(_xludf.XLOOKUP(B566,Inventory!$A:$A,Inventory!$B:$B),Blades!$A:$A,Blades!$C:$C)+_xludf.XLOOKUP(_xludf.XLOOKUP(B566,Inventory!$A:$A,Inventory!$C:$C),Motor!$A:$A,Motor!$C:$C)+_xludf.XLOOKUP(_xludf.XLOOKUP(B566,Inventory!$A:$A,Inventory!$D:$D),Frame!$A:$A,Frame!$C:$C)+#REF!,""))</f>
        <v/>
      </c>
      <c r="E566" s="4">
        <v>44544</v>
      </c>
      <c r="F566" s="1" t="s">
        <v>63</v>
      </c>
    </row>
    <row r="567" spans="1:6" x14ac:dyDescent="0.25">
      <c r="A567" s="1" t="s">
        <v>1144</v>
      </c>
      <c r="B567" s="1" t="s">
        <v>1145</v>
      </c>
      <c r="C567" s="3">
        <v>200</v>
      </c>
      <c r="D567" s="3" t="str">
        <f ca="1">IF(B567="","",IFERROR(_xludf.XLOOKUP(_xludf.XLOOKUP(B567,Inventory!$A:$A,Inventory!$B:$B),Blades!$A:$A,Blades!$C:$C)+_xludf.XLOOKUP(_xludf.XLOOKUP(B567,Inventory!$A:$A,Inventory!$C:$C),Motor!$A:$A,Motor!$C:$C)+_xludf.XLOOKUP(_xludf.XLOOKUP(B567,Inventory!$A:$A,Inventory!$D:$D),Frame!$A:$A,Frame!$C:$C)+#REF!,""))</f>
        <v/>
      </c>
      <c r="E567" s="4">
        <v>44544</v>
      </c>
      <c r="F567" s="1" t="s">
        <v>32</v>
      </c>
    </row>
    <row r="568" spans="1:6" x14ac:dyDescent="0.25">
      <c r="A568" s="1" t="s">
        <v>1146</v>
      </c>
      <c r="B568" s="1" t="s">
        <v>1147</v>
      </c>
      <c r="C568" s="3">
        <v>200</v>
      </c>
      <c r="D568" s="3" t="str">
        <f ca="1">IF(B568="","",IFERROR(_xludf.XLOOKUP(_xludf.XLOOKUP(B568,Inventory!$A:$A,Inventory!$B:$B),Blades!$A:$A,Blades!$C:$C)+_xludf.XLOOKUP(_xludf.XLOOKUP(B568,Inventory!$A:$A,Inventory!$C:$C),Motor!$A:$A,Motor!$C:$C)+_xludf.XLOOKUP(_xludf.XLOOKUP(B568,Inventory!$A:$A,Inventory!$D:$D),Frame!$A:$A,Frame!$C:$C)+#REF!,""))</f>
        <v/>
      </c>
      <c r="E568" s="4">
        <v>44544</v>
      </c>
      <c r="F568" s="1" t="s">
        <v>11</v>
      </c>
    </row>
    <row r="569" spans="1:6" x14ac:dyDescent="0.25">
      <c r="A569" s="1" t="s">
        <v>1148</v>
      </c>
      <c r="B569" s="1" t="s">
        <v>1149</v>
      </c>
      <c r="C569" s="3">
        <v>200</v>
      </c>
      <c r="D569" s="3" t="str">
        <f ca="1">IF(B569="","",IFERROR(_xludf.XLOOKUP(_xludf.XLOOKUP(B569,Inventory!$A:$A,Inventory!$B:$B),Blades!$A:$A,Blades!$C:$C)+_xludf.XLOOKUP(_xludf.XLOOKUP(B569,Inventory!$A:$A,Inventory!$C:$C),Motor!$A:$A,Motor!$C:$C)+_xludf.XLOOKUP(_xludf.XLOOKUP(B569,Inventory!$A:$A,Inventory!$D:$D),Frame!$A:$A,Frame!$C:$C)+#REF!,""))</f>
        <v/>
      </c>
      <c r="E569" s="4">
        <v>44545</v>
      </c>
      <c r="F569" s="1" t="s">
        <v>52</v>
      </c>
    </row>
    <row r="570" spans="1:6" x14ac:dyDescent="0.25">
      <c r="A570" s="1" t="s">
        <v>1150</v>
      </c>
      <c r="B570" s="1" t="s">
        <v>1151</v>
      </c>
      <c r="C570" s="3">
        <v>200</v>
      </c>
      <c r="D570" s="3" t="str">
        <f ca="1">IF(B570="","",IFERROR(_xludf.XLOOKUP(_xludf.XLOOKUP(B570,Inventory!$A:$A,Inventory!$B:$B),Blades!$A:$A,Blades!$C:$C)+_xludf.XLOOKUP(_xludf.XLOOKUP(B570,Inventory!$A:$A,Inventory!$C:$C),Motor!$A:$A,Motor!$C:$C)+_xludf.XLOOKUP(_xludf.XLOOKUP(B570,Inventory!$A:$A,Inventory!$D:$D),Frame!$A:$A,Frame!$C:$C)+#REF!,""))</f>
        <v/>
      </c>
      <c r="E570" s="4">
        <v>44547</v>
      </c>
      <c r="F570" s="1" t="s">
        <v>8</v>
      </c>
    </row>
    <row r="571" spans="1:6" x14ac:dyDescent="0.25">
      <c r="A571" s="1" t="s">
        <v>1152</v>
      </c>
      <c r="B571" s="1" t="s">
        <v>1153</v>
      </c>
      <c r="C571" s="3">
        <v>200</v>
      </c>
      <c r="D571" s="3" t="str">
        <f ca="1">IF(B571="","",IFERROR(_xludf.XLOOKUP(_xludf.XLOOKUP(B571,Inventory!$A:$A,Inventory!$B:$B),Blades!$A:$A,Blades!$C:$C)+_xludf.XLOOKUP(_xludf.XLOOKUP(B571,Inventory!$A:$A,Inventory!$C:$C),Motor!$A:$A,Motor!$C:$C)+_xludf.XLOOKUP(_xludf.XLOOKUP(B571,Inventory!$A:$A,Inventory!$D:$D),Frame!$A:$A,Frame!$C:$C)+#REF!,""))</f>
        <v/>
      </c>
      <c r="E571" s="4">
        <v>44550</v>
      </c>
      <c r="F571" s="1" t="s">
        <v>32</v>
      </c>
    </row>
    <row r="572" spans="1:6" x14ac:dyDescent="0.25">
      <c r="A572" s="1" t="s">
        <v>1154</v>
      </c>
      <c r="B572" s="1" t="s">
        <v>1155</v>
      </c>
      <c r="C572" s="3">
        <v>200</v>
      </c>
      <c r="D572" s="3" t="str">
        <f ca="1">IF(B572="","",IFERROR(_xludf.XLOOKUP(_xludf.XLOOKUP(B572,Inventory!$A:$A,Inventory!$B:$B),Blades!$A:$A,Blades!$C:$C)+_xludf.XLOOKUP(_xludf.XLOOKUP(B572,Inventory!$A:$A,Inventory!$C:$C),Motor!$A:$A,Motor!$C:$C)+_xludf.XLOOKUP(_xludf.XLOOKUP(B572,Inventory!$A:$A,Inventory!$D:$D),Frame!$A:$A,Frame!$C:$C)+#REF!,""))</f>
        <v/>
      </c>
      <c r="E572" s="4">
        <v>44551</v>
      </c>
      <c r="F572" s="1" t="s">
        <v>32</v>
      </c>
    </row>
    <row r="573" spans="1:6" x14ac:dyDescent="0.25">
      <c r="A573" s="1" t="s">
        <v>1156</v>
      </c>
      <c r="B573" s="1" t="s">
        <v>1157</v>
      </c>
      <c r="C573" s="3">
        <v>200</v>
      </c>
      <c r="D573" s="3" t="str">
        <f ca="1">IF(B573="","",IFERROR(_xludf.XLOOKUP(_xludf.XLOOKUP(B573,Inventory!$A:$A,Inventory!$B:$B),Blades!$A:$A,Blades!$C:$C)+_xludf.XLOOKUP(_xludf.XLOOKUP(B573,Inventory!$A:$A,Inventory!$C:$C),Motor!$A:$A,Motor!$C:$C)+_xludf.XLOOKUP(_xludf.XLOOKUP(B573,Inventory!$A:$A,Inventory!$D:$D),Frame!$A:$A,Frame!$C:$C)+#REF!,""))</f>
        <v/>
      </c>
      <c r="E573" s="4">
        <v>44553</v>
      </c>
      <c r="F573" s="1" t="s">
        <v>63</v>
      </c>
    </row>
    <row r="574" spans="1:6" x14ac:dyDescent="0.25">
      <c r="A574" s="1" t="s">
        <v>1158</v>
      </c>
      <c r="B574" s="1" t="s">
        <v>1159</v>
      </c>
      <c r="C574" s="3">
        <v>200</v>
      </c>
      <c r="D574" s="3" t="str">
        <f ca="1">IF(B574="","",IFERROR(_xludf.XLOOKUP(_xludf.XLOOKUP(B574,Inventory!$A:$A,Inventory!$B:$B),Blades!$A:$A,Blades!$C:$C)+_xludf.XLOOKUP(_xludf.XLOOKUP(B574,Inventory!$A:$A,Inventory!$C:$C),Motor!$A:$A,Motor!$C:$C)+_xludf.XLOOKUP(_xludf.XLOOKUP(B574,Inventory!$A:$A,Inventory!$D:$D),Frame!$A:$A,Frame!$C:$C)+#REF!,""))</f>
        <v/>
      </c>
      <c r="E574" s="4">
        <v>44554</v>
      </c>
      <c r="F574" s="1" t="s">
        <v>63</v>
      </c>
    </row>
    <row r="575" spans="1:6" x14ac:dyDescent="0.25">
      <c r="A575" s="1" t="s">
        <v>1160</v>
      </c>
      <c r="B575" s="1" t="s">
        <v>1161</v>
      </c>
      <c r="C575" s="3">
        <v>200</v>
      </c>
      <c r="D575" s="3" t="str">
        <f ca="1">IF(B575="","",IFERROR(_xludf.XLOOKUP(_xludf.XLOOKUP(B575,Inventory!$A:$A,Inventory!$B:$B),Blades!$A:$A,Blades!$C:$C)+_xludf.XLOOKUP(_xludf.XLOOKUP(B575,Inventory!$A:$A,Inventory!$C:$C),Motor!$A:$A,Motor!$C:$C)+_xludf.XLOOKUP(_xludf.XLOOKUP(B575,Inventory!$A:$A,Inventory!$D:$D),Frame!$A:$A,Frame!$C:$C)+#REF!,""))</f>
        <v/>
      </c>
      <c r="E575" s="4">
        <v>44556</v>
      </c>
      <c r="F575" s="1" t="s">
        <v>49</v>
      </c>
    </row>
    <row r="576" spans="1:6" x14ac:dyDescent="0.25">
      <c r="A576" s="1" t="s">
        <v>1162</v>
      </c>
      <c r="B576" s="1" t="s">
        <v>1163</v>
      </c>
      <c r="C576" s="3">
        <v>200</v>
      </c>
      <c r="D576" s="3" t="str">
        <f ca="1">IF(B576="","",IFERROR(_xludf.XLOOKUP(_xludf.XLOOKUP(B576,Inventory!$A:$A,Inventory!$B:$B),Blades!$A:$A,Blades!$C:$C)+_xludf.XLOOKUP(_xludf.XLOOKUP(B576,Inventory!$A:$A,Inventory!$C:$C),Motor!$A:$A,Motor!$C:$C)+_xludf.XLOOKUP(_xludf.XLOOKUP(B576,Inventory!$A:$A,Inventory!$D:$D),Frame!$A:$A,Frame!$C:$C)+#REF!,""))</f>
        <v/>
      </c>
      <c r="E576" s="4">
        <v>44557</v>
      </c>
      <c r="F576" s="1" t="s">
        <v>11</v>
      </c>
    </row>
    <row r="577" spans="1:6" x14ac:dyDescent="0.25">
      <c r="A577" s="1" t="s">
        <v>1164</v>
      </c>
      <c r="B577" s="1" t="s">
        <v>1165</v>
      </c>
      <c r="C577" s="3">
        <v>200</v>
      </c>
      <c r="D577" s="3" t="str">
        <f ca="1">IF(B577="","",IFERROR(_xludf.XLOOKUP(_xludf.XLOOKUP(B577,Inventory!$A:$A,Inventory!$B:$B),Blades!$A:$A,Blades!$C:$C)+_xludf.XLOOKUP(_xludf.XLOOKUP(B577,Inventory!$A:$A,Inventory!$C:$C),Motor!$A:$A,Motor!$C:$C)+_xludf.XLOOKUP(_xludf.XLOOKUP(B577,Inventory!$A:$A,Inventory!$D:$D),Frame!$A:$A,Frame!$C:$C)+#REF!,""))</f>
        <v/>
      </c>
      <c r="E577" s="4">
        <v>44558</v>
      </c>
      <c r="F577" s="1" t="s">
        <v>32</v>
      </c>
    </row>
    <row r="578" spans="1:6" x14ac:dyDescent="0.25">
      <c r="A578" s="1" t="s">
        <v>1166</v>
      </c>
      <c r="B578" s="1" t="s">
        <v>1167</v>
      </c>
      <c r="C578" s="3">
        <v>200</v>
      </c>
      <c r="D578" s="3" t="str">
        <f ca="1">IF(B578="","",IFERROR(_xludf.XLOOKUP(_xludf.XLOOKUP(B578,Inventory!$A:$A,Inventory!$B:$B),Blades!$A:$A,Blades!$C:$C)+_xludf.XLOOKUP(_xludf.XLOOKUP(B578,Inventory!$A:$A,Inventory!$C:$C),Motor!$A:$A,Motor!$C:$C)+_xludf.XLOOKUP(_xludf.XLOOKUP(B578,Inventory!$A:$A,Inventory!$D:$D),Frame!$A:$A,Frame!$C:$C)+#REF!,""))</f>
        <v/>
      </c>
      <c r="E578" s="4">
        <v>44559</v>
      </c>
      <c r="F578" s="1" t="s">
        <v>11</v>
      </c>
    </row>
    <row r="579" spans="1:6" x14ac:dyDescent="0.25">
      <c r="A579" s="1" t="s">
        <v>1168</v>
      </c>
      <c r="B579" s="1" t="s">
        <v>1169</v>
      </c>
      <c r="C579" s="3">
        <v>200</v>
      </c>
      <c r="D579" s="3" t="str">
        <f ca="1">IF(B579="","",IFERROR(_xludf.XLOOKUP(_xludf.XLOOKUP(B579,Inventory!$A:$A,Inventory!$B:$B),Blades!$A:$A,Blades!$C:$C)+_xludf.XLOOKUP(_xludf.XLOOKUP(B579,Inventory!$A:$A,Inventory!$C:$C),Motor!$A:$A,Motor!$C:$C)+_xludf.XLOOKUP(_xludf.XLOOKUP(B579,Inventory!$A:$A,Inventory!$D:$D),Frame!$A:$A,Frame!$C:$C)+#REF!,""))</f>
        <v/>
      </c>
      <c r="E579" s="4">
        <v>44559</v>
      </c>
      <c r="F579" s="1" t="s">
        <v>25</v>
      </c>
    </row>
    <row r="580" spans="1:6" x14ac:dyDescent="0.25">
      <c r="A580" s="1" t="s">
        <v>1170</v>
      </c>
      <c r="B580" s="1" t="s">
        <v>1171</v>
      </c>
      <c r="C580" s="3">
        <v>200</v>
      </c>
      <c r="D580" s="3" t="str">
        <f ca="1">IF(B580="","",IFERROR(_xludf.XLOOKUP(_xludf.XLOOKUP(B580,Inventory!$A:$A,Inventory!$B:$B),Blades!$A:$A,Blades!$C:$C)+_xludf.XLOOKUP(_xludf.XLOOKUP(B580,Inventory!$A:$A,Inventory!$C:$C),Motor!$A:$A,Motor!$C:$C)+_xludf.XLOOKUP(_xludf.XLOOKUP(B580,Inventory!$A:$A,Inventory!$D:$D),Frame!$A:$A,Frame!$C:$C)+#REF!,""))</f>
        <v/>
      </c>
      <c r="E580" s="4">
        <v>44560</v>
      </c>
      <c r="F580" s="1" t="s">
        <v>32</v>
      </c>
    </row>
    <row r="581" spans="1:6" x14ac:dyDescent="0.25">
      <c r="A581" s="1" t="s">
        <v>1172</v>
      </c>
      <c r="B581" s="1" t="s">
        <v>1173</v>
      </c>
      <c r="C581" s="3">
        <v>200</v>
      </c>
      <c r="D581" s="3" t="str">
        <f ca="1">IF(B581="","",IFERROR(_xludf.XLOOKUP(_xludf.XLOOKUP(B581,Inventory!$A:$A,Inventory!$B:$B),Blades!$A:$A,Blades!$C:$C)+_xludf.XLOOKUP(_xludf.XLOOKUP(B581,Inventory!$A:$A,Inventory!$C:$C),Motor!$A:$A,Motor!$C:$C)+_xludf.XLOOKUP(_xludf.XLOOKUP(B581,Inventory!$A:$A,Inventory!$D:$D),Frame!$A:$A,Frame!$C:$C)+#REF!,""))</f>
        <v/>
      </c>
      <c r="E581" s="4">
        <v>44561</v>
      </c>
      <c r="F581" s="1" t="s">
        <v>20</v>
      </c>
    </row>
    <row r="582" spans="1:6" x14ac:dyDescent="0.25">
      <c r="A582" s="1" t="s">
        <v>1174</v>
      </c>
      <c r="B582" s="1" t="s">
        <v>1175</v>
      </c>
      <c r="C582" s="3">
        <v>200</v>
      </c>
      <c r="D582" s="3" t="str">
        <f ca="1">IF(B582="","",IFERROR(_xludf.XLOOKUP(_xludf.XLOOKUP(B582,Inventory!$A:$A,Inventory!$B:$B),Blades!$A:$A,Blades!$C:$C)+_xludf.XLOOKUP(_xludf.XLOOKUP(B582,Inventory!$A:$A,Inventory!$C:$C),Motor!$A:$A,Motor!$C:$C)+_xludf.XLOOKUP(_xludf.XLOOKUP(B582,Inventory!$A:$A,Inventory!$D:$D),Frame!$A:$A,Frame!$C:$C)+#REF!,""))</f>
        <v/>
      </c>
      <c r="E582" s="4">
        <v>44562</v>
      </c>
      <c r="F582" s="1" t="s">
        <v>8</v>
      </c>
    </row>
    <row r="583" spans="1:6" x14ac:dyDescent="0.25">
      <c r="A583" s="1" t="s">
        <v>1176</v>
      </c>
      <c r="B583" s="1" t="s">
        <v>1177</v>
      </c>
      <c r="C583" s="3">
        <v>200</v>
      </c>
      <c r="D583" s="3" t="str">
        <f ca="1">IF(B583="","",IFERROR(_xludf.XLOOKUP(_xludf.XLOOKUP(B583,Inventory!$A:$A,Inventory!$B:$B),Blades!$A:$A,Blades!$C:$C)+_xludf.XLOOKUP(_xludf.XLOOKUP(B583,Inventory!$A:$A,Inventory!$C:$C),Motor!$A:$A,Motor!$C:$C)+_xludf.XLOOKUP(_xludf.XLOOKUP(B583,Inventory!$A:$A,Inventory!$D:$D),Frame!$A:$A,Frame!$C:$C)+#REF!,""))</f>
        <v/>
      </c>
      <c r="E583" s="4">
        <v>44562</v>
      </c>
      <c r="F583" s="1" t="s">
        <v>20</v>
      </c>
    </row>
    <row r="584" spans="1:6" x14ac:dyDescent="0.25">
      <c r="A584" s="1" t="s">
        <v>1178</v>
      </c>
      <c r="B584" s="1" t="s">
        <v>1179</v>
      </c>
      <c r="C584" s="3">
        <v>200</v>
      </c>
      <c r="D584" s="3" t="str">
        <f ca="1">IF(B584="","",IFERROR(_xludf.XLOOKUP(_xludf.XLOOKUP(B584,Inventory!$A:$A,Inventory!$B:$B),Blades!$A:$A,Blades!$C:$C)+_xludf.XLOOKUP(_xludf.XLOOKUP(B584,Inventory!$A:$A,Inventory!$C:$C),Motor!$A:$A,Motor!$C:$C)+_xludf.XLOOKUP(_xludf.XLOOKUP(B584,Inventory!$A:$A,Inventory!$D:$D),Frame!$A:$A,Frame!$C:$C)+#REF!,""))</f>
        <v/>
      </c>
      <c r="E584" s="4">
        <v>44562</v>
      </c>
      <c r="F584" s="1" t="s">
        <v>52</v>
      </c>
    </row>
    <row r="585" spans="1:6" x14ac:dyDescent="0.25">
      <c r="A585" s="1" t="s">
        <v>1180</v>
      </c>
      <c r="B585" s="1" t="s">
        <v>1181</v>
      </c>
      <c r="C585" s="3">
        <v>200</v>
      </c>
      <c r="D585" s="3" t="str">
        <f ca="1">IF(B585="","",IFERROR(_xludf.XLOOKUP(_xludf.XLOOKUP(B585,Inventory!$A:$A,Inventory!$B:$B),Blades!$A:$A,Blades!$C:$C)+_xludf.XLOOKUP(_xludf.XLOOKUP(B585,Inventory!$A:$A,Inventory!$C:$C),Motor!$A:$A,Motor!$C:$C)+_xludf.XLOOKUP(_xludf.XLOOKUP(B585,Inventory!$A:$A,Inventory!$D:$D),Frame!$A:$A,Frame!$C:$C)+#REF!,""))</f>
        <v/>
      </c>
      <c r="E585" s="4">
        <v>44562</v>
      </c>
      <c r="F585" s="1" t="s">
        <v>63</v>
      </c>
    </row>
    <row r="586" spans="1:6" x14ac:dyDescent="0.25">
      <c r="A586" s="1" t="s">
        <v>1182</v>
      </c>
      <c r="B586" s="1" t="s">
        <v>1183</v>
      </c>
      <c r="C586" s="3">
        <v>200</v>
      </c>
      <c r="D586" s="3" t="str">
        <f ca="1">IF(B586="","",IFERROR(_xludf.XLOOKUP(_xludf.XLOOKUP(B586,Inventory!$A:$A,Inventory!$B:$B),Blades!$A:$A,Blades!$C:$C)+_xludf.XLOOKUP(_xludf.XLOOKUP(B586,Inventory!$A:$A,Inventory!$C:$C),Motor!$A:$A,Motor!$C:$C)+_xludf.XLOOKUP(_xludf.XLOOKUP(B586,Inventory!$A:$A,Inventory!$D:$D),Frame!$A:$A,Frame!$C:$C)+#REF!,""))</f>
        <v/>
      </c>
      <c r="E586" s="4">
        <v>44565</v>
      </c>
      <c r="F586" s="1" t="s">
        <v>20</v>
      </c>
    </row>
    <row r="587" spans="1:6" x14ac:dyDescent="0.25">
      <c r="A587" s="1" t="s">
        <v>1184</v>
      </c>
      <c r="B587" s="1" t="s">
        <v>1185</v>
      </c>
      <c r="C587" s="3">
        <v>200</v>
      </c>
      <c r="D587" s="3" t="str">
        <f ca="1">IF(B587="","",IFERROR(_xludf.XLOOKUP(_xludf.XLOOKUP(B587,Inventory!$A:$A,Inventory!$B:$B),Blades!$A:$A,Blades!$C:$C)+_xludf.XLOOKUP(_xludf.XLOOKUP(B587,Inventory!$A:$A,Inventory!$C:$C),Motor!$A:$A,Motor!$C:$C)+_xludf.XLOOKUP(_xludf.XLOOKUP(B587,Inventory!$A:$A,Inventory!$D:$D),Frame!$A:$A,Frame!$C:$C)+#REF!,""))</f>
        <v/>
      </c>
      <c r="E587" s="4">
        <v>44566</v>
      </c>
      <c r="F587" s="1" t="s">
        <v>49</v>
      </c>
    </row>
    <row r="588" spans="1:6" x14ac:dyDescent="0.25">
      <c r="A588" s="1" t="s">
        <v>1186</v>
      </c>
      <c r="B588" s="1" t="s">
        <v>1187</v>
      </c>
      <c r="C588" s="3">
        <v>200</v>
      </c>
      <c r="D588" s="3" t="str">
        <f ca="1">IF(B588="","",IFERROR(_xludf.XLOOKUP(_xludf.XLOOKUP(B588,Inventory!$A:$A,Inventory!$B:$B),Blades!$A:$A,Blades!$C:$C)+_xludf.XLOOKUP(_xludf.XLOOKUP(B588,Inventory!$A:$A,Inventory!$C:$C),Motor!$A:$A,Motor!$C:$C)+_xludf.XLOOKUP(_xludf.XLOOKUP(B588,Inventory!$A:$A,Inventory!$D:$D),Frame!$A:$A,Frame!$C:$C)+#REF!,""))</f>
        <v/>
      </c>
      <c r="E588" s="4">
        <v>44566</v>
      </c>
      <c r="F588" s="1" t="s">
        <v>8</v>
      </c>
    </row>
    <row r="589" spans="1:6" x14ac:dyDescent="0.25">
      <c r="A589" s="1" t="s">
        <v>1188</v>
      </c>
      <c r="B589" s="1" t="s">
        <v>1189</v>
      </c>
      <c r="C589" s="3">
        <v>200</v>
      </c>
      <c r="D589" s="3" t="str">
        <f ca="1">IF(B589="","",IFERROR(_xludf.XLOOKUP(_xludf.XLOOKUP(B589,Inventory!$A:$A,Inventory!$B:$B),Blades!$A:$A,Blades!$C:$C)+_xludf.XLOOKUP(_xludf.XLOOKUP(B589,Inventory!$A:$A,Inventory!$C:$C),Motor!$A:$A,Motor!$C:$C)+_xludf.XLOOKUP(_xludf.XLOOKUP(B589,Inventory!$A:$A,Inventory!$D:$D),Frame!$A:$A,Frame!$C:$C)+#REF!,""))</f>
        <v/>
      </c>
      <c r="E589" s="4">
        <v>44567</v>
      </c>
      <c r="F589" s="1" t="s">
        <v>63</v>
      </c>
    </row>
    <row r="590" spans="1:6" x14ac:dyDescent="0.25">
      <c r="A590" s="1" t="s">
        <v>1190</v>
      </c>
      <c r="B590" s="1" t="s">
        <v>1191</v>
      </c>
      <c r="C590" s="3">
        <v>200</v>
      </c>
      <c r="D590" s="3" t="str">
        <f ca="1">IF(B590="","",IFERROR(_xludf.XLOOKUP(_xludf.XLOOKUP(B590,Inventory!$A:$A,Inventory!$B:$B),Blades!$A:$A,Blades!$C:$C)+_xludf.XLOOKUP(_xludf.XLOOKUP(B590,Inventory!$A:$A,Inventory!$C:$C),Motor!$A:$A,Motor!$C:$C)+_xludf.XLOOKUP(_xludf.XLOOKUP(B590,Inventory!$A:$A,Inventory!$D:$D),Frame!$A:$A,Frame!$C:$C)+#REF!,""))</f>
        <v/>
      </c>
      <c r="E590" s="4">
        <v>44568</v>
      </c>
      <c r="F590" s="1" t="s">
        <v>20</v>
      </c>
    </row>
    <row r="591" spans="1:6" x14ac:dyDescent="0.25">
      <c r="A591" s="1" t="s">
        <v>1192</v>
      </c>
      <c r="B591" s="1" t="s">
        <v>1193</v>
      </c>
      <c r="C591" s="3">
        <v>200</v>
      </c>
      <c r="D591" s="3" t="str">
        <f ca="1">IF(B591="","",IFERROR(_xludf.XLOOKUP(_xludf.XLOOKUP(B591,Inventory!$A:$A,Inventory!$B:$B),Blades!$A:$A,Blades!$C:$C)+_xludf.XLOOKUP(_xludf.XLOOKUP(B591,Inventory!$A:$A,Inventory!$C:$C),Motor!$A:$A,Motor!$C:$C)+_xludf.XLOOKUP(_xludf.XLOOKUP(B591,Inventory!$A:$A,Inventory!$D:$D),Frame!$A:$A,Frame!$C:$C)+#REF!,""))</f>
        <v/>
      </c>
      <c r="E591" s="4">
        <v>44571</v>
      </c>
      <c r="F591" s="1" t="s">
        <v>20</v>
      </c>
    </row>
    <row r="592" spans="1:6" x14ac:dyDescent="0.25">
      <c r="A592" s="1" t="s">
        <v>1194</v>
      </c>
      <c r="B592" s="1" t="s">
        <v>1195</v>
      </c>
      <c r="C592" s="3">
        <v>200</v>
      </c>
      <c r="D592" s="3" t="str">
        <f ca="1">IF(B592="","",IFERROR(_xludf.XLOOKUP(_xludf.XLOOKUP(B592,Inventory!$A:$A,Inventory!$B:$B),Blades!$A:$A,Blades!$C:$C)+_xludf.XLOOKUP(_xludf.XLOOKUP(B592,Inventory!$A:$A,Inventory!$C:$C),Motor!$A:$A,Motor!$C:$C)+_xludf.XLOOKUP(_xludf.XLOOKUP(B592,Inventory!$A:$A,Inventory!$D:$D),Frame!$A:$A,Frame!$C:$C)+#REF!,""))</f>
        <v/>
      </c>
      <c r="E592" s="4">
        <v>44572</v>
      </c>
      <c r="F592" s="1" t="s">
        <v>8</v>
      </c>
    </row>
    <row r="593" spans="1:6" x14ac:dyDescent="0.25">
      <c r="A593" s="1" t="s">
        <v>1196</v>
      </c>
      <c r="B593" s="1" t="s">
        <v>1197</v>
      </c>
      <c r="C593" s="3">
        <v>200</v>
      </c>
      <c r="D593" s="3" t="str">
        <f ca="1">IF(B593="","",IFERROR(_xludf.XLOOKUP(_xludf.XLOOKUP(B593,Inventory!$A:$A,Inventory!$B:$B),Blades!$A:$A,Blades!$C:$C)+_xludf.XLOOKUP(_xludf.XLOOKUP(B593,Inventory!$A:$A,Inventory!$C:$C),Motor!$A:$A,Motor!$C:$C)+_xludf.XLOOKUP(_xludf.XLOOKUP(B593,Inventory!$A:$A,Inventory!$D:$D),Frame!$A:$A,Frame!$C:$C)+#REF!,""))</f>
        <v/>
      </c>
      <c r="E593" s="4">
        <v>44572</v>
      </c>
      <c r="F593" s="1" t="s">
        <v>63</v>
      </c>
    </row>
    <row r="594" spans="1:6" x14ac:dyDescent="0.25">
      <c r="A594" s="1" t="s">
        <v>1198</v>
      </c>
      <c r="B594" s="1" t="s">
        <v>1199</v>
      </c>
      <c r="C594" s="3">
        <v>200</v>
      </c>
      <c r="D594" s="3" t="str">
        <f ca="1">IF(B594="","",IFERROR(_xludf.XLOOKUP(_xludf.XLOOKUP(B594,Inventory!$A:$A,Inventory!$B:$B),Blades!$A:$A,Blades!$C:$C)+_xludf.XLOOKUP(_xludf.XLOOKUP(B594,Inventory!$A:$A,Inventory!$C:$C),Motor!$A:$A,Motor!$C:$C)+_xludf.XLOOKUP(_xludf.XLOOKUP(B594,Inventory!$A:$A,Inventory!$D:$D),Frame!$A:$A,Frame!$C:$C)+#REF!,""))</f>
        <v/>
      </c>
      <c r="E594" s="4">
        <v>44573</v>
      </c>
      <c r="F594" s="1" t="s">
        <v>11</v>
      </c>
    </row>
    <row r="595" spans="1:6" x14ac:dyDescent="0.25">
      <c r="A595" s="1" t="s">
        <v>1200</v>
      </c>
      <c r="B595" s="1" t="s">
        <v>1201</v>
      </c>
      <c r="C595" s="3">
        <v>200</v>
      </c>
      <c r="D595" s="3" t="str">
        <f ca="1">IF(B595="","",IFERROR(_xludf.XLOOKUP(_xludf.XLOOKUP(B595,Inventory!$A:$A,Inventory!$B:$B),Blades!$A:$A,Blades!$C:$C)+_xludf.XLOOKUP(_xludf.XLOOKUP(B595,Inventory!$A:$A,Inventory!$C:$C),Motor!$A:$A,Motor!$C:$C)+_xludf.XLOOKUP(_xludf.XLOOKUP(B595,Inventory!$A:$A,Inventory!$D:$D),Frame!$A:$A,Frame!$C:$C)+#REF!,""))</f>
        <v/>
      </c>
      <c r="E595" s="4">
        <v>44573</v>
      </c>
      <c r="F595" s="1" t="s">
        <v>52</v>
      </c>
    </row>
    <row r="596" spans="1:6" x14ac:dyDescent="0.25">
      <c r="A596" s="1" t="s">
        <v>1202</v>
      </c>
      <c r="B596" s="1" t="s">
        <v>1203</v>
      </c>
      <c r="C596" s="3">
        <v>200</v>
      </c>
      <c r="D596" s="3" t="str">
        <f ca="1">IF(B596="","",IFERROR(_xludf.XLOOKUP(_xludf.XLOOKUP(B596,Inventory!$A:$A,Inventory!$B:$B),Blades!$A:$A,Blades!$C:$C)+_xludf.XLOOKUP(_xludf.XLOOKUP(B596,Inventory!$A:$A,Inventory!$C:$C),Motor!$A:$A,Motor!$C:$C)+_xludf.XLOOKUP(_xludf.XLOOKUP(B596,Inventory!$A:$A,Inventory!$D:$D),Frame!$A:$A,Frame!$C:$C)+#REF!,""))</f>
        <v/>
      </c>
      <c r="E596" s="4">
        <v>44574</v>
      </c>
      <c r="F596" s="1" t="s">
        <v>20</v>
      </c>
    </row>
    <row r="597" spans="1:6" x14ac:dyDescent="0.25">
      <c r="A597" s="1" t="s">
        <v>1204</v>
      </c>
      <c r="B597" s="1" t="s">
        <v>1205</v>
      </c>
      <c r="C597" s="3">
        <v>200</v>
      </c>
      <c r="D597" s="3" t="str">
        <f ca="1">IF(B597="","",IFERROR(_xludf.XLOOKUP(_xludf.XLOOKUP(B597,Inventory!$A:$A,Inventory!$B:$B),Blades!$A:$A,Blades!$C:$C)+_xludf.XLOOKUP(_xludf.XLOOKUP(B597,Inventory!$A:$A,Inventory!$C:$C),Motor!$A:$A,Motor!$C:$C)+_xludf.XLOOKUP(_xludf.XLOOKUP(B597,Inventory!$A:$A,Inventory!$D:$D),Frame!$A:$A,Frame!$C:$C)+#REF!,""))</f>
        <v/>
      </c>
      <c r="E597" s="4">
        <v>44575</v>
      </c>
      <c r="F597" s="1" t="s">
        <v>52</v>
      </c>
    </row>
    <row r="598" spans="1:6" x14ac:dyDescent="0.25">
      <c r="A598" s="1" t="s">
        <v>1206</v>
      </c>
      <c r="B598" s="1" t="s">
        <v>1207</v>
      </c>
      <c r="C598" s="3">
        <v>200</v>
      </c>
      <c r="D598" s="3" t="str">
        <f ca="1">IF(B598="","",IFERROR(_xludf.XLOOKUP(_xludf.XLOOKUP(B598,Inventory!$A:$A,Inventory!$B:$B),Blades!$A:$A,Blades!$C:$C)+_xludf.XLOOKUP(_xludf.XLOOKUP(B598,Inventory!$A:$A,Inventory!$C:$C),Motor!$A:$A,Motor!$C:$C)+_xludf.XLOOKUP(_xludf.XLOOKUP(B598,Inventory!$A:$A,Inventory!$D:$D),Frame!$A:$A,Frame!$C:$C)+#REF!,""))</f>
        <v/>
      </c>
      <c r="E598" s="4">
        <v>44576</v>
      </c>
      <c r="F598" s="1" t="s">
        <v>25</v>
      </c>
    </row>
    <row r="599" spans="1:6" x14ac:dyDescent="0.25">
      <c r="A599" s="1" t="s">
        <v>1208</v>
      </c>
      <c r="B599" s="1" t="s">
        <v>1209</v>
      </c>
      <c r="C599" s="3">
        <v>200</v>
      </c>
      <c r="D599" s="3" t="str">
        <f ca="1">IF(B599="","",IFERROR(_xludf.XLOOKUP(_xludf.XLOOKUP(B599,Inventory!$A:$A,Inventory!$B:$B),Blades!$A:$A,Blades!$C:$C)+_xludf.XLOOKUP(_xludf.XLOOKUP(B599,Inventory!$A:$A,Inventory!$C:$C),Motor!$A:$A,Motor!$C:$C)+_xludf.XLOOKUP(_xludf.XLOOKUP(B599,Inventory!$A:$A,Inventory!$D:$D),Frame!$A:$A,Frame!$C:$C)+#REF!,""))</f>
        <v/>
      </c>
      <c r="E599" s="4">
        <v>44577</v>
      </c>
      <c r="F599" s="1" t="s">
        <v>32</v>
      </c>
    </row>
    <row r="600" spans="1:6" x14ac:dyDescent="0.25">
      <c r="A600" s="1" t="s">
        <v>1210</v>
      </c>
      <c r="B600" s="1" t="s">
        <v>1211</v>
      </c>
      <c r="C600" s="3">
        <v>200</v>
      </c>
      <c r="D600" s="3" t="str">
        <f ca="1">IF(B600="","",IFERROR(_xludf.XLOOKUP(_xludf.XLOOKUP(B600,Inventory!$A:$A,Inventory!$B:$B),Blades!$A:$A,Blades!$C:$C)+_xludf.XLOOKUP(_xludf.XLOOKUP(B600,Inventory!$A:$A,Inventory!$C:$C),Motor!$A:$A,Motor!$C:$C)+_xludf.XLOOKUP(_xludf.XLOOKUP(B600,Inventory!$A:$A,Inventory!$D:$D),Frame!$A:$A,Frame!$C:$C)+#REF!,""))</f>
        <v/>
      </c>
      <c r="E600" s="4">
        <v>44577</v>
      </c>
      <c r="F600" s="1" t="s">
        <v>32</v>
      </c>
    </row>
    <row r="601" spans="1:6" x14ac:dyDescent="0.25">
      <c r="A601" s="1" t="s">
        <v>1212</v>
      </c>
      <c r="B601" s="1" t="s">
        <v>1213</v>
      </c>
      <c r="C601" s="3">
        <v>200</v>
      </c>
      <c r="D601" s="3" t="str">
        <f ca="1">IF(B601="","",IFERROR(_xludf.XLOOKUP(_xludf.XLOOKUP(B601,Inventory!$A:$A,Inventory!$B:$B),Blades!$A:$A,Blades!$C:$C)+_xludf.XLOOKUP(_xludf.XLOOKUP(B601,Inventory!$A:$A,Inventory!$C:$C),Motor!$A:$A,Motor!$C:$C)+_xludf.XLOOKUP(_xludf.XLOOKUP(B601,Inventory!$A:$A,Inventory!$D:$D),Frame!$A:$A,Frame!$C:$C)+#REF!,""))</f>
        <v/>
      </c>
      <c r="E601" s="4">
        <v>44577</v>
      </c>
      <c r="F601" s="1" t="s">
        <v>20</v>
      </c>
    </row>
    <row r="602" spans="1:6" x14ac:dyDescent="0.25">
      <c r="A602" s="1" t="s">
        <v>1214</v>
      </c>
      <c r="B602" s="1" t="s">
        <v>1215</v>
      </c>
      <c r="C602" s="3">
        <v>200</v>
      </c>
      <c r="D602" s="3" t="str">
        <f ca="1">IF(B602="","",IFERROR(_xludf.XLOOKUP(_xludf.XLOOKUP(B602,Inventory!$A:$A,Inventory!$B:$B),Blades!$A:$A,Blades!$C:$C)+_xludf.XLOOKUP(_xludf.XLOOKUP(B602,Inventory!$A:$A,Inventory!$C:$C),Motor!$A:$A,Motor!$C:$C)+_xludf.XLOOKUP(_xludf.XLOOKUP(B602,Inventory!$A:$A,Inventory!$D:$D),Frame!$A:$A,Frame!$C:$C)+#REF!,""))</f>
        <v/>
      </c>
      <c r="E602" s="4">
        <v>44578</v>
      </c>
      <c r="F602" s="1" t="s">
        <v>32</v>
      </c>
    </row>
    <row r="603" spans="1:6" x14ac:dyDescent="0.25">
      <c r="A603" s="1" t="s">
        <v>1216</v>
      </c>
      <c r="B603" s="1" t="s">
        <v>1217</v>
      </c>
      <c r="C603" s="3">
        <v>200</v>
      </c>
      <c r="D603" s="3" t="str">
        <f ca="1">IF(B603="","",IFERROR(_xludf.XLOOKUP(_xludf.XLOOKUP(B603,Inventory!$A:$A,Inventory!$B:$B),Blades!$A:$A,Blades!$C:$C)+_xludf.XLOOKUP(_xludf.XLOOKUP(B603,Inventory!$A:$A,Inventory!$C:$C),Motor!$A:$A,Motor!$C:$C)+_xludf.XLOOKUP(_xludf.XLOOKUP(B603,Inventory!$A:$A,Inventory!$D:$D),Frame!$A:$A,Frame!$C:$C)+#REF!,""))</f>
        <v/>
      </c>
      <c r="E603" s="4">
        <v>44579</v>
      </c>
      <c r="F603" s="1" t="s">
        <v>11</v>
      </c>
    </row>
    <row r="604" spans="1:6" x14ac:dyDescent="0.25">
      <c r="A604" s="1" t="s">
        <v>1218</v>
      </c>
      <c r="B604" s="1" t="s">
        <v>1219</v>
      </c>
      <c r="C604" s="3">
        <v>200</v>
      </c>
      <c r="D604" s="3" t="str">
        <f ca="1">IF(B604="","",IFERROR(_xludf.XLOOKUP(_xludf.XLOOKUP(B604,Inventory!$A:$A,Inventory!$B:$B),Blades!$A:$A,Blades!$C:$C)+_xludf.XLOOKUP(_xludf.XLOOKUP(B604,Inventory!$A:$A,Inventory!$C:$C),Motor!$A:$A,Motor!$C:$C)+_xludf.XLOOKUP(_xludf.XLOOKUP(B604,Inventory!$A:$A,Inventory!$D:$D),Frame!$A:$A,Frame!$C:$C)+#REF!,""))</f>
        <v/>
      </c>
      <c r="E604" s="4">
        <v>44579</v>
      </c>
      <c r="F604" s="1" t="s">
        <v>63</v>
      </c>
    </row>
    <row r="605" spans="1:6" x14ac:dyDescent="0.25">
      <c r="A605" s="1" t="s">
        <v>1220</v>
      </c>
      <c r="B605" s="1" t="s">
        <v>1221</v>
      </c>
      <c r="C605" s="3">
        <v>200</v>
      </c>
      <c r="D605" s="3" t="str">
        <f ca="1">IF(B605="","",IFERROR(_xludf.XLOOKUP(_xludf.XLOOKUP(B605,Inventory!$A:$A,Inventory!$B:$B),Blades!$A:$A,Blades!$C:$C)+_xludf.XLOOKUP(_xludf.XLOOKUP(B605,Inventory!$A:$A,Inventory!$C:$C),Motor!$A:$A,Motor!$C:$C)+_xludf.XLOOKUP(_xludf.XLOOKUP(B605,Inventory!$A:$A,Inventory!$D:$D),Frame!$A:$A,Frame!$C:$C)+#REF!,""))</f>
        <v/>
      </c>
      <c r="E605" s="4">
        <v>44581</v>
      </c>
      <c r="F605" s="1" t="s">
        <v>20</v>
      </c>
    </row>
    <row r="606" spans="1:6" x14ac:dyDescent="0.25">
      <c r="A606" s="1" t="s">
        <v>1222</v>
      </c>
      <c r="B606" s="1" t="s">
        <v>1223</v>
      </c>
      <c r="C606" s="3">
        <v>200</v>
      </c>
      <c r="D606" s="3" t="str">
        <f ca="1">IF(B606="","",IFERROR(_xludf.XLOOKUP(_xludf.XLOOKUP(B606,Inventory!$A:$A,Inventory!$B:$B),Blades!$A:$A,Blades!$C:$C)+_xludf.XLOOKUP(_xludf.XLOOKUP(B606,Inventory!$A:$A,Inventory!$C:$C),Motor!$A:$A,Motor!$C:$C)+_xludf.XLOOKUP(_xludf.XLOOKUP(B606,Inventory!$A:$A,Inventory!$D:$D),Frame!$A:$A,Frame!$C:$C)+#REF!,""))</f>
        <v/>
      </c>
      <c r="E606" s="4">
        <v>44582</v>
      </c>
      <c r="F606" s="1" t="s">
        <v>11</v>
      </c>
    </row>
    <row r="607" spans="1:6" x14ac:dyDescent="0.25">
      <c r="A607" s="1" t="s">
        <v>1224</v>
      </c>
      <c r="B607" s="1" t="s">
        <v>1225</v>
      </c>
      <c r="C607" s="3">
        <v>200</v>
      </c>
      <c r="D607" s="3" t="str">
        <f ca="1">IF(B607="","",IFERROR(_xludf.XLOOKUP(_xludf.XLOOKUP(B607,Inventory!$A:$A,Inventory!$B:$B),Blades!$A:$A,Blades!$C:$C)+_xludf.XLOOKUP(_xludf.XLOOKUP(B607,Inventory!$A:$A,Inventory!$C:$C),Motor!$A:$A,Motor!$C:$C)+_xludf.XLOOKUP(_xludf.XLOOKUP(B607,Inventory!$A:$A,Inventory!$D:$D),Frame!$A:$A,Frame!$C:$C)+#REF!,""))</f>
        <v/>
      </c>
      <c r="E607" s="4">
        <v>44583</v>
      </c>
      <c r="F607" s="1" t="s">
        <v>63</v>
      </c>
    </row>
    <row r="608" spans="1:6" x14ac:dyDescent="0.25">
      <c r="A608" s="1" t="s">
        <v>1226</v>
      </c>
      <c r="B608" s="1" t="s">
        <v>1227</v>
      </c>
      <c r="C608" s="3">
        <v>200</v>
      </c>
      <c r="D608" s="3" t="str">
        <f ca="1">IF(B608="","",IFERROR(_xludf.XLOOKUP(_xludf.XLOOKUP(B608,Inventory!$A:$A,Inventory!$B:$B),Blades!$A:$A,Blades!$C:$C)+_xludf.XLOOKUP(_xludf.XLOOKUP(B608,Inventory!$A:$A,Inventory!$C:$C),Motor!$A:$A,Motor!$C:$C)+_xludf.XLOOKUP(_xludf.XLOOKUP(B608,Inventory!$A:$A,Inventory!$D:$D),Frame!$A:$A,Frame!$C:$C)+#REF!,""))</f>
        <v/>
      </c>
      <c r="E608" s="4">
        <v>44584</v>
      </c>
      <c r="F608" s="1" t="s">
        <v>63</v>
      </c>
    </row>
    <row r="609" spans="1:6" x14ac:dyDescent="0.25">
      <c r="A609" s="1" t="s">
        <v>1228</v>
      </c>
      <c r="B609" s="1" t="s">
        <v>1229</v>
      </c>
      <c r="C609" s="3">
        <v>200</v>
      </c>
      <c r="D609" s="3" t="str">
        <f ca="1">IF(B609="","",IFERROR(_xludf.XLOOKUP(_xludf.XLOOKUP(B609,Inventory!$A:$A,Inventory!$B:$B),Blades!$A:$A,Blades!$C:$C)+_xludf.XLOOKUP(_xludf.XLOOKUP(B609,Inventory!$A:$A,Inventory!$C:$C),Motor!$A:$A,Motor!$C:$C)+_xludf.XLOOKUP(_xludf.XLOOKUP(B609,Inventory!$A:$A,Inventory!$D:$D),Frame!$A:$A,Frame!$C:$C)+#REF!,""))</f>
        <v/>
      </c>
      <c r="E609" s="4">
        <v>44585</v>
      </c>
      <c r="F609" s="1" t="s">
        <v>25</v>
      </c>
    </row>
    <row r="610" spans="1:6" x14ac:dyDescent="0.25">
      <c r="A610" s="1" t="s">
        <v>1230</v>
      </c>
      <c r="B610" s="1" t="s">
        <v>1231</v>
      </c>
      <c r="C610" s="3">
        <v>200</v>
      </c>
      <c r="D610" s="3" t="str">
        <f ca="1">IF(B610="","",IFERROR(_xludf.XLOOKUP(_xludf.XLOOKUP(B610,Inventory!$A:$A,Inventory!$B:$B),Blades!$A:$A,Blades!$C:$C)+_xludf.XLOOKUP(_xludf.XLOOKUP(B610,Inventory!$A:$A,Inventory!$C:$C),Motor!$A:$A,Motor!$C:$C)+_xludf.XLOOKUP(_xludf.XLOOKUP(B610,Inventory!$A:$A,Inventory!$D:$D),Frame!$A:$A,Frame!$C:$C)+#REF!,""))</f>
        <v/>
      </c>
      <c r="E610" s="4">
        <v>44586</v>
      </c>
      <c r="F610" s="1" t="s">
        <v>20</v>
      </c>
    </row>
    <row r="611" spans="1:6" x14ac:dyDescent="0.25">
      <c r="A611" s="1" t="s">
        <v>1232</v>
      </c>
      <c r="B611" s="1" t="s">
        <v>1233</v>
      </c>
      <c r="C611" s="3">
        <v>200</v>
      </c>
      <c r="D611" s="3" t="str">
        <f ca="1">IF(B611="","",IFERROR(_xludf.XLOOKUP(_xludf.XLOOKUP(B611,Inventory!$A:$A,Inventory!$B:$B),Blades!$A:$A,Blades!$C:$C)+_xludf.XLOOKUP(_xludf.XLOOKUP(B611,Inventory!$A:$A,Inventory!$C:$C),Motor!$A:$A,Motor!$C:$C)+_xludf.XLOOKUP(_xludf.XLOOKUP(B611,Inventory!$A:$A,Inventory!$D:$D),Frame!$A:$A,Frame!$C:$C)+#REF!,""))</f>
        <v/>
      </c>
      <c r="E611" s="4">
        <v>44587</v>
      </c>
      <c r="F611" s="1" t="s">
        <v>52</v>
      </c>
    </row>
    <row r="612" spans="1:6" x14ac:dyDescent="0.25">
      <c r="A612" s="1" t="s">
        <v>1234</v>
      </c>
      <c r="B612" s="1" t="s">
        <v>1235</v>
      </c>
      <c r="C612" s="3">
        <v>200</v>
      </c>
      <c r="D612" s="3" t="str">
        <f ca="1">IF(B612="","",IFERROR(_xludf.XLOOKUP(_xludf.XLOOKUP(B612,Inventory!$A:$A,Inventory!$B:$B),Blades!$A:$A,Blades!$C:$C)+_xludf.XLOOKUP(_xludf.XLOOKUP(B612,Inventory!$A:$A,Inventory!$C:$C),Motor!$A:$A,Motor!$C:$C)+_xludf.XLOOKUP(_xludf.XLOOKUP(B612,Inventory!$A:$A,Inventory!$D:$D),Frame!$A:$A,Frame!$C:$C)+#REF!,""))</f>
        <v/>
      </c>
      <c r="E612" s="4">
        <v>44587</v>
      </c>
      <c r="F612" s="1" t="s">
        <v>49</v>
      </c>
    </row>
    <row r="613" spans="1:6" x14ac:dyDescent="0.25">
      <c r="A613" s="1" t="s">
        <v>1236</v>
      </c>
      <c r="B613" s="1" t="s">
        <v>1237</v>
      </c>
      <c r="C613" s="3">
        <v>200</v>
      </c>
      <c r="D613" s="3" t="str">
        <f ca="1">IF(B613="","",IFERROR(_xludf.XLOOKUP(_xludf.XLOOKUP(B613,Inventory!$A:$A,Inventory!$B:$B),Blades!$A:$A,Blades!$C:$C)+_xludf.XLOOKUP(_xludf.XLOOKUP(B613,Inventory!$A:$A,Inventory!$C:$C),Motor!$A:$A,Motor!$C:$C)+_xludf.XLOOKUP(_xludf.XLOOKUP(B613,Inventory!$A:$A,Inventory!$D:$D),Frame!$A:$A,Frame!$C:$C)+#REF!,""))</f>
        <v/>
      </c>
      <c r="E613" s="4">
        <v>44588</v>
      </c>
      <c r="F613" s="1" t="s">
        <v>63</v>
      </c>
    </row>
    <row r="614" spans="1:6" x14ac:dyDescent="0.25">
      <c r="A614" s="1" t="s">
        <v>1238</v>
      </c>
      <c r="B614" s="1" t="s">
        <v>1239</v>
      </c>
      <c r="C614" s="3">
        <v>200</v>
      </c>
      <c r="D614" s="3" t="str">
        <f ca="1">IF(B614="","",IFERROR(_xludf.XLOOKUP(_xludf.XLOOKUP(B614,Inventory!$A:$A,Inventory!$B:$B),Blades!$A:$A,Blades!$C:$C)+_xludf.XLOOKUP(_xludf.XLOOKUP(B614,Inventory!$A:$A,Inventory!$C:$C),Motor!$A:$A,Motor!$C:$C)+_xludf.XLOOKUP(_xludf.XLOOKUP(B614,Inventory!$A:$A,Inventory!$D:$D),Frame!$A:$A,Frame!$C:$C)+#REF!,""))</f>
        <v/>
      </c>
      <c r="E614" s="4">
        <v>44590</v>
      </c>
      <c r="F614" s="1" t="s">
        <v>52</v>
      </c>
    </row>
    <row r="615" spans="1:6" x14ac:dyDescent="0.25">
      <c r="A615" s="1" t="s">
        <v>1240</v>
      </c>
      <c r="B615" s="1" t="s">
        <v>1241</v>
      </c>
      <c r="C615" s="3">
        <v>200</v>
      </c>
      <c r="D615" s="3" t="str">
        <f ca="1">IF(B615="","",IFERROR(_xludf.XLOOKUP(_xludf.XLOOKUP(B615,Inventory!$A:$A,Inventory!$B:$B),Blades!$A:$A,Blades!$C:$C)+_xludf.XLOOKUP(_xludf.XLOOKUP(B615,Inventory!$A:$A,Inventory!$C:$C),Motor!$A:$A,Motor!$C:$C)+_xludf.XLOOKUP(_xludf.XLOOKUP(B615,Inventory!$A:$A,Inventory!$D:$D),Frame!$A:$A,Frame!$C:$C)+#REF!,""))</f>
        <v/>
      </c>
      <c r="E615" s="4">
        <v>44590</v>
      </c>
      <c r="F615" s="1" t="s">
        <v>49</v>
      </c>
    </row>
    <row r="616" spans="1:6" x14ac:dyDescent="0.25">
      <c r="A616" s="1" t="s">
        <v>1242</v>
      </c>
      <c r="B616" s="1" t="s">
        <v>1243</v>
      </c>
      <c r="C616" s="3">
        <v>200</v>
      </c>
      <c r="D616" s="3" t="str">
        <f ca="1">IF(B616="","",IFERROR(_xludf.XLOOKUP(_xludf.XLOOKUP(B616,Inventory!$A:$A,Inventory!$B:$B),Blades!$A:$A,Blades!$C:$C)+_xludf.XLOOKUP(_xludf.XLOOKUP(B616,Inventory!$A:$A,Inventory!$C:$C),Motor!$A:$A,Motor!$C:$C)+_xludf.XLOOKUP(_xludf.XLOOKUP(B616,Inventory!$A:$A,Inventory!$D:$D),Frame!$A:$A,Frame!$C:$C)+#REF!,""))</f>
        <v/>
      </c>
      <c r="E616" s="4">
        <v>44591</v>
      </c>
      <c r="F616" s="1" t="s">
        <v>52</v>
      </c>
    </row>
    <row r="617" spans="1:6" x14ac:dyDescent="0.25">
      <c r="A617" s="1" t="s">
        <v>1244</v>
      </c>
      <c r="B617" s="1" t="s">
        <v>1245</v>
      </c>
      <c r="C617" s="3">
        <v>200</v>
      </c>
      <c r="D617" s="3" t="str">
        <f ca="1">IF(B617="","",IFERROR(_xludf.XLOOKUP(_xludf.XLOOKUP(B617,Inventory!$A:$A,Inventory!$B:$B),Blades!$A:$A,Blades!$C:$C)+_xludf.XLOOKUP(_xludf.XLOOKUP(B617,Inventory!$A:$A,Inventory!$C:$C),Motor!$A:$A,Motor!$C:$C)+_xludf.XLOOKUP(_xludf.XLOOKUP(B617,Inventory!$A:$A,Inventory!$D:$D),Frame!$A:$A,Frame!$C:$C)+#REF!,""))</f>
        <v/>
      </c>
      <c r="E617" s="4">
        <v>44592</v>
      </c>
      <c r="F617" s="1" t="s">
        <v>8</v>
      </c>
    </row>
    <row r="618" spans="1:6" x14ac:dyDescent="0.25">
      <c r="A618" s="1" t="s">
        <v>1246</v>
      </c>
      <c r="B618" s="1" t="s">
        <v>1247</v>
      </c>
      <c r="C618" s="3">
        <v>200</v>
      </c>
      <c r="D618" s="3" t="str">
        <f ca="1">IF(B618="","",IFERROR(_xludf.XLOOKUP(_xludf.XLOOKUP(B618,Inventory!$A:$A,Inventory!$B:$B),Blades!$A:$A,Blades!$C:$C)+_xludf.XLOOKUP(_xludf.XLOOKUP(B618,Inventory!$A:$A,Inventory!$C:$C),Motor!$A:$A,Motor!$C:$C)+_xludf.XLOOKUP(_xludf.XLOOKUP(B618,Inventory!$A:$A,Inventory!$D:$D),Frame!$A:$A,Frame!$C:$C)+#REF!,""))</f>
        <v/>
      </c>
      <c r="E618" s="4">
        <v>44592</v>
      </c>
      <c r="F618" s="1" t="s">
        <v>32</v>
      </c>
    </row>
    <row r="619" spans="1:6" x14ac:dyDescent="0.25">
      <c r="A619" s="1" t="s">
        <v>1248</v>
      </c>
      <c r="B619" s="1" t="s">
        <v>1249</v>
      </c>
      <c r="C619" s="3">
        <v>200</v>
      </c>
      <c r="D619" s="3" t="str">
        <f ca="1">IF(B619="","",IFERROR(_xludf.XLOOKUP(_xludf.XLOOKUP(B619,Inventory!$A:$A,Inventory!$B:$B),Blades!$A:$A,Blades!$C:$C)+_xludf.XLOOKUP(_xludf.XLOOKUP(B619,Inventory!$A:$A,Inventory!$C:$C),Motor!$A:$A,Motor!$C:$C)+_xludf.XLOOKUP(_xludf.XLOOKUP(B619,Inventory!$A:$A,Inventory!$D:$D),Frame!$A:$A,Frame!$C:$C)+#REF!,""))</f>
        <v/>
      </c>
      <c r="E619" s="4">
        <v>44593</v>
      </c>
      <c r="F619" s="1" t="s">
        <v>25</v>
      </c>
    </row>
    <row r="620" spans="1:6" x14ac:dyDescent="0.25">
      <c r="A620" s="1" t="s">
        <v>1250</v>
      </c>
      <c r="B620" s="1" t="s">
        <v>1251</v>
      </c>
      <c r="C620" s="3">
        <v>200</v>
      </c>
      <c r="D620" s="3" t="str">
        <f ca="1">IF(B620="","",IFERROR(_xludf.XLOOKUP(_xludf.XLOOKUP(B620,Inventory!$A:$A,Inventory!$B:$B),Blades!$A:$A,Blades!$C:$C)+_xludf.XLOOKUP(_xludf.XLOOKUP(B620,Inventory!$A:$A,Inventory!$C:$C),Motor!$A:$A,Motor!$C:$C)+_xludf.XLOOKUP(_xludf.XLOOKUP(B620,Inventory!$A:$A,Inventory!$D:$D),Frame!$A:$A,Frame!$C:$C)+#REF!,""))</f>
        <v/>
      </c>
      <c r="E620" s="4">
        <v>44593</v>
      </c>
      <c r="F620" s="1" t="s">
        <v>25</v>
      </c>
    </row>
    <row r="621" spans="1:6" x14ac:dyDescent="0.25">
      <c r="A621" s="1" t="s">
        <v>1252</v>
      </c>
      <c r="B621" s="1" t="s">
        <v>1253</v>
      </c>
      <c r="C621" s="3">
        <v>200</v>
      </c>
      <c r="D621" s="3" t="str">
        <f ca="1">IF(B621="","",IFERROR(_xludf.XLOOKUP(_xludf.XLOOKUP(B621,Inventory!$A:$A,Inventory!$B:$B),Blades!$A:$A,Blades!$C:$C)+_xludf.XLOOKUP(_xludf.XLOOKUP(B621,Inventory!$A:$A,Inventory!$C:$C),Motor!$A:$A,Motor!$C:$C)+_xludf.XLOOKUP(_xludf.XLOOKUP(B621,Inventory!$A:$A,Inventory!$D:$D),Frame!$A:$A,Frame!$C:$C)+#REF!,""))</f>
        <v/>
      </c>
      <c r="E621" s="4">
        <v>44593</v>
      </c>
      <c r="F621" s="1" t="s">
        <v>52</v>
      </c>
    </row>
    <row r="622" spans="1:6" x14ac:dyDescent="0.25">
      <c r="A622" s="1" t="s">
        <v>1254</v>
      </c>
      <c r="B622" s="1" t="s">
        <v>1255</v>
      </c>
      <c r="C622" s="3">
        <v>200</v>
      </c>
      <c r="D622" s="3" t="str">
        <f ca="1">IF(B622="","",IFERROR(_xludf.XLOOKUP(_xludf.XLOOKUP(B622,Inventory!$A:$A,Inventory!$B:$B),Blades!$A:$A,Blades!$C:$C)+_xludf.XLOOKUP(_xludf.XLOOKUP(B622,Inventory!$A:$A,Inventory!$C:$C),Motor!$A:$A,Motor!$C:$C)+_xludf.XLOOKUP(_xludf.XLOOKUP(B622,Inventory!$A:$A,Inventory!$D:$D),Frame!$A:$A,Frame!$C:$C)+#REF!,""))</f>
        <v/>
      </c>
      <c r="E622" s="4">
        <v>44595</v>
      </c>
      <c r="F622" s="1" t="s">
        <v>11</v>
      </c>
    </row>
    <row r="623" spans="1:6" x14ac:dyDescent="0.25">
      <c r="A623" s="1" t="s">
        <v>1256</v>
      </c>
      <c r="B623" s="1" t="s">
        <v>1257</v>
      </c>
      <c r="C623" s="3">
        <v>200</v>
      </c>
      <c r="D623" s="3" t="str">
        <f ca="1">IF(B623="","",IFERROR(_xludf.XLOOKUP(_xludf.XLOOKUP(B623,Inventory!$A:$A,Inventory!$B:$B),Blades!$A:$A,Blades!$C:$C)+_xludf.XLOOKUP(_xludf.XLOOKUP(B623,Inventory!$A:$A,Inventory!$C:$C),Motor!$A:$A,Motor!$C:$C)+_xludf.XLOOKUP(_xludf.XLOOKUP(B623,Inventory!$A:$A,Inventory!$D:$D),Frame!$A:$A,Frame!$C:$C)+#REF!,""))</f>
        <v/>
      </c>
      <c r="E623" s="4">
        <v>44596</v>
      </c>
      <c r="F623" s="1" t="s">
        <v>8</v>
      </c>
    </row>
    <row r="624" spans="1:6" x14ac:dyDescent="0.25">
      <c r="A624" s="1" t="s">
        <v>1258</v>
      </c>
      <c r="B624" s="1" t="s">
        <v>1259</v>
      </c>
      <c r="C624" s="3">
        <v>200</v>
      </c>
      <c r="D624" s="3" t="str">
        <f ca="1">IF(B624="","",IFERROR(_xludf.XLOOKUP(_xludf.XLOOKUP(B624,Inventory!$A:$A,Inventory!$B:$B),Blades!$A:$A,Blades!$C:$C)+_xludf.XLOOKUP(_xludf.XLOOKUP(B624,Inventory!$A:$A,Inventory!$C:$C),Motor!$A:$A,Motor!$C:$C)+_xludf.XLOOKUP(_xludf.XLOOKUP(B624,Inventory!$A:$A,Inventory!$D:$D),Frame!$A:$A,Frame!$C:$C)+#REF!,""))</f>
        <v/>
      </c>
      <c r="E624" s="4">
        <v>44597</v>
      </c>
      <c r="F624" s="1" t="s">
        <v>49</v>
      </c>
    </row>
    <row r="625" spans="1:6" x14ac:dyDescent="0.25">
      <c r="A625" s="1" t="s">
        <v>1260</v>
      </c>
      <c r="B625" s="1" t="s">
        <v>1261</v>
      </c>
      <c r="C625" s="3">
        <v>200</v>
      </c>
      <c r="D625" s="3" t="str">
        <f ca="1">IF(B625="","",IFERROR(_xludf.XLOOKUP(_xludf.XLOOKUP(B625,Inventory!$A:$A,Inventory!$B:$B),Blades!$A:$A,Blades!$C:$C)+_xludf.XLOOKUP(_xludf.XLOOKUP(B625,Inventory!$A:$A,Inventory!$C:$C),Motor!$A:$A,Motor!$C:$C)+_xludf.XLOOKUP(_xludf.XLOOKUP(B625,Inventory!$A:$A,Inventory!$D:$D),Frame!$A:$A,Frame!$C:$C)+#REF!,""))</f>
        <v/>
      </c>
      <c r="E625" s="4">
        <v>44599</v>
      </c>
      <c r="F625" s="1" t="s">
        <v>11</v>
      </c>
    </row>
    <row r="626" spans="1:6" x14ac:dyDescent="0.25">
      <c r="A626" s="1" t="s">
        <v>1262</v>
      </c>
      <c r="B626" s="1" t="s">
        <v>1263</v>
      </c>
      <c r="C626" s="3">
        <v>200</v>
      </c>
      <c r="D626" s="3" t="str">
        <f ca="1">IF(B626="","",IFERROR(_xludf.XLOOKUP(_xludf.XLOOKUP(B626,Inventory!$A:$A,Inventory!$B:$B),Blades!$A:$A,Blades!$C:$C)+_xludf.XLOOKUP(_xludf.XLOOKUP(B626,Inventory!$A:$A,Inventory!$C:$C),Motor!$A:$A,Motor!$C:$C)+_xludf.XLOOKUP(_xludf.XLOOKUP(B626,Inventory!$A:$A,Inventory!$D:$D),Frame!$A:$A,Frame!$C:$C)+#REF!,""))</f>
        <v/>
      </c>
      <c r="E626" s="4">
        <v>44599</v>
      </c>
      <c r="F626" s="1" t="s">
        <v>52</v>
      </c>
    </row>
    <row r="627" spans="1:6" x14ac:dyDescent="0.25">
      <c r="A627" s="1" t="s">
        <v>1264</v>
      </c>
      <c r="B627" s="1" t="s">
        <v>1265</v>
      </c>
      <c r="C627" s="3">
        <v>200</v>
      </c>
      <c r="D627" s="3" t="str">
        <f ca="1">IF(B627="","",IFERROR(_xludf.XLOOKUP(_xludf.XLOOKUP(B627,Inventory!$A:$A,Inventory!$B:$B),Blades!$A:$A,Blades!$C:$C)+_xludf.XLOOKUP(_xludf.XLOOKUP(B627,Inventory!$A:$A,Inventory!$C:$C),Motor!$A:$A,Motor!$C:$C)+_xludf.XLOOKUP(_xludf.XLOOKUP(B627,Inventory!$A:$A,Inventory!$D:$D),Frame!$A:$A,Frame!$C:$C)+#REF!,""))</f>
        <v/>
      </c>
      <c r="E627" s="4">
        <v>44599</v>
      </c>
      <c r="F627" s="1" t="s">
        <v>63</v>
      </c>
    </row>
    <row r="628" spans="1:6" x14ac:dyDescent="0.25">
      <c r="A628" s="1" t="s">
        <v>1266</v>
      </c>
      <c r="B628" s="1" t="s">
        <v>1267</v>
      </c>
      <c r="C628" s="3">
        <v>200</v>
      </c>
      <c r="D628" s="3" t="str">
        <f ca="1">IF(B628="","",IFERROR(_xludf.XLOOKUP(_xludf.XLOOKUP(B628,Inventory!$A:$A,Inventory!$B:$B),Blades!$A:$A,Blades!$C:$C)+_xludf.XLOOKUP(_xludf.XLOOKUP(B628,Inventory!$A:$A,Inventory!$C:$C),Motor!$A:$A,Motor!$C:$C)+_xludf.XLOOKUP(_xludf.XLOOKUP(B628,Inventory!$A:$A,Inventory!$D:$D),Frame!$A:$A,Frame!$C:$C)+#REF!,""))</f>
        <v/>
      </c>
      <c r="E628" s="4">
        <v>44600</v>
      </c>
      <c r="F628" s="1" t="s">
        <v>25</v>
      </c>
    </row>
    <row r="629" spans="1:6" x14ac:dyDescent="0.25">
      <c r="A629" s="1" t="s">
        <v>1268</v>
      </c>
      <c r="B629" s="1" t="s">
        <v>1269</v>
      </c>
      <c r="C629" s="3">
        <v>200</v>
      </c>
      <c r="D629" s="3" t="str">
        <f ca="1">IF(B629="","",IFERROR(_xludf.XLOOKUP(_xludf.XLOOKUP(B629,Inventory!$A:$A,Inventory!$B:$B),Blades!$A:$A,Blades!$C:$C)+_xludf.XLOOKUP(_xludf.XLOOKUP(B629,Inventory!$A:$A,Inventory!$C:$C),Motor!$A:$A,Motor!$C:$C)+_xludf.XLOOKUP(_xludf.XLOOKUP(B629,Inventory!$A:$A,Inventory!$D:$D),Frame!$A:$A,Frame!$C:$C)+#REF!,""))</f>
        <v/>
      </c>
      <c r="E629" s="4">
        <v>44600</v>
      </c>
      <c r="F629" s="1" t="s">
        <v>25</v>
      </c>
    </row>
    <row r="630" spans="1:6" x14ac:dyDescent="0.25">
      <c r="A630" s="1" t="s">
        <v>1270</v>
      </c>
      <c r="B630" s="1" t="s">
        <v>1271</v>
      </c>
      <c r="C630" s="3">
        <v>200</v>
      </c>
      <c r="D630" s="3" t="str">
        <f ca="1">IF(B630="","",IFERROR(_xludf.XLOOKUP(_xludf.XLOOKUP(B630,Inventory!$A:$A,Inventory!$B:$B),Blades!$A:$A,Blades!$C:$C)+_xludf.XLOOKUP(_xludf.XLOOKUP(B630,Inventory!$A:$A,Inventory!$C:$C),Motor!$A:$A,Motor!$C:$C)+_xludf.XLOOKUP(_xludf.XLOOKUP(B630,Inventory!$A:$A,Inventory!$D:$D),Frame!$A:$A,Frame!$C:$C)+#REF!,""))</f>
        <v/>
      </c>
      <c r="E630" s="4">
        <v>44600</v>
      </c>
      <c r="F630" s="1" t="s">
        <v>63</v>
      </c>
    </row>
    <row r="631" spans="1:6" x14ac:dyDescent="0.25">
      <c r="A631" s="1" t="s">
        <v>1272</v>
      </c>
      <c r="B631" s="1" t="s">
        <v>1273</v>
      </c>
      <c r="C631" s="3">
        <v>200</v>
      </c>
      <c r="D631" s="3" t="str">
        <f ca="1">IF(B631="","",IFERROR(_xludf.XLOOKUP(_xludf.XLOOKUP(B631,Inventory!$A:$A,Inventory!$B:$B),Blades!$A:$A,Blades!$C:$C)+_xludf.XLOOKUP(_xludf.XLOOKUP(B631,Inventory!$A:$A,Inventory!$C:$C),Motor!$A:$A,Motor!$C:$C)+_xludf.XLOOKUP(_xludf.XLOOKUP(B631,Inventory!$A:$A,Inventory!$D:$D),Frame!$A:$A,Frame!$C:$C)+#REF!,""))</f>
        <v/>
      </c>
      <c r="E631" s="4">
        <v>44600</v>
      </c>
      <c r="F631" s="1" t="s">
        <v>63</v>
      </c>
    </row>
    <row r="632" spans="1:6" x14ac:dyDescent="0.25">
      <c r="A632" s="1" t="s">
        <v>1274</v>
      </c>
      <c r="B632" s="1" t="s">
        <v>1275</v>
      </c>
      <c r="C632" s="3">
        <v>200</v>
      </c>
      <c r="D632" s="3" t="str">
        <f ca="1">IF(B632="","",IFERROR(_xludf.XLOOKUP(_xludf.XLOOKUP(B632,Inventory!$A:$A,Inventory!$B:$B),Blades!$A:$A,Blades!$C:$C)+_xludf.XLOOKUP(_xludf.XLOOKUP(B632,Inventory!$A:$A,Inventory!$C:$C),Motor!$A:$A,Motor!$C:$C)+_xludf.XLOOKUP(_xludf.XLOOKUP(B632,Inventory!$A:$A,Inventory!$D:$D),Frame!$A:$A,Frame!$C:$C)+#REF!,""))</f>
        <v/>
      </c>
      <c r="E632" s="4">
        <v>44601</v>
      </c>
      <c r="F632" s="1" t="s">
        <v>20</v>
      </c>
    </row>
    <row r="633" spans="1:6" x14ac:dyDescent="0.25">
      <c r="A633" s="1" t="s">
        <v>1276</v>
      </c>
      <c r="B633" s="1" t="s">
        <v>1277</v>
      </c>
      <c r="C633" s="3">
        <v>200</v>
      </c>
      <c r="D633" s="3" t="str">
        <f ca="1">IF(B633="","",IFERROR(_xludf.XLOOKUP(_xludf.XLOOKUP(B633,Inventory!$A:$A,Inventory!$B:$B),Blades!$A:$A,Blades!$C:$C)+_xludf.XLOOKUP(_xludf.XLOOKUP(B633,Inventory!$A:$A,Inventory!$C:$C),Motor!$A:$A,Motor!$C:$C)+_xludf.XLOOKUP(_xludf.XLOOKUP(B633,Inventory!$A:$A,Inventory!$D:$D),Frame!$A:$A,Frame!$C:$C)+#REF!,""))</f>
        <v/>
      </c>
      <c r="E633" s="4">
        <v>44601</v>
      </c>
      <c r="F633" s="1" t="s">
        <v>49</v>
      </c>
    </row>
    <row r="634" spans="1:6" x14ac:dyDescent="0.25">
      <c r="A634" s="1" t="s">
        <v>1278</v>
      </c>
      <c r="B634" s="1" t="s">
        <v>1279</v>
      </c>
      <c r="C634" s="3">
        <v>200</v>
      </c>
      <c r="D634" s="3" t="str">
        <f ca="1">IF(B634="","",IFERROR(_xludf.XLOOKUP(_xludf.XLOOKUP(B634,Inventory!$A:$A,Inventory!$B:$B),Blades!$A:$A,Blades!$C:$C)+_xludf.XLOOKUP(_xludf.XLOOKUP(B634,Inventory!$A:$A,Inventory!$C:$C),Motor!$A:$A,Motor!$C:$C)+_xludf.XLOOKUP(_xludf.XLOOKUP(B634,Inventory!$A:$A,Inventory!$D:$D),Frame!$A:$A,Frame!$C:$C)+#REF!,""))</f>
        <v/>
      </c>
      <c r="E634" s="4">
        <v>44605</v>
      </c>
      <c r="F634" s="1" t="s">
        <v>11</v>
      </c>
    </row>
    <row r="635" spans="1:6" x14ac:dyDescent="0.25">
      <c r="A635" s="1" t="s">
        <v>1280</v>
      </c>
      <c r="B635" s="1" t="s">
        <v>1281</v>
      </c>
      <c r="C635" s="3">
        <v>200</v>
      </c>
      <c r="D635" s="3" t="str">
        <f ca="1">IF(B635="","",IFERROR(_xludf.XLOOKUP(_xludf.XLOOKUP(B635,Inventory!$A:$A,Inventory!$B:$B),Blades!$A:$A,Blades!$C:$C)+_xludf.XLOOKUP(_xludf.XLOOKUP(B635,Inventory!$A:$A,Inventory!$C:$C),Motor!$A:$A,Motor!$C:$C)+_xludf.XLOOKUP(_xludf.XLOOKUP(B635,Inventory!$A:$A,Inventory!$D:$D),Frame!$A:$A,Frame!$C:$C)+#REF!,""))</f>
        <v/>
      </c>
      <c r="E635" s="4">
        <v>44605</v>
      </c>
      <c r="F635" s="1" t="s">
        <v>49</v>
      </c>
    </row>
    <row r="636" spans="1:6" x14ac:dyDescent="0.25">
      <c r="A636" s="1" t="s">
        <v>1282</v>
      </c>
      <c r="B636" s="1" t="s">
        <v>1283</v>
      </c>
      <c r="C636" s="3">
        <v>200</v>
      </c>
      <c r="D636" s="3" t="str">
        <f ca="1">IF(B636="","",IFERROR(_xludf.XLOOKUP(_xludf.XLOOKUP(B636,Inventory!$A:$A,Inventory!$B:$B),Blades!$A:$A,Blades!$C:$C)+_xludf.XLOOKUP(_xludf.XLOOKUP(B636,Inventory!$A:$A,Inventory!$C:$C),Motor!$A:$A,Motor!$C:$C)+_xludf.XLOOKUP(_xludf.XLOOKUP(B636,Inventory!$A:$A,Inventory!$D:$D),Frame!$A:$A,Frame!$C:$C)+#REF!,""))</f>
        <v/>
      </c>
      <c r="E636" s="4">
        <v>44606</v>
      </c>
      <c r="F636" s="1" t="s">
        <v>63</v>
      </c>
    </row>
    <row r="637" spans="1:6" x14ac:dyDescent="0.25">
      <c r="A637" s="1" t="s">
        <v>1284</v>
      </c>
      <c r="B637" s="1" t="s">
        <v>1285</v>
      </c>
      <c r="C637" s="3">
        <v>200</v>
      </c>
      <c r="D637" s="3" t="str">
        <f ca="1">IF(B637="","",IFERROR(_xludf.XLOOKUP(_xludf.XLOOKUP(B637,Inventory!$A:$A,Inventory!$B:$B),Blades!$A:$A,Blades!$C:$C)+_xludf.XLOOKUP(_xludf.XLOOKUP(B637,Inventory!$A:$A,Inventory!$C:$C),Motor!$A:$A,Motor!$C:$C)+_xludf.XLOOKUP(_xludf.XLOOKUP(B637,Inventory!$A:$A,Inventory!$D:$D),Frame!$A:$A,Frame!$C:$C)+#REF!,""))</f>
        <v/>
      </c>
      <c r="E637" s="4">
        <v>44606</v>
      </c>
      <c r="F637" s="1" t="s">
        <v>25</v>
      </c>
    </row>
    <row r="638" spans="1:6" x14ac:dyDescent="0.25">
      <c r="A638" s="1" t="s">
        <v>1286</v>
      </c>
      <c r="B638" s="1" t="s">
        <v>1287</v>
      </c>
      <c r="C638" s="3">
        <v>200</v>
      </c>
      <c r="D638" s="3" t="str">
        <f ca="1">IF(B638="","",IFERROR(_xludf.XLOOKUP(_xludf.XLOOKUP(B638,Inventory!$A:$A,Inventory!$B:$B),Blades!$A:$A,Blades!$C:$C)+_xludf.XLOOKUP(_xludf.XLOOKUP(B638,Inventory!$A:$A,Inventory!$C:$C),Motor!$A:$A,Motor!$C:$C)+_xludf.XLOOKUP(_xludf.XLOOKUP(B638,Inventory!$A:$A,Inventory!$D:$D),Frame!$A:$A,Frame!$C:$C)+#REF!,""))</f>
        <v/>
      </c>
      <c r="E638" s="4">
        <v>44607</v>
      </c>
      <c r="F638" s="1" t="s">
        <v>49</v>
      </c>
    </row>
    <row r="639" spans="1:6" x14ac:dyDescent="0.25">
      <c r="A639" s="1" t="s">
        <v>1288</v>
      </c>
      <c r="B639" s="1" t="s">
        <v>1289</v>
      </c>
      <c r="C639" s="3">
        <v>200</v>
      </c>
      <c r="D639" s="3" t="str">
        <f ca="1">IF(B639="","",IFERROR(_xludf.XLOOKUP(_xludf.XLOOKUP(B639,Inventory!$A:$A,Inventory!$B:$B),Blades!$A:$A,Blades!$C:$C)+_xludf.XLOOKUP(_xludf.XLOOKUP(B639,Inventory!$A:$A,Inventory!$C:$C),Motor!$A:$A,Motor!$C:$C)+_xludf.XLOOKUP(_xludf.XLOOKUP(B639,Inventory!$A:$A,Inventory!$D:$D),Frame!$A:$A,Frame!$C:$C)+#REF!,""))</f>
        <v/>
      </c>
      <c r="E639" s="4">
        <v>44608</v>
      </c>
      <c r="F639" s="1" t="s">
        <v>63</v>
      </c>
    </row>
    <row r="640" spans="1:6" x14ac:dyDescent="0.25">
      <c r="A640" s="1" t="s">
        <v>1290</v>
      </c>
      <c r="B640" s="1" t="s">
        <v>1291</v>
      </c>
      <c r="C640" s="3">
        <v>200</v>
      </c>
      <c r="D640" s="3" t="str">
        <f ca="1">IF(B640="","",IFERROR(_xludf.XLOOKUP(_xludf.XLOOKUP(B640,Inventory!$A:$A,Inventory!$B:$B),Blades!$A:$A,Blades!$C:$C)+_xludf.XLOOKUP(_xludf.XLOOKUP(B640,Inventory!$A:$A,Inventory!$C:$C),Motor!$A:$A,Motor!$C:$C)+_xludf.XLOOKUP(_xludf.XLOOKUP(B640,Inventory!$A:$A,Inventory!$D:$D),Frame!$A:$A,Frame!$C:$C)+#REF!,""))</f>
        <v/>
      </c>
      <c r="E640" s="4">
        <v>44608</v>
      </c>
      <c r="F640" s="1" t="s">
        <v>25</v>
      </c>
    </row>
    <row r="641" spans="1:6" x14ac:dyDescent="0.25">
      <c r="A641" s="1" t="s">
        <v>1292</v>
      </c>
      <c r="B641" s="1" t="s">
        <v>1293</v>
      </c>
      <c r="C641" s="3">
        <v>200</v>
      </c>
      <c r="D641" s="3" t="str">
        <f ca="1">IF(B641="","",IFERROR(_xludf.XLOOKUP(_xludf.XLOOKUP(B641,Inventory!$A:$A,Inventory!$B:$B),Blades!$A:$A,Blades!$C:$C)+_xludf.XLOOKUP(_xludf.XLOOKUP(B641,Inventory!$A:$A,Inventory!$C:$C),Motor!$A:$A,Motor!$C:$C)+_xludf.XLOOKUP(_xludf.XLOOKUP(B641,Inventory!$A:$A,Inventory!$D:$D),Frame!$A:$A,Frame!$C:$C)+#REF!,""))</f>
        <v/>
      </c>
      <c r="E641" s="4">
        <v>44608</v>
      </c>
      <c r="F641" s="1" t="s">
        <v>49</v>
      </c>
    </row>
    <row r="642" spans="1:6" x14ac:dyDescent="0.25">
      <c r="A642" s="1" t="s">
        <v>1294</v>
      </c>
      <c r="B642" s="1" t="s">
        <v>1295</v>
      </c>
      <c r="C642" s="3">
        <v>200</v>
      </c>
      <c r="D642" s="3" t="str">
        <f ca="1">IF(B642="","",IFERROR(_xludf.XLOOKUP(_xludf.XLOOKUP(B642,Inventory!$A:$A,Inventory!$B:$B),Blades!$A:$A,Blades!$C:$C)+_xludf.XLOOKUP(_xludf.XLOOKUP(B642,Inventory!$A:$A,Inventory!$C:$C),Motor!$A:$A,Motor!$C:$C)+_xludf.XLOOKUP(_xludf.XLOOKUP(B642,Inventory!$A:$A,Inventory!$D:$D),Frame!$A:$A,Frame!$C:$C)+#REF!,""))</f>
        <v/>
      </c>
      <c r="E642" s="4">
        <v>44609</v>
      </c>
      <c r="F642" s="1" t="s">
        <v>8</v>
      </c>
    </row>
    <row r="643" spans="1:6" x14ac:dyDescent="0.25">
      <c r="A643" s="1" t="s">
        <v>1296</v>
      </c>
      <c r="B643" s="1" t="s">
        <v>1297</v>
      </c>
      <c r="C643" s="3">
        <v>200</v>
      </c>
      <c r="D643" s="3" t="str">
        <f ca="1">IF(B643="","",IFERROR(_xludf.XLOOKUP(_xludf.XLOOKUP(B643,Inventory!$A:$A,Inventory!$B:$B),Blades!$A:$A,Blades!$C:$C)+_xludf.XLOOKUP(_xludf.XLOOKUP(B643,Inventory!$A:$A,Inventory!$C:$C),Motor!$A:$A,Motor!$C:$C)+_xludf.XLOOKUP(_xludf.XLOOKUP(B643,Inventory!$A:$A,Inventory!$D:$D),Frame!$A:$A,Frame!$C:$C)+#REF!,""))</f>
        <v/>
      </c>
      <c r="E643" s="4">
        <v>44609</v>
      </c>
      <c r="F643" s="1" t="s">
        <v>32</v>
      </c>
    </row>
    <row r="644" spans="1:6" x14ac:dyDescent="0.25">
      <c r="A644" s="1" t="s">
        <v>1298</v>
      </c>
      <c r="B644" s="1" t="s">
        <v>1299</v>
      </c>
      <c r="C644" s="3">
        <v>200</v>
      </c>
      <c r="D644" s="3" t="str">
        <f ca="1">IF(B644="","",IFERROR(_xludf.XLOOKUP(_xludf.XLOOKUP(B644,Inventory!$A:$A,Inventory!$B:$B),Blades!$A:$A,Blades!$C:$C)+_xludf.XLOOKUP(_xludf.XLOOKUP(B644,Inventory!$A:$A,Inventory!$C:$C),Motor!$A:$A,Motor!$C:$C)+_xludf.XLOOKUP(_xludf.XLOOKUP(B644,Inventory!$A:$A,Inventory!$D:$D),Frame!$A:$A,Frame!$C:$C)+#REF!,""))</f>
        <v/>
      </c>
      <c r="E644" s="4">
        <v>44609</v>
      </c>
      <c r="F644" s="1" t="s">
        <v>11</v>
      </c>
    </row>
    <row r="645" spans="1:6" x14ac:dyDescent="0.25">
      <c r="A645" s="1" t="s">
        <v>1300</v>
      </c>
      <c r="B645" s="1" t="s">
        <v>1301</v>
      </c>
      <c r="C645" s="3">
        <v>200</v>
      </c>
      <c r="D645" s="3" t="str">
        <f ca="1">IF(B645="","",IFERROR(_xludf.XLOOKUP(_xludf.XLOOKUP(B645,Inventory!$A:$A,Inventory!$B:$B),Blades!$A:$A,Blades!$C:$C)+_xludf.XLOOKUP(_xludf.XLOOKUP(B645,Inventory!$A:$A,Inventory!$C:$C),Motor!$A:$A,Motor!$C:$C)+_xludf.XLOOKUP(_xludf.XLOOKUP(B645,Inventory!$A:$A,Inventory!$D:$D),Frame!$A:$A,Frame!$C:$C)+#REF!,""))</f>
        <v/>
      </c>
      <c r="E645" s="4">
        <v>44610</v>
      </c>
      <c r="F645" s="1" t="s">
        <v>32</v>
      </c>
    </row>
    <row r="646" spans="1:6" x14ac:dyDescent="0.25">
      <c r="A646" s="1" t="s">
        <v>1302</v>
      </c>
      <c r="B646" s="1" t="s">
        <v>1303</v>
      </c>
      <c r="C646" s="3">
        <v>200</v>
      </c>
      <c r="D646" s="3" t="str">
        <f ca="1">IF(B646="","",IFERROR(_xludf.XLOOKUP(_xludf.XLOOKUP(B646,Inventory!$A:$A,Inventory!$B:$B),Blades!$A:$A,Blades!$C:$C)+_xludf.XLOOKUP(_xludf.XLOOKUP(B646,Inventory!$A:$A,Inventory!$C:$C),Motor!$A:$A,Motor!$C:$C)+_xludf.XLOOKUP(_xludf.XLOOKUP(B646,Inventory!$A:$A,Inventory!$D:$D),Frame!$A:$A,Frame!$C:$C)+#REF!,""))</f>
        <v/>
      </c>
      <c r="E646" s="4">
        <v>44610</v>
      </c>
      <c r="F646" s="1" t="s">
        <v>52</v>
      </c>
    </row>
    <row r="647" spans="1:6" x14ac:dyDescent="0.25">
      <c r="A647" s="1" t="s">
        <v>1304</v>
      </c>
      <c r="B647" s="1" t="s">
        <v>1305</v>
      </c>
      <c r="C647" s="3">
        <v>200</v>
      </c>
      <c r="D647" s="3" t="str">
        <f ca="1">IF(B647="","",IFERROR(_xludf.XLOOKUP(_xludf.XLOOKUP(B647,Inventory!$A:$A,Inventory!$B:$B),Blades!$A:$A,Blades!$C:$C)+_xludf.XLOOKUP(_xludf.XLOOKUP(B647,Inventory!$A:$A,Inventory!$C:$C),Motor!$A:$A,Motor!$C:$C)+_xludf.XLOOKUP(_xludf.XLOOKUP(B647,Inventory!$A:$A,Inventory!$D:$D),Frame!$A:$A,Frame!$C:$C)+#REF!,""))</f>
        <v/>
      </c>
      <c r="E647" s="4">
        <v>44613</v>
      </c>
      <c r="F647" s="1" t="s">
        <v>49</v>
      </c>
    </row>
    <row r="648" spans="1:6" x14ac:dyDescent="0.25">
      <c r="A648" s="1" t="s">
        <v>1306</v>
      </c>
      <c r="B648" s="1" t="s">
        <v>1307</v>
      </c>
      <c r="C648" s="3">
        <v>200</v>
      </c>
      <c r="D648" s="3" t="str">
        <f ca="1">IF(B648="","",IFERROR(_xludf.XLOOKUP(_xludf.XLOOKUP(B648,Inventory!$A:$A,Inventory!$B:$B),Blades!$A:$A,Blades!$C:$C)+_xludf.XLOOKUP(_xludf.XLOOKUP(B648,Inventory!$A:$A,Inventory!$C:$C),Motor!$A:$A,Motor!$C:$C)+_xludf.XLOOKUP(_xludf.XLOOKUP(B648,Inventory!$A:$A,Inventory!$D:$D),Frame!$A:$A,Frame!$C:$C)+#REF!,""))</f>
        <v/>
      </c>
      <c r="E648" s="4">
        <v>44613</v>
      </c>
      <c r="F648" s="1" t="s">
        <v>11</v>
      </c>
    </row>
    <row r="649" spans="1:6" x14ac:dyDescent="0.25">
      <c r="A649" s="1" t="s">
        <v>1308</v>
      </c>
      <c r="B649" s="1" t="s">
        <v>1309</v>
      </c>
      <c r="C649" s="3">
        <v>200</v>
      </c>
      <c r="D649" s="3" t="str">
        <f ca="1">IF(B649="","",IFERROR(_xludf.XLOOKUP(_xludf.XLOOKUP(B649,Inventory!$A:$A,Inventory!$B:$B),Blades!$A:$A,Blades!$C:$C)+_xludf.XLOOKUP(_xludf.XLOOKUP(B649,Inventory!$A:$A,Inventory!$C:$C),Motor!$A:$A,Motor!$C:$C)+_xludf.XLOOKUP(_xludf.XLOOKUP(B649,Inventory!$A:$A,Inventory!$D:$D),Frame!$A:$A,Frame!$C:$C)+#REF!,""))</f>
        <v/>
      </c>
      <c r="E649" s="4">
        <v>44613</v>
      </c>
      <c r="F649" s="1" t="s">
        <v>11</v>
      </c>
    </row>
    <row r="650" spans="1:6" x14ac:dyDescent="0.25">
      <c r="A650" s="1" t="s">
        <v>1310</v>
      </c>
      <c r="B650" s="1" t="s">
        <v>1311</v>
      </c>
      <c r="C650" s="3">
        <v>200</v>
      </c>
      <c r="D650" s="3" t="str">
        <f ca="1">IF(B650="","",IFERROR(_xludf.XLOOKUP(_xludf.XLOOKUP(B650,Inventory!$A:$A,Inventory!$B:$B),Blades!$A:$A,Blades!$C:$C)+_xludf.XLOOKUP(_xludf.XLOOKUP(B650,Inventory!$A:$A,Inventory!$C:$C),Motor!$A:$A,Motor!$C:$C)+_xludf.XLOOKUP(_xludf.XLOOKUP(B650,Inventory!$A:$A,Inventory!$D:$D),Frame!$A:$A,Frame!$C:$C)+#REF!,""))</f>
        <v/>
      </c>
      <c r="E650" s="4">
        <v>44614</v>
      </c>
      <c r="F650" s="1" t="s">
        <v>20</v>
      </c>
    </row>
    <row r="651" spans="1:6" x14ac:dyDescent="0.25">
      <c r="A651" s="1" t="s">
        <v>1312</v>
      </c>
      <c r="B651" s="1" t="s">
        <v>1313</v>
      </c>
      <c r="C651" s="3">
        <v>200</v>
      </c>
      <c r="D651" s="3" t="str">
        <f ca="1">IF(B651="","",IFERROR(_xludf.XLOOKUP(_xludf.XLOOKUP(B651,Inventory!$A:$A,Inventory!$B:$B),Blades!$A:$A,Blades!$C:$C)+_xludf.XLOOKUP(_xludf.XLOOKUP(B651,Inventory!$A:$A,Inventory!$C:$C),Motor!$A:$A,Motor!$C:$C)+_xludf.XLOOKUP(_xludf.XLOOKUP(B651,Inventory!$A:$A,Inventory!$D:$D),Frame!$A:$A,Frame!$C:$C)+#REF!,""))</f>
        <v/>
      </c>
      <c r="E651" s="4">
        <v>44615</v>
      </c>
      <c r="F651" s="1" t="s">
        <v>32</v>
      </c>
    </row>
    <row r="652" spans="1:6" x14ac:dyDescent="0.25">
      <c r="A652" s="1" t="s">
        <v>1314</v>
      </c>
      <c r="B652" s="1" t="s">
        <v>1315</v>
      </c>
      <c r="C652" s="3">
        <v>200</v>
      </c>
      <c r="D652" s="3" t="str">
        <f ca="1">IF(B652="","",IFERROR(_xludf.XLOOKUP(_xludf.XLOOKUP(B652,Inventory!$A:$A,Inventory!$B:$B),Blades!$A:$A,Blades!$C:$C)+_xludf.XLOOKUP(_xludf.XLOOKUP(B652,Inventory!$A:$A,Inventory!$C:$C),Motor!$A:$A,Motor!$C:$C)+_xludf.XLOOKUP(_xludf.XLOOKUP(B652,Inventory!$A:$A,Inventory!$D:$D),Frame!$A:$A,Frame!$C:$C)+#REF!,""))</f>
        <v/>
      </c>
      <c r="E652" s="4">
        <v>44615</v>
      </c>
      <c r="F652" s="1" t="s">
        <v>8</v>
      </c>
    </row>
    <row r="653" spans="1:6" x14ac:dyDescent="0.25">
      <c r="A653" s="1" t="s">
        <v>1316</v>
      </c>
      <c r="B653" s="1" t="s">
        <v>1317</v>
      </c>
      <c r="C653" s="3">
        <v>200</v>
      </c>
      <c r="D653" s="3" t="str">
        <f ca="1">IF(B653="","",IFERROR(_xludf.XLOOKUP(_xludf.XLOOKUP(B653,Inventory!$A:$A,Inventory!$B:$B),Blades!$A:$A,Blades!$C:$C)+_xludf.XLOOKUP(_xludf.XLOOKUP(B653,Inventory!$A:$A,Inventory!$C:$C),Motor!$A:$A,Motor!$C:$C)+_xludf.XLOOKUP(_xludf.XLOOKUP(B653,Inventory!$A:$A,Inventory!$D:$D),Frame!$A:$A,Frame!$C:$C)+#REF!,""))</f>
        <v/>
      </c>
      <c r="E653" s="4">
        <v>44615</v>
      </c>
      <c r="F653" s="1" t="s">
        <v>11</v>
      </c>
    </row>
    <row r="654" spans="1:6" x14ac:dyDescent="0.25">
      <c r="A654" s="1" t="s">
        <v>1318</v>
      </c>
      <c r="B654" s="1" t="s">
        <v>1319</v>
      </c>
      <c r="C654" s="3">
        <v>200</v>
      </c>
      <c r="D654" s="3" t="str">
        <f ca="1">IF(B654="","",IFERROR(_xludf.XLOOKUP(_xludf.XLOOKUP(B654,Inventory!$A:$A,Inventory!$B:$B),Blades!$A:$A,Blades!$C:$C)+_xludf.XLOOKUP(_xludf.XLOOKUP(B654,Inventory!$A:$A,Inventory!$C:$C),Motor!$A:$A,Motor!$C:$C)+_xludf.XLOOKUP(_xludf.XLOOKUP(B654,Inventory!$A:$A,Inventory!$D:$D),Frame!$A:$A,Frame!$C:$C)+#REF!,""))</f>
        <v/>
      </c>
      <c r="E654" s="4">
        <v>44616</v>
      </c>
      <c r="F654" s="1" t="s">
        <v>25</v>
      </c>
    </row>
    <row r="655" spans="1:6" x14ac:dyDescent="0.25">
      <c r="A655" s="1" t="s">
        <v>1320</v>
      </c>
      <c r="B655" s="1" t="s">
        <v>1321</v>
      </c>
      <c r="C655" s="3">
        <v>200</v>
      </c>
      <c r="D655" s="3" t="str">
        <f ca="1">IF(B655="","",IFERROR(_xludf.XLOOKUP(_xludf.XLOOKUP(B655,Inventory!$A:$A,Inventory!$B:$B),Blades!$A:$A,Blades!$C:$C)+_xludf.XLOOKUP(_xludf.XLOOKUP(B655,Inventory!$A:$A,Inventory!$C:$C),Motor!$A:$A,Motor!$C:$C)+_xludf.XLOOKUP(_xludf.XLOOKUP(B655,Inventory!$A:$A,Inventory!$D:$D),Frame!$A:$A,Frame!$C:$C)+#REF!,""))</f>
        <v/>
      </c>
      <c r="E655" s="4">
        <v>44617</v>
      </c>
      <c r="F655" s="1" t="s">
        <v>32</v>
      </c>
    </row>
    <row r="656" spans="1:6" x14ac:dyDescent="0.25">
      <c r="A656" s="1" t="s">
        <v>1322</v>
      </c>
      <c r="B656" s="1" t="s">
        <v>1323</v>
      </c>
      <c r="C656" s="3">
        <v>200</v>
      </c>
      <c r="D656" s="3" t="str">
        <f ca="1">IF(B656="","",IFERROR(_xludf.XLOOKUP(_xludf.XLOOKUP(B656,Inventory!$A:$A,Inventory!$B:$B),Blades!$A:$A,Blades!$C:$C)+_xludf.XLOOKUP(_xludf.XLOOKUP(B656,Inventory!$A:$A,Inventory!$C:$C),Motor!$A:$A,Motor!$C:$C)+_xludf.XLOOKUP(_xludf.XLOOKUP(B656,Inventory!$A:$A,Inventory!$D:$D),Frame!$A:$A,Frame!$C:$C)+#REF!,""))</f>
        <v/>
      </c>
      <c r="E656" s="4">
        <v>44617</v>
      </c>
      <c r="F656" s="1" t="s">
        <v>11</v>
      </c>
    </row>
    <row r="657" spans="1:6" x14ac:dyDescent="0.25">
      <c r="A657" s="1" t="s">
        <v>1324</v>
      </c>
      <c r="B657" s="1" t="s">
        <v>1325</v>
      </c>
      <c r="C657" s="3">
        <v>200</v>
      </c>
      <c r="D657" s="3" t="str">
        <f ca="1">IF(B657="","",IFERROR(_xludf.XLOOKUP(_xludf.XLOOKUP(B657,Inventory!$A:$A,Inventory!$B:$B),Blades!$A:$A,Blades!$C:$C)+_xludf.XLOOKUP(_xludf.XLOOKUP(B657,Inventory!$A:$A,Inventory!$C:$C),Motor!$A:$A,Motor!$C:$C)+_xludf.XLOOKUP(_xludf.XLOOKUP(B657,Inventory!$A:$A,Inventory!$D:$D),Frame!$A:$A,Frame!$C:$C)+#REF!,""))</f>
        <v/>
      </c>
      <c r="E657" s="4">
        <v>44618</v>
      </c>
      <c r="F657" s="1" t="s">
        <v>20</v>
      </c>
    </row>
    <row r="658" spans="1:6" x14ac:dyDescent="0.25">
      <c r="A658" s="1" t="s">
        <v>1326</v>
      </c>
      <c r="B658" s="1" t="s">
        <v>1327</v>
      </c>
      <c r="C658" s="3">
        <v>200</v>
      </c>
      <c r="D658" s="3" t="str">
        <f ca="1">IF(B658="","",IFERROR(_xludf.XLOOKUP(_xludf.XLOOKUP(B658,Inventory!$A:$A,Inventory!$B:$B),Blades!$A:$A,Blades!$C:$C)+_xludf.XLOOKUP(_xludf.XLOOKUP(B658,Inventory!$A:$A,Inventory!$C:$C),Motor!$A:$A,Motor!$C:$C)+_xludf.XLOOKUP(_xludf.XLOOKUP(B658,Inventory!$A:$A,Inventory!$D:$D),Frame!$A:$A,Frame!$C:$C)+#REF!,""))</f>
        <v/>
      </c>
      <c r="E658" s="4">
        <v>44623</v>
      </c>
      <c r="F658" s="1" t="s">
        <v>52</v>
      </c>
    </row>
    <row r="659" spans="1:6" x14ac:dyDescent="0.25">
      <c r="A659" s="1" t="s">
        <v>1328</v>
      </c>
      <c r="B659" s="1" t="s">
        <v>1329</v>
      </c>
      <c r="C659" s="3">
        <v>200</v>
      </c>
      <c r="D659" s="3" t="str">
        <f ca="1">IF(B659="","",IFERROR(_xludf.XLOOKUP(_xludf.XLOOKUP(B659,Inventory!$A:$A,Inventory!$B:$B),Blades!$A:$A,Blades!$C:$C)+_xludf.XLOOKUP(_xludf.XLOOKUP(B659,Inventory!$A:$A,Inventory!$C:$C),Motor!$A:$A,Motor!$C:$C)+_xludf.XLOOKUP(_xludf.XLOOKUP(B659,Inventory!$A:$A,Inventory!$D:$D),Frame!$A:$A,Frame!$C:$C)+#REF!,""))</f>
        <v/>
      </c>
      <c r="E659" s="4">
        <v>44623</v>
      </c>
      <c r="F659" s="1" t="s">
        <v>52</v>
      </c>
    </row>
    <row r="660" spans="1:6" x14ac:dyDescent="0.25">
      <c r="A660" s="1" t="s">
        <v>1330</v>
      </c>
      <c r="B660" s="1" t="s">
        <v>1331</v>
      </c>
      <c r="C660" s="3">
        <v>200</v>
      </c>
      <c r="D660" s="3" t="str">
        <f ca="1">IF(B660="","",IFERROR(_xludf.XLOOKUP(_xludf.XLOOKUP(B660,Inventory!$A:$A,Inventory!$B:$B),Blades!$A:$A,Blades!$C:$C)+_xludf.XLOOKUP(_xludf.XLOOKUP(B660,Inventory!$A:$A,Inventory!$C:$C),Motor!$A:$A,Motor!$C:$C)+_xludf.XLOOKUP(_xludf.XLOOKUP(B660,Inventory!$A:$A,Inventory!$D:$D),Frame!$A:$A,Frame!$C:$C)+#REF!,""))</f>
        <v/>
      </c>
      <c r="E660" s="4">
        <v>44623</v>
      </c>
      <c r="F660" s="1" t="s">
        <v>52</v>
      </c>
    </row>
    <row r="661" spans="1:6" x14ac:dyDescent="0.25">
      <c r="A661" s="1" t="s">
        <v>1332</v>
      </c>
      <c r="B661" s="1" t="s">
        <v>1333</v>
      </c>
      <c r="C661" s="3">
        <v>200</v>
      </c>
      <c r="D661" s="3" t="str">
        <f ca="1">IF(B661="","",IFERROR(_xludf.XLOOKUP(_xludf.XLOOKUP(B661,Inventory!$A:$A,Inventory!$B:$B),Blades!$A:$A,Blades!$C:$C)+_xludf.XLOOKUP(_xludf.XLOOKUP(B661,Inventory!$A:$A,Inventory!$C:$C),Motor!$A:$A,Motor!$C:$C)+_xludf.XLOOKUP(_xludf.XLOOKUP(B661,Inventory!$A:$A,Inventory!$D:$D),Frame!$A:$A,Frame!$C:$C)+#REF!,""))</f>
        <v/>
      </c>
      <c r="E661" s="4">
        <v>44624</v>
      </c>
      <c r="F661" s="1" t="s">
        <v>20</v>
      </c>
    </row>
    <row r="662" spans="1:6" x14ac:dyDescent="0.25">
      <c r="A662" s="1" t="s">
        <v>1334</v>
      </c>
      <c r="B662" s="1" t="s">
        <v>1335</v>
      </c>
      <c r="C662" s="3">
        <v>200</v>
      </c>
      <c r="D662" s="3" t="str">
        <f ca="1">IF(B662="","",IFERROR(_xludf.XLOOKUP(_xludf.XLOOKUP(B662,Inventory!$A:$A,Inventory!$B:$B),Blades!$A:$A,Blades!$C:$C)+_xludf.XLOOKUP(_xludf.XLOOKUP(B662,Inventory!$A:$A,Inventory!$C:$C),Motor!$A:$A,Motor!$C:$C)+_xludf.XLOOKUP(_xludf.XLOOKUP(B662,Inventory!$A:$A,Inventory!$D:$D),Frame!$A:$A,Frame!$C:$C)+#REF!,""))</f>
        <v/>
      </c>
      <c r="E662" s="4">
        <v>44624</v>
      </c>
      <c r="F662" s="1" t="s">
        <v>25</v>
      </c>
    </row>
    <row r="663" spans="1:6" x14ac:dyDescent="0.25">
      <c r="A663" s="1" t="s">
        <v>1336</v>
      </c>
      <c r="B663" s="1" t="s">
        <v>1337</v>
      </c>
      <c r="C663" s="3">
        <v>200</v>
      </c>
      <c r="D663" s="3" t="str">
        <f ca="1">IF(B663="","",IFERROR(_xludf.XLOOKUP(_xludf.XLOOKUP(B663,Inventory!$A:$A,Inventory!$B:$B),Blades!$A:$A,Blades!$C:$C)+_xludf.XLOOKUP(_xludf.XLOOKUP(B663,Inventory!$A:$A,Inventory!$C:$C),Motor!$A:$A,Motor!$C:$C)+_xludf.XLOOKUP(_xludf.XLOOKUP(B663,Inventory!$A:$A,Inventory!$D:$D),Frame!$A:$A,Frame!$C:$C)+#REF!,""))</f>
        <v/>
      </c>
      <c r="E663" s="4">
        <v>44627</v>
      </c>
      <c r="F663" s="1" t="s">
        <v>49</v>
      </c>
    </row>
    <row r="664" spans="1:6" x14ac:dyDescent="0.25">
      <c r="A664" s="1" t="s">
        <v>1338</v>
      </c>
      <c r="B664" s="1" t="s">
        <v>1339</v>
      </c>
      <c r="C664" s="3">
        <v>200</v>
      </c>
      <c r="D664" s="3" t="str">
        <f ca="1">IF(B664="","",IFERROR(_xludf.XLOOKUP(_xludf.XLOOKUP(B664,Inventory!$A:$A,Inventory!$B:$B),Blades!$A:$A,Blades!$C:$C)+_xludf.XLOOKUP(_xludf.XLOOKUP(B664,Inventory!$A:$A,Inventory!$C:$C),Motor!$A:$A,Motor!$C:$C)+_xludf.XLOOKUP(_xludf.XLOOKUP(B664,Inventory!$A:$A,Inventory!$D:$D),Frame!$A:$A,Frame!$C:$C)+#REF!,""))</f>
        <v/>
      </c>
      <c r="E664" s="4">
        <v>44627</v>
      </c>
      <c r="F664" s="1" t="s">
        <v>8</v>
      </c>
    </row>
    <row r="665" spans="1:6" x14ac:dyDescent="0.25">
      <c r="A665" s="1" t="s">
        <v>1340</v>
      </c>
      <c r="B665" s="1" t="s">
        <v>1341</v>
      </c>
      <c r="C665" s="3">
        <v>200</v>
      </c>
      <c r="D665" s="3" t="str">
        <f ca="1">IF(B665="","",IFERROR(_xludf.XLOOKUP(_xludf.XLOOKUP(B665,Inventory!$A:$A,Inventory!$B:$B),Blades!$A:$A,Blades!$C:$C)+_xludf.XLOOKUP(_xludf.XLOOKUP(B665,Inventory!$A:$A,Inventory!$C:$C),Motor!$A:$A,Motor!$C:$C)+_xludf.XLOOKUP(_xludf.XLOOKUP(B665,Inventory!$A:$A,Inventory!$D:$D),Frame!$A:$A,Frame!$C:$C)+#REF!,""))</f>
        <v/>
      </c>
      <c r="E665" s="4">
        <v>44628</v>
      </c>
      <c r="F665" s="1" t="s">
        <v>20</v>
      </c>
    </row>
    <row r="666" spans="1:6" x14ac:dyDescent="0.25">
      <c r="A666" s="1" t="s">
        <v>1342</v>
      </c>
      <c r="B666" s="1" t="s">
        <v>1343</v>
      </c>
      <c r="C666" s="3">
        <v>200</v>
      </c>
      <c r="D666" s="3" t="str">
        <f ca="1">IF(B666="","",IFERROR(_xludf.XLOOKUP(_xludf.XLOOKUP(B666,Inventory!$A:$A,Inventory!$B:$B),Blades!$A:$A,Blades!$C:$C)+_xludf.XLOOKUP(_xludf.XLOOKUP(B666,Inventory!$A:$A,Inventory!$C:$C),Motor!$A:$A,Motor!$C:$C)+_xludf.XLOOKUP(_xludf.XLOOKUP(B666,Inventory!$A:$A,Inventory!$D:$D),Frame!$A:$A,Frame!$C:$C)+#REF!,""))</f>
        <v/>
      </c>
      <c r="E666" s="4">
        <v>44628</v>
      </c>
      <c r="F666" s="1" t="s">
        <v>52</v>
      </c>
    </row>
    <row r="667" spans="1:6" x14ac:dyDescent="0.25">
      <c r="A667" s="1" t="s">
        <v>1344</v>
      </c>
      <c r="B667" s="1" t="s">
        <v>1345</v>
      </c>
      <c r="C667" s="3">
        <v>200</v>
      </c>
      <c r="D667" s="3" t="str">
        <f ca="1">IF(B667="","",IFERROR(_xludf.XLOOKUP(_xludf.XLOOKUP(B667,Inventory!$A:$A,Inventory!$B:$B),Blades!$A:$A,Blades!$C:$C)+_xludf.XLOOKUP(_xludf.XLOOKUP(B667,Inventory!$A:$A,Inventory!$C:$C),Motor!$A:$A,Motor!$C:$C)+_xludf.XLOOKUP(_xludf.XLOOKUP(B667,Inventory!$A:$A,Inventory!$D:$D),Frame!$A:$A,Frame!$C:$C)+#REF!,""))</f>
        <v/>
      </c>
      <c r="E667" s="4">
        <v>44628</v>
      </c>
      <c r="F667" s="1" t="s">
        <v>49</v>
      </c>
    </row>
    <row r="668" spans="1:6" x14ac:dyDescent="0.25">
      <c r="A668" s="1" t="s">
        <v>1346</v>
      </c>
      <c r="B668" s="1" t="s">
        <v>1347</v>
      </c>
      <c r="C668" s="3">
        <v>200</v>
      </c>
      <c r="D668" s="3" t="str">
        <f ca="1">IF(B668="","",IFERROR(_xludf.XLOOKUP(_xludf.XLOOKUP(B668,Inventory!$A:$A,Inventory!$B:$B),Blades!$A:$A,Blades!$C:$C)+_xludf.XLOOKUP(_xludf.XLOOKUP(B668,Inventory!$A:$A,Inventory!$C:$C),Motor!$A:$A,Motor!$C:$C)+_xludf.XLOOKUP(_xludf.XLOOKUP(B668,Inventory!$A:$A,Inventory!$D:$D),Frame!$A:$A,Frame!$C:$C)+#REF!,""))</f>
        <v/>
      </c>
      <c r="E668" s="4">
        <v>44630</v>
      </c>
      <c r="F668" s="1" t="s">
        <v>63</v>
      </c>
    </row>
    <row r="669" spans="1:6" x14ac:dyDescent="0.25">
      <c r="A669" s="1" t="s">
        <v>1348</v>
      </c>
      <c r="B669" s="1" t="s">
        <v>1349</v>
      </c>
      <c r="C669" s="3">
        <v>200</v>
      </c>
      <c r="D669" s="3" t="str">
        <f ca="1">IF(B669="","",IFERROR(_xludf.XLOOKUP(_xludf.XLOOKUP(B669,Inventory!$A:$A,Inventory!$B:$B),Blades!$A:$A,Blades!$C:$C)+_xludf.XLOOKUP(_xludf.XLOOKUP(B669,Inventory!$A:$A,Inventory!$C:$C),Motor!$A:$A,Motor!$C:$C)+_xludf.XLOOKUP(_xludf.XLOOKUP(B669,Inventory!$A:$A,Inventory!$D:$D),Frame!$A:$A,Frame!$C:$C)+#REF!,""))</f>
        <v/>
      </c>
      <c r="E669" s="4">
        <v>44631</v>
      </c>
      <c r="F669" s="1" t="s">
        <v>25</v>
      </c>
    </row>
    <row r="670" spans="1:6" x14ac:dyDescent="0.25">
      <c r="A670" s="1" t="s">
        <v>1350</v>
      </c>
      <c r="B670" s="1" t="s">
        <v>1351</v>
      </c>
      <c r="C670" s="3">
        <v>200</v>
      </c>
      <c r="D670" s="3" t="str">
        <f ca="1">IF(B670="","",IFERROR(_xludf.XLOOKUP(_xludf.XLOOKUP(B670,Inventory!$A:$A,Inventory!$B:$B),Blades!$A:$A,Blades!$C:$C)+_xludf.XLOOKUP(_xludf.XLOOKUP(B670,Inventory!$A:$A,Inventory!$C:$C),Motor!$A:$A,Motor!$C:$C)+_xludf.XLOOKUP(_xludf.XLOOKUP(B670,Inventory!$A:$A,Inventory!$D:$D),Frame!$A:$A,Frame!$C:$C)+#REF!,""))</f>
        <v/>
      </c>
      <c r="E670" s="4">
        <v>44631</v>
      </c>
      <c r="F670" s="1" t="s">
        <v>11</v>
      </c>
    </row>
    <row r="671" spans="1:6" x14ac:dyDescent="0.25">
      <c r="A671" s="1" t="s">
        <v>1352</v>
      </c>
      <c r="B671" s="1" t="s">
        <v>1353</v>
      </c>
      <c r="C671" s="3">
        <v>200</v>
      </c>
      <c r="D671" s="3" t="str">
        <f ca="1">IF(B671="","",IFERROR(_xludf.XLOOKUP(_xludf.XLOOKUP(B671,Inventory!$A:$A,Inventory!$B:$B),Blades!$A:$A,Blades!$C:$C)+_xludf.XLOOKUP(_xludf.XLOOKUP(B671,Inventory!$A:$A,Inventory!$C:$C),Motor!$A:$A,Motor!$C:$C)+_xludf.XLOOKUP(_xludf.XLOOKUP(B671,Inventory!$A:$A,Inventory!$D:$D),Frame!$A:$A,Frame!$C:$C)+#REF!,""))</f>
        <v/>
      </c>
      <c r="E671" s="4">
        <v>44632</v>
      </c>
      <c r="F671" s="1" t="s">
        <v>8</v>
      </c>
    </row>
    <row r="672" spans="1:6" x14ac:dyDescent="0.25">
      <c r="A672" s="1" t="s">
        <v>1354</v>
      </c>
      <c r="B672" s="1" t="s">
        <v>1355</v>
      </c>
      <c r="C672" s="3">
        <v>200</v>
      </c>
      <c r="D672" s="3" t="str">
        <f ca="1">IF(B672="","",IFERROR(_xludf.XLOOKUP(_xludf.XLOOKUP(B672,Inventory!$A:$A,Inventory!$B:$B),Blades!$A:$A,Blades!$C:$C)+_xludf.XLOOKUP(_xludf.XLOOKUP(B672,Inventory!$A:$A,Inventory!$C:$C),Motor!$A:$A,Motor!$C:$C)+_xludf.XLOOKUP(_xludf.XLOOKUP(B672,Inventory!$A:$A,Inventory!$D:$D),Frame!$A:$A,Frame!$C:$C)+#REF!,""))</f>
        <v/>
      </c>
      <c r="E672" s="4">
        <v>44633</v>
      </c>
      <c r="F672" s="1" t="s">
        <v>25</v>
      </c>
    </row>
    <row r="673" spans="1:6" x14ac:dyDescent="0.25">
      <c r="A673" s="1" t="s">
        <v>1356</v>
      </c>
      <c r="B673" s="1" t="s">
        <v>1357</v>
      </c>
      <c r="C673" s="3">
        <v>200</v>
      </c>
      <c r="D673" s="3" t="str">
        <f ca="1">IF(B673="","",IFERROR(_xludf.XLOOKUP(_xludf.XLOOKUP(B673,Inventory!$A:$A,Inventory!$B:$B),Blades!$A:$A,Blades!$C:$C)+_xludf.XLOOKUP(_xludf.XLOOKUP(B673,Inventory!$A:$A,Inventory!$C:$C),Motor!$A:$A,Motor!$C:$C)+_xludf.XLOOKUP(_xludf.XLOOKUP(B673,Inventory!$A:$A,Inventory!$D:$D),Frame!$A:$A,Frame!$C:$C)+#REF!,""))</f>
        <v/>
      </c>
      <c r="E673" s="4">
        <v>44634</v>
      </c>
      <c r="F673" s="1" t="s">
        <v>63</v>
      </c>
    </row>
    <row r="674" spans="1:6" x14ac:dyDescent="0.25">
      <c r="A674" s="1" t="s">
        <v>1358</v>
      </c>
      <c r="B674" s="1" t="s">
        <v>1359</v>
      </c>
      <c r="C674" s="3">
        <v>200</v>
      </c>
      <c r="D674" s="3" t="str">
        <f ca="1">IF(B674="","",IFERROR(_xludf.XLOOKUP(_xludf.XLOOKUP(B674,Inventory!$A:$A,Inventory!$B:$B),Blades!$A:$A,Blades!$C:$C)+_xludf.XLOOKUP(_xludf.XLOOKUP(B674,Inventory!$A:$A,Inventory!$C:$C),Motor!$A:$A,Motor!$C:$C)+_xludf.XLOOKUP(_xludf.XLOOKUP(B674,Inventory!$A:$A,Inventory!$D:$D),Frame!$A:$A,Frame!$C:$C)+#REF!,""))</f>
        <v/>
      </c>
      <c r="E674" s="4">
        <v>44634</v>
      </c>
      <c r="F674" s="1" t="s">
        <v>11</v>
      </c>
    </row>
    <row r="675" spans="1:6" x14ac:dyDescent="0.25">
      <c r="A675" s="1" t="s">
        <v>1360</v>
      </c>
      <c r="B675" s="1" t="s">
        <v>1361</v>
      </c>
      <c r="C675" s="3">
        <v>200</v>
      </c>
      <c r="D675" s="3" t="str">
        <f ca="1">IF(B675="","",IFERROR(_xludf.XLOOKUP(_xludf.XLOOKUP(B675,Inventory!$A:$A,Inventory!$B:$B),Blades!$A:$A,Blades!$C:$C)+_xludf.XLOOKUP(_xludf.XLOOKUP(B675,Inventory!$A:$A,Inventory!$C:$C),Motor!$A:$A,Motor!$C:$C)+_xludf.XLOOKUP(_xludf.XLOOKUP(B675,Inventory!$A:$A,Inventory!$D:$D),Frame!$A:$A,Frame!$C:$C)+#REF!,""))</f>
        <v/>
      </c>
      <c r="E675" s="4">
        <v>44634</v>
      </c>
      <c r="F675" s="1" t="s">
        <v>11</v>
      </c>
    </row>
    <row r="676" spans="1:6" x14ac:dyDescent="0.25">
      <c r="A676" s="1" t="s">
        <v>1362</v>
      </c>
      <c r="B676" s="1" t="s">
        <v>1363</v>
      </c>
      <c r="C676" s="3">
        <v>200</v>
      </c>
      <c r="D676" s="3" t="str">
        <f ca="1">IF(B676="","",IFERROR(_xludf.XLOOKUP(_xludf.XLOOKUP(B676,Inventory!$A:$A,Inventory!$B:$B),Blades!$A:$A,Blades!$C:$C)+_xludf.XLOOKUP(_xludf.XLOOKUP(B676,Inventory!$A:$A,Inventory!$C:$C),Motor!$A:$A,Motor!$C:$C)+_xludf.XLOOKUP(_xludf.XLOOKUP(B676,Inventory!$A:$A,Inventory!$D:$D),Frame!$A:$A,Frame!$C:$C)+#REF!,""))</f>
        <v/>
      </c>
      <c r="E676" s="4">
        <v>44634</v>
      </c>
      <c r="F676" s="1" t="s">
        <v>52</v>
      </c>
    </row>
    <row r="677" spans="1:6" x14ac:dyDescent="0.25">
      <c r="A677" s="1" t="s">
        <v>1364</v>
      </c>
      <c r="B677" s="1" t="s">
        <v>1365</v>
      </c>
      <c r="C677" s="3">
        <v>200</v>
      </c>
      <c r="D677" s="3" t="str">
        <f ca="1">IF(B677="","",IFERROR(_xludf.XLOOKUP(_xludf.XLOOKUP(B677,Inventory!$A:$A,Inventory!$B:$B),Blades!$A:$A,Blades!$C:$C)+_xludf.XLOOKUP(_xludf.XLOOKUP(B677,Inventory!$A:$A,Inventory!$C:$C),Motor!$A:$A,Motor!$C:$C)+_xludf.XLOOKUP(_xludf.XLOOKUP(B677,Inventory!$A:$A,Inventory!$D:$D),Frame!$A:$A,Frame!$C:$C)+#REF!,""))</f>
        <v/>
      </c>
      <c r="E677" s="4">
        <v>44637</v>
      </c>
      <c r="F677" s="1" t="s">
        <v>8</v>
      </c>
    </row>
    <row r="678" spans="1:6" x14ac:dyDescent="0.25">
      <c r="A678" s="1" t="s">
        <v>1366</v>
      </c>
      <c r="B678" s="1" t="s">
        <v>1367</v>
      </c>
      <c r="C678" s="3">
        <v>200</v>
      </c>
      <c r="D678" s="3" t="str">
        <f ca="1">IF(B678="","",IFERROR(_xludf.XLOOKUP(_xludf.XLOOKUP(B678,Inventory!$A:$A,Inventory!$B:$B),Blades!$A:$A,Blades!$C:$C)+_xludf.XLOOKUP(_xludf.XLOOKUP(B678,Inventory!$A:$A,Inventory!$C:$C),Motor!$A:$A,Motor!$C:$C)+_xludf.XLOOKUP(_xludf.XLOOKUP(B678,Inventory!$A:$A,Inventory!$D:$D),Frame!$A:$A,Frame!$C:$C)+#REF!,""))</f>
        <v/>
      </c>
      <c r="E678" s="4">
        <v>44637</v>
      </c>
      <c r="F678" s="1" t="s">
        <v>52</v>
      </c>
    </row>
    <row r="679" spans="1:6" x14ac:dyDescent="0.25">
      <c r="A679" s="1" t="s">
        <v>1368</v>
      </c>
      <c r="B679" s="1" t="s">
        <v>1369</v>
      </c>
      <c r="C679" s="3">
        <v>200</v>
      </c>
      <c r="D679" s="3" t="str">
        <f ca="1">IF(B679="","",IFERROR(_xludf.XLOOKUP(_xludf.XLOOKUP(B679,Inventory!$A:$A,Inventory!$B:$B),Blades!$A:$A,Blades!$C:$C)+_xludf.XLOOKUP(_xludf.XLOOKUP(B679,Inventory!$A:$A,Inventory!$C:$C),Motor!$A:$A,Motor!$C:$C)+_xludf.XLOOKUP(_xludf.XLOOKUP(B679,Inventory!$A:$A,Inventory!$D:$D),Frame!$A:$A,Frame!$C:$C)+#REF!,""))</f>
        <v/>
      </c>
      <c r="E679" s="4">
        <v>44638</v>
      </c>
      <c r="F679" s="1" t="s">
        <v>8</v>
      </c>
    </row>
    <row r="680" spans="1:6" x14ac:dyDescent="0.25">
      <c r="A680" s="1" t="s">
        <v>1370</v>
      </c>
      <c r="B680" s="1" t="s">
        <v>1371</v>
      </c>
      <c r="C680" s="3">
        <v>200</v>
      </c>
      <c r="D680" s="3" t="str">
        <f ca="1">IF(B680="","",IFERROR(_xludf.XLOOKUP(_xludf.XLOOKUP(B680,Inventory!$A:$A,Inventory!$B:$B),Blades!$A:$A,Blades!$C:$C)+_xludf.XLOOKUP(_xludf.XLOOKUP(B680,Inventory!$A:$A,Inventory!$C:$C),Motor!$A:$A,Motor!$C:$C)+_xludf.XLOOKUP(_xludf.XLOOKUP(B680,Inventory!$A:$A,Inventory!$D:$D),Frame!$A:$A,Frame!$C:$C)+#REF!,""))</f>
        <v/>
      </c>
      <c r="E680" s="4">
        <v>44639</v>
      </c>
      <c r="F680" s="1" t="s">
        <v>11</v>
      </c>
    </row>
    <row r="681" spans="1:6" x14ac:dyDescent="0.25">
      <c r="A681" s="1" t="s">
        <v>1372</v>
      </c>
      <c r="B681" s="1" t="s">
        <v>1373</v>
      </c>
      <c r="C681" s="3">
        <v>200</v>
      </c>
      <c r="D681" s="3" t="str">
        <f ca="1">IF(B681="","",IFERROR(_xludf.XLOOKUP(_xludf.XLOOKUP(B681,Inventory!$A:$A,Inventory!$B:$B),Blades!$A:$A,Blades!$C:$C)+_xludf.XLOOKUP(_xludf.XLOOKUP(B681,Inventory!$A:$A,Inventory!$C:$C),Motor!$A:$A,Motor!$C:$C)+_xludf.XLOOKUP(_xludf.XLOOKUP(B681,Inventory!$A:$A,Inventory!$D:$D),Frame!$A:$A,Frame!$C:$C)+#REF!,""))</f>
        <v/>
      </c>
      <c r="E681" s="4">
        <v>44641</v>
      </c>
      <c r="F681" s="1" t="s">
        <v>63</v>
      </c>
    </row>
    <row r="682" spans="1:6" x14ac:dyDescent="0.25">
      <c r="A682" s="1" t="s">
        <v>1374</v>
      </c>
      <c r="B682" s="1" t="s">
        <v>1375</v>
      </c>
      <c r="C682" s="3">
        <v>200</v>
      </c>
      <c r="D682" s="3" t="str">
        <f ca="1">IF(B682="","",IFERROR(_xludf.XLOOKUP(_xludf.XLOOKUP(B682,Inventory!$A:$A,Inventory!$B:$B),Blades!$A:$A,Blades!$C:$C)+_xludf.XLOOKUP(_xludf.XLOOKUP(B682,Inventory!$A:$A,Inventory!$C:$C),Motor!$A:$A,Motor!$C:$C)+_xludf.XLOOKUP(_xludf.XLOOKUP(B682,Inventory!$A:$A,Inventory!$D:$D),Frame!$A:$A,Frame!$C:$C)+#REF!,""))</f>
        <v/>
      </c>
      <c r="E682" s="4">
        <v>44642</v>
      </c>
      <c r="F682" s="1" t="s">
        <v>25</v>
      </c>
    </row>
    <row r="683" spans="1:6" x14ac:dyDescent="0.25">
      <c r="A683" s="1" t="s">
        <v>1376</v>
      </c>
      <c r="B683" s="1" t="s">
        <v>1377</v>
      </c>
      <c r="C683" s="3">
        <v>200</v>
      </c>
      <c r="D683" s="3" t="str">
        <f ca="1">IF(B683="","",IFERROR(_xludf.XLOOKUP(_xludf.XLOOKUP(B683,Inventory!$A:$A,Inventory!$B:$B),Blades!$A:$A,Blades!$C:$C)+_xludf.XLOOKUP(_xludf.XLOOKUP(B683,Inventory!$A:$A,Inventory!$C:$C),Motor!$A:$A,Motor!$C:$C)+_xludf.XLOOKUP(_xludf.XLOOKUP(B683,Inventory!$A:$A,Inventory!$D:$D),Frame!$A:$A,Frame!$C:$C)+#REF!,""))</f>
        <v/>
      </c>
      <c r="E683" s="4">
        <v>44642</v>
      </c>
      <c r="F683" s="1" t="s">
        <v>20</v>
      </c>
    </row>
    <row r="684" spans="1:6" x14ac:dyDescent="0.25">
      <c r="A684" s="1" t="s">
        <v>1378</v>
      </c>
      <c r="B684" s="1" t="s">
        <v>1379</v>
      </c>
      <c r="C684" s="3">
        <v>200</v>
      </c>
      <c r="D684" s="3" t="str">
        <f ca="1">IF(B684="","",IFERROR(_xludf.XLOOKUP(_xludf.XLOOKUP(B684,Inventory!$A:$A,Inventory!$B:$B),Blades!$A:$A,Blades!$C:$C)+_xludf.XLOOKUP(_xludf.XLOOKUP(B684,Inventory!$A:$A,Inventory!$C:$C),Motor!$A:$A,Motor!$C:$C)+_xludf.XLOOKUP(_xludf.XLOOKUP(B684,Inventory!$A:$A,Inventory!$D:$D),Frame!$A:$A,Frame!$C:$C)+#REF!,""))</f>
        <v/>
      </c>
      <c r="E684" s="4">
        <v>44643</v>
      </c>
      <c r="F684" s="1" t="s">
        <v>25</v>
      </c>
    </row>
    <row r="685" spans="1:6" x14ac:dyDescent="0.25">
      <c r="A685" s="1" t="s">
        <v>1380</v>
      </c>
      <c r="B685" s="1" t="s">
        <v>1381</v>
      </c>
      <c r="C685" s="3">
        <v>200</v>
      </c>
      <c r="D685" s="3" t="str">
        <f ca="1">IF(B685="","",IFERROR(_xludf.XLOOKUP(_xludf.XLOOKUP(B685,Inventory!$A:$A,Inventory!$B:$B),Blades!$A:$A,Blades!$C:$C)+_xludf.XLOOKUP(_xludf.XLOOKUP(B685,Inventory!$A:$A,Inventory!$C:$C),Motor!$A:$A,Motor!$C:$C)+_xludf.XLOOKUP(_xludf.XLOOKUP(B685,Inventory!$A:$A,Inventory!$D:$D),Frame!$A:$A,Frame!$C:$C)+#REF!,""))</f>
        <v/>
      </c>
      <c r="E685" s="4">
        <v>44644</v>
      </c>
      <c r="F685" s="1" t="s">
        <v>49</v>
      </c>
    </row>
    <row r="686" spans="1:6" x14ac:dyDescent="0.25">
      <c r="A686" s="1" t="s">
        <v>1382</v>
      </c>
      <c r="B686" s="1" t="s">
        <v>1383</v>
      </c>
      <c r="C686" s="3">
        <v>200</v>
      </c>
      <c r="D686" s="3" t="str">
        <f ca="1">IF(B686="","",IFERROR(_xludf.XLOOKUP(_xludf.XLOOKUP(B686,Inventory!$A:$A,Inventory!$B:$B),Blades!$A:$A,Blades!$C:$C)+_xludf.XLOOKUP(_xludf.XLOOKUP(B686,Inventory!$A:$A,Inventory!$C:$C),Motor!$A:$A,Motor!$C:$C)+_xludf.XLOOKUP(_xludf.XLOOKUP(B686,Inventory!$A:$A,Inventory!$D:$D),Frame!$A:$A,Frame!$C:$C)+#REF!,""))</f>
        <v/>
      </c>
      <c r="E686" s="4">
        <v>44645</v>
      </c>
      <c r="F686" s="1" t="s">
        <v>11</v>
      </c>
    </row>
    <row r="687" spans="1:6" x14ac:dyDescent="0.25">
      <c r="A687" s="1" t="s">
        <v>1384</v>
      </c>
      <c r="B687" s="1" t="s">
        <v>1385</v>
      </c>
      <c r="C687" s="3">
        <v>200</v>
      </c>
      <c r="D687" s="3" t="str">
        <f ca="1">IF(B687="","",IFERROR(_xludf.XLOOKUP(_xludf.XLOOKUP(B687,Inventory!$A:$A,Inventory!$B:$B),Blades!$A:$A,Blades!$C:$C)+_xludf.XLOOKUP(_xludf.XLOOKUP(B687,Inventory!$A:$A,Inventory!$C:$C),Motor!$A:$A,Motor!$C:$C)+_xludf.XLOOKUP(_xludf.XLOOKUP(B687,Inventory!$A:$A,Inventory!$D:$D),Frame!$A:$A,Frame!$C:$C)+#REF!,""))</f>
        <v/>
      </c>
      <c r="E687" s="4">
        <v>44646</v>
      </c>
      <c r="F687" s="1" t="s">
        <v>20</v>
      </c>
    </row>
    <row r="688" spans="1:6" x14ac:dyDescent="0.25">
      <c r="A688" s="1" t="s">
        <v>1386</v>
      </c>
      <c r="B688" s="1" t="s">
        <v>1387</v>
      </c>
      <c r="C688" s="3">
        <v>200</v>
      </c>
      <c r="D688" s="3" t="str">
        <f ca="1">IF(B688="","",IFERROR(_xludf.XLOOKUP(_xludf.XLOOKUP(B688,Inventory!$A:$A,Inventory!$B:$B),Blades!$A:$A,Blades!$C:$C)+_xludf.XLOOKUP(_xludf.XLOOKUP(B688,Inventory!$A:$A,Inventory!$C:$C),Motor!$A:$A,Motor!$C:$C)+_xludf.XLOOKUP(_xludf.XLOOKUP(B688,Inventory!$A:$A,Inventory!$D:$D),Frame!$A:$A,Frame!$C:$C)+#REF!,""))</f>
        <v/>
      </c>
      <c r="E688" s="4">
        <v>44647</v>
      </c>
      <c r="F688" s="1" t="s">
        <v>8</v>
      </c>
    </row>
    <row r="689" spans="1:6" x14ac:dyDescent="0.25">
      <c r="A689" s="1" t="s">
        <v>1388</v>
      </c>
      <c r="B689" s="1" t="s">
        <v>1389</v>
      </c>
      <c r="C689" s="3">
        <v>200</v>
      </c>
      <c r="D689" s="3" t="str">
        <f ca="1">IF(B689="","",IFERROR(_xludf.XLOOKUP(_xludf.XLOOKUP(B689,Inventory!$A:$A,Inventory!$B:$B),Blades!$A:$A,Blades!$C:$C)+_xludf.XLOOKUP(_xludf.XLOOKUP(B689,Inventory!$A:$A,Inventory!$C:$C),Motor!$A:$A,Motor!$C:$C)+_xludf.XLOOKUP(_xludf.XLOOKUP(B689,Inventory!$A:$A,Inventory!$D:$D),Frame!$A:$A,Frame!$C:$C)+#REF!,""))</f>
        <v/>
      </c>
      <c r="E689" s="4">
        <v>44647</v>
      </c>
      <c r="F689" s="1" t="s">
        <v>11</v>
      </c>
    </row>
    <row r="690" spans="1:6" x14ac:dyDescent="0.25">
      <c r="A690" s="1" t="s">
        <v>1390</v>
      </c>
      <c r="B690" s="1" t="s">
        <v>1391</v>
      </c>
      <c r="C690" s="3">
        <v>200</v>
      </c>
      <c r="D690" s="3" t="str">
        <f ca="1">IF(B690="","",IFERROR(_xludf.XLOOKUP(_xludf.XLOOKUP(B690,Inventory!$A:$A,Inventory!$B:$B),Blades!$A:$A,Blades!$C:$C)+_xludf.XLOOKUP(_xludf.XLOOKUP(B690,Inventory!$A:$A,Inventory!$C:$C),Motor!$A:$A,Motor!$C:$C)+_xludf.XLOOKUP(_xludf.XLOOKUP(B690,Inventory!$A:$A,Inventory!$D:$D),Frame!$A:$A,Frame!$C:$C)+#REF!,""))</f>
        <v/>
      </c>
      <c r="E690" s="4">
        <v>44648</v>
      </c>
      <c r="F690" s="1" t="s">
        <v>32</v>
      </c>
    </row>
    <row r="691" spans="1:6" x14ac:dyDescent="0.25">
      <c r="A691" s="1" t="s">
        <v>1392</v>
      </c>
      <c r="B691" s="1" t="s">
        <v>1393</v>
      </c>
      <c r="C691" s="3">
        <v>200</v>
      </c>
      <c r="D691" s="3" t="str">
        <f ca="1">IF(B691="","",IFERROR(_xludf.XLOOKUP(_xludf.XLOOKUP(B691,Inventory!$A:$A,Inventory!$B:$B),Blades!$A:$A,Blades!$C:$C)+_xludf.XLOOKUP(_xludf.XLOOKUP(B691,Inventory!$A:$A,Inventory!$C:$C),Motor!$A:$A,Motor!$C:$C)+_xludf.XLOOKUP(_xludf.XLOOKUP(B691,Inventory!$A:$A,Inventory!$D:$D),Frame!$A:$A,Frame!$C:$C)+#REF!,""))</f>
        <v/>
      </c>
      <c r="E691" s="4">
        <v>44649</v>
      </c>
      <c r="F691" s="1" t="s">
        <v>8</v>
      </c>
    </row>
    <row r="692" spans="1:6" x14ac:dyDescent="0.25">
      <c r="A692" s="1" t="s">
        <v>1394</v>
      </c>
      <c r="B692" s="1" t="s">
        <v>1395</v>
      </c>
      <c r="C692" s="3">
        <v>200</v>
      </c>
      <c r="D692" s="3" t="str">
        <f ca="1">IF(B692="","",IFERROR(_xludf.XLOOKUP(_xludf.XLOOKUP(B692,Inventory!$A:$A,Inventory!$B:$B),Blades!$A:$A,Blades!$C:$C)+_xludf.XLOOKUP(_xludf.XLOOKUP(B692,Inventory!$A:$A,Inventory!$C:$C),Motor!$A:$A,Motor!$C:$C)+_xludf.XLOOKUP(_xludf.XLOOKUP(B692,Inventory!$A:$A,Inventory!$D:$D),Frame!$A:$A,Frame!$C:$C)+#REF!,""))</f>
        <v/>
      </c>
      <c r="E692" s="4">
        <v>44650</v>
      </c>
      <c r="F692" s="1" t="s">
        <v>25</v>
      </c>
    </row>
    <row r="693" spans="1:6" x14ac:dyDescent="0.25">
      <c r="A693" s="1" t="s">
        <v>1396</v>
      </c>
      <c r="B693" s="1" t="s">
        <v>1397</v>
      </c>
      <c r="C693" s="3">
        <v>200</v>
      </c>
      <c r="D693" s="3" t="str">
        <f ca="1">IF(B693="","",IFERROR(_xludf.XLOOKUP(_xludf.XLOOKUP(B693,Inventory!$A:$A,Inventory!$B:$B),Blades!$A:$A,Blades!$C:$C)+_xludf.XLOOKUP(_xludf.XLOOKUP(B693,Inventory!$A:$A,Inventory!$C:$C),Motor!$A:$A,Motor!$C:$C)+_xludf.XLOOKUP(_xludf.XLOOKUP(B693,Inventory!$A:$A,Inventory!$D:$D),Frame!$A:$A,Frame!$C:$C)+#REF!,""))</f>
        <v/>
      </c>
      <c r="E693" s="4">
        <v>44650</v>
      </c>
      <c r="F693" s="1" t="s">
        <v>32</v>
      </c>
    </row>
    <row r="694" spans="1:6" x14ac:dyDescent="0.25">
      <c r="A694" s="1" t="s">
        <v>1398</v>
      </c>
      <c r="B694" s="1" t="s">
        <v>1399</v>
      </c>
      <c r="C694" s="3">
        <v>200</v>
      </c>
      <c r="D694" s="3" t="str">
        <f ca="1">IF(B694="","",IFERROR(_xludf.XLOOKUP(_xludf.XLOOKUP(B694,Inventory!$A:$A,Inventory!$B:$B),Blades!$A:$A,Blades!$C:$C)+_xludf.XLOOKUP(_xludf.XLOOKUP(B694,Inventory!$A:$A,Inventory!$C:$C),Motor!$A:$A,Motor!$C:$C)+_xludf.XLOOKUP(_xludf.XLOOKUP(B694,Inventory!$A:$A,Inventory!$D:$D),Frame!$A:$A,Frame!$C:$C)+#REF!,""))</f>
        <v/>
      </c>
      <c r="E694" s="4">
        <v>44651</v>
      </c>
      <c r="F694" s="1" t="s">
        <v>8</v>
      </c>
    </row>
    <row r="695" spans="1:6" x14ac:dyDescent="0.25">
      <c r="A695" s="1" t="s">
        <v>1400</v>
      </c>
      <c r="B695" s="1" t="s">
        <v>1401</v>
      </c>
      <c r="C695" s="3">
        <v>200</v>
      </c>
      <c r="D695" s="3" t="str">
        <f ca="1">IF(B695="","",IFERROR(_xludf.XLOOKUP(_xludf.XLOOKUP(B695,Inventory!$A:$A,Inventory!$B:$B),Blades!$A:$A,Blades!$C:$C)+_xludf.XLOOKUP(_xludf.XLOOKUP(B695,Inventory!$A:$A,Inventory!$C:$C),Motor!$A:$A,Motor!$C:$C)+_xludf.XLOOKUP(_xludf.XLOOKUP(B695,Inventory!$A:$A,Inventory!$D:$D),Frame!$A:$A,Frame!$C:$C)+#REF!,""))</f>
        <v/>
      </c>
      <c r="E695" s="4">
        <v>44651</v>
      </c>
      <c r="F695" s="1" t="s">
        <v>52</v>
      </c>
    </row>
    <row r="696" spans="1:6" x14ac:dyDescent="0.25">
      <c r="A696" s="1" t="s">
        <v>1402</v>
      </c>
      <c r="B696" s="1" t="s">
        <v>1403</v>
      </c>
      <c r="C696" s="3">
        <v>200</v>
      </c>
      <c r="D696" s="3" t="str">
        <f ca="1">IF(B696="","",IFERROR(_xludf.XLOOKUP(_xludf.XLOOKUP(B696,Inventory!$A:$A,Inventory!$B:$B),Blades!$A:$A,Blades!$C:$C)+_xludf.XLOOKUP(_xludf.XLOOKUP(B696,Inventory!$A:$A,Inventory!$C:$C),Motor!$A:$A,Motor!$C:$C)+_xludf.XLOOKUP(_xludf.XLOOKUP(B696,Inventory!$A:$A,Inventory!$D:$D),Frame!$A:$A,Frame!$C:$C)+#REF!,""))</f>
        <v/>
      </c>
      <c r="E696" s="4">
        <v>44651</v>
      </c>
      <c r="F696" s="1" t="s">
        <v>11</v>
      </c>
    </row>
    <row r="697" spans="1:6" x14ac:dyDescent="0.25">
      <c r="A697" s="1" t="s">
        <v>1404</v>
      </c>
      <c r="B697" s="1" t="s">
        <v>1405</v>
      </c>
      <c r="C697" s="3">
        <v>200</v>
      </c>
      <c r="D697" s="3" t="str">
        <f ca="1">IF(B697="","",IFERROR(_xludf.XLOOKUP(_xludf.XLOOKUP(B697,Inventory!$A:$A,Inventory!$B:$B),Blades!$A:$A,Blades!$C:$C)+_xludf.XLOOKUP(_xludf.XLOOKUP(B697,Inventory!$A:$A,Inventory!$C:$C),Motor!$A:$A,Motor!$C:$C)+_xludf.XLOOKUP(_xludf.XLOOKUP(B697,Inventory!$A:$A,Inventory!$D:$D),Frame!$A:$A,Frame!$C:$C)+#REF!,""))</f>
        <v/>
      </c>
      <c r="E697" s="4">
        <v>44651</v>
      </c>
      <c r="F697" s="1" t="s">
        <v>20</v>
      </c>
    </row>
    <row r="698" spans="1:6" x14ac:dyDescent="0.25">
      <c r="A698" s="1" t="s">
        <v>1406</v>
      </c>
      <c r="B698" s="1" t="s">
        <v>1407</v>
      </c>
      <c r="C698" s="3">
        <v>200</v>
      </c>
      <c r="D698" s="3" t="str">
        <f ca="1">IF(B698="","",IFERROR(_xludf.XLOOKUP(_xludf.XLOOKUP(B698,Inventory!$A:$A,Inventory!$B:$B),Blades!$A:$A,Blades!$C:$C)+_xludf.XLOOKUP(_xludf.XLOOKUP(B698,Inventory!$A:$A,Inventory!$C:$C),Motor!$A:$A,Motor!$C:$C)+_xludf.XLOOKUP(_xludf.XLOOKUP(B698,Inventory!$A:$A,Inventory!$D:$D),Frame!$A:$A,Frame!$C:$C)+#REF!,""))</f>
        <v/>
      </c>
      <c r="E698" s="4">
        <v>44652</v>
      </c>
      <c r="F698" s="1" t="s">
        <v>25</v>
      </c>
    </row>
    <row r="699" spans="1:6" x14ac:dyDescent="0.25">
      <c r="A699" s="1" t="s">
        <v>1408</v>
      </c>
      <c r="B699" s="1" t="s">
        <v>1409</v>
      </c>
      <c r="C699" s="3">
        <v>200</v>
      </c>
      <c r="D699" s="3" t="str">
        <f ca="1">IF(B699="","",IFERROR(_xludf.XLOOKUP(_xludf.XLOOKUP(B699,Inventory!$A:$A,Inventory!$B:$B),Blades!$A:$A,Blades!$C:$C)+_xludf.XLOOKUP(_xludf.XLOOKUP(B699,Inventory!$A:$A,Inventory!$C:$C),Motor!$A:$A,Motor!$C:$C)+_xludf.XLOOKUP(_xludf.XLOOKUP(B699,Inventory!$A:$A,Inventory!$D:$D),Frame!$A:$A,Frame!$C:$C)+#REF!,""))</f>
        <v/>
      </c>
      <c r="E699" s="4">
        <v>44652</v>
      </c>
      <c r="F699" s="1" t="s">
        <v>8</v>
      </c>
    </row>
    <row r="700" spans="1:6" x14ac:dyDescent="0.25">
      <c r="A700" s="1" t="s">
        <v>1410</v>
      </c>
      <c r="B700" s="1" t="s">
        <v>1411</v>
      </c>
      <c r="C700" s="3">
        <v>200</v>
      </c>
      <c r="D700" s="3" t="str">
        <f ca="1">IF(B700="","",IFERROR(_xludf.XLOOKUP(_xludf.XLOOKUP(B700,Inventory!$A:$A,Inventory!$B:$B),Blades!$A:$A,Blades!$C:$C)+_xludf.XLOOKUP(_xludf.XLOOKUP(B700,Inventory!$A:$A,Inventory!$C:$C),Motor!$A:$A,Motor!$C:$C)+_xludf.XLOOKUP(_xludf.XLOOKUP(B700,Inventory!$A:$A,Inventory!$D:$D),Frame!$A:$A,Frame!$C:$C)+#REF!,""))</f>
        <v/>
      </c>
      <c r="E700" s="4">
        <v>44652</v>
      </c>
      <c r="F700" s="1" t="s">
        <v>8</v>
      </c>
    </row>
    <row r="701" spans="1:6" x14ac:dyDescent="0.25">
      <c r="A701" s="1" t="s">
        <v>1412</v>
      </c>
      <c r="B701" s="1" t="s">
        <v>1413</v>
      </c>
      <c r="C701" s="3">
        <v>200</v>
      </c>
      <c r="D701" s="3" t="str">
        <f ca="1">IF(B701="","",IFERROR(_xludf.XLOOKUP(_xludf.XLOOKUP(B701,Inventory!$A:$A,Inventory!$B:$B),Blades!$A:$A,Blades!$C:$C)+_xludf.XLOOKUP(_xludf.XLOOKUP(B701,Inventory!$A:$A,Inventory!$C:$C),Motor!$A:$A,Motor!$C:$C)+_xludf.XLOOKUP(_xludf.XLOOKUP(B701,Inventory!$A:$A,Inventory!$D:$D),Frame!$A:$A,Frame!$C:$C)+#REF!,""))</f>
        <v/>
      </c>
      <c r="E701" s="4">
        <v>44653</v>
      </c>
      <c r="F701" s="1" t="s">
        <v>52</v>
      </c>
    </row>
    <row r="702" spans="1:6" x14ac:dyDescent="0.25">
      <c r="A702" s="1" t="s">
        <v>1414</v>
      </c>
      <c r="B702" s="1" t="s">
        <v>1415</v>
      </c>
      <c r="C702" s="3">
        <v>200</v>
      </c>
      <c r="D702" s="3" t="str">
        <f ca="1">IF(B702="","",IFERROR(_xludf.XLOOKUP(_xludf.XLOOKUP(B702,Inventory!$A:$A,Inventory!$B:$B),Blades!$A:$A,Blades!$C:$C)+_xludf.XLOOKUP(_xludf.XLOOKUP(B702,Inventory!$A:$A,Inventory!$C:$C),Motor!$A:$A,Motor!$C:$C)+_xludf.XLOOKUP(_xludf.XLOOKUP(B702,Inventory!$A:$A,Inventory!$D:$D),Frame!$A:$A,Frame!$C:$C)+#REF!,""))</f>
        <v/>
      </c>
      <c r="E702" s="4">
        <v>44654</v>
      </c>
      <c r="F702" s="1" t="s">
        <v>11</v>
      </c>
    </row>
    <row r="703" spans="1:6" x14ac:dyDescent="0.25">
      <c r="A703" s="1" t="s">
        <v>1416</v>
      </c>
      <c r="B703" s="1" t="s">
        <v>1417</v>
      </c>
      <c r="C703" s="3">
        <v>200</v>
      </c>
      <c r="D703" s="3" t="str">
        <f ca="1">IF(B703="","",IFERROR(_xludf.XLOOKUP(_xludf.XLOOKUP(B703,Inventory!$A:$A,Inventory!$B:$B),Blades!$A:$A,Blades!$C:$C)+_xludf.XLOOKUP(_xludf.XLOOKUP(B703,Inventory!$A:$A,Inventory!$C:$C),Motor!$A:$A,Motor!$C:$C)+_xludf.XLOOKUP(_xludf.XLOOKUP(B703,Inventory!$A:$A,Inventory!$D:$D),Frame!$A:$A,Frame!$C:$C)+#REF!,""))</f>
        <v/>
      </c>
      <c r="E703" s="4">
        <v>44655</v>
      </c>
      <c r="F703" s="1" t="s">
        <v>8</v>
      </c>
    </row>
    <row r="704" spans="1:6" x14ac:dyDescent="0.25">
      <c r="A704" s="1" t="s">
        <v>1418</v>
      </c>
      <c r="B704" s="1" t="s">
        <v>1419</v>
      </c>
      <c r="C704" s="3">
        <v>200</v>
      </c>
      <c r="D704" s="3" t="str">
        <f ca="1">IF(B704="","",IFERROR(_xludf.XLOOKUP(_xludf.XLOOKUP(B704,Inventory!$A:$A,Inventory!$B:$B),Blades!$A:$A,Blades!$C:$C)+_xludf.XLOOKUP(_xludf.XLOOKUP(B704,Inventory!$A:$A,Inventory!$C:$C),Motor!$A:$A,Motor!$C:$C)+_xludf.XLOOKUP(_xludf.XLOOKUP(B704,Inventory!$A:$A,Inventory!$D:$D),Frame!$A:$A,Frame!$C:$C)+#REF!,""))</f>
        <v/>
      </c>
      <c r="E704" s="4">
        <v>44657</v>
      </c>
      <c r="F704" s="1" t="s">
        <v>25</v>
      </c>
    </row>
    <row r="705" spans="1:6" x14ac:dyDescent="0.25">
      <c r="A705" s="1" t="s">
        <v>1420</v>
      </c>
      <c r="B705" s="1" t="s">
        <v>1421</v>
      </c>
      <c r="C705" s="3">
        <v>200</v>
      </c>
      <c r="D705" s="3" t="str">
        <f ca="1">IF(B705="","",IFERROR(_xludf.XLOOKUP(_xludf.XLOOKUP(B705,Inventory!$A:$A,Inventory!$B:$B),Blades!$A:$A,Blades!$C:$C)+_xludf.XLOOKUP(_xludf.XLOOKUP(B705,Inventory!$A:$A,Inventory!$C:$C),Motor!$A:$A,Motor!$C:$C)+_xludf.XLOOKUP(_xludf.XLOOKUP(B705,Inventory!$A:$A,Inventory!$D:$D),Frame!$A:$A,Frame!$C:$C)+#REF!,""))</f>
        <v/>
      </c>
      <c r="E705" s="4">
        <v>44658</v>
      </c>
      <c r="F705" s="1" t="s">
        <v>25</v>
      </c>
    </row>
    <row r="706" spans="1:6" x14ac:dyDescent="0.25">
      <c r="A706" s="1" t="s">
        <v>1422</v>
      </c>
      <c r="B706" s="1" t="s">
        <v>1423</v>
      </c>
      <c r="C706" s="3">
        <v>200</v>
      </c>
      <c r="D706" s="3" t="str">
        <f ca="1">IF(B706="","",IFERROR(_xludf.XLOOKUP(_xludf.XLOOKUP(B706,Inventory!$A:$A,Inventory!$B:$B),Blades!$A:$A,Blades!$C:$C)+_xludf.XLOOKUP(_xludf.XLOOKUP(B706,Inventory!$A:$A,Inventory!$C:$C),Motor!$A:$A,Motor!$C:$C)+_xludf.XLOOKUP(_xludf.XLOOKUP(B706,Inventory!$A:$A,Inventory!$D:$D),Frame!$A:$A,Frame!$C:$C)+#REF!,""))</f>
        <v/>
      </c>
      <c r="E706" s="4">
        <v>44662</v>
      </c>
      <c r="F706" s="1" t="s">
        <v>63</v>
      </c>
    </row>
    <row r="707" spans="1:6" x14ac:dyDescent="0.25">
      <c r="A707" s="1" t="s">
        <v>1424</v>
      </c>
      <c r="B707" s="1" t="s">
        <v>1425</v>
      </c>
      <c r="C707" s="3">
        <v>200</v>
      </c>
      <c r="D707" s="3" t="str">
        <f ca="1">IF(B707="","",IFERROR(_xludf.XLOOKUP(_xludf.XLOOKUP(B707,Inventory!$A:$A,Inventory!$B:$B),Blades!$A:$A,Blades!$C:$C)+_xludf.XLOOKUP(_xludf.XLOOKUP(B707,Inventory!$A:$A,Inventory!$C:$C),Motor!$A:$A,Motor!$C:$C)+_xludf.XLOOKUP(_xludf.XLOOKUP(B707,Inventory!$A:$A,Inventory!$D:$D),Frame!$A:$A,Frame!$C:$C)+#REF!,""))</f>
        <v/>
      </c>
      <c r="E707" s="4">
        <v>44663</v>
      </c>
      <c r="F707" s="1" t="s">
        <v>8</v>
      </c>
    </row>
    <row r="708" spans="1:6" x14ac:dyDescent="0.25">
      <c r="A708" s="1" t="s">
        <v>1426</v>
      </c>
      <c r="B708" s="1" t="s">
        <v>1427</v>
      </c>
      <c r="C708" s="3">
        <v>200</v>
      </c>
      <c r="D708" s="3" t="str">
        <f ca="1">IF(B708="","",IFERROR(_xludf.XLOOKUP(_xludf.XLOOKUP(B708,Inventory!$A:$A,Inventory!$B:$B),Blades!$A:$A,Blades!$C:$C)+_xludf.XLOOKUP(_xludf.XLOOKUP(B708,Inventory!$A:$A,Inventory!$C:$C),Motor!$A:$A,Motor!$C:$C)+_xludf.XLOOKUP(_xludf.XLOOKUP(B708,Inventory!$A:$A,Inventory!$D:$D),Frame!$A:$A,Frame!$C:$C)+#REF!,""))</f>
        <v/>
      </c>
      <c r="E708" s="4">
        <v>44663</v>
      </c>
      <c r="F708" s="1" t="s">
        <v>52</v>
      </c>
    </row>
    <row r="709" spans="1:6" x14ac:dyDescent="0.25">
      <c r="A709" s="1" t="s">
        <v>1428</v>
      </c>
      <c r="B709" s="1" t="s">
        <v>1429</v>
      </c>
      <c r="C709" s="3">
        <v>200</v>
      </c>
      <c r="D709" s="3" t="str">
        <f ca="1">IF(B709="","",IFERROR(_xludf.XLOOKUP(_xludf.XLOOKUP(B709,Inventory!$A:$A,Inventory!$B:$B),Blades!$A:$A,Blades!$C:$C)+_xludf.XLOOKUP(_xludf.XLOOKUP(B709,Inventory!$A:$A,Inventory!$C:$C),Motor!$A:$A,Motor!$C:$C)+_xludf.XLOOKUP(_xludf.XLOOKUP(B709,Inventory!$A:$A,Inventory!$D:$D),Frame!$A:$A,Frame!$C:$C)+#REF!,""))</f>
        <v/>
      </c>
      <c r="E709" s="4">
        <v>44664</v>
      </c>
      <c r="F709" s="1" t="s">
        <v>8</v>
      </c>
    </row>
    <row r="710" spans="1:6" x14ac:dyDescent="0.25">
      <c r="A710" s="1" t="s">
        <v>1430</v>
      </c>
      <c r="B710" s="1" t="s">
        <v>1431</v>
      </c>
      <c r="C710" s="3">
        <v>200</v>
      </c>
      <c r="D710" s="3" t="str">
        <f ca="1">IF(B710="","",IFERROR(_xludf.XLOOKUP(_xludf.XLOOKUP(B710,Inventory!$A:$A,Inventory!$B:$B),Blades!$A:$A,Blades!$C:$C)+_xludf.XLOOKUP(_xludf.XLOOKUP(B710,Inventory!$A:$A,Inventory!$C:$C),Motor!$A:$A,Motor!$C:$C)+_xludf.XLOOKUP(_xludf.XLOOKUP(B710,Inventory!$A:$A,Inventory!$D:$D),Frame!$A:$A,Frame!$C:$C)+#REF!,""))</f>
        <v/>
      </c>
      <c r="E710" s="4">
        <v>44664</v>
      </c>
      <c r="F710" s="1" t="s">
        <v>11</v>
      </c>
    </row>
    <row r="711" spans="1:6" x14ac:dyDescent="0.25">
      <c r="A711" s="1" t="s">
        <v>1432</v>
      </c>
      <c r="B711" s="1" t="s">
        <v>1433</v>
      </c>
      <c r="C711" s="3">
        <v>200</v>
      </c>
      <c r="D711" s="3" t="str">
        <f ca="1">IF(B711="","",IFERROR(_xludf.XLOOKUP(_xludf.XLOOKUP(B711,Inventory!$A:$A,Inventory!$B:$B),Blades!$A:$A,Blades!$C:$C)+_xludf.XLOOKUP(_xludf.XLOOKUP(B711,Inventory!$A:$A,Inventory!$C:$C),Motor!$A:$A,Motor!$C:$C)+_xludf.XLOOKUP(_xludf.XLOOKUP(B711,Inventory!$A:$A,Inventory!$D:$D),Frame!$A:$A,Frame!$C:$C)+#REF!,""))</f>
        <v/>
      </c>
      <c r="E711" s="4">
        <v>44665</v>
      </c>
      <c r="F711" s="1" t="s">
        <v>63</v>
      </c>
    </row>
    <row r="712" spans="1:6" x14ac:dyDescent="0.25">
      <c r="A712" s="1" t="s">
        <v>1434</v>
      </c>
      <c r="B712" s="1" t="s">
        <v>1435</v>
      </c>
      <c r="C712" s="3">
        <v>200</v>
      </c>
      <c r="D712" s="3" t="str">
        <f ca="1">IF(B712="","",IFERROR(_xludf.XLOOKUP(_xludf.XLOOKUP(B712,Inventory!$A:$A,Inventory!$B:$B),Blades!$A:$A,Blades!$C:$C)+_xludf.XLOOKUP(_xludf.XLOOKUP(B712,Inventory!$A:$A,Inventory!$C:$C),Motor!$A:$A,Motor!$C:$C)+_xludf.XLOOKUP(_xludf.XLOOKUP(B712,Inventory!$A:$A,Inventory!$D:$D),Frame!$A:$A,Frame!$C:$C)+#REF!,""))</f>
        <v/>
      </c>
      <c r="E712" s="4">
        <v>44665</v>
      </c>
      <c r="F712" s="1" t="s">
        <v>32</v>
      </c>
    </row>
    <row r="713" spans="1:6" x14ac:dyDescent="0.25">
      <c r="A713" s="1" t="s">
        <v>1436</v>
      </c>
      <c r="B713" s="1" t="s">
        <v>1437</v>
      </c>
      <c r="C713" s="3">
        <v>200</v>
      </c>
      <c r="D713" s="3" t="str">
        <f ca="1">IF(B713="","",IFERROR(_xludf.XLOOKUP(_xludf.XLOOKUP(B713,Inventory!$A:$A,Inventory!$B:$B),Blades!$A:$A,Blades!$C:$C)+_xludf.XLOOKUP(_xludf.XLOOKUP(B713,Inventory!$A:$A,Inventory!$C:$C),Motor!$A:$A,Motor!$C:$C)+_xludf.XLOOKUP(_xludf.XLOOKUP(B713,Inventory!$A:$A,Inventory!$D:$D),Frame!$A:$A,Frame!$C:$C)+#REF!,""))</f>
        <v/>
      </c>
      <c r="E713" s="4">
        <v>44667</v>
      </c>
      <c r="F713" s="1" t="s">
        <v>20</v>
      </c>
    </row>
    <row r="714" spans="1:6" x14ac:dyDescent="0.25">
      <c r="A714" s="1" t="s">
        <v>1438</v>
      </c>
      <c r="B714" s="1" t="s">
        <v>1439</v>
      </c>
      <c r="C714" s="3">
        <v>200</v>
      </c>
      <c r="D714" s="3" t="str">
        <f ca="1">IF(B714="","",IFERROR(_xludf.XLOOKUP(_xludf.XLOOKUP(B714,Inventory!$A:$A,Inventory!$B:$B),Blades!$A:$A,Blades!$C:$C)+_xludf.XLOOKUP(_xludf.XLOOKUP(B714,Inventory!$A:$A,Inventory!$C:$C),Motor!$A:$A,Motor!$C:$C)+_xludf.XLOOKUP(_xludf.XLOOKUP(B714,Inventory!$A:$A,Inventory!$D:$D),Frame!$A:$A,Frame!$C:$C)+#REF!,""))</f>
        <v/>
      </c>
      <c r="E714" s="4">
        <v>44668</v>
      </c>
      <c r="F714" s="1" t="s">
        <v>20</v>
      </c>
    </row>
    <row r="715" spans="1:6" x14ac:dyDescent="0.25">
      <c r="A715" s="1" t="s">
        <v>1440</v>
      </c>
      <c r="B715" s="1" t="s">
        <v>1441</v>
      </c>
      <c r="C715" s="3">
        <v>200</v>
      </c>
      <c r="D715" s="3" t="str">
        <f ca="1">IF(B715="","",IFERROR(_xludf.XLOOKUP(_xludf.XLOOKUP(B715,Inventory!$A:$A,Inventory!$B:$B),Blades!$A:$A,Blades!$C:$C)+_xludf.XLOOKUP(_xludf.XLOOKUP(B715,Inventory!$A:$A,Inventory!$C:$C),Motor!$A:$A,Motor!$C:$C)+_xludf.XLOOKUP(_xludf.XLOOKUP(B715,Inventory!$A:$A,Inventory!$D:$D),Frame!$A:$A,Frame!$C:$C)+#REF!,""))</f>
        <v/>
      </c>
      <c r="E715" s="4">
        <v>44669</v>
      </c>
      <c r="F715" s="1" t="s">
        <v>49</v>
      </c>
    </row>
    <row r="716" spans="1:6" x14ac:dyDescent="0.25">
      <c r="A716" s="1" t="s">
        <v>1442</v>
      </c>
      <c r="B716" s="1" t="s">
        <v>1443</v>
      </c>
      <c r="C716" s="3">
        <v>200</v>
      </c>
      <c r="D716" s="3" t="str">
        <f ca="1">IF(B716="","",IFERROR(_xludf.XLOOKUP(_xludf.XLOOKUP(B716,Inventory!$A:$A,Inventory!$B:$B),Blades!$A:$A,Blades!$C:$C)+_xludf.XLOOKUP(_xludf.XLOOKUP(B716,Inventory!$A:$A,Inventory!$C:$C),Motor!$A:$A,Motor!$C:$C)+_xludf.XLOOKUP(_xludf.XLOOKUP(B716,Inventory!$A:$A,Inventory!$D:$D),Frame!$A:$A,Frame!$C:$C)+#REF!,""))</f>
        <v/>
      </c>
      <c r="E716" s="4">
        <v>44671</v>
      </c>
      <c r="F716" s="1" t="s">
        <v>11</v>
      </c>
    </row>
    <row r="717" spans="1:6" x14ac:dyDescent="0.25">
      <c r="A717" s="1" t="s">
        <v>1444</v>
      </c>
      <c r="B717" s="1" t="s">
        <v>1445</v>
      </c>
      <c r="C717" s="3">
        <v>200</v>
      </c>
      <c r="D717" s="3" t="str">
        <f ca="1">IF(B717="","",IFERROR(_xludf.XLOOKUP(_xludf.XLOOKUP(B717,Inventory!$A:$A,Inventory!$B:$B),Blades!$A:$A,Blades!$C:$C)+_xludf.XLOOKUP(_xludf.XLOOKUP(B717,Inventory!$A:$A,Inventory!$C:$C),Motor!$A:$A,Motor!$C:$C)+_xludf.XLOOKUP(_xludf.XLOOKUP(B717,Inventory!$A:$A,Inventory!$D:$D),Frame!$A:$A,Frame!$C:$C)+#REF!,""))</f>
        <v/>
      </c>
      <c r="E717" s="4">
        <v>44672</v>
      </c>
      <c r="F717" s="1" t="s">
        <v>32</v>
      </c>
    </row>
    <row r="718" spans="1:6" x14ac:dyDescent="0.25">
      <c r="A718" s="1" t="s">
        <v>1446</v>
      </c>
      <c r="B718" s="1" t="s">
        <v>1447</v>
      </c>
      <c r="C718" s="3">
        <v>200</v>
      </c>
      <c r="D718" s="3" t="str">
        <f ca="1">IF(B718="","",IFERROR(_xludf.XLOOKUP(_xludf.XLOOKUP(B718,Inventory!$A:$A,Inventory!$B:$B),Blades!$A:$A,Blades!$C:$C)+_xludf.XLOOKUP(_xludf.XLOOKUP(B718,Inventory!$A:$A,Inventory!$C:$C),Motor!$A:$A,Motor!$C:$C)+_xludf.XLOOKUP(_xludf.XLOOKUP(B718,Inventory!$A:$A,Inventory!$D:$D),Frame!$A:$A,Frame!$C:$C)+#REF!,""))</f>
        <v/>
      </c>
      <c r="E718" s="4">
        <v>44674</v>
      </c>
      <c r="F718" s="1" t="s">
        <v>20</v>
      </c>
    </row>
    <row r="719" spans="1:6" x14ac:dyDescent="0.25">
      <c r="A719" s="1" t="s">
        <v>1448</v>
      </c>
      <c r="B719" s="1" t="s">
        <v>1449</v>
      </c>
      <c r="C719" s="3">
        <v>200</v>
      </c>
      <c r="D719" s="3" t="str">
        <f ca="1">IF(B719="","",IFERROR(_xludf.XLOOKUP(_xludf.XLOOKUP(B719,Inventory!$A:$A,Inventory!$B:$B),Blades!$A:$A,Blades!$C:$C)+_xludf.XLOOKUP(_xludf.XLOOKUP(B719,Inventory!$A:$A,Inventory!$C:$C),Motor!$A:$A,Motor!$C:$C)+_xludf.XLOOKUP(_xludf.XLOOKUP(B719,Inventory!$A:$A,Inventory!$D:$D),Frame!$A:$A,Frame!$C:$C)+#REF!,""))</f>
        <v/>
      </c>
      <c r="E719" s="4">
        <v>44674</v>
      </c>
      <c r="F719" s="1" t="s">
        <v>32</v>
      </c>
    </row>
    <row r="720" spans="1:6" x14ac:dyDescent="0.25">
      <c r="A720" s="1" t="s">
        <v>1450</v>
      </c>
      <c r="B720" s="1" t="s">
        <v>1451</v>
      </c>
      <c r="C720" s="3">
        <v>200</v>
      </c>
      <c r="D720" s="3" t="str">
        <f ca="1">IF(B720="","",IFERROR(_xludf.XLOOKUP(_xludf.XLOOKUP(B720,Inventory!$A:$A,Inventory!$B:$B),Blades!$A:$A,Blades!$C:$C)+_xludf.XLOOKUP(_xludf.XLOOKUP(B720,Inventory!$A:$A,Inventory!$C:$C),Motor!$A:$A,Motor!$C:$C)+_xludf.XLOOKUP(_xludf.XLOOKUP(B720,Inventory!$A:$A,Inventory!$D:$D),Frame!$A:$A,Frame!$C:$C)+#REF!,""))</f>
        <v/>
      </c>
      <c r="E720" s="4">
        <v>44674</v>
      </c>
      <c r="F720" s="1" t="s">
        <v>11</v>
      </c>
    </row>
    <row r="721" spans="1:6" x14ac:dyDescent="0.25">
      <c r="A721" s="1" t="s">
        <v>1452</v>
      </c>
      <c r="B721" s="1" t="s">
        <v>1453</v>
      </c>
      <c r="C721" s="3">
        <v>200</v>
      </c>
      <c r="D721" s="3" t="str">
        <f ca="1">IF(B721="","",IFERROR(_xludf.XLOOKUP(_xludf.XLOOKUP(B721,Inventory!$A:$A,Inventory!$B:$B),Blades!$A:$A,Blades!$C:$C)+_xludf.XLOOKUP(_xludf.XLOOKUP(B721,Inventory!$A:$A,Inventory!$C:$C),Motor!$A:$A,Motor!$C:$C)+_xludf.XLOOKUP(_xludf.XLOOKUP(B721,Inventory!$A:$A,Inventory!$D:$D),Frame!$A:$A,Frame!$C:$C)+#REF!,""))</f>
        <v/>
      </c>
      <c r="E721" s="4">
        <v>44675</v>
      </c>
      <c r="F721" s="1" t="s">
        <v>20</v>
      </c>
    </row>
    <row r="722" spans="1:6" x14ac:dyDescent="0.25">
      <c r="A722" s="1" t="s">
        <v>1454</v>
      </c>
      <c r="B722" s="1" t="s">
        <v>1455</v>
      </c>
      <c r="C722" s="3">
        <v>200</v>
      </c>
      <c r="D722" s="3" t="str">
        <f ca="1">IF(B722="","",IFERROR(_xludf.XLOOKUP(_xludf.XLOOKUP(B722,Inventory!$A:$A,Inventory!$B:$B),Blades!$A:$A,Blades!$C:$C)+_xludf.XLOOKUP(_xludf.XLOOKUP(B722,Inventory!$A:$A,Inventory!$C:$C),Motor!$A:$A,Motor!$C:$C)+_xludf.XLOOKUP(_xludf.XLOOKUP(B722,Inventory!$A:$A,Inventory!$D:$D),Frame!$A:$A,Frame!$C:$C)+#REF!,""))</f>
        <v/>
      </c>
      <c r="E722" s="4">
        <v>44675</v>
      </c>
      <c r="F722" s="1" t="s">
        <v>52</v>
      </c>
    </row>
    <row r="723" spans="1:6" x14ac:dyDescent="0.25">
      <c r="A723" s="1" t="s">
        <v>1456</v>
      </c>
      <c r="B723" s="1" t="s">
        <v>1457</v>
      </c>
      <c r="C723" s="3">
        <v>200</v>
      </c>
      <c r="D723" s="3" t="str">
        <f ca="1">IF(B723="","",IFERROR(_xludf.XLOOKUP(_xludf.XLOOKUP(B723,Inventory!$A:$A,Inventory!$B:$B),Blades!$A:$A,Blades!$C:$C)+_xludf.XLOOKUP(_xludf.XLOOKUP(B723,Inventory!$A:$A,Inventory!$C:$C),Motor!$A:$A,Motor!$C:$C)+_xludf.XLOOKUP(_xludf.XLOOKUP(B723,Inventory!$A:$A,Inventory!$D:$D),Frame!$A:$A,Frame!$C:$C)+#REF!,""))</f>
        <v/>
      </c>
      <c r="E723" s="4">
        <v>44676</v>
      </c>
      <c r="F723" s="1" t="s">
        <v>8</v>
      </c>
    </row>
    <row r="724" spans="1:6" x14ac:dyDescent="0.25">
      <c r="A724" s="1" t="s">
        <v>1458</v>
      </c>
      <c r="B724" s="1" t="s">
        <v>1459</v>
      </c>
      <c r="C724" s="3">
        <v>200</v>
      </c>
      <c r="D724" s="3" t="str">
        <f ca="1">IF(B724="","",IFERROR(_xludf.XLOOKUP(_xludf.XLOOKUP(B724,Inventory!$A:$A,Inventory!$B:$B),Blades!$A:$A,Blades!$C:$C)+_xludf.XLOOKUP(_xludf.XLOOKUP(B724,Inventory!$A:$A,Inventory!$C:$C),Motor!$A:$A,Motor!$C:$C)+_xludf.XLOOKUP(_xludf.XLOOKUP(B724,Inventory!$A:$A,Inventory!$D:$D),Frame!$A:$A,Frame!$C:$C)+#REF!,""))</f>
        <v/>
      </c>
      <c r="E724" s="4">
        <v>44676</v>
      </c>
      <c r="F724" s="1" t="s">
        <v>63</v>
      </c>
    </row>
    <row r="725" spans="1:6" x14ac:dyDescent="0.25">
      <c r="A725" s="1" t="s">
        <v>1460</v>
      </c>
      <c r="B725" s="1" t="s">
        <v>1461</v>
      </c>
      <c r="C725" s="3">
        <v>200</v>
      </c>
      <c r="D725" s="3" t="str">
        <f ca="1">IF(B725="","",IFERROR(_xludf.XLOOKUP(_xludf.XLOOKUP(B725,Inventory!$A:$A,Inventory!$B:$B),Blades!$A:$A,Blades!$C:$C)+_xludf.XLOOKUP(_xludf.XLOOKUP(B725,Inventory!$A:$A,Inventory!$C:$C),Motor!$A:$A,Motor!$C:$C)+_xludf.XLOOKUP(_xludf.XLOOKUP(B725,Inventory!$A:$A,Inventory!$D:$D),Frame!$A:$A,Frame!$C:$C)+#REF!,""))</f>
        <v/>
      </c>
      <c r="E725" s="4">
        <v>44677</v>
      </c>
      <c r="F725" s="1" t="s">
        <v>52</v>
      </c>
    </row>
    <row r="726" spans="1:6" x14ac:dyDescent="0.25">
      <c r="A726" s="1" t="s">
        <v>1462</v>
      </c>
      <c r="B726" s="1" t="s">
        <v>1463</v>
      </c>
      <c r="C726" s="3">
        <v>200</v>
      </c>
      <c r="D726" s="3" t="str">
        <f ca="1">IF(B726="","",IFERROR(_xludf.XLOOKUP(_xludf.XLOOKUP(B726,Inventory!$A:$A,Inventory!$B:$B),Blades!$A:$A,Blades!$C:$C)+_xludf.XLOOKUP(_xludf.XLOOKUP(B726,Inventory!$A:$A,Inventory!$C:$C),Motor!$A:$A,Motor!$C:$C)+_xludf.XLOOKUP(_xludf.XLOOKUP(B726,Inventory!$A:$A,Inventory!$D:$D),Frame!$A:$A,Frame!$C:$C)+#REF!,""))</f>
        <v/>
      </c>
      <c r="E726" s="4">
        <v>44680</v>
      </c>
      <c r="F726" s="1" t="s">
        <v>49</v>
      </c>
    </row>
    <row r="727" spans="1:6" x14ac:dyDescent="0.25">
      <c r="A727" s="1" t="s">
        <v>1464</v>
      </c>
      <c r="B727" s="1" t="s">
        <v>1465</v>
      </c>
      <c r="C727" s="3">
        <v>200</v>
      </c>
      <c r="D727" s="3" t="str">
        <f ca="1">IF(B727="","",IFERROR(_xludf.XLOOKUP(_xludf.XLOOKUP(B727,Inventory!$A:$A,Inventory!$B:$B),Blades!$A:$A,Blades!$C:$C)+_xludf.XLOOKUP(_xludf.XLOOKUP(B727,Inventory!$A:$A,Inventory!$C:$C),Motor!$A:$A,Motor!$C:$C)+_xludf.XLOOKUP(_xludf.XLOOKUP(B727,Inventory!$A:$A,Inventory!$D:$D),Frame!$A:$A,Frame!$C:$C)+#REF!,""))</f>
        <v/>
      </c>
      <c r="E727" s="4">
        <v>44681</v>
      </c>
      <c r="F727" s="1" t="s">
        <v>32</v>
      </c>
    </row>
    <row r="728" spans="1:6" x14ac:dyDescent="0.25">
      <c r="A728" s="1" t="s">
        <v>1466</v>
      </c>
      <c r="B728" s="1" t="s">
        <v>1467</v>
      </c>
      <c r="C728" s="3">
        <v>200</v>
      </c>
      <c r="D728" s="3" t="str">
        <f ca="1">IF(B728="","",IFERROR(_xludf.XLOOKUP(_xludf.XLOOKUP(B728,Inventory!$A:$A,Inventory!$B:$B),Blades!$A:$A,Blades!$C:$C)+_xludf.XLOOKUP(_xludf.XLOOKUP(B728,Inventory!$A:$A,Inventory!$C:$C),Motor!$A:$A,Motor!$C:$C)+_xludf.XLOOKUP(_xludf.XLOOKUP(B728,Inventory!$A:$A,Inventory!$D:$D),Frame!$A:$A,Frame!$C:$C)+#REF!,""))</f>
        <v/>
      </c>
      <c r="E728" s="4">
        <v>44681</v>
      </c>
      <c r="F728" s="1" t="s">
        <v>11</v>
      </c>
    </row>
    <row r="729" spans="1:6" x14ac:dyDescent="0.25">
      <c r="A729" s="1" t="s">
        <v>1468</v>
      </c>
      <c r="B729" s="1" t="s">
        <v>1469</v>
      </c>
      <c r="C729" s="3">
        <v>200</v>
      </c>
      <c r="D729" s="3" t="str">
        <f ca="1">IF(B729="","",IFERROR(_xludf.XLOOKUP(_xludf.XLOOKUP(B729,Inventory!$A:$A,Inventory!$B:$B),Blades!$A:$A,Blades!$C:$C)+_xludf.XLOOKUP(_xludf.XLOOKUP(B729,Inventory!$A:$A,Inventory!$C:$C),Motor!$A:$A,Motor!$C:$C)+_xludf.XLOOKUP(_xludf.XLOOKUP(B729,Inventory!$A:$A,Inventory!$D:$D),Frame!$A:$A,Frame!$C:$C)+#REF!,""))</f>
        <v/>
      </c>
      <c r="E729" s="4">
        <v>44681</v>
      </c>
      <c r="F729" s="1" t="s">
        <v>20</v>
      </c>
    </row>
    <row r="730" spans="1:6" x14ac:dyDescent="0.25">
      <c r="A730" s="1" t="s">
        <v>1470</v>
      </c>
      <c r="B730" s="1" t="s">
        <v>1471</v>
      </c>
      <c r="C730" s="3">
        <v>200</v>
      </c>
      <c r="D730" s="3" t="str">
        <f ca="1">IF(B730="","",IFERROR(_xludf.XLOOKUP(_xludf.XLOOKUP(B730,Inventory!$A:$A,Inventory!$B:$B),Blades!$A:$A,Blades!$C:$C)+_xludf.XLOOKUP(_xludf.XLOOKUP(B730,Inventory!$A:$A,Inventory!$C:$C),Motor!$A:$A,Motor!$C:$C)+_xludf.XLOOKUP(_xludf.XLOOKUP(B730,Inventory!$A:$A,Inventory!$D:$D),Frame!$A:$A,Frame!$C:$C)+#REF!,""))</f>
        <v/>
      </c>
      <c r="E730" s="4">
        <v>44681</v>
      </c>
      <c r="F730" s="1" t="s">
        <v>20</v>
      </c>
    </row>
    <row r="731" spans="1:6" x14ac:dyDescent="0.25">
      <c r="A731" s="1" t="s">
        <v>1472</v>
      </c>
      <c r="B731" s="1" t="s">
        <v>1473</v>
      </c>
      <c r="C731" s="3">
        <v>200</v>
      </c>
      <c r="D731" s="3" t="str">
        <f ca="1">IF(B731="","",IFERROR(_xludf.XLOOKUP(_xludf.XLOOKUP(B731,Inventory!$A:$A,Inventory!$B:$B),Blades!$A:$A,Blades!$C:$C)+_xludf.XLOOKUP(_xludf.XLOOKUP(B731,Inventory!$A:$A,Inventory!$C:$C),Motor!$A:$A,Motor!$C:$C)+_xludf.XLOOKUP(_xludf.XLOOKUP(B731,Inventory!$A:$A,Inventory!$D:$D),Frame!$A:$A,Frame!$C:$C)+#REF!,""))</f>
        <v/>
      </c>
      <c r="E731" s="4">
        <v>44683</v>
      </c>
      <c r="F731" s="1" t="s">
        <v>32</v>
      </c>
    </row>
    <row r="732" spans="1:6" x14ac:dyDescent="0.25">
      <c r="A732" s="1" t="s">
        <v>1474</v>
      </c>
      <c r="B732" s="1" t="s">
        <v>1475</v>
      </c>
      <c r="C732" s="3">
        <v>200</v>
      </c>
      <c r="D732" s="3" t="str">
        <f ca="1">IF(B732="","",IFERROR(_xludf.XLOOKUP(_xludf.XLOOKUP(B732,Inventory!$A:$A,Inventory!$B:$B),Blades!$A:$A,Blades!$C:$C)+_xludf.XLOOKUP(_xludf.XLOOKUP(B732,Inventory!$A:$A,Inventory!$C:$C),Motor!$A:$A,Motor!$C:$C)+_xludf.XLOOKUP(_xludf.XLOOKUP(B732,Inventory!$A:$A,Inventory!$D:$D),Frame!$A:$A,Frame!$C:$C)+#REF!,""))</f>
        <v/>
      </c>
      <c r="E732" s="4">
        <v>44683</v>
      </c>
      <c r="F732" s="1" t="s">
        <v>32</v>
      </c>
    </row>
    <row r="733" spans="1:6" x14ac:dyDescent="0.25">
      <c r="A733" s="1" t="s">
        <v>1476</v>
      </c>
      <c r="B733" s="1" t="s">
        <v>1477</v>
      </c>
      <c r="C733" s="3">
        <v>200</v>
      </c>
      <c r="D733" s="3" t="str">
        <f ca="1">IF(B733="","",IFERROR(_xludf.XLOOKUP(_xludf.XLOOKUP(B733,Inventory!$A:$A,Inventory!$B:$B),Blades!$A:$A,Blades!$C:$C)+_xludf.XLOOKUP(_xludf.XLOOKUP(B733,Inventory!$A:$A,Inventory!$C:$C),Motor!$A:$A,Motor!$C:$C)+_xludf.XLOOKUP(_xludf.XLOOKUP(B733,Inventory!$A:$A,Inventory!$D:$D),Frame!$A:$A,Frame!$C:$C)+#REF!,""))</f>
        <v/>
      </c>
      <c r="E733" s="4">
        <v>44683</v>
      </c>
      <c r="F733" s="1" t="s">
        <v>25</v>
      </c>
    </row>
    <row r="734" spans="1:6" x14ac:dyDescent="0.25">
      <c r="A734" s="1" t="s">
        <v>1478</v>
      </c>
      <c r="B734" s="1" t="s">
        <v>1479</v>
      </c>
      <c r="C734" s="3">
        <v>200</v>
      </c>
      <c r="D734" s="3" t="str">
        <f ca="1">IF(B734="","",IFERROR(_xludf.XLOOKUP(_xludf.XLOOKUP(B734,Inventory!$A:$A,Inventory!$B:$B),Blades!$A:$A,Blades!$C:$C)+_xludf.XLOOKUP(_xludf.XLOOKUP(B734,Inventory!$A:$A,Inventory!$C:$C),Motor!$A:$A,Motor!$C:$C)+_xludf.XLOOKUP(_xludf.XLOOKUP(B734,Inventory!$A:$A,Inventory!$D:$D),Frame!$A:$A,Frame!$C:$C)+#REF!,""))</f>
        <v/>
      </c>
      <c r="E734" s="4">
        <v>44683</v>
      </c>
      <c r="F734" s="1" t="s">
        <v>25</v>
      </c>
    </row>
    <row r="735" spans="1:6" x14ac:dyDescent="0.25">
      <c r="A735" s="1" t="s">
        <v>1480</v>
      </c>
      <c r="B735" s="1" t="s">
        <v>1481</v>
      </c>
      <c r="C735" s="3">
        <v>200</v>
      </c>
      <c r="D735" s="3" t="str">
        <f ca="1">IF(B735="","",IFERROR(_xludf.XLOOKUP(_xludf.XLOOKUP(B735,Inventory!$A:$A,Inventory!$B:$B),Blades!$A:$A,Blades!$C:$C)+_xludf.XLOOKUP(_xludf.XLOOKUP(B735,Inventory!$A:$A,Inventory!$C:$C),Motor!$A:$A,Motor!$C:$C)+_xludf.XLOOKUP(_xludf.XLOOKUP(B735,Inventory!$A:$A,Inventory!$D:$D),Frame!$A:$A,Frame!$C:$C)+#REF!,""))</f>
        <v/>
      </c>
      <c r="E735" s="4">
        <v>44685</v>
      </c>
      <c r="F735" s="1" t="s">
        <v>52</v>
      </c>
    </row>
    <row r="736" spans="1:6" x14ac:dyDescent="0.25">
      <c r="A736" s="1" t="s">
        <v>1482</v>
      </c>
      <c r="B736" s="1" t="s">
        <v>1483</v>
      </c>
      <c r="C736" s="3">
        <v>200</v>
      </c>
      <c r="D736" s="3" t="str">
        <f ca="1">IF(B736="","",IFERROR(_xludf.XLOOKUP(_xludf.XLOOKUP(B736,Inventory!$A:$A,Inventory!$B:$B),Blades!$A:$A,Blades!$C:$C)+_xludf.XLOOKUP(_xludf.XLOOKUP(B736,Inventory!$A:$A,Inventory!$C:$C),Motor!$A:$A,Motor!$C:$C)+_xludf.XLOOKUP(_xludf.XLOOKUP(B736,Inventory!$A:$A,Inventory!$D:$D),Frame!$A:$A,Frame!$C:$C)+#REF!,""))</f>
        <v/>
      </c>
      <c r="E736" s="4">
        <v>44686</v>
      </c>
      <c r="F736" s="1" t="s">
        <v>63</v>
      </c>
    </row>
    <row r="737" spans="1:6" x14ac:dyDescent="0.25">
      <c r="A737" s="1" t="s">
        <v>1484</v>
      </c>
      <c r="B737" s="1" t="s">
        <v>1485</v>
      </c>
      <c r="C737" s="3">
        <v>200</v>
      </c>
      <c r="D737" s="3" t="str">
        <f ca="1">IF(B737="","",IFERROR(_xludf.XLOOKUP(_xludf.XLOOKUP(B737,Inventory!$A:$A,Inventory!$B:$B),Blades!$A:$A,Blades!$C:$C)+_xludf.XLOOKUP(_xludf.XLOOKUP(B737,Inventory!$A:$A,Inventory!$C:$C),Motor!$A:$A,Motor!$C:$C)+_xludf.XLOOKUP(_xludf.XLOOKUP(B737,Inventory!$A:$A,Inventory!$D:$D),Frame!$A:$A,Frame!$C:$C)+#REF!,""))</f>
        <v/>
      </c>
      <c r="E737" s="4">
        <v>44687</v>
      </c>
      <c r="F737" s="1" t="s">
        <v>20</v>
      </c>
    </row>
    <row r="738" spans="1:6" x14ac:dyDescent="0.25">
      <c r="A738" s="1" t="s">
        <v>1486</v>
      </c>
      <c r="B738" s="1" t="s">
        <v>1487</v>
      </c>
      <c r="C738" s="3">
        <v>200</v>
      </c>
      <c r="D738" s="3" t="str">
        <f ca="1">IF(B738="","",IFERROR(_xludf.XLOOKUP(_xludf.XLOOKUP(B738,Inventory!$A:$A,Inventory!$B:$B),Blades!$A:$A,Blades!$C:$C)+_xludf.XLOOKUP(_xludf.XLOOKUP(B738,Inventory!$A:$A,Inventory!$C:$C),Motor!$A:$A,Motor!$C:$C)+_xludf.XLOOKUP(_xludf.XLOOKUP(B738,Inventory!$A:$A,Inventory!$D:$D),Frame!$A:$A,Frame!$C:$C)+#REF!,""))</f>
        <v/>
      </c>
      <c r="E738" s="4">
        <v>44687</v>
      </c>
      <c r="F738" s="1" t="s">
        <v>25</v>
      </c>
    </row>
    <row r="739" spans="1:6" x14ac:dyDescent="0.25">
      <c r="A739" s="1" t="s">
        <v>1488</v>
      </c>
      <c r="B739" s="1" t="s">
        <v>1489</v>
      </c>
      <c r="C739" s="3">
        <v>200</v>
      </c>
      <c r="D739" s="3" t="str">
        <f ca="1">IF(B739="","",IFERROR(_xludf.XLOOKUP(_xludf.XLOOKUP(B739,Inventory!$A:$A,Inventory!$B:$B),Blades!$A:$A,Blades!$C:$C)+_xludf.XLOOKUP(_xludf.XLOOKUP(B739,Inventory!$A:$A,Inventory!$C:$C),Motor!$A:$A,Motor!$C:$C)+_xludf.XLOOKUP(_xludf.XLOOKUP(B739,Inventory!$A:$A,Inventory!$D:$D),Frame!$A:$A,Frame!$C:$C)+#REF!,""))</f>
        <v/>
      </c>
      <c r="E739" s="4">
        <v>44688</v>
      </c>
      <c r="F739" s="1" t="s">
        <v>8</v>
      </c>
    </row>
    <row r="740" spans="1:6" x14ac:dyDescent="0.25">
      <c r="A740" s="1" t="s">
        <v>1490</v>
      </c>
      <c r="B740" s="1" t="s">
        <v>1491</v>
      </c>
      <c r="C740" s="3">
        <v>200</v>
      </c>
      <c r="D740" s="3" t="str">
        <f ca="1">IF(B740="","",IFERROR(_xludf.XLOOKUP(_xludf.XLOOKUP(B740,Inventory!$A:$A,Inventory!$B:$B),Blades!$A:$A,Blades!$C:$C)+_xludf.XLOOKUP(_xludf.XLOOKUP(B740,Inventory!$A:$A,Inventory!$C:$C),Motor!$A:$A,Motor!$C:$C)+_xludf.XLOOKUP(_xludf.XLOOKUP(B740,Inventory!$A:$A,Inventory!$D:$D),Frame!$A:$A,Frame!$C:$C)+#REF!,""))</f>
        <v/>
      </c>
      <c r="E740" s="4">
        <v>44689</v>
      </c>
      <c r="F740" s="1" t="s">
        <v>49</v>
      </c>
    </row>
    <row r="741" spans="1:6" x14ac:dyDescent="0.25">
      <c r="A741" s="1" t="s">
        <v>1492</v>
      </c>
      <c r="B741" s="1" t="s">
        <v>1493</v>
      </c>
      <c r="C741" s="3">
        <v>200</v>
      </c>
      <c r="D741" s="3" t="str">
        <f ca="1">IF(B741="","",IFERROR(_xludf.XLOOKUP(_xludf.XLOOKUP(B741,Inventory!$A:$A,Inventory!$B:$B),Blades!$A:$A,Blades!$C:$C)+_xludf.XLOOKUP(_xludf.XLOOKUP(B741,Inventory!$A:$A,Inventory!$C:$C),Motor!$A:$A,Motor!$C:$C)+_xludf.XLOOKUP(_xludf.XLOOKUP(B741,Inventory!$A:$A,Inventory!$D:$D),Frame!$A:$A,Frame!$C:$C)+#REF!,""))</f>
        <v/>
      </c>
      <c r="E741" s="4">
        <v>44689</v>
      </c>
      <c r="F741" s="1" t="s">
        <v>52</v>
      </c>
    </row>
    <row r="742" spans="1:6" x14ac:dyDescent="0.25">
      <c r="A742" s="1" t="s">
        <v>1494</v>
      </c>
      <c r="B742" s="1" t="s">
        <v>1495</v>
      </c>
      <c r="C742" s="3">
        <v>200</v>
      </c>
      <c r="D742" s="3" t="str">
        <f ca="1">IF(B742="","",IFERROR(_xludf.XLOOKUP(_xludf.XLOOKUP(B742,Inventory!$A:$A,Inventory!$B:$B),Blades!$A:$A,Blades!$C:$C)+_xludf.XLOOKUP(_xludf.XLOOKUP(B742,Inventory!$A:$A,Inventory!$C:$C),Motor!$A:$A,Motor!$C:$C)+_xludf.XLOOKUP(_xludf.XLOOKUP(B742,Inventory!$A:$A,Inventory!$D:$D),Frame!$A:$A,Frame!$C:$C)+#REF!,""))</f>
        <v/>
      </c>
      <c r="E742" s="4">
        <v>44689</v>
      </c>
      <c r="F742" s="1" t="s">
        <v>32</v>
      </c>
    </row>
    <row r="743" spans="1:6" x14ac:dyDescent="0.25">
      <c r="A743" s="1" t="s">
        <v>1496</v>
      </c>
      <c r="B743" s="1" t="s">
        <v>1497</v>
      </c>
      <c r="C743" s="3">
        <v>200</v>
      </c>
      <c r="D743" s="3" t="str">
        <f ca="1">IF(B743="","",IFERROR(_xludf.XLOOKUP(_xludf.XLOOKUP(B743,Inventory!$A:$A,Inventory!$B:$B),Blades!$A:$A,Blades!$C:$C)+_xludf.XLOOKUP(_xludf.XLOOKUP(B743,Inventory!$A:$A,Inventory!$C:$C),Motor!$A:$A,Motor!$C:$C)+_xludf.XLOOKUP(_xludf.XLOOKUP(B743,Inventory!$A:$A,Inventory!$D:$D),Frame!$A:$A,Frame!$C:$C)+#REF!,""))</f>
        <v/>
      </c>
      <c r="E743" s="4">
        <v>44689</v>
      </c>
      <c r="F743" s="1" t="s">
        <v>25</v>
      </c>
    </row>
    <row r="744" spans="1:6" x14ac:dyDescent="0.25">
      <c r="A744" s="1" t="s">
        <v>1498</v>
      </c>
      <c r="B744" s="1" t="s">
        <v>1499</v>
      </c>
      <c r="C744" s="3">
        <v>200</v>
      </c>
      <c r="D744" s="3" t="str">
        <f ca="1">IF(B744="","",IFERROR(_xludf.XLOOKUP(_xludf.XLOOKUP(B744,Inventory!$A:$A,Inventory!$B:$B),Blades!$A:$A,Blades!$C:$C)+_xludf.XLOOKUP(_xludf.XLOOKUP(B744,Inventory!$A:$A,Inventory!$C:$C),Motor!$A:$A,Motor!$C:$C)+_xludf.XLOOKUP(_xludf.XLOOKUP(B744,Inventory!$A:$A,Inventory!$D:$D),Frame!$A:$A,Frame!$C:$C)+#REF!,""))</f>
        <v/>
      </c>
      <c r="E744" s="4">
        <v>44693</v>
      </c>
      <c r="F744" s="1" t="s">
        <v>63</v>
      </c>
    </row>
    <row r="745" spans="1:6" x14ac:dyDescent="0.25">
      <c r="A745" s="1" t="s">
        <v>1500</v>
      </c>
      <c r="B745" s="1" t="s">
        <v>1501</v>
      </c>
      <c r="C745" s="3">
        <v>200</v>
      </c>
      <c r="D745" s="3" t="str">
        <f ca="1">IF(B745="","",IFERROR(_xludf.XLOOKUP(_xludf.XLOOKUP(B745,Inventory!$A:$A,Inventory!$B:$B),Blades!$A:$A,Blades!$C:$C)+_xludf.XLOOKUP(_xludf.XLOOKUP(B745,Inventory!$A:$A,Inventory!$C:$C),Motor!$A:$A,Motor!$C:$C)+_xludf.XLOOKUP(_xludf.XLOOKUP(B745,Inventory!$A:$A,Inventory!$D:$D),Frame!$A:$A,Frame!$C:$C)+#REF!,""))</f>
        <v/>
      </c>
      <c r="E745" s="4">
        <v>44694</v>
      </c>
      <c r="F745" s="1" t="s">
        <v>25</v>
      </c>
    </row>
    <row r="746" spans="1:6" x14ac:dyDescent="0.25">
      <c r="A746" s="1" t="s">
        <v>1502</v>
      </c>
      <c r="B746" s="1" t="s">
        <v>1503</v>
      </c>
      <c r="C746" s="3">
        <v>200</v>
      </c>
      <c r="D746" s="3" t="str">
        <f ca="1">IF(B746="","",IFERROR(_xludf.XLOOKUP(_xludf.XLOOKUP(B746,Inventory!$A:$A,Inventory!$B:$B),Blades!$A:$A,Blades!$C:$C)+_xludf.XLOOKUP(_xludf.XLOOKUP(B746,Inventory!$A:$A,Inventory!$C:$C),Motor!$A:$A,Motor!$C:$C)+_xludf.XLOOKUP(_xludf.XLOOKUP(B746,Inventory!$A:$A,Inventory!$D:$D),Frame!$A:$A,Frame!$C:$C)+#REF!,""))</f>
        <v/>
      </c>
      <c r="E746" s="4">
        <v>44695</v>
      </c>
      <c r="F746" s="1" t="s">
        <v>63</v>
      </c>
    </row>
    <row r="747" spans="1:6" x14ac:dyDescent="0.25">
      <c r="A747" s="1" t="s">
        <v>1504</v>
      </c>
      <c r="B747" s="1" t="s">
        <v>1505</v>
      </c>
      <c r="C747" s="3">
        <v>200</v>
      </c>
      <c r="D747" s="3" t="str">
        <f ca="1">IF(B747="","",IFERROR(_xludf.XLOOKUP(_xludf.XLOOKUP(B747,Inventory!$A:$A,Inventory!$B:$B),Blades!$A:$A,Blades!$C:$C)+_xludf.XLOOKUP(_xludf.XLOOKUP(B747,Inventory!$A:$A,Inventory!$C:$C),Motor!$A:$A,Motor!$C:$C)+_xludf.XLOOKUP(_xludf.XLOOKUP(B747,Inventory!$A:$A,Inventory!$D:$D),Frame!$A:$A,Frame!$C:$C)+#REF!,""))</f>
        <v/>
      </c>
      <c r="E747" s="4">
        <v>44695</v>
      </c>
      <c r="F747" s="1" t="s">
        <v>49</v>
      </c>
    </row>
    <row r="748" spans="1:6" x14ac:dyDescent="0.25">
      <c r="A748" s="1" t="s">
        <v>1506</v>
      </c>
      <c r="B748" s="1" t="s">
        <v>1507</v>
      </c>
      <c r="C748" s="3">
        <v>200</v>
      </c>
      <c r="D748" s="3" t="str">
        <f ca="1">IF(B748="","",IFERROR(_xludf.XLOOKUP(_xludf.XLOOKUP(B748,Inventory!$A:$A,Inventory!$B:$B),Blades!$A:$A,Blades!$C:$C)+_xludf.XLOOKUP(_xludf.XLOOKUP(B748,Inventory!$A:$A,Inventory!$C:$C),Motor!$A:$A,Motor!$C:$C)+_xludf.XLOOKUP(_xludf.XLOOKUP(B748,Inventory!$A:$A,Inventory!$D:$D),Frame!$A:$A,Frame!$C:$C)+#REF!,""))</f>
        <v/>
      </c>
      <c r="E748" s="4">
        <v>44695</v>
      </c>
      <c r="F748" s="1" t="s">
        <v>32</v>
      </c>
    </row>
    <row r="749" spans="1:6" x14ac:dyDescent="0.25">
      <c r="A749" s="1" t="s">
        <v>1508</v>
      </c>
      <c r="B749" s="1" t="s">
        <v>1509</v>
      </c>
      <c r="C749" s="3">
        <v>200</v>
      </c>
      <c r="D749" s="3" t="str">
        <f ca="1">IF(B749="","",IFERROR(_xludf.XLOOKUP(_xludf.XLOOKUP(B749,Inventory!$A:$A,Inventory!$B:$B),Blades!$A:$A,Blades!$C:$C)+_xludf.XLOOKUP(_xludf.XLOOKUP(B749,Inventory!$A:$A,Inventory!$C:$C),Motor!$A:$A,Motor!$C:$C)+_xludf.XLOOKUP(_xludf.XLOOKUP(B749,Inventory!$A:$A,Inventory!$D:$D),Frame!$A:$A,Frame!$C:$C)+#REF!,""))</f>
        <v/>
      </c>
      <c r="E749" s="4">
        <v>44697</v>
      </c>
      <c r="F749" s="1" t="s">
        <v>52</v>
      </c>
    </row>
    <row r="750" spans="1:6" x14ac:dyDescent="0.25">
      <c r="A750" s="1" t="s">
        <v>1510</v>
      </c>
      <c r="B750" s="1" t="s">
        <v>1511</v>
      </c>
      <c r="C750" s="3">
        <v>200</v>
      </c>
      <c r="D750" s="3" t="str">
        <f ca="1">IF(B750="","",IFERROR(_xludf.XLOOKUP(_xludf.XLOOKUP(B750,Inventory!$A:$A,Inventory!$B:$B),Blades!$A:$A,Blades!$C:$C)+_xludf.XLOOKUP(_xludf.XLOOKUP(B750,Inventory!$A:$A,Inventory!$C:$C),Motor!$A:$A,Motor!$C:$C)+_xludf.XLOOKUP(_xludf.XLOOKUP(B750,Inventory!$A:$A,Inventory!$D:$D),Frame!$A:$A,Frame!$C:$C)+#REF!,""))</f>
        <v/>
      </c>
      <c r="E750" s="4">
        <v>44697</v>
      </c>
      <c r="F750" s="1" t="s">
        <v>63</v>
      </c>
    </row>
    <row r="751" spans="1:6" x14ac:dyDescent="0.25">
      <c r="A751" s="1" t="s">
        <v>1512</v>
      </c>
      <c r="B751" s="1" t="s">
        <v>1513</v>
      </c>
      <c r="C751" s="3">
        <v>200</v>
      </c>
      <c r="D751" s="3" t="str">
        <f ca="1">IF(B751="","",IFERROR(_xludf.XLOOKUP(_xludf.XLOOKUP(B751,Inventory!$A:$A,Inventory!$B:$B),Blades!$A:$A,Blades!$C:$C)+_xludf.XLOOKUP(_xludf.XLOOKUP(B751,Inventory!$A:$A,Inventory!$C:$C),Motor!$A:$A,Motor!$C:$C)+_xludf.XLOOKUP(_xludf.XLOOKUP(B751,Inventory!$A:$A,Inventory!$D:$D),Frame!$A:$A,Frame!$C:$C)+#REF!,""))</f>
        <v/>
      </c>
      <c r="E751" s="4">
        <v>44698</v>
      </c>
      <c r="F751" s="1" t="s">
        <v>25</v>
      </c>
    </row>
    <row r="752" spans="1:6" x14ac:dyDescent="0.25">
      <c r="A752" s="1" t="s">
        <v>1514</v>
      </c>
      <c r="B752" s="1" t="s">
        <v>1515</v>
      </c>
      <c r="C752" s="3">
        <v>200</v>
      </c>
      <c r="D752" s="3" t="str">
        <f ca="1">IF(B752="","",IFERROR(_xludf.XLOOKUP(_xludf.XLOOKUP(B752,Inventory!$A:$A,Inventory!$B:$B),Blades!$A:$A,Blades!$C:$C)+_xludf.XLOOKUP(_xludf.XLOOKUP(B752,Inventory!$A:$A,Inventory!$C:$C),Motor!$A:$A,Motor!$C:$C)+_xludf.XLOOKUP(_xludf.XLOOKUP(B752,Inventory!$A:$A,Inventory!$D:$D),Frame!$A:$A,Frame!$C:$C)+#REF!,""))</f>
        <v/>
      </c>
      <c r="E752" s="4">
        <v>44700</v>
      </c>
      <c r="F752" s="1" t="s">
        <v>52</v>
      </c>
    </row>
    <row r="753" spans="1:6" x14ac:dyDescent="0.25">
      <c r="A753" s="1" t="s">
        <v>1516</v>
      </c>
      <c r="B753" s="1" t="s">
        <v>1517</v>
      </c>
      <c r="C753" s="3">
        <v>200</v>
      </c>
      <c r="D753" s="3" t="str">
        <f ca="1">IF(B753="","",IFERROR(_xludf.XLOOKUP(_xludf.XLOOKUP(B753,Inventory!$A:$A,Inventory!$B:$B),Blades!$A:$A,Blades!$C:$C)+_xludf.XLOOKUP(_xludf.XLOOKUP(B753,Inventory!$A:$A,Inventory!$C:$C),Motor!$A:$A,Motor!$C:$C)+_xludf.XLOOKUP(_xludf.XLOOKUP(B753,Inventory!$A:$A,Inventory!$D:$D),Frame!$A:$A,Frame!$C:$C)+#REF!,""))</f>
        <v/>
      </c>
      <c r="E753" s="4">
        <v>44700</v>
      </c>
      <c r="F753" s="1" t="s">
        <v>11</v>
      </c>
    </row>
    <row r="754" spans="1:6" x14ac:dyDescent="0.25">
      <c r="A754" s="1" t="s">
        <v>1518</v>
      </c>
      <c r="B754" s="1" t="s">
        <v>1519</v>
      </c>
      <c r="C754" s="3">
        <v>200</v>
      </c>
      <c r="D754" s="3" t="str">
        <f ca="1">IF(B754="","",IFERROR(_xludf.XLOOKUP(_xludf.XLOOKUP(B754,Inventory!$A:$A,Inventory!$B:$B),Blades!$A:$A,Blades!$C:$C)+_xludf.XLOOKUP(_xludf.XLOOKUP(B754,Inventory!$A:$A,Inventory!$C:$C),Motor!$A:$A,Motor!$C:$C)+_xludf.XLOOKUP(_xludf.XLOOKUP(B754,Inventory!$A:$A,Inventory!$D:$D),Frame!$A:$A,Frame!$C:$C)+#REF!,""))</f>
        <v/>
      </c>
      <c r="E754" s="4">
        <v>44701</v>
      </c>
      <c r="F754" s="1" t="s">
        <v>49</v>
      </c>
    </row>
    <row r="755" spans="1:6" x14ac:dyDescent="0.25">
      <c r="A755" s="1" t="s">
        <v>1520</v>
      </c>
      <c r="B755" s="1" t="s">
        <v>1521</v>
      </c>
      <c r="C755" s="3">
        <v>200</v>
      </c>
      <c r="D755" s="3" t="str">
        <f ca="1">IF(B755="","",IFERROR(_xludf.XLOOKUP(_xludf.XLOOKUP(B755,Inventory!$A:$A,Inventory!$B:$B),Blades!$A:$A,Blades!$C:$C)+_xludf.XLOOKUP(_xludf.XLOOKUP(B755,Inventory!$A:$A,Inventory!$C:$C),Motor!$A:$A,Motor!$C:$C)+_xludf.XLOOKUP(_xludf.XLOOKUP(B755,Inventory!$A:$A,Inventory!$D:$D),Frame!$A:$A,Frame!$C:$C)+#REF!,""))</f>
        <v/>
      </c>
      <c r="E755" s="4">
        <v>44702</v>
      </c>
      <c r="F755" s="1" t="s">
        <v>63</v>
      </c>
    </row>
    <row r="756" spans="1:6" x14ac:dyDescent="0.25">
      <c r="A756" s="1" t="s">
        <v>1522</v>
      </c>
      <c r="B756" s="1" t="s">
        <v>1523</v>
      </c>
      <c r="C756" s="3">
        <v>200</v>
      </c>
      <c r="D756" s="3" t="str">
        <f ca="1">IF(B756="","",IFERROR(_xludf.XLOOKUP(_xludf.XLOOKUP(B756,Inventory!$A:$A,Inventory!$B:$B),Blades!$A:$A,Blades!$C:$C)+_xludf.XLOOKUP(_xludf.XLOOKUP(B756,Inventory!$A:$A,Inventory!$C:$C),Motor!$A:$A,Motor!$C:$C)+_xludf.XLOOKUP(_xludf.XLOOKUP(B756,Inventory!$A:$A,Inventory!$D:$D),Frame!$A:$A,Frame!$C:$C)+#REF!,""))</f>
        <v/>
      </c>
      <c r="E756" s="4">
        <v>44705</v>
      </c>
      <c r="F756" s="1" t="s">
        <v>11</v>
      </c>
    </row>
    <row r="757" spans="1:6" x14ac:dyDescent="0.25">
      <c r="A757" s="1" t="s">
        <v>1524</v>
      </c>
      <c r="B757" s="1" t="s">
        <v>1525</v>
      </c>
      <c r="C757" s="3">
        <v>200</v>
      </c>
      <c r="D757" s="3" t="str">
        <f ca="1">IF(B757="","",IFERROR(_xludf.XLOOKUP(_xludf.XLOOKUP(B757,Inventory!$A:$A,Inventory!$B:$B),Blades!$A:$A,Blades!$C:$C)+_xludf.XLOOKUP(_xludf.XLOOKUP(B757,Inventory!$A:$A,Inventory!$C:$C),Motor!$A:$A,Motor!$C:$C)+_xludf.XLOOKUP(_xludf.XLOOKUP(B757,Inventory!$A:$A,Inventory!$D:$D),Frame!$A:$A,Frame!$C:$C)+#REF!,""))</f>
        <v/>
      </c>
      <c r="E757" s="4">
        <v>44705</v>
      </c>
      <c r="F757" s="1" t="s">
        <v>25</v>
      </c>
    </row>
    <row r="758" spans="1:6" x14ac:dyDescent="0.25">
      <c r="A758" s="1" t="s">
        <v>1526</v>
      </c>
      <c r="B758" s="1" t="s">
        <v>1527</v>
      </c>
      <c r="C758" s="3">
        <v>200</v>
      </c>
      <c r="D758" s="3" t="str">
        <f ca="1">IF(B758="","",IFERROR(_xludf.XLOOKUP(_xludf.XLOOKUP(B758,Inventory!$A:$A,Inventory!$B:$B),Blades!$A:$A,Blades!$C:$C)+_xludf.XLOOKUP(_xludf.XLOOKUP(B758,Inventory!$A:$A,Inventory!$C:$C),Motor!$A:$A,Motor!$C:$C)+_xludf.XLOOKUP(_xludf.XLOOKUP(B758,Inventory!$A:$A,Inventory!$D:$D),Frame!$A:$A,Frame!$C:$C)+#REF!,""))</f>
        <v/>
      </c>
      <c r="E758" s="4">
        <v>44705</v>
      </c>
      <c r="F758" s="1" t="s">
        <v>52</v>
      </c>
    </row>
    <row r="759" spans="1:6" x14ac:dyDescent="0.25">
      <c r="A759" s="1" t="s">
        <v>1528</v>
      </c>
      <c r="B759" s="1" t="s">
        <v>1529</v>
      </c>
      <c r="C759" s="3">
        <v>200</v>
      </c>
      <c r="D759" s="3" t="str">
        <f ca="1">IF(B759="","",IFERROR(_xludf.XLOOKUP(_xludf.XLOOKUP(B759,Inventory!$A:$A,Inventory!$B:$B),Blades!$A:$A,Blades!$C:$C)+_xludf.XLOOKUP(_xludf.XLOOKUP(B759,Inventory!$A:$A,Inventory!$C:$C),Motor!$A:$A,Motor!$C:$C)+_xludf.XLOOKUP(_xludf.XLOOKUP(B759,Inventory!$A:$A,Inventory!$D:$D),Frame!$A:$A,Frame!$C:$C)+#REF!,""))</f>
        <v/>
      </c>
      <c r="E759" s="4">
        <v>44705</v>
      </c>
      <c r="F759" s="1" t="s">
        <v>20</v>
      </c>
    </row>
    <row r="760" spans="1:6" x14ac:dyDescent="0.25">
      <c r="A760" s="1" t="s">
        <v>1530</v>
      </c>
      <c r="B760" s="1" t="s">
        <v>1531</v>
      </c>
      <c r="C760" s="3">
        <v>200</v>
      </c>
      <c r="D760" s="3" t="str">
        <f ca="1">IF(B760="","",IFERROR(_xludf.XLOOKUP(_xludf.XLOOKUP(B760,Inventory!$A:$A,Inventory!$B:$B),Blades!$A:$A,Blades!$C:$C)+_xludf.XLOOKUP(_xludf.XLOOKUP(B760,Inventory!$A:$A,Inventory!$C:$C),Motor!$A:$A,Motor!$C:$C)+_xludf.XLOOKUP(_xludf.XLOOKUP(B760,Inventory!$A:$A,Inventory!$D:$D),Frame!$A:$A,Frame!$C:$C)+#REF!,""))</f>
        <v/>
      </c>
      <c r="E760" s="4">
        <v>44706</v>
      </c>
      <c r="F760" s="1" t="s">
        <v>32</v>
      </c>
    </row>
    <row r="761" spans="1:6" x14ac:dyDescent="0.25">
      <c r="A761" s="1" t="s">
        <v>1532</v>
      </c>
      <c r="B761" s="1" t="s">
        <v>1533</v>
      </c>
      <c r="C761" s="3">
        <v>200</v>
      </c>
      <c r="D761" s="3" t="str">
        <f ca="1">IF(B761="","",IFERROR(_xludf.XLOOKUP(_xludf.XLOOKUP(B761,Inventory!$A:$A,Inventory!$B:$B),Blades!$A:$A,Blades!$C:$C)+_xludf.XLOOKUP(_xludf.XLOOKUP(B761,Inventory!$A:$A,Inventory!$C:$C),Motor!$A:$A,Motor!$C:$C)+_xludf.XLOOKUP(_xludf.XLOOKUP(B761,Inventory!$A:$A,Inventory!$D:$D),Frame!$A:$A,Frame!$C:$C)+#REF!,""))</f>
        <v/>
      </c>
      <c r="E761" s="4">
        <v>44711</v>
      </c>
      <c r="F761" s="1" t="s">
        <v>11</v>
      </c>
    </row>
    <row r="762" spans="1:6" x14ac:dyDescent="0.25">
      <c r="A762" s="1" t="s">
        <v>1534</v>
      </c>
      <c r="B762" s="1" t="s">
        <v>1535</v>
      </c>
      <c r="C762" s="3">
        <v>200</v>
      </c>
      <c r="D762" s="3" t="str">
        <f ca="1">IF(B762="","",IFERROR(_xludf.XLOOKUP(_xludf.XLOOKUP(B762,Inventory!$A:$A,Inventory!$B:$B),Blades!$A:$A,Blades!$C:$C)+_xludf.XLOOKUP(_xludf.XLOOKUP(B762,Inventory!$A:$A,Inventory!$C:$C),Motor!$A:$A,Motor!$C:$C)+_xludf.XLOOKUP(_xludf.XLOOKUP(B762,Inventory!$A:$A,Inventory!$D:$D),Frame!$A:$A,Frame!$C:$C)+#REF!,""))</f>
        <v/>
      </c>
      <c r="E762" s="4">
        <v>44711</v>
      </c>
      <c r="F762" s="1" t="s">
        <v>52</v>
      </c>
    </row>
    <row r="763" spans="1:6" x14ac:dyDescent="0.25">
      <c r="A763" s="1" t="s">
        <v>1536</v>
      </c>
      <c r="B763" s="1" t="s">
        <v>1537</v>
      </c>
      <c r="C763" s="3">
        <v>200</v>
      </c>
      <c r="D763" s="3" t="str">
        <f ca="1">IF(B763="","",IFERROR(_xludf.XLOOKUP(_xludf.XLOOKUP(B763,Inventory!$A:$A,Inventory!$B:$B),Blades!$A:$A,Blades!$C:$C)+_xludf.XLOOKUP(_xludf.XLOOKUP(B763,Inventory!$A:$A,Inventory!$C:$C),Motor!$A:$A,Motor!$C:$C)+_xludf.XLOOKUP(_xludf.XLOOKUP(B763,Inventory!$A:$A,Inventory!$D:$D),Frame!$A:$A,Frame!$C:$C)+#REF!,""))</f>
        <v/>
      </c>
      <c r="E763" s="4">
        <v>44712</v>
      </c>
      <c r="F763" s="1" t="s">
        <v>20</v>
      </c>
    </row>
    <row r="764" spans="1:6" x14ac:dyDescent="0.25">
      <c r="A764" s="1" t="s">
        <v>1538</v>
      </c>
      <c r="B764" s="1" t="s">
        <v>1539</v>
      </c>
      <c r="C764" s="3">
        <v>200</v>
      </c>
      <c r="D764" s="3" t="str">
        <f ca="1">IF(B764="","",IFERROR(_xludf.XLOOKUP(_xludf.XLOOKUP(B764,Inventory!$A:$A,Inventory!$B:$B),Blades!$A:$A,Blades!$C:$C)+_xludf.XLOOKUP(_xludf.XLOOKUP(B764,Inventory!$A:$A,Inventory!$C:$C),Motor!$A:$A,Motor!$C:$C)+_xludf.XLOOKUP(_xludf.XLOOKUP(B764,Inventory!$A:$A,Inventory!$D:$D),Frame!$A:$A,Frame!$C:$C)+#REF!,""))</f>
        <v/>
      </c>
      <c r="E764" s="4">
        <v>44712</v>
      </c>
      <c r="F764" s="1" t="s">
        <v>25</v>
      </c>
    </row>
    <row r="765" spans="1:6" x14ac:dyDescent="0.25">
      <c r="A765" s="1" t="s">
        <v>1540</v>
      </c>
      <c r="B765" s="1" t="s">
        <v>1541</v>
      </c>
      <c r="C765" s="3">
        <v>200</v>
      </c>
      <c r="D765" s="3" t="str">
        <f ca="1">IF(B765="","",IFERROR(_xludf.XLOOKUP(_xludf.XLOOKUP(B765,Inventory!$A:$A,Inventory!$B:$B),Blades!$A:$A,Blades!$C:$C)+_xludf.XLOOKUP(_xludf.XLOOKUP(B765,Inventory!$A:$A,Inventory!$C:$C),Motor!$A:$A,Motor!$C:$C)+_xludf.XLOOKUP(_xludf.XLOOKUP(B765,Inventory!$A:$A,Inventory!$D:$D),Frame!$A:$A,Frame!$C:$C)+#REF!,""))</f>
        <v/>
      </c>
      <c r="E765" s="4">
        <v>44713</v>
      </c>
      <c r="F765" s="1" t="s">
        <v>25</v>
      </c>
    </row>
    <row r="766" spans="1:6" x14ac:dyDescent="0.25">
      <c r="A766" s="1" t="s">
        <v>1542</v>
      </c>
      <c r="B766" s="1" t="s">
        <v>1543</v>
      </c>
      <c r="C766" s="3">
        <v>200</v>
      </c>
      <c r="D766" s="3" t="str">
        <f ca="1">IF(B766="","",IFERROR(_xludf.XLOOKUP(_xludf.XLOOKUP(B766,Inventory!$A:$A,Inventory!$B:$B),Blades!$A:$A,Blades!$C:$C)+_xludf.XLOOKUP(_xludf.XLOOKUP(B766,Inventory!$A:$A,Inventory!$C:$C),Motor!$A:$A,Motor!$C:$C)+_xludf.XLOOKUP(_xludf.XLOOKUP(B766,Inventory!$A:$A,Inventory!$D:$D),Frame!$A:$A,Frame!$C:$C)+#REF!,""))</f>
        <v/>
      </c>
      <c r="E766" s="4">
        <v>44715</v>
      </c>
      <c r="F766" s="1" t="s">
        <v>11</v>
      </c>
    </row>
    <row r="767" spans="1:6" x14ac:dyDescent="0.25">
      <c r="A767" s="1" t="s">
        <v>1544</v>
      </c>
      <c r="B767" s="1" t="s">
        <v>1545</v>
      </c>
      <c r="C767" s="3">
        <v>200</v>
      </c>
      <c r="D767" s="3" t="str">
        <f ca="1">IF(B767="","",IFERROR(_xludf.XLOOKUP(_xludf.XLOOKUP(B767,Inventory!$A:$A,Inventory!$B:$B),Blades!$A:$A,Blades!$C:$C)+_xludf.XLOOKUP(_xludf.XLOOKUP(B767,Inventory!$A:$A,Inventory!$C:$C),Motor!$A:$A,Motor!$C:$C)+_xludf.XLOOKUP(_xludf.XLOOKUP(B767,Inventory!$A:$A,Inventory!$D:$D),Frame!$A:$A,Frame!$C:$C)+#REF!,""))</f>
        <v/>
      </c>
      <c r="E767" s="4">
        <v>44716</v>
      </c>
      <c r="F767" s="1" t="s">
        <v>63</v>
      </c>
    </row>
    <row r="768" spans="1:6" x14ac:dyDescent="0.25">
      <c r="A768" s="1" t="s">
        <v>1546</v>
      </c>
      <c r="B768" s="1" t="s">
        <v>1547</v>
      </c>
      <c r="C768" s="3">
        <v>200</v>
      </c>
      <c r="D768" s="3" t="str">
        <f ca="1">IF(B768="","",IFERROR(_xludf.XLOOKUP(_xludf.XLOOKUP(B768,Inventory!$A:$A,Inventory!$B:$B),Blades!$A:$A,Blades!$C:$C)+_xludf.XLOOKUP(_xludf.XLOOKUP(B768,Inventory!$A:$A,Inventory!$C:$C),Motor!$A:$A,Motor!$C:$C)+_xludf.XLOOKUP(_xludf.XLOOKUP(B768,Inventory!$A:$A,Inventory!$D:$D),Frame!$A:$A,Frame!$C:$C)+#REF!,""))</f>
        <v/>
      </c>
      <c r="E768" s="4">
        <v>44717</v>
      </c>
      <c r="F768" s="1" t="s">
        <v>25</v>
      </c>
    </row>
    <row r="769" spans="1:6" x14ac:dyDescent="0.25">
      <c r="A769" s="1" t="s">
        <v>1548</v>
      </c>
      <c r="B769" s="1" t="s">
        <v>1549</v>
      </c>
      <c r="C769" s="3">
        <v>200</v>
      </c>
      <c r="D769" s="3" t="str">
        <f ca="1">IF(B769="","",IFERROR(_xludf.XLOOKUP(_xludf.XLOOKUP(B769,Inventory!$A:$A,Inventory!$B:$B),Blades!$A:$A,Blades!$C:$C)+_xludf.XLOOKUP(_xludf.XLOOKUP(B769,Inventory!$A:$A,Inventory!$C:$C),Motor!$A:$A,Motor!$C:$C)+_xludf.XLOOKUP(_xludf.XLOOKUP(B769,Inventory!$A:$A,Inventory!$D:$D),Frame!$A:$A,Frame!$C:$C)+#REF!,""))</f>
        <v/>
      </c>
      <c r="E769" s="4">
        <v>44717</v>
      </c>
      <c r="F769" s="1" t="s">
        <v>20</v>
      </c>
    </row>
    <row r="770" spans="1:6" x14ac:dyDescent="0.25">
      <c r="A770" s="1" t="s">
        <v>1550</v>
      </c>
      <c r="B770" s="1" t="s">
        <v>1551</v>
      </c>
      <c r="C770" s="3">
        <v>200</v>
      </c>
      <c r="D770" s="3" t="str">
        <f ca="1">IF(B770="","",IFERROR(_xludf.XLOOKUP(_xludf.XLOOKUP(B770,Inventory!$A:$A,Inventory!$B:$B),Blades!$A:$A,Blades!$C:$C)+_xludf.XLOOKUP(_xludf.XLOOKUP(B770,Inventory!$A:$A,Inventory!$C:$C),Motor!$A:$A,Motor!$C:$C)+_xludf.XLOOKUP(_xludf.XLOOKUP(B770,Inventory!$A:$A,Inventory!$D:$D),Frame!$A:$A,Frame!$C:$C)+#REF!,""))</f>
        <v/>
      </c>
      <c r="E770" s="4">
        <v>44719</v>
      </c>
      <c r="F770" s="1" t="s">
        <v>32</v>
      </c>
    </row>
    <row r="771" spans="1:6" x14ac:dyDescent="0.25">
      <c r="A771" s="1" t="s">
        <v>1552</v>
      </c>
      <c r="B771" s="1" t="s">
        <v>1553</v>
      </c>
      <c r="C771" s="3">
        <v>200</v>
      </c>
      <c r="D771" s="3" t="str">
        <f ca="1">IF(B771="","",IFERROR(_xludf.XLOOKUP(_xludf.XLOOKUP(B771,Inventory!$A:$A,Inventory!$B:$B),Blades!$A:$A,Blades!$C:$C)+_xludf.XLOOKUP(_xludf.XLOOKUP(B771,Inventory!$A:$A,Inventory!$C:$C),Motor!$A:$A,Motor!$C:$C)+_xludf.XLOOKUP(_xludf.XLOOKUP(B771,Inventory!$A:$A,Inventory!$D:$D),Frame!$A:$A,Frame!$C:$C)+#REF!,""))</f>
        <v/>
      </c>
      <c r="E771" s="4">
        <v>44719</v>
      </c>
      <c r="F771" s="1" t="s">
        <v>49</v>
      </c>
    </row>
    <row r="772" spans="1:6" x14ac:dyDescent="0.25">
      <c r="A772" s="1" t="s">
        <v>1554</v>
      </c>
      <c r="B772" s="1" t="s">
        <v>1555</v>
      </c>
      <c r="C772" s="3">
        <v>200</v>
      </c>
      <c r="D772" s="3" t="str">
        <f ca="1">IF(B772="","",IFERROR(_xludf.XLOOKUP(_xludf.XLOOKUP(B772,Inventory!$A:$A,Inventory!$B:$B),Blades!$A:$A,Blades!$C:$C)+_xludf.XLOOKUP(_xludf.XLOOKUP(B772,Inventory!$A:$A,Inventory!$C:$C),Motor!$A:$A,Motor!$C:$C)+_xludf.XLOOKUP(_xludf.XLOOKUP(B772,Inventory!$A:$A,Inventory!$D:$D),Frame!$A:$A,Frame!$C:$C)+#REF!,""))</f>
        <v/>
      </c>
      <c r="E772" s="4">
        <v>44719</v>
      </c>
      <c r="F772" s="1" t="s">
        <v>32</v>
      </c>
    </row>
    <row r="773" spans="1:6" x14ac:dyDescent="0.25">
      <c r="A773" s="1" t="s">
        <v>1556</v>
      </c>
      <c r="B773" s="1" t="s">
        <v>1557</v>
      </c>
      <c r="C773" s="3">
        <v>200</v>
      </c>
      <c r="D773" s="3" t="str">
        <f ca="1">IF(B773="","",IFERROR(_xludf.XLOOKUP(_xludf.XLOOKUP(B773,Inventory!$A:$A,Inventory!$B:$B),Blades!$A:$A,Blades!$C:$C)+_xludf.XLOOKUP(_xludf.XLOOKUP(B773,Inventory!$A:$A,Inventory!$C:$C),Motor!$A:$A,Motor!$C:$C)+_xludf.XLOOKUP(_xludf.XLOOKUP(B773,Inventory!$A:$A,Inventory!$D:$D),Frame!$A:$A,Frame!$C:$C)+#REF!,""))</f>
        <v/>
      </c>
      <c r="E773" s="4">
        <v>44720</v>
      </c>
      <c r="F773" s="1" t="s">
        <v>11</v>
      </c>
    </row>
    <row r="774" spans="1:6" x14ac:dyDescent="0.25">
      <c r="A774" s="1" t="s">
        <v>1558</v>
      </c>
      <c r="B774" s="1" t="s">
        <v>1559</v>
      </c>
      <c r="C774" s="3">
        <v>200</v>
      </c>
      <c r="D774" s="3" t="str">
        <f ca="1">IF(B774="","",IFERROR(_xludf.XLOOKUP(_xludf.XLOOKUP(B774,Inventory!$A:$A,Inventory!$B:$B),Blades!$A:$A,Blades!$C:$C)+_xludf.XLOOKUP(_xludf.XLOOKUP(B774,Inventory!$A:$A,Inventory!$C:$C),Motor!$A:$A,Motor!$C:$C)+_xludf.XLOOKUP(_xludf.XLOOKUP(B774,Inventory!$A:$A,Inventory!$D:$D),Frame!$A:$A,Frame!$C:$C)+#REF!,""))</f>
        <v/>
      </c>
      <c r="E774" s="4">
        <v>44721</v>
      </c>
      <c r="F774" s="1" t="s">
        <v>49</v>
      </c>
    </row>
    <row r="775" spans="1:6" x14ac:dyDescent="0.25">
      <c r="A775" s="1" t="s">
        <v>1560</v>
      </c>
      <c r="B775" s="1" t="s">
        <v>1561</v>
      </c>
      <c r="C775" s="3">
        <v>200</v>
      </c>
      <c r="D775" s="3" t="str">
        <f ca="1">IF(B775="","",IFERROR(_xludf.XLOOKUP(_xludf.XLOOKUP(B775,Inventory!$A:$A,Inventory!$B:$B),Blades!$A:$A,Blades!$C:$C)+_xludf.XLOOKUP(_xludf.XLOOKUP(B775,Inventory!$A:$A,Inventory!$C:$C),Motor!$A:$A,Motor!$C:$C)+_xludf.XLOOKUP(_xludf.XLOOKUP(B775,Inventory!$A:$A,Inventory!$D:$D),Frame!$A:$A,Frame!$C:$C)+#REF!,""))</f>
        <v/>
      </c>
      <c r="E775" s="4">
        <v>44722</v>
      </c>
      <c r="F775" s="1" t="s">
        <v>32</v>
      </c>
    </row>
    <row r="776" spans="1:6" x14ac:dyDescent="0.25">
      <c r="A776" s="1" t="s">
        <v>1562</v>
      </c>
      <c r="B776" s="1" t="s">
        <v>1563</v>
      </c>
      <c r="C776" s="3">
        <v>200</v>
      </c>
      <c r="D776" s="3" t="str">
        <f ca="1">IF(B776="","",IFERROR(_xludf.XLOOKUP(_xludf.XLOOKUP(B776,Inventory!$A:$A,Inventory!$B:$B),Blades!$A:$A,Blades!$C:$C)+_xludf.XLOOKUP(_xludf.XLOOKUP(B776,Inventory!$A:$A,Inventory!$C:$C),Motor!$A:$A,Motor!$C:$C)+_xludf.XLOOKUP(_xludf.XLOOKUP(B776,Inventory!$A:$A,Inventory!$D:$D),Frame!$A:$A,Frame!$C:$C)+#REF!,""))</f>
        <v/>
      </c>
      <c r="E776" s="4">
        <v>44723</v>
      </c>
      <c r="F776" s="1" t="s">
        <v>52</v>
      </c>
    </row>
    <row r="777" spans="1:6" x14ac:dyDescent="0.25">
      <c r="A777" s="1" t="s">
        <v>1564</v>
      </c>
      <c r="B777" s="1" t="s">
        <v>1565</v>
      </c>
      <c r="C777" s="3">
        <v>200</v>
      </c>
      <c r="D777" s="3" t="str">
        <f ca="1">IF(B777="","",IFERROR(_xludf.XLOOKUP(_xludf.XLOOKUP(B777,Inventory!$A:$A,Inventory!$B:$B),Blades!$A:$A,Blades!$C:$C)+_xludf.XLOOKUP(_xludf.XLOOKUP(B777,Inventory!$A:$A,Inventory!$C:$C),Motor!$A:$A,Motor!$C:$C)+_xludf.XLOOKUP(_xludf.XLOOKUP(B777,Inventory!$A:$A,Inventory!$D:$D),Frame!$A:$A,Frame!$C:$C)+#REF!,""))</f>
        <v/>
      </c>
      <c r="E777" s="4">
        <v>44724</v>
      </c>
      <c r="F777" s="1" t="s">
        <v>25</v>
      </c>
    </row>
    <row r="778" spans="1:6" x14ac:dyDescent="0.25">
      <c r="A778" s="1" t="s">
        <v>1566</v>
      </c>
      <c r="B778" s="1" t="s">
        <v>1567</v>
      </c>
      <c r="C778" s="3">
        <v>200</v>
      </c>
      <c r="D778" s="3" t="str">
        <f ca="1">IF(B778="","",IFERROR(_xludf.XLOOKUP(_xludf.XLOOKUP(B778,Inventory!$A:$A,Inventory!$B:$B),Blades!$A:$A,Blades!$C:$C)+_xludf.XLOOKUP(_xludf.XLOOKUP(B778,Inventory!$A:$A,Inventory!$C:$C),Motor!$A:$A,Motor!$C:$C)+_xludf.XLOOKUP(_xludf.XLOOKUP(B778,Inventory!$A:$A,Inventory!$D:$D),Frame!$A:$A,Frame!$C:$C)+#REF!,""))</f>
        <v/>
      </c>
      <c r="E778" s="4">
        <v>44724</v>
      </c>
      <c r="F778" s="1" t="s">
        <v>8</v>
      </c>
    </row>
    <row r="779" spans="1:6" x14ac:dyDescent="0.25">
      <c r="A779" s="1" t="s">
        <v>1568</v>
      </c>
      <c r="B779" s="1" t="s">
        <v>1569</v>
      </c>
      <c r="C779" s="3">
        <v>200</v>
      </c>
      <c r="D779" s="3" t="str">
        <f ca="1">IF(B779="","",IFERROR(_xludf.XLOOKUP(_xludf.XLOOKUP(B779,Inventory!$A:$A,Inventory!$B:$B),Blades!$A:$A,Blades!$C:$C)+_xludf.XLOOKUP(_xludf.XLOOKUP(B779,Inventory!$A:$A,Inventory!$C:$C),Motor!$A:$A,Motor!$C:$C)+_xludf.XLOOKUP(_xludf.XLOOKUP(B779,Inventory!$A:$A,Inventory!$D:$D),Frame!$A:$A,Frame!$C:$C)+#REF!,""))</f>
        <v/>
      </c>
      <c r="E779" s="4">
        <v>44724</v>
      </c>
      <c r="F779" s="1" t="s">
        <v>63</v>
      </c>
    </row>
    <row r="780" spans="1:6" x14ac:dyDescent="0.25">
      <c r="A780" s="1" t="s">
        <v>1570</v>
      </c>
      <c r="B780" s="1" t="s">
        <v>1571</v>
      </c>
      <c r="C780" s="3">
        <v>200</v>
      </c>
      <c r="D780" s="3" t="str">
        <f ca="1">IF(B780="","",IFERROR(_xludf.XLOOKUP(_xludf.XLOOKUP(B780,Inventory!$A:$A,Inventory!$B:$B),Blades!$A:$A,Blades!$C:$C)+_xludf.XLOOKUP(_xludf.XLOOKUP(B780,Inventory!$A:$A,Inventory!$C:$C),Motor!$A:$A,Motor!$C:$C)+_xludf.XLOOKUP(_xludf.XLOOKUP(B780,Inventory!$A:$A,Inventory!$D:$D),Frame!$A:$A,Frame!$C:$C)+#REF!,""))</f>
        <v/>
      </c>
      <c r="E780" s="4">
        <v>44724</v>
      </c>
      <c r="F780" s="1" t="s">
        <v>49</v>
      </c>
    </row>
    <row r="781" spans="1:6" x14ac:dyDescent="0.25">
      <c r="A781" s="1" t="s">
        <v>1572</v>
      </c>
      <c r="B781" s="1" t="s">
        <v>1573</v>
      </c>
      <c r="C781" s="3">
        <v>200</v>
      </c>
      <c r="D781" s="3" t="str">
        <f ca="1">IF(B781="","",IFERROR(_xludf.XLOOKUP(_xludf.XLOOKUP(B781,Inventory!$A:$A,Inventory!$B:$B),Blades!$A:$A,Blades!$C:$C)+_xludf.XLOOKUP(_xludf.XLOOKUP(B781,Inventory!$A:$A,Inventory!$C:$C),Motor!$A:$A,Motor!$C:$C)+_xludf.XLOOKUP(_xludf.XLOOKUP(B781,Inventory!$A:$A,Inventory!$D:$D),Frame!$A:$A,Frame!$C:$C)+#REF!,""))</f>
        <v/>
      </c>
      <c r="E781" s="4">
        <v>44725</v>
      </c>
      <c r="F781" s="1" t="s">
        <v>63</v>
      </c>
    </row>
    <row r="782" spans="1:6" x14ac:dyDescent="0.25">
      <c r="A782" s="1" t="s">
        <v>1574</v>
      </c>
      <c r="B782" s="1" t="s">
        <v>1575</v>
      </c>
      <c r="C782" s="3">
        <v>200</v>
      </c>
      <c r="D782" s="3" t="str">
        <f ca="1">IF(B782="","",IFERROR(_xludf.XLOOKUP(_xludf.XLOOKUP(B782,Inventory!$A:$A,Inventory!$B:$B),Blades!$A:$A,Blades!$C:$C)+_xludf.XLOOKUP(_xludf.XLOOKUP(B782,Inventory!$A:$A,Inventory!$C:$C),Motor!$A:$A,Motor!$C:$C)+_xludf.XLOOKUP(_xludf.XLOOKUP(B782,Inventory!$A:$A,Inventory!$D:$D),Frame!$A:$A,Frame!$C:$C)+#REF!,""))</f>
        <v/>
      </c>
      <c r="E782" s="4">
        <v>44725</v>
      </c>
      <c r="F782" s="1" t="s">
        <v>8</v>
      </c>
    </row>
    <row r="783" spans="1:6" x14ac:dyDescent="0.25">
      <c r="A783" s="1" t="s">
        <v>1576</v>
      </c>
      <c r="B783" s="1" t="s">
        <v>1577</v>
      </c>
      <c r="C783" s="3">
        <v>200</v>
      </c>
      <c r="D783" s="3" t="str">
        <f ca="1">IF(B783="","",IFERROR(_xludf.XLOOKUP(_xludf.XLOOKUP(B783,Inventory!$A:$A,Inventory!$B:$B),Blades!$A:$A,Blades!$C:$C)+_xludf.XLOOKUP(_xludf.XLOOKUP(B783,Inventory!$A:$A,Inventory!$C:$C),Motor!$A:$A,Motor!$C:$C)+_xludf.XLOOKUP(_xludf.XLOOKUP(B783,Inventory!$A:$A,Inventory!$D:$D),Frame!$A:$A,Frame!$C:$C)+#REF!,""))</f>
        <v/>
      </c>
      <c r="E783" s="4">
        <v>44725</v>
      </c>
      <c r="F783" s="1" t="s">
        <v>32</v>
      </c>
    </row>
    <row r="784" spans="1:6" x14ac:dyDescent="0.25">
      <c r="A784" s="1" t="s">
        <v>1578</v>
      </c>
      <c r="B784" s="1" t="s">
        <v>1579</v>
      </c>
      <c r="C784" s="3">
        <v>200</v>
      </c>
      <c r="D784" s="3" t="str">
        <f ca="1">IF(B784="","",IFERROR(_xludf.XLOOKUP(_xludf.XLOOKUP(B784,Inventory!$A:$A,Inventory!$B:$B),Blades!$A:$A,Blades!$C:$C)+_xludf.XLOOKUP(_xludf.XLOOKUP(B784,Inventory!$A:$A,Inventory!$C:$C),Motor!$A:$A,Motor!$C:$C)+_xludf.XLOOKUP(_xludf.XLOOKUP(B784,Inventory!$A:$A,Inventory!$D:$D),Frame!$A:$A,Frame!$C:$C)+#REF!,""))</f>
        <v/>
      </c>
      <c r="E784" s="4">
        <v>44725</v>
      </c>
      <c r="F784" s="1" t="s">
        <v>20</v>
      </c>
    </row>
    <row r="785" spans="1:6" x14ac:dyDescent="0.25">
      <c r="A785" s="1" t="s">
        <v>1580</v>
      </c>
      <c r="B785" s="1" t="s">
        <v>1581</v>
      </c>
      <c r="C785" s="3">
        <v>200</v>
      </c>
      <c r="D785" s="3" t="str">
        <f ca="1">IF(B785="","",IFERROR(_xludf.XLOOKUP(_xludf.XLOOKUP(B785,Inventory!$A:$A,Inventory!$B:$B),Blades!$A:$A,Blades!$C:$C)+_xludf.XLOOKUP(_xludf.XLOOKUP(B785,Inventory!$A:$A,Inventory!$C:$C),Motor!$A:$A,Motor!$C:$C)+_xludf.XLOOKUP(_xludf.XLOOKUP(B785,Inventory!$A:$A,Inventory!$D:$D),Frame!$A:$A,Frame!$C:$C)+#REF!,""))</f>
        <v/>
      </c>
      <c r="E785" s="4">
        <v>44726</v>
      </c>
      <c r="F785" s="1" t="s">
        <v>20</v>
      </c>
    </row>
    <row r="786" spans="1:6" x14ac:dyDescent="0.25">
      <c r="A786" s="1" t="s">
        <v>1582</v>
      </c>
      <c r="B786" s="1" t="s">
        <v>1583</v>
      </c>
      <c r="C786" s="3">
        <v>200</v>
      </c>
      <c r="D786" s="3" t="str">
        <f ca="1">IF(B786="","",IFERROR(_xludf.XLOOKUP(_xludf.XLOOKUP(B786,Inventory!$A:$A,Inventory!$B:$B),Blades!$A:$A,Blades!$C:$C)+_xludf.XLOOKUP(_xludf.XLOOKUP(B786,Inventory!$A:$A,Inventory!$C:$C),Motor!$A:$A,Motor!$C:$C)+_xludf.XLOOKUP(_xludf.XLOOKUP(B786,Inventory!$A:$A,Inventory!$D:$D),Frame!$A:$A,Frame!$C:$C)+#REF!,""))</f>
        <v/>
      </c>
      <c r="E786" s="4">
        <v>44727</v>
      </c>
      <c r="F786" s="1" t="s">
        <v>49</v>
      </c>
    </row>
    <row r="787" spans="1:6" x14ac:dyDescent="0.25">
      <c r="A787" s="1" t="s">
        <v>1584</v>
      </c>
      <c r="B787" s="1" t="s">
        <v>1585</v>
      </c>
      <c r="C787" s="3">
        <v>200</v>
      </c>
      <c r="D787" s="3" t="str">
        <f ca="1">IF(B787="","",IFERROR(_xludf.XLOOKUP(_xludf.XLOOKUP(B787,Inventory!$A:$A,Inventory!$B:$B),Blades!$A:$A,Blades!$C:$C)+_xludf.XLOOKUP(_xludf.XLOOKUP(B787,Inventory!$A:$A,Inventory!$C:$C),Motor!$A:$A,Motor!$C:$C)+_xludf.XLOOKUP(_xludf.XLOOKUP(B787,Inventory!$A:$A,Inventory!$D:$D),Frame!$A:$A,Frame!$C:$C)+#REF!,""))</f>
        <v/>
      </c>
      <c r="E787" s="4">
        <v>44727</v>
      </c>
      <c r="F787" s="1" t="s">
        <v>63</v>
      </c>
    </row>
    <row r="788" spans="1:6" x14ac:dyDescent="0.25">
      <c r="A788" s="1" t="s">
        <v>1586</v>
      </c>
      <c r="B788" s="1" t="s">
        <v>1587</v>
      </c>
      <c r="C788" s="3">
        <v>200</v>
      </c>
      <c r="D788" s="3" t="str">
        <f ca="1">IF(B788="","",IFERROR(_xludf.XLOOKUP(_xludf.XLOOKUP(B788,Inventory!$A:$A,Inventory!$B:$B),Blades!$A:$A,Blades!$C:$C)+_xludf.XLOOKUP(_xludf.XLOOKUP(B788,Inventory!$A:$A,Inventory!$C:$C),Motor!$A:$A,Motor!$C:$C)+_xludf.XLOOKUP(_xludf.XLOOKUP(B788,Inventory!$A:$A,Inventory!$D:$D),Frame!$A:$A,Frame!$C:$C)+#REF!,""))</f>
        <v/>
      </c>
      <c r="E788" s="4">
        <v>44729</v>
      </c>
      <c r="F788" s="1" t="s">
        <v>11</v>
      </c>
    </row>
    <row r="789" spans="1:6" x14ac:dyDescent="0.25">
      <c r="A789" s="1" t="s">
        <v>1588</v>
      </c>
      <c r="B789" s="1" t="s">
        <v>1589</v>
      </c>
      <c r="C789" s="3">
        <v>200</v>
      </c>
      <c r="D789" s="3" t="str">
        <f ca="1">IF(B789="","",IFERROR(_xludf.XLOOKUP(_xludf.XLOOKUP(B789,Inventory!$A:$A,Inventory!$B:$B),Blades!$A:$A,Blades!$C:$C)+_xludf.XLOOKUP(_xludf.XLOOKUP(B789,Inventory!$A:$A,Inventory!$C:$C),Motor!$A:$A,Motor!$C:$C)+_xludf.XLOOKUP(_xludf.XLOOKUP(B789,Inventory!$A:$A,Inventory!$D:$D),Frame!$A:$A,Frame!$C:$C)+#REF!,""))</f>
        <v/>
      </c>
      <c r="E789" s="4">
        <v>44729</v>
      </c>
      <c r="F789" s="1" t="s">
        <v>52</v>
      </c>
    </row>
    <row r="790" spans="1:6" x14ac:dyDescent="0.25">
      <c r="A790" s="1" t="s">
        <v>1590</v>
      </c>
      <c r="B790" s="1" t="s">
        <v>1591</v>
      </c>
      <c r="C790" s="3">
        <v>200</v>
      </c>
      <c r="D790" s="3" t="str">
        <f ca="1">IF(B790="","",IFERROR(_xludf.XLOOKUP(_xludf.XLOOKUP(B790,Inventory!$A:$A,Inventory!$B:$B),Blades!$A:$A,Blades!$C:$C)+_xludf.XLOOKUP(_xludf.XLOOKUP(B790,Inventory!$A:$A,Inventory!$C:$C),Motor!$A:$A,Motor!$C:$C)+_xludf.XLOOKUP(_xludf.XLOOKUP(B790,Inventory!$A:$A,Inventory!$D:$D),Frame!$A:$A,Frame!$C:$C)+#REF!,""))</f>
        <v/>
      </c>
      <c r="E790" s="4">
        <v>44729</v>
      </c>
      <c r="F790" s="1" t="s">
        <v>11</v>
      </c>
    </row>
    <row r="791" spans="1:6" x14ac:dyDescent="0.25">
      <c r="A791" s="1" t="s">
        <v>1592</v>
      </c>
      <c r="B791" s="1" t="s">
        <v>1593</v>
      </c>
      <c r="C791" s="3">
        <v>200</v>
      </c>
      <c r="D791" s="3" t="str">
        <f ca="1">IF(B791="","",IFERROR(_xludf.XLOOKUP(_xludf.XLOOKUP(B791,Inventory!$A:$A,Inventory!$B:$B),Blades!$A:$A,Blades!$C:$C)+_xludf.XLOOKUP(_xludf.XLOOKUP(B791,Inventory!$A:$A,Inventory!$C:$C),Motor!$A:$A,Motor!$C:$C)+_xludf.XLOOKUP(_xludf.XLOOKUP(B791,Inventory!$A:$A,Inventory!$D:$D),Frame!$A:$A,Frame!$C:$C)+#REF!,""))</f>
        <v/>
      </c>
      <c r="E791" s="4">
        <v>44731</v>
      </c>
      <c r="F791" s="1" t="s">
        <v>20</v>
      </c>
    </row>
    <row r="792" spans="1:6" x14ac:dyDescent="0.25">
      <c r="A792" s="1" t="s">
        <v>1594</v>
      </c>
      <c r="B792" s="1" t="s">
        <v>1595</v>
      </c>
      <c r="C792" s="3">
        <v>200</v>
      </c>
      <c r="D792" s="3" t="str">
        <f ca="1">IF(B792="","",IFERROR(_xludf.XLOOKUP(_xludf.XLOOKUP(B792,Inventory!$A:$A,Inventory!$B:$B),Blades!$A:$A,Blades!$C:$C)+_xludf.XLOOKUP(_xludf.XLOOKUP(B792,Inventory!$A:$A,Inventory!$C:$C),Motor!$A:$A,Motor!$C:$C)+_xludf.XLOOKUP(_xludf.XLOOKUP(B792,Inventory!$A:$A,Inventory!$D:$D),Frame!$A:$A,Frame!$C:$C)+#REF!,""))</f>
        <v/>
      </c>
      <c r="E792" s="4">
        <v>44731</v>
      </c>
      <c r="F792" s="1" t="s">
        <v>63</v>
      </c>
    </row>
    <row r="793" spans="1:6" x14ac:dyDescent="0.25">
      <c r="A793" s="1" t="s">
        <v>1596</v>
      </c>
      <c r="B793" s="1" t="s">
        <v>1597</v>
      </c>
      <c r="C793" s="3">
        <v>200</v>
      </c>
      <c r="D793" s="3" t="str">
        <f ca="1">IF(B793="","",IFERROR(_xludf.XLOOKUP(_xludf.XLOOKUP(B793,Inventory!$A:$A,Inventory!$B:$B),Blades!$A:$A,Blades!$C:$C)+_xludf.XLOOKUP(_xludf.XLOOKUP(B793,Inventory!$A:$A,Inventory!$C:$C),Motor!$A:$A,Motor!$C:$C)+_xludf.XLOOKUP(_xludf.XLOOKUP(B793,Inventory!$A:$A,Inventory!$D:$D),Frame!$A:$A,Frame!$C:$C)+#REF!,""))</f>
        <v/>
      </c>
      <c r="E793" s="4">
        <v>44731</v>
      </c>
      <c r="F793" s="1" t="s">
        <v>32</v>
      </c>
    </row>
    <row r="794" spans="1:6" x14ac:dyDescent="0.25">
      <c r="A794" s="1" t="s">
        <v>1598</v>
      </c>
      <c r="B794" s="1" t="s">
        <v>1599</v>
      </c>
      <c r="C794" s="3">
        <v>200</v>
      </c>
      <c r="D794" s="3" t="str">
        <f ca="1">IF(B794="","",IFERROR(_xludf.XLOOKUP(_xludf.XLOOKUP(B794,Inventory!$A:$A,Inventory!$B:$B),Blades!$A:$A,Blades!$C:$C)+_xludf.XLOOKUP(_xludf.XLOOKUP(B794,Inventory!$A:$A,Inventory!$C:$C),Motor!$A:$A,Motor!$C:$C)+_xludf.XLOOKUP(_xludf.XLOOKUP(B794,Inventory!$A:$A,Inventory!$D:$D),Frame!$A:$A,Frame!$C:$C)+#REF!,""))</f>
        <v/>
      </c>
      <c r="E794" s="4">
        <v>44733</v>
      </c>
      <c r="F794" s="1" t="s">
        <v>63</v>
      </c>
    </row>
    <row r="795" spans="1:6" x14ac:dyDescent="0.25">
      <c r="A795" s="1" t="s">
        <v>1600</v>
      </c>
      <c r="B795" s="1" t="s">
        <v>1601</v>
      </c>
      <c r="C795" s="3">
        <v>200</v>
      </c>
      <c r="D795" s="3" t="str">
        <f ca="1">IF(B795="","",IFERROR(_xludf.XLOOKUP(_xludf.XLOOKUP(B795,Inventory!$A:$A,Inventory!$B:$B),Blades!$A:$A,Blades!$C:$C)+_xludf.XLOOKUP(_xludf.XLOOKUP(B795,Inventory!$A:$A,Inventory!$C:$C),Motor!$A:$A,Motor!$C:$C)+_xludf.XLOOKUP(_xludf.XLOOKUP(B795,Inventory!$A:$A,Inventory!$D:$D),Frame!$A:$A,Frame!$C:$C)+#REF!,""))</f>
        <v/>
      </c>
      <c r="E795" s="4">
        <v>44733</v>
      </c>
      <c r="F795" s="1" t="s">
        <v>49</v>
      </c>
    </row>
    <row r="796" spans="1:6" x14ac:dyDescent="0.25">
      <c r="A796" s="1" t="s">
        <v>1602</v>
      </c>
      <c r="B796" s="1" t="s">
        <v>1603</v>
      </c>
      <c r="C796" s="3">
        <v>200</v>
      </c>
      <c r="D796" s="3" t="str">
        <f ca="1">IF(B796="","",IFERROR(_xludf.XLOOKUP(_xludf.XLOOKUP(B796,Inventory!$A:$A,Inventory!$B:$B),Blades!$A:$A,Blades!$C:$C)+_xludf.XLOOKUP(_xludf.XLOOKUP(B796,Inventory!$A:$A,Inventory!$C:$C),Motor!$A:$A,Motor!$C:$C)+_xludf.XLOOKUP(_xludf.XLOOKUP(B796,Inventory!$A:$A,Inventory!$D:$D),Frame!$A:$A,Frame!$C:$C)+#REF!,""))</f>
        <v/>
      </c>
      <c r="E796" s="4">
        <v>44734</v>
      </c>
      <c r="F796" s="1" t="s">
        <v>32</v>
      </c>
    </row>
    <row r="797" spans="1:6" x14ac:dyDescent="0.25">
      <c r="A797" s="1" t="s">
        <v>1604</v>
      </c>
      <c r="B797" s="1" t="s">
        <v>1605</v>
      </c>
      <c r="C797" s="3">
        <v>200</v>
      </c>
      <c r="D797" s="3" t="str">
        <f ca="1">IF(B797="","",IFERROR(_xludf.XLOOKUP(_xludf.XLOOKUP(B797,Inventory!$A:$A,Inventory!$B:$B),Blades!$A:$A,Blades!$C:$C)+_xludf.XLOOKUP(_xludf.XLOOKUP(B797,Inventory!$A:$A,Inventory!$C:$C),Motor!$A:$A,Motor!$C:$C)+_xludf.XLOOKUP(_xludf.XLOOKUP(B797,Inventory!$A:$A,Inventory!$D:$D),Frame!$A:$A,Frame!$C:$C)+#REF!,""))</f>
        <v/>
      </c>
      <c r="E797" s="4">
        <v>44735</v>
      </c>
      <c r="F797" s="1" t="s">
        <v>32</v>
      </c>
    </row>
    <row r="798" spans="1:6" x14ac:dyDescent="0.25">
      <c r="A798" s="1" t="s">
        <v>1606</v>
      </c>
      <c r="B798" s="1" t="s">
        <v>1607</v>
      </c>
      <c r="C798" s="3">
        <v>200</v>
      </c>
      <c r="D798" s="3" t="str">
        <f ca="1">IF(B798="","",IFERROR(_xludf.XLOOKUP(_xludf.XLOOKUP(B798,Inventory!$A:$A,Inventory!$B:$B),Blades!$A:$A,Blades!$C:$C)+_xludf.XLOOKUP(_xludf.XLOOKUP(B798,Inventory!$A:$A,Inventory!$C:$C),Motor!$A:$A,Motor!$C:$C)+_xludf.XLOOKUP(_xludf.XLOOKUP(B798,Inventory!$A:$A,Inventory!$D:$D),Frame!$A:$A,Frame!$C:$C)+#REF!,""))</f>
        <v/>
      </c>
      <c r="E798" s="4">
        <v>44736</v>
      </c>
      <c r="F798" s="1" t="s">
        <v>52</v>
      </c>
    </row>
    <row r="799" spans="1:6" x14ac:dyDescent="0.25">
      <c r="A799" s="1" t="s">
        <v>1608</v>
      </c>
      <c r="B799" s="1" t="s">
        <v>1609</v>
      </c>
      <c r="C799" s="3">
        <v>200</v>
      </c>
      <c r="D799" s="3" t="str">
        <f ca="1">IF(B799="","",IFERROR(_xludf.XLOOKUP(_xludf.XLOOKUP(B799,Inventory!$A:$A,Inventory!$B:$B),Blades!$A:$A,Blades!$C:$C)+_xludf.XLOOKUP(_xludf.XLOOKUP(B799,Inventory!$A:$A,Inventory!$C:$C),Motor!$A:$A,Motor!$C:$C)+_xludf.XLOOKUP(_xludf.XLOOKUP(B799,Inventory!$A:$A,Inventory!$D:$D),Frame!$A:$A,Frame!$C:$C)+#REF!,""))</f>
        <v/>
      </c>
      <c r="E799" s="4">
        <v>44737</v>
      </c>
      <c r="F799" s="1" t="s">
        <v>52</v>
      </c>
    </row>
    <row r="800" spans="1:6" x14ac:dyDescent="0.25">
      <c r="A800" s="1" t="s">
        <v>1610</v>
      </c>
      <c r="B800" s="1" t="s">
        <v>1611</v>
      </c>
      <c r="C800" s="3">
        <v>200</v>
      </c>
      <c r="D800" s="3" t="str">
        <f ca="1">IF(B800="","",IFERROR(_xludf.XLOOKUP(_xludf.XLOOKUP(B800,Inventory!$A:$A,Inventory!$B:$B),Blades!$A:$A,Blades!$C:$C)+_xludf.XLOOKUP(_xludf.XLOOKUP(B800,Inventory!$A:$A,Inventory!$C:$C),Motor!$A:$A,Motor!$C:$C)+_xludf.XLOOKUP(_xludf.XLOOKUP(B800,Inventory!$A:$A,Inventory!$D:$D),Frame!$A:$A,Frame!$C:$C)+#REF!,""))</f>
        <v/>
      </c>
      <c r="E800" s="4">
        <v>44738</v>
      </c>
      <c r="F800" s="1" t="s">
        <v>49</v>
      </c>
    </row>
    <row r="801" spans="1:6" x14ac:dyDescent="0.25">
      <c r="A801" s="1" t="s">
        <v>1612</v>
      </c>
      <c r="B801" s="1" t="s">
        <v>1613</v>
      </c>
      <c r="C801" s="3">
        <v>200</v>
      </c>
      <c r="D801" s="3" t="str">
        <f ca="1">IF(B801="","",IFERROR(_xludf.XLOOKUP(_xludf.XLOOKUP(B801,Inventory!$A:$A,Inventory!$B:$B),Blades!$A:$A,Blades!$C:$C)+_xludf.XLOOKUP(_xludf.XLOOKUP(B801,Inventory!$A:$A,Inventory!$C:$C),Motor!$A:$A,Motor!$C:$C)+_xludf.XLOOKUP(_xludf.XLOOKUP(B801,Inventory!$A:$A,Inventory!$D:$D),Frame!$A:$A,Frame!$C:$C)+#REF!,""))</f>
        <v/>
      </c>
      <c r="E801" s="4">
        <v>44739</v>
      </c>
      <c r="F801" s="1" t="s">
        <v>25</v>
      </c>
    </row>
    <row r="802" spans="1:6" x14ac:dyDescent="0.25">
      <c r="A802" s="1" t="s">
        <v>1614</v>
      </c>
      <c r="B802" s="1" t="s">
        <v>1615</v>
      </c>
      <c r="C802" s="3">
        <v>200</v>
      </c>
      <c r="D802" s="3" t="str">
        <f ca="1">IF(B802="","",IFERROR(_xludf.XLOOKUP(_xludf.XLOOKUP(B802,Inventory!$A:$A,Inventory!$B:$B),Blades!$A:$A,Blades!$C:$C)+_xludf.XLOOKUP(_xludf.XLOOKUP(B802,Inventory!$A:$A,Inventory!$C:$C),Motor!$A:$A,Motor!$C:$C)+_xludf.XLOOKUP(_xludf.XLOOKUP(B802,Inventory!$A:$A,Inventory!$D:$D),Frame!$A:$A,Frame!$C:$C)+#REF!,""))</f>
        <v/>
      </c>
      <c r="E802" s="4">
        <v>44739</v>
      </c>
      <c r="F802" s="1" t="s">
        <v>63</v>
      </c>
    </row>
    <row r="803" spans="1:6" x14ac:dyDescent="0.25">
      <c r="A803" s="1" t="s">
        <v>1616</v>
      </c>
      <c r="B803" s="1" t="s">
        <v>1617</v>
      </c>
      <c r="C803" s="3">
        <v>200</v>
      </c>
      <c r="D803" s="3" t="str">
        <f ca="1">IF(B803="","",IFERROR(_xludf.XLOOKUP(_xludf.XLOOKUP(B803,Inventory!$A:$A,Inventory!$B:$B),Blades!$A:$A,Blades!$C:$C)+_xludf.XLOOKUP(_xludf.XLOOKUP(B803,Inventory!$A:$A,Inventory!$C:$C),Motor!$A:$A,Motor!$C:$C)+_xludf.XLOOKUP(_xludf.XLOOKUP(B803,Inventory!$A:$A,Inventory!$D:$D),Frame!$A:$A,Frame!$C:$C)+#REF!,""))</f>
        <v/>
      </c>
      <c r="E803" s="4">
        <v>44741</v>
      </c>
      <c r="F803" s="1" t="s">
        <v>32</v>
      </c>
    </row>
    <row r="804" spans="1:6" x14ac:dyDescent="0.25">
      <c r="A804" s="1" t="s">
        <v>1618</v>
      </c>
      <c r="B804" s="1" t="s">
        <v>1619</v>
      </c>
      <c r="C804" s="3">
        <v>200</v>
      </c>
      <c r="D804" s="3" t="str">
        <f ca="1">IF(B804="","",IFERROR(_xludf.XLOOKUP(_xludf.XLOOKUP(B804,Inventory!$A:$A,Inventory!$B:$B),Blades!$A:$A,Blades!$C:$C)+_xludf.XLOOKUP(_xludf.XLOOKUP(B804,Inventory!$A:$A,Inventory!$C:$C),Motor!$A:$A,Motor!$C:$C)+_xludf.XLOOKUP(_xludf.XLOOKUP(B804,Inventory!$A:$A,Inventory!$D:$D),Frame!$A:$A,Frame!$C:$C)+#REF!,""))</f>
        <v/>
      </c>
      <c r="E804" s="4">
        <v>44741</v>
      </c>
      <c r="F804" s="1" t="s">
        <v>11</v>
      </c>
    </row>
    <row r="805" spans="1:6" x14ac:dyDescent="0.25">
      <c r="A805" s="1" t="s">
        <v>1620</v>
      </c>
      <c r="B805" s="1" t="s">
        <v>1621</v>
      </c>
      <c r="C805" s="3">
        <v>200</v>
      </c>
      <c r="D805" s="3" t="str">
        <f ca="1">IF(B805="","",IFERROR(_xludf.XLOOKUP(_xludf.XLOOKUP(B805,Inventory!$A:$A,Inventory!$B:$B),Blades!$A:$A,Blades!$C:$C)+_xludf.XLOOKUP(_xludf.XLOOKUP(B805,Inventory!$A:$A,Inventory!$C:$C),Motor!$A:$A,Motor!$C:$C)+_xludf.XLOOKUP(_xludf.XLOOKUP(B805,Inventory!$A:$A,Inventory!$D:$D),Frame!$A:$A,Frame!$C:$C)+#REF!,""))</f>
        <v/>
      </c>
      <c r="E805" s="4">
        <v>44742</v>
      </c>
      <c r="F805" s="1" t="s">
        <v>20</v>
      </c>
    </row>
    <row r="806" spans="1:6" x14ac:dyDescent="0.25">
      <c r="A806" s="1" t="s">
        <v>1622</v>
      </c>
      <c r="B806" s="1" t="s">
        <v>1623</v>
      </c>
      <c r="C806" s="3">
        <v>200</v>
      </c>
      <c r="D806" s="3" t="str">
        <f ca="1">IF(B806="","",IFERROR(_xludf.XLOOKUP(_xludf.XLOOKUP(B806,Inventory!$A:$A,Inventory!$B:$B),Blades!$A:$A,Blades!$C:$C)+_xludf.XLOOKUP(_xludf.XLOOKUP(B806,Inventory!$A:$A,Inventory!$C:$C),Motor!$A:$A,Motor!$C:$C)+_xludf.XLOOKUP(_xludf.XLOOKUP(B806,Inventory!$A:$A,Inventory!$D:$D),Frame!$A:$A,Frame!$C:$C)+#REF!,""))</f>
        <v/>
      </c>
      <c r="E806" s="4">
        <v>44743</v>
      </c>
      <c r="F806" s="1" t="s">
        <v>8</v>
      </c>
    </row>
    <row r="807" spans="1:6" x14ac:dyDescent="0.25">
      <c r="A807" s="1" t="s">
        <v>1624</v>
      </c>
      <c r="B807" s="1" t="s">
        <v>1625</v>
      </c>
      <c r="C807" s="3">
        <v>200</v>
      </c>
      <c r="D807" s="3" t="str">
        <f ca="1">IF(B807="","",IFERROR(_xludf.XLOOKUP(_xludf.XLOOKUP(B807,Inventory!$A:$A,Inventory!$B:$B),Blades!$A:$A,Blades!$C:$C)+_xludf.XLOOKUP(_xludf.XLOOKUP(B807,Inventory!$A:$A,Inventory!$C:$C),Motor!$A:$A,Motor!$C:$C)+_xludf.XLOOKUP(_xludf.XLOOKUP(B807,Inventory!$A:$A,Inventory!$D:$D),Frame!$A:$A,Frame!$C:$C)+#REF!,""))</f>
        <v/>
      </c>
      <c r="E807" s="4">
        <v>44743</v>
      </c>
      <c r="F807" s="1" t="s">
        <v>8</v>
      </c>
    </row>
    <row r="808" spans="1:6" x14ac:dyDescent="0.25">
      <c r="A808" s="1" t="s">
        <v>1626</v>
      </c>
      <c r="B808" s="1" t="s">
        <v>1627</v>
      </c>
      <c r="C808" s="3">
        <v>200</v>
      </c>
      <c r="D808" s="3" t="str">
        <f ca="1">IF(B808="","",IFERROR(_xludf.XLOOKUP(_xludf.XLOOKUP(B808,Inventory!$A:$A,Inventory!$B:$B),Blades!$A:$A,Blades!$C:$C)+_xludf.XLOOKUP(_xludf.XLOOKUP(B808,Inventory!$A:$A,Inventory!$C:$C),Motor!$A:$A,Motor!$C:$C)+_xludf.XLOOKUP(_xludf.XLOOKUP(B808,Inventory!$A:$A,Inventory!$D:$D),Frame!$A:$A,Frame!$C:$C)+#REF!,""))</f>
        <v/>
      </c>
      <c r="E808" s="4">
        <v>44744</v>
      </c>
      <c r="F808" s="1" t="s">
        <v>52</v>
      </c>
    </row>
    <row r="809" spans="1:6" x14ac:dyDescent="0.25">
      <c r="A809" s="1" t="s">
        <v>1628</v>
      </c>
      <c r="B809" s="1" t="s">
        <v>1629</v>
      </c>
      <c r="C809" s="3">
        <v>200</v>
      </c>
      <c r="D809" s="3" t="str">
        <f ca="1">IF(B809="","",IFERROR(_xludf.XLOOKUP(_xludf.XLOOKUP(B809,Inventory!$A:$A,Inventory!$B:$B),Blades!$A:$A,Blades!$C:$C)+_xludf.XLOOKUP(_xludf.XLOOKUP(B809,Inventory!$A:$A,Inventory!$C:$C),Motor!$A:$A,Motor!$C:$C)+_xludf.XLOOKUP(_xludf.XLOOKUP(B809,Inventory!$A:$A,Inventory!$D:$D),Frame!$A:$A,Frame!$C:$C)+#REF!,""))</f>
        <v/>
      </c>
      <c r="E809" s="4">
        <v>44744</v>
      </c>
      <c r="F809" s="1" t="s">
        <v>11</v>
      </c>
    </row>
    <row r="810" spans="1:6" x14ac:dyDescent="0.25">
      <c r="A810" s="1" t="s">
        <v>1630</v>
      </c>
      <c r="B810" s="1" t="s">
        <v>1631</v>
      </c>
      <c r="C810" s="3">
        <v>200</v>
      </c>
      <c r="D810" s="3" t="str">
        <f ca="1">IF(B810="","",IFERROR(_xludf.XLOOKUP(_xludf.XLOOKUP(B810,Inventory!$A:$A,Inventory!$B:$B),Blades!$A:$A,Blades!$C:$C)+_xludf.XLOOKUP(_xludf.XLOOKUP(B810,Inventory!$A:$A,Inventory!$C:$C),Motor!$A:$A,Motor!$C:$C)+_xludf.XLOOKUP(_xludf.XLOOKUP(B810,Inventory!$A:$A,Inventory!$D:$D),Frame!$A:$A,Frame!$C:$C)+#REF!,""))</f>
        <v/>
      </c>
      <c r="E810" s="4">
        <v>44745</v>
      </c>
      <c r="F810" s="1" t="s">
        <v>11</v>
      </c>
    </row>
    <row r="811" spans="1:6" x14ac:dyDescent="0.25">
      <c r="A811" s="1" t="s">
        <v>1632</v>
      </c>
      <c r="B811" s="1" t="s">
        <v>1633</v>
      </c>
      <c r="C811" s="3">
        <v>200</v>
      </c>
      <c r="D811" s="3" t="str">
        <f ca="1">IF(B811="","",IFERROR(_xludf.XLOOKUP(_xludf.XLOOKUP(B811,Inventory!$A:$A,Inventory!$B:$B),Blades!$A:$A,Blades!$C:$C)+_xludf.XLOOKUP(_xludf.XLOOKUP(B811,Inventory!$A:$A,Inventory!$C:$C),Motor!$A:$A,Motor!$C:$C)+_xludf.XLOOKUP(_xludf.XLOOKUP(B811,Inventory!$A:$A,Inventory!$D:$D),Frame!$A:$A,Frame!$C:$C)+#REF!,""))</f>
        <v/>
      </c>
      <c r="E811" s="4">
        <v>44745</v>
      </c>
      <c r="F811" s="1" t="s">
        <v>32</v>
      </c>
    </row>
    <row r="812" spans="1:6" x14ac:dyDescent="0.25">
      <c r="A812" s="1" t="s">
        <v>1634</v>
      </c>
      <c r="B812" s="1" t="s">
        <v>1635</v>
      </c>
      <c r="C812" s="3">
        <v>200</v>
      </c>
      <c r="D812" s="3" t="str">
        <f ca="1">IF(B812="","",IFERROR(_xludf.XLOOKUP(_xludf.XLOOKUP(B812,Inventory!$A:$A,Inventory!$B:$B),Blades!$A:$A,Blades!$C:$C)+_xludf.XLOOKUP(_xludf.XLOOKUP(B812,Inventory!$A:$A,Inventory!$C:$C),Motor!$A:$A,Motor!$C:$C)+_xludf.XLOOKUP(_xludf.XLOOKUP(B812,Inventory!$A:$A,Inventory!$D:$D),Frame!$A:$A,Frame!$C:$C)+#REF!,""))</f>
        <v/>
      </c>
      <c r="E812" s="4">
        <v>44745</v>
      </c>
      <c r="F812" s="1" t="s">
        <v>32</v>
      </c>
    </row>
    <row r="813" spans="1:6" x14ac:dyDescent="0.25">
      <c r="A813" s="1" t="s">
        <v>1636</v>
      </c>
      <c r="B813" s="1" t="s">
        <v>1637</v>
      </c>
      <c r="C813" s="3">
        <v>200</v>
      </c>
      <c r="D813" s="3" t="str">
        <f ca="1">IF(B813="","",IFERROR(_xludf.XLOOKUP(_xludf.XLOOKUP(B813,Inventory!$A:$A,Inventory!$B:$B),Blades!$A:$A,Blades!$C:$C)+_xludf.XLOOKUP(_xludf.XLOOKUP(B813,Inventory!$A:$A,Inventory!$C:$C),Motor!$A:$A,Motor!$C:$C)+_xludf.XLOOKUP(_xludf.XLOOKUP(B813,Inventory!$A:$A,Inventory!$D:$D),Frame!$A:$A,Frame!$C:$C)+#REF!,""))</f>
        <v/>
      </c>
      <c r="E813" s="4">
        <v>44745</v>
      </c>
      <c r="F813" s="1" t="s">
        <v>25</v>
      </c>
    </row>
    <row r="814" spans="1:6" x14ac:dyDescent="0.25">
      <c r="A814" s="1" t="s">
        <v>1638</v>
      </c>
      <c r="B814" s="1" t="s">
        <v>1639</v>
      </c>
      <c r="C814" s="3">
        <v>200</v>
      </c>
      <c r="D814" s="3" t="str">
        <f ca="1">IF(B814="","",IFERROR(_xludf.XLOOKUP(_xludf.XLOOKUP(B814,Inventory!$A:$A,Inventory!$B:$B),Blades!$A:$A,Blades!$C:$C)+_xludf.XLOOKUP(_xludf.XLOOKUP(B814,Inventory!$A:$A,Inventory!$C:$C),Motor!$A:$A,Motor!$C:$C)+_xludf.XLOOKUP(_xludf.XLOOKUP(B814,Inventory!$A:$A,Inventory!$D:$D),Frame!$A:$A,Frame!$C:$C)+#REF!,""))</f>
        <v/>
      </c>
      <c r="E814" s="4">
        <v>44748</v>
      </c>
      <c r="F814" s="1" t="s">
        <v>32</v>
      </c>
    </row>
    <row r="815" spans="1:6" x14ac:dyDescent="0.25">
      <c r="A815" s="1" t="s">
        <v>1640</v>
      </c>
      <c r="B815" s="1" t="s">
        <v>1641</v>
      </c>
      <c r="C815" s="3">
        <v>200</v>
      </c>
      <c r="D815" s="3" t="str">
        <f ca="1">IF(B815="","",IFERROR(_xludf.XLOOKUP(_xludf.XLOOKUP(B815,Inventory!$A:$A,Inventory!$B:$B),Blades!$A:$A,Blades!$C:$C)+_xludf.XLOOKUP(_xludf.XLOOKUP(B815,Inventory!$A:$A,Inventory!$C:$C),Motor!$A:$A,Motor!$C:$C)+_xludf.XLOOKUP(_xludf.XLOOKUP(B815,Inventory!$A:$A,Inventory!$D:$D),Frame!$A:$A,Frame!$C:$C)+#REF!,""))</f>
        <v/>
      </c>
      <c r="E815" s="4">
        <v>44750</v>
      </c>
      <c r="F815" s="1" t="s">
        <v>25</v>
      </c>
    </row>
    <row r="816" spans="1:6" x14ac:dyDescent="0.25">
      <c r="A816" s="1" t="s">
        <v>1642</v>
      </c>
      <c r="B816" s="1" t="s">
        <v>1643</v>
      </c>
      <c r="C816" s="3">
        <v>200</v>
      </c>
      <c r="D816" s="3" t="str">
        <f ca="1">IF(B816="","",IFERROR(_xludf.XLOOKUP(_xludf.XLOOKUP(B816,Inventory!$A:$A,Inventory!$B:$B),Blades!$A:$A,Blades!$C:$C)+_xludf.XLOOKUP(_xludf.XLOOKUP(B816,Inventory!$A:$A,Inventory!$C:$C),Motor!$A:$A,Motor!$C:$C)+_xludf.XLOOKUP(_xludf.XLOOKUP(B816,Inventory!$A:$A,Inventory!$D:$D),Frame!$A:$A,Frame!$C:$C)+#REF!,""))</f>
        <v/>
      </c>
      <c r="E816" s="4">
        <v>44750</v>
      </c>
      <c r="F816" s="1" t="s">
        <v>11</v>
      </c>
    </row>
    <row r="817" spans="1:6" x14ac:dyDescent="0.25">
      <c r="A817" s="1" t="s">
        <v>1644</v>
      </c>
      <c r="B817" s="1" t="s">
        <v>1645</v>
      </c>
      <c r="C817" s="3">
        <v>200</v>
      </c>
      <c r="D817" s="3" t="str">
        <f ca="1">IF(B817="","",IFERROR(_xludf.XLOOKUP(_xludf.XLOOKUP(B817,Inventory!$A:$A,Inventory!$B:$B),Blades!$A:$A,Blades!$C:$C)+_xludf.XLOOKUP(_xludf.XLOOKUP(B817,Inventory!$A:$A,Inventory!$C:$C),Motor!$A:$A,Motor!$C:$C)+_xludf.XLOOKUP(_xludf.XLOOKUP(B817,Inventory!$A:$A,Inventory!$D:$D),Frame!$A:$A,Frame!$C:$C)+#REF!,""))</f>
        <v/>
      </c>
      <c r="E817" s="4">
        <v>44752</v>
      </c>
      <c r="F817" s="1" t="s">
        <v>8</v>
      </c>
    </row>
    <row r="818" spans="1:6" x14ac:dyDescent="0.25">
      <c r="A818" s="1" t="s">
        <v>1646</v>
      </c>
      <c r="B818" s="1" t="s">
        <v>1647</v>
      </c>
      <c r="C818" s="3">
        <v>200</v>
      </c>
      <c r="D818" s="3" t="str">
        <f ca="1">IF(B818="","",IFERROR(_xludf.XLOOKUP(_xludf.XLOOKUP(B818,Inventory!$A:$A,Inventory!$B:$B),Blades!$A:$A,Blades!$C:$C)+_xludf.XLOOKUP(_xludf.XLOOKUP(B818,Inventory!$A:$A,Inventory!$C:$C),Motor!$A:$A,Motor!$C:$C)+_xludf.XLOOKUP(_xludf.XLOOKUP(B818,Inventory!$A:$A,Inventory!$D:$D),Frame!$A:$A,Frame!$C:$C)+#REF!,""))</f>
        <v/>
      </c>
      <c r="E818" s="4">
        <v>44752</v>
      </c>
      <c r="F818" s="1" t="s">
        <v>32</v>
      </c>
    </row>
    <row r="819" spans="1:6" x14ac:dyDescent="0.25">
      <c r="A819" s="1" t="s">
        <v>1648</v>
      </c>
      <c r="B819" s="1" t="s">
        <v>1649</v>
      </c>
      <c r="C819" s="3">
        <v>200</v>
      </c>
      <c r="D819" s="3" t="str">
        <f ca="1">IF(B819="","",IFERROR(_xludf.XLOOKUP(_xludf.XLOOKUP(B819,Inventory!$A:$A,Inventory!$B:$B),Blades!$A:$A,Blades!$C:$C)+_xludf.XLOOKUP(_xludf.XLOOKUP(B819,Inventory!$A:$A,Inventory!$C:$C),Motor!$A:$A,Motor!$C:$C)+_xludf.XLOOKUP(_xludf.XLOOKUP(B819,Inventory!$A:$A,Inventory!$D:$D),Frame!$A:$A,Frame!$C:$C)+#REF!,""))</f>
        <v/>
      </c>
      <c r="E819" s="4">
        <v>44752</v>
      </c>
      <c r="F819" s="1" t="s">
        <v>49</v>
      </c>
    </row>
    <row r="820" spans="1:6" x14ac:dyDescent="0.25">
      <c r="A820" s="1" t="s">
        <v>1650</v>
      </c>
      <c r="B820" s="1" t="s">
        <v>1651</v>
      </c>
      <c r="C820" s="3">
        <v>200</v>
      </c>
      <c r="D820" s="3" t="str">
        <f ca="1">IF(B820="","",IFERROR(_xludf.XLOOKUP(_xludf.XLOOKUP(B820,Inventory!$A:$A,Inventory!$B:$B),Blades!$A:$A,Blades!$C:$C)+_xludf.XLOOKUP(_xludf.XLOOKUP(B820,Inventory!$A:$A,Inventory!$C:$C),Motor!$A:$A,Motor!$C:$C)+_xludf.XLOOKUP(_xludf.XLOOKUP(B820,Inventory!$A:$A,Inventory!$D:$D),Frame!$A:$A,Frame!$C:$C)+#REF!,""))</f>
        <v/>
      </c>
      <c r="E820" s="4">
        <v>44753</v>
      </c>
      <c r="F820" s="1" t="s">
        <v>20</v>
      </c>
    </row>
    <row r="821" spans="1:6" x14ac:dyDescent="0.25">
      <c r="A821" s="1" t="s">
        <v>1652</v>
      </c>
      <c r="B821" s="1" t="s">
        <v>1653</v>
      </c>
      <c r="C821" s="3">
        <v>200</v>
      </c>
      <c r="D821" s="3" t="str">
        <f ca="1">IF(B821="","",IFERROR(_xludf.XLOOKUP(_xludf.XLOOKUP(B821,Inventory!$A:$A,Inventory!$B:$B),Blades!$A:$A,Blades!$C:$C)+_xludf.XLOOKUP(_xludf.XLOOKUP(B821,Inventory!$A:$A,Inventory!$C:$C),Motor!$A:$A,Motor!$C:$C)+_xludf.XLOOKUP(_xludf.XLOOKUP(B821,Inventory!$A:$A,Inventory!$D:$D),Frame!$A:$A,Frame!$C:$C)+#REF!,""))</f>
        <v/>
      </c>
      <c r="E821" s="4">
        <v>44754</v>
      </c>
      <c r="F821" s="1" t="s">
        <v>20</v>
      </c>
    </row>
    <row r="822" spans="1:6" x14ac:dyDescent="0.25">
      <c r="A822" s="1" t="s">
        <v>1654</v>
      </c>
      <c r="B822" s="1" t="s">
        <v>1655</v>
      </c>
      <c r="C822" s="3">
        <v>200</v>
      </c>
      <c r="D822" s="3" t="str">
        <f ca="1">IF(B822="","",IFERROR(_xludf.XLOOKUP(_xludf.XLOOKUP(B822,Inventory!$A:$A,Inventory!$B:$B),Blades!$A:$A,Blades!$C:$C)+_xludf.XLOOKUP(_xludf.XLOOKUP(B822,Inventory!$A:$A,Inventory!$C:$C),Motor!$A:$A,Motor!$C:$C)+_xludf.XLOOKUP(_xludf.XLOOKUP(B822,Inventory!$A:$A,Inventory!$D:$D),Frame!$A:$A,Frame!$C:$C)+#REF!,""))</f>
        <v/>
      </c>
      <c r="E822" s="4">
        <v>44754</v>
      </c>
      <c r="F822" s="1" t="s">
        <v>25</v>
      </c>
    </row>
    <row r="823" spans="1:6" x14ac:dyDescent="0.25">
      <c r="A823" s="1" t="s">
        <v>1656</v>
      </c>
      <c r="B823" s="1" t="s">
        <v>1657</v>
      </c>
      <c r="C823" s="3">
        <v>200</v>
      </c>
      <c r="D823" s="3" t="str">
        <f ca="1">IF(B823="","",IFERROR(_xludf.XLOOKUP(_xludf.XLOOKUP(B823,Inventory!$A:$A,Inventory!$B:$B),Blades!$A:$A,Blades!$C:$C)+_xludf.XLOOKUP(_xludf.XLOOKUP(B823,Inventory!$A:$A,Inventory!$C:$C),Motor!$A:$A,Motor!$C:$C)+_xludf.XLOOKUP(_xludf.XLOOKUP(B823,Inventory!$A:$A,Inventory!$D:$D),Frame!$A:$A,Frame!$C:$C)+#REF!,""))</f>
        <v/>
      </c>
      <c r="E823" s="4">
        <v>44754</v>
      </c>
      <c r="F823" s="1" t="s">
        <v>11</v>
      </c>
    </row>
    <row r="824" spans="1:6" x14ac:dyDescent="0.25">
      <c r="A824" s="1" t="s">
        <v>1658</v>
      </c>
      <c r="B824" s="1" t="s">
        <v>1659</v>
      </c>
      <c r="C824" s="3">
        <v>200</v>
      </c>
      <c r="D824" s="3" t="str">
        <f ca="1">IF(B824="","",IFERROR(_xludf.XLOOKUP(_xludf.XLOOKUP(B824,Inventory!$A:$A,Inventory!$B:$B),Blades!$A:$A,Blades!$C:$C)+_xludf.XLOOKUP(_xludf.XLOOKUP(B824,Inventory!$A:$A,Inventory!$C:$C),Motor!$A:$A,Motor!$C:$C)+_xludf.XLOOKUP(_xludf.XLOOKUP(B824,Inventory!$A:$A,Inventory!$D:$D),Frame!$A:$A,Frame!$C:$C)+#REF!,""))</f>
        <v/>
      </c>
      <c r="E824" s="4">
        <v>44755</v>
      </c>
      <c r="F824" s="1" t="s">
        <v>25</v>
      </c>
    </row>
    <row r="825" spans="1:6" x14ac:dyDescent="0.25">
      <c r="A825" s="1" t="s">
        <v>1660</v>
      </c>
      <c r="B825" s="1" t="s">
        <v>1661</v>
      </c>
      <c r="C825" s="3">
        <v>200</v>
      </c>
      <c r="D825" s="3" t="str">
        <f ca="1">IF(B825="","",IFERROR(_xludf.XLOOKUP(_xludf.XLOOKUP(B825,Inventory!$A:$A,Inventory!$B:$B),Blades!$A:$A,Blades!$C:$C)+_xludf.XLOOKUP(_xludf.XLOOKUP(B825,Inventory!$A:$A,Inventory!$C:$C),Motor!$A:$A,Motor!$C:$C)+_xludf.XLOOKUP(_xludf.XLOOKUP(B825,Inventory!$A:$A,Inventory!$D:$D),Frame!$A:$A,Frame!$C:$C)+#REF!,""))</f>
        <v/>
      </c>
      <c r="E825" s="4">
        <v>44755</v>
      </c>
      <c r="F825" s="1" t="s">
        <v>20</v>
      </c>
    </row>
    <row r="826" spans="1:6" x14ac:dyDescent="0.25">
      <c r="A826" s="1" t="s">
        <v>1662</v>
      </c>
      <c r="B826" s="1" t="s">
        <v>1663</v>
      </c>
      <c r="C826" s="3">
        <v>200</v>
      </c>
      <c r="D826" s="3" t="str">
        <f ca="1">IF(B826="","",IFERROR(_xludf.XLOOKUP(_xludf.XLOOKUP(B826,Inventory!$A:$A,Inventory!$B:$B),Blades!$A:$A,Blades!$C:$C)+_xludf.XLOOKUP(_xludf.XLOOKUP(B826,Inventory!$A:$A,Inventory!$C:$C),Motor!$A:$A,Motor!$C:$C)+_xludf.XLOOKUP(_xludf.XLOOKUP(B826,Inventory!$A:$A,Inventory!$D:$D),Frame!$A:$A,Frame!$C:$C)+#REF!,""))</f>
        <v/>
      </c>
      <c r="E826" s="4">
        <v>44757</v>
      </c>
      <c r="F826" s="1" t="s">
        <v>52</v>
      </c>
    </row>
    <row r="827" spans="1:6" x14ac:dyDescent="0.25">
      <c r="A827" s="1" t="s">
        <v>1664</v>
      </c>
      <c r="B827" s="1" t="s">
        <v>1665</v>
      </c>
      <c r="C827" s="3">
        <v>200</v>
      </c>
      <c r="D827" s="3" t="str">
        <f ca="1">IF(B827="","",IFERROR(_xludf.XLOOKUP(_xludf.XLOOKUP(B827,Inventory!$A:$A,Inventory!$B:$B),Blades!$A:$A,Blades!$C:$C)+_xludf.XLOOKUP(_xludf.XLOOKUP(B827,Inventory!$A:$A,Inventory!$C:$C),Motor!$A:$A,Motor!$C:$C)+_xludf.XLOOKUP(_xludf.XLOOKUP(B827,Inventory!$A:$A,Inventory!$D:$D),Frame!$A:$A,Frame!$C:$C)+#REF!,""))</f>
        <v/>
      </c>
      <c r="E827" s="4">
        <v>44757</v>
      </c>
      <c r="F827" s="1" t="s">
        <v>49</v>
      </c>
    </row>
    <row r="828" spans="1:6" x14ac:dyDescent="0.25">
      <c r="A828" s="1" t="s">
        <v>1666</v>
      </c>
      <c r="B828" s="1" t="s">
        <v>1667</v>
      </c>
      <c r="C828" s="3">
        <v>200</v>
      </c>
      <c r="D828" s="3" t="str">
        <f ca="1">IF(B828="","",IFERROR(_xludf.XLOOKUP(_xludf.XLOOKUP(B828,Inventory!$A:$A,Inventory!$B:$B),Blades!$A:$A,Blades!$C:$C)+_xludf.XLOOKUP(_xludf.XLOOKUP(B828,Inventory!$A:$A,Inventory!$C:$C),Motor!$A:$A,Motor!$C:$C)+_xludf.XLOOKUP(_xludf.XLOOKUP(B828,Inventory!$A:$A,Inventory!$D:$D),Frame!$A:$A,Frame!$C:$C)+#REF!,""))</f>
        <v/>
      </c>
      <c r="E828" s="4">
        <v>44758</v>
      </c>
      <c r="F828" s="1" t="s">
        <v>11</v>
      </c>
    </row>
    <row r="829" spans="1:6" x14ac:dyDescent="0.25">
      <c r="A829" s="1" t="s">
        <v>1668</v>
      </c>
      <c r="B829" s="1" t="s">
        <v>1669</v>
      </c>
      <c r="C829" s="3">
        <v>200</v>
      </c>
      <c r="D829" s="3" t="str">
        <f ca="1">IF(B829="","",IFERROR(_xludf.XLOOKUP(_xludf.XLOOKUP(B829,Inventory!$A:$A,Inventory!$B:$B),Blades!$A:$A,Blades!$C:$C)+_xludf.XLOOKUP(_xludf.XLOOKUP(B829,Inventory!$A:$A,Inventory!$C:$C),Motor!$A:$A,Motor!$C:$C)+_xludf.XLOOKUP(_xludf.XLOOKUP(B829,Inventory!$A:$A,Inventory!$D:$D),Frame!$A:$A,Frame!$C:$C)+#REF!,""))</f>
        <v/>
      </c>
      <c r="E829" s="4">
        <v>44759</v>
      </c>
      <c r="F829" s="1" t="s">
        <v>11</v>
      </c>
    </row>
    <row r="830" spans="1:6" x14ac:dyDescent="0.25">
      <c r="A830" s="1" t="s">
        <v>1670</v>
      </c>
      <c r="B830" s="1" t="s">
        <v>1671</v>
      </c>
      <c r="C830" s="3">
        <v>200</v>
      </c>
      <c r="D830" s="3" t="str">
        <f ca="1">IF(B830="","",IFERROR(_xludf.XLOOKUP(_xludf.XLOOKUP(B830,Inventory!$A:$A,Inventory!$B:$B),Blades!$A:$A,Blades!$C:$C)+_xludf.XLOOKUP(_xludf.XLOOKUP(B830,Inventory!$A:$A,Inventory!$C:$C),Motor!$A:$A,Motor!$C:$C)+_xludf.XLOOKUP(_xludf.XLOOKUP(B830,Inventory!$A:$A,Inventory!$D:$D),Frame!$A:$A,Frame!$C:$C)+#REF!,""))</f>
        <v/>
      </c>
      <c r="E830" s="4">
        <v>44760</v>
      </c>
      <c r="F830" s="1" t="s">
        <v>52</v>
      </c>
    </row>
    <row r="831" spans="1:6" x14ac:dyDescent="0.25">
      <c r="A831" s="1" t="s">
        <v>1672</v>
      </c>
      <c r="B831" s="1" t="s">
        <v>1673</v>
      </c>
      <c r="C831" s="3">
        <v>200</v>
      </c>
      <c r="D831" s="3" t="str">
        <f ca="1">IF(B831="","",IFERROR(_xludf.XLOOKUP(_xludf.XLOOKUP(B831,Inventory!$A:$A,Inventory!$B:$B),Blades!$A:$A,Blades!$C:$C)+_xludf.XLOOKUP(_xludf.XLOOKUP(B831,Inventory!$A:$A,Inventory!$C:$C),Motor!$A:$A,Motor!$C:$C)+_xludf.XLOOKUP(_xludf.XLOOKUP(B831,Inventory!$A:$A,Inventory!$D:$D),Frame!$A:$A,Frame!$C:$C)+#REF!,""))</f>
        <v/>
      </c>
      <c r="E831" s="4">
        <v>44760</v>
      </c>
      <c r="F831" s="1" t="s">
        <v>11</v>
      </c>
    </row>
    <row r="832" spans="1:6" x14ac:dyDescent="0.25">
      <c r="A832" s="1" t="s">
        <v>1674</v>
      </c>
      <c r="B832" s="1" t="s">
        <v>1675</v>
      </c>
      <c r="C832" s="3">
        <v>200</v>
      </c>
      <c r="D832" s="3" t="str">
        <f ca="1">IF(B832="","",IFERROR(_xludf.XLOOKUP(_xludf.XLOOKUP(B832,Inventory!$A:$A,Inventory!$B:$B),Blades!$A:$A,Blades!$C:$C)+_xludf.XLOOKUP(_xludf.XLOOKUP(B832,Inventory!$A:$A,Inventory!$C:$C),Motor!$A:$A,Motor!$C:$C)+_xludf.XLOOKUP(_xludf.XLOOKUP(B832,Inventory!$A:$A,Inventory!$D:$D),Frame!$A:$A,Frame!$C:$C)+#REF!,""))</f>
        <v/>
      </c>
      <c r="E832" s="4">
        <v>44762</v>
      </c>
      <c r="F832" s="1" t="s">
        <v>49</v>
      </c>
    </row>
    <row r="833" spans="1:6" x14ac:dyDescent="0.25">
      <c r="A833" s="1" t="s">
        <v>1676</v>
      </c>
      <c r="B833" s="1" t="s">
        <v>1677</v>
      </c>
      <c r="C833" s="3">
        <v>200</v>
      </c>
      <c r="D833" s="3" t="str">
        <f ca="1">IF(B833="","",IFERROR(_xludf.XLOOKUP(_xludf.XLOOKUP(B833,Inventory!$A:$A,Inventory!$B:$B),Blades!$A:$A,Blades!$C:$C)+_xludf.XLOOKUP(_xludf.XLOOKUP(B833,Inventory!$A:$A,Inventory!$C:$C),Motor!$A:$A,Motor!$C:$C)+_xludf.XLOOKUP(_xludf.XLOOKUP(B833,Inventory!$A:$A,Inventory!$D:$D),Frame!$A:$A,Frame!$C:$C)+#REF!,""))</f>
        <v/>
      </c>
      <c r="E833" s="4">
        <v>44763</v>
      </c>
      <c r="F833" s="1" t="s">
        <v>63</v>
      </c>
    </row>
    <row r="834" spans="1:6" x14ac:dyDescent="0.25">
      <c r="A834" s="1" t="s">
        <v>1678</v>
      </c>
      <c r="B834" s="1" t="s">
        <v>1679</v>
      </c>
      <c r="C834" s="3">
        <v>200</v>
      </c>
      <c r="D834" s="3" t="str">
        <f ca="1">IF(B834="","",IFERROR(_xludf.XLOOKUP(_xludf.XLOOKUP(B834,Inventory!$A:$A,Inventory!$B:$B),Blades!$A:$A,Blades!$C:$C)+_xludf.XLOOKUP(_xludf.XLOOKUP(B834,Inventory!$A:$A,Inventory!$C:$C),Motor!$A:$A,Motor!$C:$C)+_xludf.XLOOKUP(_xludf.XLOOKUP(B834,Inventory!$A:$A,Inventory!$D:$D),Frame!$A:$A,Frame!$C:$C)+#REF!,""))</f>
        <v/>
      </c>
      <c r="E834" s="4">
        <v>44763</v>
      </c>
      <c r="F834" s="1" t="s">
        <v>63</v>
      </c>
    </row>
    <row r="835" spans="1:6" x14ac:dyDescent="0.25">
      <c r="A835" s="1" t="s">
        <v>1680</v>
      </c>
      <c r="B835" s="1" t="s">
        <v>1681</v>
      </c>
      <c r="C835" s="3">
        <v>200</v>
      </c>
      <c r="D835" s="3" t="str">
        <f ca="1">IF(B835="","",IFERROR(_xludf.XLOOKUP(_xludf.XLOOKUP(B835,Inventory!$A:$A,Inventory!$B:$B),Blades!$A:$A,Blades!$C:$C)+_xludf.XLOOKUP(_xludf.XLOOKUP(B835,Inventory!$A:$A,Inventory!$C:$C),Motor!$A:$A,Motor!$C:$C)+_xludf.XLOOKUP(_xludf.XLOOKUP(B835,Inventory!$A:$A,Inventory!$D:$D),Frame!$A:$A,Frame!$C:$C)+#REF!,""))</f>
        <v/>
      </c>
      <c r="E835" s="4">
        <v>44764</v>
      </c>
      <c r="F835" s="1" t="s">
        <v>8</v>
      </c>
    </row>
    <row r="836" spans="1:6" x14ac:dyDescent="0.25">
      <c r="A836" s="1" t="s">
        <v>1682</v>
      </c>
      <c r="B836" s="1" t="s">
        <v>1683</v>
      </c>
      <c r="C836" s="3">
        <v>200</v>
      </c>
      <c r="D836" s="3" t="str">
        <f ca="1">IF(B836="","",IFERROR(_xludf.XLOOKUP(_xludf.XLOOKUP(B836,Inventory!$A:$A,Inventory!$B:$B),Blades!$A:$A,Blades!$C:$C)+_xludf.XLOOKUP(_xludf.XLOOKUP(B836,Inventory!$A:$A,Inventory!$C:$C),Motor!$A:$A,Motor!$C:$C)+_xludf.XLOOKUP(_xludf.XLOOKUP(B836,Inventory!$A:$A,Inventory!$D:$D),Frame!$A:$A,Frame!$C:$C)+#REF!,""))</f>
        <v/>
      </c>
      <c r="E836" s="4">
        <v>44764</v>
      </c>
      <c r="F836" s="1" t="s">
        <v>63</v>
      </c>
    </row>
    <row r="837" spans="1:6" x14ac:dyDescent="0.25">
      <c r="A837" s="1" t="s">
        <v>1684</v>
      </c>
      <c r="B837" s="1" t="s">
        <v>1685</v>
      </c>
      <c r="C837" s="3">
        <v>200</v>
      </c>
      <c r="D837" s="3" t="str">
        <f ca="1">IF(B837="","",IFERROR(_xludf.XLOOKUP(_xludf.XLOOKUP(B837,Inventory!$A:$A,Inventory!$B:$B),Blades!$A:$A,Blades!$C:$C)+_xludf.XLOOKUP(_xludf.XLOOKUP(B837,Inventory!$A:$A,Inventory!$C:$C),Motor!$A:$A,Motor!$C:$C)+_xludf.XLOOKUP(_xludf.XLOOKUP(B837,Inventory!$A:$A,Inventory!$D:$D),Frame!$A:$A,Frame!$C:$C)+#REF!,""))</f>
        <v/>
      </c>
      <c r="E837" s="4">
        <v>44764</v>
      </c>
      <c r="F837" s="1" t="s">
        <v>32</v>
      </c>
    </row>
    <row r="838" spans="1:6" x14ac:dyDescent="0.25">
      <c r="A838" s="1" t="s">
        <v>1686</v>
      </c>
      <c r="B838" s="1" t="s">
        <v>1687</v>
      </c>
      <c r="C838" s="3">
        <v>200</v>
      </c>
      <c r="D838" s="3" t="str">
        <f ca="1">IF(B838="","",IFERROR(_xludf.XLOOKUP(_xludf.XLOOKUP(B838,Inventory!$A:$A,Inventory!$B:$B),Blades!$A:$A,Blades!$C:$C)+_xludf.XLOOKUP(_xludf.XLOOKUP(B838,Inventory!$A:$A,Inventory!$C:$C),Motor!$A:$A,Motor!$C:$C)+_xludf.XLOOKUP(_xludf.XLOOKUP(B838,Inventory!$A:$A,Inventory!$D:$D),Frame!$A:$A,Frame!$C:$C)+#REF!,""))</f>
        <v/>
      </c>
      <c r="E838" s="4">
        <v>44767</v>
      </c>
      <c r="F838" s="1" t="s">
        <v>8</v>
      </c>
    </row>
    <row r="839" spans="1:6" x14ac:dyDescent="0.25">
      <c r="A839" s="1" t="s">
        <v>1688</v>
      </c>
      <c r="B839" s="1" t="s">
        <v>1689</v>
      </c>
      <c r="C839" s="3">
        <v>200</v>
      </c>
      <c r="D839" s="3" t="str">
        <f ca="1">IF(B839="","",IFERROR(_xludf.XLOOKUP(_xludf.XLOOKUP(B839,Inventory!$A:$A,Inventory!$B:$B),Blades!$A:$A,Blades!$C:$C)+_xludf.XLOOKUP(_xludf.XLOOKUP(B839,Inventory!$A:$A,Inventory!$C:$C),Motor!$A:$A,Motor!$C:$C)+_xludf.XLOOKUP(_xludf.XLOOKUP(B839,Inventory!$A:$A,Inventory!$D:$D),Frame!$A:$A,Frame!$C:$C)+#REF!,""))</f>
        <v/>
      </c>
      <c r="E839" s="4">
        <v>44767</v>
      </c>
      <c r="F839" s="1" t="s">
        <v>20</v>
      </c>
    </row>
    <row r="840" spans="1:6" x14ac:dyDescent="0.25">
      <c r="A840" s="1" t="s">
        <v>1690</v>
      </c>
      <c r="B840" s="1" t="s">
        <v>1691</v>
      </c>
      <c r="C840" s="3">
        <v>200</v>
      </c>
      <c r="D840" s="3" t="str">
        <f ca="1">IF(B840="","",IFERROR(_xludf.XLOOKUP(_xludf.XLOOKUP(B840,Inventory!$A:$A,Inventory!$B:$B),Blades!$A:$A,Blades!$C:$C)+_xludf.XLOOKUP(_xludf.XLOOKUP(B840,Inventory!$A:$A,Inventory!$C:$C),Motor!$A:$A,Motor!$C:$C)+_xludf.XLOOKUP(_xludf.XLOOKUP(B840,Inventory!$A:$A,Inventory!$D:$D),Frame!$A:$A,Frame!$C:$C)+#REF!,""))</f>
        <v/>
      </c>
      <c r="E840" s="4">
        <v>44769</v>
      </c>
      <c r="F840" s="1" t="s">
        <v>25</v>
      </c>
    </row>
    <row r="841" spans="1:6" x14ac:dyDescent="0.25">
      <c r="A841" s="1" t="s">
        <v>1692</v>
      </c>
      <c r="B841" s="1" t="s">
        <v>1693</v>
      </c>
      <c r="C841" s="3">
        <v>200</v>
      </c>
      <c r="D841" s="3" t="str">
        <f ca="1">IF(B841="","",IFERROR(_xludf.XLOOKUP(_xludf.XLOOKUP(B841,Inventory!$A:$A,Inventory!$B:$B),Blades!$A:$A,Blades!$C:$C)+_xludf.XLOOKUP(_xludf.XLOOKUP(B841,Inventory!$A:$A,Inventory!$C:$C),Motor!$A:$A,Motor!$C:$C)+_xludf.XLOOKUP(_xludf.XLOOKUP(B841,Inventory!$A:$A,Inventory!$D:$D),Frame!$A:$A,Frame!$C:$C)+#REF!,""))</f>
        <v/>
      </c>
      <c r="E841" s="4">
        <v>44770</v>
      </c>
      <c r="F841" s="1" t="s">
        <v>11</v>
      </c>
    </row>
    <row r="842" spans="1:6" x14ac:dyDescent="0.25">
      <c r="A842" s="1" t="s">
        <v>1694</v>
      </c>
      <c r="B842" s="1" t="s">
        <v>1695</v>
      </c>
      <c r="C842" s="3">
        <v>200</v>
      </c>
      <c r="D842" s="3" t="str">
        <f ca="1">IF(B842="","",IFERROR(_xludf.XLOOKUP(_xludf.XLOOKUP(B842,Inventory!$A:$A,Inventory!$B:$B),Blades!$A:$A,Blades!$C:$C)+_xludf.XLOOKUP(_xludf.XLOOKUP(B842,Inventory!$A:$A,Inventory!$C:$C),Motor!$A:$A,Motor!$C:$C)+_xludf.XLOOKUP(_xludf.XLOOKUP(B842,Inventory!$A:$A,Inventory!$D:$D),Frame!$A:$A,Frame!$C:$C)+#REF!,""))</f>
        <v/>
      </c>
      <c r="E842" s="4">
        <v>44771</v>
      </c>
      <c r="F842" s="1" t="s">
        <v>11</v>
      </c>
    </row>
    <row r="843" spans="1:6" x14ac:dyDescent="0.25">
      <c r="A843" s="1" t="s">
        <v>1696</v>
      </c>
      <c r="B843" s="1" t="s">
        <v>1697</v>
      </c>
      <c r="C843" s="3">
        <v>200</v>
      </c>
      <c r="D843" s="3" t="str">
        <f ca="1">IF(B843="","",IFERROR(_xludf.XLOOKUP(_xludf.XLOOKUP(B843,Inventory!$A:$A,Inventory!$B:$B),Blades!$A:$A,Blades!$C:$C)+_xludf.XLOOKUP(_xludf.XLOOKUP(B843,Inventory!$A:$A,Inventory!$C:$C),Motor!$A:$A,Motor!$C:$C)+_xludf.XLOOKUP(_xludf.XLOOKUP(B843,Inventory!$A:$A,Inventory!$D:$D),Frame!$A:$A,Frame!$C:$C)+#REF!,""))</f>
        <v/>
      </c>
      <c r="E843" s="4">
        <v>44772</v>
      </c>
      <c r="F843" s="1" t="s">
        <v>25</v>
      </c>
    </row>
    <row r="844" spans="1:6" x14ac:dyDescent="0.25">
      <c r="A844" s="1" t="s">
        <v>1698</v>
      </c>
      <c r="B844" s="1" t="s">
        <v>1699</v>
      </c>
      <c r="C844" s="3">
        <v>200</v>
      </c>
      <c r="D844" s="3" t="str">
        <f ca="1">IF(B844="","",IFERROR(_xludf.XLOOKUP(_xludf.XLOOKUP(B844,Inventory!$A:$A,Inventory!$B:$B),Blades!$A:$A,Blades!$C:$C)+_xludf.XLOOKUP(_xludf.XLOOKUP(B844,Inventory!$A:$A,Inventory!$C:$C),Motor!$A:$A,Motor!$C:$C)+_xludf.XLOOKUP(_xludf.XLOOKUP(B844,Inventory!$A:$A,Inventory!$D:$D),Frame!$A:$A,Frame!$C:$C)+#REF!,""))</f>
        <v/>
      </c>
      <c r="E844" s="4">
        <v>44773</v>
      </c>
      <c r="F844" s="1" t="s">
        <v>63</v>
      </c>
    </row>
    <row r="845" spans="1:6" x14ac:dyDescent="0.25">
      <c r="A845" s="1" t="s">
        <v>1700</v>
      </c>
      <c r="B845" s="1" t="s">
        <v>1701</v>
      </c>
      <c r="C845" s="3">
        <v>200</v>
      </c>
      <c r="D845" s="3" t="str">
        <f ca="1">IF(B845="","",IFERROR(_xludf.XLOOKUP(_xludf.XLOOKUP(B845,Inventory!$A:$A,Inventory!$B:$B),Blades!$A:$A,Blades!$C:$C)+_xludf.XLOOKUP(_xludf.XLOOKUP(B845,Inventory!$A:$A,Inventory!$C:$C),Motor!$A:$A,Motor!$C:$C)+_xludf.XLOOKUP(_xludf.XLOOKUP(B845,Inventory!$A:$A,Inventory!$D:$D),Frame!$A:$A,Frame!$C:$C)+#REF!,""))</f>
        <v/>
      </c>
      <c r="E845" s="4">
        <v>44773</v>
      </c>
      <c r="F845" s="1" t="s">
        <v>32</v>
      </c>
    </row>
    <row r="846" spans="1:6" x14ac:dyDescent="0.25">
      <c r="A846" s="1" t="s">
        <v>1702</v>
      </c>
      <c r="B846" s="1" t="s">
        <v>1703</v>
      </c>
      <c r="C846" s="3">
        <v>200</v>
      </c>
      <c r="D846" s="3" t="str">
        <f ca="1">IF(B846="","",IFERROR(_xludf.XLOOKUP(_xludf.XLOOKUP(B846,Inventory!$A:$A,Inventory!$B:$B),Blades!$A:$A,Blades!$C:$C)+_xludf.XLOOKUP(_xludf.XLOOKUP(B846,Inventory!$A:$A,Inventory!$C:$C),Motor!$A:$A,Motor!$C:$C)+_xludf.XLOOKUP(_xludf.XLOOKUP(B846,Inventory!$A:$A,Inventory!$D:$D),Frame!$A:$A,Frame!$C:$C)+#REF!,""))</f>
        <v/>
      </c>
      <c r="E846" s="4">
        <v>44776</v>
      </c>
      <c r="F846" s="1" t="s">
        <v>63</v>
      </c>
    </row>
    <row r="847" spans="1:6" x14ac:dyDescent="0.25">
      <c r="A847" s="1" t="s">
        <v>1704</v>
      </c>
      <c r="B847" s="1" t="s">
        <v>1705</v>
      </c>
      <c r="C847" s="3">
        <v>200</v>
      </c>
      <c r="D847" s="3" t="str">
        <f ca="1">IF(B847="","",IFERROR(_xludf.XLOOKUP(_xludf.XLOOKUP(B847,Inventory!$A:$A,Inventory!$B:$B),Blades!$A:$A,Blades!$C:$C)+_xludf.XLOOKUP(_xludf.XLOOKUP(B847,Inventory!$A:$A,Inventory!$C:$C),Motor!$A:$A,Motor!$C:$C)+_xludf.XLOOKUP(_xludf.XLOOKUP(B847,Inventory!$A:$A,Inventory!$D:$D),Frame!$A:$A,Frame!$C:$C)+#REF!,""))</f>
        <v/>
      </c>
      <c r="E847" s="4">
        <v>44776</v>
      </c>
      <c r="F847" s="1" t="s">
        <v>52</v>
      </c>
    </row>
    <row r="848" spans="1:6" x14ac:dyDescent="0.25">
      <c r="A848" s="1" t="s">
        <v>1706</v>
      </c>
      <c r="B848" s="1" t="s">
        <v>1707</v>
      </c>
      <c r="C848" s="3">
        <v>200</v>
      </c>
      <c r="D848" s="3" t="str">
        <f ca="1">IF(B848="","",IFERROR(_xludf.XLOOKUP(_xludf.XLOOKUP(B848,Inventory!$A:$A,Inventory!$B:$B),Blades!$A:$A,Blades!$C:$C)+_xludf.XLOOKUP(_xludf.XLOOKUP(B848,Inventory!$A:$A,Inventory!$C:$C),Motor!$A:$A,Motor!$C:$C)+_xludf.XLOOKUP(_xludf.XLOOKUP(B848,Inventory!$A:$A,Inventory!$D:$D),Frame!$A:$A,Frame!$C:$C)+#REF!,""))</f>
        <v/>
      </c>
      <c r="E848" s="4">
        <v>44776</v>
      </c>
      <c r="F848" s="1" t="s">
        <v>25</v>
      </c>
    </row>
    <row r="849" spans="1:6" x14ac:dyDescent="0.25">
      <c r="A849" s="1" t="s">
        <v>1708</v>
      </c>
      <c r="B849" s="1" t="s">
        <v>1709</v>
      </c>
      <c r="C849" s="3">
        <v>200</v>
      </c>
      <c r="D849" s="3" t="str">
        <f ca="1">IF(B849="","",IFERROR(_xludf.XLOOKUP(_xludf.XLOOKUP(B849,Inventory!$A:$A,Inventory!$B:$B),Blades!$A:$A,Blades!$C:$C)+_xludf.XLOOKUP(_xludf.XLOOKUP(B849,Inventory!$A:$A,Inventory!$C:$C),Motor!$A:$A,Motor!$C:$C)+_xludf.XLOOKUP(_xludf.XLOOKUP(B849,Inventory!$A:$A,Inventory!$D:$D),Frame!$A:$A,Frame!$C:$C)+#REF!,""))</f>
        <v/>
      </c>
      <c r="E849" s="4">
        <v>44780</v>
      </c>
      <c r="F849" s="1" t="s">
        <v>20</v>
      </c>
    </row>
    <row r="850" spans="1:6" x14ac:dyDescent="0.25">
      <c r="A850" s="1" t="s">
        <v>1710</v>
      </c>
      <c r="B850" s="1" t="s">
        <v>1711</v>
      </c>
      <c r="C850" s="3">
        <v>200</v>
      </c>
      <c r="D850" s="3" t="str">
        <f ca="1">IF(B850="","",IFERROR(_xludf.XLOOKUP(_xludf.XLOOKUP(B850,Inventory!$A:$A,Inventory!$B:$B),Blades!$A:$A,Blades!$C:$C)+_xludf.XLOOKUP(_xludf.XLOOKUP(B850,Inventory!$A:$A,Inventory!$C:$C),Motor!$A:$A,Motor!$C:$C)+_xludf.XLOOKUP(_xludf.XLOOKUP(B850,Inventory!$A:$A,Inventory!$D:$D),Frame!$A:$A,Frame!$C:$C)+#REF!,""))</f>
        <v/>
      </c>
      <c r="E850" s="4">
        <v>44783</v>
      </c>
      <c r="F850" s="1" t="s">
        <v>25</v>
      </c>
    </row>
    <row r="851" spans="1:6" x14ac:dyDescent="0.25">
      <c r="A851" s="1" t="s">
        <v>1712</v>
      </c>
      <c r="B851" s="1" t="s">
        <v>1713</v>
      </c>
      <c r="C851" s="3">
        <v>200</v>
      </c>
      <c r="D851" s="3" t="str">
        <f ca="1">IF(B851="","",IFERROR(_xludf.XLOOKUP(_xludf.XLOOKUP(B851,Inventory!$A:$A,Inventory!$B:$B),Blades!$A:$A,Blades!$C:$C)+_xludf.XLOOKUP(_xludf.XLOOKUP(B851,Inventory!$A:$A,Inventory!$C:$C),Motor!$A:$A,Motor!$C:$C)+_xludf.XLOOKUP(_xludf.XLOOKUP(B851,Inventory!$A:$A,Inventory!$D:$D),Frame!$A:$A,Frame!$C:$C)+#REF!,""))</f>
        <v/>
      </c>
      <c r="E851" s="4">
        <v>44784</v>
      </c>
      <c r="F851" s="1" t="s">
        <v>63</v>
      </c>
    </row>
    <row r="852" spans="1:6" x14ac:dyDescent="0.25">
      <c r="A852" s="1" t="s">
        <v>1714</v>
      </c>
      <c r="B852" s="1" t="s">
        <v>1715</v>
      </c>
      <c r="C852" s="3">
        <v>200</v>
      </c>
      <c r="D852" s="3" t="str">
        <f ca="1">IF(B852="","",IFERROR(_xludf.XLOOKUP(_xludf.XLOOKUP(B852,Inventory!$A:$A,Inventory!$B:$B),Blades!$A:$A,Blades!$C:$C)+_xludf.XLOOKUP(_xludf.XLOOKUP(B852,Inventory!$A:$A,Inventory!$C:$C),Motor!$A:$A,Motor!$C:$C)+_xludf.XLOOKUP(_xludf.XLOOKUP(B852,Inventory!$A:$A,Inventory!$D:$D),Frame!$A:$A,Frame!$C:$C)+#REF!,""))</f>
        <v/>
      </c>
      <c r="E852" s="4">
        <v>44785</v>
      </c>
      <c r="F852" s="1" t="s">
        <v>49</v>
      </c>
    </row>
    <row r="853" spans="1:6" x14ac:dyDescent="0.25">
      <c r="A853" s="1" t="s">
        <v>1716</v>
      </c>
      <c r="B853" s="1" t="s">
        <v>1717</v>
      </c>
      <c r="C853" s="3">
        <v>200</v>
      </c>
      <c r="D853" s="3" t="str">
        <f ca="1">IF(B853="","",IFERROR(_xludf.XLOOKUP(_xludf.XLOOKUP(B853,Inventory!$A:$A,Inventory!$B:$B),Blades!$A:$A,Blades!$C:$C)+_xludf.XLOOKUP(_xludf.XLOOKUP(B853,Inventory!$A:$A,Inventory!$C:$C),Motor!$A:$A,Motor!$C:$C)+_xludf.XLOOKUP(_xludf.XLOOKUP(B853,Inventory!$A:$A,Inventory!$D:$D),Frame!$A:$A,Frame!$C:$C)+#REF!,""))</f>
        <v/>
      </c>
      <c r="E853" s="4">
        <v>44786</v>
      </c>
      <c r="F853" s="1" t="s">
        <v>52</v>
      </c>
    </row>
    <row r="854" spans="1:6" x14ac:dyDescent="0.25">
      <c r="A854" s="1" t="s">
        <v>1718</v>
      </c>
      <c r="B854" s="1" t="s">
        <v>1719</v>
      </c>
      <c r="C854" s="3">
        <v>200</v>
      </c>
      <c r="D854" s="3" t="str">
        <f ca="1">IF(B854="","",IFERROR(_xludf.XLOOKUP(_xludf.XLOOKUP(B854,Inventory!$A:$A,Inventory!$B:$B),Blades!$A:$A,Blades!$C:$C)+_xludf.XLOOKUP(_xludf.XLOOKUP(B854,Inventory!$A:$A,Inventory!$C:$C),Motor!$A:$A,Motor!$C:$C)+_xludf.XLOOKUP(_xludf.XLOOKUP(B854,Inventory!$A:$A,Inventory!$D:$D),Frame!$A:$A,Frame!$C:$C)+#REF!,""))</f>
        <v/>
      </c>
      <c r="E854" s="4">
        <v>44789</v>
      </c>
      <c r="F854" s="1" t="s">
        <v>32</v>
      </c>
    </row>
    <row r="855" spans="1:6" x14ac:dyDescent="0.25">
      <c r="A855" s="1" t="s">
        <v>1720</v>
      </c>
      <c r="B855" s="1" t="s">
        <v>1721</v>
      </c>
      <c r="C855" s="3">
        <v>200</v>
      </c>
      <c r="D855" s="3" t="str">
        <f ca="1">IF(B855="","",IFERROR(_xludf.XLOOKUP(_xludf.XLOOKUP(B855,Inventory!$A:$A,Inventory!$B:$B),Blades!$A:$A,Blades!$C:$C)+_xludf.XLOOKUP(_xludf.XLOOKUP(B855,Inventory!$A:$A,Inventory!$C:$C),Motor!$A:$A,Motor!$C:$C)+_xludf.XLOOKUP(_xludf.XLOOKUP(B855,Inventory!$A:$A,Inventory!$D:$D),Frame!$A:$A,Frame!$C:$C)+#REF!,""))</f>
        <v/>
      </c>
      <c r="E855" s="4">
        <v>44790</v>
      </c>
      <c r="F855" s="1" t="s">
        <v>63</v>
      </c>
    </row>
    <row r="856" spans="1:6" x14ac:dyDescent="0.25">
      <c r="A856" s="1" t="s">
        <v>1722</v>
      </c>
      <c r="B856" s="1" t="s">
        <v>1723</v>
      </c>
      <c r="C856" s="3">
        <v>200</v>
      </c>
      <c r="D856" s="3" t="str">
        <f ca="1">IF(B856="","",IFERROR(_xludf.XLOOKUP(_xludf.XLOOKUP(B856,Inventory!$A:$A,Inventory!$B:$B),Blades!$A:$A,Blades!$C:$C)+_xludf.XLOOKUP(_xludf.XLOOKUP(B856,Inventory!$A:$A,Inventory!$C:$C),Motor!$A:$A,Motor!$C:$C)+_xludf.XLOOKUP(_xludf.XLOOKUP(B856,Inventory!$A:$A,Inventory!$D:$D),Frame!$A:$A,Frame!$C:$C)+#REF!,""))</f>
        <v/>
      </c>
      <c r="E856" s="4">
        <v>44790</v>
      </c>
      <c r="F856" s="1" t="s">
        <v>63</v>
      </c>
    </row>
    <row r="857" spans="1:6" x14ac:dyDescent="0.25">
      <c r="A857" s="1" t="s">
        <v>1724</v>
      </c>
      <c r="B857" s="1" t="s">
        <v>1725</v>
      </c>
      <c r="C857" s="3">
        <v>200</v>
      </c>
      <c r="D857" s="3" t="str">
        <f ca="1">IF(B857="","",IFERROR(_xludf.XLOOKUP(_xludf.XLOOKUP(B857,Inventory!$A:$A,Inventory!$B:$B),Blades!$A:$A,Blades!$C:$C)+_xludf.XLOOKUP(_xludf.XLOOKUP(B857,Inventory!$A:$A,Inventory!$C:$C),Motor!$A:$A,Motor!$C:$C)+_xludf.XLOOKUP(_xludf.XLOOKUP(B857,Inventory!$A:$A,Inventory!$D:$D),Frame!$A:$A,Frame!$C:$C)+#REF!,""))</f>
        <v/>
      </c>
      <c r="E857" s="4">
        <v>44792</v>
      </c>
      <c r="F857" s="1" t="s">
        <v>8</v>
      </c>
    </row>
    <row r="858" spans="1:6" x14ac:dyDescent="0.25">
      <c r="A858" s="1" t="s">
        <v>1726</v>
      </c>
      <c r="B858" s="1" t="s">
        <v>1727</v>
      </c>
      <c r="C858" s="3">
        <v>200</v>
      </c>
      <c r="D858" s="3" t="str">
        <f ca="1">IF(B858="","",IFERROR(_xludf.XLOOKUP(_xludf.XLOOKUP(B858,Inventory!$A:$A,Inventory!$B:$B),Blades!$A:$A,Blades!$C:$C)+_xludf.XLOOKUP(_xludf.XLOOKUP(B858,Inventory!$A:$A,Inventory!$C:$C),Motor!$A:$A,Motor!$C:$C)+_xludf.XLOOKUP(_xludf.XLOOKUP(B858,Inventory!$A:$A,Inventory!$D:$D),Frame!$A:$A,Frame!$C:$C)+#REF!,""))</f>
        <v/>
      </c>
      <c r="E858" s="4">
        <v>44793</v>
      </c>
      <c r="F858" s="1" t="s">
        <v>49</v>
      </c>
    </row>
    <row r="859" spans="1:6" x14ac:dyDescent="0.25">
      <c r="A859" s="1" t="s">
        <v>1728</v>
      </c>
      <c r="B859" s="1" t="s">
        <v>1729</v>
      </c>
      <c r="C859" s="3">
        <v>200</v>
      </c>
      <c r="D859" s="3" t="str">
        <f ca="1">IF(B859="","",IFERROR(_xludf.XLOOKUP(_xludf.XLOOKUP(B859,Inventory!$A:$A,Inventory!$B:$B),Blades!$A:$A,Blades!$C:$C)+_xludf.XLOOKUP(_xludf.XLOOKUP(B859,Inventory!$A:$A,Inventory!$C:$C),Motor!$A:$A,Motor!$C:$C)+_xludf.XLOOKUP(_xludf.XLOOKUP(B859,Inventory!$A:$A,Inventory!$D:$D),Frame!$A:$A,Frame!$C:$C)+#REF!,""))</f>
        <v/>
      </c>
      <c r="E859" s="4">
        <v>44793</v>
      </c>
      <c r="F859" s="1" t="s">
        <v>25</v>
      </c>
    </row>
    <row r="860" spans="1:6" x14ac:dyDescent="0.25">
      <c r="A860" s="1" t="s">
        <v>1730</v>
      </c>
      <c r="B860" s="1" t="s">
        <v>1731</v>
      </c>
      <c r="C860" s="3">
        <v>200</v>
      </c>
      <c r="D860" s="3" t="str">
        <f ca="1">IF(B860="","",IFERROR(_xludf.XLOOKUP(_xludf.XLOOKUP(B860,Inventory!$A:$A,Inventory!$B:$B),Blades!$A:$A,Blades!$C:$C)+_xludf.XLOOKUP(_xludf.XLOOKUP(B860,Inventory!$A:$A,Inventory!$C:$C),Motor!$A:$A,Motor!$C:$C)+_xludf.XLOOKUP(_xludf.XLOOKUP(B860,Inventory!$A:$A,Inventory!$D:$D),Frame!$A:$A,Frame!$C:$C)+#REF!,""))</f>
        <v/>
      </c>
      <c r="E860" s="4">
        <v>44793</v>
      </c>
      <c r="F860" s="1" t="s">
        <v>52</v>
      </c>
    </row>
    <row r="861" spans="1:6" x14ac:dyDescent="0.25">
      <c r="A861" s="1" t="s">
        <v>1732</v>
      </c>
      <c r="B861" s="1" t="s">
        <v>1733</v>
      </c>
      <c r="C861" s="3">
        <v>200</v>
      </c>
      <c r="D861" s="3" t="str">
        <f ca="1">IF(B861="","",IFERROR(_xludf.XLOOKUP(_xludf.XLOOKUP(B861,Inventory!$A:$A,Inventory!$B:$B),Blades!$A:$A,Blades!$C:$C)+_xludf.XLOOKUP(_xludf.XLOOKUP(B861,Inventory!$A:$A,Inventory!$C:$C),Motor!$A:$A,Motor!$C:$C)+_xludf.XLOOKUP(_xludf.XLOOKUP(B861,Inventory!$A:$A,Inventory!$D:$D),Frame!$A:$A,Frame!$C:$C)+#REF!,""))</f>
        <v/>
      </c>
      <c r="E861" s="4">
        <v>44793</v>
      </c>
      <c r="F861" s="1" t="s">
        <v>49</v>
      </c>
    </row>
    <row r="862" spans="1:6" x14ac:dyDescent="0.25">
      <c r="A862" s="1" t="s">
        <v>1734</v>
      </c>
      <c r="B862" s="1" t="s">
        <v>1735</v>
      </c>
      <c r="C862" s="3">
        <v>200</v>
      </c>
      <c r="D862" s="3" t="str">
        <f ca="1">IF(B862="","",IFERROR(_xludf.XLOOKUP(_xludf.XLOOKUP(B862,Inventory!$A:$A,Inventory!$B:$B),Blades!$A:$A,Blades!$C:$C)+_xludf.XLOOKUP(_xludf.XLOOKUP(B862,Inventory!$A:$A,Inventory!$C:$C),Motor!$A:$A,Motor!$C:$C)+_xludf.XLOOKUP(_xludf.XLOOKUP(B862,Inventory!$A:$A,Inventory!$D:$D),Frame!$A:$A,Frame!$C:$C)+#REF!,""))</f>
        <v/>
      </c>
      <c r="E862" s="4">
        <v>44795</v>
      </c>
      <c r="F862" s="1" t="s">
        <v>52</v>
      </c>
    </row>
    <row r="863" spans="1:6" x14ac:dyDescent="0.25">
      <c r="A863" s="1" t="s">
        <v>1736</v>
      </c>
      <c r="B863" s="1" t="s">
        <v>1737</v>
      </c>
      <c r="C863" s="3">
        <v>200</v>
      </c>
      <c r="D863" s="3" t="str">
        <f ca="1">IF(B863="","",IFERROR(_xludf.XLOOKUP(_xludf.XLOOKUP(B863,Inventory!$A:$A,Inventory!$B:$B),Blades!$A:$A,Blades!$C:$C)+_xludf.XLOOKUP(_xludf.XLOOKUP(B863,Inventory!$A:$A,Inventory!$C:$C),Motor!$A:$A,Motor!$C:$C)+_xludf.XLOOKUP(_xludf.XLOOKUP(B863,Inventory!$A:$A,Inventory!$D:$D),Frame!$A:$A,Frame!$C:$C)+#REF!,""))</f>
        <v/>
      </c>
      <c r="E863" s="4">
        <v>44796</v>
      </c>
      <c r="F863" s="1" t="s">
        <v>49</v>
      </c>
    </row>
    <row r="864" spans="1:6" x14ac:dyDescent="0.25">
      <c r="A864" s="1" t="s">
        <v>1738</v>
      </c>
      <c r="B864" s="1" t="s">
        <v>1739</v>
      </c>
      <c r="C864" s="3">
        <v>200</v>
      </c>
      <c r="D864" s="3" t="str">
        <f ca="1">IF(B864="","",IFERROR(_xludf.XLOOKUP(_xludf.XLOOKUP(B864,Inventory!$A:$A,Inventory!$B:$B),Blades!$A:$A,Blades!$C:$C)+_xludf.XLOOKUP(_xludf.XLOOKUP(B864,Inventory!$A:$A,Inventory!$C:$C),Motor!$A:$A,Motor!$C:$C)+_xludf.XLOOKUP(_xludf.XLOOKUP(B864,Inventory!$A:$A,Inventory!$D:$D),Frame!$A:$A,Frame!$C:$C)+#REF!,""))</f>
        <v/>
      </c>
      <c r="E864" s="4">
        <v>44798</v>
      </c>
      <c r="F864" s="1" t="s">
        <v>49</v>
      </c>
    </row>
    <row r="865" spans="1:6" x14ac:dyDescent="0.25">
      <c r="A865" s="1" t="s">
        <v>1740</v>
      </c>
      <c r="B865" s="1" t="s">
        <v>1741</v>
      </c>
      <c r="C865" s="3">
        <v>200</v>
      </c>
      <c r="D865" s="3" t="str">
        <f ca="1">IF(B865="","",IFERROR(_xludf.XLOOKUP(_xludf.XLOOKUP(B865,Inventory!$A:$A,Inventory!$B:$B),Blades!$A:$A,Blades!$C:$C)+_xludf.XLOOKUP(_xludf.XLOOKUP(B865,Inventory!$A:$A,Inventory!$C:$C),Motor!$A:$A,Motor!$C:$C)+_xludf.XLOOKUP(_xludf.XLOOKUP(B865,Inventory!$A:$A,Inventory!$D:$D),Frame!$A:$A,Frame!$C:$C)+#REF!,""))</f>
        <v/>
      </c>
      <c r="E865" s="4">
        <v>44798</v>
      </c>
      <c r="F865" s="1" t="s">
        <v>52</v>
      </c>
    </row>
    <row r="866" spans="1:6" x14ac:dyDescent="0.25">
      <c r="A866" s="1" t="s">
        <v>1742</v>
      </c>
      <c r="B866" s="1" t="s">
        <v>1743</v>
      </c>
      <c r="C866" s="3">
        <v>200</v>
      </c>
      <c r="D866" s="3" t="str">
        <f ca="1">IF(B866="","",IFERROR(_xludf.XLOOKUP(_xludf.XLOOKUP(B866,Inventory!$A:$A,Inventory!$B:$B),Blades!$A:$A,Blades!$C:$C)+_xludf.XLOOKUP(_xludf.XLOOKUP(B866,Inventory!$A:$A,Inventory!$C:$C),Motor!$A:$A,Motor!$C:$C)+_xludf.XLOOKUP(_xludf.XLOOKUP(B866,Inventory!$A:$A,Inventory!$D:$D),Frame!$A:$A,Frame!$C:$C)+#REF!,""))</f>
        <v/>
      </c>
      <c r="E866" s="4">
        <v>44799</v>
      </c>
      <c r="F866" s="1" t="s">
        <v>63</v>
      </c>
    </row>
    <row r="867" spans="1:6" x14ac:dyDescent="0.25">
      <c r="A867" s="1" t="s">
        <v>1744</v>
      </c>
      <c r="B867" s="1" t="s">
        <v>1745</v>
      </c>
      <c r="C867" s="3">
        <v>200</v>
      </c>
      <c r="D867" s="3" t="str">
        <f ca="1">IF(B867="","",IFERROR(_xludf.XLOOKUP(_xludf.XLOOKUP(B867,Inventory!$A:$A,Inventory!$B:$B),Blades!$A:$A,Blades!$C:$C)+_xludf.XLOOKUP(_xludf.XLOOKUP(B867,Inventory!$A:$A,Inventory!$C:$C),Motor!$A:$A,Motor!$C:$C)+_xludf.XLOOKUP(_xludf.XLOOKUP(B867,Inventory!$A:$A,Inventory!$D:$D),Frame!$A:$A,Frame!$C:$C)+#REF!,""))</f>
        <v/>
      </c>
      <c r="E867" s="4">
        <v>44799</v>
      </c>
      <c r="F867" s="1" t="s">
        <v>49</v>
      </c>
    </row>
    <row r="868" spans="1:6" x14ac:dyDescent="0.25">
      <c r="A868" s="1" t="s">
        <v>1746</v>
      </c>
      <c r="B868" s="1" t="s">
        <v>1747</v>
      </c>
      <c r="C868" s="3">
        <v>200</v>
      </c>
      <c r="D868" s="3" t="str">
        <f ca="1">IF(B868="","",IFERROR(_xludf.XLOOKUP(_xludf.XLOOKUP(B868,Inventory!$A:$A,Inventory!$B:$B),Blades!$A:$A,Blades!$C:$C)+_xludf.XLOOKUP(_xludf.XLOOKUP(B868,Inventory!$A:$A,Inventory!$C:$C),Motor!$A:$A,Motor!$C:$C)+_xludf.XLOOKUP(_xludf.XLOOKUP(B868,Inventory!$A:$A,Inventory!$D:$D),Frame!$A:$A,Frame!$C:$C)+#REF!,""))</f>
        <v/>
      </c>
      <c r="E868" s="4">
        <v>44800</v>
      </c>
      <c r="F868" s="1" t="s">
        <v>8</v>
      </c>
    </row>
    <row r="869" spans="1:6" x14ac:dyDescent="0.25">
      <c r="A869" s="1" t="s">
        <v>1748</v>
      </c>
      <c r="B869" s="1" t="s">
        <v>1749</v>
      </c>
      <c r="C869" s="3">
        <v>200</v>
      </c>
      <c r="D869" s="3" t="str">
        <f ca="1">IF(B869="","",IFERROR(_xludf.XLOOKUP(_xludf.XLOOKUP(B869,Inventory!$A:$A,Inventory!$B:$B),Blades!$A:$A,Blades!$C:$C)+_xludf.XLOOKUP(_xludf.XLOOKUP(B869,Inventory!$A:$A,Inventory!$C:$C),Motor!$A:$A,Motor!$C:$C)+_xludf.XLOOKUP(_xludf.XLOOKUP(B869,Inventory!$A:$A,Inventory!$D:$D),Frame!$A:$A,Frame!$C:$C)+#REF!,""))</f>
        <v/>
      </c>
      <c r="E869" s="4">
        <v>44800</v>
      </c>
      <c r="F869" s="1" t="s">
        <v>25</v>
      </c>
    </row>
    <row r="870" spans="1:6" x14ac:dyDescent="0.25">
      <c r="A870" s="1" t="s">
        <v>1750</v>
      </c>
      <c r="B870" s="1" t="s">
        <v>1751</v>
      </c>
      <c r="C870" s="3">
        <v>200</v>
      </c>
      <c r="D870" s="3" t="str">
        <f ca="1">IF(B870="","",IFERROR(_xludf.XLOOKUP(_xludf.XLOOKUP(B870,Inventory!$A:$A,Inventory!$B:$B),Blades!$A:$A,Blades!$C:$C)+_xludf.XLOOKUP(_xludf.XLOOKUP(B870,Inventory!$A:$A,Inventory!$C:$C),Motor!$A:$A,Motor!$C:$C)+_xludf.XLOOKUP(_xludf.XLOOKUP(B870,Inventory!$A:$A,Inventory!$D:$D),Frame!$A:$A,Frame!$C:$C)+#REF!,""))</f>
        <v/>
      </c>
      <c r="E870" s="4">
        <v>44803</v>
      </c>
      <c r="F870" s="1" t="s">
        <v>63</v>
      </c>
    </row>
    <row r="871" spans="1:6" x14ac:dyDescent="0.25">
      <c r="A871" s="1" t="s">
        <v>1752</v>
      </c>
      <c r="B871" s="1" t="s">
        <v>1753</v>
      </c>
      <c r="C871" s="3">
        <v>200</v>
      </c>
      <c r="D871" s="3" t="str">
        <f ca="1">IF(B871="","",IFERROR(_xludf.XLOOKUP(_xludf.XLOOKUP(B871,Inventory!$A:$A,Inventory!$B:$B),Blades!$A:$A,Blades!$C:$C)+_xludf.XLOOKUP(_xludf.XLOOKUP(B871,Inventory!$A:$A,Inventory!$C:$C),Motor!$A:$A,Motor!$C:$C)+_xludf.XLOOKUP(_xludf.XLOOKUP(B871,Inventory!$A:$A,Inventory!$D:$D),Frame!$A:$A,Frame!$C:$C)+#REF!,""))</f>
        <v/>
      </c>
      <c r="E871" s="4">
        <v>44806</v>
      </c>
      <c r="F871" s="1" t="s">
        <v>63</v>
      </c>
    </row>
    <row r="872" spans="1:6" x14ac:dyDescent="0.25">
      <c r="A872" s="1" t="s">
        <v>1754</v>
      </c>
      <c r="B872" s="1" t="s">
        <v>1755</v>
      </c>
      <c r="C872" s="3">
        <v>200</v>
      </c>
      <c r="D872" s="3" t="str">
        <f ca="1">IF(B872="","",IFERROR(_xludf.XLOOKUP(_xludf.XLOOKUP(B872,Inventory!$A:$A,Inventory!$B:$B),Blades!$A:$A,Blades!$C:$C)+_xludf.XLOOKUP(_xludf.XLOOKUP(B872,Inventory!$A:$A,Inventory!$C:$C),Motor!$A:$A,Motor!$C:$C)+_xludf.XLOOKUP(_xludf.XLOOKUP(B872,Inventory!$A:$A,Inventory!$D:$D),Frame!$A:$A,Frame!$C:$C)+#REF!,""))</f>
        <v/>
      </c>
      <c r="E872" s="4">
        <v>44807</v>
      </c>
      <c r="F872" s="1" t="s">
        <v>20</v>
      </c>
    </row>
    <row r="873" spans="1:6" x14ac:dyDescent="0.25">
      <c r="A873" s="1" t="s">
        <v>1756</v>
      </c>
      <c r="B873" s="1" t="s">
        <v>1757</v>
      </c>
      <c r="C873" s="3">
        <v>200</v>
      </c>
      <c r="D873" s="3" t="str">
        <f ca="1">IF(B873="","",IFERROR(_xludf.XLOOKUP(_xludf.XLOOKUP(B873,Inventory!$A:$A,Inventory!$B:$B),Blades!$A:$A,Blades!$C:$C)+_xludf.XLOOKUP(_xludf.XLOOKUP(B873,Inventory!$A:$A,Inventory!$C:$C),Motor!$A:$A,Motor!$C:$C)+_xludf.XLOOKUP(_xludf.XLOOKUP(B873,Inventory!$A:$A,Inventory!$D:$D),Frame!$A:$A,Frame!$C:$C)+#REF!,""))</f>
        <v/>
      </c>
      <c r="E873" s="4">
        <v>44807</v>
      </c>
      <c r="F873" s="1" t="s">
        <v>20</v>
      </c>
    </row>
    <row r="874" spans="1:6" x14ac:dyDescent="0.25">
      <c r="A874" s="1" t="s">
        <v>1758</v>
      </c>
      <c r="B874" s="1" t="s">
        <v>1759</v>
      </c>
      <c r="C874" s="3">
        <v>200</v>
      </c>
      <c r="D874" s="3" t="str">
        <f ca="1">IF(B874="","",IFERROR(_xludf.XLOOKUP(_xludf.XLOOKUP(B874,Inventory!$A:$A,Inventory!$B:$B),Blades!$A:$A,Blades!$C:$C)+_xludf.XLOOKUP(_xludf.XLOOKUP(B874,Inventory!$A:$A,Inventory!$C:$C),Motor!$A:$A,Motor!$C:$C)+_xludf.XLOOKUP(_xludf.XLOOKUP(B874,Inventory!$A:$A,Inventory!$D:$D),Frame!$A:$A,Frame!$C:$C)+#REF!,""))</f>
        <v/>
      </c>
      <c r="E874" s="4">
        <v>44807</v>
      </c>
      <c r="F874" s="1" t="s">
        <v>11</v>
      </c>
    </row>
    <row r="875" spans="1:6" x14ac:dyDescent="0.25">
      <c r="A875" s="1" t="s">
        <v>1760</v>
      </c>
      <c r="B875" s="1" t="s">
        <v>1761</v>
      </c>
      <c r="C875" s="3">
        <v>200</v>
      </c>
      <c r="D875" s="3" t="str">
        <f ca="1">IF(B875="","",IFERROR(_xludf.XLOOKUP(_xludf.XLOOKUP(B875,Inventory!$A:$A,Inventory!$B:$B),Blades!$A:$A,Blades!$C:$C)+_xludf.XLOOKUP(_xludf.XLOOKUP(B875,Inventory!$A:$A,Inventory!$C:$C),Motor!$A:$A,Motor!$C:$C)+_xludf.XLOOKUP(_xludf.XLOOKUP(B875,Inventory!$A:$A,Inventory!$D:$D),Frame!$A:$A,Frame!$C:$C)+#REF!,""))</f>
        <v/>
      </c>
      <c r="E875" s="4">
        <v>44810</v>
      </c>
      <c r="F875" s="1" t="s">
        <v>25</v>
      </c>
    </row>
    <row r="876" spans="1:6" x14ac:dyDescent="0.25">
      <c r="A876" s="1" t="s">
        <v>1762</v>
      </c>
      <c r="B876" s="1" t="s">
        <v>1763</v>
      </c>
      <c r="C876" s="3">
        <v>200</v>
      </c>
      <c r="D876" s="3" t="str">
        <f ca="1">IF(B876="","",IFERROR(_xludf.XLOOKUP(_xludf.XLOOKUP(B876,Inventory!$A:$A,Inventory!$B:$B),Blades!$A:$A,Blades!$C:$C)+_xludf.XLOOKUP(_xludf.XLOOKUP(B876,Inventory!$A:$A,Inventory!$C:$C),Motor!$A:$A,Motor!$C:$C)+_xludf.XLOOKUP(_xludf.XLOOKUP(B876,Inventory!$A:$A,Inventory!$D:$D),Frame!$A:$A,Frame!$C:$C)+#REF!,""))</f>
        <v/>
      </c>
      <c r="E876" s="4">
        <v>44811</v>
      </c>
      <c r="F876" s="1" t="s">
        <v>49</v>
      </c>
    </row>
    <row r="877" spans="1:6" x14ac:dyDescent="0.25">
      <c r="A877" s="1" t="s">
        <v>1764</v>
      </c>
      <c r="B877" s="1" t="s">
        <v>1765</v>
      </c>
      <c r="C877" s="3">
        <v>200</v>
      </c>
      <c r="D877" s="3" t="str">
        <f ca="1">IF(B877="","",IFERROR(_xludf.XLOOKUP(_xludf.XLOOKUP(B877,Inventory!$A:$A,Inventory!$B:$B),Blades!$A:$A,Blades!$C:$C)+_xludf.XLOOKUP(_xludf.XLOOKUP(B877,Inventory!$A:$A,Inventory!$C:$C),Motor!$A:$A,Motor!$C:$C)+_xludf.XLOOKUP(_xludf.XLOOKUP(B877,Inventory!$A:$A,Inventory!$D:$D),Frame!$A:$A,Frame!$C:$C)+#REF!,""))</f>
        <v/>
      </c>
      <c r="E877" s="4">
        <v>44813</v>
      </c>
      <c r="F877" s="1" t="s">
        <v>52</v>
      </c>
    </row>
    <row r="878" spans="1:6" x14ac:dyDescent="0.25">
      <c r="A878" s="1" t="s">
        <v>1766</v>
      </c>
      <c r="B878" s="1" t="s">
        <v>1767</v>
      </c>
      <c r="C878" s="3">
        <v>200</v>
      </c>
      <c r="D878" s="3" t="str">
        <f ca="1">IF(B878="","",IFERROR(_xludf.XLOOKUP(_xludf.XLOOKUP(B878,Inventory!$A:$A,Inventory!$B:$B),Blades!$A:$A,Blades!$C:$C)+_xludf.XLOOKUP(_xludf.XLOOKUP(B878,Inventory!$A:$A,Inventory!$C:$C),Motor!$A:$A,Motor!$C:$C)+_xludf.XLOOKUP(_xludf.XLOOKUP(B878,Inventory!$A:$A,Inventory!$D:$D),Frame!$A:$A,Frame!$C:$C)+#REF!,""))</f>
        <v/>
      </c>
      <c r="E878" s="4">
        <v>44813</v>
      </c>
      <c r="F878" s="1" t="s">
        <v>32</v>
      </c>
    </row>
    <row r="879" spans="1:6" x14ac:dyDescent="0.25">
      <c r="A879" s="1" t="s">
        <v>1768</v>
      </c>
      <c r="B879" s="1" t="s">
        <v>1769</v>
      </c>
      <c r="C879" s="3">
        <v>200</v>
      </c>
      <c r="D879" s="3" t="str">
        <f ca="1">IF(B879="","",IFERROR(_xludf.XLOOKUP(_xludf.XLOOKUP(B879,Inventory!$A:$A,Inventory!$B:$B),Blades!$A:$A,Blades!$C:$C)+_xludf.XLOOKUP(_xludf.XLOOKUP(B879,Inventory!$A:$A,Inventory!$C:$C),Motor!$A:$A,Motor!$C:$C)+_xludf.XLOOKUP(_xludf.XLOOKUP(B879,Inventory!$A:$A,Inventory!$D:$D),Frame!$A:$A,Frame!$C:$C)+#REF!,""))</f>
        <v/>
      </c>
      <c r="E879" s="4">
        <v>44814</v>
      </c>
      <c r="F879" s="1" t="s">
        <v>49</v>
      </c>
    </row>
    <row r="880" spans="1:6" x14ac:dyDescent="0.25">
      <c r="A880" s="1" t="s">
        <v>1770</v>
      </c>
      <c r="B880" s="1" t="s">
        <v>1771</v>
      </c>
      <c r="C880" s="3">
        <v>200</v>
      </c>
      <c r="D880" s="3" t="str">
        <f ca="1">IF(B880="","",IFERROR(_xludf.XLOOKUP(_xludf.XLOOKUP(B880,Inventory!$A:$A,Inventory!$B:$B),Blades!$A:$A,Blades!$C:$C)+_xludf.XLOOKUP(_xludf.XLOOKUP(B880,Inventory!$A:$A,Inventory!$C:$C),Motor!$A:$A,Motor!$C:$C)+_xludf.XLOOKUP(_xludf.XLOOKUP(B880,Inventory!$A:$A,Inventory!$D:$D),Frame!$A:$A,Frame!$C:$C)+#REF!,""))</f>
        <v/>
      </c>
      <c r="E880" s="4">
        <v>44814</v>
      </c>
      <c r="F880" s="1" t="s">
        <v>32</v>
      </c>
    </row>
    <row r="881" spans="1:6" x14ac:dyDescent="0.25">
      <c r="A881" s="1" t="s">
        <v>1772</v>
      </c>
      <c r="B881" s="1" t="s">
        <v>1773</v>
      </c>
      <c r="C881" s="3">
        <v>200</v>
      </c>
      <c r="D881" s="3" t="str">
        <f ca="1">IF(B881="","",IFERROR(_xludf.XLOOKUP(_xludf.XLOOKUP(B881,Inventory!$A:$A,Inventory!$B:$B),Blades!$A:$A,Blades!$C:$C)+_xludf.XLOOKUP(_xludf.XLOOKUP(B881,Inventory!$A:$A,Inventory!$C:$C),Motor!$A:$A,Motor!$C:$C)+_xludf.XLOOKUP(_xludf.XLOOKUP(B881,Inventory!$A:$A,Inventory!$D:$D),Frame!$A:$A,Frame!$C:$C)+#REF!,""))</f>
        <v/>
      </c>
      <c r="E881" s="4">
        <v>44814</v>
      </c>
      <c r="F881" s="1" t="s">
        <v>63</v>
      </c>
    </row>
    <row r="882" spans="1:6" x14ac:dyDescent="0.25">
      <c r="A882" s="1" t="s">
        <v>1774</v>
      </c>
      <c r="B882" s="1" t="s">
        <v>1775</v>
      </c>
      <c r="C882" s="3">
        <v>200</v>
      </c>
      <c r="D882" s="3" t="str">
        <f ca="1">IF(B882="","",IFERROR(_xludf.XLOOKUP(_xludf.XLOOKUP(B882,Inventory!$A:$A,Inventory!$B:$B),Blades!$A:$A,Blades!$C:$C)+_xludf.XLOOKUP(_xludf.XLOOKUP(B882,Inventory!$A:$A,Inventory!$C:$C),Motor!$A:$A,Motor!$C:$C)+_xludf.XLOOKUP(_xludf.XLOOKUP(B882,Inventory!$A:$A,Inventory!$D:$D),Frame!$A:$A,Frame!$C:$C)+#REF!,""))</f>
        <v/>
      </c>
      <c r="E882" s="4">
        <v>44816</v>
      </c>
      <c r="F882" s="1" t="s">
        <v>52</v>
      </c>
    </row>
    <row r="883" spans="1:6" x14ac:dyDescent="0.25">
      <c r="A883" s="1" t="s">
        <v>1776</v>
      </c>
      <c r="B883" s="1" t="s">
        <v>1777</v>
      </c>
      <c r="C883" s="3">
        <v>200</v>
      </c>
      <c r="D883" s="3" t="str">
        <f ca="1">IF(B883="","",IFERROR(_xludf.XLOOKUP(_xludf.XLOOKUP(B883,Inventory!$A:$A,Inventory!$B:$B),Blades!$A:$A,Blades!$C:$C)+_xludf.XLOOKUP(_xludf.XLOOKUP(B883,Inventory!$A:$A,Inventory!$C:$C),Motor!$A:$A,Motor!$C:$C)+_xludf.XLOOKUP(_xludf.XLOOKUP(B883,Inventory!$A:$A,Inventory!$D:$D),Frame!$A:$A,Frame!$C:$C)+#REF!,""))</f>
        <v/>
      </c>
      <c r="E883" s="4">
        <v>44816</v>
      </c>
      <c r="F883" s="1" t="s">
        <v>25</v>
      </c>
    </row>
    <row r="884" spans="1:6" x14ac:dyDescent="0.25">
      <c r="A884" s="1" t="s">
        <v>1778</v>
      </c>
      <c r="B884" s="1" t="s">
        <v>1779</v>
      </c>
      <c r="C884" s="3">
        <v>200</v>
      </c>
      <c r="D884" s="3" t="str">
        <f ca="1">IF(B884="","",IFERROR(_xludf.XLOOKUP(_xludf.XLOOKUP(B884,Inventory!$A:$A,Inventory!$B:$B),Blades!$A:$A,Blades!$C:$C)+_xludf.XLOOKUP(_xludf.XLOOKUP(B884,Inventory!$A:$A,Inventory!$C:$C),Motor!$A:$A,Motor!$C:$C)+_xludf.XLOOKUP(_xludf.XLOOKUP(B884,Inventory!$A:$A,Inventory!$D:$D),Frame!$A:$A,Frame!$C:$C)+#REF!,""))</f>
        <v/>
      </c>
      <c r="E884" s="4">
        <v>44817</v>
      </c>
      <c r="F884" s="1" t="s">
        <v>49</v>
      </c>
    </row>
    <row r="885" spans="1:6" x14ac:dyDescent="0.25">
      <c r="A885" s="1" t="s">
        <v>1780</v>
      </c>
      <c r="B885" s="1" t="s">
        <v>1781</v>
      </c>
      <c r="C885" s="3">
        <v>200</v>
      </c>
      <c r="D885" s="3" t="str">
        <f ca="1">IF(B885="","",IFERROR(_xludf.XLOOKUP(_xludf.XLOOKUP(B885,Inventory!$A:$A,Inventory!$B:$B),Blades!$A:$A,Blades!$C:$C)+_xludf.XLOOKUP(_xludf.XLOOKUP(B885,Inventory!$A:$A,Inventory!$C:$C),Motor!$A:$A,Motor!$C:$C)+_xludf.XLOOKUP(_xludf.XLOOKUP(B885,Inventory!$A:$A,Inventory!$D:$D),Frame!$A:$A,Frame!$C:$C)+#REF!,""))</f>
        <v/>
      </c>
      <c r="E885" s="4">
        <v>44819</v>
      </c>
      <c r="F885" s="1" t="s">
        <v>25</v>
      </c>
    </row>
    <row r="886" spans="1:6" x14ac:dyDescent="0.25">
      <c r="A886" s="1" t="s">
        <v>1782</v>
      </c>
      <c r="B886" s="1" t="s">
        <v>1783</v>
      </c>
      <c r="C886" s="3">
        <v>200</v>
      </c>
      <c r="D886" s="3" t="str">
        <f ca="1">IF(B886="","",IFERROR(_xludf.XLOOKUP(_xludf.XLOOKUP(B886,Inventory!$A:$A,Inventory!$B:$B),Blades!$A:$A,Blades!$C:$C)+_xludf.XLOOKUP(_xludf.XLOOKUP(B886,Inventory!$A:$A,Inventory!$C:$C),Motor!$A:$A,Motor!$C:$C)+_xludf.XLOOKUP(_xludf.XLOOKUP(B886,Inventory!$A:$A,Inventory!$D:$D),Frame!$A:$A,Frame!$C:$C)+#REF!,""))</f>
        <v/>
      </c>
      <c r="E886" s="4">
        <v>44819</v>
      </c>
      <c r="F886" s="1" t="s">
        <v>63</v>
      </c>
    </row>
    <row r="887" spans="1:6" x14ac:dyDescent="0.25">
      <c r="A887" s="1" t="s">
        <v>1784</v>
      </c>
      <c r="B887" s="1" t="s">
        <v>1785</v>
      </c>
      <c r="C887" s="3">
        <v>200</v>
      </c>
      <c r="D887" s="3" t="str">
        <f ca="1">IF(B887="","",IFERROR(_xludf.XLOOKUP(_xludf.XLOOKUP(B887,Inventory!$A:$A,Inventory!$B:$B),Blades!$A:$A,Blades!$C:$C)+_xludf.XLOOKUP(_xludf.XLOOKUP(B887,Inventory!$A:$A,Inventory!$C:$C),Motor!$A:$A,Motor!$C:$C)+_xludf.XLOOKUP(_xludf.XLOOKUP(B887,Inventory!$A:$A,Inventory!$D:$D),Frame!$A:$A,Frame!$C:$C)+#REF!,""))</f>
        <v/>
      </c>
      <c r="E887" s="4">
        <v>44820</v>
      </c>
      <c r="F887" s="1" t="s">
        <v>49</v>
      </c>
    </row>
    <row r="888" spans="1:6" x14ac:dyDescent="0.25">
      <c r="A888" s="1" t="s">
        <v>1786</v>
      </c>
      <c r="B888" s="1" t="s">
        <v>1787</v>
      </c>
      <c r="C888" s="3">
        <v>200</v>
      </c>
      <c r="D888" s="3" t="str">
        <f ca="1">IF(B888="","",IFERROR(_xludf.XLOOKUP(_xludf.XLOOKUP(B888,Inventory!$A:$A,Inventory!$B:$B),Blades!$A:$A,Blades!$C:$C)+_xludf.XLOOKUP(_xludf.XLOOKUP(B888,Inventory!$A:$A,Inventory!$C:$C),Motor!$A:$A,Motor!$C:$C)+_xludf.XLOOKUP(_xludf.XLOOKUP(B888,Inventory!$A:$A,Inventory!$D:$D),Frame!$A:$A,Frame!$C:$C)+#REF!,""))</f>
        <v/>
      </c>
      <c r="E888" s="4">
        <v>44824</v>
      </c>
      <c r="F888" s="1" t="s">
        <v>63</v>
      </c>
    </row>
    <row r="889" spans="1:6" x14ac:dyDescent="0.25">
      <c r="A889" s="1" t="s">
        <v>1788</v>
      </c>
      <c r="B889" s="1" t="s">
        <v>1789</v>
      </c>
      <c r="C889" s="3">
        <v>200</v>
      </c>
      <c r="D889" s="3" t="str">
        <f ca="1">IF(B889="","",IFERROR(_xludf.XLOOKUP(_xludf.XLOOKUP(B889,Inventory!$A:$A,Inventory!$B:$B),Blades!$A:$A,Blades!$C:$C)+_xludf.XLOOKUP(_xludf.XLOOKUP(B889,Inventory!$A:$A,Inventory!$C:$C),Motor!$A:$A,Motor!$C:$C)+_xludf.XLOOKUP(_xludf.XLOOKUP(B889,Inventory!$A:$A,Inventory!$D:$D),Frame!$A:$A,Frame!$C:$C)+#REF!,""))</f>
        <v/>
      </c>
      <c r="E889" s="4">
        <v>44826</v>
      </c>
      <c r="F889" s="1" t="s">
        <v>52</v>
      </c>
    </row>
    <row r="890" spans="1:6" x14ac:dyDescent="0.25">
      <c r="A890" s="1" t="s">
        <v>1790</v>
      </c>
      <c r="B890" s="1" t="s">
        <v>1791</v>
      </c>
      <c r="C890" s="3">
        <v>200</v>
      </c>
      <c r="D890" s="3" t="str">
        <f ca="1">IF(B890="","",IFERROR(_xludf.XLOOKUP(_xludf.XLOOKUP(B890,Inventory!$A:$A,Inventory!$B:$B),Blades!$A:$A,Blades!$C:$C)+_xludf.XLOOKUP(_xludf.XLOOKUP(B890,Inventory!$A:$A,Inventory!$C:$C),Motor!$A:$A,Motor!$C:$C)+_xludf.XLOOKUP(_xludf.XLOOKUP(B890,Inventory!$A:$A,Inventory!$D:$D),Frame!$A:$A,Frame!$C:$C)+#REF!,""))</f>
        <v/>
      </c>
      <c r="E890" s="4">
        <v>44828</v>
      </c>
      <c r="F890" s="1" t="s">
        <v>63</v>
      </c>
    </row>
    <row r="891" spans="1:6" x14ac:dyDescent="0.25">
      <c r="A891" s="1" t="s">
        <v>1792</v>
      </c>
      <c r="B891" s="1" t="s">
        <v>1793</v>
      </c>
      <c r="C891" s="3">
        <v>200</v>
      </c>
      <c r="D891" s="3" t="str">
        <f ca="1">IF(B891="","",IFERROR(_xludf.XLOOKUP(_xludf.XLOOKUP(B891,Inventory!$A:$A,Inventory!$B:$B),Blades!$A:$A,Blades!$C:$C)+_xludf.XLOOKUP(_xludf.XLOOKUP(B891,Inventory!$A:$A,Inventory!$C:$C),Motor!$A:$A,Motor!$C:$C)+_xludf.XLOOKUP(_xludf.XLOOKUP(B891,Inventory!$A:$A,Inventory!$D:$D),Frame!$A:$A,Frame!$C:$C)+#REF!,""))</f>
        <v/>
      </c>
      <c r="E891" s="4">
        <v>44831</v>
      </c>
      <c r="F891" s="1" t="s">
        <v>8</v>
      </c>
    </row>
    <row r="892" spans="1:6" x14ac:dyDescent="0.25">
      <c r="A892" s="1" t="s">
        <v>1794</v>
      </c>
      <c r="B892" s="1" t="s">
        <v>1795</v>
      </c>
      <c r="C892" s="3">
        <v>200</v>
      </c>
      <c r="D892" s="3" t="str">
        <f ca="1">IF(B892="","",IFERROR(_xludf.XLOOKUP(_xludf.XLOOKUP(B892,Inventory!$A:$A,Inventory!$B:$B),Blades!$A:$A,Blades!$C:$C)+_xludf.XLOOKUP(_xludf.XLOOKUP(B892,Inventory!$A:$A,Inventory!$C:$C),Motor!$A:$A,Motor!$C:$C)+_xludf.XLOOKUP(_xludf.XLOOKUP(B892,Inventory!$A:$A,Inventory!$D:$D),Frame!$A:$A,Frame!$C:$C)+#REF!,""))</f>
        <v/>
      </c>
      <c r="E892" s="4">
        <v>44831</v>
      </c>
      <c r="F892" s="1" t="s">
        <v>32</v>
      </c>
    </row>
    <row r="893" spans="1:6" x14ac:dyDescent="0.25">
      <c r="A893" s="1" t="s">
        <v>1796</v>
      </c>
      <c r="B893" s="1" t="s">
        <v>1797</v>
      </c>
      <c r="C893" s="3">
        <v>200</v>
      </c>
      <c r="D893" s="3" t="str">
        <f ca="1">IF(B893="","",IFERROR(_xludf.XLOOKUP(_xludf.XLOOKUP(B893,Inventory!$A:$A,Inventory!$B:$B),Blades!$A:$A,Blades!$C:$C)+_xludf.XLOOKUP(_xludf.XLOOKUP(B893,Inventory!$A:$A,Inventory!$C:$C),Motor!$A:$A,Motor!$C:$C)+_xludf.XLOOKUP(_xludf.XLOOKUP(B893,Inventory!$A:$A,Inventory!$D:$D),Frame!$A:$A,Frame!$C:$C)+#REF!,""))</f>
        <v/>
      </c>
      <c r="E893" s="4">
        <v>44831</v>
      </c>
      <c r="F893" s="1" t="s">
        <v>20</v>
      </c>
    </row>
    <row r="894" spans="1:6" x14ac:dyDescent="0.25">
      <c r="A894" s="1" t="s">
        <v>1798</v>
      </c>
      <c r="B894" s="1" t="s">
        <v>1799</v>
      </c>
      <c r="C894" s="3">
        <v>200</v>
      </c>
      <c r="D894" s="3" t="str">
        <f ca="1">IF(B894="","",IFERROR(_xludf.XLOOKUP(_xludf.XLOOKUP(B894,Inventory!$A:$A,Inventory!$B:$B),Blades!$A:$A,Blades!$C:$C)+_xludf.XLOOKUP(_xludf.XLOOKUP(B894,Inventory!$A:$A,Inventory!$C:$C),Motor!$A:$A,Motor!$C:$C)+_xludf.XLOOKUP(_xludf.XLOOKUP(B894,Inventory!$A:$A,Inventory!$D:$D),Frame!$A:$A,Frame!$C:$C)+#REF!,""))</f>
        <v/>
      </c>
      <c r="E894" s="4">
        <v>44833</v>
      </c>
      <c r="F894" s="1" t="s">
        <v>11</v>
      </c>
    </row>
    <row r="895" spans="1:6" x14ac:dyDescent="0.25">
      <c r="A895" s="1" t="s">
        <v>1800</v>
      </c>
      <c r="B895" s="1" t="s">
        <v>1801</v>
      </c>
      <c r="C895" s="3">
        <v>200</v>
      </c>
      <c r="D895" s="3" t="str">
        <f ca="1">IF(B895="","",IFERROR(_xludf.XLOOKUP(_xludf.XLOOKUP(B895,Inventory!$A:$A,Inventory!$B:$B),Blades!$A:$A,Blades!$C:$C)+_xludf.XLOOKUP(_xludf.XLOOKUP(B895,Inventory!$A:$A,Inventory!$C:$C),Motor!$A:$A,Motor!$C:$C)+_xludf.XLOOKUP(_xludf.XLOOKUP(B895,Inventory!$A:$A,Inventory!$D:$D),Frame!$A:$A,Frame!$C:$C)+#REF!,""))</f>
        <v/>
      </c>
      <c r="E895" s="4">
        <v>44833</v>
      </c>
      <c r="F895" s="1" t="s">
        <v>63</v>
      </c>
    </row>
    <row r="896" spans="1:6" x14ac:dyDescent="0.25">
      <c r="A896" s="1" t="s">
        <v>1802</v>
      </c>
      <c r="B896" s="1" t="s">
        <v>1803</v>
      </c>
      <c r="C896" s="3">
        <v>200</v>
      </c>
      <c r="D896" s="3" t="str">
        <f ca="1">IF(B896="","",IFERROR(_xludf.XLOOKUP(_xludf.XLOOKUP(B896,Inventory!$A:$A,Inventory!$B:$B),Blades!$A:$A,Blades!$C:$C)+_xludf.XLOOKUP(_xludf.XLOOKUP(B896,Inventory!$A:$A,Inventory!$C:$C),Motor!$A:$A,Motor!$C:$C)+_xludf.XLOOKUP(_xludf.XLOOKUP(B896,Inventory!$A:$A,Inventory!$D:$D),Frame!$A:$A,Frame!$C:$C)+#REF!,""))</f>
        <v/>
      </c>
      <c r="E896" s="4">
        <v>44835</v>
      </c>
      <c r="F896" s="1" t="s">
        <v>8</v>
      </c>
    </row>
    <row r="897" spans="1:6" x14ac:dyDescent="0.25">
      <c r="A897" s="1" t="s">
        <v>1804</v>
      </c>
      <c r="B897" s="1" t="s">
        <v>1805</v>
      </c>
      <c r="C897" s="3">
        <v>200</v>
      </c>
      <c r="D897" s="3" t="str">
        <f ca="1">IF(B897="","",IFERROR(_xludf.XLOOKUP(_xludf.XLOOKUP(B897,Inventory!$A:$A,Inventory!$B:$B),Blades!$A:$A,Blades!$C:$C)+_xludf.XLOOKUP(_xludf.XLOOKUP(B897,Inventory!$A:$A,Inventory!$C:$C),Motor!$A:$A,Motor!$C:$C)+_xludf.XLOOKUP(_xludf.XLOOKUP(B897,Inventory!$A:$A,Inventory!$D:$D),Frame!$A:$A,Frame!$C:$C)+#REF!,""))</f>
        <v/>
      </c>
      <c r="E897" s="4">
        <v>44836</v>
      </c>
      <c r="F897" s="1" t="s">
        <v>8</v>
      </c>
    </row>
    <row r="898" spans="1:6" x14ac:dyDescent="0.25">
      <c r="A898" s="1" t="s">
        <v>1806</v>
      </c>
      <c r="B898" s="1" t="s">
        <v>1807</v>
      </c>
      <c r="C898" s="3">
        <v>200</v>
      </c>
      <c r="D898" s="3" t="str">
        <f ca="1">IF(B898="","",IFERROR(_xludf.XLOOKUP(_xludf.XLOOKUP(B898,Inventory!$A:$A,Inventory!$B:$B),Blades!$A:$A,Blades!$C:$C)+_xludf.XLOOKUP(_xludf.XLOOKUP(B898,Inventory!$A:$A,Inventory!$C:$C),Motor!$A:$A,Motor!$C:$C)+_xludf.XLOOKUP(_xludf.XLOOKUP(B898,Inventory!$A:$A,Inventory!$D:$D),Frame!$A:$A,Frame!$C:$C)+#REF!,""))</f>
        <v/>
      </c>
      <c r="E898" s="4">
        <v>44839</v>
      </c>
      <c r="F898" s="1" t="s">
        <v>52</v>
      </c>
    </row>
    <row r="899" spans="1:6" x14ac:dyDescent="0.25">
      <c r="A899" s="1" t="s">
        <v>1808</v>
      </c>
      <c r="B899" s="1" t="s">
        <v>1809</v>
      </c>
      <c r="C899" s="3">
        <v>200</v>
      </c>
      <c r="D899" s="3" t="str">
        <f ca="1">IF(B899="","",IFERROR(_xludf.XLOOKUP(_xludf.XLOOKUP(B899,Inventory!$A:$A,Inventory!$B:$B),Blades!$A:$A,Blades!$C:$C)+_xludf.XLOOKUP(_xludf.XLOOKUP(B899,Inventory!$A:$A,Inventory!$C:$C),Motor!$A:$A,Motor!$C:$C)+_xludf.XLOOKUP(_xludf.XLOOKUP(B899,Inventory!$A:$A,Inventory!$D:$D),Frame!$A:$A,Frame!$C:$C)+#REF!,""))</f>
        <v/>
      </c>
      <c r="E899" s="4">
        <v>44839</v>
      </c>
      <c r="F899" s="1" t="s">
        <v>11</v>
      </c>
    </row>
    <row r="900" spans="1:6" x14ac:dyDescent="0.25">
      <c r="A900" s="1" t="s">
        <v>1810</v>
      </c>
      <c r="B900" s="1" t="s">
        <v>1811</v>
      </c>
      <c r="C900" s="3">
        <v>200</v>
      </c>
      <c r="D900" s="3" t="str">
        <f ca="1">IF(B900="","",IFERROR(_xludf.XLOOKUP(_xludf.XLOOKUP(B900,Inventory!$A:$A,Inventory!$B:$B),Blades!$A:$A,Blades!$C:$C)+_xludf.XLOOKUP(_xludf.XLOOKUP(B900,Inventory!$A:$A,Inventory!$C:$C),Motor!$A:$A,Motor!$C:$C)+_xludf.XLOOKUP(_xludf.XLOOKUP(B900,Inventory!$A:$A,Inventory!$D:$D),Frame!$A:$A,Frame!$C:$C)+#REF!,""))</f>
        <v/>
      </c>
      <c r="E900" s="4">
        <v>44840</v>
      </c>
      <c r="F900" s="1" t="s">
        <v>8</v>
      </c>
    </row>
    <row r="901" spans="1:6" x14ac:dyDescent="0.25">
      <c r="A901" s="1" t="s">
        <v>1812</v>
      </c>
      <c r="B901" s="1" t="s">
        <v>1813</v>
      </c>
      <c r="C901" s="3">
        <v>200</v>
      </c>
      <c r="D901" s="3" t="str">
        <f ca="1">IF(B901="","",IFERROR(_xludf.XLOOKUP(_xludf.XLOOKUP(B901,Inventory!$A:$A,Inventory!$B:$B),Blades!$A:$A,Blades!$C:$C)+_xludf.XLOOKUP(_xludf.XLOOKUP(B901,Inventory!$A:$A,Inventory!$C:$C),Motor!$A:$A,Motor!$C:$C)+_xludf.XLOOKUP(_xludf.XLOOKUP(B901,Inventory!$A:$A,Inventory!$D:$D),Frame!$A:$A,Frame!$C:$C)+#REF!,""))</f>
        <v/>
      </c>
      <c r="E901" s="4">
        <v>44840</v>
      </c>
      <c r="F901" s="1" t="s">
        <v>11</v>
      </c>
    </row>
    <row r="902" spans="1:6" x14ac:dyDescent="0.25">
      <c r="A902" s="1" t="s">
        <v>1814</v>
      </c>
      <c r="B902" s="1" t="s">
        <v>1815</v>
      </c>
      <c r="C902" s="3">
        <v>200</v>
      </c>
      <c r="D902" s="3" t="str">
        <f ca="1">IF(B902="","",IFERROR(_xludf.XLOOKUP(_xludf.XLOOKUP(B902,Inventory!$A:$A,Inventory!$B:$B),Blades!$A:$A,Blades!$C:$C)+_xludf.XLOOKUP(_xludf.XLOOKUP(B902,Inventory!$A:$A,Inventory!$C:$C),Motor!$A:$A,Motor!$C:$C)+_xludf.XLOOKUP(_xludf.XLOOKUP(B902,Inventory!$A:$A,Inventory!$D:$D),Frame!$A:$A,Frame!$C:$C)+#REF!,""))</f>
        <v/>
      </c>
      <c r="E902" s="4">
        <v>44841</v>
      </c>
      <c r="F902" s="1" t="s">
        <v>20</v>
      </c>
    </row>
    <row r="903" spans="1:6" x14ac:dyDescent="0.25">
      <c r="A903" s="1" t="s">
        <v>1816</v>
      </c>
      <c r="B903" s="1" t="s">
        <v>1817</v>
      </c>
      <c r="C903" s="3">
        <v>200</v>
      </c>
      <c r="D903" s="3" t="str">
        <f ca="1">IF(B903="","",IFERROR(_xludf.XLOOKUP(_xludf.XLOOKUP(B903,Inventory!$A:$A,Inventory!$B:$B),Blades!$A:$A,Blades!$C:$C)+_xludf.XLOOKUP(_xludf.XLOOKUP(B903,Inventory!$A:$A,Inventory!$C:$C),Motor!$A:$A,Motor!$C:$C)+_xludf.XLOOKUP(_xludf.XLOOKUP(B903,Inventory!$A:$A,Inventory!$D:$D),Frame!$A:$A,Frame!$C:$C)+#REF!,""))</f>
        <v/>
      </c>
      <c r="E903" s="4">
        <v>44841</v>
      </c>
      <c r="F903" s="1" t="s">
        <v>32</v>
      </c>
    </row>
    <row r="904" spans="1:6" x14ac:dyDescent="0.25">
      <c r="A904" s="1" t="s">
        <v>1818</v>
      </c>
      <c r="B904" s="1" t="s">
        <v>1819</v>
      </c>
      <c r="C904" s="3">
        <v>200</v>
      </c>
      <c r="D904" s="3" t="str">
        <f ca="1">IF(B904="","",IFERROR(_xludf.XLOOKUP(_xludf.XLOOKUP(B904,Inventory!$A:$A,Inventory!$B:$B),Blades!$A:$A,Blades!$C:$C)+_xludf.XLOOKUP(_xludf.XLOOKUP(B904,Inventory!$A:$A,Inventory!$C:$C),Motor!$A:$A,Motor!$C:$C)+_xludf.XLOOKUP(_xludf.XLOOKUP(B904,Inventory!$A:$A,Inventory!$D:$D),Frame!$A:$A,Frame!$C:$C)+#REF!,""))</f>
        <v/>
      </c>
      <c r="E904" s="4">
        <v>44842</v>
      </c>
      <c r="F904" s="1" t="s">
        <v>49</v>
      </c>
    </row>
    <row r="905" spans="1:6" x14ac:dyDescent="0.25">
      <c r="A905" s="1" t="s">
        <v>1820</v>
      </c>
      <c r="B905" s="1" t="s">
        <v>1821</v>
      </c>
      <c r="C905" s="3">
        <v>200</v>
      </c>
      <c r="D905" s="3" t="str">
        <f ca="1">IF(B905="","",IFERROR(_xludf.XLOOKUP(_xludf.XLOOKUP(B905,Inventory!$A:$A,Inventory!$B:$B),Blades!$A:$A,Blades!$C:$C)+_xludf.XLOOKUP(_xludf.XLOOKUP(B905,Inventory!$A:$A,Inventory!$C:$C),Motor!$A:$A,Motor!$C:$C)+_xludf.XLOOKUP(_xludf.XLOOKUP(B905,Inventory!$A:$A,Inventory!$D:$D),Frame!$A:$A,Frame!$C:$C)+#REF!,""))</f>
        <v/>
      </c>
      <c r="E905" s="4">
        <v>44843</v>
      </c>
      <c r="F905" s="1" t="s">
        <v>63</v>
      </c>
    </row>
    <row r="906" spans="1:6" x14ac:dyDescent="0.25">
      <c r="A906" s="1" t="s">
        <v>1822</v>
      </c>
      <c r="B906" s="1" t="s">
        <v>1823</v>
      </c>
      <c r="C906" s="3">
        <v>200</v>
      </c>
      <c r="D906" s="3" t="str">
        <f ca="1">IF(B906="","",IFERROR(_xludf.XLOOKUP(_xludf.XLOOKUP(B906,Inventory!$A:$A,Inventory!$B:$B),Blades!$A:$A,Blades!$C:$C)+_xludf.XLOOKUP(_xludf.XLOOKUP(B906,Inventory!$A:$A,Inventory!$C:$C),Motor!$A:$A,Motor!$C:$C)+_xludf.XLOOKUP(_xludf.XLOOKUP(B906,Inventory!$A:$A,Inventory!$D:$D),Frame!$A:$A,Frame!$C:$C)+#REF!,""))</f>
        <v/>
      </c>
      <c r="E906" s="4">
        <v>44843</v>
      </c>
      <c r="F906" s="1" t="s">
        <v>32</v>
      </c>
    </row>
    <row r="907" spans="1:6" x14ac:dyDescent="0.25">
      <c r="A907" s="1" t="s">
        <v>1824</v>
      </c>
      <c r="B907" s="1" t="s">
        <v>1825</v>
      </c>
      <c r="C907" s="3">
        <v>200</v>
      </c>
      <c r="D907" s="3" t="str">
        <f ca="1">IF(B907="","",IFERROR(_xludf.XLOOKUP(_xludf.XLOOKUP(B907,Inventory!$A:$A,Inventory!$B:$B),Blades!$A:$A,Blades!$C:$C)+_xludf.XLOOKUP(_xludf.XLOOKUP(B907,Inventory!$A:$A,Inventory!$C:$C),Motor!$A:$A,Motor!$C:$C)+_xludf.XLOOKUP(_xludf.XLOOKUP(B907,Inventory!$A:$A,Inventory!$D:$D),Frame!$A:$A,Frame!$C:$C)+#REF!,""))</f>
        <v/>
      </c>
      <c r="E907" s="4">
        <v>44845</v>
      </c>
      <c r="F907" s="1" t="s">
        <v>20</v>
      </c>
    </row>
    <row r="908" spans="1:6" x14ac:dyDescent="0.25">
      <c r="A908" s="1" t="s">
        <v>1826</v>
      </c>
      <c r="B908" s="1" t="s">
        <v>1827</v>
      </c>
      <c r="C908" s="3">
        <v>200</v>
      </c>
      <c r="D908" s="3" t="str">
        <f ca="1">IF(B908="","",IFERROR(_xludf.XLOOKUP(_xludf.XLOOKUP(B908,Inventory!$A:$A,Inventory!$B:$B),Blades!$A:$A,Blades!$C:$C)+_xludf.XLOOKUP(_xludf.XLOOKUP(B908,Inventory!$A:$A,Inventory!$C:$C),Motor!$A:$A,Motor!$C:$C)+_xludf.XLOOKUP(_xludf.XLOOKUP(B908,Inventory!$A:$A,Inventory!$D:$D),Frame!$A:$A,Frame!$C:$C)+#REF!,""))</f>
        <v/>
      </c>
      <c r="E908" s="4">
        <v>44846</v>
      </c>
      <c r="F908" s="1" t="s">
        <v>49</v>
      </c>
    </row>
    <row r="909" spans="1:6" x14ac:dyDescent="0.25">
      <c r="A909" s="1" t="s">
        <v>1828</v>
      </c>
      <c r="B909" s="1" t="s">
        <v>1829</v>
      </c>
      <c r="C909" s="3">
        <v>200</v>
      </c>
      <c r="D909" s="3" t="str">
        <f ca="1">IF(B909="","",IFERROR(_xludf.XLOOKUP(_xludf.XLOOKUP(B909,Inventory!$A:$A,Inventory!$B:$B),Blades!$A:$A,Blades!$C:$C)+_xludf.XLOOKUP(_xludf.XLOOKUP(B909,Inventory!$A:$A,Inventory!$C:$C),Motor!$A:$A,Motor!$C:$C)+_xludf.XLOOKUP(_xludf.XLOOKUP(B909,Inventory!$A:$A,Inventory!$D:$D),Frame!$A:$A,Frame!$C:$C)+#REF!,""))</f>
        <v/>
      </c>
      <c r="E909" s="4">
        <v>44849</v>
      </c>
      <c r="F909" s="1" t="s">
        <v>63</v>
      </c>
    </row>
    <row r="910" spans="1:6" x14ac:dyDescent="0.25">
      <c r="A910" s="1" t="s">
        <v>1830</v>
      </c>
      <c r="B910" s="1" t="s">
        <v>1831</v>
      </c>
      <c r="C910" s="3">
        <v>200</v>
      </c>
      <c r="D910" s="3" t="str">
        <f ca="1">IF(B910="","",IFERROR(_xludf.XLOOKUP(_xludf.XLOOKUP(B910,Inventory!$A:$A,Inventory!$B:$B),Blades!$A:$A,Blades!$C:$C)+_xludf.XLOOKUP(_xludf.XLOOKUP(B910,Inventory!$A:$A,Inventory!$C:$C),Motor!$A:$A,Motor!$C:$C)+_xludf.XLOOKUP(_xludf.XLOOKUP(B910,Inventory!$A:$A,Inventory!$D:$D),Frame!$A:$A,Frame!$C:$C)+#REF!,""))</f>
        <v/>
      </c>
      <c r="E910" s="4">
        <v>44850</v>
      </c>
      <c r="F910" s="1" t="s">
        <v>25</v>
      </c>
    </row>
    <row r="911" spans="1:6" x14ac:dyDescent="0.25">
      <c r="A911" s="1" t="s">
        <v>1832</v>
      </c>
      <c r="B911" s="1" t="s">
        <v>1833</v>
      </c>
      <c r="C911" s="3">
        <v>200</v>
      </c>
      <c r="D911" s="3" t="str">
        <f ca="1">IF(B911="","",IFERROR(_xludf.XLOOKUP(_xludf.XLOOKUP(B911,Inventory!$A:$A,Inventory!$B:$B),Blades!$A:$A,Blades!$C:$C)+_xludf.XLOOKUP(_xludf.XLOOKUP(B911,Inventory!$A:$A,Inventory!$C:$C),Motor!$A:$A,Motor!$C:$C)+_xludf.XLOOKUP(_xludf.XLOOKUP(B911,Inventory!$A:$A,Inventory!$D:$D),Frame!$A:$A,Frame!$C:$C)+#REF!,""))</f>
        <v/>
      </c>
      <c r="E911" s="4">
        <v>44850</v>
      </c>
      <c r="F911" s="1" t="s">
        <v>63</v>
      </c>
    </row>
    <row r="912" spans="1:6" x14ac:dyDescent="0.25">
      <c r="A912" s="1" t="s">
        <v>1834</v>
      </c>
      <c r="B912" s="1" t="s">
        <v>1835</v>
      </c>
      <c r="C912" s="3">
        <v>200</v>
      </c>
      <c r="D912" s="3" t="str">
        <f ca="1">IF(B912="","",IFERROR(_xludf.XLOOKUP(_xludf.XLOOKUP(B912,Inventory!$A:$A,Inventory!$B:$B),Blades!$A:$A,Blades!$C:$C)+_xludf.XLOOKUP(_xludf.XLOOKUP(B912,Inventory!$A:$A,Inventory!$C:$C),Motor!$A:$A,Motor!$C:$C)+_xludf.XLOOKUP(_xludf.XLOOKUP(B912,Inventory!$A:$A,Inventory!$D:$D),Frame!$A:$A,Frame!$C:$C)+#REF!,""))</f>
        <v/>
      </c>
      <c r="E912" s="4">
        <v>44850</v>
      </c>
      <c r="F912" s="1" t="s">
        <v>8</v>
      </c>
    </row>
    <row r="913" spans="1:6" x14ac:dyDescent="0.25">
      <c r="A913" s="1" t="s">
        <v>1836</v>
      </c>
      <c r="B913" s="1" t="s">
        <v>1837</v>
      </c>
      <c r="C913" s="3">
        <v>200</v>
      </c>
      <c r="D913" s="3" t="str">
        <f ca="1">IF(B913="","",IFERROR(_xludf.XLOOKUP(_xludf.XLOOKUP(B913,Inventory!$A:$A,Inventory!$B:$B),Blades!$A:$A,Blades!$C:$C)+_xludf.XLOOKUP(_xludf.XLOOKUP(B913,Inventory!$A:$A,Inventory!$C:$C),Motor!$A:$A,Motor!$C:$C)+_xludf.XLOOKUP(_xludf.XLOOKUP(B913,Inventory!$A:$A,Inventory!$D:$D),Frame!$A:$A,Frame!$C:$C)+#REF!,""))</f>
        <v/>
      </c>
      <c r="E913" s="4">
        <v>44851</v>
      </c>
      <c r="F913" s="1" t="s">
        <v>52</v>
      </c>
    </row>
    <row r="914" spans="1:6" x14ac:dyDescent="0.25">
      <c r="A914" s="1" t="s">
        <v>1838</v>
      </c>
      <c r="B914" s="1" t="s">
        <v>1839</v>
      </c>
      <c r="C914" s="3">
        <v>200</v>
      </c>
      <c r="D914" s="3" t="str">
        <f ca="1">IF(B914="","",IFERROR(_xludf.XLOOKUP(_xludf.XLOOKUP(B914,Inventory!$A:$A,Inventory!$B:$B),Blades!$A:$A,Blades!$C:$C)+_xludf.XLOOKUP(_xludf.XLOOKUP(B914,Inventory!$A:$A,Inventory!$C:$C),Motor!$A:$A,Motor!$C:$C)+_xludf.XLOOKUP(_xludf.XLOOKUP(B914,Inventory!$A:$A,Inventory!$D:$D),Frame!$A:$A,Frame!$C:$C)+#REF!,""))</f>
        <v/>
      </c>
      <c r="E914" s="4">
        <v>44851</v>
      </c>
      <c r="F914" s="1" t="s">
        <v>20</v>
      </c>
    </row>
    <row r="915" spans="1:6" x14ac:dyDescent="0.25">
      <c r="A915" s="1" t="s">
        <v>1840</v>
      </c>
      <c r="B915" s="1" t="s">
        <v>1841</v>
      </c>
      <c r="C915" s="3">
        <v>200</v>
      </c>
      <c r="D915" s="3" t="str">
        <f ca="1">IF(B915="","",IFERROR(_xludf.XLOOKUP(_xludf.XLOOKUP(B915,Inventory!$A:$A,Inventory!$B:$B),Blades!$A:$A,Blades!$C:$C)+_xludf.XLOOKUP(_xludf.XLOOKUP(B915,Inventory!$A:$A,Inventory!$C:$C),Motor!$A:$A,Motor!$C:$C)+_xludf.XLOOKUP(_xludf.XLOOKUP(B915,Inventory!$A:$A,Inventory!$D:$D),Frame!$A:$A,Frame!$C:$C)+#REF!,""))</f>
        <v/>
      </c>
      <c r="E915" s="4">
        <v>44852</v>
      </c>
      <c r="F915" s="1" t="s">
        <v>20</v>
      </c>
    </row>
    <row r="916" spans="1:6" x14ac:dyDescent="0.25">
      <c r="A916" s="1" t="s">
        <v>1842</v>
      </c>
      <c r="B916" s="1" t="s">
        <v>1843</v>
      </c>
      <c r="C916" s="3">
        <v>200</v>
      </c>
      <c r="D916" s="3" t="str">
        <f ca="1">IF(B916="","",IFERROR(_xludf.XLOOKUP(_xludf.XLOOKUP(B916,Inventory!$A:$A,Inventory!$B:$B),Blades!$A:$A,Blades!$C:$C)+_xludf.XLOOKUP(_xludf.XLOOKUP(B916,Inventory!$A:$A,Inventory!$C:$C),Motor!$A:$A,Motor!$C:$C)+_xludf.XLOOKUP(_xludf.XLOOKUP(B916,Inventory!$A:$A,Inventory!$D:$D),Frame!$A:$A,Frame!$C:$C)+#REF!,""))</f>
        <v/>
      </c>
      <c r="E916" s="4">
        <v>44852</v>
      </c>
      <c r="F916" s="1" t="s">
        <v>52</v>
      </c>
    </row>
    <row r="917" spans="1:6" x14ac:dyDescent="0.25">
      <c r="A917" s="1" t="s">
        <v>1844</v>
      </c>
      <c r="B917" s="1" t="s">
        <v>1845</v>
      </c>
      <c r="C917" s="3">
        <v>200</v>
      </c>
      <c r="D917" s="3" t="str">
        <f ca="1">IF(B917="","",IFERROR(_xludf.XLOOKUP(_xludf.XLOOKUP(B917,Inventory!$A:$A,Inventory!$B:$B),Blades!$A:$A,Blades!$C:$C)+_xludf.XLOOKUP(_xludf.XLOOKUP(B917,Inventory!$A:$A,Inventory!$C:$C),Motor!$A:$A,Motor!$C:$C)+_xludf.XLOOKUP(_xludf.XLOOKUP(B917,Inventory!$A:$A,Inventory!$D:$D),Frame!$A:$A,Frame!$C:$C)+#REF!,""))</f>
        <v/>
      </c>
      <c r="E917" s="4">
        <v>44852</v>
      </c>
      <c r="F917" s="1" t="s">
        <v>63</v>
      </c>
    </row>
    <row r="918" spans="1:6" x14ac:dyDescent="0.25">
      <c r="A918" s="1" t="s">
        <v>1846</v>
      </c>
      <c r="B918" s="1" t="s">
        <v>1847</v>
      </c>
      <c r="C918" s="3">
        <v>200</v>
      </c>
      <c r="D918" s="3" t="str">
        <f ca="1">IF(B918="","",IFERROR(_xludf.XLOOKUP(_xludf.XLOOKUP(B918,Inventory!$A:$A,Inventory!$B:$B),Blades!$A:$A,Blades!$C:$C)+_xludf.XLOOKUP(_xludf.XLOOKUP(B918,Inventory!$A:$A,Inventory!$C:$C),Motor!$A:$A,Motor!$C:$C)+_xludf.XLOOKUP(_xludf.XLOOKUP(B918,Inventory!$A:$A,Inventory!$D:$D),Frame!$A:$A,Frame!$C:$C)+#REF!,""))</f>
        <v/>
      </c>
      <c r="E918" s="4">
        <v>44854</v>
      </c>
      <c r="F918" s="1" t="s">
        <v>20</v>
      </c>
    </row>
    <row r="919" spans="1:6" x14ac:dyDescent="0.25">
      <c r="A919" s="1" t="s">
        <v>1848</v>
      </c>
      <c r="B919" s="1" t="s">
        <v>1849</v>
      </c>
      <c r="C919" s="3">
        <v>200</v>
      </c>
      <c r="D919" s="3" t="str">
        <f ca="1">IF(B919="","",IFERROR(_xludf.XLOOKUP(_xludf.XLOOKUP(B919,Inventory!$A:$A,Inventory!$B:$B),Blades!$A:$A,Blades!$C:$C)+_xludf.XLOOKUP(_xludf.XLOOKUP(B919,Inventory!$A:$A,Inventory!$C:$C),Motor!$A:$A,Motor!$C:$C)+_xludf.XLOOKUP(_xludf.XLOOKUP(B919,Inventory!$A:$A,Inventory!$D:$D),Frame!$A:$A,Frame!$C:$C)+#REF!,""))</f>
        <v/>
      </c>
      <c r="E919" s="4">
        <v>44855</v>
      </c>
      <c r="F919" s="1" t="s">
        <v>11</v>
      </c>
    </row>
    <row r="920" spans="1:6" x14ac:dyDescent="0.25">
      <c r="A920" s="1" t="s">
        <v>1850</v>
      </c>
      <c r="B920" s="1" t="s">
        <v>1851</v>
      </c>
      <c r="C920" s="3">
        <v>200</v>
      </c>
      <c r="D920" s="3" t="str">
        <f ca="1">IF(B920="","",IFERROR(_xludf.XLOOKUP(_xludf.XLOOKUP(B920,Inventory!$A:$A,Inventory!$B:$B),Blades!$A:$A,Blades!$C:$C)+_xludf.XLOOKUP(_xludf.XLOOKUP(B920,Inventory!$A:$A,Inventory!$C:$C),Motor!$A:$A,Motor!$C:$C)+_xludf.XLOOKUP(_xludf.XLOOKUP(B920,Inventory!$A:$A,Inventory!$D:$D),Frame!$A:$A,Frame!$C:$C)+#REF!,""))</f>
        <v/>
      </c>
      <c r="E920" s="4">
        <v>44855</v>
      </c>
      <c r="F920" s="1" t="s">
        <v>8</v>
      </c>
    </row>
    <row r="921" spans="1:6" x14ac:dyDescent="0.25">
      <c r="A921" s="1" t="s">
        <v>1852</v>
      </c>
      <c r="B921" s="1" t="s">
        <v>1853</v>
      </c>
      <c r="C921" s="3">
        <v>200</v>
      </c>
      <c r="D921" s="3" t="str">
        <f ca="1">IF(B921="","",IFERROR(_xludf.XLOOKUP(_xludf.XLOOKUP(B921,Inventory!$A:$A,Inventory!$B:$B),Blades!$A:$A,Blades!$C:$C)+_xludf.XLOOKUP(_xludf.XLOOKUP(B921,Inventory!$A:$A,Inventory!$C:$C),Motor!$A:$A,Motor!$C:$C)+_xludf.XLOOKUP(_xludf.XLOOKUP(B921,Inventory!$A:$A,Inventory!$D:$D),Frame!$A:$A,Frame!$C:$C)+#REF!,""))</f>
        <v/>
      </c>
      <c r="E921" s="4">
        <v>44856</v>
      </c>
      <c r="F921" s="1" t="s">
        <v>25</v>
      </c>
    </row>
    <row r="922" spans="1:6" x14ac:dyDescent="0.25">
      <c r="A922" s="1" t="s">
        <v>1854</v>
      </c>
      <c r="B922" s="1" t="s">
        <v>1855</v>
      </c>
      <c r="C922" s="3">
        <v>200</v>
      </c>
      <c r="D922" s="3" t="str">
        <f ca="1">IF(B922="","",IFERROR(_xludf.XLOOKUP(_xludf.XLOOKUP(B922,Inventory!$A:$A,Inventory!$B:$B),Blades!$A:$A,Blades!$C:$C)+_xludf.XLOOKUP(_xludf.XLOOKUP(B922,Inventory!$A:$A,Inventory!$C:$C),Motor!$A:$A,Motor!$C:$C)+_xludf.XLOOKUP(_xludf.XLOOKUP(B922,Inventory!$A:$A,Inventory!$D:$D),Frame!$A:$A,Frame!$C:$C)+#REF!,""))</f>
        <v/>
      </c>
      <c r="E922" s="4">
        <v>44857</v>
      </c>
      <c r="F922" s="1" t="s">
        <v>8</v>
      </c>
    </row>
    <row r="923" spans="1:6" x14ac:dyDescent="0.25">
      <c r="A923" s="1" t="s">
        <v>1856</v>
      </c>
      <c r="B923" s="1" t="s">
        <v>1857</v>
      </c>
      <c r="C923" s="3">
        <v>200</v>
      </c>
      <c r="D923" s="3" t="str">
        <f ca="1">IF(B923="","",IFERROR(_xludf.XLOOKUP(_xludf.XLOOKUP(B923,Inventory!$A:$A,Inventory!$B:$B),Blades!$A:$A,Blades!$C:$C)+_xludf.XLOOKUP(_xludf.XLOOKUP(B923,Inventory!$A:$A,Inventory!$C:$C),Motor!$A:$A,Motor!$C:$C)+_xludf.XLOOKUP(_xludf.XLOOKUP(B923,Inventory!$A:$A,Inventory!$D:$D),Frame!$A:$A,Frame!$C:$C)+#REF!,""))</f>
        <v/>
      </c>
      <c r="E923" s="4">
        <v>44859</v>
      </c>
      <c r="F923" s="1" t="s">
        <v>8</v>
      </c>
    </row>
    <row r="924" spans="1:6" x14ac:dyDescent="0.25">
      <c r="A924" s="1" t="s">
        <v>1858</v>
      </c>
      <c r="B924" s="1" t="s">
        <v>1859</v>
      </c>
      <c r="C924" s="3">
        <v>200</v>
      </c>
      <c r="D924" s="3" t="str">
        <f ca="1">IF(B924="","",IFERROR(_xludf.XLOOKUP(_xludf.XLOOKUP(B924,Inventory!$A:$A,Inventory!$B:$B),Blades!$A:$A,Blades!$C:$C)+_xludf.XLOOKUP(_xludf.XLOOKUP(B924,Inventory!$A:$A,Inventory!$C:$C),Motor!$A:$A,Motor!$C:$C)+_xludf.XLOOKUP(_xludf.XLOOKUP(B924,Inventory!$A:$A,Inventory!$D:$D),Frame!$A:$A,Frame!$C:$C)+#REF!,""))</f>
        <v/>
      </c>
      <c r="E924" s="4">
        <v>44860</v>
      </c>
      <c r="F924" s="1" t="s">
        <v>8</v>
      </c>
    </row>
    <row r="925" spans="1:6" x14ac:dyDescent="0.25">
      <c r="A925" s="1" t="s">
        <v>1860</v>
      </c>
      <c r="B925" s="1" t="s">
        <v>1861</v>
      </c>
      <c r="C925" s="3">
        <v>200</v>
      </c>
      <c r="D925" s="3" t="str">
        <f ca="1">IF(B925="","",IFERROR(_xludf.XLOOKUP(_xludf.XLOOKUP(B925,Inventory!$A:$A,Inventory!$B:$B),Blades!$A:$A,Blades!$C:$C)+_xludf.XLOOKUP(_xludf.XLOOKUP(B925,Inventory!$A:$A,Inventory!$C:$C),Motor!$A:$A,Motor!$C:$C)+_xludf.XLOOKUP(_xludf.XLOOKUP(B925,Inventory!$A:$A,Inventory!$D:$D),Frame!$A:$A,Frame!$C:$C)+#REF!,""))</f>
        <v/>
      </c>
      <c r="E925" s="4">
        <v>44861</v>
      </c>
      <c r="F925" s="1" t="s">
        <v>49</v>
      </c>
    </row>
    <row r="926" spans="1:6" x14ac:dyDescent="0.25">
      <c r="A926" s="1" t="s">
        <v>1862</v>
      </c>
      <c r="B926" s="1" t="s">
        <v>1863</v>
      </c>
      <c r="C926" s="3">
        <v>200</v>
      </c>
      <c r="D926" s="3" t="str">
        <f ca="1">IF(B926="","",IFERROR(_xludf.XLOOKUP(_xludf.XLOOKUP(B926,Inventory!$A:$A,Inventory!$B:$B),Blades!$A:$A,Blades!$C:$C)+_xludf.XLOOKUP(_xludf.XLOOKUP(B926,Inventory!$A:$A,Inventory!$C:$C),Motor!$A:$A,Motor!$C:$C)+_xludf.XLOOKUP(_xludf.XLOOKUP(B926,Inventory!$A:$A,Inventory!$D:$D),Frame!$A:$A,Frame!$C:$C)+#REF!,""))</f>
        <v/>
      </c>
      <c r="E926" s="4">
        <v>44861</v>
      </c>
      <c r="F926" s="1" t="s">
        <v>63</v>
      </c>
    </row>
    <row r="927" spans="1:6" x14ac:dyDescent="0.25">
      <c r="A927" s="1" t="s">
        <v>1864</v>
      </c>
      <c r="B927" s="1" t="s">
        <v>1865</v>
      </c>
      <c r="C927" s="3">
        <v>200</v>
      </c>
      <c r="D927" s="3" t="str">
        <f ca="1">IF(B927="","",IFERROR(_xludf.XLOOKUP(_xludf.XLOOKUP(B927,Inventory!$A:$A,Inventory!$B:$B),Blades!$A:$A,Blades!$C:$C)+_xludf.XLOOKUP(_xludf.XLOOKUP(B927,Inventory!$A:$A,Inventory!$C:$C),Motor!$A:$A,Motor!$C:$C)+_xludf.XLOOKUP(_xludf.XLOOKUP(B927,Inventory!$A:$A,Inventory!$D:$D),Frame!$A:$A,Frame!$C:$C)+#REF!,""))</f>
        <v/>
      </c>
      <c r="E927" s="4">
        <v>44862</v>
      </c>
      <c r="F927" s="1" t="s">
        <v>52</v>
      </c>
    </row>
    <row r="928" spans="1:6" x14ac:dyDescent="0.25">
      <c r="A928" s="1" t="s">
        <v>1866</v>
      </c>
      <c r="B928" s="1" t="s">
        <v>1867</v>
      </c>
      <c r="C928" s="3">
        <v>200</v>
      </c>
      <c r="D928" s="3" t="str">
        <f ca="1">IF(B928="","",IFERROR(_xludf.XLOOKUP(_xludf.XLOOKUP(B928,Inventory!$A:$A,Inventory!$B:$B),Blades!$A:$A,Blades!$C:$C)+_xludf.XLOOKUP(_xludf.XLOOKUP(B928,Inventory!$A:$A,Inventory!$C:$C),Motor!$A:$A,Motor!$C:$C)+_xludf.XLOOKUP(_xludf.XLOOKUP(B928,Inventory!$A:$A,Inventory!$D:$D),Frame!$A:$A,Frame!$C:$C)+#REF!,""))</f>
        <v/>
      </c>
      <c r="E928" s="4">
        <v>44862</v>
      </c>
      <c r="F928" s="1" t="s">
        <v>25</v>
      </c>
    </row>
    <row r="929" spans="1:6" x14ac:dyDescent="0.25">
      <c r="A929" s="1" t="s">
        <v>1868</v>
      </c>
      <c r="B929" s="1" t="s">
        <v>1869</v>
      </c>
      <c r="C929" s="3">
        <v>200</v>
      </c>
      <c r="D929" s="3" t="str">
        <f ca="1">IF(B929="","",IFERROR(_xludf.XLOOKUP(_xludf.XLOOKUP(B929,Inventory!$A:$A,Inventory!$B:$B),Blades!$A:$A,Blades!$C:$C)+_xludf.XLOOKUP(_xludf.XLOOKUP(B929,Inventory!$A:$A,Inventory!$C:$C),Motor!$A:$A,Motor!$C:$C)+_xludf.XLOOKUP(_xludf.XLOOKUP(B929,Inventory!$A:$A,Inventory!$D:$D),Frame!$A:$A,Frame!$C:$C)+#REF!,""))</f>
        <v/>
      </c>
      <c r="E929" s="4">
        <v>44862</v>
      </c>
      <c r="F929" s="1" t="s">
        <v>8</v>
      </c>
    </row>
    <row r="930" spans="1:6" x14ac:dyDescent="0.25">
      <c r="A930" s="1" t="s">
        <v>1870</v>
      </c>
      <c r="B930" s="1" t="s">
        <v>1871</v>
      </c>
      <c r="C930" s="3">
        <v>200</v>
      </c>
      <c r="D930" s="3" t="str">
        <f ca="1">IF(B930="","",IFERROR(_xludf.XLOOKUP(_xludf.XLOOKUP(B930,Inventory!$A:$A,Inventory!$B:$B),Blades!$A:$A,Blades!$C:$C)+_xludf.XLOOKUP(_xludf.XLOOKUP(B930,Inventory!$A:$A,Inventory!$C:$C),Motor!$A:$A,Motor!$C:$C)+_xludf.XLOOKUP(_xludf.XLOOKUP(B930,Inventory!$A:$A,Inventory!$D:$D),Frame!$A:$A,Frame!$C:$C)+#REF!,""))</f>
        <v/>
      </c>
      <c r="E930" s="4">
        <v>44863</v>
      </c>
      <c r="F930" s="1" t="s">
        <v>11</v>
      </c>
    </row>
    <row r="931" spans="1:6" x14ac:dyDescent="0.25">
      <c r="A931" s="1" t="s">
        <v>1872</v>
      </c>
      <c r="B931" s="1" t="s">
        <v>1873</v>
      </c>
      <c r="C931" s="3">
        <v>200</v>
      </c>
      <c r="D931" s="3" t="str">
        <f ca="1">IF(B931="","",IFERROR(_xludf.XLOOKUP(_xludf.XLOOKUP(B931,Inventory!$A:$A,Inventory!$B:$B),Blades!$A:$A,Blades!$C:$C)+_xludf.XLOOKUP(_xludf.XLOOKUP(B931,Inventory!$A:$A,Inventory!$C:$C),Motor!$A:$A,Motor!$C:$C)+_xludf.XLOOKUP(_xludf.XLOOKUP(B931,Inventory!$A:$A,Inventory!$D:$D),Frame!$A:$A,Frame!$C:$C)+#REF!,""))</f>
        <v/>
      </c>
      <c r="E931" s="4">
        <v>44864</v>
      </c>
      <c r="F931" s="1" t="s">
        <v>63</v>
      </c>
    </row>
    <row r="932" spans="1:6" x14ac:dyDescent="0.25">
      <c r="A932" s="1" t="s">
        <v>1874</v>
      </c>
      <c r="B932" s="1" t="s">
        <v>1875</v>
      </c>
      <c r="C932" s="3">
        <v>200</v>
      </c>
      <c r="D932" s="3" t="str">
        <f ca="1">IF(B932="","",IFERROR(_xludf.XLOOKUP(_xludf.XLOOKUP(B932,Inventory!$A:$A,Inventory!$B:$B),Blades!$A:$A,Blades!$C:$C)+_xludf.XLOOKUP(_xludf.XLOOKUP(B932,Inventory!$A:$A,Inventory!$C:$C),Motor!$A:$A,Motor!$C:$C)+_xludf.XLOOKUP(_xludf.XLOOKUP(B932,Inventory!$A:$A,Inventory!$D:$D),Frame!$A:$A,Frame!$C:$C)+#REF!,""))</f>
        <v/>
      </c>
      <c r="E932" s="4">
        <v>44864</v>
      </c>
      <c r="F932" s="1" t="s">
        <v>11</v>
      </c>
    </row>
    <row r="933" spans="1:6" x14ac:dyDescent="0.25">
      <c r="A933" s="1" t="s">
        <v>1876</v>
      </c>
      <c r="B933" s="1" t="s">
        <v>1877</v>
      </c>
      <c r="C933" s="3">
        <v>200</v>
      </c>
      <c r="D933" s="3" t="str">
        <f ca="1">IF(B933="","",IFERROR(_xludf.XLOOKUP(_xludf.XLOOKUP(B933,Inventory!$A:$A,Inventory!$B:$B),Blades!$A:$A,Blades!$C:$C)+_xludf.XLOOKUP(_xludf.XLOOKUP(B933,Inventory!$A:$A,Inventory!$C:$C),Motor!$A:$A,Motor!$C:$C)+_xludf.XLOOKUP(_xludf.XLOOKUP(B933,Inventory!$A:$A,Inventory!$D:$D),Frame!$A:$A,Frame!$C:$C)+#REF!,""))</f>
        <v/>
      </c>
      <c r="E933" s="4">
        <v>44865</v>
      </c>
      <c r="F933" s="1" t="s">
        <v>25</v>
      </c>
    </row>
    <row r="934" spans="1:6" x14ac:dyDescent="0.25">
      <c r="A934" s="1" t="s">
        <v>1878</v>
      </c>
      <c r="B934" s="1" t="s">
        <v>1879</v>
      </c>
      <c r="C934" s="3">
        <v>200</v>
      </c>
      <c r="D934" s="3" t="str">
        <f ca="1">IF(B934="","",IFERROR(_xludf.XLOOKUP(_xludf.XLOOKUP(B934,Inventory!$A:$A,Inventory!$B:$B),Blades!$A:$A,Blades!$C:$C)+_xludf.XLOOKUP(_xludf.XLOOKUP(B934,Inventory!$A:$A,Inventory!$C:$C),Motor!$A:$A,Motor!$C:$C)+_xludf.XLOOKUP(_xludf.XLOOKUP(B934,Inventory!$A:$A,Inventory!$D:$D),Frame!$A:$A,Frame!$C:$C)+#REF!,""))</f>
        <v/>
      </c>
      <c r="E934" s="4">
        <v>44865</v>
      </c>
      <c r="F934" s="1" t="s">
        <v>20</v>
      </c>
    </row>
    <row r="935" spans="1:6" x14ac:dyDescent="0.25">
      <c r="A935" s="1" t="s">
        <v>1880</v>
      </c>
      <c r="B935" s="1" t="s">
        <v>1881</v>
      </c>
      <c r="C935" s="3">
        <v>200</v>
      </c>
      <c r="D935" s="3" t="str">
        <f ca="1">IF(B935="","",IFERROR(_xludf.XLOOKUP(_xludf.XLOOKUP(B935,Inventory!$A:$A,Inventory!$B:$B),Blades!$A:$A,Blades!$C:$C)+_xludf.XLOOKUP(_xludf.XLOOKUP(B935,Inventory!$A:$A,Inventory!$C:$C),Motor!$A:$A,Motor!$C:$C)+_xludf.XLOOKUP(_xludf.XLOOKUP(B935,Inventory!$A:$A,Inventory!$D:$D),Frame!$A:$A,Frame!$C:$C)+#REF!,""))</f>
        <v/>
      </c>
      <c r="E935" s="4">
        <v>44866</v>
      </c>
      <c r="F935" s="1" t="s">
        <v>11</v>
      </c>
    </row>
    <row r="936" spans="1:6" x14ac:dyDescent="0.25">
      <c r="A936" s="1" t="s">
        <v>1882</v>
      </c>
      <c r="B936" s="1" t="s">
        <v>1883</v>
      </c>
      <c r="C936" s="3">
        <v>200</v>
      </c>
      <c r="D936" s="3" t="str">
        <f ca="1">IF(B936="","",IFERROR(_xludf.XLOOKUP(_xludf.XLOOKUP(B936,Inventory!$A:$A,Inventory!$B:$B),Blades!$A:$A,Blades!$C:$C)+_xludf.XLOOKUP(_xludf.XLOOKUP(B936,Inventory!$A:$A,Inventory!$C:$C),Motor!$A:$A,Motor!$C:$C)+_xludf.XLOOKUP(_xludf.XLOOKUP(B936,Inventory!$A:$A,Inventory!$D:$D),Frame!$A:$A,Frame!$C:$C)+#REF!,""))</f>
        <v/>
      </c>
      <c r="E936" s="4">
        <v>44867</v>
      </c>
      <c r="F936" s="1" t="s">
        <v>8</v>
      </c>
    </row>
    <row r="937" spans="1:6" x14ac:dyDescent="0.25">
      <c r="A937" s="1" t="s">
        <v>1884</v>
      </c>
      <c r="B937" s="1" t="s">
        <v>1885</v>
      </c>
      <c r="C937" s="3">
        <v>200</v>
      </c>
      <c r="D937" s="3" t="str">
        <f ca="1">IF(B937="","",IFERROR(_xludf.XLOOKUP(_xludf.XLOOKUP(B937,Inventory!$A:$A,Inventory!$B:$B),Blades!$A:$A,Blades!$C:$C)+_xludf.XLOOKUP(_xludf.XLOOKUP(B937,Inventory!$A:$A,Inventory!$C:$C),Motor!$A:$A,Motor!$C:$C)+_xludf.XLOOKUP(_xludf.XLOOKUP(B937,Inventory!$A:$A,Inventory!$D:$D),Frame!$A:$A,Frame!$C:$C)+#REF!,""))</f>
        <v/>
      </c>
      <c r="E937" s="4">
        <v>44870</v>
      </c>
      <c r="F937" s="1" t="s">
        <v>52</v>
      </c>
    </row>
    <row r="938" spans="1:6" x14ac:dyDescent="0.25">
      <c r="A938" s="1" t="s">
        <v>1886</v>
      </c>
      <c r="B938" s="1" t="s">
        <v>1887</v>
      </c>
      <c r="C938" s="3">
        <v>200</v>
      </c>
      <c r="D938" s="3" t="str">
        <f ca="1">IF(B938="","",IFERROR(_xludf.XLOOKUP(_xludf.XLOOKUP(B938,Inventory!$A:$A,Inventory!$B:$B),Blades!$A:$A,Blades!$C:$C)+_xludf.XLOOKUP(_xludf.XLOOKUP(B938,Inventory!$A:$A,Inventory!$C:$C),Motor!$A:$A,Motor!$C:$C)+_xludf.XLOOKUP(_xludf.XLOOKUP(B938,Inventory!$A:$A,Inventory!$D:$D),Frame!$A:$A,Frame!$C:$C)+#REF!,""))</f>
        <v/>
      </c>
      <c r="E938" s="4">
        <v>44870</v>
      </c>
      <c r="F938" s="1" t="s">
        <v>25</v>
      </c>
    </row>
    <row r="939" spans="1:6" x14ac:dyDescent="0.25">
      <c r="A939" s="1" t="s">
        <v>1888</v>
      </c>
      <c r="B939" s="1" t="s">
        <v>1889</v>
      </c>
      <c r="C939" s="3">
        <v>200</v>
      </c>
      <c r="D939" s="3" t="str">
        <f ca="1">IF(B939="","",IFERROR(_xludf.XLOOKUP(_xludf.XLOOKUP(B939,Inventory!$A:$A,Inventory!$B:$B),Blades!$A:$A,Blades!$C:$C)+_xludf.XLOOKUP(_xludf.XLOOKUP(B939,Inventory!$A:$A,Inventory!$C:$C),Motor!$A:$A,Motor!$C:$C)+_xludf.XLOOKUP(_xludf.XLOOKUP(B939,Inventory!$A:$A,Inventory!$D:$D),Frame!$A:$A,Frame!$C:$C)+#REF!,""))</f>
        <v/>
      </c>
      <c r="E939" s="4">
        <v>44870</v>
      </c>
      <c r="F939" s="1" t="s">
        <v>11</v>
      </c>
    </row>
    <row r="940" spans="1:6" x14ac:dyDescent="0.25">
      <c r="A940" s="1" t="s">
        <v>1890</v>
      </c>
      <c r="B940" s="1" t="s">
        <v>1891</v>
      </c>
      <c r="C940" s="3">
        <v>200</v>
      </c>
      <c r="D940" s="3" t="str">
        <f ca="1">IF(B940="","",IFERROR(_xludf.XLOOKUP(_xludf.XLOOKUP(B940,Inventory!$A:$A,Inventory!$B:$B),Blades!$A:$A,Blades!$C:$C)+_xludf.XLOOKUP(_xludf.XLOOKUP(B940,Inventory!$A:$A,Inventory!$C:$C),Motor!$A:$A,Motor!$C:$C)+_xludf.XLOOKUP(_xludf.XLOOKUP(B940,Inventory!$A:$A,Inventory!$D:$D),Frame!$A:$A,Frame!$C:$C)+#REF!,""))</f>
        <v/>
      </c>
      <c r="E940" s="4">
        <v>44875</v>
      </c>
      <c r="F940" s="1" t="s">
        <v>49</v>
      </c>
    </row>
    <row r="941" spans="1:6" x14ac:dyDescent="0.25">
      <c r="A941" s="1" t="s">
        <v>1892</v>
      </c>
      <c r="B941" s="1" t="s">
        <v>1893</v>
      </c>
      <c r="C941" s="3">
        <v>200</v>
      </c>
      <c r="D941" s="3" t="str">
        <f ca="1">IF(B941="","",IFERROR(_xludf.XLOOKUP(_xludf.XLOOKUP(B941,Inventory!$A:$A,Inventory!$B:$B),Blades!$A:$A,Blades!$C:$C)+_xludf.XLOOKUP(_xludf.XLOOKUP(B941,Inventory!$A:$A,Inventory!$C:$C),Motor!$A:$A,Motor!$C:$C)+_xludf.XLOOKUP(_xludf.XLOOKUP(B941,Inventory!$A:$A,Inventory!$D:$D),Frame!$A:$A,Frame!$C:$C)+#REF!,""))</f>
        <v/>
      </c>
      <c r="E941" s="4">
        <v>44876</v>
      </c>
      <c r="F941" s="1" t="s">
        <v>20</v>
      </c>
    </row>
    <row r="942" spans="1:6" x14ac:dyDescent="0.25">
      <c r="A942" s="1" t="s">
        <v>1894</v>
      </c>
      <c r="B942" s="1" t="s">
        <v>1895</v>
      </c>
      <c r="C942" s="3">
        <v>200</v>
      </c>
      <c r="D942" s="3" t="str">
        <f ca="1">IF(B942="","",IFERROR(_xludf.XLOOKUP(_xludf.XLOOKUP(B942,Inventory!$A:$A,Inventory!$B:$B),Blades!$A:$A,Blades!$C:$C)+_xludf.XLOOKUP(_xludf.XLOOKUP(B942,Inventory!$A:$A,Inventory!$C:$C),Motor!$A:$A,Motor!$C:$C)+_xludf.XLOOKUP(_xludf.XLOOKUP(B942,Inventory!$A:$A,Inventory!$D:$D),Frame!$A:$A,Frame!$C:$C)+#REF!,""))</f>
        <v/>
      </c>
      <c r="E942" s="4">
        <v>44876</v>
      </c>
      <c r="F942" s="1" t="s">
        <v>8</v>
      </c>
    </row>
    <row r="943" spans="1:6" x14ac:dyDescent="0.25">
      <c r="A943" s="1" t="s">
        <v>1896</v>
      </c>
      <c r="B943" s="1" t="s">
        <v>1897</v>
      </c>
      <c r="C943" s="3">
        <v>200</v>
      </c>
      <c r="D943" s="3" t="str">
        <f ca="1">IF(B943="","",IFERROR(_xludf.XLOOKUP(_xludf.XLOOKUP(B943,Inventory!$A:$A,Inventory!$B:$B),Blades!$A:$A,Blades!$C:$C)+_xludf.XLOOKUP(_xludf.XLOOKUP(B943,Inventory!$A:$A,Inventory!$C:$C),Motor!$A:$A,Motor!$C:$C)+_xludf.XLOOKUP(_xludf.XLOOKUP(B943,Inventory!$A:$A,Inventory!$D:$D),Frame!$A:$A,Frame!$C:$C)+#REF!,""))</f>
        <v/>
      </c>
      <c r="E943" s="4">
        <v>44876</v>
      </c>
      <c r="F943" s="1" t="s">
        <v>8</v>
      </c>
    </row>
    <row r="944" spans="1:6" x14ac:dyDescent="0.25">
      <c r="A944" s="1" t="s">
        <v>1898</v>
      </c>
      <c r="B944" s="1" t="s">
        <v>1899</v>
      </c>
      <c r="C944" s="3">
        <v>200</v>
      </c>
      <c r="D944" s="3" t="str">
        <f ca="1">IF(B944="","",IFERROR(_xludf.XLOOKUP(_xludf.XLOOKUP(B944,Inventory!$A:$A,Inventory!$B:$B),Blades!$A:$A,Blades!$C:$C)+_xludf.XLOOKUP(_xludf.XLOOKUP(B944,Inventory!$A:$A,Inventory!$C:$C),Motor!$A:$A,Motor!$C:$C)+_xludf.XLOOKUP(_xludf.XLOOKUP(B944,Inventory!$A:$A,Inventory!$D:$D),Frame!$A:$A,Frame!$C:$C)+#REF!,""))</f>
        <v/>
      </c>
      <c r="E944" s="4">
        <v>44876</v>
      </c>
      <c r="F944" s="1" t="s">
        <v>8</v>
      </c>
    </row>
    <row r="945" spans="1:6" x14ac:dyDescent="0.25">
      <c r="A945" s="1" t="s">
        <v>1900</v>
      </c>
      <c r="B945" s="1" t="s">
        <v>1901</v>
      </c>
      <c r="C945" s="3">
        <v>200</v>
      </c>
      <c r="D945" s="3" t="str">
        <f ca="1">IF(B945="","",IFERROR(_xludf.XLOOKUP(_xludf.XLOOKUP(B945,Inventory!$A:$A,Inventory!$B:$B),Blades!$A:$A,Blades!$C:$C)+_xludf.XLOOKUP(_xludf.XLOOKUP(B945,Inventory!$A:$A,Inventory!$C:$C),Motor!$A:$A,Motor!$C:$C)+_xludf.XLOOKUP(_xludf.XLOOKUP(B945,Inventory!$A:$A,Inventory!$D:$D),Frame!$A:$A,Frame!$C:$C)+#REF!,""))</f>
        <v/>
      </c>
      <c r="E945" s="4">
        <v>44877</v>
      </c>
      <c r="F945" s="1" t="s">
        <v>32</v>
      </c>
    </row>
    <row r="946" spans="1:6" x14ac:dyDescent="0.25">
      <c r="A946" s="1" t="s">
        <v>1902</v>
      </c>
      <c r="B946" s="1" t="s">
        <v>1903</v>
      </c>
      <c r="C946" s="3">
        <v>200</v>
      </c>
      <c r="D946" s="3" t="str">
        <f ca="1">IF(B946="","",IFERROR(_xludf.XLOOKUP(_xludf.XLOOKUP(B946,Inventory!$A:$A,Inventory!$B:$B),Blades!$A:$A,Blades!$C:$C)+_xludf.XLOOKUP(_xludf.XLOOKUP(B946,Inventory!$A:$A,Inventory!$C:$C),Motor!$A:$A,Motor!$C:$C)+_xludf.XLOOKUP(_xludf.XLOOKUP(B946,Inventory!$A:$A,Inventory!$D:$D),Frame!$A:$A,Frame!$C:$C)+#REF!,""))</f>
        <v/>
      </c>
      <c r="E946" s="4">
        <v>44879</v>
      </c>
      <c r="F946" s="1" t="s">
        <v>63</v>
      </c>
    </row>
    <row r="947" spans="1:6" x14ac:dyDescent="0.25">
      <c r="A947" s="1" t="s">
        <v>1904</v>
      </c>
      <c r="B947" s="1" t="s">
        <v>1905</v>
      </c>
      <c r="C947" s="3">
        <v>200</v>
      </c>
      <c r="D947" s="3" t="str">
        <f ca="1">IF(B947="","",IFERROR(_xludf.XLOOKUP(_xludf.XLOOKUP(B947,Inventory!$A:$A,Inventory!$B:$B),Blades!$A:$A,Blades!$C:$C)+_xludf.XLOOKUP(_xludf.XLOOKUP(B947,Inventory!$A:$A,Inventory!$C:$C),Motor!$A:$A,Motor!$C:$C)+_xludf.XLOOKUP(_xludf.XLOOKUP(B947,Inventory!$A:$A,Inventory!$D:$D),Frame!$A:$A,Frame!$C:$C)+#REF!,""))</f>
        <v/>
      </c>
      <c r="E947" s="4">
        <v>44880</v>
      </c>
      <c r="F947" s="1" t="s">
        <v>20</v>
      </c>
    </row>
    <row r="948" spans="1:6" x14ac:dyDescent="0.25">
      <c r="A948" s="1" t="s">
        <v>1906</v>
      </c>
      <c r="B948" s="1" t="s">
        <v>1907</v>
      </c>
      <c r="C948" s="3">
        <v>200</v>
      </c>
      <c r="D948" s="3" t="str">
        <f ca="1">IF(B948="","",IFERROR(_xludf.XLOOKUP(_xludf.XLOOKUP(B948,Inventory!$A:$A,Inventory!$B:$B),Blades!$A:$A,Blades!$C:$C)+_xludf.XLOOKUP(_xludf.XLOOKUP(B948,Inventory!$A:$A,Inventory!$C:$C),Motor!$A:$A,Motor!$C:$C)+_xludf.XLOOKUP(_xludf.XLOOKUP(B948,Inventory!$A:$A,Inventory!$D:$D),Frame!$A:$A,Frame!$C:$C)+#REF!,""))</f>
        <v/>
      </c>
      <c r="E948" s="4">
        <v>44884</v>
      </c>
      <c r="F948" s="1" t="s">
        <v>49</v>
      </c>
    </row>
    <row r="949" spans="1:6" x14ac:dyDescent="0.25">
      <c r="A949" s="1" t="s">
        <v>1908</v>
      </c>
      <c r="B949" s="1" t="s">
        <v>1909</v>
      </c>
      <c r="C949" s="3">
        <v>200</v>
      </c>
      <c r="D949" s="3" t="str">
        <f ca="1">IF(B949="","",IFERROR(_xludf.XLOOKUP(_xludf.XLOOKUP(B949,Inventory!$A:$A,Inventory!$B:$B),Blades!$A:$A,Blades!$C:$C)+_xludf.XLOOKUP(_xludf.XLOOKUP(B949,Inventory!$A:$A,Inventory!$C:$C),Motor!$A:$A,Motor!$C:$C)+_xludf.XLOOKUP(_xludf.XLOOKUP(B949,Inventory!$A:$A,Inventory!$D:$D),Frame!$A:$A,Frame!$C:$C)+#REF!,""))</f>
        <v/>
      </c>
      <c r="E949" s="4">
        <v>44884</v>
      </c>
      <c r="F949" s="1" t="s">
        <v>20</v>
      </c>
    </row>
    <row r="950" spans="1:6" x14ac:dyDescent="0.25">
      <c r="A950" s="1" t="s">
        <v>1910</v>
      </c>
      <c r="B950" s="1" t="s">
        <v>1911</v>
      </c>
      <c r="C950" s="3">
        <v>200</v>
      </c>
      <c r="D950" s="3" t="str">
        <f ca="1">IF(B950="","",IFERROR(_xludf.XLOOKUP(_xludf.XLOOKUP(B950,Inventory!$A:$A,Inventory!$B:$B),Blades!$A:$A,Blades!$C:$C)+_xludf.XLOOKUP(_xludf.XLOOKUP(B950,Inventory!$A:$A,Inventory!$C:$C),Motor!$A:$A,Motor!$C:$C)+_xludf.XLOOKUP(_xludf.XLOOKUP(B950,Inventory!$A:$A,Inventory!$D:$D),Frame!$A:$A,Frame!$C:$C)+#REF!,""))</f>
        <v/>
      </c>
      <c r="E950" s="4">
        <v>44887</v>
      </c>
      <c r="F950" s="1" t="s">
        <v>32</v>
      </c>
    </row>
    <row r="951" spans="1:6" x14ac:dyDescent="0.25">
      <c r="A951" s="1" t="s">
        <v>1912</v>
      </c>
      <c r="B951" s="1" t="s">
        <v>1913</v>
      </c>
      <c r="C951" s="3">
        <v>200</v>
      </c>
      <c r="D951" s="3" t="str">
        <f ca="1">IF(B951="","",IFERROR(_xludf.XLOOKUP(_xludf.XLOOKUP(B951,Inventory!$A:$A,Inventory!$B:$B),Blades!$A:$A,Blades!$C:$C)+_xludf.XLOOKUP(_xludf.XLOOKUP(B951,Inventory!$A:$A,Inventory!$C:$C),Motor!$A:$A,Motor!$C:$C)+_xludf.XLOOKUP(_xludf.XLOOKUP(B951,Inventory!$A:$A,Inventory!$D:$D),Frame!$A:$A,Frame!$C:$C)+#REF!,""))</f>
        <v/>
      </c>
      <c r="E951" s="4">
        <v>44887</v>
      </c>
      <c r="F951" s="1" t="s">
        <v>11</v>
      </c>
    </row>
    <row r="952" spans="1:6" x14ac:dyDescent="0.25">
      <c r="A952" s="1" t="s">
        <v>1914</v>
      </c>
      <c r="B952" s="1" t="s">
        <v>1915</v>
      </c>
      <c r="C952" s="3">
        <v>200</v>
      </c>
      <c r="D952" s="3" t="str">
        <f ca="1">IF(B952="","",IFERROR(_xludf.XLOOKUP(_xludf.XLOOKUP(B952,Inventory!$A:$A,Inventory!$B:$B),Blades!$A:$A,Blades!$C:$C)+_xludf.XLOOKUP(_xludf.XLOOKUP(B952,Inventory!$A:$A,Inventory!$C:$C),Motor!$A:$A,Motor!$C:$C)+_xludf.XLOOKUP(_xludf.XLOOKUP(B952,Inventory!$A:$A,Inventory!$D:$D),Frame!$A:$A,Frame!$C:$C)+#REF!,""))</f>
        <v/>
      </c>
      <c r="E952" s="4">
        <v>44888</v>
      </c>
      <c r="F952" s="1" t="s">
        <v>32</v>
      </c>
    </row>
    <row r="953" spans="1:6" x14ac:dyDescent="0.25">
      <c r="A953" s="1" t="s">
        <v>1916</v>
      </c>
      <c r="B953" s="1" t="s">
        <v>1917</v>
      </c>
      <c r="C953" s="3">
        <v>200</v>
      </c>
      <c r="D953" s="3" t="str">
        <f ca="1">IF(B953="","",IFERROR(_xludf.XLOOKUP(_xludf.XLOOKUP(B953,Inventory!$A:$A,Inventory!$B:$B),Blades!$A:$A,Blades!$C:$C)+_xludf.XLOOKUP(_xludf.XLOOKUP(B953,Inventory!$A:$A,Inventory!$C:$C),Motor!$A:$A,Motor!$C:$C)+_xludf.XLOOKUP(_xludf.XLOOKUP(B953,Inventory!$A:$A,Inventory!$D:$D),Frame!$A:$A,Frame!$C:$C)+#REF!,""))</f>
        <v/>
      </c>
      <c r="E953" s="4">
        <v>44889</v>
      </c>
      <c r="F953" s="1" t="s">
        <v>52</v>
      </c>
    </row>
    <row r="954" spans="1:6" x14ac:dyDescent="0.25">
      <c r="A954" s="1" t="s">
        <v>1918</v>
      </c>
      <c r="B954" s="1" t="s">
        <v>1919</v>
      </c>
      <c r="C954" s="3">
        <v>200</v>
      </c>
      <c r="D954" s="3" t="str">
        <f ca="1">IF(B954="","",IFERROR(_xludf.XLOOKUP(_xludf.XLOOKUP(B954,Inventory!$A:$A,Inventory!$B:$B),Blades!$A:$A,Blades!$C:$C)+_xludf.XLOOKUP(_xludf.XLOOKUP(B954,Inventory!$A:$A,Inventory!$C:$C),Motor!$A:$A,Motor!$C:$C)+_xludf.XLOOKUP(_xludf.XLOOKUP(B954,Inventory!$A:$A,Inventory!$D:$D),Frame!$A:$A,Frame!$C:$C)+#REF!,""))</f>
        <v/>
      </c>
      <c r="E954" s="4">
        <v>44889</v>
      </c>
      <c r="F954" s="1" t="s">
        <v>8</v>
      </c>
    </row>
    <row r="955" spans="1:6" x14ac:dyDescent="0.25">
      <c r="A955" s="1" t="s">
        <v>1920</v>
      </c>
      <c r="B955" s="1" t="s">
        <v>1921</v>
      </c>
      <c r="C955" s="3">
        <v>200</v>
      </c>
      <c r="D955" s="3" t="str">
        <f ca="1">IF(B955="","",IFERROR(_xludf.XLOOKUP(_xludf.XLOOKUP(B955,Inventory!$A:$A,Inventory!$B:$B),Blades!$A:$A,Blades!$C:$C)+_xludf.XLOOKUP(_xludf.XLOOKUP(B955,Inventory!$A:$A,Inventory!$C:$C),Motor!$A:$A,Motor!$C:$C)+_xludf.XLOOKUP(_xludf.XLOOKUP(B955,Inventory!$A:$A,Inventory!$D:$D),Frame!$A:$A,Frame!$C:$C)+#REF!,""))</f>
        <v/>
      </c>
      <c r="E955" s="4">
        <v>44889</v>
      </c>
      <c r="F955" s="1" t="s">
        <v>49</v>
      </c>
    </row>
    <row r="956" spans="1:6" x14ac:dyDescent="0.25">
      <c r="A956" s="1" t="s">
        <v>1922</v>
      </c>
      <c r="B956" s="1" t="s">
        <v>1923</v>
      </c>
      <c r="C956" s="3">
        <v>200</v>
      </c>
      <c r="D956" s="3" t="str">
        <f ca="1">IF(B956="","",IFERROR(_xludf.XLOOKUP(_xludf.XLOOKUP(B956,Inventory!$A:$A,Inventory!$B:$B),Blades!$A:$A,Blades!$C:$C)+_xludf.XLOOKUP(_xludf.XLOOKUP(B956,Inventory!$A:$A,Inventory!$C:$C),Motor!$A:$A,Motor!$C:$C)+_xludf.XLOOKUP(_xludf.XLOOKUP(B956,Inventory!$A:$A,Inventory!$D:$D),Frame!$A:$A,Frame!$C:$C)+#REF!,""))</f>
        <v/>
      </c>
      <c r="E956" s="4">
        <v>44891</v>
      </c>
      <c r="F956" s="1" t="s">
        <v>52</v>
      </c>
    </row>
    <row r="957" spans="1:6" x14ac:dyDescent="0.25">
      <c r="A957" s="1" t="s">
        <v>1924</v>
      </c>
      <c r="B957" s="1" t="s">
        <v>1925</v>
      </c>
      <c r="C957" s="3">
        <v>200</v>
      </c>
      <c r="D957" s="3" t="str">
        <f ca="1">IF(B957="","",IFERROR(_xludf.XLOOKUP(_xludf.XLOOKUP(B957,Inventory!$A:$A,Inventory!$B:$B),Blades!$A:$A,Blades!$C:$C)+_xludf.XLOOKUP(_xludf.XLOOKUP(B957,Inventory!$A:$A,Inventory!$C:$C),Motor!$A:$A,Motor!$C:$C)+_xludf.XLOOKUP(_xludf.XLOOKUP(B957,Inventory!$A:$A,Inventory!$D:$D),Frame!$A:$A,Frame!$C:$C)+#REF!,""))</f>
        <v/>
      </c>
      <c r="E957" s="4">
        <v>44892</v>
      </c>
      <c r="F957" s="1" t="s">
        <v>8</v>
      </c>
    </row>
    <row r="958" spans="1:6" x14ac:dyDescent="0.25">
      <c r="A958" s="1" t="s">
        <v>1926</v>
      </c>
      <c r="B958" s="1" t="s">
        <v>1927</v>
      </c>
      <c r="C958" s="3">
        <v>200</v>
      </c>
      <c r="D958" s="3" t="str">
        <f ca="1">IF(B958="","",IFERROR(_xludf.XLOOKUP(_xludf.XLOOKUP(B958,Inventory!$A:$A,Inventory!$B:$B),Blades!$A:$A,Blades!$C:$C)+_xludf.XLOOKUP(_xludf.XLOOKUP(B958,Inventory!$A:$A,Inventory!$C:$C),Motor!$A:$A,Motor!$C:$C)+_xludf.XLOOKUP(_xludf.XLOOKUP(B958,Inventory!$A:$A,Inventory!$D:$D),Frame!$A:$A,Frame!$C:$C)+#REF!,""))</f>
        <v/>
      </c>
      <c r="E958" s="4">
        <v>44892</v>
      </c>
      <c r="F958" s="1" t="s">
        <v>20</v>
      </c>
    </row>
    <row r="959" spans="1:6" x14ac:dyDescent="0.25">
      <c r="A959" s="1" t="s">
        <v>1928</v>
      </c>
      <c r="B959" s="1" t="s">
        <v>1929</v>
      </c>
      <c r="C959" s="3">
        <v>200</v>
      </c>
      <c r="D959" s="3" t="str">
        <f ca="1">IF(B959="","",IFERROR(_xludf.XLOOKUP(_xludf.XLOOKUP(B959,Inventory!$A:$A,Inventory!$B:$B),Blades!$A:$A,Blades!$C:$C)+_xludf.XLOOKUP(_xludf.XLOOKUP(B959,Inventory!$A:$A,Inventory!$C:$C),Motor!$A:$A,Motor!$C:$C)+_xludf.XLOOKUP(_xludf.XLOOKUP(B959,Inventory!$A:$A,Inventory!$D:$D),Frame!$A:$A,Frame!$C:$C)+#REF!,""))</f>
        <v/>
      </c>
      <c r="E959" s="4">
        <v>44893</v>
      </c>
      <c r="F959" s="1" t="s">
        <v>63</v>
      </c>
    </row>
    <row r="960" spans="1:6" x14ac:dyDescent="0.25">
      <c r="A960" s="1" t="s">
        <v>1930</v>
      </c>
      <c r="B960" s="1" t="s">
        <v>1931</v>
      </c>
      <c r="C960" s="3">
        <v>200</v>
      </c>
      <c r="D960" s="3" t="str">
        <f ca="1">IF(B960="","",IFERROR(_xludf.XLOOKUP(_xludf.XLOOKUP(B960,Inventory!$A:$A,Inventory!$B:$B),Blades!$A:$A,Blades!$C:$C)+_xludf.XLOOKUP(_xludf.XLOOKUP(B960,Inventory!$A:$A,Inventory!$C:$C),Motor!$A:$A,Motor!$C:$C)+_xludf.XLOOKUP(_xludf.XLOOKUP(B960,Inventory!$A:$A,Inventory!$D:$D),Frame!$A:$A,Frame!$C:$C)+#REF!,""))</f>
        <v/>
      </c>
      <c r="E960" s="4">
        <v>44894</v>
      </c>
      <c r="F960" s="1" t="s">
        <v>11</v>
      </c>
    </row>
    <row r="961" spans="1:6" x14ac:dyDescent="0.25">
      <c r="A961" s="1" t="s">
        <v>1932</v>
      </c>
      <c r="B961" s="1" t="s">
        <v>1933</v>
      </c>
      <c r="C961" s="3">
        <v>200</v>
      </c>
      <c r="D961" s="3" t="str">
        <f ca="1">IF(B961="","",IFERROR(_xludf.XLOOKUP(_xludf.XLOOKUP(B961,Inventory!$A:$A,Inventory!$B:$B),Blades!$A:$A,Blades!$C:$C)+_xludf.XLOOKUP(_xludf.XLOOKUP(B961,Inventory!$A:$A,Inventory!$C:$C),Motor!$A:$A,Motor!$C:$C)+_xludf.XLOOKUP(_xludf.XLOOKUP(B961,Inventory!$A:$A,Inventory!$D:$D),Frame!$A:$A,Frame!$C:$C)+#REF!,""))</f>
        <v/>
      </c>
      <c r="E961" s="4">
        <v>44895</v>
      </c>
      <c r="F961" s="1" t="s">
        <v>52</v>
      </c>
    </row>
    <row r="962" spans="1:6" x14ac:dyDescent="0.25">
      <c r="A962" s="1" t="s">
        <v>1934</v>
      </c>
      <c r="B962" s="1" t="s">
        <v>1935</v>
      </c>
      <c r="C962" s="3">
        <v>200</v>
      </c>
      <c r="D962" s="3" t="str">
        <f ca="1">IF(B962="","",IFERROR(_xludf.XLOOKUP(_xludf.XLOOKUP(B962,Inventory!$A:$A,Inventory!$B:$B),Blades!$A:$A,Blades!$C:$C)+_xludf.XLOOKUP(_xludf.XLOOKUP(B962,Inventory!$A:$A,Inventory!$C:$C),Motor!$A:$A,Motor!$C:$C)+_xludf.XLOOKUP(_xludf.XLOOKUP(B962,Inventory!$A:$A,Inventory!$D:$D),Frame!$A:$A,Frame!$C:$C)+#REF!,""))</f>
        <v/>
      </c>
      <c r="E962" s="4">
        <v>44898</v>
      </c>
      <c r="F962" s="1" t="s">
        <v>52</v>
      </c>
    </row>
    <row r="963" spans="1:6" x14ac:dyDescent="0.25">
      <c r="A963" s="1" t="s">
        <v>1936</v>
      </c>
      <c r="B963" s="1" t="s">
        <v>1937</v>
      </c>
      <c r="C963" s="3">
        <v>200</v>
      </c>
      <c r="D963" s="3" t="str">
        <f ca="1">IF(B963="","",IFERROR(_xludf.XLOOKUP(_xludf.XLOOKUP(B963,Inventory!$A:$A,Inventory!$B:$B),Blades!$A:$A,Blades!$C:$C)+_xludf.XLOOKUP(_xludf.XLOOKUP(B963,Inventory!$A:$A,Inventory!$C:$C),Motor!$A:$A,Motor!$C:$C)+_xludf.XLOOKUP(_xludf.XLOOKUP(B963,Inventory!$A:$A,Inventory!$D:$D),Frame!$A:$A,Frame!$C:$C)+#REF!,""))</f>
        <v/>
      </c>
      <c r="E963" s="4">
        <v>44898</v>
      </c>
      <c r="F963" s="1" t="s">
        <v>20</v>
      </c>
    </row>
    <row r="964" spans="1:6" x14ac:dyDescent="0.25">
      <c r="A964" s="1" t="s">
        <v>1938</v>
      </c>
      <c r="B964" s="1" t="s">
        <v>1939</v>
      </c>
      <c r="C964" s="3">
        <v>200</v>
      </c>
      <c r="D964" s="3" t="str">
        <f ca="1">IF(B964="","",IFERROR(_xludf.XLOOKUP(_xludf.XLOOKUP(B964,Inventory!$A:$A,Inventory!$B:$B),Blades!$A:$A,Blades!$C:$C)+_xludf.XLOOKUP(_xludf.XLOOKUP(B964,Inventory!$A:$A,Inventory!$C:$C),Motor!$A:$A,Motor!$C:$C)+_xludf.XLOOKUP(_xludf.XLOOKUP(B964,Inventory!$A:$A,Inventory!$D:$D),Frame!$A:$A,Frame!$C:$C)+#REF!,""))</f>
        <v/>
      </c>
      <c r="E964" s="4">
        <v>44901</v>
      </c>
      <c r="F964" s="1" t="s">
        <v>8</v>
      </c>
    </row>
    <row r="965" spans="1:6" x14ac:dyDescent="0.25">
      <c r="A965" s="1" t="s">
        <v>1940</v>
      </c>
      <c r="B965" s="1" t="s">
        <v>1941</v>
      </c>
      <c r="C965" s="3">
        <v>200</v>
      </c>
      <c r="D965" s="3" t="str">
        <f ca="1">IF(B965="","",IFERROR(_xludf.XLOOKUP(_xludf.XLOOKUP(B965,Inventory!$A:$A,Inventory!$B:$B),Blades!$A:$A,Blades!$C:$C)+_xludf.XLOOKUP(_xludf.XLOOKUP(B965,Inventory!$A:$A,Inventory!$C:$C),Motor!$A:$A,Motor!$C:$C)+_xludf.XLOOKUP(_xludf.XLOOKUP(B965,Inventory!$A:$A,Inventory!$D:$D),Frame!$A:$A,Frame!$C:$C)+#REF!,""))</f>
        <v/>
      </c>
      <c r="E965" s="4">
        <v>44901</v>
      </c>
      <c r="F965" s="1" t="s">
        <v>32</v>
      </c>
    </row>
    <row r="966" spans="1:6" x14ac:dyDescent="0.25">
      <c r="A966" s="1" t="s">
        <v>1942</v>
      </c>
      <c r="B966" s="1" t="s">
        <v>1943</v>
      </c>
      <c r="C966" s="3">
        <v>200</v>
      </c>
      <c r="D966" s="3" t="str">
        <f ca="1">IF(B966="","",IFERROR(_xludf.XLOOKUP(_xludf.XLOOKUP(B966,Inventory!$A:$A,Inventory!$B:$B),Blades!$A:$A,Blades!$C:$C)+_xludf.XLOOKUP(_xludf.XLOOKUP(B966,Inventory!$A:$A,Inventory!$C:$C),Motor!$A:$A,Motor!$C:$C)+_xludf.XLOOKUP(_xludf.XLOOKUP(B966,Inventory!$A:$A,Inventory!$D:$D),Frame!$A:$A,Frame!$C:$C)+#REF!,""))</f>
        <v/>
      </c>
      <c r="E966" s="4">
        <v>44902</v>
      </c>
      <c r="F966" s="1" t="s">
        <v>8</v>
      </c>
    </row>
    <row r="967" spans="1:6" x14ac:dyDescent="0.25">
      <c r="A967" s="1" t="s">
        <v>1944</v>
      </c>
      <c r="B967" s="1" t="s">
        <v>1945</v>
      </c>
      <c r="C967" s="3">
        <v>200</v>
      </c>
      <c r="D967" s="3" t="str">
        <f ca="1">IF(B967="","",IFERROR(_xludf.XLOOKUP(_xludf.XLOOKUP(B967,Inventory!$A:$A,Inventory!$B:$B),Blades!$A:$A,Blades!$C:$C)+_xludf.XLOOKUP(_xludf.XLOOKUP(B967,Inventory!$A:$A,Inventory!$C:$C),Motor!$A:$A,Motor!$C:$C)+_xludf.XLOOKUP(_xludf.XLOOKUP(B967,Inventory!$A:$A,Inventory!$D:$D),Frame!$A:$A,Frame!$C:$C)+#REF!,""))</f>
        <v/>
      </c>
      <c r="E967" s="4">
        <v>44905</v>
      </c>
      <c r="F967" s="1" t="s">
        <v>49</v>
      </c>
    </row>
    <row r="968" spans="1:6" x14ac:dyDescent="0.25">
      <c r="A968" s="1" t="s">
        <v>1946</v>
      </c>
      <c r="B968" s="1" t="s">
        <v>1947</v>
      </c>
      <c r="C968" s="3">
        <v>200</v>
      </c>
      <c r="D968" s="3" t="str">
        <f ca="1">IF(B968="","",IFERROR(_xludf.XLOOKUP(_xludf.XLOOKUP(B968,Inventory!$A:$A,Inventory!$B:$B),Blades!$A:$A,Blades!$C:$C)+_xludf.XLOOKUP(_xludf.XLOOKUP(B968,Inventory!$A:$A,Inventory!$C:$C),Motor!$A:$A,Motor!$C:$C)+_xludf.XLOOKUP(_xludf.XLOOKUP(B968,Inventory!$A:$A,Inventory!$D:$D),Frame!$A:$A,Frame!$C:$C)+#REF!,""))</f>
        <v/>
      </c>
      <c r="E968" s="4">
        <v>44906</v>
      </c>
      <c r="F968" s="1" t="s">
        <v>49</v>
      </c>
    </row>
    <row r="969" spans="1:6" x14ac:dyDescent="0.25">
      <c r="A969" s="1" t="s">
        <v>1948</v>
      </c>
      <c r="B969" s="1" t="s">
        <v>1949</v>
      </c>
      <c r="C969" s="3">
        <v>200</v>
      </c>
      <c r="D969" s="3" t="str">
        <f ca="1">IF(B969="","",IFERROR(_xludf.XLOOKUP(_xludf.XLOOKUP(B969,Inventory!$A:$A,Inventory!$B:$B),Blades!$A:$A,Blades!$C:$C)+_xludf.XLOOKUP(_xludf.XLOOKUP(B969,Inventory!$A:$A,Inventory!$C:$C),Motor!$A:$A,Motor!$C:$C)+_xludf.XLOOKUP(_xludf.XLOOKUP(B969,Inventory!$A:$A,Inventory!$D:$D),Frame!$A:$A,Frame!$C:$C)+#REF!,""))</f>
        <v/>
      </c>
      <c r="E969" s="4">
        <v>44908</v>
      </c>
      <c r="F969" s="1" t="s">
        <v>63</v>
      </c>
    </row>
    <row r="970" spans="1:6" x14ac:dyDescent="0.25">
      <c r="A970" s="1" t="s">
        <v>1950</v>
      </c>
      <c r="B970" s="1" t="s">
        <v>1951</v>
      </c>
      <c r="C970" s="3">
        <v>200</v>
      </c>
      <c r="D970" s="3" t="str">
        <f ca="1">IF(B970="","",IFERROR(_xludf.XLOOKUP(_xludf.XLOOKUP(B970,Inventory!$A:$A,Inventory!$B:$B),Blades!$A:$A,Blades!$C:$C)+_xludf.XLOOKUP(_xludf.XLOOKUP(B970,Inventory!$A:$A,Inventory!$C:$C),Motor!$A:$A,Motor!$C:$C)+_xludf.XLOOKUP(_xludf.XLOOKUP(B970,Inventory!$A:$A,Inventory!$D:$D),Frame!$A:$A,Frame!$C:$C)+#REF!,""))</f>
        <v/>
      </c>
      <c r="E970" s="4">
        <v>44911</v>
      </c>
      <c r="F970" s="1" t="s">
        <v>25</v>
      </c>
    </row>
    <row r="971" spans="1:6" x14ac:dyDescent="0.25">
      <c r="A971" s="1" t="s">
        <v>1952</v>
      </c>
      <c r="B971" s="1" t="s">
        <v>1953</v>
      </c>
      <c r="C971" s="3">
        <v>200</v>
      </c>
      <c r="D971" s="3" t="str">
        <f ca="1">IF(B971="","",IFERROR(_xludf.XLOOKUP(_xludf.XLOOKUP(B971,Inventory!$A:$A,Inventory!$B:$B),Blades!$A:$A,Blades!$C:$C)+_xludf.XLOOKUP(_xludf.XLOOKUP(B971,Inventory!$A:$A,Inventory!$C:$C),Motor!$A:$A,Motor!$C:$C)+_xludf.XLOOKUP(_xludf.XLOOKUP(B971,Inventory!$A:$A,Inventory!$D:$D),Frame!$A:$A,Frame!$C:$C)+#REF!,""))</f>
        <v/>
      </c>
      <c r="E971" s="4">
        <v>44913</v>
      </c>
      <c r="F971" s="1" t="s">
        <v>32</v>
      </c>
    </row>
    <row r="972" spans="1:6" x14ac:dyDescent="0.25">
      <c r="A972" s="1" t="s">
        <v>1954</v>
      </c>
      <c r="B972" s="1" t="s">
        <v>1955</v>
      </c>
      <c r="C972" s="3">
        <v>200</v>
      </c>
      <c r="D972" s="3" t="str">
        <f ca="1">IF(B972="","",IFERROR(_xludf.XLOOKUP(_xludf.XLOOKUP(B972,Inventory!$A:$A,Inventory!$B:$B),Blades!$A:$A,Blades!$C:$C)+_xludf.XLOOKUP(_xludf.XLOOKUP(B972,Inventory!$A:$A,Inventory!$C:$C),Motor!$A:$A,Motor!$C:$C)+_xludf.XLOOKUP(_xludf.XLOOKUP(B972,Inventory!$A:$A,Inventory!$D:$D),Frame!$A:$A,Frame!$C:$C)+#REF!,""))</f>
        <v/>
      </c>
      <c r="E972" s="4">
        <v>44913</v>
      </c>
      <c r="F972" s="1" t="s">
        <v>52</v>
      </c>
    </row>
    <row r="973" spans="1:6" x14ac:dyDescent="0.25">
      <c r="A973" s="1" t="s">
        <v>1956</v>
      </c>
      <c r="B973" s="1" t="s">
        <v>1957</v>
      </c>
      <c r="C973" s="3">
        <v>200</v>
      </c>
      <c r="D973" s="3" t="str">
        <f ca="1">IF(B973="","",IFERROR(_xludf.XLOOKUP(_xludf.XLOOKUP(B973,Inventory!$A:$A,Inventory!$B:$B),Blades!$A:$A,Blades!$C:$C)+_xludf.XLOOKUP(_xludf.XLOOKUP(B973,Inventory!$A:$A,Inventory!$C:$C),Motor!$A:$A,Motor!$C:$C)+_xludf.XLOOKUP(_xludf.XLOOKUP(B973,Inventory!$A:$A,Inventory!$D:$D),Frame!$A:$A,Frame!$C:$C)+#REF!,""))</f>
        <v/>
      </c>
      <c r="E973" s="4">
        <v>44913</v>
      </c>
      <c r="F973" s="1" t="s">
        <v>63</v>
      </c>
    </row>
    <row r="974" spans="1:6" x14ac:dyDescent="0.25">
      <c r="A974" s="1" t="s">
        <v>1958</v>
      </c>
      <c r="B974" s="1" t="s">
        <v>1959</v>
      </c>
      <c r="C974" s="3">
        <v>200</v>
      </c>
      <c r="D974" s="3" t="str">
        <f ca="1">IF(B974="","",IFERROR(_xludf.XLOOKUP(_xludf.XLOOKUP(B974,Inventory!$A:$A,Inventory!$B:$B),Blades!$A:$A,Blades!$C:$C)+_xludf.XLOOKUP(_xludf.XLOOKUP(B974,Inventory!$A:$A,Inventory!$C:$C),Motor!$A:$A,Motor!$C:$C)+_xludf.XLOOKUP(_xludf.XLOOKUP(B974,Inventory!$A:$A,Inventory!$D:$D),Frame!$A:$A,Frame!$C:$C)+#REF!,""))</f>
        <v/>
      </c>
      <c r="E974" s="4">
        <v>44914</v>
      </c>
      <c r="F974" s="1" t="s">
        <v>32</v>
      </c>
    </row>
    <row r="975" spans="1:6" x14ac:dyDescent="0.25">
      <c r="A975" s="1" t="s">
        <v>1960</v>
      </c>
      <c r="B975" s="1" t="s">
        <v>1961</v>
      </c>
      <c r="C975" s="3">
        <v>200</v>
      </c>
      <c r="D975" s="3" t="str">
        <f ca="1">IF(B975="","",IFERROR(_xludf.XLOOKUP(_xludf.XLOOKUP(B975,Inventory!$A:$A,Inventory!$B:$B),Blades!$A:$A,Blades!$C:$C)+_xludf.XLOOKUP(_xludf.XLOOKUP(B975,Inventory!$A:$A,Inventory!$C:$C),Motor!$A:$A,Motor!$C:$C)+_xludf.XLOOKUP(_xludf.XLOOKUP(B975,Inventory!$A:$A,Inventory!$D:$D),Frame!$A:$A,Frame!$C:$C)+#REF!,""))</f>
        <v/>
      </c>
      <c r="E975" s="4">
        <v>44916</v>
      </c>
      <c r="F975" s="1" t="s">
        <v>63</v>
      </c>
    </row>
    <row r="976" spans="1:6" x14ac:dyDescent="0.25">
      <c r="A976" s="1" t="s">
        <v>1962</v>
      </c>
      <c r="B976" s="1" t="s">
        <v>1963</v>
      </c>
      <c r="C976" s="3">
        <v>200</v>
      </c>
      <c r="D976" s="3" t="str">
        <f ca="1">IF(B976="","",IFERROR(_xludf.XLOOKUP(_xludf.XLOOKUP(B976,Inventory!$A:$A,Inventory!$B:$B),Blades!$A:$A,Blades!$C:$C)+_xludf.XLOOKUP(_xludf.XLOOKUP(B976,Inventory!$A:$A,Inventory!$C:$C),Motor!$A:$A,Motor!$C:$C)+_xludf.XLOOKUP(_xludf.XLOOKUP(B976,Inventory!$A:$A,Inventory!$D:$D),Frame!$A:$A,Frame!$C:$C)+#REF!,""))</f>
        <v/>
      </c>
      <c r="E976" s="4">
        <v>44917</v>
      </c>
      <c r="F976" s="1" t="s">
        <v>63</v>
      </c>
    </row>
    <row r="977" spans="1:6" x14ac:dyDescent="0.25">
      <c r="A977" s="1" t="s">
        <v>1964</v>
      </c>
      <c r="B977" s="1" t="s">
        <v>1965</v>
      </c>
      <c r="C977" s="3">
        <v>200</v>
      </c>
      <c r="D977" s="3" t="str">
        <f ca="1">IF(B977="","",IFERROR(_xludf.XLOOKUP(_xludf.XLOOKUP(B977,Inventory!$A:$A,Inventory!$B:$B),Blades!$A:$A,Blades!$C:$C)+_xludf.XLOOKUP(_xludf.XLOOKUP(B977,Inventory!$A:$A,Inventory!$C:$C),Motor!$A:$A,Motor!$C:$C)+_xludf.XLOOKUP(_xludf.XLOOKUP(B977,Inventory!$A:$A,Inventory!$D:$D),Frame!$A:$A,Frame!$C:$C)+#REF!,""))</f>
        <v/>
      </c>
      <c r="E977" s="4">
        <v>44917</v>
      </c>
      <c r="F977" s="1" t="s">
        <v>11</v>
      </c>
    </row>
    <row r="978" spans="1:6" x14ac:dyDescent="0.25">
      <c r="A978" s="1" t="s">
        <v>1966</v>
      </c>
      <c r="B978" s="1" t="s">
        <v>1967</v>
      </c>
      <c r="C978" s="3">
        <v>200</v>
      </c>
      <c r="D978" s="3" t="str">
        <f ca="1">IF(B978="","",IFERROR(_xludf.XLOOKUP(_xludf.XLOOKUP(B978,Inventory!$A:$A,Inventory!$B:$B),Blades!$A:$A,Blades!$C:$C)+_xludf.XLOOKUP(_xludf.XLOOKUP(B978,Inventory!$A:$A,Inventory!$C:$C),Motor!$A:$A,Motor!$C:$C)+_xludf.XLOOKUP(_xludf.XLOOKUP(B978,Inventory!$A:$A,Inventory!$D:$D),Frame!$A:$A,Frame!$C:$C)+#REF!,""))</f>
        <v/>
      </c>
      <c r="E978" s="4">
        <v>44918</v>
      </c>
      <c r="F978" s="1" t="s">
        <v>11</v>
      </c>
    </row>
    <row r="979" spans="1:6" x14ac:dyDescent="0.25">
      <c r="A979" s="1" t="s">
        <v>1968</v>
      </c>
      <c r="B979" s="1" t="s">
        <v>1969</v>
      </c>
      <c r="C979" s="3">
        <v>200</v>
      </c>
      <c r="D979" s="3" t="str">
        <f ca="1">IF(B979="","",IFERROR(_xludf.XLOOKUP(_xludf.XLOOKUP(B979,Inventory!$A:$A,Inventory!$B:$B),Blades!$A:$A,Blades!$C:$C)+_xludf.XLOOKUP(_xludf.XLOOKUP(B979,Inventory!$A:$A,Inventory!$C:$C),Motor!$A:$A,Motor!$C:$C)+_xludf.XLOOKUP(_xludf.XLOOKUP(B979,Inventory!$A:$A,Inventory!$D:$D),Frame!$A:$A,Frame!$C:$C)+#REF!,""))</f>
        <v/>
      </c>
      <c r="E979" s="4">
        <v>44919</v>
      </c>
      <c r="F979" s="1" t="s">
        <v>20</v>
      </c>
    </row>
    <row r="980" spans="1:6" x14ac:dyDescent="0.25">
      <c r="A980" s="1" t="s">
        <v>1970</v>
      </c>
      <c r="B980" s="1" t="s">
        <v>1971</v>
      </c>
      <c r="C980" s="3">
        <v>200</v>
      </c>
      <c r="D980" s="3" t="str">
        <f ca="1">IF(B980="","",IFERROR(_xludf.XLOOKUP(_xludf.XLOOKUP(B980,Inventory!$A:$A,Inventory!$B:$B),Blades!$A:$A,Blades!$C:$C)+_xludf.XLOOKUP(_xludf.XLOOKUP(B980,Inventory!$A:$A,Inventory!$C:$C),Motor!$A:$A,Motor!$C:$C)+_xludf.XLOOKUP(_xludf.XLOOKUP(B980,Inventory!$A:$A,Inventory!$D:$D),Frame!$A:$A,Frame!$C:$C)+#REF!,""))</f>
        <v/>
      </c>
      <c r="E980" s="4">
        <v>44920</v>
      </c>
      <c r="F980" s="1" t="s">
        <v>49</v>
      </c>
    </row>
    <row r="981" spans="1:6" x14ac:dyDescent="0.25">
      <c r="A981" s="1" t="s">
        <v>1972</v>
      </c>
      <c r="B981" s="1" t="s">
        <v>1973</v>
      </c>
      <c r="C981" s="3">
        <v>200</v>
      </c>
      <c r="D981" s="3" t="str">
        <f ca="1">IF(B981="","",IFERROR(_xludf.XLOOKUP(_xludf.XLOOKUP(B981,Inventory!$A:$A,Inventory!$B:$B),Blades!$A:$A,Blades!$C:$C)+_xludf.XLOOKUP(_xludf.XLOOKUP(B981,Inventory!$A:$A,Inventory!$C:$C),Motor!$A:$A,Motor!$C:$C)+_xludf.XLOOKUP(_xludf.XLOOKUP(B981,Inventory!$A:$A,Inventory!$D:$D),Frame!$A:$A,Frame!$C:$C)+#REF!,""))</f>
        <v/>
      </c>
      <c r="E981" s="4">
        <v>44920</v>
      </c>
      <c r="F981" s="1" t="s">
        <v>11</v>
      </c>
    </row>
    <row r="982" spans="1:6" x14ac:dyDescent="0.25">
      <c r="A982" s="1" t="s">
        <v>1974</v>
      </c>
      <c r="B982" s="1" t="s">
        <v>1975</v>
      </c>
      <c r="C982" s="3">
        <v>200</v>
      </c>
      <c r="D982" s="3" t="str">
        <f ca="1">IF(B982="","",IFERROR(_xludf.XLOOKUP(_xludf.XLOOKUP(B982,Inventory!$A:$A,Inventory!$B:$B),Blades!$A:$A,Blades!$C:$C)+_xludf.XLOOKUP(_xludf.XLOOKUP(B982,Inventory!$A:$A,Inventory!$C:$C),Motor!$A:$A,Motor!$C:$C)+_xludf.XLOOKUP(_xludf.XLOOKUP(B982,Inventory!$A:$A,Inventory!$D:$D),Frame!$A:$A,Frame!$C:$C)+#REF!,""))</f>
        <v/>
      </c>
      <c r="E982" s="4">
        <v>44920</v>
      </c>
      <c r="F982" s="1" t="s">
        <v>25</v>
      </c>
    </row>
    <row r="983" spans="1:6" x14ac:dyDescent="0.25">
      <c r="A983" s="1" t="s">
        <v>1976</v>
      </c>
      <c r="B983" s="1" t="s">
        <v>1977</v>
      </c>
      <c r="C983" s="3">
        <v>200</v>
      </c>
      <c r="D983" s="3" t="str">
        <f ca="1">IF(B983="","",IFERROR(_xludf.XLOOKUP(_xludf.XLOOKUP(B983,Inventory!$A:$A,Inventory!$B:$B),Blades!$A:$A,Blades!$C:$C)+_xludf.XLOOKUP(_xludf.XLOOKUP(B983,Inventory!$A:$A,Inventory!$C:$C),Motor!$A:$A,Motor!$C:$C)+_xludf.XLOOKUP(_xludf.XLOOKUP(B983,Inventory!$A:$A,Inventory!$D:$D),Frame!$A:$A,Frame!$C:$C)+#REF!,""))</f>
        <v/>
      </c>
      <c r="E983" s="4">
        <v>44921</v>
      </c>
      <c r="F983" s="1" t="s">
        <v>25</v>
      </c>
    </row>
    <row r="984" spans="1:6" x14ac:dyDescent="0.25">
      <c r="A984" s="1" t="s">
        <v>1978</v>
      </c>
      <c r="B984" s="1" t="s">
        <v>1979</v>
      </c>
      <c r="C984" s="3">
        <v>200</v>
      </c>
      <c r="D984" s="3" t="str">
        <f ca="1">IF(B984="","",IFERROR(_xludf.XLOOKUP(_xludf.XLOOKUP(B984,Inventory!$A:$A,Inventory!$B:$B),Blades!$A:$A,Blades!$C:$C)+_xludf.XLOOKUP(_xludf.XLOOKUP(B984,Inventory!$A:$A,Inventory!$C:$C),Motor!$A:$A,Motor!$C:$C)+_xludf.XLOOKUP(_xludf.XLOOKUP(B984,Inventory!$A:$A,Inventory!$D:$D),Frame!$A:$A,Frame!$C:$C)+#REF!,""))</f>
        <v/>
      </c>
      <c r="E984" s="4">
        <v>44922</v>
      </c>
      <c r="F984" s="1" t="s">
        <v>52</v>
      </c>
    </row>
    <row r="985" spans="1:6" x14ac:dyDescent="0.25">
      <c r="A985" s="1" t="s">
        <v>1980</v>
      </c>
      <c r="B985" s="1" t="s">
        <v>1981</v>
      </c>
      <c r="C985" s="3">
        <v>200</v>
      </c>
      <c r="D985" s="3" t="str">
        <f ca="1">IF(B985="","",IFERROR(_xludf.XLOOKUP(_xludf.XLOOKUP(B985,Inventory!$A:$A,Inventory!$B:$B),Blades!$A:$A,Blades!$C:$C)+_xludf.XLOOKUP(_xludf.XLOOKUP(B985,Inventory!$A:$A,Inventory!$C:$C),Motor!$A:$A,Motor!$C:$C)+_xludf.XLOOKUP(_xludf.XLOOKUP(B985,Inventory!$A:$A,Inventory!$D:$D),Frame!$A:$A,Frame!$C:$C)+#REF!,""))</f>
        <v/>
      </c>
      <c r="E985" s="4">
        <v>44922</v>
      </c>
      <c r="F985" s="1" t="s">
        <v>8</v>
      </c>
    </row>
    <row r="986" spans="1:6" x14ac:dyDescent="0.25">
      <c r="A986" s="1" t="s">
        <v>1982</v>
      </c>
      <c r="B986" s="1" t="s">
        <v>1983</v>
      </c>
      <c r="C986" s="3">
        <v>200</v>
      </c>
      <c r="D986" s="3" t="str">
        <f ca="1">IF(B986="","",IFERROR(_xludf.XLOOKUP(_xludf.XLOOKUP(B986,Inventory!$A:$A,Inventory!$B:$B),Blades!$A:$A,Blades!$C:$C)+_xludf.XLOOKUP(_xludf.XLOOKUP(B986,Inventory!$A:$A,Inventory!$C:$C),Motor!$A:$A,Motor!$C:$C)+_xludf.XLOOKUP(_xludf.XLOOKUP(B986,Inventory!$A:$A,Inventory!$D:$D),Frame!$A:$A,Frame!$C:$C)+#REF!,""))</f>
        <v/>
      </c>
      <c r="E986" s="4">
        <v>44922</v>
      </c>
      <c r="F986" s="1" t="s">
        <v>20</v>
      </c>
    </row>
    <row r="987" spans="1:6" x14ac:dyDescent="0.25">
      <c r="A987" s="1" t="s">
        <v>1984</v>
      </c>
      <c r="B987" s="1" t="s">
        <v>1985</v>
      </c>
      <c r="C987" s="3">
        <v>200</v>
      </c>
      <c r="D987" s="3" t="str">
        <f ca="1">IF(B987="","",IFERROR(_xludf.XLOOKUP(_xludf.XLOOKUP(B987,Inventory!$A:$A,Inventory!$B:$B),Blades!$A:$A,Blades!$C:$C)+_xludf.XLOOKUP(_xludf.XLOOKUP(B987,Inventory!$A:$A,Inventory!$C:$C),Motor!$A:$A,Motor!$C:$C)+_xludf.XLOOKUP(_xludf.XLOOKUP(B987,Inventory!$A:$A,Inventory!$D:$D),Frame!$A:$A,Frame!$C:$C)+#REF!,""))</f>
        <v/>
      </c>
      <c r="E987" s="4">
        <v>44922</v>
      </c>
      <c r="F987" s="1" t="s">
        <v>11</v>
      </c>
    </row>
    <row r="988" spans="1:6" x14ac:dyDescent="0.25">
      <c r="A988" s="1" t="s">
        <v>1986</v>
      </c>
      <c r="B988" s="1" t="s">
        <v>1987</v>
      </c>
      <c r="C988" s="3">
        <v>200</v>
      </c>
      <c r="D988" s="3" t="str">
        <f ca="1">IF(B988="","",IFERROR(_xludf.XLOOKUP(_xludf.XLOOKUP(B988,Inventory!$A:$A,Inventory!$B:$B),Blades!$A:$A,Blades!$C:$C)+_xludf.XLOOKUP(_xludf.XLOOKUP(B988,Inventory!$A:$A,Inventory!$C:$C),Motor!$A:$A,Motor!$C:$C)+_xludf.XLOOKUP(_xludf.XLOOKUP(B988,Inventory!$A:$A,Inventory!$D:$D),Frame!$A:$A,Frame!$C:$C)+#REF!,""))</f>
        <v/>
      </c>
      <c r="E988" s="4">
        <v>44924</v>
      </c>
      <c r="F988" s="1" t="s">
        <v>63</v>
      </c>
    </row>
    <row r="989" spans="1:6" x14ac:dyDescent="0.25">
      <c r="A989" s="1" t="s">
        <v>1988</v>
      </c>
      <c r="B989" s="1" t="s">
        <v>1989</v>
      </c>
      <c r="C989" s="3">
        <v>200</v>
      </c>
      <c r="D989" s="3" t="str">
        <f ca="1">IF(B989="","",IFERROR(_xludf.XLOOKUP(_xludf.XLOOKUP(B989,Inventory!$A:$A,Inventory!$B:$B),Blades!$A:$A,Blades!$C:$C)+_xludf.XLOOKUP(_xludf.XLOOKUP(B989,Inventory!$A:$A,Inventory!$C:$C),Motor!$A:$A,Motor!$C:$C)+_xludf.XLOOKUP(_xludf.XLOOKUP(B989,Inventory!$A:$A,Inventory!$D:$D),Frame!$A:$A,Frame!$C:$C)+#REF!,""))</f>
        <v/>
      </c>
      <c r="E989" s="4">
        <v>44924</v>
      </c>
      <c r="F989" s="1" t="s">
        <v>32</v>
      </c>
    </row>
    <row r="990" spans="1:6" x14ac:dyDescent="0.25">
      <c r="A990" s="1" t="s">
        <v>1990</v>
      </c>
      <c r="B990" s="1" t="s">
        <v>1991</v>
      </c>
      <c r="C990" s="3">
        <v>200</v>
      </c>
      <c r="D990" s="3" t="str">
        <f ca="1">IF(B990="","",IFERROR(_xludf.XLOOKUP(_xludf.XLOOKUP(B990,Inventory!$A:$A,Inventory!$B:$B),Blades!$A:$A,Blades!$C:$C)+_xludf.XLOOKUP(_xludf.XLOOKUP(B990,Inventory!$A:$A,Inventory!$C:$C),Motor!$A:$A,Motor!$C:$C)+_xludf.XLOOKUP(_xludf.XLOOKUP(B990,Inventory!$A:$A,Inventory!$D:$D),Frame!$A:$A,Frame!$C:$C)+#REF!,""))</f>
        <v/>
      </c>
      <c r="E990" s="4">
        <v>44926</v>
      </c>
      <c r="F990" s="1" t="s">
        <v>20</v>
      </c>
    </row>
    <row r="991" spans="1:6" x14ac:dyDescent="0.25">
      <c r="A991" s="1" t="s">
        <v>1992</v>
      </c>
      <c r="B991" s="1" t="s">
        <v>1993</v>
      </c>
      <c r="C991" s="3">
        <v>200</v>
      </c>
      <c r="D991" s="3" t="str">
        <f ca="1">IF(B991="","",IFERROR(_xludf.XLOOKUP(_xludf.XLOOKUP(B991,Inventory!$A:$A,Inventory!$B:$B),Blades!$A:$A,Blades!$C:$C)+_xludf.XLOOKUP(_xludf.XLOOKUP(B991,Inventory!$A:$A,Inventory!$C:$C),Motor!$A:$A,Motor!$C:$C)+_xludf.XLOOKUP(_xludf.XLOOKUP(B991,Inventory!$A:$A,Inventory!$D:$D),Frame!$A:$A,Frame!$C:$C)+#REF!,""))</f>
        <v/>
      </c>
      <c r="E991" s="4">
        <v>44926</v>
      </c>
      <c r="F991" s="1" t="s">
        <v>52</v>
      </c>
    </row>
    <row r="992" spans="1:6" x14ac:dyDescent="0.25">
      <c r="A992" s="1" t="s">
        <v>1994</v>
      </c>
      <c r="B992" s="1" t="s">
        <v>1995</v>
      </c>
      <c r="C992" s="3">
        <v>200</v>
      </c>
      <c r="D992" s="3" t="str">
        <f ca="1">IF(B992="","",IFERROR(_xludf.XLOOKUP(_xludf.XLOOKUP(B992,Inventory!$A:$A,Inventory!$B:$B),Blades!$A:$A,Blades!$C:$C)+_xludf.XLOOKUP(_xludf.XLOOKUP(B992,Inventory!$A:$A,Inventory!$C:$C),Motor!$A:$A,Motor!$C:$C)+_xludf.XLOOKUP(_xludf.XLOOKUP(B992,Inventory!$A:$A,Inventory!$D:$D),Frame!$A:$A,Frame!$C:$C)+#REF!,""))</f>
        <v/>
      </c>
      <c r="E992" s="4">
        <v>44927</v>
      </c>
      <c r="F992" s="1" t="s">
        <v>52</v>
      </c>
    </row>
    <row r="993" spans="1:6" x14ac:dyDescent="0.25">
      <c r="A993" s="1" t="s">
        <v>1996</v>
      </c>
      <c r="B993" s="1" t="s">
        <v>1997</v>
      </c>
      <c r="C993" s="3">
        <v>200</v>
      </c>
      <c r="D993" s="3" t="str">
        <f ca="1">IF(B993="","",IFERROR(_xludf.XLOOKUP(_xludf.XLOOKUP(B993,Inventory!$A:$A,Inventory!$B:$B),Blades!$A:$A,Blades!$C:$C)+_xludf.XLOOKUP(_xludf.XLOOKUP(B993,Inventory!$A:$A,Inventory!$C:$C),Motor!$A:$A,Motor!$C:$C)+_xludf.XLOOKUP(_xludf.XLOOKUP(B993,Inventory!$A:$A,Inventory!$D:$D),Frame!$A:$A,Frame!$C:$C)+#REF!,""))</f>
        <v/>
      </c>
      <c r="E993" s="4">
        <v>44928</v>
      </c>
      <c r="F993" s="1" t="s">
        <v>11</v>
      </c>
    </row>
    <row r="994" spans="1:6" x14ac:dyDescent="0.25">
      <c r="A994" s="1" t="s">
        <v>1998</v>
      </c>
      <c r="B994" s="1" t="s">
        <v>1999</v>
      </c>
      <c r="C994" s="3">
        <v>200</v>
      </c>
      <c r="D994" s="3" t="str">
        <f ca="1">IF(B994="","",IFERROR(_xludf.XLOOKUP(_xludf.XLOOKUP(B994,Inventory!$A:$A,Inventory!$B:$B),Blades!$A:$A,Blades!$C:$C)+_xludf.XLOOKUP(_xludf.XLOOKUP(B994,Inventory!$A:$A,Inventory!$C:$C),Motor!$A:$A,Motor!$C:$C)+_xludf.XLOOKUP(_xludf.XLOOKUP(B994,Inventory!$A:$A,Inventory!$D:$D),Frame!$A:$A,Frame!$C:$C)+#REF!,""))</f>
        <v/>
      </c>
      <c r="E994" s="4">
        <v>44929</v>
      </c>
      <c r="F994" s="1" t="s">
        <v>25</v>
      </c>
    </row>
    <row r="995" spans="1:6" x14ac:dyDescent="0.25">
      <c r="A995" s="1" t="s">
        <v>2000</v>
      </c>
      <c r="B995" s="1" t="s">
        <v>2001</v>
      </c>
      <c r="C995" s="3">
        <v>200</v>
      </c>
      <c r="D995" s="3" t="str">
        <f ca="1">IF(B995="","",IFERROR(_xludf.XLOOKUP(_xludf.XLOOKUP(B995,Inventory!$A:$A,Inventory!$B:$B),Blades!$A:$A,Blades!$C:$C)+_xludf.XLOOKUP(_xludf.XLOOKUP(B995,Inventory!$A:$A,Inventory!$C:$C),Motor!$A:$A,Motor!$C:$C)+_xludf.XLOOKUP(_xludf.XLOOKUP(B995,Inventory!$A:$A,Inventory!$D:$D),Frame!$A:$A,Frame!$C:$C)+#REF!,""))</f>
        <v/>
      </c>
      <c r="E995" s="4">
        <v>44930</v>
      </c>
      <c r="F995" s="1" t="s">
        <v>25</v>
      </c>
    </row>
    <row r="996" spans="1:6" x14ac:dyDescent="0.25">
      <c r="A996" s="1" t="s">
        <v>2002</v>
      </c>
      <c r="B996" s="1" t="s">
        <v>2003</v>
      </c>
      <c r="C996" s="3">
        <v>200</v>
      </c>
      <c r="D996" s="3" t="str">
        <f ca="1">IF(B996="","",IFERROR(_xludf.XLOOKUP(_xludf.XLOOKUP(B996,Inventory!$A:$A,Inventory!$B:$B),Blades!$A:$A,Blades!$C:$C)+_xludf.XLOOKUP(_xludf.XLOOKUP(B996,Inventory!$A:$A,Inventory!$C:$C),Motor!$A:$A,Motor!$C:$C)+_xludf.XLOOKUP(_xludf.XLOOKUP(B996,Inventory!$A:$A,Inventory!$D:$D),Frame!$A:$A,Frame!$C:$C)+#REF!,""))</f>
        <v/>
      </c>
      <c r="E996" s="4">
        <v>44931</v>
      </c>
      <c r="F996" s="1" t="s">
        <v>8</v>
      </c>
    </row>
    <row r="997" spans="1:6" x14ac:dyDescent="0.25">
      <c r="A997" s="1" t="s">
        <v>2004</v>
      </c>
      <c r="B997" s="1" t="s">
        <v>2005</v>
      </c>
      <c r="C997" s="3">
        <v>200</v>
      </c>
      <c r="D997" s="3" t="str">
        <f ca="1">IF(B997="","",IFERROR(_xludf.XLOOKUP(_xludf.XLOOKUP(B997,Inventory!$A:$A,Inventory!$B:$B),Blades!$A:$A,Blades!$C:$C)+_xludf.XLOOKUP(_xludf.XLOOKUP(B997,Inventory!$A:$A,Inventory!$C:$C),Motor!$A:$A,Motor!$C:$C)+_xludf.XLOOKUP(_xludf.XLOOKUP(B997,Inventory!$A:$A,Inventory!$D:$D),Frame!$A:$A,Frame!$C:$C)+#REF!,""))</f>
        <v/>
      </c>
      <c r="E997" s="4">
        <v>44933</v>
      </c>
      <c r="F997" s="1" t="s">
        <v>8</v>
      </c>
    </row>
    <row r="998" spans="1:6" x14ac:dyDescent="0.25">
      <c r="A998" s="1" t="s">
        <v>2006</v>
      </c>
      <c r="B998" s="1" t="s">
        <v>2007</v>
      </c>
      <c r="C998" s="3">
        <v>200</v>
      </c>
      <c r="D998" s="3" t="str">
        <f ca="1">IF(B998="","",IFERROR(_xludf.XLOOKUP(_xludf.XLOOKUP(B998,Inventory!$A:$A,Inventory!$B:$B),Blades!$A:$A,Blades!$C:$C)+_xludf.XLOOKUP(_xludf.XLOOKUP(B998,Inventory!$A:$A,Inventory!$C:$C),Motor!$A:$A,Motor!$C:$C)+_xludf.XLOOKUP(_xludf.XLOOKUP(B998,Inventory!$A:$A,Inventory!$D:$D),Frame!$A:$A,Frame!$C:$C)+#REF!,""))</f>
        <v/>
      </c>
      <c r="E998" s="4">
        <v>44934</v>
      </c>
      <c r="F998" s="1" t="s">
        <v>49</v>
      </c>
    </row>
    <row r="999" spans="1:6" x14ac:dyDescent="0.25">
      <c r="A999" s="1" t="s">
        <v>2008</v>
      </c>
      <c r="B999" s="1" t="s">
        <v>2009</v>
      </c>
      <c r="C999" s="3">
        <v>200</v>
      </c>
      <c r="D999" s="3" t="str">
        <f ca="1">IF(B999="","",IFERROR(_xludf.XLOOKUP(_xludf.XLOOKUP(B999,Inventory!$A:$A,Inventory!$B:$B),Blades!$A:$A,Blades!$C:$C)+_xludf.XLOOKUP(_xludf.XLOOKUP(B999,Inventory!$A:$A,Inventory!$C:$C),Motor!$A:$A,Motor!$C:$C)+_xludf.XLOOKUP(_xludf.XLOOKUP(B999,Inventory!$A:$A,Inventory!$D:$D),Frame!$A:$A,Frame!$C:$C)+#REF!,""))</f>
        <v/>
      </c>
      <c r="E999" s="4">
        <v>44934</v>
      </c>
      <c r="F999" s="1" t="s">
        <v>25</v>
      </c>
    </row>
    <row r="1000" spans="1:6" x14ac:dyDescent="0.25">
      <c r="A1000" s="1" t="s">
        <v>2010</v>
      </c>
      <c r="B1000" s="1" t="s">
        <v>2011</v>
      </c>
      <c r="C1000" s="3">
        <v>200</v>
      </c>
      <c r="D1000" s="3" t="str">
        <f ca="1">IF(B1000="","",IFERROR(_xludf.XLOOKUP(_xludf.XLOOKUP(B1000,Inventory!$A:$A,Inventory!$B:$B),Blades!$A:$A,Blades!$C:$C)+_xludf.XLOOKUP(_xludf.XLOOKUP(B1000,Inventory!$A:$A,Inventory!$C:$C),Motor!$A:$A,Motor!$C:$C)+_xludf.XLOOKUP(_xludf.XLOOKUP(B1000,Inventory!$A:$A,Inventory!$D:$D),Frame!$A:$A,Frame!$C:$C)+#REF!,""))</f>
        <v/>
      </c>
      <c r="E1000" s="4">
        <v>44936</v>
      </c>
      <c r="F1000" s="1" t="s">
        <v>49</v>
      </c>
    </row>
    <row r="1001" spans="1:6" x14ac:dyDescent="0.25">
      <c r="A1001" s="1" t="s">
        <v>2012</v>
      </c>
      <c r="B1001" s="1" t="s">
        <v>2013</v>
      </c>
      <c r="C1001" s="3">
        <v>200</v>
      </c>
      <c r="D1001" s="3" t="str">
        <f ca="1">IF(B1001="","",IFERROR(_xludf.XLOOKUP(_xludf.XLOOKUP(B1001,Inventory!$A:$A,Inventory!$B:$B),Blades!$A:$A,Blades!$C:$C)+_xludf.XLOOKUP(_xludf.XLOOKUP(B1001,Inventory!$A:$A,Inventory!$C:$C),Motor!$A:$A,Motor!$C:$C)+_xludf.XLOOKUP(_xludf.XLOOKUP(B1001,Inventory!$A:$A,Inventory!$D:$D),Frame!$A:$A,Frame!$C:$C)+#REF!,""))</f>
        <v/>
      </c>
      <c r="E1001" s="4">
        <v>44936</v>
      </c>
      <c r="F1001" s="1" t="s">
        <v>49</v>
      </c>
    </row>
    <row r="1002" spans="1:6" x14ac:dyDescent="0.25">
      <c r="A1002" s="1" t="s">
        <v>2014</v>
      </c>
      <c r="B1002" s="1" t="s">
        <v>2015</v>
      </c>
      <c r="C1002" s="3">
        <v>200</v>
      </c>
      <c r="D1002" s="3" t="str">
        <f ca="1">IF(B1002="","",IFERROR(_xludf.XLOOKUP(_xludf.XLOOKUP(B1002,Inventory!$A:$A,Inventory!$B:$B),Blades!$A:$A,Blades!$C:$C)+_xludf.XLOOKUP(_xludf.XLOOKUP(B1002,Inventory!$A:$A,Inventory!$C:$C),Motor!$A:$A,Motor!$C:$C)+_xludf.XLOOKUP(_xludf.XLOOKUP(B1002,Inventory!$A:$A,Inventory!$D:$D),Frame!$A:$A,Frame!$C:$C)+#REF!,""))</f>
        <v/>
      </c>
      <c r="E1002" s="4">
        <v>44936</v>
      </c>
      <c r="F1002" s="1" t="s">
        <v>32</v>
      </c>
    </row>
    <row r="1003" spans="1:6" x14ac:dyDescent="0.25">
      <c r="A1003" s="1" t="s">
        <v>2016</v>
      </c>
      <c r="B1003" s="1" t="s">
        <v>2017</v>
      </c>
      <c r="C1003" s="3">
        <v>200</v>
      </c>
      <c r="D1003" s="3" t="str">
        <f ca="1">IF(B1003="","",IFERROR(_xludf.XLOOKUP(_xludf.XLOOKUP(B1003,Inventory!$A:$A,Inventory!$B:$B),Blades!$A:$A,Blades!$C:$C)+_xludf.XLOOKUP(_xludf.XLOOKUP(B1003,Inventory!$A:$A,Inventory!$C:$C),Motor!$A:$A,Motor!$C:$C)+_xludf.XLOOKUP(_xludf.XLOOKUP(B1003,Inventory!$A:$A,Inventory!$D:$D),Frame!$A:$A,Frame!$C:$C)+#REF!,""))</f>
        <v/>
      </c>
      <c r="E1003" s="4">
        <v>44938</v>
      </c>
      <c r="F1003" s="1" t="s">
        <v>32</v>
      </c>
    </row>
    <row r="1004" spans="1:6" x14ac:dyDescent="0.25">
      <c r="A1004" s="1" t="s">
        <v>2018</v>
      </c>
      <c r="B1004" s="1" t="s">
        <v>2019</v>
      </c>
      <c r="C1004" s="3">
        <v>200</v>
      </c>
      <c r="D1004" s="3" t="str">
        <f ca="1">IF(B1004="","",IFERROR(_xludf.XLOOKUP(_xludf.XLOOKUP(B1004,Inventory!$A:$A,Inventory!$B:$B),Blades!$A:$A,Blades!$C:$C)+_xludf.XLOOKUP(_xludf.XLOOKUP(B1004,Inventory!$A:$A,Inventory!$C:$C),Motor!$A:$A,Motor!$C:$C)+_xludf.XLOOKUP(_xludf.XLOOKUP(B1004,Inventory!$A:$A,Inventory!$D:$D),Frame!$A:$A,Frame!$C:$C)+#REF!,""))</f>
        <v/>
      </c>
      <c r="E1004" s="4">
        <v>44938</v>
      </c>
      <c r="F1004" s="1" t="s">
        <v>63</v>
      </c>
    </row>
    <row r="1005" spans="1:6" x14ac:dyDescent="0.25">
      <c r="A1005" s="1" t="s">
        <v>2020</v>
      </c>
      <c r="B1005" s="1" t="s">
        <v>2021</v>
      </c>
      <c r="C1005" s="3">
        <v>200</v>
      </c>
      <c r="D1005" s="3" t="str">
        <f ca="1">IF(B1005="","",IFERROR(_xludf.XLOOKUP(_xludf.XLOOKUP(B1005,Inventory!$A:$A,Inventory!$B:$B),Blades!$A:$A,Blades!$C:$C)+_xludf.XLOOKUP(_xludf.XLOOKUP(B1005,Inventory!$A:$A,Inventory!$C:$C),Motor!$A:$A,Motor!$C:$C)+_xludf.XLOOKUP(_xludf.XLOOKUP(B1005,Inventory!$A:$A,Inventory!$D:$D),Frame!$A:$A,Frame!$C:$C)+#REF!,""))</f>
        <v/>
      </c>
      <c r="E1005" s="4">
        <v>44939</v>
      </c>
      <c r="F1005" s="1" t="s">
        <v>20</v>
      </c>
    </row>
    <row r="1006" spans="1:6" x14ac:dyDescent="0.25">
      <c r="A1006" s="1" t="s">
        <v>2022</v>
      </c>
      <c r="B1006" s="1" t="s">
        <v>2023</v>
      </c>
      <c r="C1006" s="3">
        <v>200</v>
      </c>
      <c r="D1006" s="3" t="str">
        <f ca="1">IF(B1006="","",IFERROR(_xludf.XLOOKUP(_xludf.XLOOKUP(B1006,Inventory!$A:$A,Inventory!$B:$B),Blades!$A:$A,Blades!$C:$C)+_xludf.XLOOKUP(_xludf.XLOOKUP(B1006,Inventory!$A:$A,Inventory!$C:$C),Motor!$A:$A,Motor!$C:$C)+_xludf.XLOOKUP(_xludf.XLOOKUP(B1006,Inventory!$A:$A,Inventory!$D:$D),Frame!$A:$A,Frame!$C:$C)+#REF!,""))</f>
        <v/>
      </c>
      <c r="E1006" s="4">
        <v>44939</v>
      </c>
      <c r="F1006" s="1" t="s">
        <v>63</v>
      </c>
    </row>
    <row r="1007" spans="1:6" x14ac:dyDescent="0.25">
      <c r="A1007" s="1" t="s">
        <v>2024</v>
      </c>
      <c r="B1007" s="1" t="s">
        <v>2025</v>
      </c>
      <c r="C1007" s="3">
        <v>200</v>
      </c>
      <c r="D1007" s="3" t="str">
        <f ca="1">IF(B1007="","",IFERROR(_xludf.XLOOKUP(_xludf.XLOOKUP(B1007,Inventory!$A:$A,Inventory!$B:$B),Blades!$A:$A,Blades!$C:$C)+_xludf.XLOOKUP(_xludf.XLOOKUP(B1007,Inventory!$A:$A,Inventory!$C:$C),Motor!$A:$A,Motor!$C:$C)+_xludf.XLOOKUP(_xludf.XLOOKUP(B1007,Inventory!$A:$A,Inventory!$D:$D),Frame!$A:$A,Frame!$C:$C)+#REF!,""))</f>
        <v/>
      </c>
      <c r="E1007" s="4">
        <v>44939</v>
      </c>
      <c r="F1007" s="1" t="s">
        <v>25</v>
      </c>
    </row>
    <row r="1008" spans="1:6" x14ac:dyDescent="0.25">
      <c r="A1008" s="1" t="s">
        <v>2026</v>
      </c>
      <c r="B1008" s="1" t="s">
        <v>2027</v>
      </c>
      <c r="C1008" s="3">
        <v>200</v>
      </c>
      <c r="D1008" s="3" t="str">
        <f ca="1">IF(B1008="","",IFERROR(_xludf.XLOOKUP(_xludf.XLOOKUP(B1008,Inventory!$A:$A,Inventory!$B:$B),Blades!$A:$A,Blades!$C:$C)+_xludf.XLOOKUP(_xludf.XLOOKUP(B1008,Inventory!$A:$A,Inventory!$C:$C),Motor!$A:$A,Motor!$C:$C)+_xludf.XLOOKUP(_xludf.XLOOKUP(B1008,Inventory!$A:$A,Inventory!$D:$D),Frame!$A:$A,Frame!$C:$C)+#REF!,""))</f>
        <v/>
      </c>
      <c r="E1008" s="4">
        <v>44940</v>
      </c>
      <c r="F1008" s="1" t="s">
        <v>25</v>
      </c>
    </row>
    <row r="1009" spans="1:6" x14ac:dyDescent="0.25">
      <c r="A1009" s="1" t="s">
        <v>2028</v>
      </c>
      <c r="B1009" s="1" t="s">
        <v>2029</v>
      </c>
      <c r="C1009" s="3">
        <v>200</v>
      </c>
      <c r="D1009" s="3" t="str">
        <f ca="1">IF(B1009="","",IFERROR(_xludf.XLOOKUP(_xludf.XLOOKUP(B1009,Inventory!$A:$A,Inventory!$B:$B),Blades!$A:$A,Blades!$C:$C)+_xludf.XLOOKUP(_xludf.XLOOKUP(B1009,Inventory!$A:$A,Inventory!$C:$C),Motor!$A:$A,Motor!$C:$C)+_xludf.XLOOKUP(_xludf.XLOOKUP(B1009,Inventory!$A:$A,Inventory!$D:$D),Frame!$A:$A,Frame!$C:$C)+#REF!,""))</f>
        <v/>
      </c>
      <c r="E1009" s="4">
        <v>44940</v>
      </c>
      <c r="F1009" s="1" t="s">
        <v>49</v>
      </c>
    </row>
    <row r="1010" spans="1:6" x14ac:dyDescent="0.25">
      <c r="A1010" s="1" t="s">
        <v>2030</v>
      </c>
      <c r="B1010" s="1" t="s">
        <v>2031</v>
      </c>
      <c r="C1010" s="3">
        <v>200</v>
      </c>
      <c r="D1010" s="3" t="str">
        <f ca="1">IF(B1010="","",IFERROR(_xludf.XLOOKUP(_xludf.XLOOKUP(B1010,Inventory!$A:$A,Inventory!$B:$B),Blades!$A:$A,Blades!$C:$C)+_xludf.XLOOKUP(_xludf.XLOOKUP(B1010,Inventory!$A:$A,Inventory!$C:$C),Motor!$A:$A,Motor!$C:$C)+_xludf.XLOOKUP(_xludf.XLOOKUP(B1010,Inventory!$A:$A,Inventory!$D:$D),Frame!$A:$A,Frame!$C:$C)+#REF!,""))</f>
        <v/>
      </c>
      <c r="E1010" s="4">
        <v>44942</v>
      </c>
      <c r="F1010" s="1" t="s">
        <v>49</v>
      </c>
    </row>
    <row r="1011" spans="1:6" x14ac:dyDescent="0.25">
      <c r="A1011" s="1" t="s">
        <v>2032</v>
      </c>
      <c r="B1011" s="1" t="s">
        <v>2033</v>
      </c>
      <c r="C1011" s="3">
        <v>200</v>
      </c>
      <c r="D1011" s="3" t="str">
        <f ca="1">IF(B1011="","",IFERROR(_xludf.XLOOKUP(_xludf.XLOOKUP(B1011,Inventory!$A:$A,Inventory!$B:$B),Blades!$A:$A,Blades!$C:$C)+_xludf.XLOOKUP(_xludf.XLOOKUP(B1011,Inventory!$A:$A,Inventory!$C:$C),Motor!$A:$A,Motor!$C:$C)+_xludf.XLOOKUP(_xludf.XLOOKUP(B1011,Inventory!$A:$A,Inventory!$D:$D),Frame!$A:$A,Frame!$C:$C)+#REF!,""))</f>
        <v/>
      </c>
      <c r="E1011" s="4">
        <v>44942</v>
      </c>
      <c r="F1011" s="1" t="s">
        <v>32</v>
      </c>
    </row>
    <row r="1012" spans="1:6" x14ac:dyDescent="0.25">
      <c r="A1012" s="1" t="s">
        <v>2034</v>
      </c>
      <c r="B1012" s="1" t="s">
        <v>2035</v>
      </c>
      <c r="C1012" s="3">
        <v>200</v>
      </c>
      <c r="D1012" s="3" t="str">
        <f ca="1">IF(B1012="","",IFERROR(_xludf.XLOOKUP(_xludf.XLOOKUP(B1012,Inventory!$A:$A,Inventory!$B:$B),Blades!$A:$A,Blades!$C:$C)+_xludf.XLOOKUP(_xludf.XLOOKUP(B1012,Inventory!$A:$A,Inventory!$C:$C),Motor!$A:$A,Motor!$C:$C)+_xludf.XLOOKUP(_xludf.XLOOKUP(B1012,Inventory!$A:$A,Inventory!$D:$D),Frame!$A:$A,Frame!$C:$C)+#REF!,""))</f>
        <v/>
      </c>
      <c r="E1012" s="4">
        <v>44943</v>
      </c>
      <c r="F1012" s="1" t="s">
        <v>11</v>
      </c>
    </row>
    <row r="1013" spans="1:6" x14ac:dyDescent="0.25">
      <c r="A1013" s="1" t="s">
        <v>2036</v>
      </c>
      <c r="B1013" s="1" t="s">
        <v>2037</v>
      </c>
      <c r="C1013" s="3">
        <v>200</v>
      </c>
      <c r="D1013" s="3" t="str">
        <f ca="1">IF(B1013="","",IFERROR(_xludf.XLOOKUP(_xludf.XLOOKUP(B1013,Inventory!$A:$A,Inventory!$B:$B),Blades!$A:$A,Blades!$C:$C)+_xludf.XLOOKUP(_xludf.XLOOKUP(B1013,Inventory!$A:$A,Inventory!$C:$C),Motor!$A:$A,Motor!$C:$C)+_xludf.XLOOKUP(_xludf.XLOOKUP(B1013,Inventory!$A:$A,Inventory!$D:$D),Frame!$A:$A,Frame!$C:$C)+#REF!,""))</f>
        <v/>
      </c>
      <c r="E1013" s="4">
        <v>44943</v>
      </c>
      <c r="F1013" s="1" t="s">
        <v>11</v>
      </c>
    </row>
    <row r="1014" spans="1:6" x14ac:dyDescent="0.25">
      <c r="A1014" s="1" t="s">
        <v>2038</v>
      </c>
      <c r="B1014" s="1" t="s">
        <v>2039</v>
      </c>
      <c r="C1014" s="3">
        <v>200</v>
      </c>
      <c r="D1014" s="3" t="str">
        <f ca="1">IF(B1014="","",IFERROR(_xludf.XLOOKUP(_xludf.XLOOKUP(B1014,Inventory!$A:$A,Inventory!$B:$B),Blades!$A:$A,Blades!$C:$C)+_xludf.XLOOKUP(_xludf.XLOOKUP(B1014,Inventory!$A:$A,Inventory!$C:$C),Motor!$A:$A,Motor!$C:$C)+_xludf.XLOOKUP(_xludf.XLOOKUP(B1014,Inventory!$A:$A,Inventory!$D:$D),Frame!$A:$A,Frame!$C:$C)+#REF!,""))</f>
        <v/>
      </c>
      <c r="E1014" s="4">
        <v>44945</v>
      </c>
      <c r="F1014" s="1" t="s">
        <v>63</v>
      </c>
    </row>
    <row r="1015" spans="1:6" x14ac:dyDescent="0.25">
      <c r="A1015" s="1" t="s">
        <v>2040</v>
      </c>
      <c r="B1015" s="1" t="s">
        <v>2041</v>
      </c>
      <c r="C1015" s="3">
        <v>200</v>
      </c>
      <c r="D1015" s="3" t="str">
        <f ca="1">IF(B1015="","",IFERROR(_xludf.XLOOKUP(_xludf.XLOOKUP(B1015,Inventory!$A:$A,Inventory!$B:$B),Blades!$A:$A,Blades!$C:$C)+_xludf.XLOOKUP(_xludf.XLOOKUP(B1015,Inventory!$A:$A,Inventory!$C:$C),Motor!$A:$A,Motor!$C:$C)+_xludf.XLOOKUP(_xludf.XLOOKUP(B1015,Inventory!$A:$A,Inventory!$D:$D),Frame!$A:$A,Frame!$C:$C)+#REF!,""))</f>
        <v/>
      </c>
      <c r="E1015" s="4">
        <v>44945</v>
      </c>
      <c r="F1015" s="1" t="s">
        <v>52</v>
      </c>
    </row>
    <row r="1016" spans="1:6" x14ac:dyDescent="0.25">
      <c r="A1016" s="1" t="s">
        <v>2042</v>
      </c>
      <c r="B1016" s="1" t="s">
        <v>2043</v>
      </c>
      <c r="C1016" s="3">
        <v>200</v>
      </c>
      <c r="D1016" s="3" t="str">
        <f ca="1">IF(B1016="","",IFERROR(_xludf.XLOOKUP(_xludf.XLOOKUP(B1016,Inventory!$A:$A,Inventory!$B:$B),Blades!$A:$A,Blades!$C:$C)+_xludf.XLOOKUP(_xludf.XLOOKUP(B1016,Inventory!$A:$A,Inventory!$C:$C),Motor!$A:$A,Motor!$C:$C)+_xludf.XLOOKUP(_xludf.XLOOKUP(B1016,Inventory!$A:$A,Inventory!$D:$D),Frame!$A:$A,Frame!$C:$C)+#REF!,""))</f>
        <v/>
      </c>
      <c r="E1016" s="4">
        <v>44946</v>
      </c>
      <c r="F1016" s="1" t="s">
        <v>49</v>
      </c>
    </row>
    <row r="1017" spans="1:6" x14ac:dyDescent="0.25">
      <c r="A1017" s="1" t="s">
        <v>2044</v>
      </c>
      <c r="B1017" s="1" t="s">
        <v>2045</v>
      </c>
      <c r="C1017" s="3">
        <v>200</v>
      </c>
      <c r="D1017" s="3" t="str">
        <f ca="1">IF(B1017="","",IFERROR(_xludf.XLOOKUP(_xludf.XLOOKUP(B1017,Inventory!$A:$A,Inventory!$B:$B),Blades!$A:$A,Blades!$C:$C)+_xludf.XLOOKUP(_xludf.XLOOKUP(B1017,Inventory!$A:$A,Inventory!$C:$C),Motor!$A:$A,Motor!$C:$C)+_xludf.XLOOKUP(_xludf.XLOOKUP(B1017,Inventory!$A:$A,Inventory!$D:$D),Frame!$A:$A,Frame!$C:$C)+#REF!,""))</f>
        <v/>
      </c>
      <c r="E1017" s="4">
        <v>44947</v>
      </c>
      <c r="F1017" s="1" t="s">
        <v>32</v>
      </c>
    </row>
    <row r="1018" spans="1:6" x14ac:dyDescent="0.25">
      <c r="A1018" s="1" t="s">
        <v>2046</v>
      </c>
      <c r="B1018" s="1" t="s">
        <v>2047</v>
      </c>
      <c r="C1018" s="3">
        <v>200</v>
      </c>
      <c r="D1018" s="3" t="str">
        <f ca="1">IF(B1018="","",IFERROR(_xludf.XLOOKUP(_xludf.XLOOKUP(B1018,Inventory!$A:$A,Inventory!$B:$B),Blades!$A:$A,Blades!$C:$C)+_xludf.XLOOKUP(_xludf.XLOOKUP(B1018,Inventory!$A:$A,Inventory!$C:$C),Motor!$A:$A,Motor!$C:$C)+_xludf.XLOOKUP(_xludf.XLOOKUP(B1018,Inventory!$A:$A,Inventory!$D:$D),Frame!$A:$A,Frame!$C:$C)+#REF!,""))</f>
        <v/>
      </c>
      <c r="E1018" s="4">
        <v>44947</v>
      </c>
      <c r="F1018" s="1" t="s">
        <v>11</v>
      </c>
    </row>
    <row r="1019" spans="1:6" x14ac:dyDescent="0.25">
      <c r="A1019" s="1" t="s">
        <v>2048</v>
      </c>
      <c r="B1019" s="1" t="s">
        <v>2049</v>
      </c>
      <c r="C1019" s="3">
        <v>200</v>
      </c>
      <c r="D1019" s="3" t="str">
        <f ca="1">IF(B1019="","",IFERROR(_xludf.XLOOKUP(_xludf.XLOOKUP(B1019,Inventory!$A:$A,Inventory!$B:$B),Blades!$A:$A,Blades!$C:$C)+_xludf.XLOOKUP(_xludf.XLOOKUP(B1019,Inventory!$A:$A,Inventory!$C:$C),Motor!$A:$A,Motor!$C:$C)+_xludf.XLOOKUP(_xludf.XLOOKUP(B1019,Inventory!$A:$A,Inventory!$D:$D),Frame!$A:$A,Frame!$C:$C)+#REF!,""))</f>
        <v/>
      </c>
      <c r="E1019" s="4">
        <v>44948</v>
      </c>
      <c r="F1019" s="1" t="s">
        <v>32</v>
      </c>
    </row>
    <row r="1020" spans="1:6" x14ac:dyDescent="0.25">
      <c r="A1020" s="1" t="s">
        <v>2050</v>
      </c>
      <c r="B1020" s="1" t="s">
        <v>2051</v>
      </c>
      <c r="C1020" s="3">
        <v>200</v>
      </c>
      <c r="D1020" s="3" t="str">
        <f ca="1">IF(B1020="","",IFERROR(_xludf.XLOOKUP(_xludf.XLOOKUP(B1020,Inventory!$A:$A,Inventory!$B:$B),Blades!$A:$A,Blades!$C:$C)+_xludf.XLOOKUP(_xludf.XLOOKUP(B1020,Inventory!$A:$A,Inventory!$C:$C),Motor!$A:$A,Motor!$C:$C)+_xludf.XLOOKUP(_xludf.XLOOKUP(B1020,Inventory!$A:$A,Inventory!$D:$D),Frame!$A:$A,Frame!$C:$C)+#REF!,""))</f>
        <v/>
      </c>
      <c r="E1020" s="4">
        <v>44948</v>
      </c>
      <c r="F1020" s="1" t="s">
        <v>32</v>
      </c>
    </row>
    <row r="1021" spans="1:6" x14ac:dyDescent="0.25">
      <c r="A1021" s="1" t="s">
        <v>2052</v>
      </c>
      <c r="B1021" s="1" t="s">
        <v>2053</v>
      </c>
      <c r="C1021" s="3">
        <v>200</v>
      </c>
      <c r="D1021" s="3" t="str">
        <f ca="1">IF(B1021="","",IFERROR(_xludf.XLOOKUP(_xludf.XLOOKUP(B1021,Inventory!$A:$A,Inventory!$B:$B),Blades!$A:$A,Blades!$C:$C)+_xludf.XLOOKUP(_xludf.XLOOKUP(B1021,Inventory!$A:$A,Inventory!$C:$C),Motor!$A:$A,Motor!$C:$C)+_xludf.XLOOKUP(_xludf.XLOOKUP(B1021,Inventory!$A:$A,Inventory!$D:$D),Frame!$A:$A,Frame!$C:$C)+#REF!,""))</f>
        <v/>
      </c>
      <c r="E1021" s="4">
        <v>44949</v>
      </c>
      <c r="F1021" s="1" t="s">
        <v>8</v>
      </c>
    </row>
    <row r="1022" spans="1:6" x14ac:dyDescent="0.25">
      <c r="A1022" s="1" t="s">
        <v>2054</v>
      </c>
      <c r="B1022" s="1" t="s">
        <v>2055</v>
      </c>
      <c r="C1022" s="3">
        <v>200</v>
      </c>
      <c r="D1022" s="3" t="str">
        <f ca="1">IF(B1022="","",IFERROR(_xludf.XLOOKUP(_xludf.XLOOKUP(B1022,Inventory!$A:$A,Inventory!$B:$B),Blades!$A:$A,Blades!$C:$C)+_xludf.XLOOKUP(_xludf.XLOOKUP(B1022,Inventory!$A:$A,Inventory!$C:$C),Motor!$A:$A,Motor!$C:$C)+_xludf.XLOOKUP(_xludf.XLOOKUP(B1022,Inventory!$A:$A,Inventory!$D:$D),Frame!$A:$A,Frame!$C:$C)+#REF!,""))</f>
        <v/>
      </c>
      <c r="E1022" s="4">
        <v>44949</v>
      </c>
      <c r="F1022" s="1" t="s">
        <v>25</v>
      </c>
    </row>
    <row r="1023" spans="1:6" x14ac:dyDescent="0.25">
      <c r="A1023" s="1" t="s">
        <v>2056</v>
      </c>
      <c r="B1023" s="1" t="s">
        <v>2057</v>
      </c>
      <c r="C1023" s="3">
        <v>200</v>
      </c>
      <c r="D1023" s="3" t="str">
        <f ca="1">IF(B1023="","",IFERROR(_xludf.XLOOKUP(_xludf.XLOOKUP(B1023,Inventory!$A:$A,Inventory!$B:$B),Blades!$A:$A,Blades!$C:$C)+_xludf.XLOOKUP(_xludf.XLOOKUP(B1023,Inventory!$A:$A,Inventory!$C:$C),Motor!$A:$A,Motor!$C:$C)+_xludf.XLOOKUP(_xludf.XLOOKUP(B1023,Inventory!$A:$A,Inventory!$D:$D),Frame!$A:$A,Frame!$C:$C)+#REF!,""))</f>
        <v/>
      </c>
      <c r="E1023" s="4">
        <v>44949</v>
      </c>
      <c r="F1023" s="1" t="s">
        <v>32</v>
      </c>
    </row>
    <row r="1024" spans="1:6" x14ac:dyDescent="0.25">
      <c r="A1024" s="1" t="s">
        <v>2058</v>
      </c>
      <c r="B1024" s="1" t="s">
        <v>2059</v>
      </c>
      <c r="C1024" s="3">
        <v>200</v>
      </c>
      <c r="D1024" s="3" t="str">
        <f ca="1">IF(B1024="","",IFERROR(_xludf.XLOOKUP(_xludf.XLOOKUP(B1024,Inventory!$A:$A,Inventory!$B:$B),Blades!$A:$A,Blades!$C:$C)+_xludf.XLOOKUP(_xludf.XLOOKUP(B1024,Inventory!$A:$A,Inventory!$C:$C),Motor!$A:$A,Motor!$C:$C)+_xludf.XLOOKUP(_xludf.XLOOKUP(B1024,Inventory!$A:$A,Inventory!$D:$D),Frame!$A:$A,Frame!$C:$C)+#REF!,""))</f>
        <v/>
      </c>
      <c r="E1024" s="4">
        <v>44950</v>
      </c>
      <c r="F1024" s="1" t="s">
        <v>8</v>
      </c>
    </row>
    <row r="1025" spans="1:6" x14ac:dyDescent="0.25">
      <c r="A1025" s="1" t="s">
        <v>2060</v>
      </c>
      <c r="B1025" s="1" t="s">
        <v>2061</v>
      </c>
      <c r="C1025" s="3">
        <v>200</v>
      </c>
      <c r="D1025" s="3" t="str">
        <f ca="1">IF(B1025="","",IFERROR(_xludf.XLOOKUP(_xludf.XLOOKUP(B1025,Inventory!$A:$A,Inventory!$B:$B),Blades!$A:$A,Blades!$C:$C)+_xludf.XLOOKUP(_xludf.XLOOKUP(B1025,Inventory!$A:$A,Inventory!$C:$C),Motor!$A:$A,Motor!$C:$C)+_xludf.XLOOKUP(_xludf.XLOOKUP(B1025,Inventory!$A:$A,Inventory!$D:$D),Frame!$A:$A,Frame!$C:$C)+#REF!,""))</f>
        <v/>
      </c>
      <c r="E1025" s="4">
        <v>44952</v>
      </c>
      <c r="F1025" s="1" t="s">
        <v>11</v>
      </c>
    </row>
    <row r="1026" spans="1:6" x14ac:dyDescent="0.25">
      <c r="A1026" s="1" t="s">
        <v>2062</v>
      </c>
      <c r="B1026" s="1" t="s">
        <v>2063</v>
      </c>
      <c r="C1026" s="3">
        <v>200</v>
      </c>
      <c r="D1026" s="3" t="str">
        <f ca="1">IF(B1026="","",IFERROR(_xludf.XLOOKUP(_xludf.XLOOKUP(B1026,Inventory!$A:$A,Inventory!$B:$B),Blades!$A:$A,Blades!$C:$C)+_xludf.XLOOKUP(_xludf.XLOOKUP(B1026,Inventory!$A:$A,Inventory!$C:$C),Motor!$A:$A,Motor!$C:$C)+_xludf.XLOOKUP(_xludf.XLOOKUP(B1026,Inventory!$A:$A,Inventory!$D:$D),Frame!$A:$A,Frame!$C:$C)+#REF!,""))</f>
        <v/>
      </c>
      <c r="E1026" s="4">
        <v>44952</v>
      </c>
      <c r="F1026" s="1" t="s">
        <v>32</v>
      </c>
    </row>
    <row r="1027" spans="1:6" x14ac:dyDescent="0.25">
      <c r="A1027" s="1" t="s">
        <v>2064</v>
      </c>
      <c r="B1027" s="1" t="s">
        <v>2065</v>
      </c>
      <c r="C1027" s="3">
        <v>200</v>
      </c>
      <c r="D1027" s="3" t="str">
        <f ca="1">IF(B1027="","",IFERROR(_xludf.XLOOKUP(_xludf.XLOOKUP(B1027,Inventory!$A:$A,Inventory!$B:$B),Blades!$A:$A,Blades!$C:$C)+_xludf.XLOOKUP(_xludf.XLOOKUP(B1027,Inventory!$A:$A,Inventory!$C:$C),Motor!$A:$A,Motor!$C:$C)+_xludf.XLOOKUP(_xludf.XLOOKUP(B1027,Inventory!$A:$A,Inventory!$D:$D),Frame!$A:$A,Frame!$C:$C)+#REF!,""))</f>
        <v/>
      </c>
      <c r="E1027" s="4">
        <v>44952</v>
      </c>
      <c r="F1027" s="1" t="s">
        <v>11</v>
      </c>
    </row>
    <row r="1028" spans="1:6" x14ac:dyDescent="0.25">
      <c r="A1028" s="1" t="s">
        <v>2066</v>
      </c>
      <c r="B1028" s="1" t="s">
        <v>2067</v>
      </c>
      <c r="C1028" s="3">
        <v>200</v>
      </c>
      <c r="D1028" s="3" t="str">
        <f ca="1">IF(B1028="","",IFERROR(_xludf.XLOOKUP(_xludf.XLOOKUP(B1028,Inventory!$A:$A,Inventory!$B:$B),Blades!$A:$A,Blades!$C:$C)+_xludf.XLOOKUP(_xludf.XLOOKUP(B1028,Inventory!$A:$A,Inventory!$C:$C),Motor!$A:$A,Motor!$C:$C)+_xludf.XLOOKUP(_xludf.XLOOKUP(B1028,Inventory!$A:$A,Inventory!$D:$D),Frame!$A:$A,Frame!$C:$C)+#REF!,""))</f>
        <v/>
      </c>
      <c r="E1028" s="4">
        <v>44953</v>
      </c>
      <c r="F1028" s="1" t="s">
        <v>8</v>
      </c>
    </row>
    <row r="1029" spans="1:6" x14ac:dyDescent="0.25">
      <c r="A1029" s="1" t="s">
        <v>2068</v>
      </c>
      <c r="B1029" s="1" t="s">
        <v>2069</v>
      </c>
      <c r="C1029" s="3">
        <v>200</v>
      </c>
      <c r="D1029" s="3" t="str">
        <f ca="1">IF(B1029="","",IFERROR(_xludf.XLOOKUP(_xludf.XLOOKUP(B1029,Inventory!$A:$A,Inventory!$B:$B),Blades!$A:$A,Blades!$C:$C)+_xludf.XLOOKUP(_xludf.XLOOKUP(B1029,Inventory!$A:$A,Inventory!$C:$C),Motor!$A:$A,Motor!$C:$C)+_xludf.XLOOKUP(_xludf.XLOOKUP(B1029,Inventory!$A:$A,Inventory!$D:$D),Frame!$A:$A,Frame!$C:$C)+#REF!,""))</f>
        <v/>
      </c>
      <c r="E1029" s="4">
        <v>44954</v>
      </c>
      <c r="F1029" s="1" t="s">
        <v>63</v>
      </c>
    </row>
    <row r="1030" spans="1:6" x14ac:dyDescent="0.25">
      <c r="A1030" s="1" t="s">
        <v>2070</v>
      </c>
      <c r="B1030" s="1" t="s">
        <v>2071</v>
      </c>
      <c r="C1030" s="3">
        <v>200</v>
      </c>
      <c r="D1030" s="3" t="str">
        <f ca="1">IF(B1030="","",IFERROR(_xludf.XLOOKUP(_xludf.XLOOKUP(B1030,Inventory!$A:$A,Inventory!$B:$B),Blades!$A:$A,Blades!$C:$C)+_xludf.XLOOKUP(_xludf.XLOOKUP(B1030,Inventory!$A:$A,Inventory!$C:$C),Motor!$A:$A,Motor!$C:$C)+_xludf.XLOOKUP(_xludf.XLOOKUP(B1030,Inventory!$A:$A,Inventory!$D:$D),Frame!$A:$A,Frame!$C:$C)+#REF!,""))</f>
        <v/>
      </c>
      <c r="E1030" s="4">
        <v>44954</v>
      </c>
      <c r="F1030" s="1" t="s">
        <v>49</v>
      </c>
    </row>
    <row r="1031" spans="1:6" x14ac:dyDescent="0.25">
      <c r="A1031" s="1" t="s">
        <v>2072</v>
      </c>
      <c r="B1031" s="1" t="s">
        <v>2073</v>
      </c>
      <c r="C1031" s="3">
        <v>200</v>
      </c>
      <c r="D1031" s="3" t="str">
        <f ca="1">IF(B1031="","",IFERROR(_xludf.XLOOKUP(_xludf.XLOOKUP(B1031,Inventory!$A:$A,Inventory!$B:$B),Blades!$A:$A,Blades!$C:$C)+_xludf.XLOOKUP(_xludf.XLOOKUP(B1031,Inventory!$A:$A,Inventory!$C:$C),Motor!$A:$A,Motor!$C:$C)+_xludf.XLOOKUP(_xludf.XLOOKUP(B1031,Inventory!$A:$A,Inventory!$D:$D),Frame!$A:$A,Frame!$C:$C)+#REF!,""))</f>
        <v/>
      </c>
      <c r="E1031" s="4">
        <v>44954</v>
      </c>
      <c r="F1031" s="1" t="s">
        <v>25</v>
      </c>
    </row>
    <row r="1032" spans="1:6" x14ac:dyDescent="0.25">
      <c r="A1032" s="1" t="s">
        <v>2074</v>
      </c>
      <c r="B1032" s="1" t="s">
        <v>2075</v>
      </c>
      <c r="C1032" s="3">
        <v>200</v>
      </c>
      <c r="D1032" s="3" t="str">
        <f ca="1">IF(B1032="","",IFERROR(_xludf.XLOOKUP(_xludf.XLOOKUP(B1032,Inventory!$A:$A,Inventory!$B:$B),Blades!$A:$A,Blades!$C:$C)+_xludf.XLOOKUP(_xludf.XLOOKUP(B1032,Inventory!$A:$A,Inventory!$C:$C),Motor!$A:$A,Motor!$C:$C)+_xludf.XLOOKUP(_xludf.XLOOKUP(B1032,Inventory!$A:$A,Inventory!$D:$D),Frame!$A:$A,Frame!$C:$C)+#REF!,""))</f>
        <v/>
      </c>
      <c r="E1032" s="4">
        <v>44955</v>
      </c>
      <c r="F1032" s="1" t="s">
        <v>32</v>
      </c>
    </row>
    <row r="1033" spans="1:6" x14ac:dyDescent="0.25">
      <c r="A1033" s="1" t="s">
        <v>2076</v>
      </c>
      <c r="B1033" s="1" t="s">
        <v>2077</v>
      </c>
      <c r="C1033" s="3">
        <v>200</v>
      </c>
      <c r="D1033" s="3" t="str">
        <f ca="1">IF(B1033="","",IFERROR(_xludf.XLOOKUP(_xludf.XLOOKUP(B1033,Inventory!$A:$A,Inventory!$B:$B),Blades!$A:$A,Blades!$C:$C)+_xludf.XLOOKUP(_xludf.XLOOKUP(B1033,Inventory!$A:$A,Inventory!$C:$C),Motor!$A:$A,Motor!$C:$C)+_xludf.XLOOKUP(_xludf.XLOOKUP(B1033,Inventory!$A:$A,Inventory!$D:$D),Frame!$A:$A,Frame!$C:$C)+#REF!,""))</f>
        <v/>
      </c>
      <c r="E1033" s="4">
        <v>44956</v>
      </c>
      <c r="F1033" s="1" t="s">
        <v>11</v>
      </c>
    </row>
    <row r="1034" spans="1:6" x14ac:dyDescent="0.25">
      <c r="A1034" s="1" t="s">
        <v>2078</v>
      </c>
      <c r="B1034" s="1" t="s">
        <v>2079</v>
      </c>
      <c r="C1034" s="3">
        <v>200</v>
      </c>
      <c r="D1034" s="3" t="str">
        <f ca="1">IF(B1034="","",IFERROR(_xludf.XLOOKUP(_xludf.XLOOKUP(B1034,Inventory!$A:$A,Inventory!$B:$B),Blades!$A:$A,Blades!$C:$C)+_xludf.XLOOKUP(_xludf.XLOOKUP(B1034,Inventory!$A:$A,Inventory!$C:$C),Motor!$A:$A,Motor!$C:$C)+_xludf.XLOOKUP(_xludf.XLOOKUP(B1034,Inventory!$A:$A,Inventory!$D:$D),Frame!$A:$A,Frame!$C:$C)+#REF!,""))</f>
        <v/>
      </c>
      <c r="E1034" s="4">
        <v>44957</v>
      </c>
      <c r="F1034" s="1" t="s">
        <v>11</v>
      </c>
    </row>
    <row r="1035" spans="1:6" x14ac:dyDescent="0.25">
      <c r="A1035" s="1" t="s">
        <v>2080</v>
      </c>
      <c r="B1035" s="1" t="s">
        <v>2081</v>
      </c>
      <c r="C1035" s="3">
        <v>200</v>
      </c>
      <c r="D1035" s="3" t="str">
        <f ca="1">IF(B1035="","",IFERROR(_xludf.XLOOKUP(_xludf.XLOOKUP(B1035,Inventory!$A:$A,Inventory!$B:$B),Blades!$A:$A,Blades!$C:$C)+_xludf.XLOOKUP(_xludf.XLOOKUP(B1035,Inventory!$A:$A,Inventory!$C:$C),Motor!$A:$A,Motor!$C:$C)+_xludf.XLOOKUP(_xludf.XLOOKUP(B1035,Inventory!$A:$A,Inventory!$D:$D),Frame!$A:$A,Frame!$C:$C)+#REF!,""))</f>
        <v/>
      </c>
      <c r="E1035" s="4">
        <v>44958</v>
      </c>
      <c r="F1035" s="1" t="s">
        <v>20</v>
      </c>
    </row>
    <row r="1036" spans="1:6" x14ac:dyDescent="0.25">
      <c r="A1036" s="1" t="s">
        <v>2082</v>
      </c>
      <c r="B1036" s="1" t="s">
        <v>2083</v>
      </c>
      <c r="C1036" s="3">
        <v>200</v>
      </c>
      <c r="D1036" s="3" t="str">
        <f ca="1">IF(B1036="","",IFERROR(_xludf.XLOOKUP(_xludf.XLOOKUP(B1036,Inventory!$A:$A,Inventory!$B:$B),Blades!$A:$A,Blades!$C:$C)+_xludf.XLOOKUP(_xludf.XLOOKUP(B1036,Inventory!$A:$A,Inventory!$C:$C),Motor!$A:$A,Motor!$C:$C)+_xludf.XLOOKUP(_xludf.XLOOKUP(B1036,Inventory!$A:$A,Inventory!$D:$D),Frame!$A:$A,Frame!$C:$C)+#REF!,""))</f>
        <v/>
      </c>
      <c r="E1036" s="4">
        <v>44960</v>
      </c>
      <c r="F1036" s="1" t="s">
        <v>8</v>
      </c>
    </row>
    <row r="1037" spans="1:6" x14ac:dyDescent="0.25">
      <c r="A1037" s="1" t="s">
        <v>2084</v>
      </c>
      <c r="B1037" s="1" t="s">
        <v>2085</v>
      </c>
      <c r="C1037" s="3">
        <v>200</v>
      </c>
      <c r="D1037" s="3" t="str">
        <f ca="1">IF(B1037="","",IFERROR(_xludf.XLOOKUP(_xludf.XLOOKUP(B1037,Inventory!$A:$A,Inventory!$B:$B),Blades!$A:$A,Blades!$C:$C)+_xludf.XLOOKUP(_xludf.XLOOKUP(B1037,Inventory!$A:$A,Inventory!$C:$C),Motor!$A:$A,Motor!$C:$C)+_xludf.XLOOKUP(_xludf.XLOOKUP(B1037,Inventory!$A:$A,Inventory!$D:$D),Frame!$A:$A,Frame!$C:$C)+#REF!,""))</f>
        <v/>
      </c>
      <c r="E1037" s="4">
        <v>44960</v>
      </c>
      <c r="F1037" s="1" t="s">
        <v>20</v>
      </c>
    </row>
    <row r="1038" spans="1:6" x14ac:dyDescent="0.25">
      <c r="A1038" s="1" t="s">
        <v>2086</v>
      </c>
      <c r="B1038" s="1" t="s">
        <v>2087</v>
      </c>
      <c r="C1038" s="3">
        <v>200</v>
      </c>
      <c r="D1038" s="3" t="str">
        <f ca="1">IF(B1038="","",IFERROR(_xludf.XLOOKUP(_xludf.XLOOKUP(B1038,Inventory!$A:$A,Inventory!$B:$B),Blades!$A:$A,Blades!$C:$C)+_xludf.XLOOKUP(_xludf.XLOOKUP(B1038,Inventory!$A:$A,Inventory!$C:$C),Motor!$A:$A,Motor!$C:$C)+_xludf.XLOOKUP(_xludf.XLOOKUP(B1038,Inventory!$A:$A,Inventory!$D:$D),Frame!$A:$A,Frame!$C:$C)+#REF!,""))</f>
        <v/>
      </c>
      <c r="E1038" s="4">
        <v>44961</v>
      </c>
      <c r="F1038" s="1" t="s">
        <v>52</v>
      </c>
    </row>
    <row r="1039" spans="1:6" x14ac:dyDescent="0.25">
      <c r="A1039" s="1" t="s">
        <v>2088</v>
      </c>
      <c r="B1039" s="1" t="s">
        <v>2089</v>
      </c>
      <c r="C1039" s="3">
        <v>200</v>
      </c>
      <c r="D1039" s="3" t="str">
        <f ca="1">IF(B1039="","",IFERROR(_xludf.XLOOKUP(_xludf.XLOOKUP(B1039,Inventory!$A:$A,Inventory!$B:$B),Blades!$A:$A,Blades!$C:$C)+_xludf.XLOOKUP(_xludf.XLOOKUP(B1039,Inventory!$A:$A,Inventory!$C:$C),Motor!$A:$A,Motor!$C:$C)+_xludf.XLOOKUP(_xludf.XLOOKUP(B1039,Inventory!$A:$A,Inventory!$D:$D),Frame!$A:$A,Frame!$C:$C)+#REF!,""))</f>
        <v/>
      </c>
      <c r="E1039" s="4">
        <v>44961</v>
      </c>
      <c r="F1039" s="1" t="s">
        <v>8</v>
      </c>
    </row>
    <row r="1040" spans="1:6" x14ac:dyDescent="0.25">
      <c r="A1040" s="1" t="s">
        <v>2090</v>
      </c>
      <c r="B1040" s="1" t="s">
        <v>2091</v>
      </c>
      <c r="C1040" s="3">
        <v>200</v>
      </c>
      <c r="D1040" s="3" t="str">
        <f ca="1">IF(B1040="","",IFERROR(_xludf.XLOOKUP(_xludf.XLOOKUP(B1040,Inventory!$A:$A,Inventory!$B:$B),Blades!$A:$A,Blades!$C:$C)+_xludf.XLOOKUP(_xludf.XLOOKUP(B1040,Inventory!$A:$A,Inventory!$C:$C),Motor!$A:$A,Motor!$C:$C)+_xludf.XLOOKUP(_xludf.XLOOKUP(B1040,Inventory!$A:$A,Inventory!$D:$D),Frame!$A:$A,Frame!$C:$C)+#REF!,""))</f>
        <v/>
      </c>
      <c r="E1040" s="4">
        <v>44961</v>
      </c>
      <c r="F1040" s="1" t="s">
        <v>11</v>
      </c>
    </row>
    <row r="1041" spans="1:6" x14ac:dyDescent="0.25">
      <c r="A1041" s="1" t="s">
        <v>2092</v>
      </c>
      <c r="B1041" s="1" t="s">
        <v>2093</v>
      </c>
      <c r="C1041" s="3">
        <v>200</v>
      </c>
      <c r="D1041" s="3" t="str">
        <f ca="1">IF(B1041="","",IFERROR(_xludf.XLOOKUP(_xludf.XLOOKUP(B1041,Inventory!$A:$A,Inventory!$B:$B),Blades!$A:$A,Blades!$C:$C)+_xludf.XLOOKUP(_xludf.XLOOKUP(B1041,Inventory!$A:$A,Inventory!$C:$C),Motor!$A:$A,Motor!$C:$C)+_xludf.XLOOKUP(_xludf.XLOOKUP(B1041,Inventory!$A:$A,Inventory!$D:$D),Frame!$A:$A,Frame!$C:$C)+#REF!,""))</f>
        <v/>
      </c>
      <c r="E1041" s="4">
        <v>44967</v>
      </c>
      <c r="F1041" s="1" t="s">
        <v>11</v>
      </c>
    </row>
    <row r="1042" spans="1:6" x14ac:dyDescent="0.25">
      <c r="A1042" s="1" t="s">
        <v>2094</v>
      </c>
      <c r="B1042" s="1" t="s">
        <v>2095</v>
      </c>
      <c r="C1042" s="3">
        <v>200</v>
      </c>
      <c r="D1042" s="3" t="str">
        <f ca="1">IF(B1042="","",IFERROR(_xludf.XLOOKUP(_xludf.XLOOKUP(B1042,Inventory!$A:$A,Inventory!$B:$B),Blades!$A:$A,Blades!$C:$C)+_xludf.XLOOKUP(_xludf.XLOOKUP(B1042,Inventory!$A:$A,Inventory!$C:$C),Motor!$A:$A,Motor!$C:$C)+_xludf.XLOOKUP(_xludf.XLOOKUP(B1042,Inventory!$A:$A,Inventory!$D:$D),Frame!$A:$A,Frame!$C:$C)+#REF!,""))</f>
        <v/>
      </c>
      <c r="E1042" s="4">
        <v>44967</v>
      </c>
      <c r="F1042" s="1" t="s">
        <v>20</v>
      </c>
    </row>
    <row r="1043" spans="1:6" x14ac:dyDescent="0.25">
      <c r="A1043" s="1" t="s">
        <v>2096</v>
      </c>
      <c r="B1043" s="1" t="s">
        <v>2097</v>
      </c>
      <c r="C1043" s="3">
        <v>200</v>
      </c>
      <c r="D1043" s="3" t="str">
        <f ca="1">IF(B1043="","",IFERROR(_xludf.XLOOKUP(_xludf.XLOOKUP(B1043,Inventory!$A:$A,Inventory!$B:$B),Blades!$A:$A,Blades!$C:$C)+_xludf.XLOOKUP(_xludf.XLOOKUP(B1043,Inventory!$A:$A,Inventory!$C:$C),Motor!$A:$A,Motor!$C:$C)+_xludf.XLOOKUP(_xludf.XLOOKUP(B1043,Inventory!$A:$A,Inventory!$D:$D),Frame!$A:$A,Frame!$C:$C)+#REF!,""))</f>
        <v/>
      </c>
      <c r="E1043" s="4">
        <v>44970</v>
      </c>
      <c r="F1043" s="1" t="s">
        <v>52</v>
      </c>
    </row>
    <row r="1044" spans="1:6" x14ac:dyDescent="0.25">
      <c r="A1044" s="1" t="s">
        <v>2098</v>
      </c>
      <c r="B1044" s="1" t="s">
        <v>2099</v>
      </c>
      <c r="C1044" s="3">
        <v>200</v>
      </c>
      <c r="D1044" s="3" t="str">
        <f ca="1">IF(B1044="","",IFERROR(_xludf.XLOOKUP(_xludf.XLOOKUP(B1044,Inventory!$A:$A,Inventory!$B:$B),Blades!$A:$A,Blades!$C:$C)+_xludf.XLOOKUP(_xludf.XLOOKUP(B1044,Inventory!$A:$A,Inventory!$C:$C),Motor!$A:$A,Motor!$C:$C)+_xludf.XLOOKUP(_xludf.XLOOKUP(B1044,Inventory!$A:$A,Inventory!$D:$D),Frame!$A:$A,Frame!$C:$C)+#REF!,""))</f>
        <v/>
      </c>
      <c r="E1044" s="4">
        <v>44970</v>
      </c>
      <c r="F1044" s="1" t="s">
        <v>25</v>
      </c>
    </row>
    <row r="1045" spans="1:6" x14ac:dyDescent="0.25">
      <c r="A1045" s="1" t="s">
        <v>2100</v>
      </c>
      <c r="B1045" s="1" t="s">
        <v>2101</v>
      </c>
      <c r="C1045" s="3">
        <v>200</v>
      </c>
      <c r="D1045" s="3" t="str">
        <f ca="1">IF(B1045="","",IFERROR(_xludf.XLOOKUP(_xludf.XLOOKUP(B1045,Inventory!$A:$A,Inventory!$B:$B),Blades!$A:$A,Blades!$C:$C)+_xludf.XLOOKUP(_xludf.XLOOKUP(B1045,Inventory!$A:$A,Inventory!$C:$C),Motor!$A:$A,Motor!$C:$C)+_xludf.XLOOKUP(_xludf.XLOOKUP(B1045,Inventory!$A:$A,Inventory!$D:$D),Frame!$A:$A,Frame!$C:$C)+#REF!,""))</f>
        <v/>
      </c>
      <c r="E1045" s="4">
        <v>44971</v>
      </c>
      <c r="F1045" s="1" t="s">
        <v>63</v>
      </c>
    </row>
    <row r="1046" spans="1:6" x14ac:dyDescent="0.25">
      <c r="A1046" s="1" t="s">
        <v>2102</v>
      </c>
      <c r="B1046" s="1" t="s">
        <v>2103</v>
      </c>
      <c r="C1046" s="3">
        <v>200</v>
      </c>
      <c r="D1046" s="3" t="str">
        <f ca="1">IF(B1046="","",IFERROR(_xludf.XLOOKUP(_xludf.XLOOKUP(B1046,Inventory!$A:$A,Inventory!$B:$B),Blades!$A:$A,Blades!$C:$C)+_xludf.XLOOKUP(_xludf.XLOOKUP(B1046,Inventory!$A:$A,Inventory!$C:$C),Motor!$A:$A,Motor!$C:$C)+_xludf.XLOOKUP(_xludf.XLOOKUP(B1046,Inventory!$A:$A,Inventory!$D:$D),Frame!$A:$A,Frame!$C:$C)+#REF!,""))</f>
        <v/>
      </c>
      <c r="E1046" s="4">
        <v>44971</v>
      </c>
      <c r="F1046" s="1" t="s">
        <v>49</v>
      </c>
    </row>
    <row r="1047" spans="1:6" x14ac:dyDescent="0.25">
      <c r="A1047" s="1" t="s">
        <v>2104</v>
      </c>
      <c r="B1047" s="1" t="s">
        <v>2105</v>
      </c>
      <c r="C1047" s="3">
        <v>200</v>
      </c>
      <c r="D1047" s="3" t="str">
        <f ca="1">IF(B1047="","",IFERROR(_xludf.XLOOKUP(_xludf.XLOOKUP(B1047,Inventory!$A:$A,Inventory!$B:$B),Blades!$A:$A,Blades!$C:$C)+_xludf.XLOOKUP(_xludf.XLOOKUP(B1047,Inventory!$A:$A,Inventory!$C:$C),Motor!$A:$A,Motor!$C:$C)+_xludf.XLOOKUP(_xludf.XLOOKUP(B1047,Inventory!$A:$A,Inventory!$D:$D),Frame!$A:$A,Frame!$C:$C)+#REF!,""))</f>
        <v/>
      </c>
      <c r="E1047" s="4">
        <v>44971</v>
      </c>
      <c r="F1047" s="1" t="s">
        <v>20</v>
      </c>
    </row>
    <row r="1048" spans="1:6" x14ac:dyDescent="0.25">
      <c r="A1048" s="1" t="s">
        <v>2106</v>
      </c>
      <c r="B1048" s="1" t="s">
        <v>2107</v>
      </c>
      <c r="C1048" s="3">
        <v>200</v>
      </c>
      <c r="D1048" s="3" t="str">
        <f ca="1">IF(B1048="","",IFERROR(_xludf.XLOOKUP(_xludf.XLOOKUP(B1048,Inventory!$A:$A,Inventory!$B:$B),Blades!$A:$A,Blades!$C:$C)+_xludf.XLOOKUP(_xludf.XLOOKUP(B1048,Inventory!$A:$A,Inventory!$C:$C),Motor!$A:$A,Motor!$C:$C)+_xludf.XLOOKUP(_xludf.XLOOKUP(B1048,Inventory!$A:$A,Inventory!$D:$D),Frame!$A:$A,Frame!$C:$C)+#REF!,""))</f>
        <v/>
      </c>
      <c r="E1048" s="4">
        <v>44972</v>
      </c>
      <c r="F1048" s="1" t="s">
        <v>25</v>
      </c>
    </row>
    <row r="1049" spans="1:6" x14ac:dyDescent="0.25">
      <c r="A1049" s="1" t="s">
        <v>2108</v>
      </c>
      <c r="B1049" s="1" t="s">
        <v>2109</v>
      </c>
      <c r="C1049" s="3">
        <v>200</v>
      </c>
      <c r="D1049" s="3" t="str">
        <f ca="1">IF(B1049="","",IFERROR(_xludf.XLOOKUP(_xludf.XLOOKUP(B1049,Inventory!$A:$A,Inventory!$B:$B),Blades!$A:$A,Blades!$C:$C)+_xludf.XLOOKUP(_xludf.XLOOKUP(B1049,Inventory!$A:$A,Inventory!$C:$C),Motor!$A:$A,Motor!$C:$C)+_xludf.XLOOKUP(_xludf.XLOOKUP(B1049,Inventory!$A:$A,Inventory!$D:$D),Frame!$A:$A,Frame!$C:$C)+#REF!,""))</f>
        <v/>
      </c>
      <c r="E1049" s="4">
        <v>44972</v>
      </c>
      <c r="F1049" s="1" t="s">
        <v>63</v>
      </c>
    </row>
    <row r="1050" spans="1:6" x14ac:dyDescent="0.25">
      <c r="A1050" s="1" t="s">
        <v>2110</v>
      </c>
      <c r="B1050" s="1" t="s">
        <v>2111</v>
      </c>
      <c r="C1050" s="3">
        <v>200</v>
      </c>
      <c r="D1050" s="3" t="str">
        <f ca="1">IF(B1050="","",IFERROR(_xludf.XLOOKUP(_xludf.XLOOKUP(B1050,Inventory!$A:$A,Inventory!$B:$B),Blades!$A:$A,Blades!$C:$C)+_xludf.XLOOKUP(_xludf.XLOOKUP(B1050,Inventory!$A:$A,Inventory!$C:$C),Motor!$A:$A,Motor!$C:$C)+_xludf.XLOOKUP(_xludf.XLOOKUP(B1050,Inventory!$A:$A,Inventory!$D:$D),Frame!$A:$A,Frame!$C:$C)+#REF!,""))</f>
        <v/>
      </c>
      <c r="E1050" s="4">
        <v>44973</v>
      </c>
      <c r="F1050" s="1" t="s">
        <v>25</v>
      </c>
    </row>
    <row r="1051" spans="1:6" x14ac:dyDescent="0.25">
      <c r="A1051" s="1" t="s">
        <v>2112</v>
      </c>
      <c r="B1051" s="1" t="s">
        <v>2113</v>
      </c>
      <c r="C1051" s="3">
        <v>200</v>
      </c>
      <c r="D1051" s="3" t="str">
        <f ca="1">IF(B1051="","",IFERROR(_xludf.XLOOKUP(_xludf.XLOOKUP(B1051,Inventory!$A:$A,Inventory!$B:$B),Blades!$A:$A,Blades!$C:$C)+_xludf.XLOOKUP(_xludf.XLOOKUP(B1051,Inventory!$A:$A,Inventory!$C:$C),Motor!$A:$A,Motor!$C:$C)+_xludf.XLOOKUP(_xludf.XLOOKUP(B1051,Inventory!$A:$A,Inventory!$D:$D),Frame!$A:$A,Frame!$C:$C)+#REF!,""))</f>
        <v/>
      </c>
      <c r="E1051" s="4">
        <v>44973</v>
      </c>
      <c r="F1051" s="1" t="s">
        <v>63</v>
      </c>
    </row>
    <row r="1052" spans="1:6" x14ac:dyDescent="0.25">
      <c r="A1052" s="1" t="s">
        <v>2114</v>
      </c>
      <c r="B1052" s="1" t="s">
        <v>2115</v>
      </c>
      <c r="C1052" s="3">
        <v>200</v>
      </c>
      <c r="D1052" s="3" t="str">
        <f ca="1">IF(B1052="","",IFERROR(_xludf.XLOOKUP(_xludf.XLOOKUP(B1052,Inventory!$A:$A,Inventory!$B:$B),Blades!$A:$A,Blades!$C:$C)+_xludf.XLOOKUP(_xludf.XLOOKUP(B1052,Inventory!$A:$A,Inventory!$C:$C),Motor!$A:$A,Motor!$C:$C)+_xludf.XLOOKUP(_xludf.XLOOKUP(B1052,Inventory!$A:$A,Inventory!$D:$D),Frame!$A:$A,Frame!$C:$C)+#REF!,""))</f>
        <v/>
      </c>
      <c r="E1052" s="4">
        <v>44973</v>
      </c>
      <c r="F1052" s="1" t="s">
        <v>20</v>
      </c>
    </row>
    <row r="1053" spans="1:6" x14ac:dyDescent="0.25">
      <c r="A1053" s="1" t="s">
        <v>2116</v>
      </c>
      <c r="B1053" s="1" t="s">
        <v>2117</v>
      </c>
      <c r="C1053" s="3">
        <v>200</v>
      </c>
      <c r="D1053" s="3" t="str">
        <f ca="1">IF(B1053="","",IFERROR(_xludf.XLOOKUP(_xludf.XLOOKUP(B1053,Inventory!$A:$A,Inventory!$B:$B),Blades!$A:$A,Blades!$C:$C)+_xludf.XLOOKUP(_xludf.XLOOKUP(B1053,Inventory!$A:$A,Inventory!$C:$C),Motor!$A:$A,Motor!$C:$C)+_xludf.XLOOKUP(_xludf.XLOOKUP(B1053,Inventory!$A:$A,Inventory!$D:$D),Frame!$A:$A,Frame!$C:$C)+#REF!,""))</f>
        <v/>
      </c>
      <c r="E1053" s="4">
        <v>44974</v>
      </c>
      <c r="F1053" s="1" t="s">
        <v>20</v>
      </c>
    </row>
    <row r="1054" spans="1:6" x14ac:dyDescent="0.25">
      <c r="A1054" s="1" t="s">
        <v>2118</v>
      </c>
      <c r="B1054" s="1" t="s">
        <v>2119</v>
      </c>
      <c r="C1054" s="3">
        <v>200</v>
      </c>
      <c r="D1054" s="3" t="str">
        <f ca="1">IF(B1054="","",IFERROR(_xludf.XLOOKUP(_xludf.XLOOKUP(B1054,Inventory!$A:$A,Inventory!$B:$B),Blades!$A:$A,Blades!$C:$C)+_xludf.XLOOKUP(_xludf.XLOOKUP(B1054,Inventory!$A:$A,Inventory!$C:$C),Motor!$A:$A,Motor!$C:$C)+_xludf.XLOOKUP(_xludf.XLOOKUP(B1054,Inventory!$A:$A,Inventory!$D:$D),Frame!$A:$A,Frame!$C:$C)+#REF!,""))</f>
        <v/>
      </c>
      <c r="E1054" s="4">
        <v>44977</v>
      </c>
      <c r="F1054" s="1" t="s">
        <v>52</v>
      </c>
    </row>
    <row r="1055" spans="1:6" x14ac:dyDescent="0.25">
      <c r="A1055" s="1" t="s">
        <v>2120</v>
      </c>
      <c r="B1055" s="1" t="s">
        <v>2121</v>
      </c>
      <c r="C1055" s="3">
        <v>200</v>
      </c>
      <c r="D1055" s="3" t="str">
        <f ca="1">IF(B1055="","",IFERROR(_xludf.XLOOKUP(_xludf.XLOOKUP(B1055,Inventory!$A:$A,Inventory!$B:$B),Blades!$A:$A,Blades!$C:$C)+_xludf.XLOOKUP(_xludf.XLOOKUP(B1055,Inventory!$A:$A,Inventory!$C:$C),Motor!$A:$A,Motor!$C:$C)+_xludf.XLOOKUP(_xludf.XLOOKUP(B1055,Inventory!$A:$A,Inventory!$D:$D),Frame!$A:$A,Frame!$C:$C)+#REF!,""))</f>
        <v/>
      </c>
      <c r="E1055" s="4">
        <v>44981</v>
      </c>
      <c r="F1055" s="1" t="s">
        <v>20</v>
      </c>
    </row>
    <row r="1056" spans="1:6" x14ac:dyDescent="0.25">
      <c r="A1056" s="1" t="s">
        <v>2122</v>
      </c>
      <c r="B1056" s="1" t="s">
        <v>2123</v>
      </c>
      <c r="C1056" s="3">
        <v>200</v>
      </c>
      <c r="D1056" s="3" t="str">
        <f ca="1">IF(B1056="","",IFERROR(_xludf.XLOOKUP(_xludf.XLOOKUP(B1056,Inventory!$A:$A,Inventory!$B:$B),Blades!$A:$A,Blades!$C:$C)+_xludf.XLOOKUP(_xludf.XLOOKUP(B1056,Inventory!$A:$A,Inventory!$C:$C),Motor!$A:$A,Motor!$C:$C)+_xludf.XLOOKUP(_xludf.XLOOKUP(B1056,Inventory!$A:$A,Inventory!$D:$D),Frame!$A:$A,Frame!$C:$C)+#REF!,""))</f>
        <v/>
      </c>
      <c r="E1056" s="4">
        <v>44982</v>
      </c>
      <c r="F1056" s="1" t="s">
        <v>32</v>
      </c>
    </row>
    <row r="1057" spans="1:6" x14ac:dyDescent="0.25">
      <c r="A1057" s="1" t="s">
        <v>2124</v>
      </c>
      <c r="B1057" s="1" t="s">
        <v>2125</v>
      </c>
      <c r="C1057" s="3">
        <v>200</v>
      </c>
      <c r="D1057" s="3" t="str">
        <f ca="1">IF(B1057="","",IFERROR(_xludf.XLOOKUP(_xludf.XLOOKUP(B1057,Inventory!$A:$A,Inventory!$B:$B),Blades!$A:$A,Blades!$C:$C)+_xludf.XLOOKUP(_xludf.XLOOKUP(B1057,Inventory!$A:$A,Inventory!$C:$C),Motor!$A:$A,Motor!$C:$C)+_xludf.XLOOKUP(_xludf.XLOOKUP(B1057,Inventory!$A:$A,Inventory!$D:$D),Frame!$A:$A,Frame!$C:$C)+#REF!,""))</f>
        <v/>
      </c>
      <c r="E1057" s="4">
        <v>44982</v>
      </c>
      <c r="F1057" s="1" t="s">
        <v>8</v>
      </c>
    </row>
    <row r="1058" spans="1:6" x14ac:dyDescent="0.25">
      <c r="A1058" s="1" t="s">
        <v>2126</v>
      </c>
      <c r="B1058" s="1" t="s">
        <v>2127</v>
      </c>
      <c r="C1058" s="3">
        <v>200</v>
      </c>
      <c r="D1058" s="3" t="str">
        <f ca="1">IF(B1058="","",IFERROR(_xludf.XLOOKUP(_xludf.XLOOKUP(B1058,Inventory!$A:$A,Inventory!$B:$B),Blades!$A:$A,Blades!$C:$C)+_xludf.XLOOKUP(_xludf.XLOOKUP(B1058,Inventory!$A:$A,Inventory!$C:$C),Motor!$A:$A,Motor!$C:$C)+_xludf.XLOOKUP(_xludf.XLOOKUP(B1058,Inventory!$A:$A,Inventory!$D:$D),Frame!$A:$A,Frame!$C:$C)+#REF!,""))</f>
        <v/>
      </c>
      <c r="E1058" s="4">
        <v>44982</v>
      </c>
      <c r="F1058" s="1" t="s">
        <v>32</v>
      </c>
    </row>
    <row r="1059" spans="1:6" x14ac:dyDescent="0.25">
      <c r="A1059" s="1" t="s">
        <v>2128</v>
      </c>
      <c r="B1059" s="1" t="s">
        <v>2129</v>
      </c>
      <c r="C1059" s="3">
        <v>200</v>
      </c>
      <c r="D1059" s="3" t="str">
        <f ca="1">IF(B1059="","",IFERROR(_xludf.XLOOKUP(_xludf.XLOOKUP(B1059,Inventory!$A:$A,Inventory!$B:$B),Blades!$A:$A,Blades!$C:$C)+_xludf.XLOOKUP(_xludf.XLOOKUP(B1059,Inventory!$A:$A,Inventory!$C:$C),Motor!$A:$A,Motor!$C:$C)+_xludf.XLOOKUP(_xludf.XLOOKUP(B1059,Inventory!$A:$A,Inventory!$D:$D),Frame!$A:$A,Frame!$C:$C)+#REF!,""))</f>
        <v/>
      </c>
      <c r="E1059" s="4">
        <v>44982</v>
      </c>
      <c r="F1059" s="1" t="s">
        <v>20</v>
      </c>
    </row>
    <row r="1060" spans="1:6" x14ac:dyDescent="0.25">
      <c r="A1060" s="1" t="s">
        <v>2130</v>
      </c>
      <c r="B1060" s="1" t="s">
        <v>2131</v>
      </c>
      <c r="C1060" s="3">
        <v>200</v>
      </c>
      <c r="D1060" s="3" t="str">
        <f ca="1">IF(B1060="","",IFERROR(_xludf.XLOOKUP(_xludf.XLOOKUP(B1060,Inventory!$A:$A,Inventory!$B:$B),Blades!$A:$A,Blades!$C:$C)+_xludf.XLOOKUP(_xludf.XLOOKUP(B1060,Inventory!$A:$A,Inventory!$C:$C),Motor!$A:$A,Motor!$C:$C)+_xludf.XLOOKUP(_xludf.XLOOKUP(B1060,Inventory!$A:$A,Inventory!$D:$D),Frame!$A:$A,Frame!$C:$C)+#REF!,""))</f>
        <v/>
      </c>
      <c r="E1060" s="4">
        <v>44983</v>
      </c>
      <c r="F1060" s="1" t="s">
        <v>8</v>
      </c>
    </row>
    <row r="1061" spans="1:6" x14ac:dyDescent="0.25">
      <c r="A1061" s="1" t="s">
        <v>2132</v>
      </c>
      <c r="B1061" s="1" t="s">
        <v>2133</v>
      </c>
      <c r="C1061" s="3">
        <v>200</v>
      </c>
      <c r="D1061" s="3" t="str">
        <f ca="1">IF(B1061="","",IFERROR(_xludf.XLOOKUP(_xludf.XLOOKUP(B1061,Inventory!$A:$A,Inventory!$B:$B),Blades!$A:$A,Blades!$C:$C)+_xludf.XLOOKUP(_xludf.XLOOKUP(B1061,Inventory!$A:$A,Inventory!$C:$C),Motor!$A:$A,Motor!$C:$C)+_xludf.XLOOKUP(_xludf.XLOOKUP(B1061,Inventory!$A:$A,Inventory!$D:$D),Frame!$A:$A,Frame!$C:$C)+#REF!,""))</f>
        <v/>
      </c>
      <c r="E1061" s="4">
        <v>44984</v>
      </c>
      <c r="F1061" s="1" t="s">
        <v>25</v>
      </c>
    </row>
    <row r="1062" spans="1:6" x14ac:dyDescent="0.25">
      <c r="A1062" s="1" t="s">
        <v>2134</v>
      </c>
      <c r="B1062" s="1" t="s">
        <v>2135</v>
      </c>
      <c r="C1062" s="3">
        <v>200</v>
      </c>
      <c r="D1062" s="3" t="str">
        <f ca="1">IF(B1062="","",IFERROR(_xludf.XLOOKUP(_xludf.XLOOKUP(B1062,Inventory!$A:$A,Inventory!$B:$B),Blades!$A:$A,Blades!$C:$C)+_xludf.XLOOKUP(_xludf.XLOOKUP(B1062,Inventory!$A:$A,Inventory!$C:$C),Motor!$A:$A,Motor!$C:$C)+_xludf.XLOOKUP(_xludf.XLOOKUP(B1062,Inventory!$A:$A,Inventory!$D:$D),Frame!$A:$A,Frame!$C:$C)+#REF!,""))</f>
        <v/>
      </c>
      <c r="E1062" s="4">
        <v>44984</v>
      </c>
      <c r="F1062" s="1" t="s">
        <v>63</v>
      </c>
    </row>
    <row r="1063" spans="1:6" x14ac:dyDescent="0.25">
      <c r="A1063" s="1" t="s">
        <v>2136</v>
      </c>
      <c r="B1063" s="1" t="s">
        <v>2137</v>
      </c>
      <c r="C1063" s="3">
        <v>200</v>
      </c>
      <c r="D1063" s="3" t="str">
        <f ca="1">IF(B1063="","",IFERROR(_xludf.XLOOKUP(_xludf.XLOOKUP(B1063,Inventory!$A:$A,Inventory!$B:$B),Blades!$A:$A,Blades!$C:$C)+_xludf.XLOOKUP(_xludf.XLOOKUP(B1063,Inventory!$A:$A,Inventory!$C:$C),Motor!$A:$A,Motor!$C:$C)+_xludf.XLOOKUP(_xludf.XLOOKUP(B1063,Inventory!$A:$A,Inventory!$D:$D),Frame!$A:$A,Frame!$C:$C)+#REF!,""))</f>
        <v/>
      </c>
      <c r="E1063" s="4">
        <v>44984</v>
      </c>
      <c r="F1063" s="1" t="s">
        <v>25</v>
      </c>
    </row>
    <row r="1064" spans="1:6" x14ac:dyDescent="0.25">
      <c r="A1064" s="1" t="s">
        <v>2138</v>
      </c>
      <c r="B1064" s="1" t="s">
        <v>2139</v>
      </c>
      <c r="C1064" s="3">
        <v>200</v>
      </c>
      <c r="D1064" s="3" t="str">
        <f ca="1">IF(B1064="","",IFERROR(_xludf.XLOOKUP(_xludf.XLOOKUP(B1064,Inventory!$A:$A,Inventory!$B:$B),Blades!$A:$A,Blades!$C:$C)+_xludf.XLOOKUP(_xludf.XLOOKUP(B1064,Inventory!$A:$A,Inventory!$C:$C),Motor!$A:$A,Motor!$C:$C)+_xludf.XLOOKUP(_xludf.XLOOKUP(B1064,Inventory!$A:$A,Inventory!$D:$D),Frame!$A:$A,Frame!$C:$C)+#REF!,""))</f>
        <v/>
      </c>
      <c r="E1064" s="4">
        <v>44985</v>
      </c>
      <c r="F1064" s="1" t="s">
        <v>8</v>
      </c>
    </row>
    <row r="1065" spans="1:6" x14ac:dyDescent="0.25">
      <c r="A1065" s="1" t="s">
        <v>2140</v>
      </c>
      <c r="B1065" s="1" t="s">
        <v>2141</v>
      </c>
      <c r="C1065" s="3">
        <v>200</v>
      </c>
      <c r="D1065" s="3" t="str">
        <f ca="1">IF(B1065="","",IFERROR(_xludf.XLOOKUP(_xludf.XLOOKUP(B1065,Inventory!$A:$A,Inventory!$B:$B),Blades!$A:$A,Blades!$C:$C)+_xludf.XLOOKUP(_xludf.XLOOKUP(B1065,Inventory!$A:$A,Inventory!$C:$C),Motor!$A:$A,Motor!$C:$C)+_xludf.XLOOKUP(_xludf.XLOOKUP(B1065,Inventory!$A:$A,Inventory!$D:$D),Frame!$A:$A,Frame!$C:$C)+#REF!,""))</f>
        <v/>
      </c>
      <c r="E1065" s="4">
        <v>44987</v>
      </c>
      <c r="F1065" s="1" t="s">
        <v>63</v>
      </c>
    </row>
    <row r="1066" spans="1:6" x14ac:dyDescent="0.25">
      <c r="A1066" s="1" t="s">
        <v>2142</v>
      </c>
      <c r="B1066" s="1" t="s">
        <v>2143</v>
      </c>
      <c r="C1066" s="3">
        <v>200</v>
      </c>
      <c r="D1066" s="3" t="str">
        <f ca="1">IF(B1066="","",IFERROR(_xludf.XLOOKUP(_xludf.XLOOKUP(B1066,Inventory!$A:$A,Inventory!$B:$B),Blades!$A:$A,Blades!$C:$C)+_xludf.XLOOKUP(_xludf.XLOOKUP(B1066,Inventory!$A:$A,Inventory!$C:$C),Motor!$A:$A,Motor!$C:$C)+_xludf.XLOOKUP(_xludf.XLOOKUP(B1066,Inventory!$A:$A,Inventory!$D:$D),Frame!$A:$A,Frame!$C:$C)+#REF!,""))</f>
        <v/>
      </c>
      <c r="E1066" s="4">
        <v>44987</v>
      </c>
      <c r="F1066" s="1" t="s">
        <v>11</v>
      </c>
    </row>
    <row r="1067" spans="1:6" x14ac:dyDescent="0.25">
      <c r="A1067" s="1" t="s">
        <v>2144</v>
      </c>
      <c r="B1067" s="1" t="s">
        <v>2145</v>
      </c>
      <c r="C1067" s="3">
        <v>200</v>
      </c>
      <c r="D1067" s="3" t="str">
        <f ca="1">IF(B1067="","",IFERROR(_xludf.XLOOKUP(_xludf.XLOOKUP(B1067,Inventory!$A:$A,Inventory!$B:$B),Blades!$A:$A,Blades!$C:$C)+_xludf.XLOOKUP(_xludf.XLOOKUP(B1067,Inventory!$A:$A,Inventory!$C:$C),Motor!$A:$A,Motor!$C:$C)+_xludf.XLOOKUP(_xludf.XLOOKUP(B1067,Inventory!$A:$A,Inventory!$D:$D),Frame!$A:$A,Frame!$C:$C)+#REF!,""))</f>
        <v/>
      </c>
      <c r="E1067" s="4">
        <v>44987</v>
      </c>
      <c r="F1067" s="1" t="s">
        <v>11</v>
      </c>
    </row>
    <row r="1068" spans="1:6" x14ac:dyDescent="0.25">
      <c r="A1068" s="1" t="s">
        <v>2146</v>
      </c>
      <c r="B1068" s="1" t="s">
        <v>2147</v>
      </c>
      <c r="C1068" s="3">
        <v>200</v>
      </c>
      <c r="D1068" s="3" t="str">
        <f ca="1">IF(B1068="","",IFERROR(_xludf.XLOOKUP(_xludf.XLOOKUP(B1068,Inventory!$A:$A,Inventory!$B:$B),Blades!$A:$A,Blades!$C:$C)+_xludf.XLOOKUP(_xludf.XLOOKUP(B1068,Inventory!$A:$A,Inventory!$C:$C),Motor!$A:$A,Motor!$C:$C)+_xludf.XLOOKUP(_xludf.XLOOKUP(B1068,Inventory!$A:$A,Inventory!$D:$D),Frame!$A:$A,Frame!$C:$C)+#REF!,""))</f>
        <v/>
      </c>
      <c r="E1068" s="4">
        <v>44987</v>
      </c>
      <c r="F1068" s="1" t="s">
        <v>25</v>
      </c>
    </row>
    <row r="1069" spans="1:6" x14ac:dyDescent="0.25">
      <c r="A1069" s="1" t="s">
        <v>2148</v>
      </c>
      <c r="B1069" s="1" t="s">
        <v>2149</v>
      </c>
      <c r="C1069" s="3">
        <v>200</v>
      </c>
      <c r="D1069" s="3" t="str">
        <f ca="1">IF(B1069="","",IFERROR(_xludf.XLOOKUP(_xludf.XLOOKUP(B1069,Inventory!$A:$A,Inventory!$B:$B),Blades!$A:$A,Blades!$C:$C)+_xludf.XLOOKUP(_xludf.XLOOKUP(B1069,Inventory!$A:$A,Inventory!$C:$C),Motor!$A:$A,Motor!$C:$C)+_xludf.XLOOKUP(_xludf.XLOOKUP(B1069,Inventory!$A:$A,Inventory!$D:$D),Frame!$A:$A,Frame!$C:$C)+#REF!,""))</f>
        <v/>
      </c>
      <c r="E1069" s="4">
        <v>44989</v>
      </c>
      <c r="F1069" s="1" t="s">
        <v>8</v>
      </c>
    </row>
    <row r="1070" spans="1:6" x14ac:dyDescent="0.25">
      <c r="A1070" s="1" t="s">
        <v>2150</v>
      </c>
      <c r="B1070" s="1" t="s">
        <v>2151</v>
      </c>
      <c r="C1070" s="3">
        <v>200</v>
      </c>
      <c r="D1070" s="3" t="str">
        <f ca="1">IF(B1070="","",IFERROR(_xludf.XLOOKUP(_xludf.XLOOKUP(B1070,Inventory!$A:$A,Inventory!$B:$B),Blades!$A:$A,Blades!$C:$C)+_xludf.XLOOKUP(_xludf.XLOOKUP(B1070,Inventory!$A:$A,Inventory!$C:$C),Motor!$A:$A,Motor!$C:$C)+_xludf.XLOOKUP(_xludf.XLOOKUP(B1070,Inventory!$A:$A,Inventory!$D:$D),Frame!$A:$A,Frame!$C:$C)+#REF!,""))</f>
        <v/>
      </c>
      <c r="E1070" s="4">
        <v>44990</v>
      </c>
      <c r="F1070" s="1" t="s">
        <v>20</v>
      </c>
    </row>
    <row r="1071" spans="1:6" x14ac:dyDescent="0.25">
      <c r="A1071" s="1" t="s">
        <v>2152</v>
      </c>
      <c r="B1071" s="1" t="s">
        <v>2153</v>
      </c>
      <c r="C1071" s="3">
        <v>200</v>
      </c>
      <c r="D1071" s="3" t="str">
        <f ca="1">IF(B1071="","",IFERROR(_xludf.XLOOKUP(_xludf.XLOOKUP(B1071,Inventory!$A:$A,Inventory!$B:$B),Blades!$A:$A,Blades!$C:$C)+_xludf.XLOOKUP(_xludf.XLOOKUP(B1071,Inventory!$A:$A,Inventory!$C:$C),Motor!$A:$A,Motor!$C:$C)+_xludf.XLOOKUP(_xludf.XLOOKUP(B1071,Inventory!$A:$A,Inventory!$D:$D),Frame!$A:$A,Frame!$C:$C)+#REF!,""))</f>
        <v/>
      </c>
      <c r="E1071" s="4">
        <v>44993</v>
      </c>
      <c r="F1071" s="1" t="s">
        <v>32</v>
      </c>
    </row>
    <row r="1072" spans="1:6" x14ac:dyDescent="0.25">
      <c r="A1072" s="1" t="s">
        <v>2154</v>
      </c>
      <c r="B1072" s="1" t="s">
        <v>2155</v>
      </c>
      <c r="C1072" s="3">
        <v>200</v>
      </c>
      <c r="D1072" s="3" t="str">
        <f ca="1">IF(B1072="","",IFERROR(_xludf.XLOOKUP(_xludf.XLOOKUP(B1072,Inventory!$A:$A,Inventory!$B:$B),Blades!$A:$A,Blades!$C:$C)+_xludf.XLOOKUP(_xludf.XLOOKUP(B1072,Inventory!$A:$A,Inventory!$C:$C),Motor!$A:$A,Motor!$C:$C)+_xludf.XLOOKUP(_xludf.XLOOKUP(B1072,Inventory!$A:$A,Inventory!$D:$D),Frame!$A:$A,Frame!$C:$C)+#REF!,""))</f>
        <v/>
      </c>
      <c r="E1072" s="4">
        <v>44994</v>
      </c>
      <c r="F1072" s="1" t="s">
        <v>63</v>
      </c>
    </row>
    <row r="1073" spans="1:6" x14ac:dyDescent="0.25">
      <c r="A1073" s="1" t="s">
        <v>2156</v>
      </c>
      <c r="B1073" s="1" t="s">
        <v>2157</v>
      </c>
      <c r="C1073" s="3">
        <v>200</v>
      </c>
      <c r="D1073" s="3" t="str">
        <f ca="1">IF(B1073="","",IFERROR(_xludf.XLOOKUP(_xludf.XLOOKUP(B1073,Inventory!$A:$A,Inventory!$B:$B),Blades!$A:$A,Blades!$C:$C)+_xludf.XLOOKUP(_xludf.XLOOKUP(B1073,Inventory!$A:$A,Inventory!$C:$C),Motor!$A:$A,Motor!$C:$C)+_xludf.XLOOKUP(_xludf.XLOOKUP(B1073,Inventory!$A:$A,Inventory!$D:$D),Frame!$A:$A,Frame!$C:$C)+#REF!,""))</f>
        <v/>
      </c>
      <c r="E1073" s="4">
        <v>44994</v>
      </c>
      <c r="F1073" s="1" t="s">
        <v>25</v>
      </c>
    </row>
    <row r="1074" spans="1:6" x14ac:dyDescent="0.25">
      <c r="A1074" s="1" t="s">
        <v>2158</v>
      </c>
      <c r="B1074" s="1" t="s">
        <v>2159</v>
      </c>
      <c r="C1074" s="3">
        <v>200</v>
      </c>
      <c r="D1074" s="3" t="str">
        <f ca="1">IF(B1074="","",IFERROR(_xludf.XLOOKUP(_xludf.XLOOKUP(B1074,Inventory!$A:$A,Inventory!$B:$B),Blades!$A:$A,Blades!$C:$C)+_xludf.XLOOKUP(_xludf.XLOOKUP(B1074,Inventory!$A:$A,Inventory!$C:$C),Motor!$A:$A,Motor!$C:$C)+_xludf.XLOOKUP(_xludf.XLOOKUP(B1074,Inventory!$A:$A,Inventory!$D:$D),Frame!$A:$A,Frame!$C:$C)+#REF!,""))</f>
        <v/>
      </c>
      <c r="E1074" s="4">
        <v>44994</v>
      </c>
      <c r="F1074" s="1" t="s">
        <v>25</v>
      </c>
    </row>
    <row r="1075" spans="1:6" x14ac:dyDescent="0.25">
      <c r="A1075" s="1" t="s">
        <v>2160</v>
      </c>
      <c r="B1075" s="1" t="s">
        <v>2161</v>
      </c>
      <c r="C1075" s="3">
        <v>200</v>
      </c>
      <c r="D1075" s="3" t="str">
        <f ca="1">IF(B1075="","",IFERROR(_xludf.XLOOKUP(_xludf.XLOOKUP(B1075,Inventory!$A:$A,Inventory!$B:$B),Blades!$A:$A,Blades!$C:$C)+_xludf.XLOOKUP(_xludf.XLOOKUP(B1075,Inventory!$A:$A,Inventory!$C:$C),Motor!$A:$A,Motor!$C:$C)+_xludf.XLOOKUP(_xludf.XLOOKUP(B1075,Inventory!$A:$A,Inventory!$D:$D),Frame!$A:$A,Frame!$C:$C)+#REF!,""))</f>
        <v/>
      </c>
      <c r="E1075" s="4">
        <v>44995</v>
      </c>
      <c r="F1075" s="1" t="s">
        <v>63</v>
      </c>
    </row>
    <row r="1076" spans="1:6" x14ac:dyDescent="0.25">
      <c r="A1076" s="1" t="s">
        <v>2162</v>
      </c>
      <c r="B1076" s="1" t="s">
        <v>2163</v>
      </c>
      <c r="C1076" s="3">
        <v>200</v>
      </c>
      <c r="D1076" s="3" t="str">
        <f ca="1">IF(B1076="","",IFERROR(_xludf.XLOOKUP(_xludf.XLOOKUP(B1076,Inventory!$A:$A,Inventory!$B:$B),Blades!$A:$A,Blades!$C:$C)+_xludf.XLOOKUP(_xludf.XLOOKUP(B1076,Inventory!$A:$A,Inventory!$C:$C),Motor!$A:$A,Motor!$C:$C)+_xludf.XLOOKUP(_xludf.XLOOKUP(B1076,Inventory!$A:$A,Inventory!$D:$D),Frame!$A:$A,Frame!$C:$C)+#REF!,""))</f>
        <v/>
      </c>
      <c r="E1076" s="4">
        <v>44995</v>
      </c>
      <c r="F1076" s="1" t="s">
        <v>63</v>
      </c>
    </row>
    <row r="1077" spans="1:6" x14ac:dyDescent="0.25">
      <c r="A1077" s="1" t="s">
        <v>2164</v>
      </c>
      <c r="B1077" s="1" t="s">
        <v>2165</v>
      </c>
      <c r="C1077" s="3">
        <v>200</v>
      </c>
      <c r="D1077" s="3" t="str">
        <f ca="1">IF(B1077="","",IFERROR(_xludf.XLOOKUP(_xludf.XLOOKUP(B1077,Inventory!$A:$A,Inventory!$B:$B),Blades!$A:$A,Blades!$C:$C)+_xludf.XLOOKUP(_xludf.XLOOKUP(B1077,Inventory!$A:$A,Inventory!$C:$C),Motor!$A:$A,Motor!$C:$C)+_xludf.XLOOKUP(_xludf.XLOOKUP(B1077,Inventory!$A:$A,Inventory!$D:$D),Frame!$A:$A,Frame!$C:$C)+#REF!,""))</f>
        <v/>
      </c>
      <c r="E1077" s="4">
        <v>44996</v>
      </c>
      <c r="F1077" s="1" t="s">
        <v>32</v>
      </c>
    </row>
    <row r="1078" spans="1:6" x14ac:dyDescent="0.25">
      <c r="A1078" s="1" t="s">
        <v>2166</v>
      </c>
      <c r="B1078" s="1" t="s">
        <v>2167</v>
      </c>
      <c r="C1078" s="3">
        <v>200</v>
      </c>
      <c r="D1078" s="3" t="str">
        <f ca="1">IF(B1078="","",IFERROR(_xludf.XLOOKUP(_xludf.XLOOKUP(B1078,Inventory!$A:$A,Inventory!$B:$B),Blades!$A:$A,Blades!$C:$C)+_xludf.XLOOKUP(_xludf.XLOOKUP(B1078,Inventory!$A:$A,Inventory!$C:$C),Motor!$A:$A,Motor!$C:$C)+_xludf.XLOOKUP(_xludf.XLOOKUP(B1078,Inventory!$A:$A,Inventory!$D:$D),Frame!$A:$A,Frame!$C:$C)+#REF!,""))</f>
        <v/>
      </c>
      <c r="E1078" s="4">
        <v>44996</v>
      </c>
      <c r="F1078" s="1" t="s">
        <v>52</v>
      </c>
    </row>
    <row r="1079" spans="1:6" x14ac:dyDescent="0.25">
      <c r="A1079" s="1" t="s">
        <v>2168</v>
      </c>
      <c r="B1079" s="1" t="s">
        <v>2169</v>
      </c>
      <c r="C1079" s="3">
        <v>200</v>
      </c>
      <c r="D1079" s="3" t="str">
        <f ca="1">IF(B1079="","",IFERROR(_xludf.XLOOKUP(_xludf.XLOOKUP(B1079,Inventory!$A:$A,Inventory!$B:$B),Blades!$A:$A,Blades!$C:$C)+_xludf.XLOOKUP(_xludf.XLOOKUP(B1079,Inventory!$A:$A,Inventory!$C:$C),Motor!$A:$A,Motor!$C:$C)+_xludf.XLOOKUP(_xludf.XLOOKUP(B1079,Inventory!$A:$A,Inventory!$D:$D),Frame!$A:$A,Frame!$C:$C)+#REF!,""))</f>
        <v/>
      </c>
      <c r="E1079" s="4">
        <v>44997</v>
      </c>
      <c r="F1079" s="1" t="s">
        <v>49</v>
      </c>
    </row>
    <row r="1080" spans="1:6" x14ac:dyDescent="0.25">
      <c r="A1080" s="1" t="s">
        <v>2170</v>
      </c>
      <c r="B1080" s="1" t="s">
        <v>2171</v>
      </c>
      <c r="C1080" s="3">
        <v>200</v>
      </c>
      <c r="D1080" s="3" t="str">
        <f ca="1">IF(B1080="","",IFERROR(_xludf.XLOOKUP(_xludf.XLOOKUP(B1080,Inventory!$A:$A,Inventory!$B:$B),Blades!$A:$A,Blades!$C:$C)+_xludf.XLOOKUP(_xludf.XLOOKUP(B1080,Inventory!$A:$A,Inventory!$C:$C),Motor!$A:$A,Motor!$C:$C)+_xludf.XLOOKUP(_xludf.XLOOKUP(B1080,Inventory!$A:$A,Inventory!$D:$D),Frame!$A:$A,Frame!$C:$C)+#REF!,""))</f>
        <v/>
      </c>
      <c r="E1080" s="4">
        <v>44997</v>
      </c>
      <c r="F1080" s="1" t="s">
        <v>32</v>
      </c>
    </row>
    <row r="1081" spans="1:6" x14ac:dyDescent="0.25">
      <c r="A1081" s="1" t="s">
        <v>2172</v>
      </c>
      <c r="B1081" s="1" t="s">
        <v>2173</v>
      </c>
      <c r="C1081" s="3">
        <v>200</v>
      </c>
      <c r="D1081" s="3" t="str">
        <f ca="1">IF(B1081="","",IFERROR(_xludf.XLOOKUP(_xludf.XLOOKUP(B1081,Inventory!$A:$A,Inventory!$B:$B),Blades!$A:$A,Blades!$C:$C)+_xludf.XLOOKUP(_xludf.XLOOKUP(B1081,Inventory!$A:$A,Inventory!$C:$C),Motor!$A:$A,Motor!$C:$C)+_xludf.XLOOKUP(_xludf.XLOOKUP(B1081,Inventory!$A:$A,Inventory!$D:$D),Frame!$A:$A,Frame!$C:$C)+#REF!,""))</f>
        <v/>
      </c>
      <c r="E1081" s="4">
        <v>44997</v>
      </c>
      <c r="F1081" s="1" t="s">
        <v>20</v>
      </c>
    </row>
    <row r="1082" spans="1:6" x14ac:dyDescent="0.25">
      <c r="A1082" s="1" t="s">
        <v>2174</v>
      </c>
      <c r="B1082" s="1" t="s">
        <v>2175</v>
      </c>
      <c r="C1082" s="3">
        <v>200</v>
      </c>
      <c r="D1082" s="3" t="str">
        <f ca="1">IF(B1082="","",IFERROR(_xludf.XLOOKUP(_xludf.XLOOKUP(B1082,Inventory!$A:$A,Inventory!$B:$B),Blades!$A:$A,Blades!$C:$C)+_xludf.XLOOKUP(_xludf.XLOOKUP(B1082,Inventory!$A:$A,Inventory!$C:$C),Motor!$A:$A,Motor!$C:$C)+_xludf.XLOOKUP(_xludf.XLOOKUP(B1082,Inventory!$A:$A,Inventory!$D:$D),Frame!$A:$A,Frame!$C:$C)+#REF!,""))</f>
        <v/>
      </c>
      <c r="E1082" s="4">
        <v>44997</v>
      </c>
      <c r="F1082" s="1" t="s">
        <v>52</v>
      </c>
    </row>
    <row r="1083" spans="1:6" x14ac:dyDescent="0.25">
      <c r="A1083" s="1" t="s">
        <v>2176</v>
      </c>
      <c r="B1083" s="1" t="s">
        <v>2177</v>
      </c>
      <c r="C1083" s="3">
        <v>200</v>
      </c>
      <c r="D1083" s="3" t="str">
        <f ca="1">IF(B1083="","",IFERROR(_xludf.XLOOKUP(_xludf.XLOOKUP(B1083,Inventory!$A:$A,Inventory!$B:$B),Blades!$A:$A,Blades!$C:$C)+_xludf.XLOOKUP(_xludf.XLOOKUP(B1083,Inventory!$A:$A,Inventory!$C:$C),Motor!$A:$A,Motor!$C:$C)+_xludf.XLOOKUP(_xludf.XLOOKUP(B1083,Inventory!$A:$A,Inventory!$D:$D),Frame!$A:$A,Frame!$C:$C)+#REF!,""))</f>
        <v/>
      </c>
      <c r="E1083" s="4">
        <v>44999</v>
      </c>
      <c r="F1083" s="1" t="s">
        <v>63</v>
      </c>
    </row>
    <row r="1084" spans="1:6" x14ac:dyDescent="0.25">
      <c r="A1084" s="1" t="s">
        <v>2178</v>
      </c>
      <c r="B1084" s="1" t="s">
        <v>2179</v>
      </c>
      <c r="C1084" s="3">
        <v>200</v>
      </c>
      <c r="D1084" s="3" t="str">
        <f ca="1">IF(B1084="","",IFERROR(_xludf.XLOOKUP(_xludf.XLOOKUP(B1084,Inventory!$A:$A,Inventory!$B:$B),Blades!$A:$A,Blades!$C:$C)+_xludf.XLOOKUP(_xludf.XLOOKUP(B1084,Inventory!$A:$A,Inventory!$C:$C),Motor!$A:$A,Motor!$C:$C)+_xludf.XLOOKUP(_xludf.XLOOKUP(B1084,Inventory!$A:$A,Inventory!$D:$D),Frame!$A:$A,Frame!$C:$C)+#REF!,""))</f>
        <v/>
      </c>
      <c r="E1084" s="4">
        <v>44999</v>
      </c>
      <c r="F1084" s="1" t="s">
        <v>20</v>
      </c>
    </row>
    <row r="1085" spans="1:6" x14ac:dyDescent="0.25">
      <c r="A1085" s="1" t="s">
        <v>2180</v>
      </c>
      <c r="B1085" s="1" t="s">
        <v>2181</v>
      </c>
      <c r="C1085" s="3">
        <v>200</v>
      </c>
      <c r="D1085" s="3" t="str">
        <f ca="1">IF(B1085="","",IFERROR(_xludf.XLOOKUP(_xludf.XLOOKUP(B1085,Inventory!$A:$A,Inventory!$B:$B),Blades!$A:$A,Blades!$C:$C)+_xludf.XLOOKUP(_xludf.XLOOKUP(B1085,Inventory!$A:$A,Inventory!$C:$C),Motor!$A:$A,Motor!$C:$C)+_xludf.XLOOKUP(_xludf.XLOOKUP(B1085,Inventory!$A:$A,Inventory!$D:$D),Frame!$A:$A,Frame!$C:$C)+#REF!,""))</f>
        <v/>
      </c>
      <c r="E1085" s="4">
        <v>45001</v>
      </c>
      <c r="F1085" s="1" t="s">
        <v>52</v>
      </c>
    </row>
    <row r="1086" spans="1:6" x14ac:dyDescent="0.25">
      <c r="A1086" s="1" t="s">
        <v>2182</v>
      </c>
      <c r="B1086" s="1" t="s">
        <v>2183</v>
      </c>
      <c r="C1086" s="3">
        <v>200</v>
      </c>
      <c r="D1086" s="3" t="str">
        <f ca="1">IF(B1086="","",IFERROR(_xludf.XLOOKUP(_xludf.XLOOKUP(B1086,Inventory!$A:$A,Inventory!$B:$B),Blades!$A:$A,Blades!$C:$C)+_xludf.XLOOKUP(_xludf.XLOOKUP(B1086,Inventory!$A:$A,Inventory!$C:$C),Motor!$A:$A,Motor!$C:$C)+_xludf.XLOOKUP(_xludf.XLOOKUP(B1086,Inventory!$A:$A,Inventory!$D:$D),Frame!$A:$A,Frame!$C:$C)+#REF!,""))</f>
        <v/>
      </c>
      <c r="E1086" s="4">
        <v>45001</v>
      </c>
      <c r="F1086" s="1" t="s">
        <v>32</v>
      </c>
    </row>
    <row r="1087" spans="1:6" x14ac:dyDescent="0.25">
      <c r="A1087" s="1" t="s">
        <v>2184</v>
      </c>
      <c r="B1087" s="1" t="s">
        <v>2185</v>
      </c>
      <c r="C1087" s="3">
        <v>200</v>
      </c>
      <c r="D1087" s="3" t="str">
        <f ca="1">IF(B1087="","",IFERROR(_xludf.XLOOKUP(_xludf.XLOOKUP(B1087,Inventory!$A:$A,Inventory!$B:$B),Blades!$A:$A,Blades!$C:$C)+_xludf.XLOOKUP(_xludf.XLOOKUP(B1087,Inventory!$A:$A,Inventory!$C:$C),Motor!$A:$A,Motor!$C:$C)+_xludf.XLOOKUP(_xludf.XLOOKUP(B1087,Inventory!$A:$A,Inventory!$D:$D),Frame!$A:$A,Frame!$C:$C)+#REF!,""))</f>
        <v/>
      </c>
      <c r="E1087" s="4">
        <v>45001</v>
      </c>
      <c r="F1087" s="1" t="s">
        <v>8</v>
      </c>
    </row>
    <row r="1088" spans="1:6" x14ac:dyDescent="0.25">
      <c r="A1088" s="1" t="s">
        <v>2186</v>
      </c>
      <c r="B1088" s="1" t="s">
        <v>2187</v>
      </c>
      <c r="C1088" s="3">
        <v>200</v>
      </c>
      <c r="D1088" s="3" t="str">
        <f ca="1">IF(B1088="","",IFERROR(_xludf.XLOOKUP(_xludf.XLOOKUP(B1088,Inventory!$A:$A,Inventory!$B:$B),Blades!$A:$A,Blades!$C:$C)+_xludf.XLOOKUP(_xludf.XLOOKUP(B1088,Inventory!$A:$A,Inventory!$C:$C),Motor!$A:$A,Motor!$C:$C)+_xludf.XLOOKUP(_xludf.XLOOKUP(B1088,Inventory!$A:$A,Inventory!$D:$D),Frame!$A:$A,Frame!$C:$C)+#REF!,""))</f>
        <v/>
      </c>
      <c r="E1088" s="4">
        <v>45001</v>
      </c>
      <c r="F1088" s="1" t="s">
        <v>25</v>
      </c>
    </row>
    <row r="1089" spans="1:6" x14ac:dyDescent="0.25">
      <c r="A1089" s="1" t="s">
        <v>2188</v>
      </c>
      <c r="B1089" s="1" t="s">
        <v>2189</v>
      </c>
      <c r="C1089" s="3">
        <v>200</v>
      </c>
      <c r="D1089" s="3" t="str">
        <f ca="1">IF(B1089="","",IFERROR(_xludf.XLOOKUP(_xludf.XLOOKUP(B1089,Inventory!$A:$A,Inventory!$B:$B),Blades!$A:$A,Blades!$C:$C)+_xludf.XLOOKUP(_xludf.XLOOKUP(B1089,Inventory!$A:$A,Inventory!$C:$C),Motor!$A:$A,Motor!$C:$C)+_xludf.XLOOKUP(_xludf.XLOOKUP(B1089,Inventory!$A:$A,Inventory!$D:$D),Frame!$A:$A,Frame!$C:$C)+#REF!,""))</f>
        <v/>
      </c>
      <c r="E1089" s="4">
        <v>45001</v>
      </c>
      <c r="F1089" s="1" t="s">
        <v>20</v>
      </c>
    </row>
    <row r="1090" spans="1:6" x14ac:dyDescent="0.25">
      <c r="A1090" s="1" t="s">
        <v>2190</v>
      </c>
      <c r="B1090" s="1" t="s">
        <v>2191</v>
      </c>
      <c r="C1090" s="3">
        <v>200</v>
      </c>
      <c r="D1090" s="3" t="str">
        <f ca="1">IF(B1090="","",IFERROR(_xludf.XLOOKUP(_xludf.XLOOKUP(B1090,Inventory!$A:$A,Inventory!$B:$B),Blades!$A:$A,Blades!$C:$C)+_xludf.XLOOKUP(_xludf.XLOOKUP(B1090,Inventory!$A:$A,Inventory!$C:$C),Motor!$A:$A,Motor!$C:$C)+_xludf.XLOOKUP(_xludf.XLOOKUP(B1090,Inventory!$A:$A,Inventory!$D:$D),Frame!$A:$A,Frame!$C:$C)+#REF!,""))</f>
        <v/>
      </c>
      <c r="E1090" s="4">
        <v>45002</v>
      </c>
      <c r="F1090" s="1" t="s">
        <v>63</v>
      </c>
    </row>
    <row r="1091" spans="1:6" x14ac:dyDescent="0.25">
      <c r="A1091" s="1" t="s">
        <v>2192</v>
      </c>
      <c r="B1091" s="1" t="s">
        <v>2193</v>
      </c>
      <c r="C1091" s="3">
        <v>200</v>
      </c>
      <c r="D1091" s="3" t="str">
        <f ca="1">IF(B1091="","",IFERROR(_xludf.XLOOKUP(_xludf.XLOOKUP(B1091,Inventory!$A:$A,Inventory!$B:$B),Blades!$A:$A,Blades!$C:$C)+_xludf.XLOOKUP(_xludf.XLOOKUP(B1091,Inventory!$A:$A,Inventory!$C:$C),Motor!$A:$A,Motor!$C:$C)+_xludf.XLOOKUP(_xludf.XLOOKUP(B1091,Inventory!$A:$A,Inventory!$D:$D),Frame!$A:$A,Frame!$C:$C)+#REF!,""))</f>
        <v/>
      </c>
      <c r="E1091" s="4">
        <v>45002</v>
      </c>
      <c r="F1091" s="1" t="s">
        <v>20</v>
      </c>
    </row>
    <row r="1092" spans="1:6" x14ac:dyDescent="0.25">
      <c r="A1092" s="1" t="s">
        <v>2194</v>
      </c>
      <c r="B1092" s="1" t="s">
        <v>2195</v>
      </c>
      <c r="C1092" s="3">
        <v>200</v>
      </c>
      <c r="D1092" s="3" t="str">
        <f ca="1">IF(B1092="","",IFERROR(_xludf.XLOOKUP(_xludf.XLOOKUP(B1092,Inventory!$A:$A,Inventory!$B:$B),Blades!$A:$A,Blades!$C:$C)+_xludf.XLOOKUP(_xludf.XLOOKUP(B1092,Inventory!$A:$A,Inventory!$C:$C),Motor!$A:$A,Motor!$C:$C)+_xludf.XLOOKUP(_xludf.XLOOKUP(B1092,Inventory!$A:$A,Inventory!$D:$D),Frame!$A:$A,Frame!$C:$C)+#REF!,""))</f>
        <v/>
      </c>
      <c r="E1092" s="4">
        <v>45003</v>
      </c>
      <c r="F1092" s="1" t="s">
        <v>52</v>
      </c>
    </row>
    <row r="1093" spans="1:6" x14ac:dyDescent="0.25">
      <c r="A1093" s="1" t="s">
        <v>2196</v>
      </c>
      <c r="B1093" s="1" t="s">
        <v>2197</v>
      </c>
      <c r="C1093" s="3">
        <v>200</v>
      </c>
      <c r="D1093" s="3" t="str">
        <f ca="1">IF(B1093="","",IFERROR(_xludf.XLOOKUP(_xludf.XLOOKUP(B1093,Inventory!$A:$A,Inventory!$B:$B),Blades!$A:$A,Blades!$C:$C)+_xludf.XLOOKUP(_xludf.XLOOKUP(B1093,Inventory!$A:$A,Inventory!$C:$C),Motor!$A:$A,Motor!$C:$C)+_xludf.XLOOKUP(_xludf.XLOOKUP(B1093,Inventory!$A:$A,Inventory!$D:$D),Frame!$A:$A,Frame!$C:$C)+#REF!,""))</f>
        <v/>
      </c>
      <c r="E1093" s="4">
        <v>45004</v>
      </c>
      <c r="F1093" s="1" t="s">
        <v>49</v>
      </c>
    </row>
    <row r="1094" spans="1:6" x14ac:dyDescent="0.25">
      <c r="A1094" s="1" t="s">
        <v>2198</v>
      </c>
      <c r="B1094" s="1" t="s">
        <v>2199</v>
      </c>
      <c r="C1094" s="3">
        <v>200</v>
      </c>
      <c r="D1094" s="3" t="str">
        <f ca="1">IF(B1094="","",IFERROR(_xludf.XLOOKUP(_xludf.XLOOKUP(B1094,Inventory!$A:$A,Inventory!$B:$B),Blades!$A:$A,Blades!$C:$C)+_xludf.XLOOKUP(_xludf.XLOOKUP(B1094,Inventory!$A:$A,Inventory!$C:$C),Motor!$A:$A,Motor!$C:$C)+_xludf.XLOOKUP(_xludf.XLOOKUP(B1094,Inventory!$A:$A,Inventory!$D:$D),Frame!$A:$A,Frame!$C:$C)+#REF!,""))</f>
        <v/>
      </c>
      <c r="E1094" s="4">
        <v>45004</v>
      </c>
      <c r="F1094" s="1" t="s">
        <v>25</v>
      </c>
    </row>
    <row r="1095" spans="1:6" x14ac:dyDescent="0.25">
      <c r="A1095" s="1" t="s">
        <v>2200</v>
      </c>
      <c r="B1095" s="1" t="s">
        <v>2201</v>
      </c>
      <c r="C1095" s="3">
        <v>200</v>
      </c>
      <c r="D1095" s="3" t="str">
        <f ca="1">IF(B1095="","",IFERROR(_xludf.XLOOKUP(_xludf.XLOOKUP(B1095,Inventory!$A:$A,Inventory!$B:$B),Blades!$A:$A,Blades!$C:$C)+_xludf.XLOOKUP(_xludf.XLOOKUP(B1095,Inventory!$A:$A,Inventory!$C:$C),Motor!$A:$A,Motor!$C:$C)+_xludf.XLOOKUP(_xludf.XLOOKUP(B1095,Inventory!$A:$A,Inventory!$D:$D),Frame!$A:$A,Frame!$C:$C)+#REF!,""))</f>
        <v/>
      </c>
      <c r="E1095" s="4">
        <v>45005</v>
      </c>
      <c r="F1095" s="1" t="s">
        <v>49</v>
      </c>
    </row>
    <row r="1096" spans="1:6" x14ac:dyDescent="0.25">
      <c r="A1096" s="1" t="s">
        <v>2202</v>
      </c>
      <c r="B1096" s="1" t="s">
        <v>2203</v>
      </c>
      <c r="C1096" s="3">
        <v>200</v>
      </c>
      <c r="D1096" s="3" t="str">
        <f ca="1">IF(B1096="","",IFERROR(_xludf.XLOOKUP(_xludf.XLOOKUP(B1096,Inventory!$A:$A,Inventory!$B:$B),Blades!$A:$A,Blades!$C:$C)+_xludf.XLOOKUP(_xludf.XLOOKUP(B1096,Inventory!$A:$A,Inventory!$C:$C),Motor!$A:$A,Motor!$C:$C)+_xludf.XLOOKUP(_xludf.XLOOKUP(B1096,Inventory!$A:$A,Inventory!$D:$D),Frame!$A:$A,Frame!$C:$C)+#REF!,""))</f>
        <v/>
      </c>
      <c r="E1096" s="4">
        <v>45006</v>
      </c>
      <c r="F1096" s="1" t="s">
        <v>25</v>
      </c>
    </row>
    <row r="1097" spans="1:6" x14ac:dyDescent="0.25">
      <c r="A1097" s="1" t="s">
        <v>2204</v>
      </c>
      <c r="B1097" s="1" t="s">
        <v>2205</v>
      </c>
      <c r="C1097" s="3">
        <v>200</v>
      </c>
      <c r="D1097" s="3" t="str">
        <f ca="1">IF(B1097="","",IFERROR(_xludf.XLOOKUP(_xludf.XLOOKUP(B1097,Inventory!$A:$A,Inventory!$B:$B),Blades!$A:$A,Blades!$C:$C)+_xludf.XLOOKUP(_xludf.XLOOKUP(B1097,Inventory!$A:$A,Inventory!$C:$C),Motor!$A:$A,Motor!$C:$C)+_xludf.XLOOKUP(_xludf.XLOOKUP(B1097,Inventory!$A:$A,Inventory!$D:$D),Frame!$A:$A,Frame!$C:$C)+#REF!,""))</f>
        <v/>
      </c>
      <c r="E1097" s="4">
        <v>45007</v>
      </c>
      <c r="F1097" s="1" t="s">
        <v>52</v>
      </c>
    </row>
    <row r="1098" spans="1:6" x14ac:dyDescent="0.25">
      <c r="A1098" s="1" t="s">
        <v>2206</v>
      </c>
      <c r="B1098" s="1" t="s">
        <v>2207</v>
      </c>
      <c r="C1098" s="3">
        <v>200</v>
      </c>
      <c r="D1098" s="3" t="str">
        <f ca="1">IF(B1098="","",IFERROR(_xludf.XLOOKUP(_xludf.XLOOKUP(B1098,Inventory!$A:$A,Inventory!$B:$B),Blades!$A:$A,Blades!$C:$C)+_xludf.XLOOKUP(_xludf.XLOOKUP(B1098,Inventory!$A:$A,Inventory!$C:$C),Motor!$A:$A,Motor!$C:$C)+_xludf.XLOOKUP(_xludf.XLOOKUP(B1098,Inventory!$A:$A,Inventory!$D:$D),Frame!$A:$A,Frame!$C:$C)+#REF!,""))</f>
        <v/>
      </c>
      <c r="E1098" s="4">
        <v>45007</v>
      </c>
      <c r="F1098" s="1" t="s">
        <v>11</v>
      </c>
    </row>
    <row r="1099" spans="1:6" x14ac:dyDescent="0.25">
      <c r="A1099" s="1" t="s">
        <v>2208</v>
      </c>
      <c r="B1099" s="1" t="s">
        <v>2209</v>
      </c>
      <c r="C1099" s="3">
        <v>200</v>
      </c>
      <c r="D1099" s="3" t="str">
        <f ca="1">IF(B1099="","",IFERROR(_xludf.XLOOKUP(_xludf.XLOOKUP(B1099,Inventory!$A:$A,Inventory!$B:$B),Blades!$A:$A,Blades!$C:$C)+_xludf.XLOOKUP(_xludf.XLOOKUP(B1099,Inventory!$A:$A,Inventory!$C:$C),Motor!$A:$A,Motor!$C:$C)+_xludf.XLOOKUP(_xludf.XLOOKUP(B1099,Inventory!$A:$A,Inventory!$D:$D),Frame!$A:$A,Frame!$C:$C)+#REF!,""))</f>
        <v/>
      </c>
      <c r="E1099" s="4">
        <v>45008</v>
      </c>
      <c r="F1099" s="1" t="s">
        <v>32</v>
      </c>
    </row>
    <row r="1100" spans="1:6" x14ac:dyDescent="0.25">
      <c r="A1100" s="1" t="s">
        <v>2210</v>
      </c>
      <c r="B1100" s="1" t="s">
        <v>2211</v>
      </c>
      <c r="C1100" s="3">
        <v>200</v>
      </c>
      <c r="D1100" s="3" t="str">
        <f ca="1">IF(B1100="","",IFERROR(_xludf.XLOOKUP(_xludf.XLOOKUP(B1100,Inventory!$A:$A,Inventory!$B:$B),Blades!$A:$A,Blades!$C:$C)+_xludf.XLOOKUP(_xludf.XLOOKUP(B1100,Inventory!$A:$A,Inventory!$C:$C),Motor!$A:$A,Motor!$C:$C)+_xludf.XLOOKUP(_xludf.XLOOKUP(B1100,Inventory!$A:$A,Inventory!$D:$D),Frame!$A:$A,Frame!$C:$C)+#REF!,""))</f>
        <v/>
      </c>
      <c r="E1100" s="4">
        <v>45009</v>
      </c>
      <c r="F1100" s="1" t="s">
        <v>8</v>
      </c>
    </row>
    <row r="1101" spans="1:6" x14ac:dyDescent="0.25">
      <c r="A1101" s="1" t="s">
        <v>2212</v>
      </c>
      <c r="B1101" s="1" t="s">
        <v>2213</v>
      </c>
      <c r="C1101" s="3">
        <v>200</v>
      </c>
      <c r="D1101" s="3" t="str">
        <f ca="1">IF(B1101="","",IFERROR(_xludf.XLOOKUP(_xludf.XLOOKUP(B1101,Inventory!$A:$A,Inventory!$B:$B),Blades!$A:$A,Blades!$C:$C)+_xludf.XLOOKUP(_xludf.XLOOKUP(B1101,Inventory!$A:$A,Inventory!$C:$C),Motor!$A:$A,Motor!$C:$C)+_xludf.XLOOKUP(_xludf.XLOOKUP(B1101,Inventory!$A:$A,Inventory!$D:$D),Frame!$A:$A,Frame!$C:$C)+#REF!,""))</f>
        <v/>
      </c>
      <c r="E1101" s="4">
        <v>45010</v>
      </c>
      <c r="F1101" s="1" t="s">
        <v>63</v>
      </c>
    </row>
    <row r="1102" spans="1:6" x14ac:dyDescent="0.25">
      <c r="A1102" s="1" t="s">
        <v>2214</v>
      </c>
      <c r="B1102" s="1" t="s">
        <v>2215</v>
      </c>
      <c r="C1102" s="3">
        <v>200</v>
      </c>
      <c r="D1102" s="3" t="str">
        <f ca="1">IF(B1102="","",IFERROR(_xludf.XLOOKUP(_xludf.XLOOKUP(B1102,Inventory!$A:$A,Inventory!$B:$B),Blades!$A:$A,Blades!$C:$C)+_xludf.XLOOKUP(_xludf.XLOOKUP(B1102,Inventory!$A:$A,Inventory!$C:$C),Motor!$A:$A,Motor!$C:$C)+_xludf.XLOOKUP(_xludf.XLOOKUP(B1102,Inventory!$A:$A,Inventory!$D:$D),Frame!$A:$A,Frame!$C:$C)+#REF!,""))</f>
        <v/>
      </c>
      <c r="E1102" s="4">
        <v>45010</v>
      </c>
      <c r="F1102" s="1" t="s">
        <v>49</v>
      </c>
    </row>
    <row r="1103" spans="1:6" x14ac:dyDescent="0.25">
      <c r="A1103" s="1" t="s">
        <v>2216</v>
      </c>
      <c r="B1103" s="1" t="s">
        <v>2217</v>
      </c>
      <c r="C1103" s="3">
        <v>200</v>
      </c>
      <c r="D1103" s="3" t="str">
        <f ca="1">IF(B1103="","",IFERROR(_xludf.XLOOKUP(_xludf.XLOOKUP(B1103,Inventory!$A:$A,Inventory!$B:$B),Blades!$A:$A,Blades!$C:$C)+_xludf.XLOOKUP(_xludf.XLOOKUP(B1103,Inventory!$A:$A,Inventory!$C:$C),Motor!$A:$A,Motor!$C:$C)+_xludf.XLOOKUP(_xludf.XLOOKUP(B1103,Inventory!$A:$A,Inventory!$D:$D),Frame!$A:$A,Frame!$C:$C)+#REF!,""))</f>
        <v/>
      </c>
      <c r="E1103" s="4">
        <v>45010</v>
      </c>
      <c r="F1103" s="1" t="s">
        <v>25</v>
      </c>
    </row>
    <row r="1104" spans="1:6" x14ac:dyDescent="0.25">
      <c r="A1104" s="1" t="s">
        <v>2218</v>
      </c>
      <c r="B1104" s="1" t="s">
        <v>2219</v>
      </c>
      <c r="C1104" s="3">
        <v>200</v>
      </c>
      <c r="D1104" s="3" t="str">
        <f ca="1">IF(B1104="","",IFERROR(_xludf.XLOOKUP(_xludf.XLOOKUP(B1104,Inventory!$A:$A,Inventory!$B:$B),Blades!$A:$A,Blades!$C:$C)+_xludf.XLOOKUP(_xludf.XLOOKUP(B1104,Inventory!$A:$A,Inventory!$C:$C),Motor!$A:$A,Motor!$C:$C)+_xludf.XLOOKUP(_xludf.XLOOKUP(B1104,Inventory!$A:$A,Inventory!$D:$D),Frame!$A:$A,Frame!$C:$C)+#REF!,""))</f>
        <v/>
      </c>
      <c r="E1104" s="4">
        <v>45012</v>
      </c>
      <c r="F1104" s="1" t="s">
        <v>63</v>
      </c>
    </row>
    <row r="1105" spans="1:6" x14ac:dyDescent="0.25">
      <c r="A1105" s="1" t="s">
        <v>2220</v>
      </c>
      <c r="B1105" s="1" t="s">
        <v>2221</v>
      </c>
      <c r="C1105" s="3">
        <v>200</v>
      </c>
      <c r="D1105" s="3" t="str">
        <f ca="1">IF(B1105="","",IFERROR(_xludf.XLOOKUP(_xludf.XLOOKUP(B1105,Inventory!$A:$A,Inventory!$B:$B),Blades!$A:$A,Blades!$C:$C)+_xludf.XLOOKUP(_xludf.XLOOKUP(B1105,Inventory!$A:$A,Inventory!$C:$C),Motor!$A:$A,Motor!$C:$C)+_xludf.XLOOKUP(_xludf.XLOOKUP(B1105,Inventory!$A:$A,Inventory!$D:$D),Frame!$A:$A,Frame!$C:$C)+#REF!,""))</f>
        <v/>
      </c>
      <c r="E1105" s="4">
        <v>45013</v>
      </c>
      <c r="F1105" s="1" t="s">
        <v>52</v>
      </c>
    </row>
    <row r="1106" spans="1:6" x14ac:dyDescent="0.25">
      <c r="A1106" s="1" t="s">
        <v>2222</v>
      </c>
      <c r="B1106" s="1" t="s">
        <v>2223</v>
      </c>
      <c r="C1106" s="3">
        <v>200</v>
      </c>
      <c r="D1106" s="3" t="str">
        <f ca="1">IF(B1106="","",IFERROR(_xludf.XLOOKUP(_xludf.XLOOKUP(B1106,Inventory!$A:$A,Inventory!$B:$B),Blades!$A:$A,Blades!$C:$C)+_xludf.XLOOKUP(_xludf.XLOOKUP(B1106,Inventory!$A:$A,Inventory!$C:$C),Motor!$A:$A,Motor!$C:$C)+_xludf.XLOOKUP(_xludf.XLOOKUP(B1106,Inventory!$A:$A,Inventory!$D:$D),Frame!$A:$A,Frame!$C:$C)+#REF!,""))</f>
        <v/>
      </c>
      <c r="E1106" s="4">
        <v>45014</v>
      </c>
      <c r="F1106" s="1" t="s">
        <v>32</v>
      </c>
    </row>
    <row r="1107" spans="1:6" x14ac:dyDescent="0.25">
      <c r="A1107" s="1" t="s">
        <v>2224</v>
      </c>
      <c r="B1107" s="1" t="s">
        <v>2225</v>
      </c>
      <c r="C1107" s="3">
        <v>200</v>
      </c>
      <c r="D1107" s="3" t="str">
        <f ca="1">IF(B1107="","",IFERROR(_xludf.XLOOKUP(_xludf.XLOOKUP(B1107,Inventory!$A:$A,Inventory!$B:$B),Blades!$A:$A,Blades!$C:$C)+_xludf.XLOOKUP(_xludf.XLOOKUP(B1107,Inventory!$A:$A,Inventory!$C:$C),Motor!$A:$A,Motor!$C:$C)+_xludf.XLOOKUP(_xludf.XLOOKUP(B1107,Inventory!$A:$A,Inventory!$D:$D),Frame!$A:$A,Frame!$C:$C)+#REF!,""))</f>
        <v/>
      </c>
      <c r="E1107" s="4">
        <v>45014</v>
      </c>
      <c r="F1107" s="1" t="s">
        <v>11</v>
      </c>
    </row>
    <row r="1108" spans="1:6" x14ac:dyDescent="0.25">
      <c r="A1108" s="1" t="s">
        <v>2226</v>
      </c>
      <c r="B1108" s="1" t="s">
        <v>2227</v>
      </c>
      <c r="C1108" s="3">
        <v>200</v>
      </c>
      <c r="D1108" s="3" t="str">
        <f ca="1">IF(B1108="","",IFERROR(_xludf.XLOOKUP(_xludf.XLOOKUP(B1108,Inventory!$A:$A,Inventory!$B:$B),Blades!$A:$A,Blades!$C:$C)+_xludf.XLOOKUP(_xludf.XLOOKUP(B1108,Inventory!$A:$A,Inventory!$C:$C),Motor!$A:$A,Motor!$C:$C)+_xludf.XLOOKUP(_xludf.XLOOKUP(B1108,Inventory!$A:$A,Inventory!$D:$D),Frame!$A:$A,Frame!$C:$C)+#REF!,""))</f>
        <v/>
      </c>
      <c r="E1108" s="4">
        <v>45017</v>
      </c>
      <c r="F1108" s="1" t="s">
        <v>11</v>
      </c>
    </row>
    <row r="1109" spans="1:6" x14ac:dyDescent="0.25">
      <c r="A1109" s="1" t="s">
        <v>2228</v>
      </c>
      <c r="B1109" s="1" t="s">
        <v>2229</v>
      </c>
      <c r="C1109" s="3">
        <v>200</v>
      </c>
      <c r="D1109" s="3" t="str">
        <f ca="1">IF(B1109="","",IFERROR(_xludf.XLOOKUP(_xludf.XLOOKUP(B1109,Inventory!$A:$A,Inventory!$B:$B),Blades!$A:$A,Blades!$C:$C)+_xludf.XLOOKUP(_xludf.XLOOKUP(B1109,Inventory!$A:$A,Inventory!$C:$C),Motor!$A:$A,Motor!$C:$C)+_xludf.XLOOKUP(_xludf.XLOOKUP(B1109,Inventory!$A:$A,Inventory!$D:$D),Frame!$A:$A,Frame!$C:$C)+#REF!,""))</f>
        <v/>
      </c>
      <c r="E1109" s="4">
        <v>45017</v>
      </c>
      <c r="F1109" s="1" t="s">
        <v>25</v>
      </c>
    </row>
    <row r="1110" spans="1:6" x14ac:dyDescent="0.25">
      <c r="A1110" s="1" t="s">
        <v>2230</v>
      </c>
      <c r="B1110" s="1" t="s">
        <v>2231</v>
      </c>
      <c r="C1110" s="3">
        <v>200</v>
      </c>
      <c r="D1110" s="3" t="str">
        <f ca="1">IF(B1110="","",IFERROR(_xludf.XLOOKUP(_xludf.XLOOKUP(B1110,Inventory!$A:$A,Inventory!$B:$B),Blades!$A:$A,Blades!$C:$C)+_xludf.XLOOKUP(_xludf.XLOOKUP(B1110,Inventory!$A:$A,Inventory!$C:$C),Motor!$A:$A,Motor!$C:$C)+_xludf.XLOOKUP(_xludf.XLOOKUP(B1110,Inventory!$A:$A,Inventory!$D:$D),Frame!$A:$A,Frame!$C:$C)+#REF!,""))</f>
        <v/>
      </c>
      <c r="E1110" s="4">
        <v>45018</v>
      </c>
      <c r="F1110" s="1" t="s">
        <v>25</v>
      </c>
    </row>
    <row r="1111" spans="1:6" x14ac:dyDescent="0.25">
      <c r="A1111" s="1" t="s">
        <v>2232</v>
      </c>
      <c r="B1111" s="1" t="s">
        <v>2233</v>
      </c>
      <c r="C1111" s="3">
        <v>200</v>
      </c>
      <c r="D1111" s="3" t="str">
        <f ca="1">IF(B1111="","",IFERROR(_xludf.XLOOKUP(_xludf.XLOOKUP(B1111,Inventory!$A:$A,Inventory!$B:$B),Blades!$A:$A,Blades!$C:$C)+_xludf.XLOOKUP(_xludf.XLOOKUP(B1111,Inventory!$A:$A,Inventory!$C:$C),Motor!$A:$A,Motor!$C:$C)+_xludf.XLOOKUP(_xludf.XLOOKUP(B1111,Inventory!$A:$A,Inventory!$D:$D),Frame!$A:$A,Frame!$C:$C)+#REF!,""))</f>
        <v/>
      </c>
      <c r="E1111" s="4">
        <v>45018</v>
      </c>
      <c r="F1111" s="1" t="s">
        <v>20</v>
      </c>
    </row>
    <row r="1112" spans="1:6" x14ac:dyDescent="0.25">
      <c r="A1112" s="1" t="s">
        <v>2234</v>
      </c>
      <c r="B1112" s="1" t="s">
        <v>2235</v>
      </c>
      <c r="C1112" s="3">
        <v>200</v>
      </c>
      <c r="D1112" s="3" t="str">
        <f ca="1">IF(B1112="","",IFERROR(_xludf.XLOOKUP(_xludf.XLOOKUP(B1112,Inventory!$A:$A,Inventory!$B:$B),Blades!$A:$A,Blades!$C:$C)+_xludf.XLOOKUP(_xludf.XLOOKUP(B1112,Inventory!$A:$A,Inventory!$C:$C),Motor!$A:$A,Motor!$C:$C)+_xludf.XLOOKUP(_xludf.XLOOKUP(B1112,Inventory!$A:$A,Inventory!$D:$D),Frame!$A:$A,Frame!$C:$C)+#REF!,""))</f>
        <v/>
      </c>
      <c r="E1112" s="4">
        <v>45018</v>
      </c>
      <c r="F1112" s="1" t="s">
        <v>8</v>
      </c>
    </row>
    <row r="1113" spans="1:6" x14ac:dyDescent="0.25">
      <c r="A1113" s="1" t="s">
        <v>2236</v>
      </c>
      <c r="B1113" s="1" t="s">
        <v>2237</v>
      </c>
      <c r="C1113" s="3">
        <v>200</v>
      </c>
      <c r="D1113" s="3" t="str">
        <f ca="1">IF(B1113="","",IFERROR(_xludf.XLOOKUP(_xludf.XLOOKUP(B1113,Inventory!$A:$A,Inventory!$B:$B),Blades!$A:$A,Blades!$C:$C)+_xludf.XLOOKUP(_xludf.XLOOKUP(B1113,Inventory!$A:$A,Inventory!$C:$C),Motor!$A:$A,Motor!$C:$C)+_xludf.XLOOKUP(_xludf.XLOOKUP(B1113,Inventory!$A:$A,Inventory!$D:$D),Frame!$A:$A,Frame!$C:$C)+#REF!,""))</f>
        <v/>
      </c>
      <c r="E1113" s="4">
        <v>45019</v>
      </c>
      <c r="F1113" s="1" t="s">
        <v>11</v>
      </c>
    </row>
    <row r="1114" spans="1:6" x14ac:dyDescent="0.25">
      <c r="A1114" s="1" t="s">
        <v>2238</v>
      </c>
      <c r="B1114" s="1" t="s">
        <v>2239</v>
      </c>
      <c r="C1114" s="3">
        <v>200</v>
      </c>
      <c r="D1114" s="3" t="str">
        <f ca="1">IF(B1114="","",IFERROR(_xludf.XLOOKUP(_xludf.XLOOKUP(B1114,Inventory!$A:$A,Inventory!$B:$B),Blades!$A:$A,Blades!$C:$C)+_xludf.XLOOKUP(_xludf.XLOOKUP(B1114,Inventory!$A:$A,Inventory!$C:$C),Motor!$A:$A,Motor!$C:$C)+_xludf.XLOOKUP(_xludf.XLOOKUP(B1114,Inventory!$A:$A,Inventory!$D:$D),Frame!$A:$A,Frame!$C:$C)+#REF!,""))</f>
        <v/>
      </c>
      <c r="E1114" s="4">
        <v>45019</v>
      </c>
      <c r="F1114" s="1" t="s">
        <v>8</v>
      </c>
    </row>
    <row r="1115" spans="1:6" x14ac:dyDescent="0.25">
      <c r="A1115" s="1" t="s">
        <v>2240</v>
      </c>
      <c r="B1115" s="1" t="s">
        <v>2241</v>
      </c>
      <c r="C1115" s="3">
        <v>200</v>
      </c>
      <c r="D1115" s="3" t="str">
        <f ca="1">IF(B1115="","",IFERROR(_xludf.XLOOKUP(_xludf.XLOOKUP(B1115,Inventory!$A:$A,Inventory!$B:$B),Blades!$A:$A,Blades!$C:$C)+_xludf.XLOOKUP(_xludf.XLOOKUP(B1115,Inventory!$A:$A,Inventory!$C:$C),Motor!$A:$A,Motor!$C:$C)+_xludf.XLOOKUP(_xludf.XLOOKUP(B1115,Inventory!$A:$A,Inventory!$D:$D),Frame!$A:$A,Frame!$C:$C)+#REF!,""))</f>
        <v/>
      </c>
      <c r="E1115" s="4">
        <v>45019</v>
      </c>
      <c r="F1115" s="1" t="s">
        <v>49</v>
      </c>
    </row>
    <row r="1116" spans="1:6" x14ac:dyDescent="0.25">
      <c r="A1116" s="1" t="s">
        <v>2242</v>
      </c>
      <c r="B1116" s="1" t="s">
        <v>2243</v>
      </c>
      <c r="C1116" s="3">
        <v>200</v>
      </c>
      <c r="D1116" s="3" t="str">
        <f ca="1">IF(B1116="","",IFERROR(_xludf.XLOOKUP(_xludf.XLOOKUP(B1116,Inventory!$A:$A,Inventory!$B:$B),Blades!$A:$A,Blades!$C:$C)+_xludf.XLOOKUP(_xludf.XLOOKUP(B1116,Inventory!$A:$A,Inventory!$C:$C),Motor!$A:$A,Motor!$C:$C)+_xludf.XLOOKUP(_xludf.XLOOKUP(B1116,Inventory!$A:$A,Inventory!$D:$D),Frame!$A:$A,Frame!$C:$C)+#REF!,""))</f>
        <v/>
      </c>
      <c r="E1116" s="4">
        <v>45021</v>
      </c>
      <c r="F1116" s="1" t="s">
        <v>11</v>
      </c>
    </row>
    <row r="1117" spans="1:6" x14ac:dyDescent="0.25">
      <c r="A1117" s="1" t="s">
        <v>2244</v>
      </c>
      <c r="B1117" s="1" t="s">
        <v>2245</v>
      </c>
      <c r="C1117" s="3">
        <v>200</v>
      </c>
      <c r="D1117" s="3" t="str">
        <f ca="1">IF(B1117="","",IFERROR(_xludf.XLOOKUP(_xludf.XLOOKUP(B1117,Inventory!$A:$A,Inventory!$B:$B),Blades!$A:$A,Blades!$C:$C)+_xludf.XLOOKUP(_xludf.XLOOKUP(B1117,Inventory!$A:$A,Inventory!$C:$C),Motor!$A:$A,Motor!$C:$C)+_xludf.XLOOKUP(_xludf.XLOOKUP(B1117,Inventory!$A:$A,Inventory!$D:$D),Frame!$A:$A,Frame!$C:$C)+#REF!,""))</f>
        <v/>
      </c>
      <c r="E1117" s="4">
        <v>45021</v>
      </c>
      <c r="F1117" s="1" t="s">
        <v>8</v>
      </c>
    </row>
    <row r="1118" spans="1:6" x14ac:dyDescent="0.25">
      <c r="A1118" s="1" t="s">
        <v>2246</v>
      </c>
      <c r="B1118" s="1" t="s">
        <v>2247</v>
      </c>
      <c r="C1118" s="3">
        <v>200</v>
      </c>
      <c r="D1118" s="3" t="str">
        <f ca="1">IF(B1118="","",IFERROR(_xludf.XLOOKUP(_xludf.XLOOKUP(B1118,Inventory!$A:$A,Inventory!$B:$B),Blades!$A:$A,Blades!$C:$C)+_xludf.XLOOKUP(_xludf.XLOOKUP(B1118,Inventory!$A:$A,Inventory!$C:$C),Motor!$A:$A,Motor!$C:$C)+_xludf.XLOOKUP(_xludf.XLOOKUP(B1118,Inventory!$A:$A,Inventory!$D:$D),Frame!$A:$A,Frame!$C:$C)+#REF!,""))</f>
        <v/>
      </c>
      <c r="E1118" s="4">
        <v>45021</v>
      </c>
      <c r="F1118" s="1" t="s">
        <v>25</v>
      </c>
    </row>
    <row r="1119" spans="1:6" x14ac:dyDescent="0.25">
      <c r="A1119" s="1" t="s">
        <v>2248</v>
      </c>
      <c r="B1119" s="1" t="s">
        <v>2249</v>
      </c>
      <c r="C1119" s="3">
        <v>200</v>
      </c>
      <c r="D1119" s="3" t="str">
        <f ca="1">IF(B1119="","",IFERROR(_xludf.XLOOKUP(_xludf.XLOOKUP(B1119,Inventory!$A:$A,Inventory!$B:$B),Blades!$A:$A,Blades!$C:$C)+_xludf.XLOOKUP(_xludf.XLOOKUP(B1119,Inventory!$A:$A,Inventory!$C:$C),Motor!$A:$A,Motor!$C:$C)+_xludf.XLOOKUP(_xludf.XLOOKUP(B1119,Inventory!$A:$A,Inventory!$D:$D),Frame!$A:$A,Frame!$C:$C)+#REF!,""))</f>
        <v/>
      </c>
      <c r="E1119" s="4">
        <v>45021</v>
      </c>
      <c r="F1119" s="1" t="s">
        <v>20</v>
      </c>
    </row>
    <row r="1120" spans="1:6" x14ac:dyDescent="0.25">
      <c r="A1120" s="1" t="s">
        <v>2250</v>
      </c>
      <c r="B1120" s="1" t="s">
        <v>2251</v>
      </c>
      <c r="C1120" s="3">
        <v>200</v>
      </c>
      <c r="D1120" s="3" t="str">
        <f ca="1">IF(B1120="","",IFERROR(_xludf.XLOOKUP(_xludf.XLOOKUP(B1120,Inventory!$A:$A,Inventory!$B:$B),Blades!$A:$A,Blades!$C:$C)+_xludf.XLOOKUP(_xludf.XLOOKUP(B1120,Inventory!$A:$A,Inventory!$C:$C),Motor!$A:$A,Motor!$C:$C)+_xludf.XLOOKUP(_xludf.XLOOKUP(B1120,Inventory!$A:$A,Inventory!$D:$D),Frame!$A:$A,Frame!$C:$C)+#REF!,""))</f>
        <v/>
      </c>
      <c r="E1120" s="4">
        <v>45022</v>
      </c>
      <c r="F1120" s="1" t="s">
        <v>11</v>
      </c>
    </row>
    <row r="1121" spans="1:6" x14ac:dyDescent="0.25">
      <c r="A1121" s="1" t="s">
        <v>2252</v>
      </c>
      <c r="B1121" s="1" t="s">
        <v>2253</v>
      </c>
      <c r="C1121" s="3">
        <v>200</v>
      </c>
      <c r="D1121" s="3" t="str">
        <f ca="1">IF(B1121="","",IFERROR(_xludf.XLOOKUP(_xludf.XLOOKUP(B1121,Inventory!$A:$A,Inventory!$B:$B),Blades!$A:$A,Blades!$C:$C)+_xludf.XLOOKUP(_xludf.XLOOKUP(B1121,Inventory!$A:$A,Inventory!$C:$C),Motor!$A:$A,Motor!$C:$C)+_xludf.XLOOKUP(_xludf.XLOOKUP(B1121,Inventory!$A:$A,Inventory!$D:$D),Frame!$A:$A,Frame!$C:$C)+#REF!,""))</f>
        <v/>
      </c>
      <c r="E1121" s="4">
        <v>45023</v>
      </c>
      <c r="F1121" s="1" t="s">
        <v>25</v>
      </c>
    </row>
    <row r="1122" spans="1:6" x14ac:dyDescent="0.25">
      <c r="A1122" s="1" t="s">
        <v>2254</v>
      </c>
      <c r="B1122" s="1" t="s">
        <v>2255</v>
      </c>
      <c r="C1122" s="3">
        <v>200</v>
      </c>
      <c r="D1122" s="3" t="str">
        <f ca="1">IF(B1122="","",IFERROR(_xludf.XLOOKUP(_xludf.XLOOKUP(B1122,Inventory!$A:$A,Inventory!$B:$B),Blades!$A:$A,Blades!$C:$C)+_xludf.XLOOKUP(_xludf.XLOOKUP(B1122,Inventory!$A:$A,Inventory!$C:$C),Motor!$A:$A,Motor!$C:$C)+_xludf.XLOOKUP(_xludf.XLOOKUP(B1122,Inventory!$A:$A,Inventory!$D:$D),Frame!$A:$A,Frame!$C:$C)+#REF!,""))</f>
        <v/>
      </c>
      <c r="E1122" s="4">
        <v>45024</v>
      </c>
      <c r="F1122" s="1" t="s">
        <v>8</v>
      </c>
    </row>
    <row r="1123" spans="1:6" x14ac:dyDescent="0.25">
      <c r="A1123" s="1" t="s">
        <v>2256</v>
      </c>
      <c r="B1123" s="1" t="s">
        <v>2257</v>
      </c>
      <c r="C1123" s="3">
        <v>200</v>
      </c>
      <c r="D1123" s="3" t="str">
        <f ca="1">IF(B1123="","",IFERROR(_xludf.XLOOKUP(_xludf.XLOOKUP(B1123,Inventory!$A:$A,Inventory!$B:$B),Blades!$A:$A,Blades!$C:$C)+_xludf.XLOOKUP(_xludf.XLOOKUP(B1123,Inventory!$A:$A,Inventory!$C:$C),Motor!$A:$A,Motor!$C:$C)+_xludf.XLOOKUP(_xludf.XLOOKUP(B1123,Inventory!$A:$A,Inventory!$D:$D),Frame!$A:$A,Frame!$C:$C)+#REF!,""))</f>
        <v/>
      </c>
      <c r="E1123" s="4">
        <v>45024</v>
      </c>
      <c r="F1123" s="1" t="s">
        <v>8</v>
      </c>
    </row>
    <row r="1124" spans="1:6" x14ac:dyDescent="0.25">
      <c r="A1124" s="1" t="s">
        <v>2258</v>
      </c>
      <c r="B1124" s="1" t="s">
        <v>2259</v>
      </c>
      <c r="C1124" s="3">
        <v>200</v>
      </c>
      <c r="D1124" s="3" t="str">
        <f ca="1">IF(B1124="","",IFERROR(_xludf.XLOOKUP(_xludf.XLOOKUP(B1124,Inventory!$A:$A,Inventory!$B:$B),Blades!$A:$A,Blades!$C:$C)+_xludf.XLOOKUP(_xludf.XLOOKUP(B1124,Inventory!$A:$A,Inventory!$C:$C),Motor!$A:$A,Motor!$C:$C)+_xludf.XLOOKUP(_xludf.XLOOKUP(B1124,Inventory!$A:$A,Inventory!$D:$D),Frame!$A:$A,Frame!$C:$C)+#REF!,""))</f>
        <v/>
      </c>
      <c r="E1124" s="4">
        <v>45025</v>
      </c>
      <c r="F1124" s="1" t="s">
        <v>25</v>
      </c>
    </row>
    <row r="1125" spans="1:6" x14ac:dyDescent="0.25">
      <c r="A1125" s="1" t="s">
        <v>2260</v>
      </c>
      <c r="B1125" s="1" t="s">
        <v>2261</v>
      </c>
      <c r="C1125" s="3">
        <v>200</v>
      </c>
      <c r="D1125" s="3" t="str">
        <f ca="1">IF(B1125="","",IFERROR(_xludf.XLOOKUP(_xludf.XLOOKUP(B1125,Inventory!$A:$A,Inventory!$B:$B),Blades!$A:$A,Blades!$C:$C)+_xludf.XLOOKUP(_xludf.XLOOKUP(B1125,Inventory!$A:$A,Inventory!$C:$C),Motor!$A:$A,Motor!$C:$C)+_xludf.XLOOKUP(_xludf.XLOOKUP(B1125,Inventory!$A:$A,Inventory!$D:$D),Frame!$A:$A,Frame!$C:$C)+#REF!,""))</f>
        <v/>
      </c>
      <c r="E1125" s="4">
        <v>45026</v>
      </c>
      <c r="F1125" s="1" t="s">
        <v>25</v>
      </c>
    </row>
    <row r="1126" spans="1:6" x14ac:dyDescent="0.25">
      <c r="A1126" s="1" t="s">
        <v>2262</v>
      </c>
      <c r="B1126" s="1" t="s">
        <v>2263</v>
      </c>
      <c r="C1126" s="3">
        <v>200</v>
      </c>
      <c r="D1126" s="3" t="str">
        <f ca="1">IF(B1126="","",IFERROR(_xludf.XLOOKUP(_xludf.XLOOKUP(B1126,Inventory!$A:$A,Inventory!$B:$B),Blades!$A:$A,Blades!$C:$C)+_xludf.XLOOKUP(_xludf.XLOOKUP(B1126,Inventory!$A:$A,Inventory!$C:$C),Motor!$A:$A,Motor!$C:$C)+_xludf.XLOOKUP(_xludf.XLOOKUP(B1126,Inventory!$A:$A,Inventory!$D:$D),Frame!$A:$A,Frame!$C:$C)+#REF!,""))</f>
        <v/>
      </c>
      <c r="E1126" s="4">
        <v>45028</v>
      </c>
      <c r="F1126" s="1" t="s">
        <v>8</v>
      </c>
    </row>
    <row r="1127" spans="1:6" x14ac:dyDescent="0.25">
      <c r="A1127" s="1" t="s">
        <v>2264</v>
      </c>
      <c r="B1127" s="1" t="s">
        <v>2265</v>
      </c>
      <c r="C1127" s="3">
        <v>200</v>
      </c>
      <c r="D1127" s="3" t="str">
        <f ca="1">IF(B1127="","",IFERROR(_xludf.XLOOKUP(_xludf.XLOOKUP(B1127,Inventory!$A:$A,Inventory!$B:$B),Blades!$A:$A,Blades!$C:$C)+_xludf.XLOOKUP(_xludf.XLOOKUP(B1127,Inventory!$A:$A,Inventory!$C:$C),Motor!$A:$A,Motor!$C:$C)+_xludf.XLOOKUP(_xludf.XLOOKUP(B1127,Inventory!$A:$A,Inventory!$D:$D),Frame!$A:$A,Frame!$C:$C)+#REF!,""))</f>
        <v/>
      </c>
      <c r="E1127" s="4">
        <v>45029</v>
      </c>
      <c r="F1127" s="1" t="s">
        <v>52</v>
      </c>
    </row>
    <row r="1128" spans="1:6" x14ac:dyDescent="0.25">
      <c r="A1128" s="1" t="s">
        <v>2266</v>
      </c>
      <c r="B1128" s="1" t="s">
        <v>2267</v>
      </c>
      <c r="C1128" s="3">
        <v>200</v>
      </c>
      <c r="D1128" s="3" t="str">
        <f ca="1">IF(B1128="","",IFERROR(_xludf.XLOOKUP(_xludf.XLOOKUP(B1128,Inventory!$A:$A,Inventory!$B:$B),Blades!$A:$A,Blades!$C:$C)+_xludf.XLOOKUP(_xludf.XLOOKUP(B1128,Inventory!$A:$A,Inventory!$C:$C),Motor!$A:$A,Motor!$C:$C)+_xludf.XLOOKUP(_xludf.XLOOKUP(B1128,Inventory!$A:$A,Inventory!$D:$D),Frame!$A:$A,Frame!$C:$C)+#REF!,""))</f>
        <v/>
      </c>
      <c r="E1128" s="4">
        <v>45029</v>
      </c>
      <c r="F1128" s="1" t="s">
        <v>25</v>
      </c>
    </row>
    <row r="1129" spans="1:6" x14ac:dyDescent="0.25">
      <c r="A1129" s="1" t="s">
        <v>2268</v>
      </c>
      <c r="B1129" s="1" t="s">
        <v>2269</v>
      </c>
      <c r="C1129" s="3">
        <v>200</v>
      </c>
      <c r="D1129" s="3" t="str">
        <f ca="1">IF(B1129="","",IFERROR(_xludf.XLOOKUP(_xludf.XLOOKUP(B1129,Inventory!$A:$A,Inventory!$B:$B),Blades!$A:$A,Blades!$C:$C)+_xludf.XLOOKUP(_xludf.XLOOKUP(B1129,Inventory!$A:$A,Inventory!$C:$C),Motor!$A:$A,Motor!$C:$C)+_xludf.XLOOKUP(_xludf.XLOOKUP(B1129,Inventory!$A:$A,Inventory!$D:$D),Frame!$A:$A,Frame!$C:$C)+#REF!,""))</f>
        <v/>
      </c>
      <c r="E1129" s="4">
        <v>45030</v>
      </c>
      <c r="F1129" s="1" t="s">
        <v>32</v>
      </c>
    </row>
    <row r="1130" spans="1:6" x14ac:dyDescent="0.25">
      <c r="A1130" s="1" t="s">
        <v>2270</v>
      </c>
      <c r="B1130" s="1" t="s">
        <v>2271</v>
      </c>
      <c r="C1130" s="3">
        <v>200</v>
      </c>
      <c r="D1130" s="3" t="str">
        <f ca="1">IF(B1130="","",IFERROR(_xludf.XLOOKUP(_xludf.XLOOKUP(B1130,Inventory!$A:$A,Inventory!$B:$B),Blades!$A:$A,Blades!$C:$C)+_xludf.XLOOKUP(_xludf.XLOOKUP(B1130,Inventory!$A:$A,Inventory!$C:$C),Motor!$A:$A,Motor!$C:$C)+_xludf.XLOOKUP(_xludf.XLOOKUP(B1130,Inventory!$A:$A,Inventory!$D:$D),Frame!$A:$A,Frame!$C:$C)+#REF!,""))</f>
        <v/>
      </c>
      <c r="E1130" s="4">
        <v>45030</v>
      </c>
      <c r="F1130" s="1" t="s">
        <v>11</v>
      </c>
    </row>
    <row r="1131" spans="1:6" x14ac:dyDescent="0.25">
      <c r="A1131" s="1" t="s">
        <v>2272</v>
      </c>
      <c r="B1131" s="1" t="s">
        <v>2273</v>
      </c>
      <c r="C1131" s="3">
        <v>200</v>
      </c>
      <c r="D1131" s="3" t="str">
        <f ca="1">IF(B1131="","",IFERROR(_xludf.XLOOKUP(_xludf.XLOOKUP(B1131,Inventory!$A:$A,Inventory!$B:$B),Blades!$A:$A,Blades!$C:$C)+_xludf.XLOOKUP(_xludf.XLOOKUP(B1131,Inventory!$A:$A,Inventory!$C:$C),Motor!$A:$A,Motor!$C:$C)+_xludf.XLOOKUP(_xludf.XLOOKUP(B1131,Inventory!$A:$A,Inventory!$D:$D),Frame!$A:$A,Frame!$C:$C)+#REF!,""))</f>
        <v/>
      </c>
      <c r="E1131" s="4">
        <v>45030</v>
      </c>
      <c r="F1131" s="1" t="s">
        <v>11</v>
      </c>
    </row>
    <row r="1132" spans="1:6" x14ac:dyDescent="0.25">
      <c r="A1132" s="1" t="s">
        <v>2274</v>
      </c>
      <c r="B1132" s="1" t="s">
        <v>2275</v>
      </c>
      <c r="C1132" s="3">
        <v>200</v>
      </c>
      <c r="D1132" s="3" t="str">
        <f ca="1">IF(B1132="","",IFERROR(_xludf.XLOOKUP(_xludf.XLOOKUP(B1132,Inventory!$A:$A,Inventory!$B:$B),Blades!$A:$A,Blades!$C:$C)+_xludf.XLOOKUP(_xludf.XLOOKUP(B1132,Inventory!$A:$A,Inventory!$C:$C),Motor!$A:$A,Motor!$C:$C)+_xludf.XLOOKUP(_xludf.XLOOKUP(B1132,Inventory!$A:$A,Inventory!$D:$D),Frame!$A:$A,Frame!$C:$C)+#REF!,""))</f>
        <v/>
      </c>
      <c r="E1132" s="4">
        <v>45030</v>
      </c>
      <c r="F1132" s="1" t="s">
        <v>11</v>
      </c>
    </row>
    <row r="1133" spans="1:6" x14ac:dyDescent="0.25">
      <c r="A1133" s="1" t="s">
        <v>2276</v>
      </c>
      <c r="B1133" s="1" t="s">
        <v>2277</v>
      </c>
      <c r="C1133" s="3">
        <v>200</v>
      </c>
      <c r="D1133" s="3" t="str">
        <f ca="1">IF(B1133="","",IFERROR(_xludf.XLOOKUP(_xludf.XLOOKUP(B1133,Inventory!$A:$A,Inventory!$B:$B),Blades!$A:$A,Blades!$C:$C)+_xludf.XLOOKUP(_xludf.XLOOKUP(B1133,Inventory!$A:$A,Inventory!$C:$C),Motor!$A:$A,Motor!$C:$C)+_xludf.XLOOKUP(_xludf.XLOOKUP(B1133,Inventory!$A:$A,Inventory!$D:$D),Frame!$A:$A,Frame!$C:$C)+#REF!,""))</f>
        <v/>
      </c>
      <c r="E1133" s="4">
        <v>45031</v>
      </c>
      <c r="F1133" s="1" t="s">
        <v>20</v>
      </c>
    </row>
    <row r="1134" spans="1:6" x14ac:dyDescent="0.25">
      <c r="A1134" s="1" t="s">
        <v>2278</v>
      </c>
      <c r="B1134" s="1" t="s">
        <v>2279</v>
      </c>
      <c r="C1134" s="3">
        <v>200</v>
      </c>
      <c r="D1134" s="3" t="str">
        <f ca="1">IF(B1134="","",IFERROR(_xludf.XLOOKUP(_xludf.XLOOKUP(B1134,Inventory!$A:$A,Inventory!$B:$B),Blades!$A:$A,Blades!$C:$C)+_xludf.XLOOKUP(_xludf.XLOOKUP(B1134,Inventory!$A:$A,Inventory!$C:$C),Motor!$A:$A,Motor!$C:$C)+_xludf.XLOOKUP(_xludf.XLOOKUP(B1134,Inventory!$A:$A,Inventory!$D:$D),Frame!$A:$A,Frame!$C:$C)+#REF!,""))</f>
        <v/>
      </c>
      <c r="E1134" s="4">
        <v>45031</v>
      </c>
      <c r="F1134" s="1" t="s">
        <v>32</v>
      </c>
    </row>
    <row r="1135" spans="1:6" x14ac:dyDescent="0.25">
      <c r="A1135" s="1" t="s">
        <v>2280</v>
      </c>
      <c r="B1135" s="1" t="s">
        <v>2281</v>
      </c>
      <c r="C1135" s="3">
        <v>200</v>
      </c>
      <c r="D1135" s="3" t="str">
        <f ca="1">IF(B1135="","",IFERROR(_xludf.XLOOKUP(_xludf.XLOOKUP(B1135,Inventory!$A:$A,Inventory!$B:$B),Blades!$A:$A,Blades!$C:$C)+_xludf.XLOOKUP(_xludf.XLOOKUP(B1135,Inventory!$A:$A,Inventory!$C:$C),Motor!$A:$A,Motor!$C:$C)+_xludf.XLOOKUP(_xludf.XLOOKUP(B1135,Inventory!$A:$A,Inventory!$D:$D),Frame!$A:$A,Frame!$C:$C)+#REF!,""))</f>
        <v/>
      </c>
      <c r="E1135" s="4">
        <v>45032</v>
      </c>
      <c r="F1135" s="1" t="s">
        <v>25</v>
      </c>
    </row>
    <row r="1136" spans="1:6" x14ac:dyDescent="0.25">
      <c r="A1136" s="1" t="s">
        <v>2282</v>
      </c>
      <c r="B1136" s="1" t="s">
        <v>2283</v>
      </c>
      <c r="C1136" s="3">
        <v>200</v>
      </c>
      <c r="D1136" s="3" t="str">
        <f ca="1">IF(B1136="","",IFERROR(_xludf.XLOOKUP(_xludf.XLOOKUP(B1136,Inventory!$A:$A,Inventory!$B:$B),Blades!$A:$A,Blades!$C:$C)+_xludf.XLOOKUP(_xludf.XLOOKUP(B1136,Inventory!$A:$A,Inventory!$C:$C),Motor!$A:$A,Motor!$C:$C)+_xludf.XLOOKUP(_xludf.XLOOKUP(B1136,Inventory!$A:$A,Inventory!$D:$D),Frame!$A:$A,Frame!$C:$C)+#REF!,""))</f>
        <v/>
      </c>
      <c r="E1136" s="4">
        <v>45033</v>
      </c>
      <c r="F1136" s="1" t="s">
        <v>32</v>
      </c>
    </row>
    <row r="1137" spans="1:6" x14ac:dyDescent="0.25">
      <c r="A1137" s="1" t="s">
        <v>2284</v>
      </c>
      <c r="B1137" s="1" t="s">
        <v>2285</v>
      </c>
      <c r="C1137" s="3">
        <v>200</v>
      </c>
      <c r="D1137" s="3" t="str">
        <f ca="1">IF(B1137="","",IFERROR(_xludf.XLOOKUP(_xludf.XLOOKUP(B1137,Inventory!$A:$A,Inventory!$B:$B),Blades!$A:$A,Blades!$C:$C)+_xludf.XLOOKUP(_xludf.XLOOKUP(B1137,Inventory!$A:$A,Inventory!$C:$C),Motor!$A:$A,Motor!$C:$C)+_xludf.XLOOKUP(_xludf.XLOOKUP(B1137,Inventory!$A:$A,Inventory!$D:$D),Frame!$A:$A,Frame!$C:$C)+#REF!,""))</f>
        <v/>
      </c>
      <c r="E1137" s="4">
        <v>45033</v>
      </c>
      <c r="F1137" s="1" t="s">
        <v>32</v>
      </c>
    </row>
    <row r="1138" spans="1:6" x14ac:dyDescent="0.25">
      <c r="A1138" s="1" t="s">
        <v>2286</v>
      </c>
      <c r="B1138" s="1" t="s">
        <v>2287</v>
      </c>
      <c r="C1138" s="3">
        <v>200</v>
      </c>
      <c r="D1138" s="3" t="str">
        <f ca="1">IF(B1138="","",IFERROR(_xludf.XLOOKUP(_xludf.XLOOKUP(B1138,Inventory!$A:$A,Inventory!$B:$B),Blades!$A:$A,Blades!$C:$C)+_xludf.XLOOKUP(_xludf.XLOOKUP(B1138,Inventory!$A:$A,Inventory!$C:$C),Motor!$A:$A,Motor!$C:$C)+_xludf.XLOOKUP(_xludf.XLOOKUP(B1138,Inventory!$A:$A,Inventory!$D:$D),Frame!$A:$A,Frame!$C:$C)+#REF!,""))</f>
        <v/>
      </c>
      <c r="E1138" s="4">
        <v>45034</v>
      </c>
      <c r="F1138" s="1" t="s">
        <v>11</v>
      </c>
    </row>
    <row r="1139" spans="1:6" x14ac:dyDescent="0.25">
      <c r="A1139" s="1" t="s">
        <v>2288</v>
      </c>
      <c r="B1139" s="1" t="s">
        <v>2289</v>
      </c>
      <c r="C1139" s="3">
        <v>200</v>
      </c>
      <c r="D1139" s="3" t="str">
        <f ca="1">IF(B1139="","",IFERROR(_xludf.XLOOKUP(_xludf.XLOOKUP(B1139,Inventory!$A:$A,Inventory!$B:$B),Blades!$A:$A,Blades!$C:$C)+_xludf.XLOOKUP(_xludf.XLOOKUP(B1139,Inventory!$A:$A,Inventory!$C:$C),Motor!$A:$A,Motor!$C:$C)+_xludf.XLOOKUP(_xludf.XLOOKUP(B1139,Inventory!$A:$A,Inventory!$D:$D),Frame!$A:$A,Frame!$C:$C)+#REF!,""))</f>
        <v/>
      </c>
      <c r="E1139" s="4">
        <v>45034</v>
      </c>
      <c r="F1139" s="1" t="s">
        <v>32</v>
      </c>
    </row>
    <row r="1140" spans="1:6" x14ac:dyDescent="0.25">
      <c r="A1140" s="1" t="s">
        <v>2290</v>
      </c>
      <c r="B1140" s="1" t="s">
        <v>2291</v>
      </c>
      <c r="C1140" s="3">
        <v>200</v>
      </c>
      <c r="D1140" s="3" t="str">
        <f ca="1">IF(B1140="","",IFERROR(_xludf.XLOOKUP(_xludf.XLOOKUP(B1140,Inventory!$A:$A,Inventory!$B:$B),Blades!$A:$A,Blades!$C:$C)+_xludf.XLOOKUP(_xludf.XLOOKUP(B1140,Inventory!$A:$A,Inventory!$C:$C),Motor!$A:$A,Motor!$C:$C)+_xludf.XLOOKUP(_xludf.XLOOKUP(B1140,Inventory!$A:$A,Inventory!$D:$D),Frame!$A:$A,Frame!$C:$C)+#REF!,""))</f>
        <v/>
      </c>
      <c r="E1140" s="4">
        <v>45034</v>
      </c>
      <c r="F1140" s="1" t="s">
        <v>32</v>
      </c>
    </row>
    <row r="1141" spans="1:6" x14ac:dyDescent="0.25">
      <c r="A1141" s="1" t="s">
        <v>2292</v>
      </c>
      <c r="B1141" s="1" t="s">
        <v>2293</v>
      </c>
      <c r="C1141" s="3">
        <v>200</v>
      </c>
      <c r="D1141" s="3" t="str">
        <f ca="1">IF(B1141="","",IFERROR(_xludf.XLOOKUP(_xludf.XLOOKUP(B1141,Inventory!$A:$A,Inventory!$B:$B),Blades!$A:$A,Blades!$C:$C)+_xludf.XLOOKUP(_xludf.XLOOKUP(B1141,Inventory!$A:$A,Inventory!$C:$C),Motor!$A:$A,Motor!$C:$C)+_xludf.XLOOKUP(_xludf.XLOOKUP(B1141,Inventory!$A:$A,Inventory!$D:$D),Frame!$A:$A,Frame!$C:$C)+#REF!,""))</f>
        <v/>
      </c>
      <c r="E1141" s="4">
        <v>45035</v>
      </c>
      <c r="F1141" s="1" t="s">
        <v>63</v>
      </c>
    </row>
    <row r="1142" spans="1:6" x14ac:dyDescent="0.25">
      <c r="A1142" s="1" t="s">
        <v>2294</v>
      </c>
      <c r="B1142" s="1" t="s">
        <v>2295</v>
      </c>
      <c r="C1142" s="3">
        <v>200</v>
      </c>
      <c r="D1142" s="3" t="str">
        <f ca="1">IF(B1142="","",IFERROR(_xludf.XLOOKUP(_xludf.XLOOKUP(B1142,Inventory!$A:$A,Inventory!$B:$B),Blades!$A:$A,Blades!$C:$C)+_xludf.XLOOKUP(_xludf.XLOOKUP(B1142,Inventory!$A:$A,Inventory!$C:$C),Motor!$A:$A,Motor!$C:$C)+_xludf.XLOOKUP(_xludf.XLOOKUP(B1142,Inventory!$A:$A,Inventory!$D:$D),Frame!$A:$A,Frame!$C:$C)+#REF!,""))</f>
        <v/>
      </c>
      <c r="E1142" s="4">
        <v>45038</v>
      </c>
      <c r="F1142" s="1" t="s">
        <v>32</v>
      </c>
    </row>
    <row r="1143" spans="1:6" x14ac:dyDescent="0.25">
      <c r="A1143" s="1" t="s">
        <v>2296</v>
      </c>
      <c r="B1143" s="1" t="s">
        <v>2297</v>
      </c>
      <c r="C1143" s="3">
        <v>200</v>
      </c>
      <c r="D1143" s="3" t="str">
        <f ca="1">IF(B1143="","",IFERROR(_xludf.XLOOKUP(_xludf.XLOOKUP(B1143,Inventory!$A:$A,Inventory!$B:$B),Blades!$A:$A,Blades!$C:$C)+_xludf.XLOOKUP(_xludf.XLOOKUP(B1143,Inventory!$A:$A,Inventory!$C:$C),Motor!$A:$A,Motor!$C:$C)+_xludf.XLOOKUP(_xludf.XLOOKUP(B1143,Inventory!$A:$A,Inventory!$D:$D),Frame!$A:$A,Frame!$C:$C)+#REF!,""))</f>
        <v/>
      </c>
      <c r="E1143" s="4">
        <v>45040</v>
      </c>
      <c r="F1143" s="1" t="s">
        <v>20</v>
      </c>
    </row>
    <row r="1144" spans="1:6" x14ac:dyDescent="0.25">
      <c r="A1144" s="1" t="s">
        <v>2298</v>
      </c>
      <c r="B1144" s="1" t="s">
        <v>2299</v>
      </c>
      <c r="C1144" s="3">
        <v>200</v>
      </c>
      <c r="D1144" s="3" t="str">
        <f ca="1">IF(B1144="","",IFERROR(_xludf.XLOOKUP(_xludf.XLOOKUP(B1144,Inventory!$A:$A,Inventory!$B:$B),Blades!$A:$A,Blades!$C:$C)+_xludf.XLOOKUP(_xludf.XLOOKUP(B1144,Inventory!$A:$A,Inventory!$C:$C),Motor!$A:$A,Motor!$C:$C)+_xludf.XLOOKUP(_xludf.XLOOKUP(B1144,Inventory!$A:$A,Inventory!$D:$D),Frame!$A:$A,Frame!$C:$C)+#REF!,""))</f>
        <v/>
      </c>
      <c r="E1144" s="4">
        <v>45042</v>
      </c>
      <c r="F1144" s="1" t="s">
        <v>32</v>
      </c>
    </row>
    <row r="1145" spans="1:6" x14ac:dyDescent="0.25">
      <c r="A1145" s="1" t="s">
        <v>2300</v>
      </c>
      <c r="B1145" s="1" t="s">
        <v>2301</v>
      </c>
      <c r="C1145" s="3">
        <v>200</v>
      </c>
      <c r="D1145" s="3" t="str">
        <f ca="1">IF(B1145="","",IFERROR(_xludf.XLOOKUP(_xludf.XLOOKUP(B1145,Inventory!$A:$A,Inventory!$B:$B),Blades!$A:$A,Blades!$C:$C)+_xludf.XLOOKUP(_xludf.XLOOKUP(B1145,Inventory!$A:$A,Inventory!$C:$C),Motor!$A:$A,Motor!$C:$C)+_xludf.XLOOKUP(_xludf.XLOOKUP(B1145,Inventory!$A:$A,Inventory!$D:$D),Frame!$A:$A,Frame!$C:$C)+#REF!,""))</f>
        <v/>
      </c>
      <c r="E1145" s="4">
        <v>45042</v>
      </c>
      <c r="F1145" s="1" t="s">
        <v>63</v>
      </c>
    </row>
    <row r="1146" spans="1:6" x14ac:dyDescent="0.25">
      <c r="A1146" s="1" t="s">
        <v>2302</v>
      </c>
      <c r="B1146" s="1" t="s">
        <v>2303</v>
      </c>
      <c r="C1146" s="3">
        <v>200</v>
      </c>
      <c r="D1146" s="3" t="str">
        <f ca="1">IF(B1146="","",IFERROR(_xludf.XLOOKUP(_xludf.XLOOKUP(B1146,Inventory!$A:$A,Inventory!$B:$B),Blades!$A:$A,Blades!$C:$C)+_xludf.XLOOKUP(_xludf.XLOOKUP(B1146,Inventory!$A:$A,Inventory!$C:$C),Motor!$A:$A,Motor!$C:$C)+_xludf.XLOOKUP(_xludf.XLOOKUP(B1146,Inventory!$A:$A,Inventory!$D:$D),Frame!$A:$A,Frame!$C:$C)+#REF!,""))</f>
        <v/>
      </c>
      <c r="E1146" s="4">
        <v>45043</v>
      </c>
      <c r="F1146" s="1" t="s">
        <v>11</v>
      </c>
    </row>
    <row r="1147" spans="1:6" x14ac:dyDescent="0.25">
      <c r="A1147" s="1" t="s">
        <v>2304</v>
      </c>
      <c r="B1147" s="1" t="s">
        <v>2305</v>
      </c>
      <c r="C1147" s="3">
        <v>200</v>
      </c>
      <c r="D1147" s="3" t="str">
        <f ca="1">IF(B1147="","",IFERROR(_xludf.XLOOKUP(_xludf.XLOOKUP(B1147,Inventory!$A:$A,Inventory!$B:$B),Blades!$A:$A,Blades!$C:$C)+_xludf.XLOOKUP(_xludf.XLOOKUP(B1147,Inventory!$A:$A,Inventory!$C:$C),Motor!$A:$A,Motor!$C:$C)+_xludf.XLOOKUP(_xludf.XLOOKUP(B1147,Inventory!$A:$A,Inventory!$D:$D),Frame!$A:$A,Frame!$C:$C)+#REF!,""))</f>
        <v/>
      </c>
      <c r="E1147" s="4">
        <v>45045</v>
      </c>
      <c r="F1147" s="1" t="s">
        <v>52</v>
      </c>
    </row>
    <row r="1148" spans="1:6" x14ac:dyDescent="0.25">
      <c r="A1148" s="1" t="s">
        <v>2306</v>
      </c>
      <c r="B1148" s="1" t="s">
        <v>2307</v>
      </c>
      <c r="C1148" s="3">
        <v>200</v>
      </c>
      <c r="D1148" s="3" t="str">
        <f ca="1">IF(B1148="","",IFERROR(_xludf.XLOOKUP(_xludf.XLOOKUP(B1148,Inventory!$A:$A,Inventory!$B:$B),Blades!$A:$A,Blades!$C:$C)+_xludf.XLOOKUP(_xludf.XLOOKUP(B1148,Inventory!$A:$A,Inventory!$C:$C),Motor!$A:$A,Motor!$C:$C)+_xludf.XLOOKUP(_xludf.XLOOKUP(B1148,Inventory!$A:$A,Inventory!$D:$D),Frame!$A:$A,Frame!$C:$C)+#REF!,""))</f>
        <v/>
      </c>
      <c r="E1148" s="4">
        <v>45045</v>
      </c>
      <c r="F1148" s="1" t="s">
        <v>25</v>
      </c>
    </row>
    <row r="1149" spans="1:6" x14ac:dyDescent="0.25">
      <c r="A1149" s="1" t="s">
        <v>2308</v>
      </c>
      <c r="B1149" s="1" t="s">
        <v>2309</v>
      </c>
      <c r="C1149" s="3">
        <v>200</v>
      </c>
      <c r="D1149" s="3" t="str">
        <f ca="1">IF(B1149="","",IFERROR(_xludf.XLOOKUP(_xludf.XLOOKUP(B1149,Inventory!$A:$A,Inventory!$B:$B),Blades!$A:$A,Blades!$C:$C)+_xludf.XLOOKUP(_xludf.XLOOKUP(B1149,Inventory!$A:$A,Inventory!$C:$C),Motor!$A:$A,Motor!$C:$C)+_xludf.XLOOKUP(_xludf.XLOOKUP(B1149,Inventory!$A:$A,Inventory!$D:$D),Frame!$A:$A,Frame!$C:$C)+#REF!,""))</f>
        <v/>
      </c>
      <c r="E1149" s="4">
        <v>45045</v>
      </c>
      <c r="F1149" s="1" t="s">
        <v>8</v>
      </c>
    </row>
    <row r="1150" spans="1:6" x14ac:dyDescent="0.25">
      <c r="A1150" s="1" t="s">
        <v>2310</v>
      </c>
      <c r="B1150" s="1" t="s">
        <v>2311</v>
      </c>
      <c r="C1150" s="3">
        <v>200</v>
      </c>
      <c r="D1150" s="3" t="str">
        <f ca="1">IF(B1150="","",IFERROR(_xludf.XLOOKUP(_xludf.XLOOKUP(B1150,Inventory!$A:$A,Inventory!$B:$B),Blades!$A:$A,Blades!$C:$C)+_xludf.XLOOKUP(_xludf.XLOOKUP(B1150,Inventory!$A:$A,Inventory!$C:$C),Motor!$A:$A,Motor!$C:$C)+_xludf.XLOOKUP(_xludf.XLOOKUP(B1150,Inventory!$A:$A,Inventory!$D:$D),Frame!$A:$A,Frame!$C:$C)+#REF!,""))</f>
        <v/>
      </c>
      <c r="E1150" s="4">
        <v>45045</v>
      </c>
      <c r="F1150" s="1" t="s">
        <v>25</v>
      </c>
    </row>
    <row r="1151" spans="1:6" x14ac:dyDescent="0.25">
      <c r="A1151" s="1" t="s">
        <v>2312</v>
      </c>
      <c r="B1151" s="1" t="s">
        <v>2313</v>
      </c>
      <c r="C1151" s="3">
        <v>200</v>
      </c>
      <c r="D1151" s="3" t="str">
        <f ca="1">IF(B1151="","",IFERROR(_xludf.XLOOKUP(_xludf.XLOOKUP(B1151,Inventory!$A:$A,Inventory!$B:$B),Blades!$A:$A,Blades!$C:$C)+_xludf.XLOOKUP(_xludf.XLOOKUP(B1151,Inventory!$A:$A,Inventory!$C:$C),Motor!$A:$A,Motor!$C:$C)+_xludf.XLOOKUP(_xludf.XLOOKUP(B1151,Inventory!$A:$A,Inventory!$D:$D),Frame!$A:$A,Frame!$C:$C)+#REF!,""))</f>
        <v/>
      </c>
      <c r="E1151" s="4">
        <v>45046</v>
      </c>
      <c r="F1151" s="1" t="s">
        <v>49</v>
      </c>
    </row>
    <row r="1152" spans="1:6" x14ac:dyDescent="0.25">
      <c r="A1152" s="1" t="s">
        <v>2314</v>
      </c>
      <c r="B1152" s="1" t="s">
        <v>2315</v>
      </c>
      <c r="C1152" s="3">
        <v>200</v>
      </c>
      <c r="D1152" s="3" t="str">
        <f ca="1">IF(B1152="","",IFERROR(_xludf.XLOOKUP(_xludf.XLOOKUP(B1152,Inventory!$A:$A,Inventory!$B:$B),Blades!$A:$A,Blades!$C:$C)+_xludf.XLOOKUP(_xludf.XLOOKUP(B1152,Inventory!$A:$A,Inventory!$C:$C),Motor!$A:$A,Motor!$C:$C)+_xludf.XLOOKUP(_xludf.XLOOKUP(B1152,Inventory!$A:$A,Inventory!$D:$D),Frame!$A:$A,Frame!$C:$C)+#REF!,""))</f>
        <v/>
      </c>
      <c r="E1152" s="4">
        <v>45046</v>
      </c>
      <c r="F1152" s="1" t="s">
        <v>11</v>
      </c>
    </row>
    <row r="1153" spans="1:6" x14ac:dyDescent="0.25">
      <c r="A1153" s="1" t="s">
        <v>2316</v>
      </c>
      <c r="B1153" s="1" t="s">
        <v>2317</v>
      </c>
      <c r="C1153" s="3">
        <v>200</v>
      </c>
      <c r="D1153" s="3" t="str">
        <f ca="1">IF(B1153="","",IFERROR(_xludf.XLOOKUP(_xludf.XLOOKUP(B1153,Inventory!$A:$A,Inventory!$B:$B),Blades!$A:$A,Blades!$C:$C)+_xludf.XLOOKUP(_xludf.XLOOKUP(B1153,Inventory!$A:$A,Inventory!$C:$C),Motor!$A:$A,Motor!$C:$C)+_xludf.XLOOKUP(_xludf.XLOOKUP(B1153,Inventory!$A:$A,Inventory!$D:$D),Frame!$A:$A,Frame!$C:$C)+#REF!,""))</f>
        <v/>
      </c>
      <c r="E1153" s="4">
        <v>45047</v>
      </c>
      <c r="F1153" s="1" t="s">
        <v>25</v>
      </c>
    </row>
    <row r="1154" spans="1:6" x14ac:dyDescent="0.25">
      <c r="A1154" s="1" t="s">
        <v>2318</v>
      </c>
      <c r="B1154" s="1" t="s">
        <v>2319</v>
      </c>
      <c r="C1154" s="3">
        <v>200</v>
      </c>
      <c r="D1154" s="3" t="str">
        <f ca="1">IF(B1154="","",IFERROR(_xludf.XLOOKUP(_xludf.XLOOKUP(B1154,Inventory!$A:$A,Inventory!$B:$B),Blades!$A:$A,Blades!$C:$C)+_xludf.XLOOKUP(_xludf.XLOOKUP(B1154,Inventory!$A:$A,Inventory!$C:$C),Motor!$A:$A,Motor!$C:$C)+_xludf.XLOOKUP(_xludf.XLOOKUP(B1154,Inventory!$A:$A,Inventory!$D:$D),Frame!$A:$A,Frame!$C:$C)+#REF!,""))</f>
        <v/>
      </c>
      <c r="E1154" s="4">
        <v>45048</v>
      </c>
      <c r="F1154" s="1" t="s">
        <v>8</v>
      </c>
    </row>
    <row r="1155" spans="1:6" x14ac:dyDescent="0.25">
      <c r="A1155" s="1" t="s">
        <v>2320</v>
      </c>
      <c r="B1155" s="1" t="s">
        <v>2321</v>
      </c>
      <c r="C1155" s="3">
        <v>200</v>
      </c>
      <c r="D1155" s="3" t="str">
        <f ca="1">IF(B1155="","",IFERROR(_xludf.XLOOKUP(_xludf.XLOOKUP(B1155,Inventory!$A:$A,Inventory!$B:$B),Blades!$A:$A,Blades!$C:$C)+_xludf.XLOOKUP(_xludf.XLOOKUP(B1155,Inventory!$A:$A,Inventory!$C:$C),Motor!$A:$A,Motor!$C:$C)+_xludf.XLOOKUP(_xludf.XLOOKUP(B1155,Inventory!$A:$A,Inventory!$D:$D),Frame!$A:$A,Frame!$C:$C)+#REF!,""))</f>
        <v/>
      </c>
      <c r="E1155" s="4">
        <v>45050</v>
      </c>
      <c r="F1155" s="1" t="s">
        <v>49</v>
      </c>
    </row>
    <row r="1156" spans="1:6" x14ac:dyDescent="0.25">
      <c r="A1156" s="1" t="s">
        <v>2322</v>
      </c>
      <c r="B1156" s="1" t="s">
        <v>2323</v>
      </c>
      <c r="C1156" s="3">
        <v>200</v>
      </c>
      <c r="D1156" s="3" t="str">
        <f ca="1">IF(B1156="","",IFERROR(_xludf.XLOOKUP(_xludf.XLOOKUP(B1156,Inventory!$A:$A,Inventory!$B:$B),Blades!$A:$A,Blades!$C:$C)+_xludf.XLOOKUP(_xludf.XLOOKUP(B1156,Inventory!$A:$A,Inventory!$C:$C),Motor!$A:$A,Motor!$C:$C)+_xludf.XLOOKUP(_xludf.XLOOKUP(B1156,Inventory!$A:$A,Inventory!$D:$D),Frame!$A:$A,Frame!$C:$C)+#REF!,""))</f>
        <v/>
      </c>
      <c r="E1156" s="4">
        <v>45051</v>
      </c>
      <c r="F1156" s="1" t="s">
        <v>52</v>
      </c>
    </row>
    <row r="1157" spans="1:6" x14ac:dyDescent="0.25">
      <c r="A1157" s="1" t="s">
        <v>2324</v>
      </c>
      <c r="B1157" s="1" t="s">
        <v>2325</v>
      </c>
      <c r="C1157" s="3">
        <v>200</v>
      </c>
      <c r="D1157" s="3" t="str">
        <f ca="1">IF(B1157="","",IFERROR(_xludf.XLOOKUP(_xludf.XLOOKUP(B1157,Inventory!$A:$A,Inventory!$B:$B),Blades!$A:$A,Blades!$C:$C)+_xludf.XLOOKUP(_xludf.XLOOKUP(B1157,Inventory!$A:$A,Inventory!$C:$C),Motor!$A:$A,Motor!$C:$C)+_xludf.XLOOKUP(_xludf.XLOOKUP(B1157,Inventory!$A:$A,Inventory!$D:$D),Frame!$A:$A,Frame!$C:$C)+#REF!,""))</f>
        <v/>
      </c>
      <c r="E1157" s="4">
        <v>45052</v>
      </c>
      <c r="F1157" s="1" t="s">
        <v>52</v>
      </c>
    </row>
    <row r="1158" spans="1:6" x14ac:dyDescent="0.25">
      <c r="A1158" s="1" t="s">
        <v>2326</v>
      </c>
      <c r="B1158" s="1" t="s">
        <v>2327</v>
      </c>
      <c r="C1158" s="3">
        <v>200</v>
      </c>
      <c r="D1158" s="3" t="str">
        <f ca="1">IF(B1158="","",IFERROR(_xludf.XLOOKUP(_xludf.XLOOKUP(B1158,Inventory!$A:$A,Inventory!$B:$B),Blades!$A:$A,Blades!$C:$C)+_xludf.XLOOKUP(_xludf.XLOOKUP(B1158,Inventory!$A:$A,Inventory!$C:$C),Motor!$A:$A,Motor!$C:$C)+_xludf.XLOOKUP(_xludf.XLOOKUP(B1158,Inventory!$A:$A,Inventory!$D:$D),Frame!$A:$A,Frame!$C:$C)+#REF!,""))</f>
        <v/>
      </c>
      <c r="E1158" s="4">
        <v>45052</v>
      </c>
      <c r="F1158" s="1" t="s">
        <v>20</v>
      </c>
    </row>
    <row r="1159" spans="1:6" x14ac:dyDescent="0.25">
      <c r="A1159" s="1" t="s">
        <v>2328</v>
      </c>
      <c r="B1159" s="1" t="s">
        <v>2329</v>
      </c>
      <c r="C1159" s="3">
        <v>200</v>
      </c>
      <c r="D1159" s="3" t="str">
        <f ca="1">IF(B1159="","",IFERROR(_xludf.XLOOKUP(_xludf.XLOOKUP(B1159,Inventory!$A:$A,Inventory!$B:$B),Blades!$A:$A,Blades!$C:$C)+_xludf.XLOOKUP(_xludf.XLOOKUP(B1159,Inventory!$A:$A,Inventory!$C:$C),Motor!$A:$A,Motor!$C:$C)+_xludf.XLOOKUP(_xludf.XLOOKUP(B1159,Inventory!$A:$A,Inventory!$D:$D),Frame!$A:$A,Frame!$C:$C)+#REF!,""))</f>
        <v/>
      </c>
      <c r="E1159" s="4">
        <v>45053</v>
      </c>
      <c r="F1159" s="1" t="s">
        <v>20</v>
      </c>
    </row>
    <row r="1160" spans="1:6" x14ac:dyDescent="0.25">
      <c r="A1160" s="1" t="s">
        <v>2330</v>
      </c>
      <c r="B1160" s="1" t="s">
        <v>2331</v>
      </c>
      <c r="C1160" s="3">
        <v>200</v>
      </c>
      <c r="D1160" s="3" t="str">
        <f ca="1">IF(B1160="","",IFERROR(_xludf.XLOOKUP(_xludf.XLOOKUP(B1160,Inventory!$A:$A,Inventory!$B:$B),Blades!$A:$A,Blades!$C:$C)+_xludf.XLOOKUP(_xludf.XLOOKUP(B1160,Inventory!$A:$A,Inventory!$C:$C),Motor!$A:$A,Motor!$C:$C)+_xludf.XLOOKUP(_xludf.XLOOKUP(B1160,Inventory!$A:$A,Inventory!$D:$D),Frame!$A:$A,Frame!$C:$C)+#REF!,""))</f>
        <v/>
      </c>
      <c r="E1160" s="4">
        <v>45053</v>
      </c>
      <c r="F1160" s="1" t="s">
        <v>49</v>
      </c>
    </row>
    <row r="1161" spans="1:6" x14ac:dyDescent="0.25">
      <c r="A1161" s="1" t="s">
        <v>2332</v>
      </c>
      <c r="B1161" s="1" t="s">
        <v>2333</v>
      </c>
      <c r="C1161" s="3">
        <v>200</v>
      </c>
      <c r="D1161" s="3" t="str">
        <f ca="1">IF(B1161="","",IFERROR(_xludf.XLOOKUP(_xludf.XLOOKUP(B1161,Inventory!$A:$A,Inventory!$B:$B),Blades!$A:$A,Blades!$C:$C)+_xludf.XLOOKUP(_xludf.XLOOKUP(B1161,Inventory!$A:$A,Inventory!$C:$C),Motor!$A:$A,Motor!$C:$C)+_xludf.XLOOKUP(_xludf.XLOOKUP(B1161,Inventory!$A:$A,Inventory!$D:$D),Frame!$A:$A,Frame!$C:$C)+#REF!,""))</f>
        <v/>
      </c>
      <c r="E1161" s="4">
        <v>45055</v>
      </c>
      <c r="F1161" s="1" t="s">
        <v>25</v>
      </c>
    </row>
    <row r="1162" spans="1:6" x14ac:dyDescent="0.25">
      <c r="A1162" s="1" t="s">
        <v>2334</v>
      </c>
      <c r="B1162" s="1" t="s">
        <v>2335</v>
      </c>
      <c r="C1162" s="3">
        <v>200</v>
      </c>
      <c r="D1162" s="3" t="str">
        <f ca="1">IF(B1162="","",IFERROR(_xludf.XLOOKUP(_xludf.XLOOKUP(B1162,Inventory!$A:$A,Inventory!$B:$B),Blades!$A:$A,Blades!$C:$C)+_xludf.XLOOKUP(_xludf.XLOOKUP(B1162,Inventory!$A:$A,Inventory!$C:$C),Motor!$A:$A,Motor!$C:$C)+_xludf.XLOOKUP(_xludf.XLOOKUP(B1162,Inventory!$A:$A,Inventory!$D:$D),Frame!$A:$A,Frame!$C:$C)+#REF!,""))</f>
        <v/>
      </c>
      <c r="E1162" s="4">
        <v>45056</v>
      </c>
      <c r="F1162" s="1" t="s">
        <v>20</v>
      </c>
    </row>
    <row r="1163" spans="1:6" x14ac:dyDescent="0.25">
      <c r="A1163" s="1" t="s">
        <v>2336</v>
      </c>
      <c r="B1163" s="1" t="s">
        <v>2337</v>
      </c>
      <c r="C1163" s="3">
        <v>200</v>
      </c>
      <c r="D1163" s="3" t="str">
        <f ca="1">IF(B1163="","",IFERROR(_xludf.XLOOKUP(_xludf.XLOOKUP(B1163,Inventory!$A:$A,Inventory!$B:$B),Blades!$A:$A,Blades!$C:$C)+_xludf.XLOOKUP(_xludf.XLOOKUP(B1163,Inventory!$A:$A,Inventory!$C:$C),Motor!$A:$A,Motor!$C:$C)+_xludf.XLOOKUP(_xludf.XLOOKUP(B1163,Inventory!$A:$A,Inventory!$D:$D),Frame!$A:$A,Frame!$C:$C)+#REF!,""))</f>
        <v/>
      </c>
      <c r="E1163" s="4">
        <v>45057</v>
      </c>
      <c r="F1163" s="1" t="s">
        <v>32</v>
      </c>
    </row>
    <row r="1164" spans="1:6" x14ac:dyDescent="0.25">
      <c r="A1164" s="1" t="s">
        <v>2338</v>
      </c>
      <c r="B1164" s="1" t="s">
        <v>2339</v>
      </c>
      <c r="C1164" s="3">
        <v>200</v>
      </c>
      <c r="D1164" s="3" t="str">
        <f ca="1">IF(B1164="","",IFERROR(_xludf.XLOOKUP(_xludf.XLOOKUP(B1164,Inventory!$A:$A,Inventory!$B:$B),Blades!$A:$A,Blades!$C:$C)+_xludf.XLOOKUP(_xludf.XLOOKUP(B1164,Inventory!$A:$A,Inventory!$C:$C),Motor!$A:$A,Motor!$C:$C)+_xludf.XLOOKUP(_xludf.XLOOKUP(B1164,Inventory!$A:$A,Inventory!$D:$D),Frame!$A:$A,Frame!$C:$C)+#REF!,""))</f>
        <v/>
      </c>
      <c r="E1164" s="4">
        <v>45058</v>
      </c>
      <c r="F1164" s="1" t="s">
        <v>32</v>
      </c>
    </row>
    <row r="1165" spans="1:6" x14ac:dyDescent="0.25">
      <c r="A1165" s="1" t="s">
        <v>2340</v>
      </c>
      <c r="B1165" s="1" t="s">
        <v>2341</v>
      </c>
      <c r="C1165" s="3">
        <v>200</v>
      </c>
      <c r="D1165" s="3" t="str">
        <f ca="1">IF(B1165="","",IFERROR(_xludf.XLOOKUP(_xludf.XLOOKUP(B1165,Inventory!$A:$A,Inventory!$B:$B),Blades!$A:$A,Blades!$C:$C)+_xludf.XLOOKUP(_xludf.XLOOKUP(B1165,Inventory!$A:$A,Inventory!$C:$C),Motor!$A:$A,Motor!$C:$C)+_xludf.XLOOKUP(_xludf.XLOOKUP(B1165,Inventory!$A:$A,Inventory!$D:$D),Frame!$A:$A,Frame!$C:$C)+#REF!,""))</f>
        <v/>
      </c>
      <c r="E1165" s="4">
        <v>45059</v>
      </c>
      <c r="F1165" s="1" t="s">
        <v>20</v>
      </c>
    </row>
    <row r="1166" spans="1:6" x14ac:dyDescent="0.25">
      <c r="A1166" s="1" t="s">
        <v>2342</v>
      </c>
      <c r="B1166" s="1" t="s">
        <v>2343</v>
      </c>
      <c r="C1166" s="3">
        <v>200</v>
      </c>
      <c r="D1166" s="3" t="str">
        <f ca="1">IF(B1166="","",IFERROR(_xludf.XLOOKUP(_xludf.XLOOKUP(B1166,Inventory!$A:$A,Inventory!$B:$B),Blades!$A:$A,Blades!$C:$C)+_xludf.XLOOKUP(_xludf.XLOOKUP(B1166,Inventory!$A:$A,Inventory!$C:$C),Motor!$A:$A,Motor!$C:$C)+_xludf.XLOOKUP(_xludf.XLOOKUP(B1166,Inventory!$A:$A,Inventory!$D:$D),Frame!$A:$A,Frame!$C:$C)+#REF!,""))</f>
        <v/>
      </c>
      <c r="E1166" s="4">
        <v>45059</v>
      </c>
      <c r="F1166" s="1" t="s">
        <v>8</v>
      </c>
    </row>
    <row r="1167" spans="1:6" x14ac:dyDescent="0.25">
      <c r="A1167" s="1" t="s">
        <v>2344</v>
      </c>
      <c r="B1167" s="1" t="s">
        <v>2345</v>
      </c>
      <c r="C1167" s="3">
        <v>200</v>
      </c>
      <c r="D1167" s="3" t="str">
        <f ca="1">IF(B1167="","",IFERROR(_xludf.XLOOKUP(_xludf.XLOOKUP(B1167,Inventory!$A:$A,Inventory!$B:$B),Blades!$A:$A,Blades!$C:$C)+_xludf.XLOOKUP(_xludf.XLOOKUP(B1167,Inventory!$A:$A,Inventory!$C:$C),Motor!$A:$A,Motor!$C:$C)+_xludf.XLOOKUP(_xludf.XLOOKUP(B1167,Inventory!$A:$A,Inventory!$D:$D),Frame!$A:$A,Frame!$C:$C)+#REF!,""))</f>
        <v/>
      </c>
      <c r="E1167" s="4">
        <v>45063</v>
      </c>
      <c r="F1167" s="1" t="s">
        <v>52</v>
      </c>
    </row>
    <row r="1168" spans="1:6" x14ac:dyDescent="0.25">
      <c r="A1168" s="1" t="s">
        <v>2346</v>
      </c>
      <c r="B1168" s="1" t="s">
        <v>2347</v>
      </c>
      <c r="C1168" s="3">
        <v>200</v>
      </c>
      <c r="D1168" s="3" t="str">
        <f ca="1">IF(B1168="","",IFERROR(_xludf.XLOOKUP(_xludf.XLOOKUP(B1168,Inventory!$A:$A,Inventory!$B:$B),Blades!$A:$A,Blades!$C:$C)+_xludf.XLOOKUP(_xludf.XLOOKUP(B1168,Inventory!$A:$A,Inventory!$C:$C),Motor!$A:$A,Motor!$C:$C)+_xludf.XLOOKUP(_xludf.XLOOKUP(B1168,Inventory!$A:$A,Inventory!$D:$D),Frame!$A:$A,Frame!$C:$C)+#REF!,""))</f>
        <v/>
      </c>
      <c r="E1168" s="4">
        <v>45065</v>
      </c>
      <c r="F1168" s="1" t="s">
        <v>32</v>
      </c>
    </row>
    <row r="1169" spans="1:6" x14ac:dyDescent="0.25">
      <c r="A1169" s="1" t="s">
        <v>2348</v>
      </c>
      <c r="B1169" s="1" t="s">
        <v>2349</v>
      </c>
      <c r="C1169" s="3">
        <v>200</v>
      </c>
      <c r="D1169" s="3" t="str">
        <f ca="1">IF(B1169="","",IFERROR(_xludf.XLOOKUP(_xludf.XLOOKUP(B1169,Inventory!$A:$A,Inventory!$B:$B),Blades!$A:$A,Blades!$C:$C)+_xludf.XLOOKUP(_xludf.XLOOKUP(B1169,Inventory!$A:$A,Inventory!$C:$C),Motor!$A:$A,Motor!$C:$C)+_xludf.XLOOKUP(_xludf.XLOOKUP(B1169,Inventory!$A:$A,Inventory!$D:$D),Frame!$A:$A,Frame!$C:$C)+#REF!,""))</f>
        <v/>
      </c>
      <c r="E1169" s="4">
        <v>45065</v>
      </c>
      <c r="F1169" s="1" t="s">
        <v>25</v>
      </c>
    </row>
    <row r="1170" spans="1:6" x14ac:dyDescent="0.25">
      <c r="A1170" s="1" t="s">
        <v>2350</v>
      </c>
      <c r="B1170" s="1" t="s">
        <v>2351</v>
      </c>
      <c r="C1170" s="3">
        <v>200</v>
      </c>
      <c r="D1170" s="3" t="str">
        <f ca="1">IF(B1170="","",IFERROR(_xludf.XLOOKUP(_xludf.XLOOKUP(B1170,Inventory!$A:$A,Inventory!$B:$B),Blades!$A:$A,Blades!$C:$C)+_xludf.XLOOKUP(_xludf.XLOOKUP(B1170,Inventory!$A:$A,Inventory!$C:$C),Motor!$A:$A,Motor!$C:$C)+_xludf.XLOOKUP(_xludf.XLOOKUP(B1170,Inventory!$A:$A,Inventory!$D:$D),Frame!$A:$A,Frame!$C:$C)+#REF!,""))</f>
        <v/>
      </c>
      <c r="E1170" s="4">
        <v>45065</v>
      </c>
      <c r="F1170" s="1" t="s">
        <v>25</v>
      </c>
    </row>
    <row r="1171" spans="1:6" x14ac:dyDescent="0.25">
      <c r="A1171" s="1" t="s">
        <v>2352</v>
      </c>
      <c r="B1171" s="1" t="s">
        <v>2353</v>
      </c>
      <c r="C1171" s="3">
        <v>200</v>
      </c>
      <c r="D1171" s="3" t="str">
        <f ca="1">IF(B1171="","",IFERROR(_xludf.XLOOKUP(_xludf.XLOOKUP(B1171,Inventory!$A:$A,Inventory!$B:$B),Blades!$A:$A,Blades!$C:$C)+_xludf.XLOOKUP(_xludf.XLOOKUP(B1171,Inventory!$A:$A,Inventory!$C:$C),Motor!$A:$A,Motor!$C:$C)+_xludf.XLOOKUP(_xludf.XLOOKUP(B1171,Inventory!$A:$A,Inventory!$D:$D),Frame!$A:$A,Frame!$C:$C)+#REF!,""))</f>
        <v/>
      </c>
      <c r="E1171" s="4">
        <v>45067</v>
      </c>
      <c r="F1171" s="1" t="s">
        <v>11</v>
      </c>
    </row>
    <row r="1172" spans="1:6" x14ac:dyDescent="0.25">
      <c r="A1172" s="1" t="s">
        <v>2354</v>
      </c>
      <c r="B1172" s="1" t="s">
        <v>2355</v>
      </c>
      <c r="C1172" s="3">
        <v>200</v>
      </c>
      <c r="D1172" s="3" t="str">
        <f ca="1">IF(B1172="","",IFERROR(_xludf.XLOOKUP(_xludf.XLOOKUP(B1172,Inventory!$A:$A,Inventory!$B:$B),Blades!$A:$A,Blades!$C:$C)+_xludf.XLOOKUP(_xludf.XLOOKUP(B1172,Inventory!$A:$A,Inventory!$C:$C),Motor!$A:$A,Motor!$C:$C)+_xludf.XLOOKUP(_xludf.XLOOKUP(B1172,Inventory!$A:$A,Inventory!$D:$D),Frame!$A:$A,Frame!$C:$C)+#REF!,""))</f>
        <v/>
      </c>
      <c r="E1172" s="4">
        <v>45067</v>
      </c>
      <c r="F1172" s="1" t="s">
        <v>25</v>
      </c>
    </row>
    <row r="1173" spans="1:6" x14ac:dyDescent="0.25">
      <c r="A1173" s="1" t="s">
        <v>2356</v>
      </c>
      <c r="B1173" s="1" t="s">
        <v>2357</v>
      </c>
      <c r="C1173" s="3">
        <v>200</v>
      </c>
      <c r="D1173" s="3" t="str">
        <f ca="1">IF(B1173="","",IFERROR(_xludf.XLOOKUP(_xludf.XLOOKUP(B1173,Inventory!$A:$A,Inventory!$B:$B),Blades!$A:$A,Blades!$C:$C)+_xludf.XLOOKUP(_xludf.XLOOKUP(B1173,Inventory!$A:$A,Inventory!$C:$C),Motor!$A:$A,Motor!$C:$C)+_xludf.XLOOKUP(_xludf.XLOOKUP(B1173,Inventory!$A:$A,Inventory!$D:$D),Frame!$A:$A,Frame!$C:$C)+#REF!,""))</f>
        <v/>
      </c>
      <c r="E1173" s="4">
        <v>45068</v>
      </c>
      <c r="F1173" s="1" t="s">
        <v>49</v>
      </c>
    </row>
    <row r="1174" spans="1:6" x14ac:dyDescent="0.25">
      <c r="A1174" s="1" t="s">
        <v>2358</v>
      </c>
      <c r="B1174" s="1" t="s">
        <v>2359</v>
      </c>
      <c r="C1174" s="3">
        <v>200</v>
      </c>
      <c r="D1174" s="3" t="str">
        <f ca="1">IF(B1174="","",IFERROR(_xludf.XLOOKUP(_xludf.XLOOKUP(B1174,Inventory!$A:$A,Inventory!$B:$B),Blades!$A:$A,Blades!$C:$C)+_xludf.XLOOKUP(_xludf.XLOOKUP(B1174,Inventory!$A:$A,Inventory!$C:$C),Motor!$A:$A,Motor!$C:$C)+_xludf.XLOOKUP(_xludf.XLOOKUP(B1174,Inventory!$A:$A,Inventory!$D:$D),Frame!$A:$A,Frame!$C:$C)+#REF!,""))</f>
        <v/>
      </c>
      <c r="E1174" s="4">
        <v>45069</v>
      </c>
      <c r="F1174" s="1" t="s">
        <v>8</v>
      </c>
    </row>
    <row r="1175" spans="1:6" x14ac:dyDescent="0.25">
      <c r="A1175" s="1" t="s">
        <v>2360</v>
      </c>
      <c r="B1175" s="1" t="s">
        <v>2361</v>
      </c>
      <c r="C1175" s="3">
        <v>200</v>
      </c>
      <c r="D1175" s="3" t="str">
        <f ca="1">IF(B1175="","",IFERROR(_xludf.XLOOKUP(_xludf.XLOOKUP(B1175,Inventory!$A:$A,Inventory!$B:$B),Blades!$A:$A,Blades!$C:$C)+_xludf.XLOOKUP(_xludf.XLOOKUP(B1175,Inventory!$A:$A,Inventory!$C:$C),Motor!$A:$A,Motor!$C:$C)+_xludf.XLOOKUP(_xludf.XLOOKUP(B1175,Inventory!$A:$A,Inventory!$D:$D),Frame!$A:$A,Frame!$C:$C)+#REF!,""))</f>
        <v/>
      </c>
      <c r="E1175" s="4">
        <v>45070</v>
      </c>
      <c r="F1175" s="1" t="s">
        <v>25</v>
      </c>
    </row>
    <row r="1176" spans="1:6" x14ac:dyDescent="0.25">
      <c r="A1176" s="1" t="s">
        <v>2362</v>
      </c>
      <c r="B1176" s="1" t="s">
        <v>2363</v>
      </c>
      <c r="C1176" s="3">
        <v>200</v>
      </c>
      <c r="D1176" s="3" t="str">
        <f ca="1">IF(B1176="","",IFERROR(_xludf.XLOOKUP(_xludf.XLOOKUP(B1176,Inventory!$A:$A,Inventory!$B:$B),Blades!$A:$A,Blades!$C:$C)+_xludf.XLOOKUP(_xludf.XLOOKUP(B1176,Inventory!$A:$A,Inventory!$C:$C),Motor!$A:$A,Motor!$C:$C)+_xludf.XLOOKUP(_xludf.XLOOKUP(B1176,Inventory!$A:$A,Inventory!$D:$D),Frame!$A:$A,Frame!$C:$C)+#REF!,""))</f>
        <v/>
      </c>
      <c r="E1176" s="4">
        <v>45072</v>
      </c>
      <c r="F1176" s="1" t="s">
        <v>20</v>
      </c>
    </row>
    <row r="1177" spans="1:6" x14ac:dyDescent="0.25">
      <c r="A1177" s="1" t="s">
        <v>2364</v>
      </c>
      <c r="B1177" s="1" t="s">
        <v>2365</v>
      </c>
      <c r="C1177" s="3">
        <v>200</v>
      </c>
      <c r="D1177" s="3" t="str">
        <f ca="1">IF(B1177="","",IFERROR(_xludf.XLOOKUP(_xludf.XLOOKUP(B1177,Inventory!$A:$A,Inventory!$B:$B),Blades!$A:$A,Blades!$C:$C)+_xludf.XLOOKUP(_xludf.XLOOKUP(B1177,Inventory!$A:$A,Inventory!$C:$C),Motor!$A:$A,Motor!$C:$C)+_xludf.XLOOKUP(_xludf.XLOOKUP(B1177,Inventory!$A:$A,Inventory!$D:$D),Frame!$A:$A,Frame!$C:$C)+#REF!,""))</f>
        <v/>
      </c>
      <c r="E1177" s="4">
        <v>45072</v>
      </c>
      <c r="F1177" s="1" t="s">
        <v>25</v>
      </c>
    </row>
    <row r="1178" spans="1:6" x14ac:dyDescent="0.25">
      <c r="A1178" s="1" t="s">
        <v>2366</v>
      </c>
      <c r="B1178" s="1" t="s">
        <v>2367</v>
      </c>
      <c r="C1178" s="3">
        <v>200</v>
      </c>
      <c r="D1178" s="3" t="str">
        <f ca="1">IF(B1178="","",IFERROR(_xludf.XLOOKUP(_xludf.XLOOKUP(B1178,Inventory!$A:$A,Inventory!$B:$B),Blades!$A:$A,Blades!$C:$C)+_xludf.XLOOKUP(_xludf.XLOOKUP(B1178,Inventory!$A:$A,Inventory!$C:$C),Motor!$A:$A,Motor!$C:$C)+_xludf.XLOOKUP(_xludf.XLOOKUP(B1178,Inventory!$A:$A,Inventory!$D:$D),Frame!$A:$A,Frame!$C:$C)+#REF!,""))</f>
        <v/>
      </c>
      <c r="E1178" s="4">
        <v>45073</v>
      </c>
      <c r="F1178" s="1" t="s">
        <v>49</v>
      </c>
    </row>
    <row r="1179" spans="1:6" x14ac:dyDescent="0.25">
      <c r="A1179" s="1" t="s">
        <v>2368</v>
      </c>
      <c r="B1179" s="1" t="s">
        <v>2369</v>
      </c>
      <c r="C1179" s="3">
        <v>200</v>
      </c>
      <c r="D1179" s="3" t="str">
        <f ca="1">IF(B1179="","",IFERROR(_xludf.XLOOKUP(_xludf.XLOOKUP(B1179,Inventory!$A:$A,Inventory!$B:$B),Blades!$A:$A,Blades!$C:$C)+_xludf.XLOOKUP(_xludf.XLOOKUP(B1179,Inventory!$A:$A,Inventory!$C:$C),Motor!$A:$A,Motor!$C:$C)+_xludf.XLOOKUP(_xludf.XLOOKUP(B1179,Inventory!$A:$A,Inventory!$D:$D),Frame!$A:$A,Frame!$C:$C)+#REF!,""))</f>
        <v/>
      </c>
      <c r="E1179" s="4">
        <v>45074</v>
      </c>
      <c r="F1179" s="1" t="s">
        <v>52</v>
      </c>
    </row>
    <row r="1180" spans="1:6" x14ac:dyDescent="0.25">
      <c r="A1180" s="1" t="s">
        <v>2370</v>
      </c>
      <c r="B1180" s="1" t="s">
        <v>2371</v>
      </c>
      <c r="C1180" s="3">
        <v>200</v>
      </c>
      <c r="D1180" s="3" t="str">
        <f ca="1">IF(B1180="","",IFERROR(_xludf.XLOOKUP(_xludf.XLOOKUP(B1180,Inventory!$A:$A,Inventory!$B:$B),Blades!$A:$A,Blades!$C:$C)+_xludf.XLOOKUP(_xludf.XLOOKUP(B1180,Inventory!$A:$A,Inventory!$C:$C),Motor!$A:$A,Motor!$C:$C)+_xludf.XLOOKUP(_xludf.XLOOKUP(B1180,Inventory!$A:$A,Inventory!$D:$D),Frame!$A:$A,Frame!$C:$C)+#REF!,""))</f>
        <v/>
      </c>
      <c r="E1180" s="4">
        <v>45074</v>
      </c>
      <c r="F1180" s="1" t="s">
        <v>25</v>
      </c>
    </row>
    <row r="1181" spans="1:6" x14ac:dyDescent="0.25">
      <c r="A1181" s="1" t="s">
        <v>2372</v>
      </c>
      <c r="B1181" s="1" t="s">
        <v>2373</v>
      </c>
      <c r="C1181" s="3">
        <v>200</v>
      </c>
      <c r="D1181" s="3" t="str">
        <f ca="1">IF(B1181="","",IFERROR(_xludf.XLOOKUP(_xludf.XLOOKUP(B1181,Inventory!$A:$A,Inventory!$B:$B),Blades!$A:$A,Blades!$C:$C)+_xludf.XLOOKUP(_xludf.XLOOKUP(B1181,Inventory!$A:$A,Inventory!$C:$C),Motor!$A:$A,Motor!$C:$C)+_xludf.XLOOKUP(_xludf.XLOOKUP(B1181,Inventory!$A:$A,Inventory!$D:$D),Frame!$A:$A,Frame!$C:$C)+#REF!,""))</f>
        <v/>
      </c>
      <c r="E1181" s="4">
        <v>45074</v>
      </c>
      <c r="F1181" s="1" t="s">
        <v>25</v>
      </c>
    </row>
    <row r="1182" spans="1:6" x14ac:dyDescent="0.25">
      <c r="A1182" s="1" t="s">
        <v>2374</v>
      </c>
      <c r="B1182" s="1" t="s">
        <v>2375</v>
      </c>
      <c r="C1182" s="3">
        <v>200</v>
      </c>
      <c r="D1182" s="3" t="str">
        <f ca="1">IF(B1182="","",IFERROR(_xludf.XLOOKUP(_xludf.XLOOKUP(B1182,Inventory!$A:$A,Inventory!$B:$B),Blades!$A:$A,Blades!$C:$C)+_xludf.XLOOKUP(_xludf.XLOOKUP(B1182,Inventory!$A:$A,Inventory!$C:$C),Motor!$A:$A,Motor!$C:$C)+_xludf.XLOOKUP(_xludf.XLOOKUP(B1182,Inventory!$A:$A,Inventory!$D:$D),Frame!$A:$A,Frame!$C:$C)+#REF!,""))</f>
        <v/>
      </c>
      <c r="E1182" s="4">
        <v>45075</v>
      </c>
      <c r="F1182" s="1" t="s">
        <v>49</v>
      </c>
    </row>
    <row r="1183" spans="1:6" x14ac:dyDescent="0.25">
      <c r="A1183" s="1" t="s">
        <v>2376</v>
      </c>
      <c r="B1183" s="1" t="s">
        <v>2377</v>
      </c>
      <c r="C1183" s="3">
        <v>200</v>
      </c>
      <c r="D1183" s="3" t="str">
        <f ca="1">IF(B1183="","",IFERROR(_xludf.XLOOKUP(_xludf.XLOOKUP(B1183,Inventory!$A:$A,Inventory!$B:$B),Blades!$A:$A,Blades!$C:$C)+_xludf.XLOOKUP(_xludf.XLOOKUP(B1183,Inventory!$A:$A,Inventory!$C:$C),Motor!$A:$A,Motor!$C:$C)+_xludf.XLOOKUP(_xludf.XLOOKUP(B1183,Inventory!$A:$A,Inventory!$D:$D),Frame!$A:$A,Frame!$C:$C)+#REF!,""))</f>
        <v/>
      </c>
      <c r="E1183" s="4">
        <v>45076</v>
      </c>
      <c r="F1183" s="1" t="s">
        <v>52</v>
      </c>
    </row>
    <row r="1184" spans="1:6" x14ac:dyDescent="0.25">
      <c r="A1184" s="1" t="s">
        <v>2378</v>
      </c>
      <c r="B1184" s="1" t="s">
        <v>2379</v>
      </c>
      <c r="C1184" s="3">
        <v>200</v>
      </c>
      <c r="D1184" s="3" t="str">
        <f ca="1">IF(B1184="","",IFERROR(_xludf.XLOOKUP(_xludf.XLOOKUP(B1184,Inventory!$A:$A,Inventory!$B:$B),Blades!$A:$A,Blades!$C:$C)+_xludf.XLOOKUP(_xludf.XLOOKUP(B1184,Inventory!$A:$A,Inventory!$C:$C),Motor!$A:$A,Motor!$C:$C)+_xludf.XLOOKUP(_xludf.XLOOKUP(B1184,Inventory!$A:$A,Inventory!$D:$D),Frame!$A:$A,Frame!$C:$C)+#REF!,""))</f>
        <v/>
      </c>
      <c r="E1184" s="4">
        <v>45076</v>
      </c>
      <c r="F1184" s="1" t="s">
        <v>8</v>
      </c>
    </row>
    <row r="1185" spans="1:6" x14ac:dyDescent="0.25">
      <c r="A1185" s="1" t="s">
        <v>2380</v>
      </c>
      <c r="B1185" s="1" t="s">
        <v>2381</v>
      </c>
      <c r="C1185" s="3">
        <v>200</v>
      </c>
      <c r="D1185" s="3" t="str">
        <f ca="1">IF(B1185="","",IFERROR(_xludf.XLOOKUP(_xludf.XLOOKUP(B1185,Inventory!$A:$A,Inventory!$B:$B),Blades!$A:$A,Blades!$C:$C)+_xludf.XLOOKUP(_xludf.XLOOKUP(B1185,Inventory!$A:$A,Inventory!$C:$C),Motor!$A:$A,Motor!$C:$C)+_xludf.XLOOKUP(_xludf.XLOOKUP(B1185,Inventory!$A:$A,Inventory!$D:$D),Frame!$A:$A,Frame!$C:$C)+#REF!,""))</f>
        <v/>
      </c>
      <c r="E1185" s="4">
        <v>45076</v>
      </c>
      <c r="F1185" s="1" t="s">
        <v>52</v>
      </c>
    </row>
    <row r="1186" spans="1:6" x14ac:dyDescent="0.25">
      <c r="A1186" s="1" t="s">
        <v>2382</v>
      </c>
      <c r="B1186" s="1" t="s">
        <v>2383</v>
      </c>
      <c r="C1186" s="3">
        <v>200</v>
      </c>
      <c r="D1186" s="3" t="str">
        <f ca="1">IF(B1186="","",IFERROR(_xludf.XLOOKUP(_xludf.XLOOKUP(B1186,Inventory!$A:$A,Inventory!$B:$B),Blades!$A:$A,Blades!$C:$C)+_xludf.XLOOKUP(_xludf.XLOOKUP(B1186,Inventory!$A:$A,Inventory!$C:$C),Motor!$A:$A,Motor!$C:$C)+_xludf.XLOOKUP(_xludf.XLOOKUP(B1186,Inventory!$A:$A,Inventory!$D:$D),Frame!$A:$A,Frame!$C:$C)+#REF!,""))</f>
        <v/>
      </c>
      <c r="E1186" s="4">
        <v>45077</v>
      </c>
      <c r="F1186" s="1" t="s">
        <v>63</v>
      </c>
    </row>
    <row r="1187" spans="1:6" x14ac:dyDescent="0.25">
      <c r="A1187" s="1" t="s">
        <v>2384</v>
      </c>
      <c r="B1187" s="1" t="s">
        <v>2385</v>
      </c>
      <c r="C1187" s="3">
        <v>200</v>
      </c>
      <c r="D1187" s="3" t="str">
        <f ca="1">IF(B1187="","",IFERROR(_xludf.XLOOKUP(_xludf.XLOOKUP(B1187,Inventory!$A:$A,Inventory!$B:$B),Blades!$A:$A,Blades!$C:$C)+_xludf.XLOOKUP(_xludf.XLOOKUP(B1187,Inventory!$A:$A,Inventory!$C:$C),Motor!$A:$A,Motor!$C:$C)+_xludf.XLOOKUP(_xludf.XLOOKUP(B1187,Inventory!$A:$A,Inventory!$D:$D),Frame!$A:$A,Frame!$C:$C)+#REF!,""))</f>
        <v/>
      </c>
      <c r="E1187" s="4">
        <v>45079</v>
      </c>
      <c r="F1187" s="1" t="s">
        <v>49</v>
      </c>
    </row>
    <row r="1188" spans="1:6" x14ac:dyDescent="0.25">
      <c r="A1188" s="1" t="s">
        <v>2386</v>
      </c>
      <c r="B1188" s="1" t="s">
        <v>2387</v>
      </c>
      <c r="C1188" s="3">
        <v>200</v>
      </c>
      <c r="D1188" s="3" t="str">
        <f ca="1">IF(B1188="","",IFERROR(_xludf.XLOOKUP(_xludf.XLOOKUP(B1188,Inventory!$A:$A,Inventory!$B:$B),Blades!$A:$A,Blades!$C:$C)+_xludf.XLOOKUP(_xludf.XLOOKUP(B1188,Inventory!$A:$A,Inventory!$C:$C),Motor!$A:$A,Motor!$C:$C)+_xludf.XLOOKUP(_xludf.XLOOKUP(B1188,Inventory!$A:$A,Inventory!$D:$D),Frame!$A:$A,Frame!$C:$C)+#REF!,""))</f>
        <v/>
      </c>
      <c r="E1188" s="4">
        <v>45080</v>
      </c>
      <c r="F1188" s="1" t="s">
        <v>11</v>
      </c>
    </row>
    <row r="1189" spans="1:6" x14ac:dyDescent="0.25">
      <c r="A1189" s="1" t="s">
        <v>2388</v>
      </c>
      <c r="B1189" s="1" t="s">
        <v>2389</v>
      </c>
      <c r="C1189" s="3">
        <v>200</v>
      </c>
      <c r="D1189" s="3" t="str">
        <f ca="1">IF(B1189="","",IFERROR(_xludf.XLOOKUP(_xludf.XLOOKUP(B1189,Inventory!$A:$A,Inventory!$B:$B),Blades!$A:$A,Blades!$C:$C)+_xludf.XLOOKUP(_xludf.XLOOKUP(B1189,Inventory!$A:$A,Inventory!$C:$C),Motor!$A:$A,Motor!$C:$C)+_xludf.XLOOKUP(_xludf.XLOOKUP(B1189,Inventory!$A:$A,Inventory!$D:$D),Frame!$A:$A,Frame!$C:$C)+#REF!,""))</f>
        <v/>
      </c>
      <c r="E1189" s="4">
        <v>45081</v>
      </c>
      <c r="F1189" s="1" t="s">
        <v>63</v>
      </c>
    </row>
    <row r="1190" spans="1:6" x14ac:dyDescent="0.25">
      <c r="A1190" s="1" t="s">
        <v>2390</v>
      </c>
      <c r="B1190" s="1" t="s">
        <v>2391</v>
      </c>
      <c r="C1190" s="3">
        <v>200</v>
      </c>
      <c r="D1190" s="3" t="str">
        <f ca="1">IF(B1190="","",IFERROR(_xludf.XLOOKUP(_xludf.XLOOKUP(B1190,Inventory!$A:$A,Inventory!$B:$B),Blades!$A:$A,Blades!$C:$C)+_xludf.XLOOKUP(_xludf.XLOOKUP(B1190,Inventory!$A:$A,Inventory!$C:$C),Motor!$A:$A,Motor!$C:$C)+_xludf.XLOOKUP(_xludf.XLOOKUP(B1190,Inventory!$A:$A,Inventory!$D:$D),Frame!$A:$A,Frame!$C:$C)+#REF!,""))</f>
        <v/>
      </c>
      <c r="E1190" s="4">
        <v>45082</v>
      </c>
      <c r="F1190" s="1" t="s">
        <v>11</v>
      </c>
    </row>
    <row r="1191" spans="1:6" x14ac:dyDescent="0.25">
      <c r="A1191" s="1" t="s">
        <v>2392</v>
      </c>
      <c r="B1191" s="1" t="s">
        <v>2393</v>
      </c>
      <c r="C1191" s="3">
        <v>200</v>
      </c>
      <c r="D1191" s="3" t="str">
        <f ca="1">IF(B1191="","",IFERROR(_xludf.XLOOKUP(_xludf.XLOOKUP(B1191,Inventory!$A:$A,Inventory!$B:$B),Blades!$A:$A,Blades!$C:$C)+_xludf.XLOOKUP(_xludf.XLOOKUP(B1191,Inventory!$A:$A,Inventory!$C:$C),Motor!$A:$A,Motor!$C:$C)+_xludf.XLOOKUP(_xludf.XLOOKUP(B1191,Inventory!$A:$A,Inventory!$D:$D),Frame!$A:$A,Frame!$C:$C)+#REF!,""))</f>
        <v/>
      </c>
      <c r="E1191" s="4">
        <v>45082</v>
      </c>
      <c r="F1191" s="1" t="s">
        <v>20</v>
      </c>
    </row>
    <row r="1192" spans="1:6" x14ac:dyDescent="0.25">
      <c r="A1192" s="1" t="s">
        <v>2394</v>
      </c>
      <c r="B1192" s="1" t="s">
        <v>2395</v>
      </c>
      <c r="C1192" s="3">
        <v>200</v>
      </c>
      <c r="D1192" s="3" t="str">
        <f ca="1">IF(B1192="","",IFERROR(_xludf.XLOOKUP(_xludf.XLOOKUP(B1192,Inventory!$A:$A,Inventory!$B:$B),Blades!$A:$A,Blades!$C:$C)+_xludf.XLOOKUP(_xludf.XLOOKUP(B1192,Inventory!$A:$A,Inventory!$C:$C),Motor!$A:$A,Motor!$C:$C)+_xludf.XLOOKUP(_xludf.XLOOKUP(B1192,Inventory!$A:$A,Inventory!$D:$D),Frame!$A:$A,Frame!$C:$C)+#REF!,""))</f>
        <v/>
      </c>
      <c r="E1192" s="4">
        <v>45083</v>
      </c>
      <c r="F1192" s="1" t="s">
        <v>11</v>
      </c>
    </row>
    <row r="1193" spans="1:6" x14ac:dyDescent="0.25">
      <c r="A1193" s="1" t="s">
        <v>2396</v>
      </c>
      <c r="B1193" s="1" t="s">
        <v>2397</v>
      </c>
      <c r="C1193" s="3">
        <v>200</v>
      </c>
      <c r="D1193" s="3" t="str">
        <f ca="1">IF(B1193="","",IFERROR(_xludf.XLOOKUP(_xludf.XLOOKUP(B1193,Inventory!$A:$A,Inventory!$B:$B),Blades!$A:$A,Blades!$C:$C)+_xludf.XLOOKUP(_xludf.XLOOKUP(B1193,Inventory!$A:$A,Inventory!$C:$C),Motor!$A:$A,Motor!$C:$C)+_xludf.XLOOKUP(_xludf.XLOOKUP(B1193,Inventory!$A:$A,Inventory!$D:$D),Frame!$A:$A,Frame!$C:$C)+#REF!,""))</f>
        <v/>
      </c>
      <c r="E1193" s="4">
        <v>45083</v>
      </c>
      <c r="F1193" s="1" t="s">
        <v>32</v>
      </c>
    </row>
    <row r="1194" spans="1:6" x14ac:dyDescent="0.25">
      <c r="A1194" s="1" t="s">
        <v>2398</v>
      </c>
      <c r="B1194" s="1" t="s">
        <v>2399</v>
      </c>
      <c r="C1194" s="3">
        <v>200</v>
      </c>
      <c r="D1194" s="3" t="str">
        <f ca="1">IF(B1194="","",IFERROR(_xludf.XLOOKUP(_xludf.XLOOKUP(B1194,Inventory!$A:$A,Inventory!$B:$B),Blades!$A:$A,Blades!$C:$C)+_xludf.XLOOKUP(_xludf.XLOOKUP(B1194,Inventory!$A:$A,Inventory!$C:$C),Motor!$A:$A,Motor!$C:$C)+_xludf.XLOOKUP(_xludf.XLOOKUP(B1194,Inventory!$A:$A,Inventory!$D:$D),Frame!$A:$A,Frame!$C:$C)+#REF!,""))</f>
        <v/>
      </c>
      <c r="E1194" s="4">
        <v>45083</v>
      </c>
      <c r="F1194" s="1" t="s">
        <v>63</v>
      </c>
    </row>
    <row r="1195" spans="1:6" x14ac:dyDescent="0.25">
      <c r="A1195" s="1" t="s">
        <v>2400</v>
      </c>
      <c r="B1195" s="1" t="s">
        <v>2401</v>
      </c>
      <c r="C1195" s="3">
        <v>200</v>
      </c>
      <c r="D1195" s="3" t="str">
        <f ca="1">IF(B1195="","",IFERROR(_xludf.XLOOKUP(_xludf.XLOOKUP(B1195,Inventory!$A:$A,Inventory!$B:$B),Blades!$A:$A,Blades!$C:$C)+_xludf.XLOOKUP(_xludf.XLOOKUP(B1195,Inventory!$A:$A,Inventory!$C:$C),Motor!$A:$A,Motor!$C:$C)+_xludf.XLOOKUP(_xludf.XLOOKUP(B1195,Inventory!$A:$A,Inventory!$D:$D),Frame!$A:$A,Frame!$C:$C)+#REF!,""))</f>
        <v/>
      </c>
      <c r="E1195" s="4">
        <v>45084</v>
      </c>
      <c r="F1195" s="1" t="s">
        <v>8</v>
      </c>
    </row>
    <row r="1196" spans="1:6" x14ac:dyDescent="0.25">
      <c r="A1196" s="1" t="s">
        <v>2402</v>
      </c>
      <c r="B1196" s="1" t="s">
        <v>2403</v>
      </c>
      <c r="C1196" s="3">
        <v>200</v>
      </c>
      <c r="D1196" s="3" t="str">
        <f ca="1">IF(B1196="","",IFERROR(_xludf.XLOOKUP(_xludf.XLOOKUP(B1196,Inventory!$A:$A,Inventory!$B:$B),Blades!$A:$A,Blades!$C:$C)+_xludf.XLOOKUP(_xludf.XLOOKUP(B1196,Inventory!$A:$A,Inventory!$C:$C),Motor!$A:$A,Motor!$C:$C)+_xludf.XLOOKUP(_xludf.XLOOKUP(B1196,Inventory!$A:$A,Inventory!$D:$D),Frame!$A:$A,Frame!$C:$C)+#REF!,""))</f>
        <v/>
      </c>
      <c r="E1196" s="4">
        <v>45085</v>
      </c>
      <c r="F1196" s="1" t="s">
        <v>63</v>
      </c>
    </row>
    <row r="1197" spans="1:6" x14ac:dyDescent="0.25">
      <c r="A1197" s="1" t="s">
        <v>2404</v>
      </c>
      <c r="B1197" s="1" t="s">
        <v>2405</v>
      </c>
      <c r="C1197" s="3">
        <v>200</v>
      </c>
      <c r="D1197" s="3" t="str">
        <f ca="1">IF(B1197="","",IFERROR(_xludf.XLOOKUP(_xludf.XLOOKUP(B1197,Inventory!$A:$A,Inventory!$B:$B),Blades!$A:$A,Blades!$C:$C)+_xludf.XLOOKUP(_xludf.XLOOKUP(B1197,Inventory!$A:$A,Inventory!$C:$C),Motor!$A:$A,Motor!$C:$C)+_xludf.XLOOKUP(_xludf.XLOOKUP(B1197,Inventory!$A:$A,Inventory!$D:$D),Frame!$A:$A,Frame!$C:$C)+#REF!,""))</f>
        <v/>
      </c>
      <c r="E1197" s="4">
        <v>45085</v>
      </c>
      <c r="F1197" s="1" t="s">
        <v>49</v>
      </c>
    </row>
    <row r="1198" spans="1:6" x14ac:dyDescent="0.25">
      <c r="A1198" s="1" t="s">
        <v>2406</v>
      </c>
      <c r="B1198" s="1" t="s">
        <v>2407</v>
      </c>
      <c r="C1198" s="3">
        <v>200</v>
      </c>
      <c r="D1198" s="3" t="str">
        <f ca="1">IF(B1198="","",IFERROR(_xludf.XLOOKUP(_xludf.XLOOKUP(B1198,Inventory!$A:$A,Inventory!$B:$B),Blades!$A:$A,Blades!$C:$C)+_xludf.XLOOKUP(_xludf.XLOOKUP(B1198,Inventory!$A:$A,Inventory!$C:$C),Motor!$A:$A,Motor!$C:$C)+_xludf.XLOOKUP(_xludf.XLOOKUP(B1198,Inventory!$A:$A,Inventory!$D:$D),Frame!$A:$A,Frame!$C:$C)+#REF!,""))</f>
        <v/>
      </c>
      <c r="E1198" s="4">
        <v>45086</v>
      </c>
      <c r="F1198" s="1" t="s">
        <v>49</v>
      </c>
    </row>
    <row r="1199" spans="1:6" x14ac:dyDescent="0.25">
      <c r="A1199" s="1" t="s">
        <v>2408</v>
      </c>
      <c r="B1199" s="1" t="s">
        <v>2409</v>
      </c>
      <c r="C1199" s="3">
        <v>200</v>
      </c>
      <c r="D1199" s="3" t="str">
        <f ca="1">IF(B1199="","",IFERROR(_xludf.XLOOKUP(_xludf.XLOOKUP(B1199,Inventory!$A:$A,Inventory!$B:$B),Blades!$A:$A,Blades!$C:$C)+_xludf.XLOOKUP(_xludf.XLOOKUP(B1199,Inventory!$A:$A,Inventory!$C:$C),Motor!$A:$A,Motor!$C:$C)+_xludf.XLOOKUP(_xludf.XLOOKUP(B1199,Inventory!$A:$A,Inventory!$D:$D),Frame!$A:$A,Frame!$C:$C)+#REF!,""))</f>
        <v/>
      </c>
      <c r="E1199" s="4">
        <v>45087</v>
      </c>
      <c r="F1199" s="1" t="s">
        <v>8</v>
      </c>
    </row>
    <row r="1200" spans="1:6" x14ac:dyDescent="0.25">
      <c r="A1200" s="1" t="s">
        <v>2410</v>
      </c>
      <c r="B1200" s="1" t="s">
        <v>2411</v>
      </c>
      <c r="C1200" s="3">
        <v>200</v>
      </c>
      <c r="D1200" s="3" t="str">
        <f ca="1">IF(B1200="","",IFERROR(_xludf.XLOOKUP(_xludf.XLOOKUP(B1200,Inventory!$A:$A,Inventory!$B:$B),Blades!$A:$A,Blades!$C:$C)+_xludf.XLOOKUP(_xludf.XLOOKUP(B1200,Inventory!$A:$A,Inventory!$C:$C),Motor!$A:$A,Motor!$C:$C)+_xludf.XLOOKUP(_xludf.XLOOKUP(B1200,Inventory!$A:$A,Inventory!$D:$D),Frame!$A:$A,Frame!$C:$C)+#REF!,""))</f>
        <v/>
      </c>
      <c r="E1200" s="4">
        <v>45088</v>
      </c>
      <c r="F1200" s="1" t="s">
        <v>63</v>
      </c>
    </row>
    <row r="1201" spans="1:6" x14ac:dyDescent="0.25">
      <c r="A1201" s="1" t="s">
        <v>2412</v>
      </c>
      <c r="B1201" s="1" t="s">
        <v>2413</v>
      </c>
      <c r="C1201" s="3">
        <v>200</v>
      </c>
      <c r="D1201" s="3" t="str">
        <f ca="1">IF(B1201="","",IFERROR(_xludf.XLOOKUP(_xludf.XLOOKUP(B1201,Inventory!$A:$A,Inventory!$B:$B),Blades!$A:$A,Blades!$C:$C)+_xludf.XLOOKUP(_xludf.XLOOKUP(B1201,Inventory!$A:$A,Inventory!$C:$C),Motor!$A:$A,Motor!$C:$C)+_xludf.XLOOKUP(_xludf.XLOOKUP(B1201,Inventory!$A:$A,Inventory!$D:$D),Frame!$A:$A,Frame!$C:$C)+#REF!,""))</f>
        <v/>
      </c>
      <c r="E1201" s="4">
        <v>45089</v>
      </c>
      <c r="F1201" s="1" t="s">
        <v>63</v>
      </c>
    </row>
    <row r="1202" spans="1:6" x14ac:dyDescent="0.25">
      <c r="A1202" s="1" t="s">
        <v>2414</v>
      </c>
      <c r="B1202" s="1" t="s">
        <v>2415</v>
      </c>
      <c r="C1202" s="3">
        <v>200</v>
      </c>
      <c r="D1202" s="3" t="str">
        <f ca="1">IF(B1202="","",IFERROR(_xludf.XLOOKUP(_xludf.XLOOKUP(B1202,Inventory!$A:$A,Inventory!$B:$B),Blades!$A:$A,Blades!$C:$C)+_xludf.XLOOKUP(_xludf.XLOOKUP(B1202,Inventory!$A:$A,Inventory!$C:$C),Motor!$A:$A,Motor!$C:$C)+_xludf.XLOOKUP(_xludf.XLOOKUP(B1202,Inventory!$A:$A,Inventory!$D:$D),Frame!$A:$A,Frame!$C:$C)+#REF!,""))</f>
        <v/>
      </c>
      <c r="E1202" s="4">
        <v>45089</v>
      </c>
      <c r="F1202" s="1" t="s">
        <v>8</v>
      </c>
    </row>
    <row r="1203" spans="1:6" x14ac:dyDescent="0.25">
      <c r="A1203" s="1" t="s">
        <v>2416</v>
      </c>
      <c r="B1203" s="1" t="s">
        <v>2417</v>
      </c>
      <c r="C1203" s="3">
        <v>200</v>
      </c>
      <c r="D1203" s="3" t="str">
        <f ca="1">IF(B1203="","",IFERROR(_xludf.XLOOKUP(_xludf.XLOOKUP(B1203,Inventory!$A:$A,Inventory!$B:$B),Blades!$A:$A,Blades!$C:$C)+_xludf.XLOOKUP(_xludf.XLOOKUP(B1203,Inventory!$A:$A,Inventory!$C:$C),Motor!$A:$A,Motor!$C:$C)+_xludf.XLOOKUP(_xludf.XLOOKUP(B1203,Inventory!$A:$A,Inventory!$D:$D),Frame!$A:$A,Frame!$C:$C)+#REF!,""))</f>
        <v/>
      </c>
      <c r="E1203" s="4">
        <v>45089</v>
      </c>
      <c r="F1203" s="1" t="s">
        <v>63</v>
      </c>
    </row>
    <row r="1204" spans="1:6" x14ac:dyDescent="0.25">
      <c r="A1204" s="1" t="s">
        <v>2418</v>
      </c>
      <c r="B1204" s="1" t="s">
        <v>2419</v>
      </c>
      <c r="C1204" s="3">
        <v>200</v>
      </c>
      <c r="D1204" s="3" t="str">
        <f ca="1">IF(B1204="","",IFERROR(_xludf.XLOOKUP(_xludf.XLOOKUP(B1204,Inventory!$A:$A,Inventory!$B:$B),Blades!$A:$A,Blades!$C:$C)+_xludf.XLOOKUP(_xludf.XLOOKUP(B1204,Inventory!$A:$A,Inventory!$C:$C),Motor!$A:$A,Motor!$C:$C)+_xludf.XLOOKUP(_xludf.XLOOKUP(B1204,Inventory!$A:$A,Inventory!$D:$D),Frame!$A:$A,Frame!$C:$C)+#REF!,""))</f>
        <v/>
      </c>
      <c r="E1204" s="4">
        <v>45090</v>
      </c>
      <c r="F1204" s="1" t="s">
        <v>32</v>
      </c>
    </row>
    <row r="1205" spans="1:6" x14ac:dyDescent="0.25">
      <c r="A1205" s="1" t="s">
        <v>2420</v>
      </c>
      <c r="B1205" s="1" t="s">
        <v>2421</v>
      </c>
      <c r="C1205" s="3">
        <v>200</v>
      </c>
      <c r="D1205" s="3" t="str">
        <f ca="1">IF(B1205="","",IFERROR(_xludf.XLOOKUP(_xludf.XLOOKUP(B1205,Inventory!$A:$A,Inventory!$B:$B),Blades!$A:$A,Blades!$C:$C)+_xludf.XLOOKUP(_xludf.XLOOKUP(B1205,Inventory!$A:$A,Inventory!$C:$C),Motor!$A:$A,Motor!$C:$C)+_xludf.XLOOKUP(_xludf.XLOOKUP(B1205,Inventory!$A:$A,Inventory!$D:$D),Frame!$A:$A,Frame!$C:$C)+#REF!,""))</f>
        <v/>
      </c>
      <c r="E1205" s="4">
        <v>45091</v>
      </c>
      <c r="F1205" s="1" t="s">
        <v>32</v>
      </c>
    </row>
    <row r="1206" spans="1:6" x14ac:dyDescent="0.25">
      <c r="A1206" s="1" t="s">
        <v>2422</v>
      </c>
      <c r="B1206" s="1" t="s">
        <v>2423</v>
      </c>
      <c r="C1206" s="3">
        <v>200</v>
      </c>
      <c r="D1206" s="3" t="str">
        <f ca="1">IF(B1206="","",IFERROR(_xludf.XLOOKUP(_xludf.XLOOKUP(B1206,Inventory!$A:$A,Inventory!$B:$B),Blades!$A:$A,Blades!$C:$C)+_xludf.XLOOKUP(_xludf.XLOOKUP(B1206,Inventory!$A:$A,Inventory!$C:$C),Motor!$A:$A,Motor!$C:$C)+_xludf.XLOOKUP(_xludf.XLOOKUP(B1206,Inventory!$A:$A,Inventory!$D:$D),Frame!$A:$A,Frame!$C:$C)+#REF!,""))</f>
        <v/>
      </c>
      <c r="E1206" s="4">
        <v>45092</v>
      </c>
      <c r="F1206" s="1" t="s">
        <v>25</v>
      </c>
    </row>
    <row r="1207" spans="1:6" x14ac:dyDescent="0.25">
      <c r="A1207" s="1" t="s">
        <v>2424</v>
      </c>
      <c r="B1207" s="1" t="s">
        <v>2425</v>
      </c>
      <c r="C1207" s="3">
        <v>200</v>
      </c>
      <c r="D1207" s="3" t="str">
        <f ca="1">IF(B1207="","",IFERROR(_xludf.XLOOKUP(_xludf.XLOOKUP(B1207,Inventory!$A:$A,Inventory!$B:$B),Blades!$A:$A,Blades!$C:$C)+_xludf.XLOOKUP(_xludf.XLOOKUP(B1207,Inventory!$A:$A,Inventory!$C:$C),Motor!$A:$A,Motor!$C:$C)+_xludf.XLOOKUP(_xludf.XLOOKUP(B1207,Inventory!$A:$A,Inventory!$D:$D),Frame!$A:$A,Frame!$C:$C)+#REF!,""))</f>
        <v/>
      </c>
      <c r="E1207" s="4">
        <v>45092</v>
      </c>
      <c r="F1207" s="1" t="s">
        <v>8</v>
      </c>
    </row>
    <row r="1208" spans="1:6" x14ac:dyDescent="0.25">
      <c r="A1208" s="1" t="s">
        <v>2426</v>
      </c>
      <c r="B1208" s="1" t="s">
        <v>2427</v>
      </c>
      <c r="C1208" s="3">
        <v>200</v>
      </c>
      <c r="D1208" s="3" t="str">
        <f ca="1">IF(B1208="","",IFERROR(_xludf.XLOOKUP(_xludf.XLOOKUP(B1208,Inventory!$A:$A,Inventory!$B:$B),Blades!$A:$A,Blades!$C:$C)+_xludf.XLOOKUP(_xludf.XLOOKUP(B1208,Inventory!$A:$A,Inventory!$C:$C),Motor!$A:$A,Motor!$C:$C)+_xludf.XLOOKUP(_xludf.XLOOKUP(B1208,Inventory!$A:$A,Inventory!$D:$D),Frame!$A:$A,Frame!$C:$C)+#REF!,""))</f>
        <v/>
      </c>
      <c r="E1208" s="4">
        <v>45092</v>
      </c>
      <c r="F1208" s="1" t="s">
        <v>25</v>
      </c>
    </row>
    <row r="1209" spans="1:6" x14ac:dyDescent="0.25">
      <c r="A1209" s="1" t="s">
        <v>2428</v>
      </c>
      <c r="B1209" s="1" t="s">
        <v>2429</v>
      </c>
      <c r="C1209" s="3">
        <v>200</v>
      </c>
      <c r="D1209" s="3" t="str">
        <f ca="1">IF(B1209="","",IFERROR(_xludf.XLOOKUP(_xludf.XLOOKUP(B1209,Inventory!$A:$A,Inventory!$B:$B),Blades!$A:$A,Blades!$C:$C)+_xludf.XLOOKUP(_xludf.XLOOKUP(B1209,Inventory!$A:$A,Inventory!$C:$C),Motor!$A:$A,Motor!$C:$C)+_xludf.XLOOKUP(_xludf.XLOOKUP(B1209,Inventory!$A:$A,Inventory!$D:$D),Frame!$A:$A,Frame!$C:$C)+#REF!,""))</f>
        <v/>
      </c>
      <c r="E1209" s="4">
        <v>45093</v>
      </c>
      <c r="F1209" s="1" t="s">
        <v>8</v>
      </c>
    </row>
    <row r="1210" spans="1:6" x14ac:dyDescent="0.25">
      <c r="A1210" s="1" t="s">
        <v>2430</v>
      </c>
      <c r="B1210" s="1" t="s">
        <v>2431</v>
      </c>
      <c r="C1210" s="3">
        <v>200</v>
      </c>
      <c r="D1210" s="3" t="str">
        <f ca="1">IF(B1210="","",IFERROR(_xludf.XLOOKUP(_xludf.XLOOKUP(B1210,Inventory!$A:$A,Inventory!$B:$B),Blades!$A:$A,Blades!$C:$C)+_xludf.XLOOKUP(_xludf.XLOOKUP(B1210,Inventory!$A:$A,Inventory!$C:$C),Motor!$A:$A,Motor!$C:$C)+_xludf.XLOOKUP(_xludf.XLOOKUP(B1210,Inventory!$A:$A,Inventory!$D:$D),Frame!$A:$A,Frame!$C:$C)+#REF!,""))</f>
        <v/>
      </c>
      <c r="E1210" s="4">
        <v>45095</v>
      </c>
      <c r="F1210" s="1" t="s">
        <v>49</v>
      </c>
    </row>
    <row r="1211" spans="1:6" x14ac:dyDescent="0.25">
      <c r="A1211" s="1" t="s">
        <v>2432</v>
      </c>
      <c r="B1211" s="1" t="s">
        <v>2433</v>
      </c>
      <c r="C1211" s="3">
        <v>200</v>
      </c>
      <c r="D1211" s="3" t="str">
        <f ca="1">IF(B1211="","",IFERROR(_xludf.XLOOKUP(_xludf.XLOOKUP(B1211,Inventory!$A:$A,Inventory!$B:$B),Blades!$A:$A,Blades!$C:$C)+_xludf.XLOOKUP(_xludf.XLOOKUP(B1211,Inventory!$A:$A,Inventory!$C:$C),Motor!$A:$A,Motor!$C:$C)+_xludf.XLOOKUP(_xludf.XLOOKUP(B1211,Inventory!$A:$A,Inventory!$D:$D),Frame!$A:$A,Frame!$C:$C)+#REF!,""))</f>
        <v/>
      </c>
      <c r="E1211" s="4">
        <v>45095</v>
      </c>
      <c r="F1211" s="1" t="s">
        <v>32</v>
      </c>
    </row>
    <row r="1212" spans="1:6" x14ac:dyDescent="0.25">
      <c r="A1212" s="1" t="s">
        <v>2434</v>
      </c>
      <c r="B1212" s="1" t="s">
        <v>2435</v>
      </c>
      <c r="C1212" s="3">
        <v>200</v>
      </c>
      <c r="D1212" s="3" t="str">
        <f ca="1">IF(B1212="","",IFERROR(_xludf.XLOOKUP(_xludf.XLOOKUP(B1212,Inventory!$A:$A,Inventory!$B:$B),Blades!$A:$A,Blades!$C:$C)+_xludf.XLOOKUP(_xludf.XLOOKUP(B1212,Inventory!$A:$A,Inventory!$C:$C),Motor!$A:$A,Motor!$C:$C)+_xludf.XLOOKUP(_xludf.XLOOKUP(B1212,Inventory!$A:$A,Inventory!$D:$D),Frame!$A:$A,Frame!$C:$C)+#REF!,""))</f>
        <v/>
      </c>
      <c r="E1212" s="4">
        <v>45096</v>
      </c>
      <c r="F1212" s="1" t="s">
        <v>49</v>
      </c>
    </row>
    <row r="1213" spans="1:6" x14ac:dyDescent="0.25">
      <c r="A1213" s="1" t="s">
        <v>2436</v>
      </c>
      <c r="B1213" s="1" t="s">
        <v>2437</v>
      </c>
      <c r="C1213" s="3">
        <v>200</v>
      </c>
      <c r="D1213" s="3" t="str">
        <f ca="1">IF(B1213="","",IFERROR(_xludf.XLOOKUP(_xludf.XLOOKUP(B1213,Inventory!$A:$A,Inventory!$B:$B),Blades!$A:$A,Blades!$C:$C)+_xludf.XLOOKUP(_xludf.XLOOKUP(B1213,Inventory!$A:$A,Inventory!$C:$C),Motor!$A:$A,Motor!$C:$C)+_xludf.XLOOKUP(_xludf.XLOOKUP(B1213,Inventory!$A:$A,Inventory!$D:$D),Frame!$A:$A,Frame!$C:$C)+#REF!,""))</f>
        <v/>
      </c>
      <c r="E1213" s="4">
        <v>45096</v>
      </c>
      <c r="F1213" s="1" t="s">
        <v>32</v>
      </c>
    </row>
    <row r="1214" spans="1:6" x14ac:dyDescent="0.25">
      <c r="A1214" s="1" t="s">
        <v>2438</v>
      </c>
      <c r="B1214" s="1" t="s">
        <v>2439</v>
      </c>
      <c r="C1214" s="3">
        <v>200</v>
      </c>
      <c r="D1214" s="3" t="str">
        <f ca="1">IF(B1214="","",IFERROR(_xludf.XLOOKUP(_xludf.XLOOKUP(B1214,Inventory!$A:$A,Inventory!$B:$B),Blades!$A:$A,Blades!$C:$C)+_xludf.XLOOKUP(_xludf.XLOOKUP(B1214,Inventory!$A:$A,Inventory!$C:$C),Motor!$A:$A,Motor!$C:$C)+_xludf.XLOOKUP(_xludf.XLOOKUP(B1214,Inventory!$A:$A,Inventory!$D:$D),Frame!$A:$A,Frame!$C:$C)+#REF!,""))</f>
        <v/>
      </c>
      <c r="E1214" s="4">
        <v>45097</v>
      </c>
      <c r="F1214" s="1" t="s">
        <v>52</v>
      </c>
    </row>
    <row r="1215" spans="1:6" x14ac:dyDescent="0.25">
      <c r="A1215" s="1" t="s">
        <v>2440</v>
      </c>
      <c r="B1215" s="1" t="s">
        <v>2441</v>
      </c>
      <c r="C1215" s="3">
        <v>200</v>
      </c>
      <c r="D1215" s="3" t="str">
        <f ca="1">IF(B1215="","",IFERROR(_xludf.XLOOKUP(_xludf.XLOOKUP(B1215,Inventory!$A:$A,Inventory!$B:$B),Blades!$A:$A,Blades!$C:$C)+_xludf.XLOOKUP(_xludf.XLOOKUP(B1215,Inventory!$A:$A,Inventory!$C:$C),Motor!$A:$A,Motor!$C:$C)+_xludf.XLOOKUP(_xludf.XLOOKUP(B1215,Inventory!$A:$A,Inventory!$D:$D),Frame!$A:$A,Frame!$C:$C)+#REF!,""))</f>
        <v/>
      </c>
      <c r="E1215" s="4">
        <v>45097</v>
      </c>
      <c r="F1215" s="1" t="s">
        <v>52</v>
      </c>
    </row>
    <row r="1216" spans="1:6" x14ac:dyDescent="0.25">
      <c r="A1216" s="1" t="s">
        <v>2442</v>
      </c>
      <c r="B1216" s="1" t="s">
        <v>2443</v>
      </c>
      <c r="C1216" s="3">
        <v>200</v>
      </c>
      <c r="D1216" s="3" t="str">
        <f ca="1">IF(B1216="","",IFERROR(_xludf.XLOOKUP(_xludf.XLOOKUP(B1216,Inventory!$A:$A,Inventory!$B:$B),Blades!$A:$A,Blades!$C:$C)+_xludf.XLOOKUP(_xludf.XLOOKUP(B1216,Inventory!$A:$A,Inventory!$C:$C),Motor!$A:$A,Motor!$C:$C)+_xludf.XLOOKUP(_xludf.XLOOKUP(B1216,Inventory!$A:$A,Inventory!$D:$D),Frame!$A:$A,Frame!$C:$C)+#REF!,""))</f>
        <v/>
      </c>
      <c r="E1216" s="4">
        <v>45098</v>
      </c>
      <c r="F1216" s="1" t="s">
        <v>63</v>
      </c>
    </row>
    <row r="1217" spans="1:6" x14ac:dyDescent="0.25">
      <c r="A1217" s="1" t="s">
        <v>2444</v>
      </c>
      <c r="B1217" s="1" t="s">
        <v>2445</v>
      </c>
      <c r="C1217" s="3">
        <v>200</v>
      </c>
      <c r="D1217" s="3" t="str">
        <f ca="1">IF(B1217="","",IFERROR(_xludf.XLOOKUP(_xludf.XLOOKUP(B1217,Inventory!$A:$A,Inventory!$B:$B),Blades!$A:$A,Blades!$C:$C)+_xludf.XLOOKUP(_xludf.XLOOKUP(B1217,Inventory!$A:$A,Inventory!$C:$C),Motor!$A:$A,Motor!$C:$C)+_xludf.XLOOKUP(_xludf.XLOOKUP(B1217,Inventory!$A:$A,Inventory!$D:$D),Frame!$A:$A,Frame!$C:$C)+#REF!,""))</f>
        <v/>
      </c>
      <c r="E1217" s="4">
        <v>45101</v>
      </c>
      <c r="F1217" s="1" t="s">
        <v>11</v>
      </c>
    </row>
    <row r="1218" spans="1:6" x14ac:dyDescent="0.25">
      <c r="A1218" s="1" t="s">
        <v>2446</v>
      </c>
      <c r="B1218" s="1" t="s">
        <v>2447</v>
      </c>
      <c r="C1218" s="3">
        <v>200</v>
      </c>
      <c r="D1218" s="3" t="str">
        <f ca="1">IF(B1218="","",IFERROR(_xludf.XLOOKUP(_xludf.XLOOKUP(B1218,Inventory!$A:$A,Inventory!$B:$B),Blades!$A:$A,Blades!$C:$C)+_xludf.XLOOKUP(_xludf.XLOOKUP(B1218,Inventory!$A:$A,Inventory!$C:$C),Motor!$A:$A,Motor!$C:$C)+_xludf.XLOOKUP(_xludf.XLOOKUP(B1218,Inventory!$A:$A,Inventory!$D:$D),Frame!$A:$A,Frame!$C:$C)+#REF!,""))</f>
        <v/>
      </c>
      <c r="E1218" s="4">
        <v>45102</v>
      </c>
      <c r="F1218" s="1" t="s">
        <v>25</v>
      </c>
    </row>
    <row r="1219" spans="1:6" x14ac:dyDescent="0.25">
      <c r="A1219" s="1" t="s">
        <v>2448</v>
      </c>
      <c r="B1219" s="1" t="s">
        <v>2449</v>
      </c>
      <c r="C1219" s="3">
        <v>200</v>
      </c>
      <c r="D1219" s="3" t="str">
        <f ca="1">IF(B1219="","",IFERROR(_xludf.XLOOKUP(_xludf.XLOOKUP(B1219,Inventory!$A:$A,Inventory!$B:$B),Blades!$A:$A,Blades!$C:$C)+_xludf.XLOOKUP(_xludf.XLOOKUP(B1219,Inventory!$A:$A,Inventory!$C:$C),Motor!$A:$A,Motor!$C:$C)+_xludf.XLOOKUP(_xludf.XLOOKUP(B1219,Inventory!$A:$A,Inventory!$D:$D),Frame!$A:$A,Frame!$C:$C)+#REF!,""))</f>
        <v/>
      </c>
      <c r="E1219" s="4">
        <v>45103</v>
      </c>
      <c r="F1219" s="1" t="s">
        <v>20</v>
      </c>
    </row>
    <row r="1220" spans="1:6" x14ac:dyDescent="0.25">
      <c r="A1220" s="1" t="s">
        <v>2450</v>
      </c>
      <c r="B1220" s="1" t="s">
        <v>2451</v>
      </c>
      <c r="C1220" s="3">
        <v>200</v>
      </c>
      <c r="D1220" s="3" t="str">
        <f ca="1">IF(B1220="","",IFERROR(_xludf.XLOOKUP(_xludf.XLOOKUP(B1220,Inventory!$A:$A,Inventory!$B:$B),Blades!$A:$A,Blades!$C:$C)+_xludf.XLOOKUP(_xludf.XLOOKUP(B1220,Inventory!$A:$A,Inventory!$C:$C),Motor!$A:$A,Motor!$C:$C)+_xludf.XLOOKUP(_xludf.XLOOKUP(B1220,Inventory!$A:$A,Inventory!$D:$D),Frame!$A:$A,Frame!$C:$C)+#REF!,""))</f>
        <v/>
      </c>
      <c r="E1220" s="4">
        <v>45104</v>
      </c>
      <c r="F1220" s="1" t="s">
        <v>49</v>
      </c>
    </row>
    <row r="1221" spans="1:6" x14ac:dyDescent="0.25">
      <c r="A1221" s="1" t="s">
        <v>2452</v>
      </c>
      <c r="B1221" s="1" t="s">
        <v>2453</v>
      </c>
      <c r="C1221" s="3">
        <v>200</v>
      </c>
      <c r="D1221" s="3" t="str">
        <f ca="1">IF(B1221="","",IFERROR(_xludf.XLOOKUP(_xludf.XLOOKUP(B1221,Inventory!$A:$A,Inventory!$B:$B),Blades!$A:$A,Blades!$C:$C)+_xludf.XLOOKUP(_xludf.XLOOKUP(B1221,Inventory!$A:$A,Inventory!$C:$C),Motor!$A:$A,Motor!$C:$C)+_xludf.XLOOKUP(_xludf.XLOOKUP(B1221,Inventory!$A:$A,Inventory!$D:$D),Frame!$A:$A,Frame!$C:$C)+#REF!,""))</f>
        <v/>
      </c>
      <c r="E1221" s="4">
        <v>45105</v>
      </c>
      <c r="F1221" s="1" t="s">
        <v>52</v>
      </c>
    </row>
    <row r="1222" spans="1:6" x14ac:dyDescent="0.25">
      <c r="A1222" s="1" t="s">
        <v>2454</v>
      </c>
      <c r="B1222" s="1" t="s">
        <v>2455</v>
      </c>
      <c r="C1222" s="3">
        <v>200</v>
      </c>
      <c r="D1222" s="3" t="str">
        <f ca="1">IF(B1222="","",IFERROR(_xludf.XLOOKUP(_xludf.XLOOKUP(B1222,Inventory!$A:$A,Inventory!$B:$B),Blades!$A:$A,Blades!$C:$C)+_xludf.XLOOKUP(_xludf.XLOOKUP(B1222,Inventory!$A:$A,Inventory!$C:$C),Motor!$A:$A,Motor!$C:$C)+_xludf.XLOOKUP(_xludf.XLOOKUP(B1222,Inventory!$A:$A,Inventory!$D:$D),Frame!$A:$A,Frame!$C:$C)+#REF!,""))</f>
        <v/>
      </c>
      <c r="E1222" s="4">
        <v>45105</v>
      </c>
      <c r="F1222" s="1" t="s">
        <v>8</v>
      </c>
    </row>
    <row r="1223" spans="1:6" x14ac:dyDescent="0.25">
      <c r="A1223" s="1" t="s">
        <v>2456</v>
      </c>
      <c r="B1223" s="1" t="s">
        <v>2457</v>
      </c>
      <c r="C1223" s="3">
        <v>200</v>
      </c>
      <c r="D1223" s="3" t="str">
        <f ca="1">IF(B1223="","",IFERROR(_xludf.XLOOKUP(_xludf.XLOOKUP(B1223,Inventory!$A:$A,Inventory!$B:$B),Blades!$A:$A,Blades!$C:$C)+_xludf.XLOOKUP(_xludf.XLOOKUP(B1223,Inventory!$A:$A,Inventory!$C:$C),Motor!$A:$A,Motor!$C:$C)+_xludf.XLOOKUP(_xludf.XLOOKUP(B1223,Inventory!$A:$A,Inventory!$D:$D),Frame!$A:$A,Frame!$C:$C)+#REF!,""))</f>
        <v/>
      </c>
      <c r="E1223" s="4">
        <v>45106</v>
      </c>
      <c r="F1223" s="1" t="s">
        <v>20</v>
      </c>
    </row>
    <row r="1224" spans="1:6" x14ac:dyDescent="0.25">
      <c r="A1224" s="1" t="s">
        <v>2458</v>
      </c>
      <c r="B1224" s="1" t="s">
        <v>2459</v>
      </c>
      <c r="C1224" s="3">
        <v>200</v>
      </c>
      <c r="D1224" s="3" t="str">
        <f ca="1">IF(B1224="","",IFERROR(_xludf.XLOOKUP(_xludf.XLOOKUP(B1224,Inventory!$A:$A,Inventory!$B:$B),Blades!$A:$A,Blades!$C:$C)+_xludf.XLOOKUP(_xludf.XLOOKUP(B1224,Inventory!$A:$A,Inventory!$C:$C),Motor!$A:$A,Motor!$C:$C)+_xludf.XLOOKUP(_xludf.XLOOKUP(B1224,Inventory!$A:$A,Inventory!$D:$D),Frame!$A:$A,Frame!$C:$C)+#REF!,""))</f>
        <v/>
      </c>
      <c r="E1224" s="4">
        <v>45106</v>
      </c>
      <c r="F1224" s="1" t="s">
        <v>11</v>
      </c>
    </row>
    <row r="1225" spans="1:6" x14ac:dyDescent="0.25">
      <c r="A1225" s="1" t="s">
        <v>2460</v>
      </c>
      <c r="B1225" s="1" t="s">
        <v>2461</v>
      </c>
      <c r="C1225" s="3">
        <v>200</v>
      </c>
      <c r="D1225" s="3" t="str">
        <f ca="1">IF(B1225="","",IFERROR(_xludf.XLOOKUP(_xludf.XLOOKUP(B1225,Inventory!$A:$A,Inventory!$B:$B),Blades!$A:$A,Blades!$C:$C)+_xludf.XLOOKUP(_xludf.XLOOKUP(B1225,Inventory!$A:$A,Inventory!$C:$C),Motor!$A:$A,Motor!$C:$C)+_xludf.XLOOKUP(_xludf.XLOOKUP(B1225,Inventory!$A:$A,Inventory!$D:$D),Frame!$A:$A,Frame!$C:$C)+#REF!,""))</f>
        <v/>
      </c>
      <c r="E1225" s="4">
        <v>45107</v>
      </c>
      <c r="F1225" s="1" t="s">
        <v>49</v>
      </c>
    </row>
    <row r="1226" spans="1:6" x14ac:dyDescent="0.25">
      <c r="A1226" s="1" t="s">
        <v>2462</v>
      </c>
      <c r="B1226" s="1" t="s">
        <v>2463</v>
      </c>
      <c r="C1226" s="3">
        <v>200</v>
      </c>
      <c r="D1226" s="3" t="str">
        <f ca="1">IF(B1226="","",IFERROR(_xludf.XLOOKUP(_xludf.XLOOKUP(B1226,Inventory!$A:$A,Inventory!$B:$B),Blades!$A:$A,Blades!$C:$C)+_xludf.XLOOKUP(_xludf.XLOOKUP(B1226,Inventory!$A:$A,Inventory!$C:$C),Motor!$A:$A,Motor!$C:$C)+_xludf.XLOOKUP(_xludf.XLOOKUP(B1226,Inventory!$A:$A,Inventory!$D:$D),Frame!$A:$A,Frame!$C:$C)+#REF!,""))</f>
        <v/>
      </c>
      <c r="E1226" s="4">
        <v>45108</v>
      </c>
      <c r="F1226" s="1" t="s">
        <v>11</v>
      </c>
    </row>
    <row r="1227" spans="1:6" x14ac:dyDescent="0.25">
      <c r="A1227" s="1" t="s">
        <v>2464</v>
      </c>
      <c r="B1227" s="1" t="s">
        <v>2465</v>
      </c>
      <c r="C1227" s="3">
        <v>200</v>
      </c>
      <c r="D1227" s="3" t="str">
        <f ca="1">IF(B1227="","",IFERROR(_xludf.XLOOKUP(_xludf.XLOOKUP(B1227,Inventory!$A:$A,Inventory!$B:$B),Blades!$A:$A,Blades!$C:$C)+_xludf.XLOOKUP(_xludf.XLOOKUP(B1227,Inventory!$A:$A,Inventory!$C:$C),Motor!$A:$A,Motor!$C:$C)+_xludf.XLOOKUP(_xludf.XLOOKUP(B1227,Inventory!$A:$A,Inventory!$D:$D),Frame!$A:$A,Frame!$C:$C)+#REF!,""))</f>
        <v/>
      </c>
      <c r="E1227" s="4">
        <v>45108</v>
      </c>
      <c r="F1227" s="1" t="s">
        <v>32</v>
      </c>
    </row>
    <row r="1228" spans="1:6" x14ac:dyDescent="0.25">
      <c r="A1228" s="1" t="s">
        <v>2466</v>
      </c>
      <c r="B1228" s="1" t="s">
        <v>2467</v>
      </c>
      <c r="C1228" s="3">
        <v>200</v>
      </c>
      <c r="D1228" s="3" t="str">
        <f ca="1">IF(B1228="","",IFERROR(_xludf.XLOOKUP(_xludf.XLOOKUP(B1228,Inventory!$A:$A,Inventory!$B:$B),Blades!$A:$A,Blades!$C:$C)+_xludf.XLOOKUP(_xludf.XLOOKUP(B1228,Inventory!$A:$A,Inventory!$C:$C),Motor!$A:$A,Motor!$C:$C)+_xludf.XLOOKUP(_xludf.XLOOKUP(B1228,Inventory!$A:$A,Inventory!$D:$D),Frame!$A:$A,Frame!$C:$C)+#REF!,""))</f>
        <v/>
      </c>
      <c r="E1228" s="4">
        <v>45110</v>
      </c>
      <c r="F1228" s="1" t="s">
        <v>32</v>
      </c>
    </row>
    <row r="1229" spans="1:6" x14ac:dyDescent="0.25">
      <c r="A1229" s="1" t="s">
        <v>2468</v>
      </c>
      <c r="B1229" s="1" t="s">
        <v>2469</v>
      </c>
      <c r="C1229" s="3">
        <v>200</v>
      </c>
      <c r="D1229" s="3" t="str">
        <f ca="1">IF(B1229="","",IFERROR(_xludf.XLOOKUP(_xludf.XLOOKUP(B1229,Inventory!$A:$A,Inventory!$B:$B),Blades!$A:$A,Blades!$C:$C)+_xludf.XLOOKUP(_xludf.XLOOKUP(B1229,Inventory!$A:$A,Inventory!$C:$C),Motor!$A:$A,Motor!$C:$C)+_xludf.XLOOKUP(_xludf.XLOOKUP(B1229,Inventory!$A:$A,Inventory!$D:$D),Frame!$A:$A,Frame!$C:$C)+#REF!,""))</f>
        <v/>
      </c>
      <c r="E1229" s="4">
        <v>45111</v>
      </c>
      <c r="F1229" s="1" t="s">
        <v>8</v>
      </c>
    </row>
    <row r="1230" spans="1:6" x14ac:dyDescent="0.25">
      <c r="A1230" s="1" t="s">
        <v>2470</v>
      </c>
      <c r="B1230" s="1" t="s">
        <v>2471</v>
      </c>
      <c r="C1230" s="3">
        <v>200</v>
      </c>
      <c r="D1230" s="3" t="str">
        <f ca="1">IF(B1230="","",IFERROR(_xludf.XLOOKUP(_xludf.XLOOKUP(B1230,Inventory!$A:$A,Inventory!$B:$B),Blades!$A:$A,Blades!$C:$C)+_xludf.XLOOKUP(_xludf.XLOOKUP(B1230,Inventory!$A:$A,Inventory!$C:$C),Motor!$A:$A,Motor!$C:$C)+_xludf.XLOOKUP(_xludf.XLOOKUP(B1230,Inventory!$A:$A,Inventory!$D:$D),Frame!$A:$A,Frame!$C:$C)+#REF!,""))</f>
        <v/>
      </c>
      <c r="E1230" s="4">
        <v>45111</v>
      </c>
      <c r="F1230" s="1" t="s">
        <v>63</v>
      </c>
    </row>
    <row r="1231" spans="1:6" x14ac:dyDescent="0.25">
      <c r="A1231" s="1" t="s">
        <v>2472</v>
      </c>
      <c r="B1231" s="1" t="s">
        <v>2473</v>
      </c>
      <c r="C1231" s="3">
        <v>200</v>
      </c>
      <c r="D1231" s="3" t="str">
        <f ca="1">IF(B1231="","",IFERROR(_xludf.XLOOKUP(_xludf.XLOOKUP(B1231,Inventory!$A:$A,Inventory!$B:$B),Blades!$A:$A,Blades!$C:$C)+_xludf.XLOOKUP(_xludf.XLOOKUP(B1231,Inventory!$A:$A,Inventory!$C:$C),Motor!$A:$A,Motor!$C:$C)+_xludf.XLOOKUP(_xludf.XLOOKUP(B1231,Inventory!$A:$A,Inventory!$D:$D),Frame!$A:$A,Frame!$C:$C)+#REF!,""))</f>
        <v/>
      </c>
      <c r="E1231" s="4">
        <v>45112</v>
      </c>
      <c r="F1231" s="1" t="s">
        <v>25</v>
      </c>
    </row>
    <row r="1232" spans="1:6" x14ac:dyDescent="0.25">
      <c r="A1232" s="1" t="s">
        <v>2474</v>
      </c>
      <c r="B1232" s="1" t="s">
        <v>2475</v>
      </c>
      <c r="C1232" s="3">
        <v>200</v>
      </c>
      <c r="D1232" s="3" t="str">
        <f ca="1">IF(B1232="","",IFERROR(_xludf.XLOOKUP(_xludf.XLOOKUP(B1232,Inventory!$A:$A,Inventory!$B:$B),Blades!$A:$A,Blades!$C:$C)+_xludf.XLOOKUP(_xludf.XLOOKUP(B1232,Inventory!$A:$A,Inventory!$C:$C),Motor!$A:$A,Motor!$C:$C)+_xludf.XLOOKUP(_xludf.XLOOKUP(B1232,Inventory!$A:$A,Inventory!$D:$D),Frame!$A:$A,Frame!$C:$C)+#REF!,""))</f>
        <v/>
      </c>
      <c r="E1232" s="4">
        <v>45114</v>
      </c>
      <c r="F1232" s="1" t="s">
        <v>8</v>
      </c>
    </row>
    <row r="1233" spans="1:6" x14ac:dyDescent="0.25">
      <c r="A1233" s="1" t="s">
        <v>2476</v>
      </c>
      <c r="B1233" s="1" t="s">
        <v>2477</v>
      </c>
      <c r="C1233" s="3">
        <v>200</v>
      </c>
      <c r="D1233" s="3" t="str">
        <f ca="1">IF(B1233="","",IFERROR(_xludf.XLOOKUP(_xludf.XLOOKUP(B1233,Inventory!$A:$A,Inventory!$B:$B),Blades!$A:$A,Blades!$C:$C)+_xludf.XLOOKUP(_xludf.XLOOKUP(B1233,Inventory!$A:$A,Inventory!$C:$C),Motor!$A:$A,Motor!$C:$C)+_xludf.XLOOKUP(_xludf.XLOOKUP(B1233,Inventory!$A:$A,Inventory!$D:$D),Frame!$A:$A,Frame!$C:$C)+#REF!,""))</f>
        <v/>
      </c>
      <c r="E1233" s="4">
        <v>45115</v>
      </c>
      <c r="F1233" s="1" t="s">
        <v>32</v>
      </c>
    </row>
    <row r="1234" spans="1:6" x14ac:dyDescent="0.25">
      <c r="A1234" s="1" t="s">
        <v>2478</v>
      </c>
      <c r="B1234" s="1" t="s">
        <v>2479</v>
      </c>
      <c r="C1234" s="3">
        <v>200</v>
      </c>
      <c r="D1234" s="3" t="str">
        <f ca="1">IF(B1234="","",IFERROR(_xludf.XLOOKUP(_xludf.XLOOKUP(B1234,Inventory!$A:$A,Inventory!$B:$B),Blades!$A:$A,Blades!$C:$C)+_xludf.XLOOKUP(_xludf.XLOOKUP(B1234,Inventory!$A:$A,Inventory!$C:$C),Motor!$A:$A,Motor!$C:$C)+_xludf.XLOOKUP(_xludf.XLOOKUP(B1234,Inventory!$A:$A,Inventory!$D:$D),Frame!$A:$A,Frame!$C:$C)+#REF!,""))</f>
        <v/>
      </c>
      <c r="E1234" s="4">
        <v>45118</v>
      </c>
      <c r="F1234" s="1" t="s">
        <v>11</v>
      </c>
    </row>
    <row r="1235" spans="1:6" x14ac:dyDescent="0.25">
      <c r="A1235" s="1" t="s">
        <v>2480</v>
      </c>
      <c r="B1235" s="1" t="s">
        <v>2481</v>
      </c>
      <c r="C1235" s="3">
        <v>200</v>
      </c>
      <c r="D1235" s="3" t="str">
        <f ca="1">IF(B1235="","",IFERROR(_xludf.XLOOKUP(_xludf.XLOOKUP(B1235,Inventory!$A:$A,Inventory!$B:$B),Blades!$A:$A,Blades!$C:$C)+_xludf.XLOOKUP(_xludf.XLOOKUP(B1235,Inventory!$A:$A,Inventory!$C:$C),Motor!$A:$A,Motor!$C:$C)+_xludf.XLOOKUP(_xludf.XLOOKUP(B1235,Inventory!$A:$A,Inventory!$D:$D),Frame!$A:$A,Frame!$C:$C)+#REF!,""))</f>
        <v/>
      </c>
      <c r="E1235" s="4">
        <v>45118</v>
      </c>
      <c r="F1235" s="1" t="s">
        <v>49</v>
      </c>
    </row>
    <row r="1236" spans="1:6" x14ac:dyDescent="0.25">
      <c r="A1236" s="1" t="s">
        <v>2482</v>
      </c>
      <c r="B1236" s="1" t="s">
        <v>2483</v>
      </c>
      <c r="C1236" s="3">
        <v>200</v>
      </c>
      <c r="D1236" s="3" t="str">
        <f ca="1">IF(B1236="","",IFERROR(_xludf.XLOOKUP(_xludf.XLOOKUP(B1236,Inventory!$A:$A,Inventory!$B:$B),Blades!$A:$A,Blades!$C:$C)+_xludf.XLOOKUP(_xludf.XLOOKUP(B1236,Inventory!$A:$A,Inventory!$C:$C),Motor!$A:$A,Motor!$C:$C)+_xludf.XLOOKUP(_xludf.XLOOKUP(B1236,Inventory!$A:$A,Inventory!$D:$D),Frame!$A:$A,Frame!$C:$C)+#REF!,""))</f>
        <v/>
      </c>
      <c r="E1236" s="4">
        <v>45119</v>
      </c>
      <c r="F1236" s="1" t="s">
        <v>8</v>
      </c>
    </row>
    <row r="1237" spans="1:6" x14ac:dyDescent="0.25">
      <c r="A1237" s="1" t="s">
        <v>2484</v>
      </c>
      <c r="B1237" s="1" t="s">
        <v>2485</v>
      </c>
      <c r="C1237" s="3">
        <v>200</v>
      </c>
      <c r="D1237" s="3" t="str">
        <f ca="1">IF(B1237="","",IFERROR(_xludf.XLOOKUP(_xludf.XLOOKUP(B1237,Inventory!$A:$A,Inventory!$B:$B),Blades!$A:$A,Blades!$C:$C)+_xludf.XLOOKUP(_xludf.XLOOKUP(B1237,Inventory!$A:$A,Inventory!$C:$C),Motor!$A:$A,Motor!$C:$C)+_xludf.XLOOKUP(_xludf.XLOOKUP(B1237,Inventory!$A:$A,Inventory!$D:$D),Frame!$A:$A,Frame!$C:$C)+#REF!,""))</f>
        <v/>
      </c>
      <c r="E1237" s="4">
        <v>45120</v>
      </c>
      <c r="F1237" s="1" t="s">
        <v>25</v>
      </c>
    </row>
    <row r="1238" spans="1:6" x14ac:dyDescent="0.25">
      <c r="A1238" s="1" t="s">
        <v>2486</v>
      </c>
      <c r="B1238" s="1" t="s">
        <v>2487</v>
      </c>
      <c r="C1238" s="3">
        <v>200</v>
      </c>
      <c r="D1238" s="3" t="str">
        <f ca="1">IF(B1238="","",IFERROR(_xludf.XLOOKUP(_xludf.XLOOKUP(B1238,Inventory!$A:$A,Inventory!$B:$B),Blades!$A:$A,Blades!$C:$C)+_xludf.XLOOKUP(_xludf.XLOOKUP(B1238,Inventory!$A:$A,Inventory!$C:$C),Motor!$A:$A,Motor!$C:$C)+_xludf.XLOOKUP(_xludf.XLOOKUP(B1238,Inventory!$A:$A,Inventory!$D:$D),Frame!$A:$A,Frame!$C:$C)+#REF!,""))</f>
        <v/>
      </c>
      <c r="E1238" s="4">
        <v>45121</v>
      </c>
      <c r="F1238" s="1" t="s">
        <v>49</v>
      </c>
    </row>
    <row r="1239" spans="1:6" x14ac:dyDescent="0.25">
      <c r="A1239" s="1" t="s">
        <v>2488</v>
      </c>
      <c r="B1239" s="1" t="s">
        <v>2489</v>
      </c>
      <c r="C1239" s="3">
        <v>200</v>
      </c>
      <c r="D1239" s="3" t="str">
        <f ca="1">IF(B1239="","",IFERROR(_xludf.XLOOKUP(_xludf.XLOOKUP(B1239,Inventory!$A:$A,Inventory!$B:$B),Blades!$A:$A,Blades!$C:$C)+_xludf.XLOOKUP(_xludf.XLOOKUP(B1239,Inventory!$A:$A,Inventory!$C:$C),Motor!$A:$A,Motor!$C:$C)+_xludf.XLOOKUP(_xludf.XLOOKUP(B1239,Inventory!$A:$A,Inventory!$D:$D),Frame!$A:$A,Frame!$C:$C)+#REF!,""))</f>
        <v/>
      </c>
      <c r="E1239" s="4">
        <v>45121</v>
      </c>
      <c r="F1239" s="1" t="s">
        <v>25</v>
      </c>
    </row>
    <row r="1240" spans="1:6" x14ac:dyDescent="0.25">
      <c r="A1240" s="1" t="s">
        <v>2490</v>
      </c>
      <c r="B1240" s="1" t="s">
        <v>2491</v>
      </c>
      <c r="C1240" s="3">
        <v>200</v>
      </c>
      <c r="D1240" s="3" t="str">
        <f ca="1">IF(B1240="","",IFERROR(_xludf.XLOOKUP(_xludf.XLOOKUP(B1240,Inventory!$A:$A,Inventory!$B:$B),Blades!$A:$A,Blades!$C:$C)+_xludf.XLOOKUP(_xludf.XLOOKUP(B1240,Inventory!$A:$A,Inventory!$C:$C),Motor!$A:$A,Motor!$C:$C)+_xludf.XLOOKUP(_xludf.XLOOKUP(B1240,Inventory!$A:$A,Inventory!$D:$D),Frame!$A:$A,Frame!$C:$C)+#REF!,""))</f>
        <v/>
      </c>
      <c r="E1240" s="4">
        <v>45121</v>
      </c>
      <c r="F1240" s="1" t="s">
        <v>49</v>
      </c>
    </row>
    <row r="1241" spans="1:6" x14ac:dyDescent="0.25">
      <c r="A1241" s="1" t="s">
        <v>2492</v>
      </c>
      <c r="B1241" s="1" t="s">
        <v>2493</v>
      </c>
      <c r="C1241" s="3">
        <v>200</v>
      </c>
      <c r="D1241" s="3" t="str">
        <f ca="1">IF(B1241="","",IFERROR(_xludf.XLOOKUP(_xludf.XLOOKUP(B1241,Inventory!$A:$A,Inventory!$B:$B),Blades!$A:$A,Blades!$C:$C)+_xludf.XLOOKUP(_xludf.XLOOKUP(B1241,Inventory!$A:$A,Inventory!$C:$C),Motor!$A:$A,Motor!$C:$C)+_xludf.XLOOKUP(_xludf.XLOOKUP(B1241,Inventory!$A:$A,Inventory!$D:$D),Frame!$A:$A,Frame!$C:$C)+#REF!,""))</f>
        <v/>
      </c>
      <c r="E1241" s="4">
        <v>45121</v>
      </c>
      <c r="F1241" s="1" t="s">
        <v>11</v>
      </c>
    </row>
    <row r="1242" spans="1:6" x14ac:dyDescent="0.25">
      <c r="A1242" s="1" t="s">
        <v>2494</v>
      </c>
      <c r="B1242" s="1" t="s">
        <v>2495</v>
      </c>
      <c r="C1242" s="3">
        <v>200</v>
      </c>
      <c r="D1242" s="3" t="str">
        <f ca="1">IF(B1242="","",IFERROR(_xludf.XLOOKUP(_xludf.XLOOKUP(B1242,Inventory!$A:$A,Inventory!$B:$B),Blades!$A:$A,Blades!$C:$C)+_xludf.XLOOKUP(_xludf.XLOOKUP(B1242,Inventory!$A:$A,Inventory!$C:$C),Motor!$A:$A,Motor!$C:$C)+_xludf.XLOOKUP(_xludf.XLOOKUP(B1242,Inventory!$A:$A,Inventory!$D:$D),Frame!$A:$A,Frame!$C:$C)+#REF!,""))</f>
        <v/>
      </c>
      <c r="E1242" s="4">
        <v>45122</v>
      </c>
      <c r="F1242" s="1" t="s">
        <v>11</v>
      </c>
    </row>
    <row r="1243" spans="1:6" x14ac:dyDescent="0.25">
      <c r="A1243" s="1" t="s">
        <v>2496</v>
      </c>
      <c r="B1243" s="1" t="s">
        <v>2497</v>
      </c>
      <c r="C1243" s="3">
        <v>200</v>
      </c>
      <c r="D1243" s="3" t="str">
        <f ca="1">IF(B1243="","",IFERROR(_xludf.XLOOKUP(_xludf.XLOOKUP(B1243,Inventory!$A:$A,Inventory!$B:$B),Blades!$A:$A,Blades!$C:$C)+_xludf.XLOOKUP(_xludf.XLOOKUP(B1243,Inventory!$A:$A,Inventory!$C:$C),Motor!$A:$A,Motor!$C:$C)+_xludf.XLOOKUP(_xludf.XLOOKUP(B1243,Inventory!$A:$A,Inventory!$D:$D),Frame!$A:$A,Frame!$C:$C)+#REF!,""))</f>
        <v/>
      </c>
      <c r="E1243" s="4">
        <v>45123</v>
      </c>
      <c r="F1243" s="1" t="s">
        <v>49</v>
      </c>
    </row>
    <row r="1244" spans="1:6" x14ac:dyDescent="0.25">
      <c r="A1244" s="1" t="s">
        <v>2498</v>
      </c>
      <c r="B1244" s="1" t="s">
        <v>2499</v>
      </c>
      <c r="C1244" s="3">
        <v>200</v>
      </c>
      <c r="D1244" s="3" t="str">
        <f ca="1">IF(B1244="","",IFERROR(_xludf.XLOOKUP(_xludf.XLOOKUP(B1244,Inventory!$A:$A,Inventory!$B:$B),Blades!$A:$A,Blades!$C:$C)+_xludf.XLOOKUP(_xludf.XLOOKUP(B1244,Inventory!$A:$A,Inventory!$C:$C),Motor!$A:$A,Motor!$C:$C)+_xludf.XLOOKUP(_xludf.XLOOKUP(B1244,Inventory!$A:$A,Inventory!$D:$D),Frame!$A:$A,Frame!$C:$C)+#REF!,""))</f>
        <v/>
      </c>
      <c r="E1244" s="4">
        <v>45124</v>
      </c>
      <c r="F1244" s="1" t="s">
        <v>49</v>
      </c>
    </row>
    <row r="1245" spans="1:6" x14ac:dyDescent="0.25">
      <c r="A1245" s="1" t="s">
        <v>2500</v>
      </c>
      <c r="B1245" s="1" t="s">
        <v>2501</v>
      </c>
      <c r="C1245" s="3">
        <v>200</v>
      </c>
      <c r="D1245" s="3" t="str">
        <f ca="1">IF(B1245="","",IFERROR(_xludf.XLOOKUP(_xludf.XLOOKUP(B1245,Inventory!$A:$A,Inventory!$B:$B),Blades!$A:$A,Blades!$C:$C)+_xludf.XLOOKUP(_xludf.XLOOKUP(B1245,Inventory!$A:$A,Inventory!$C:$C),Motor!$A:$A,Motor!$C:$C)+_xludf.XLOOKUP(_xludf.XLOOKUP(B1245,Inventory!$A:$A,Inventory!$D:$D),Frame!$A:$A,Frame!$C:$C)+#REF!,""))</f>
        <v/>
      </c>
      <c r="E1245" s="4">
        <v>45125</v>
      </c>
      <c r="F1245" s="1" t="s">
        <v>25</v>
      </c>
    </row>
    <row r="1246" spans="1:6" x14ac:dyDescent="0.25">
      <c r="A1246" s="1" t="s">
        <v>2502</v>
      </c>
      <c r="B1246" s="1" t="s">
        <v>2503</v>
      </c>
      <c r="C1246" s="3">
        <v>200</v>
      </c>
      <c r="D1246" s="3" t="str">
        <f ca="1">IF(B1246="","",IFERROR(_xludf.XLOOKUP(_xludf.XLOOKUP(B1246,Inventory!$A:$A,Inventory!$B:$B),Blades!$A:$A,Blades!$C:$C)+_xludf.XLOOKUP(_xludf.XLOOKUP(B1246,Inventory!$A:$A,Inventory!$C:$C),Motor!$A:$A,Motor!$C:$C)+_xludf.XLOOKUP(_xludf.XLOOKUP(B1246,Inventory!$A:$A,Inventory!$D:$D),Frame!$A:$A,Frame!$C:$C)+#REF!,""))</f>
        <v/>
      </c>
      <c r="E1246" s="4">
        <v>45125</v>
      </c>
      <c r="F1246" s="1" t="s">
        <v>20</v>
      </c>
    </row>
    <row r="1247" spans="1:6" x14ac:dyDescent="0.25">
      <c r="A1247" s="1" t="s">
        <v>2504</v>
      </c>
      <c r="B1247" s="1" t="s">
        <v>2505</v>
      </c>
      <c r="C1247" s="3">
        <v>200</v>
      </c>
      <c r="D1247" s="3" t="str">
        <f ca="1">IF(B1247="","",IFERROR(_xludf.XLOOKUP(_xludf.XLOOKUP(B1247,Inventory!$A:$A,Inventory!$B:$B),Blades!$A:$A,Blades!$C:$C)+_xludf.XLOOKUP(_xludf.XLOOKUP(B1247,Inventory!$A:$A,Inventory!$C:$C),Motor!$A:$A,Motor!$C:$C)+_xludf.XLOOKUP(_xludf.XLOOKUP(B1247,Inventory!$A:$A,Inventory!$D:$D),Frame!$A:$A,Frame!$C:$C)+#REF!,""))</f>
        <v/>
      </c>
      <c r="E1247" s="4">
        <v>45125</v>
      </c>
      <c r="F1247" s="1" t="s">
        <v>32</v>
      </c>
    </row>
    <row r="1248" spans="1:6" x14ac:dyDescent="0.25">
      <c r="A1248" s="1" t="s">
        <v>2506</v>
      </c>
      <c r="B1248" s="1" t="s">
        <v>2507</v>
      </c>
      <c r="C1248" s="3">
        <v>200</v>
      </c>
      <c r="D1248" s="3" t="str">
        <f ca="1">IF(B1248="","",IFERROR(_xludf.XLOOKUP(_xludf.XLOOKUP(B1248,Inventory!$A:$A,Inventory!$B:$B),Blades!$A:$A,Blades!$C:$C)+_xludf.XLOOKUP(_xludf.XLOOKUP(B1248,Inventory!$A:$A,Inventory!$C:$C),Motor!$A:$A,Motor!$C:$C)+_xludf.XLOOKUP(_xludf.XLOOKUP(B1248,Inventory!$A:$A,Inventory!$D:$D),Frame!$A:$A,Frame!$C:$C)+#REF!,""))</f>
        <v/>
      </c>
      <c r="E1248" s="4">
        <v>45125</v>
      </c>
      <c r="F1248" s="1" t="s">
        <v>11</v>
      </c>
    </row>
    <row r="1249" spans="1:6" x14ac:dyDescent="0.25">
      <c r="A1249" s="1" t="s">
        <v>2508</v>
      </c>
      <c r="B1249" s="1" t="s">
        <v>2509</v>
      </c>
      <c r="C1249" s="3">
        <v>200</v>
      </c>
      <c r="D1249" s="3" t="str">
        <f ca="1">IF(B1249="","",IFERROR(_xludf.XLOOKUP(_xludf.XLOOKUP(B1249,Inventory!$A:$A,Inventory!$B:$B),Blades!$A:$A,Blades!$C:$C)+_xludf.XLOOKUP(_xludf.XLOOKUP(B1249,Inventory!$A:$A,Inventory!$C:$C),Motor!$A:$A,Motor!$C:$C)+_xludf.XLOOKUP(_xludf.XLOOKUP(B1249,Inventory!$A:$A,Inventory!$D:$D),Frame!$A:$A,Frame!$C:$C)+#REF!,""))</f>
        <v/>
      </c>
      <c r="E1249" s="4">
        <v>45128</v>
      </c>
      <c r="F1249" s="1" t="s">
        <v>32</v>
      </c>
    </row>
    <row r="1250" spans="1:6" x14ac:dyDescent="0.25">
      <c r="A1250" s="1" t="s">
        <v>2510</v>
      </c>
      <c r="B1250" s="1" t="s">
        <v>2511</v>
      </c>
      <c r="C1250" s="3">
        <v>200</v>
      </c>
      <c r="D1250" s="3" t="str">
        <f ca="1">IF(B1250="","",IFERROR(_xludf.XLOOKUP(_xludf.XLOOKUP(B1250,Inventory!$A:$A,Inventory!$B:$B),Blades!$A:$A,Blades!$C:$C)+_xludf.XLOOKUP(_xludf.XLOOKUP(B1250,Inventory!$A:$A,Inventory!$C:$C),Motor!$A:$A,Motor!$C:$C)+_xludf.XLOOKUP(_xludf.XLOOKUP(B1250,Inventory!$A:$A,Inventory!$D:$D),Frame!$A:$A,Frame!$C:$C)+#REF!,""))</f>
        <v/>
      </c>
      <c r="E1250" s="4">
        <v>45128</v>
      </c>
      <c r="F1250" s="1" t="s">
        <v>49</v>
      </c>
    </row>
    <row r="1251" spans="1:6" x14ac:dyDescent="0.25">
      <c r="A1251" s="1" t="s">
        <v>2512</v>
      </c>
      <c r="B1251" s="1" t="s">
        <v>2513</v>
      </c>
      <c r="C1251" s="3">
        <v>200</v>
      </c>
      <c r="D1251" s="3" t="str">
        <f ca="1">IF(B1251="","",IFERROR(_xludf.XLOOKUP(_xludf.XLOOKUP(B1251,Inventory!$A:$A,Inventory!$B:$B),Blades!$A:$A,Blades!$C:$C)+_xludf.XLOOKUP(_xludf.XLOOKUP(B1251,Inventory!$A:$A,Inventory!$C:$C),Motor!$A:$A,Motor!$C:$C)+_xludf.XLOOKUP(_xludf.XLOOKUP(B1251,Inventory!$A:$A,Inventory!$D:$D),Frame!$A:$A,Frame!$C:$C)+#REF!,""))</f>
        <v/>
      </c>
      <c r="E1251" s="4">
        <v>45128</v>
      </c>
      <c r="F1251" s="1" t="s">
        <v>49</v>
      </c>
    </row>
    <row r="1252" spans="1:6" x14ac:dyDescent="0.25">
      <c r="A1252" s="1" t="s">
        <v>2514</v>
      </c>
      <c r="B1252" s="1" t="s">
        <v>2515</v>
      </c>
      <c r="C1252" s="3">
        <v>200</v>
      </c>
      <c r="D1252" s="3" t="str">
        <f ca="1">IF(B1252="","",IFERROR(_xludf.XLOOKUP(_xludf.XLOOKUP(B1252,Inventory!$A:$A,Inventory!$B:$B),Blades!$A:$A,Blades!$C:$C)+_xludf.XLOOKUP(_xludf.XLOOKUP(B1252,Inventory!$A:$A,Inventory!$C:$C),Motor!$A:$A,Motor!$C:$C)+_xludf.XLOOKUP(_xludf.XLOOKUP(B1252,Inventory!$A:$A,Inventory!$D:$D),Frame!$A:$A,Frame!$C:$C)+#REF!,""))</f>
        <v/>
      </c>
      <c r="E1252" s="4">
        <v>45128</v>
      </c>
      <c r="F1252" s="1" t="s">
        <v>11</v>
      </c>
    </row>
    <row r="1253" spans="1:6" x14ac:dyDescent="0.25">
      <c r="A1253" s="1" t="s">
        <v>2516</v>
      </c>
      <c r="B1253" s="1" t="s">
        <v>2517</v>
      </c>
      <c r="C1253" s="3">
        <v>200</v>
      </c>
      <c r="D1253" s="3" t="str">
        <f ca="1">IF(B1253="","",IFERROR(_xludf.XLOOKUP(_xludf.XLOOKUP(B1253,Inventory!$A:$A,Inventory!$B:$B),Blades!$A:$A,Blades!$C:$C)+_xludf.XLOOKUP(_xludf.XLOOKUP(B1253,Inventory!$A:$A,Inventory!$C:$C),Motor!$A:$A,Motor!$C:$C)+_xludf.XLOOKUP(_xludf.XLOOKUP(B1253,Inventory!$A:$A,Inventory!$D:$D),Frame!$A:$A,Frame!$C:$C)+#REF!,""))</f>
        <v/>
      </c>
      <c r="E1253" s="4">
        <v>45129</v>
      </c>
      <c r="F1253" s="1" t="s">
        <v>52</v>
      </c>
    </row>
    <row r="1254" spans="1:6" x14ac:dyDescent="0.25">
      <c r="A1254" s="1" t="s">
        <v>2518</v>
      </c>
      <c r="B1254" s="1" t="s">
        <v>2519</v>
      </c>
      <c r="C1254" s="3">
        <v>200</v>
      </c>
      <c r="D1254" s="3" t="str">
        <f ca="1">IF(B1254="","",IFERROR(_xludf.XLOOKUP(_xludf.XLOOKUP(B1254,Inventory!$A:$A,Inventory!$B:$B),Blades!$A:$A,Blades!$C:$C)+_xludf.XLOOKUP(_xludf.XLOOKUP(B1254,Inventory!$A:$A,Inventory!$C:$C),Motor!$A:$A,Motor!$C:$C)+_xludf.XLOOKUP(_xludf.XLOOKUP(B1254,Inventory!$A:$A,Inventory!$D:$D),Frame!$A:$A,Frame!$C:$C)+#REF!,""))</f>
        <v/>
      </c>
      <c r="E1254" s="4">
        <v>45130</v>
      </c>
      <c r="F1254" s="1" t="s">
        <v>20</v>
      </c>
    </row>
    <row r="1255" spans="1:6" x14ac:dyDescent="0.25">
      <c r="A1255" s="1" t="s">
        <v>2520</v>
      </c>
      <c r="B1255" s="1" t="s">
        <v>2521</v>
      </c>
      <c r="C1255" s="3">
        <v>200</v>
      </c>
      <c r="D1255" s="3" t="str">
        <f ca="1">IF(B1255="","",IFERROR(_xludf.XLOOKUP(_xludf.XLOOKUP(B1255,Inventory!$A:$A,Inventory!$B:$B),Blades!$A:$A,Blades!$C:$C)+_xludf.XLOOKUP(_xludf.XLOOKUP(B1255,Inventory!$A:$A,Inventory!$C:$C),Motor!$A:$A,Motor!$C:$C)+_xludf.XLOOKUP(_xludf.XLOOKUP(B1255,Inventory!$A:$A,Inventory!$D:$D),Frame!$A:$A,Frame!$C:$C)+#REF!,""))</f>
        <v/>
      </c>
      <c r="E1255" s="4">
        <v>45134</v>
      </c>
      <c r="F1255" s="1" t="s">
        <v>8</v>
      </c>
    </row>
    <row r="1256" spans="1:6" x14ac:dyDescent="0.25">
      <c r="A1256" s="1" t="s">
        <v>2522</v>
      </c>
      <c r="B1256" s="1" t="s">
        <v>2523</v>
      </c>
      <c r="C1256" s="3">
        <v>200</v>
      </c>
      <c r="D1256" s="3" t="str">
        <f ca="1">IF(B1256="","",IFERROR(_xludf.XLOOKUP(_xludf.XLOOKUP(B1256,Inventory!$A:$A,Inventory!$B:$B),Blades!$A:$A,Blades!$C:$C)+_xludf.XLOOKUP(_xludf.XLOOKUP(B1256,Inventory!$A:$A,Inventory!$C:$C),Motor!$A:$A,Motor!$C:$C)+_xludf.XLOOKUP(_xludf.XLOOKUP(B1256,Inventory!$A:$A,Inventory!$D:$D),Frame!$A:$A,Frame!$C:$C)+#REF!,""))</f>
        <v/>
      </c>
      <c r="E1256" s="4">
        <v>45136</v>
      </c>
      <c r="F1256" s="1" t="s">
        <v>25</v>
      </c>
    </row>
    <row r="1257" spans="1:6" x14ac:dyDescent="0.25">
      <c r="A1257" s="1" t="s">
        <v>2524</v>
      </c>
      <c r="B1257" s="1" t="s">
        <v>2525</v>
      </c>
      <c r="C1257" s="3">
        <v>200</v>
      </c>
      <c r="D1257" s="3" t="str">
        <f ca="1">IF(B1257="","",IFERROR(_xludf.XLOOKUP(_xludf.XLOOKUP(B1257,Inventory!$A:$A,Inventory!$B:$B),Blades!$A:$A,Blades!$C:$C)+_xludf.XLOOKUP(_xludf.XLOOKUP(B1257,Inventory!$A:$A,Inventory!$C:$C),Motor!$A:$A,Motor!$C:$C)+_xludf.XLOOKUP(_xludf.XLOOKUP(B1257,Inventory!$A:$A,Inventory!$D:$D),Frame!$A:$A,Frame!$C:$C)+#REF!,""))</f>
        <v/>
      </c>
      <c r="E1257" s="4">
        <v>45136</v>
      </c>
      <c r="F1257" s="1" t="s">
        <v>63</v>
      </c>
    </row>
    <row r="1258" spans="1:6" x14ac:dyDescent="0.25">
      <c r="A1258" s="1" t="s">
        <v>2526</v>
      </c>
      <c r="B1258" s="1" t="s">
        <v>2527</v>
      </c>
      <c r="C1258" s="3">
        <v>200</v>
      </c>
      <c r="D1258" s="3" t="str">
        <f ca="1">IF(B1258="","",IFERROR(_xludf.XLOOKUP(_xludf.XLOOKUP(B1258,Inventory!$A:$A,Inventory!$B:$B),Blades!$A:$A,Blades!$C:$C)+_xludf.XLOOKUP(_xludf.XLOOKUP(B1258,Inventory!$A:$A,Inventory!$C:$C),Motor!$A:$A,Motor!$C:$C)+_xludf.XLOOKUP(_xludf.XLOOKUP(B1258,Inventory!$A:$A,Inventory!$D:$D),Frame!$A:$A,Frame!$C:$C)+#REF!,""))</f>
        <v/>
      </c>
      <c r="E1258" s="4">
        <v>45137</v>
      </c>
      <c r="F1258" s="1" t="s">
        <v>52</v>
      </c>
    </row>
    <row r="1259" spans="1:6" x14ac:dyDescent="0.25">
      <c r="A1259" s="1" t="s">
        <v>2528</v>
      </c>
      <c r="B1259" s="1" t="s">
        <v>2529</v>
      </c>
      <c r="C1259" s="3">
        <v>200</v>
      </c>
      <c r="D1259" s="3" t="str">
        <f ca="1">IF(B1259="","",IFERROR(_xludf.XLOOKUP(_xludf.XLOOKUP(B1259,Inventory!$A:$A,Inventory!$B:$B),Blades!$A:$A,Blades!$C:$C)+_xludf.XLOOKUP(_xludf.XLOOKUP(B1259,Inventory!$A:$A,Inventory!$C:$C),Motor!$A:$A,Motor!$C:$C)+_xludf.XLOOKUP(_xludf.XLOOKUP(B1259,Inventory!$A:$A,Inventory!$D:$D),Frame!$A:$A,Frame!$C:$C)+#REF!,""))</f>
        <v/>
      </c>
      <c r="E1259" s="4">
        <v>45138</v>
      </c>
      <c r="F1259" s="1" t="s">
        <v>25</v>
      </c>
    </row>
    <row r="1260" spans="1:6" x14ac:dyDescent="0.25">
      <c r="A1260" s="1" t="s">
        <v>2530</v>
      </c>
      <c r="B1260" s="1" t="s">
        <v>2531</v>
      </c>
      <c r="C1260" s="3">
        <v>200</v>
      </c>
      <c r="D1260" s="3" t="str">
        <f ca="1">IF(B1260="","",IFERROR(_xludf.XLOOKUP(_xludf.XLOOKUP(B1260,Inventory!$A:$A,Inventory!$B:$B),Blades!$A:$A,Blades!$C:$C)+_xludf.XLOOKUP(_xludf.XLOOKUP(B1260,Inventory!$A:$A,Inventory!$C:$C),Motor!$A:$A,Motor!$C:$C)+_xludf.XLOOKUP(_xludf.XLOOKUP(B1260,Inventory!$A:$A,Inventory!$D:$D),Frame!$A:$A,Frame!$C:$C)+#REF!,""))</f>
        <v/>
      </c>
      <c r="E1260" s="4">
        <v>45138</v>
      </c>
      <c r="F1260" s="1" t="s">
        <v>49</v>
      </c>
    </row>
    <row r="1261" spans="1:6" x14ac:dyDescent="0.25">
      <c r="A1261" s="1" t="s">
        <v>2532</v>
      </c>
      <c r="B1261" s="1" t="s">
        <v>2533</v>
      </c>
      <c r="C1261" s="3">
        <v>200</v>
      </c>
      <c r="D1261" s="3" t="str">
        <f ca="1">IF(B1261="","",IFERROR(_xludf.XLOOKUP(_xludf.XLOOKUP(B1261,Inventory!$A:$A,Inventory!$B:$B),Blades!$A:$A,Blades!$C:$C)+_xludf.XLOOKUP(_xludf.XLOOKUP(B1261,Inventory!$A:$A,Inventory!$C:$C),Motor!$A:$A,Motor!$C:$C)+_xludf.XLOOKUP(_xludf.XLOOKUP(B1261,Inventory!$A:$A,Inventory!$D:$D),Frame!$A:$A,Frame!$C:$C)+#REF!,""))</f>
        <v/>
      </c>
      <c r="E1261" s="4">
        <v>45138</v>
      </c>
      <c r="F1261" s="1" t="s">
        <v>52</v>
      </c>
    </row>
    <row r="1262" spans="1:6" x14ac:dyDescent="0.25">
      <c r="A1262" s="1" t="s">
        <v>2534</v>
      </c>
      <c r="B1262" s="1" t="s">
        <v>2535</v>
      </c>
      <c r="C1262" s="3">
        <v>200</v>
      </c>
      <c r="D1262" s="3" t="str">
        <f ca="1">IF(B1262="","",IFERROR(_xludf.XLOOKUP(_xludf.XLOOKUP(B1262,Inventory!$A:$A,Inventory!$B:$B),Blades!$A:$A,Blades!$C:$C)+_xludf.XLOOKUP(_xludf.XLOOKUP(B1262,Inventory!$A:$A,Inventory!$C:$C),Motor!$A:$A,Motor!$C:$C)+_xludf.XLOOKUP(_xludf.XLOOKUP(B1262,Inventory!$A:$A,Inventory!$D:$D),Frame!$A:$A,Frame!$C:$C)+#REF!,""))</f>
        <v/>
      </c>
      <c r="E1262" s="4">
        <v>45138</v>
      </c>
      <c r="F1262" s="1" t="s">
        <v>25</v>
      </c>
    </row>
    <row r="1263" spans="1:6" x14ac:dyDescent="0.25">
      <c r="A1263" s="1" t="s">
        <v>2536</v>
      </c>
      <c r="B1263" s="1" t="s">
        <v>2537</v>
      </c>
      <c r="C1263" s="3">
        <v>200</v>
      </c>
      <c r="D1263" s="3" t="str">
        <f ca="1">IF(B1263="","",IFERROR(_xludf.XLOOKUP(_xludf.XLOOKUP(B1263,Inventory!$A:$A,Inventory!$B:$B),Blades!$A:$A,Blades!$C:$C)+_xludf.XLOOKUP(_xludf.XLOOKUP(B1263,Inventory!$A:$A,Inventory!$C:$C),Motor!$A:$A,Motor!$C:$C)+_xludf.XLOOKUP(_xludf.XLOOKUP(B1263,Inventory!$A:$A,Inventory!$D:$D),Frame!$A:$A,Frame!$C:$C)+#REF!,""))</f>
        <v/>
      </c>
      <c r="E1263" s="4">
        <v>45138</v>
      </c>
      <c r="F1263" s="1" t="s">
        <v>32</v>
      </c>
    </row>
    <row r="1264" spans="1:6" x14ac:dyDescent="0.25">
      <c r="A1264" s="1" t="s">
        <v>2538</v>
      </c>
      <c r="B1264" s="1" t="s">
        <v>2539</v>
      </c>
      <c r="C1264" s="3">
        <v>200</v>
      </c>
      <c r="D1264" s="3" t="str">
        <f ca="1">IF(B1264="","",IFERROR(_xludf.XLOOKUP(_xludf.XLOOKUP(B1264,Inventory!$A:$A,Inventory!$B:$B),Blades!$A:$A,Blades!$C:$C)+_xludf.XLOOKUP(_xludf.XLOOKUP(B1264,Inventory!$A:$A,Inventory!$C:$C),Motor!$A:$A,Motor!$C:$C)+_xludf.XLOOKUP(_xludf.XLOOKUP(B1264,Inventory!$A:$A,Inventory!$D:$D),Frame!$A:$A,Frame!$C:$C)+#REF!,""))</f>
        <v/>
      </c>
      <c r="E1264" s="4">
        <v>45138</v>
      </c>
      <c r="F1264" s="1" t="s">
        <v>11</v>
      </c>
    </row>
    <row r="1265" spans="1:6" x14ac:dyDescent="0.25">
      <c r="A1265" s="1" t="s">
        <v>2540</v>
      </c>
      <c r="B1265" s="1" t="s">
        <v>2541</v>
      </c>
      <c r="C1265" s="3">
        <v>200</v>
      </c>
      <c r="D1265" s="3" t="str">
        <f ca="1">IF(B1265="","",IFERROR(_xludf.XLOOKUP(_xludf.XLOOKUP(B1265,Inventory!$A:$A,Inventory!$B:$B),Blades!$A:$A,Blades!$C:$C)+_xludf.XLOOKUP(_xludf.XLOOKUP(B1265,Inventory!$A:$A,Inventory!$C:$C),Motor!$A:$A,Motor!$C:$C)+_xludf.XLOOKUP(_xludf.XLOOKUP(B1265,Inventory!$A:$A,Inventory!$D:$D),Frame!$A:$A,Frame!$C:$C)+#REF!,""))</f>
        <v/>
      </c>
      <c r="E1265" s="4">
        <v>45139</v>
      </c>
      <c r="F1265" s="1" t="s">
        <v>8</v>
      </c>
    </row>
    <row r="1266" spans="1:6" x14ac:dyDescent="0.25">
      <c r="A1266" s="1" t="s">
        <v>2542</v>
      </c>
      <c r="B1266" s="1" t="s">
        <v>2543</v>
      </c>
      <c r="C1266" s="3">
        <v>200</v>
      </c>
      <c r="D1266" s="3" t="str">
        <f ca="1">IF(B1266="","",IFERROR(_xludf.XLOOKUP(_xludf.XLOOKUP(B1266,Inventory!$A:$A,Inventory!$B:$B),Blades!$A:$A,Blades!$C:$C)+_xludf.XLOOKUP(_xludf.XLOOKUP(B1266,Inventory!$A:$A,Inventory!$C:$C),Motor!$A:$A,Motor!$C:$C)+_xludf.XLOOKUP(_xludf.XLOOKUP(B1266,Inventory!$A:$A,Inventory!$D:$D),Frame!$A:$A,Frame!$C:$C)+#REF!,""))</f>
        <v/>
      </c>
      <c r="E1266" s="4">
        <v>45140</v>
      </c>
      <c r="F1266" s="1" t="s">
        <v>11</v>
      </c>
    </row>
    <row r="1267" spans="1:6" x14ac:dyDescent="0.25">
      <c r="A1267" s="1" t="s">
        <v>2544</v>
      </c>
      <c r="B1267" s="1" t="s">
        <v>2545</v>
      </c>
      <c r="C1267" s="3">
        <v>200</v>
      </c>
      <c r="D1267" s="3" t="str">
        <f ca="1">IF(B1267="","",IFERROR(_xludf.XLOOKUP(_xludf.XLOOKUP(B1267,Inventory!$A:$A,Inventory!$B:$B),Blades!$A:$A,Blades!$C:$C)+_xludf.XLOOKUP(_xludf.XLOOKUP(B1267,Inventory!$A:$A,Inventory!$C:$C),Motor!$A:$A,Motor!$C:$C)+_xludf.XLOOKUP(_xludf.XLOOKUP(B1267,Inventory!$A:$A,Inventory!$D:$D),Frame!$A:$A,Frame!$C:$C)+#REF!,""))</f>
        <v/>
      </c>
      <c r="E1267" s="4">
        <v>45140</v>
      </c>
      <c r="F1267" s="1" t="s">
        <v>52</v>
      </c>
    </row>
    <row r="1268" spans="1:6" x14ac:dyDescent="0.25">
      <c r="A1268" s="1" t="s">
        <v>2546</v>
      </c>
      <c r="B1268" s="1" t="s">
        <v>2547</v>
      </c>
      <c r="C1268" s="3">
        <v>200</v>
      </c>
      <c r="D1268" s="3" t="str">
        <f ca="1">IF(B1268="","",IFERROR(_xludf.XLOOKUP(_xludf.XLOOKUP(B1268,Inventory!$A:$A,Inventory!$B:$B),Blades!$A:$A,Blades!$C:$C)+_xludf.XLOOKUP(_xludf.XLOOKUP(B1268,Inventory!$A:$A,Inventory!$C:$C),Motor!$A:$A,Motor!$C:$C)+_xludf.XLOOKUP(_xludf.XLOOKUP(B1268,Inventory!$A:$A,Inventory!$D:$D),Frame!$A:$A,Frame!$C:$C)+#REF!,""))</f>
        <v/>
      </c>
      <c r="E1268" s="4">
        <v>45141</v>
      </c>
      <c r="F1268" s="1" t="s">
        <v>49</v>
      </c>
    </row>
    <row r="1269" spans="1:6" x14ac:dyDescent="0.25">
      <c r="A1269" s="1" t="s">
        <v>2548</v>
      </c>
      <c r="B1269" s="1" t="s">
        <v>2549</v>
      </c>
      <c r="C1269" s="3">
        <v>200</v>
      </c>
      <c r="D1269" s="3" t="str">
        <f ca="1">IF(B1269="","",IFERROR(_xludf.XLOOKUP(_xludf.XLOOKUP(B1269,Inventory!$A:$A,Inventory!$B:$B),Blades!$A:$A,Blades!$C:$C)+_xludf.XLOOKUP(_xludf.XLOOKUP(B1269,Inventory!$A:$A,Inventory!$C:$C),Motor!$A:$A,Motor!$C:$C)+_xludf.XLOOKUP(_xludf.XLOOKUP(B1269,Inventory!$A:$A,Inventory!$D:$D),Frame!$A:$A,Frame!$C:$C)+#REF!,""))</f>
        <v/>
      </c>
      <c r="E1269" s="4">
        <v>45143</v>
      </c>
      <c r="F1269" s="1" t="s">
        <v>49</v>
      </c>
    </row>
    <row r="1270" spans="1:6" x14ac:dyDescent="0.25">
      <c r="A1270" s="1" t="s">
        <v>2550</v>
      </c>
      <c r="B1270" s="1" t="s">
        <v>2551</v>
      </c>
      <c r="C1270" s="3">
        <v>200</v>
      </c>
      <c r="D1270" s="3" t="str">
        <f ca="1">IF(B1270="","",IFERROR(_xludf.XLOOKUP(_xludf.XLOOKUP(B1270,Inventory!$A:$A,Inventory!$B:$B),Blades!$A:$A,Blades!$C:$C)+_xludf.XLOOKUP(_xludf.XLOOKUP(B1270,Inventory!$A:$A,Inventory!$C:$C),Motor!$A:$A,Motor!$C:$C)+_xludf.XLOOKUP(_xludf.XLOOKUP(B1270,Inventory!$A:$A,Inventory!$D:$D),Frame!$A:$A,Frame!$C:$C)+#REF!,""))</f>
        <v/>
      </c>
      <c r="E1270" s="4">
        <v>45143</v>
      </c>
      <c r="F1270" s="1" t="s">
        <v>49</v>
      </c>
    </row>
    <row r="1271" spans="1:6" x14ac:dyDescent="0.25">
      <c r="A1271" s="1" t="s">
        <v>2552</v>
      </c>
      <c r="B1271" s="1" t="s">
        <v>2553</v>
      </c>
      <c r="C1271" s="3">
        <v>200</v>
      </c>
      <c r="D1271" s="3" t="str">
        <f ca="1">IF(B1271="","",IFERROR(_xludf.XLOOKUP(_xludf.XLOOKUP(B1271,Inventory!$A:$A,Inventory!$B:$B),Blades!$A:$A,Blades!$C:$C)+_xludf.XLOOKUP(_xludf.XLOOKUP(B1271,Inventory!$A:$A,Inventory!$C:$C),Motor!$A:$A,Motor!$C:$C)+_xludf.XLOOKUP(_xludf.XLOOKUP(B1271,Inventory!$A:$A,Inventory!$D:$D),Frame!$A:$A,Frame!$C:$C)+#REF!,""))</f>
        <v/>
      </c>
      <c r="E1271" s="4">
        <v>45145</v>
      </c>
      <c r="F1271" s="1" t="s">
        <v>63</v>
      </c>
    </row>
    <row r="1272" spans="1:6" x14ac:dyDescent="0.25">
      <c r="A1272" s="1" t="s">
        <v>2554</v>
      </c>
      <c r="B1272" s="1" t="s">
        <v>2555</v>
      </c>
      <c r="C1272" s="3">
        <v>200</v>
      </c>
      <c r="D1272" s="3" t="str">
        <f ca="1">IF(B1272="","",IFERROR(_xludf.XLOOKUP(_xludf.XLOOKUP(B1272,Inventory!$A:$A,Inventory!$B:$B),Blades!$A:$A,Blades!$C:$C)+_xludf.XLOOKUP(_xludf.XLOOKUP(B1272,Inventory!$A:$A,Inventory!$C:$C),Motor!$A:$A,Motor!$C:$C)+_xludf.XLOOKUP(_xludf.XLOOKUP(B1272,Inventory!$A:$A,Inventory!$D:$D),Frame!$A:$A,Frame!$C:$C)+#REF!,""))</f>
        <v/>
      </c>
      <c r="E1272" s="4">
        <v>45145</v>
      </c>
      <c r="F1272" s="1" t="s">
        <v>20</v>
      </c>
    </row>
    <row r="1273" spans="1:6" x14ac:dyDescent="0.25">
      <c r="A1273" s="1" t="s">
        <v>2556</v>
      </c>
      <c r="B1273" s="1" t="s">
        <v>2557</v>
      </c>
      <c r="C1273" s="3">
        <v>200</v>
      </c>
      <c r="D1273" s="3" t="str">
        <f ca="1">IF(B1273="","",IFERROR(_xludf.XLOOKUP(_xludf.XLOOKUP(B1273,Inventory!$A:$A,Inventory!$B:$B),Blades!$A:$A,Blades!$C:$C)+_xludf.XLOOKUP(_xludf.XLOOKUP(B1273,Inventory!$A:$A,Inventory!$C:$C),Motor!$A:$A,Motor!$C:$C)+_xludf.XLOOKUP(_xludf.XLOOKUP(B1273,Inventory!$A:$A,Inventory!$D:$D),Frame!$A:$A,Frame!$C:$C)+#REF!,""))</f>
        <v/>
      </c>
      <c r="E1273" s="4">
        <v>45145</v>
      </c>
      <c r="F1273" s="1" t="s">
        <v>11</v>
      </c>
    </row>
    <row r="1274" spans="1:6" x14ac:dyDescent="0.25">
      <c r="A1274" s="1" t="s">
        <v>2558</v>
      </c>
      <c r="B1274" s="1" t="s">
        <v>2559</v>
      </c>
      <c r="C1274" s="3">
        <v>200</v>
      </c>
      <c r="D1274" s="3" t="str">
        <f ca="1">IF(B1274="","",IFERROR(_xludf.XLOOKUP(_xludf.XLOOKUP(B1274,Inventory!$A:$A,Inventory!$B:$B),Blades!$A:$A,Blades!$C:$C)+_xludf.XLOOKUP(_xludf.XLOOKUP(B1274,Inventory!$A:$A,Inventory!$C:$C),Motor!$A:$A,Motor!$C:$C)+_xludf.XLOOKUP(_xludf.XLOOKUP(B1274,Inventory!$A:$A,Inventory!$D:$D),Frame!$A:$A,Frame!$C:$C)+#REF!,""))</f>
        <v/>
      </c>
      <c r="E1274" s="4">
        <v>45145</v>
      </c>
      <c r="F1274" s="1" t="s">
        <v>49</v>
      </c>
    </row>
    <row r="1275" spans="1:6" x14ac:dyDescent="0.25">
      <c r="A1275" s="1" t="s">
        <v>2560</v>
      </c>
      <c r="B1275" s="1" t="s">
        <v>2561</v>
      </c>
      <c r="C1275" s="3">
        <v>200</v>
      </c>
      <c r="D1275" s="3" t="str">
        <f ca="1">IF(B1275="","",IFERROR(_xludf.XLOOKUP(_xludf.XLOOKUP(B1275,Inventory!$A:$A,Inventory!$B:$B),Blades!$A:$A,Blades!$C:$C)+_xludf.XLOOKUP(_xludf.XLOOKUP(B1275,Inventory!$A:$A,Inventory!$C:$C),Motor!$A:$A,Motor!$C:$C)+_xludf.XLOOKUP(_xludf.XLOOKUP(B1275,Inventory!$A:$A,Inventory!$D:$D),Frame!$A:$A,Frame!$C:$C)+#REF!,""))</f>
        <v/>
      </c>
      <c r="E1275" s="4">
        <v>45147</v>
      </c>
      <c r="F1275" s="1" t="s">
        <v>11</v>
      </c>
    </row>
    <row r="1276" spans="1:6" x14ac:dyDescent="0.25">
      <c r="A1276" s="1" t="s">
        <v>2562</v>
      </c>
      <c r="B1276" s="1" t="s">
        <v>2563</v>
      </c>
      <c r="C1276" s="3">
        <v>200</v>
      </c>
      <c r="D1276" s="3" t="str">
        <f ca="1">IF(B1276="","",IFERROR(_xludf.XLOOKUP(_xludf.XLOOKUP(B1276,Inventory!$A:$A,Inventory!$B:$B),Blades!$A:$A,Blades!$C:$C)+_xludf.XLOOKUP(_xludf.XLOOKUP(B1276,Inventory!$A:$A,Inventory!$C:$C),Motor!$A:$A,Motor!$C:$C)+_xludf.XLOOKUP(_xludf.XLOOKUP(B1276,Inventory!$A:$A,Inventory!$D:$D),Frame!$A:$A,Frame!$C:$C)+#REF!,""))</f>
        <v/>
      </c>
      <c r="E1276" s="4">
        <v>45151</v>
      </c>
      <c r="F1276" s="1" t="s">
        <v>11</v>
      </c>
    </row>
    <row r="1277" spans="1:6" x14ac:dyDescent="0.25">
      <c r="A1277" s="1" t="s">
        <v>2564</v>
      </c>
      <c r="B1277" s="1" t="s">
        <v>2565</v>
      </c>
      <c r="C1277" s="3">
        <v>200</v>
      </c>
      <c r="D1277" s="3" t="str">
        <f ca="1">IF(B1277="","",IFERROR(_xludf.XLOOKUP(_xludf.XLOOKUP(B1277,Inventory!$A:$A,Inventory!$B:$B),Blades!$A:$A,Blades!$C:$C)+_xludf.XLOOKUP(_xludf.XLOOKUP(B1277,Inventory!$A:$A,Inventory!$C:$C),Motor!$A:$A,Motor!$C:$C)+_xludf.XLOOKUP(_xludf.XLOOKUP(B1277,Inventory!$A:$A,Inventory!$D:$D),Frame!$A:$A,Frame!$C:$C)+#REF!,""))</f>
        <v/>
      </c>
      <c r="E1277" s="4">
        <v>45152</v>
      </c>
      <c r="F1277" s="1" t="s">
        <v>11</v>
      </c>
    </row>
    <row r="1278" spans="1:6" x14ac:dyDescent="0.25">
      <c r="A1278" s="1" t="s">
        <v>2566</v>
      </c>
      <c r="B1278" s="1" t="s">
        <v>2567</v>
      </c>
      <c r="C1278" s="3">
        <v>200</v>
      </c>
      <c r="D1278" s="3" t="str">
        <f ca="1">IF(B1278="","",IFERROR(_xludf.XLOOKUP(_xludf.XLOOKUP(B1278,Inventory!$A:$A,Inventory!$B:$B),Blades!$A:$A,Blades!$C:$C)+_xludf.XLOOKUP(_xludf.XLOOKUP(B1278,Inventory!$A:$A,Inventory!$C:$C),Motor!$A:$A,Motor!$C:$C)+_xludf.XLOOKUP(_xludf.XLOOKUP(B1278,Inventory!$A:$A,Inventory!$D:$D),Frame!$A:$A,Frame!$C:$C)+#REF!,""))</f>
        <v/>
      </c>
      <c r="E1278" s="4">
        <v>45152</v>
      </c>
      <c r="F1278" s="1" t="s">
        <v>49</v>
      </c>
    </row>
    <row r="1279" spans="1:6" x14ac:dyDescent="0.25">
      <c r="A1279" s="1" t="s">
        <v>2568</v>
      </c>
      <c r="B1279" s="1" t="s">
        <v>2569</v>
      </c>
      <c r="C1279" s="3">
        <v>200</v>
      </c>
      <c r="D1279" s="3" t="str">
        <f ca="1">IF(B1279="","",IFERROR(_xludf.XLOOKUP(_xludf.XLOOKUP(B1279,Inventory!$A:$A,Inventory!$B:$B),Blades!$A:$A,Blades!$C:$C)+_xludf.XLOOKUP(_xludf.XLOOKUP(B1279,Inventory!$A:$A,Inventory!$C:$C),Motor!$A:$A,Motor!$C:$C)+_xludf.XLOOKUP(_xludf.XLOOKUP(B1279,Inventory!$A:$A,Inventory!$D:$D),Frame!$A:$A,Frame!$C:$C)+#REF!,""))</f>
        <v/>
      </c>
      <c r="E1279" s="4">
        <v>45153</v>
      </c>
      <c r="F1279" s="1" t="s">
        <v>20</v>
      </c>
    </row>
    <row r="1280" spans="1:6" x14ac:dyDescent="0.25">
      <c r="A1280" s="1" t="s">
        <v>2570</v>
      </c>
      <c r="B1280" s="1" t="s">
        <v>2571</v>
      </c>
      <c r="C1280" s="3">
        <v>200</v>
      </c>
      <c r="D1280" s="3" t="str">
        <f ca="1">IF(B1280="","",IFERROR(_xludf.XLOOKUP(_xludf.XLOOKUP(B1280,Inventory!$A:$A,Inventory!$B:$B),Blades!$A:$A,Blades!$C:$C)+_xludf.XLOOKUP(_xludf.XLOOKUP(B1280,Inventory!$A:$A,Inventory!$C:$C),Motor!$A:$A,Motor!$C:$C)+_xludf.XLOOKUP(_xludf.XLOOKUP(B1280,Inventory!$A:$A,Inventory!$D:$D),Frame!$A:$A,Frame!$C:$C)+#REF!,""))</f>
        <v/>
      </c>
      <c r="E1280" s="4">
        <v>45153</v>
      </c>
      <c r="F1280" s="1" t="s">
        <v>63</v>
      </c>
    </row>
    <row r="1281" spans="1:6" x14ac:dyDescent="0.25">
      <c r="A1281" s="1" t="s">
        <v>2572</v>
      </c>
      <c r="B1281" s="1" t="s">
        <v>2573</v>
      </c>
      <c r="C1281" s="3">
        <v>200</v>
      </c>
      <c r="D1281" s="3" t="str">
        <f ca="1">IF(B1281="","",IFERROR(_xludf.XLOOKUP(_xludf.XLOOKUP(B1281,Inventory!$A:$A,Inventory!$B:$B),Blades!$A:$A,Blades!$C:$C)+_xludf.XLOOKUP(_xludf.XLOOKUP(B1281,Inventory!$A:$A,Inventory!$C:$C),Motor!$A:$A,Motor!$C:$C)+_xludf.XLOOKUP(_xludf.XLOOKUP(B1281,Inventory!$A:$A,Inventory!$D:$D),Frame!$A:$A,Frame!$C:$C)+#REF!,""))</f>
        <v/>
      </c>
      <c r="E1281" s="4">
        <v>45153</v>
      </c>
      <c r="F1281" s="1" t="s">
        <v>20</v>
      </c>
    </row>
    <row r="1282" spans="1:6" x14ac:dyDescent="0.25">
      <c r="A1282" s="1" t="s">
        <v>2574</v>
      </c>
      <c r="B1282" s="1" t="s">
        <v>2575</v>
      </c>
      <c r="C1282" s="3">
        <v>200</v>
      </c>
      <c r="D1282" s="3" t="str">
        <f ca="1">IF(B1282="","",IFERROR(_xludf.XLOOKUP(_xludf.XLOOKUP(B1282,Inventory!$A:$A,Inventory!$B:$B),Blades!$A:$A,Blades!$C:$C)+_xludf.XLOOKUP(_xludf.XLOOKUP(B1282,Inventory!$A:$A,Inventory!$C:$C),Motor!$A:$A,Motor!$C:$C)+_xludf.XLOOKUP(_xludf.XLOOKUP(B1282,Inventory!$A:$A,Inventory!$D:$D),Frame!$A:$A,Frame!$C:$C)+#REF!,""))</f>
        <v/>
      </c>
      <c r="E1282" s="4">
        <v>45155</v>
      </c>
      <c r="F1282" s="1" t="s">
        <v>8</v>
      </c>
    </row>
    <row r="1283" spans="1:6" x14ac:dyDescent="0.25">
      <c r="A1283" s="1" t="s">
        <v>2576</v>
      </c>
      <c r="B1283" s="1" t="s">
        <v>2577</v>
      </c>
      <c r="C1283" s="3">
        <v>200</v>
      </c>
      <c r="D1283" s="3" t="str">
        <f ca="1">IF(B1283="","",IFERROR(_xludf.XLOOKUP(_xludf.XLOOKUP(B1283,Inventory!$A:$A,Inventory!$B:$B),Blades!$A:$A,Blades!$C:$C)+_xludf.XLOOKUP(_xludf.XLOOKUP(B1283,Inventory!$A:$A,Inventory!$C:$C),Motor!$A:$A,Motor!$C:$C)+_xludf.XLOOKUP(_xludf.XLOOKUP(B1283,Inventory!$A:$A,Inventory!$D:$D),Frame!$A:$A,Frame!$C:$C)+#REF!,""))</f>
        <v/>
      </c>
      <c r="E1283" s="4">
        <v>45156</v>
      </c>
      <c r="F1283" s="1" t="s">
        <v>11</v>
      </c>
    </row>
    <row r="1284" spans="1:6" x14ac:dyDescent="0.25">
      <c r="A1284" s="1" t="s">
        <v>2578</v>
      </c>
      <c r="B1284" s="1" t="s">
        <v>2579</v>
      </c>
      <c r="C1284" s="3">
        <v>200</v>
      </c>
      <c r="D1284" s="3" t="str">
        <f ca="1">IF(B1284="","",IFERROR(_xludf.XLOOKUP(_xludf.XLOOKUP(B1284,Inventory!$A:$A,Inventory!$B:$B),Blades!$A:$A,Blades!$C:$C)+_xludf.XLOOKUP(_xludf.XLOOKUP(B1284,Inventory!$A:$A,Inventory!$C:$C),Motor!$A:$A,Motor!$C:$C)+_xludf.XLOOKUP(_xludf.XLOOKUP(B1284,Inventory!$A:$A,Inventory!$D:$D),Frame!$A:$A,Frame!$C:$C)+#REF!,""))</f>
        <v/>
      </c>
      <c r="E1284" s="4">
        <v>45157</v>
      </c>
      <c r="F1284" s="1" t="s">
        <v>32</v>
      </c>
    </row>
    <row r="1285" spans="1:6" x14ac:dyDescent="0.25">
      <c r="A1285" s="1" t="s">
        <v>2580</v>
      </c>
      <c r="B1285" s="1" t="s">
        <v>2581</v>
      </c>
      <c r="C1285" s="3">
        <v>200</v>
      </c>
      <c r="D1285" s="3" t="str">
        <f ca="1">IF(B1285="","",IFERROR(_xludf.XLOOKUP(_xludf.XLOOKUP(B1285,Inventory!$A:$A,Inventory!$B:$B),Blades!$A:$A,Blades!$C:$C)+_xludf.XLOOKUP(_xludf.XLOOKUP(B1285,Inventory!$A:$A,Inventory!$C:$C),Motor!$A:$A,Motor!$C:$C)+_xludf.XLOOKUP(_xludf.XLOOKUP(B1285,Inventory!$A:$A,Inventory!$D:$D),Frame!$A:$A,Frame!$C:$C)+#REF!,""))</f>
        <v/>
      </c>
      <c r="E1285" s="4">
        <v>45157</v>
      </c>
      <c r="F1285" s="1" t="s">
        <v>8</v>
      </c>
    </row>
    <row r="1286" spans="1:6" x14ac:dyDescent="0.25">
      <c r="A1286" s="1" t="s">
        <v>2582</v>
      </c>
      <c r="B1286" s="1" t="s">
        <v>2583</v>
      </c>
      <c r="C1286" s="3">
        <v>200</v>
      </c>
      <c r="D1286" s="3" t="str">
        <f ca="1">IF(B1286="","",IFERROR(_xludf.XLOOKUP(_xludf.XLOOKUP(B1286,Inventory!$A:$A,Inventory!$B:$B),Blades!$A:$A,Blades!$C:$C)+_xludf.XLOOKUP(_xludf.XLOOKUP(B1286,Inventory!$A:$A,Inventory!$C:$C),Motor!$A:$A,Motor!$C:$C)+_xludf.XLOOKUP(_xludf.XLOOKUP(B1286,Inventory!$A:$A,Inventory!$D:$D),Frame!$A:$A,Frame!$C:$C)+#REF!,""))</f>
        <v/>
      </c>
      <c r="E1286" s="4">
        <v>45157</v>
      </c>
      <c r="F1286" s="1" t="s">
        <v>49</v>
      </c>
    </row>
    <row r="1287" spans="1:6" x14ac:dyDescent="0.25">
      <c r="A1287" s="1" t="s">
        <v>2584</v>
      </c>
      <c r="B1287" s="1" t="s">
        <v>2585</v>
      </c>
      <c r="C1287" s="3">
        <v>200</v>
      </c>
      <c r="D1287" s="3" t="str">
        <f ca="1">IF(B1287="","",IFERROR(_xludf.XLOOKUP(_xludf.XLOOKUP(B1287,Inventory!$A:$A,Inventory!$B:$B),Blades!$A:$A,Blades!$C:$C)+_xludf.XLOOKUP(_xludf.XLOOKUP(B1287,Inventory!$A:$A,Inventory!$C:$C),Motor!$A:$A,Motor!$C:$C)+_xludf.XLOOKUP(_xludf.XLOOKUP(B1287,Inventory!$A:$A,Inventory!$D:$D),Frame!$A:$A,Frame!$C:$C)+#REF!,""))</f>
        <v/>
      </c>
      <c r="E1287" s="4">
        <v>45158</v>
      </c>
      <c r="F1287" s="1" t="s">
        <v>11</v>
      </c>
    </row>
    <row r="1288" spans="1:6" x14ac:dyDescent="0.25">
      <c r="A1288" s="1" t="s">
        <v>2586</v>
      </c>
      <c r="B1288" s="1" t="s">
        <v>2587</v>
      </c>
      <c r="C1288" s="3">
        <v>200</v>
      </c>
      <c r="D1288" s="3" t="str">
        <f ca="1">IF(B1288="","",IFERROR(_xludf.XLOOKUP(_xludf.XLOOKUP(B1288,Inventory!$A:$A,Inventory!$B:$B),Blades!$A:$A,Blades!$C:$C)+_xludf.XLOOKUP(_xludf.XLOOKUP(B1288,Inventory!$A:$A,Inventory!$C:$C),Motor!$A:$A,Motor!$C:$C)+_xludf.XLOOKUP(_xludf.XLOOKUP(B1288,Inventory!$A:$A,Inventory!$D:$D),Frame!$A:$A,Frame!$C:$C)+#REF!,""))</f>
        <v/>
      </c>
      <c r="E1288" s="4">
        <v>45158</v>
      </c>
      <c r="F1288" s="1" t="s">
        <v>8</v>
      </c>
    </row>
    <row r="1289" spans="1:6" x14ac:dyDescent="0.25">
      <c r="A1289" s="1" t="s">
        <v>2588</v>
      </c>
      <c r="B1289" s="1" t="s">
        <v>2589</v>
      </c>
      <c r="C1289" s="3">
        <v>200</v>
      </c>
      <c r="D1289" s="3" t="str">
        <f ca="1">IF(B1289="","",IFERROR(_xludf.XLOOKUP(_xludf.XLOOKUP(B1289,Inventory!$A:$A,Inventory!$B:$B),Blades!$A:$A,Blades!$C:$C)+_xludf.XLOOKUP(_xludf.XLOOKUP(B1289,Inventory!$A:$A,Inventory!$C:$C),Motor!$A:$A,Motor!$C:$C)+_xludf.XLOOKUP(_xludf.XLOOKUP(B1289,Inventory!$A:$A,Inventory!$D:$D),Frame!$A:$A,Frame!$C:$C)+#REF!,""))</f>
        <v/>
      </c>
      <c r="E1289" s="4">
        <v>45159</v>
      </c>
      <c r="F1289" s="1" t="s">
        <v>63</v>
      </c>
    </row>
    <row r="1290" spans="1:6" x14ac:dyDescent="0.25">
      <c r="A1290" s="1" t="s">
        <v>2590</v>
      </c>
      <c r="B1290" s="1" t="s">
        <v>2591</v>
      </c>
      <c r="C1290" s="3">
        <v>200</v>
      </c>
      <c r="D1290" s="3" t="str">
        <f ca="1">IF(B1290="","",IFERROR(_xludf.XLOOKUP(_xludf.XLOOKUP(B1290,Inventory!$A:$A,Inventory!$B:$B),Blades!$A:$A,Blades!$C:$C)+_xludf.XLOOKUP(_xludf.XLOOKUP(B1290,Inventory!$A:$A,Inventory!$C:$C),Motor!$A:$A,Motor!$C:$C)+_xludf.XLOOKUP(_xludf.XLOOKUP(B1290,Inventory!$A:$A,Inventory!$D:$D),Frame!$A:$A,Frame!$C:$C)+#REF!,""))</f>
        <v/>
      </c>
      <c r="E1290" s="4">
        <v>45159</v>
      </c>
      <c r="F1290" s="1" t="s">
        <v>25</v>
      </c>
    </row>
    <row r="1291" spans="1:6" x14ac:dyDescent="0.25">
      <c r="A1291" s="1" t="s">
        <v>2592</v>
      </c>
      <c r="B1291" s="1" t="s">
        <v>2593</v>
      </c>
      <c r="C1291" s="3">
        <v>200</v>
      </c>
      <c r="D1291" s="3" t="str">
        <f ca="1">IF(B1291="","",IFERROR(_xludf.XLOOKUP(_xludf.XLOOKUP(B1291,Inventory!$A:$A,Inventory!$B:$B),Blades!$A:$A,Blades!$C:$C)+_xludf.XLOOKUP(_xludf.XLOOKUP(B1291,Inventory!$A:$A,Inventory!$C:$C),Motor!$A:$A,Motor!$C:$C)+_xludf.XLOOKUP(_xludf.XLOOKUP(B1291,Inventory!$A:$A,Inventory!$D:$D),Frame!$A:$A,Frame!$C:$C)+#REF!,""))</f>
        <v/>
      </c>
      <c r="E1291" s="4">
        <v>45159</v>
      </c>
      <c r="F1291" s="1" t="s">
        <v>11</v>
      </c>
    </row>
    <row r="1292" spans="1:6" x14ac:dyDescent="0.25">
      <c r="A1292" s="1" t="s">
        <v>2594</v>
      </c>
      <c r="B1292" s="1" t="s">
        <v>2595</v>
      </c>
      <c r="C1292" s="3">
        <v>200</v>
      </c>
      <c r="D1292" s="3" t="str">
        <f ca="1">IF(B1292="","",IFERROR(_xludf.XLOOKUP(_xludf.XLOOKUP(B1292,Inventory!$A:$A,Inventory!$B:$B),Blades!$A:$A,Blades!$C:$C)+_xludf.XLOOKUP(_xludf.XLOOKUP(B1292,Inventory!$A:$A,Inventory!$C:$C),Motor!$A:$A,Motor!$C:$C)+_xludf.XLOOKUP(_xludf.XLOOKUP(B1292,Inventory!$A:$A,Inventory!$D:$D),Frame!$A:$A,Frame!$C:$C)+#REF!,""))</f>
        <v/>
      </c>
      <c r="E1292" s="4">
        <v>45160</v>
      </c>
      <c r="F1292" s="1" t="s">
        <v>8</v>
      </c>
    </row>
    <row r="1293" spans="1:6" x14ac:dyDescent="0.25">
      <c r="A1293" s="1" t="s">
        <v>2596</v>
      </c>
      <c r="B1293" s="1" t="s">
        <v>2597</v>
      </c>
      <c r="C1293" s="3">
        <v>200</v>
      </c>
      <c r="D1293" s="3" t="str">
        <f ca="1">IF(B1293="","",IFERROR(_xludf.XLOOKUP(_xludf.XLOOKUP(B1293,Inventory!$A:$A,Inventory!$B:$B),Blades!$A:$A,Blades!$C:$C)+_xludf.XLOOKUP(_xludf.XLOOKUP(B1293,Inventory!$A:$A,Inventory!$C:$C),Motor!$A:$A,Motor!$C:$C)+_xludf.XLOOKUP(_xludf.XLOOKUP(B1293,Inventory!$A:$A,Inventory!$D:$D),Frame!$A:$A,Frame!$C:$C)+#REF!,""))</f>
        <v/>
      </c>
      <c r="E1293" s="4">
        <v>45160</v>
      </c>
      <c r="F1293" s="1" t="s">
        <v>63</v>
      </c>
    </row>
    <row r="1294" spans="1:6" x14ac:dyDescent="0.25">
      <c r="A1294" s="1" t="s">
        <v>2598</v>
      </c>
      <c r="B1294" s="1" t="s">
        <v>2599</v>
      </c>
      <c r="C1294" s="3">
        <v>200</v>
      </c>
      <c r="D1294" s="3" t="str">
        <f ca="1">IF(B1294="","",IFERROR(_xludf.XLOOKUP(_xludf.XLOOKUP(B1294,Inventory!$A:$A,Inventory!$B:$B),Blades!$A:$A,Blades!$C:$C)+_xludf.XLOOKUP(_xludf.XLOOKUP(B1294,Inventory!$A:$A,Inventory!$C:$C),Motor!$A:$A,Motor!$C:$C)+_xludf.XLOOKUP(_xludf.XLOOKUP(B1294,Inventory!$A:$A,Inventory!$D:$D),Frame!$A:$A,Frame!$C:$C)+#REF!,""))</f>
        <v/>
      </c>
      <c r="E1294" s="4">
        <v>45161</v>
      </c>
      <c r="F1294" s="1" t="s">
        <v>63</v>
      </c>
    </row>
    <row r="1295" spans="1:6" x14ac:dyDescent="0.25">
      <c r="A1295" s="1" t="s">
        <v>2600</v>
      </c>
      <c r="B1295" s="1" t="s">
        <v>2601</v>
      </c>
      <c r="C1295" s="3">
        <v>200</v>
      </c>
      <c r="D1295" s="3" t="str">
        <f ca="1">IF(B1295="","",IFERROR(_xludf.XLOOKUP(_xludf.XLOOKUP(B1295,Inventory!$A:$A,Inventory!$B:$B),Blades!$A:$A,Blades!$C:$C)+_xludf.XLOOKUP(_xludf.XLOOKUP(B1295,Inventory!$A:$A,Inventory!$C:$C),Motor!$A:$A,Motor!$C:$C)+_xludf.XLOOKUP(_xludf.XLOOKUP(B1295,Inventory!$A:$A,Inventory!$D:$D),Frame!$A:$A,Frame!$C:$C)+#REF!,""))</f>
        <v/>
      </c>
      <c r="E1295" s="4">
        <v>45161</v>
      </c>
      <c r="F1295" s="1" t="s">
        <v>8</v>
      </c>
    </row>
    <row r="1296" spans="1:6" x14ac:dyDescent="0.25">
      <c r="A1296" s="1" t="s">
        <v>2602</v>
      </c>
      <c r="B1296" s="1" t="s">
        <v>2603</v>
      </c>
      <c r="C1296" s="3">
        <v>200</v>
      </c>
      <c r="D1296" s="3" t="str">
        <f ca="1">IF(B1296="","",IFERROR(_xludf.XLOOKUP(_xludf.XLOOKUP(B1296,Inventory!$A:$A,Inventory!$B:$B),Blades!$A:$A,Blades!$C:$C)+_xludf.XLOOKUP(_xludf.XLOOKUP(B1296,Inventory!$A:$A,Inventory!$C:$C),Motor!$A:$A,Motor!$C:$C)+_xludf.XLOOKUP(_xludf.XLOOKUP(B1296,Inventory!$A:$A,Inventory!$D:$D),Frame!$A:$A,Frame!$C:$C)+#REF!,""))</f>
        <v/>
      </c>
      <c r="E1296" s="4">
        <v>45161</v>
      </c>
      <c r="F1296" s="1" t="s">
        <v>8</v>
      </c>
    </row>
    <row r="1297" spans="1:6" x14ac:dyDescent="0.25">
      <c r="A1297" s="1" t="s">
        <v>2604</v>
      </c>
      <c r="B1297" s="1" t="s">
        <v>2605</v>
      </c>
      <c r="C1297" s="3">
        <v>200</v>
      </c>
      <c r="D1297" s="3" t="str">
        <f ca="1">IF(B1297="","",IFERROR(_xludf.XLOOKUP(_xludf.XLOOKUP(B1297,Inventory!$A:$A,Inventory!$B:$B),Blades!$A:$A,Blades!$C:$C)+_xludf.XLOOKUP(_xludf.XLOOKUP(B1297,Inventory!$A:$A,Inventory!$C:$C),Motor!$A:$A,Motor!$C:$C)+_xludf.XLOOKUP(_xludf.XLOOKUP(B1297,Inventory!$A:$A,Inventory!$D:$D),Frame!$A:$A,Frame!$C:$C)+#REF!,""))</f>
        <v/>
      </c>
      <c r="E1297" s="4">
        <v>45163</v>
      </c>
      <c r="F1297" s="1" t="s">
        <v>63</v>
      </c>
    </row>
    <row r="1298" spans="1:6" x14ac:dyDescent="0.25">
      <c r="A1298" s="1" t="s">
        <v>2606</v>
      </c>
      <c r="B1298" s="1" t="s">
        <v>2607</v>
      </c>
      <c r="C1298" s="3">
        <v>200</v>
      </c>
      <c r="D1298" s="3" t="str">
        <f ca="1">IF(B1298="","",IFERROR(_xludf.XLOOKUP(_xludf.XLOOKUP(B1298,Inventory!$A:$A,Inventory!$B:$B),Blades!$A:$A,Blades!$C:$C)+_xludf.XLOOKUP(_xludf.XLOOKUP(B1298,Inventory!$A:$A,Inventory!$C:$C),Motor!$A:$A,Motor!$C:$C)+_xludf.XLOOKUP(_xludf.XLOOKUP(B1298,Inventory!$A:$A,Inventory!$D:$D),Frame!$A:$A,Frame!$C:$C)+#REF!,""))</f>
        <v/>
      </c>
      <c r="E1298" s="4">
        <v>45164</v>
      </c>
      <c r="F1298" s="1" t="s">
        <v>49</v>
      </c>
    </row>
    <row r="1299" spans="1:6" x14ac:dyDescent="0.25">
      <c r="A1299" s="1" t="s">
        <v>2608</v>
      </c>
      <c r="B1299" s="1" t="s">
        <v>2609</v>
      </c>
      <c r="C1299" s="3">
        <v>200</v>
      </c>
      <c r="D1299" s="3" t="str">
        <f ca="1">IF(B1299="","",IFERROR(_xludf.XLOOKUP(_xludf.XLOOKUP(B1299,Inventory!$A:$A,Inventory!$B:$B),Blades!$A:$A,Blades!$C:$C)+_xludf.XLOOKUP(_xludf.XLOOKUP(B1299,Inventory!$A:$A,Inventory!$C:$C),Motor!$A:$A,Motor!$C:$C)+_xludf.XLOOKUP(_xludf.XLOOKUP(B1299,Inventory!$A:$A,Inventory!$D:$D),Frame!$A:$A,Frame!$C:$C)+#REF!,""))</f>
        <v/>
      </c>
      <c r="E1299" s="4">
        <v>45165</v>
      </c>
      <c r="F1299" s="1" t="s">
        <v>25</v>
      </c>
    </row>
    <row r="1300" spans="1:6" x14ac:dyDescent="0.25">
      <c r="A1300" s="1" t="s">
        <v>2610</v>
      </c>
      <c r="B1300" s="1" t="s">
        <v>2611</v>
      </c>
      <c r="C1300" s="3">
        <v>200</v>
      </c>
      <c r="D1300" s="3" t="str">
        <f ca="1">IF(B1300="","",IFERROR(_xludf.XLOOKUP(_xludf.XLOOKUP(B1300,Inventory!$A:$A,Inventory!$B:$B),Blades!$A:$A,Blades!$C:$C)+_xludf.XLOOKUP(_xludf.XLOOKUP(B1300,Inventory!$A:$A,Inventory!$C:$C),Motor!$A:$A,Motor!$C:$C)+_xludf.XLOOKUP(_xludf.XLOOKUP(B1300,Inventory!$A:$A,Inventory!$D:$D),Frame!$A:$A,Frame!$C:$C)+#REF!,""))</f>
        <v/>
      </c>
      <c r="E1300" s="4">
        <v>45165</v>
      </c>
      <c r="F1300" s="1" t="s">
        <v>25</v>
      </c>
    </row>
    <row r="1301" spans="1:6" x14ac:dyDescent="0.25">
      <c r="A1301" s="1" t="s">
        <v>2612</v>
      </c>
      <c r="B1301" s="1" t="s">
        <v>2613</v>
      </c>
      <c r="C1301" s="3">
        <v>200</v>
      </c>
      <c r="D1301" s="3" t="str">
        <f ca="1">IF(B1301="","",IFERROR(_xludf.XLOOKUP(_xludf.XLOOKUP(B1301,Inventory!$A:$A,Inventory!$B:$B),Blades!$A:$A,Blades!$C:$C)+_xludf.XLOOKUP(_xludf.XLOOKUP(B1301,Inventory!$A:$A,Inventory!$C:$C),Motor!$A:$A,Motor!$C:$C)+_xludf.XLOOKUP(_xludf.XLOOKUP(B1301,Inventory!$A:$A,Inventory!$D:$D),Frame!$A:$A,Frame!$C:$C)+#REF!,""))</f>
        <v/>
      </c>
      <c r="E1301" s="4">
        <v>45167</v>
      </c>
      <c r="F1301" s="1" t="s">
        <v>20</v>
      </c>
    </row>
    <row r="1302" spans="1:6" x14ac:dyDescent="0.25">
      <c r="A1302" s="1" t="s">
        <v>2614</v>
      </c>
      <c r="B1302" s="1" t="s">
        <v>2615</v>
      </c>
      <c r="C1302" s="3">
        <v>200</v>
      </c>
      <c r="D1302" s="3" t="str">
        <f ca="1">IF(B1302="","",IFERROR(_xludf.XLOOKUP(_xludf.XLOOKUP(B1302,Inventory!$A:$A,Inventory!$B:$B),Blades!$A:$A,Blades!$C:$C)+_xludf.XLOOKUP(_xludf.XLOOKUP(B1302,Inventory!$A:$A,Inventory!$C:$C),Motor!$A:$A,Motor!$C:$C)+_xludf.XLOOKUP(_xludf.XLOOKUP(B1302,Inventory!$A:$A,Inventory!$D:$D),Frame!$A:$A,Frame!$C:$C)+#REF!,""))</f>
        <v/>
      </c>
      <c r="E1302" s="4">
        <v>45168</v>
      </c>
      <c r="F1302" s="1" t="s">
        <v>52</v>
      </c>
    </row>
    <row r="1303" spans="1:6" x14ac:dyDescent="0.25">
      <c r="A1303" s="1" t="s">
        <v>2616</v>
      </c>
      <c r="B1303" s="1" t="s">
        <v>2617</v>
      </c>
      <c r="C1303" s="3">
        <v>200</v>
      </c>
      <c r="D1303" s="3" t="str">
        <f ca="1">IF(B1303="","",IFERROR(_xludf.XLOOKUP(_xludf.XLOOKUP(B1303,Inventory!$A:$A,Inventory!$B:$B),Blades!$A:$A,Blades!$C:$C)+_xludf.XLOOKUP(_xludf.XLOOKUP(B1303,Inventory!$A:$A,Inventory!$C:$C),Motor!$A:$A,Motor!$C:$C)+_xludf.XLOOKUP(_xludf.XLOOKUP(B1303,Inventory!$A:$A,Inventory!$D:$D),Frame!$A:$A,Frame!$C:$C)+#REF!,""))</f>
        <v/>
      </c>
      <c r="E1303" s="4">
        <v>45168</v>
      </c>
      <c r="F1303" s="1" t="s">
        <v>11</v>
      </c>
    </row>
    <row r="1304" spans="1:6" x14ac:dyDescent="0.25">
      <c r="A1304" s="1" t="s">
        <v>2618</v>
      </c>
      <c r="B1304" s="1" t="s">
        <v>2619</v>
      </c>
      <c r="C1304" s="3">
        <v>200</v>
      </c>
      <c r="D1304" s="3" t="str">
        <f ca="1">IF(B1304="","",IFERROR(_xludf.XLOOKUP(_xludf.XLOOKUP(B1304,Inventory!$A:$A,Inventory!$B:$B),Blades!$A:$A,Blades!$C:$C)+_xludf.XLOOKUP(_xludf.XLOOKUP(B1304,Inventory!$A:$A,Inventory!$C:$C),Motor!$A:$A,Motor!$C:$C)+_xludf.XLOOKUP(_xludf.XLOOKUP(B1304,Inventory!$A:$A,Inventory!$D:$D),Frame!$A:$A,Frame!$C:$C)+#REF!,""))</f>
        <v/>
      </c>
      <c r="E1304" s="4">
        <v>45169</v>
      </c>
      <c r="F1304" s="1" t="s">
        <v>49</v>
      </c>
    </row>
    <row r="1305" spans="1:6" x14ac:dyDescent="0.25">
      <c r="A1305" s="1" t="s">
        <v>2620</v>
      </c>
      <c r="B1305" s="1" t="s">
        <v>2621</v>
      </c>
      <c r="C1305" s="3">
        <v>200</v>
      </c>
      <c r="D1305" s="3" t="str">
        <f ca="1">IF(B1305="","",IFERROR(_xludf.XLOOKUP(_xludf.XLOOKUP(B1305,Inventory!$A:$A,Inventory!$B:$B),Blades!$A:$A,Blades!$C:$C)+_xludf.XLOOKUP(_xludf.XLOOKUP(B1305,Inventory!$A:$A,Inventory!$C:$C),Motor!$A:$A,Motor!$C:$C)+_xludf.XLOOKUP(_xludf.XLOOKUP(B1305,Inventory!$A:$A,Inventory!$D:$D),Frame!$A:$A,Frame!$C:$C)+#REF!,""))</f>
        <v/>
      </c>
      <c r="E1305" s="4">
        <v>45170</v>
      </c>
      <c r="F1305" s="1" t="s">
        <v>20</v>
      </c>
    </row>
    <row r="1306" spans="1:6" x14ac:dyDescent="0.25">
      <c r="A1306" s="1" t="s">
        <v>2622</v>
      </c>
      <c r="B1306" s="1" t="s">
        <v>2623</v>
      </c>
      <c r="C1306" s="3">
        <v>200</v>
      </c>
      <c r="D1306" s="3" t="str">
        <f ca="1">IF(B1306="","",IFERROR(_xludf.XLOOKUP(_xludf.XLOOKUP(B1306,Inventory!$A:$A,Inventory!$B:$B),Blades!$A:$A,Blades!$C:$C)+_xludf.XLOOKUP(_xludf.XLOOKUP(B1306,Inventory!$A:$A,Inventory!$C:$C),Motor!$A:$A,Motor!$C:$C)+_xludf.XLOOKUP(_xludf.XLOOKUP(B1306,Inventory!$A:$A,Inventory!$D:$D),Frame!$A:$A,Frame!$C:$C)+#REF!,""))</f>
        <v/>
      </c>
      <c r="E1306" s="4">
        <v>45171</v>
      </c>
      <c r="F1306" s="1" t="s">
        <v>49</v>
      </c>
    </row>
    <row r="1307" spans="1:6" x14ac:dyDescent="0.25">
      <c r="A1307" s="1" t="s">
        <v>2624</v>
      </c>
      <c r="B1307" s="1" t="s">
        <v>2625</v>
      </c>
      <c r="C1307" s="3">
        <v>200</v>
      </c>
      <c r="D1307" s="3" t="str">
        <f ca="1">IF(B1307="","",IFERROR(_xludf.XLOOKUP(_xludf.XLOOKUP(B1307,Inventory!$A:$A,Inventory!$B:$B),Blades!$A:$A,Blades!$C:$C)+_xludf.XLOOKUP(_xludf.XLOOKUP(B1307,Inventory!$A:$A,Inventory!$C:$C),Motor!$A:$A,Motor!$C:$C)+_xludf.XLOOKUP(_xludf.XLOOKUP(B1307,Inventory!$A:$A,Inventory!$D:$D),Frame!$A:$A,Frame!$C:$C)+#REF!,""))</f>
        <v/>
      </c>
      <c r="E1307" s="4">
        <v>45174</v>
      </c>
      <c r="F1307" s="1" t="s">
        <v>8</v>
      </c>
    </row>
    <row r="1308" spans="1:6" x14ac:dyDescent="0.25">
      <c r="A1308" s="1" t="s">
        <v>2626</v>
      </c>
      <c r="B1308" s="1" t="s">
        <v>2627</v>
      </c>
      <c r="C1308" s="3">
        <v>200</v>
      </c>
      <c r="D1308" s="3" t="str">
        <f ca="1">IF(B1308="","",IFERROR(_xludf.XLOOKUP(_xludf.XLOOKUP(B1308,Inventory!$A:$A,Inventory!$B:$B),Blades!$A:$A,Blades!$C:$C)+_xludf.XLOOKUP(_xludf.XLOOKUP(B1308,Inventory!$A:$A,Inventory!$C:$C),Motor!$A:$A,Motor!$C:$C)+_xludf.XLOOKUP(_xludf.XLOOKUP(B1308,Inventory!$A:$A,Inventory!$D:$D),Frame!$A:$A,Frame!$C:$C)+#REF!,""))</f>
        <v/>
      </c>
      <c r="E1308" s="4">
        <v>45174</v>
      </c>
      <c r="F1308" s="1" t="s">
        <v>49</v>
      </c>
    </row>
    <row r="1309" spans="1:6" x14ac:dyDescent="0.25">
      <c r="A1309" s="1" t="s">
        <v>2628</v>
      </c>
      <c r="B1309" s="1" t="s">
        <v>2629</v>
      </c>
      <c r="C1309" s="3">
        <v>200</v>
      </c>
      <c r="D1309" s="3" t="str">
        <f ca="1">IF(B1309="","",IFERROR(_xludf.XLOOKUP(_xludf.XLOOKUP(B1309,Inventory!$A:$A,Inventory!$B:$B),Blades!$A:$A,Blades!$C:$C)+_xludf.XLOOKUP(_xludf.XLOOKUP(B1309,Inventory!$A:$A,Inventory!$C:$C),Motor!$A:$A,Motor!$C:$C)+_xludf.XLOOKUP(_xludf.XLOOKUP(B1309,Inventory!$A:$A,Inventory!$D:$D),Frame!$A:$A,Frame!$C:$C)+#REF!,""))</f>
        <v/>
      </c>
      <c r="E1309" s="4">
        <v>45175</v>
      </c>
      <c r="F1309" s="1" t="s">
        <v>52</v>
      </c>
    </row>
    <row r="1310" spans="1:6" x14ac:dyDescent="0.25">
      <c r="A1310" s="1" t="s">
        <v>2630</v>
      </c>
      <c r="B1310" s="1" t="s">
        <v>2631</v>
      </c>
      <c r="C1310" s="3">
        <v>200</v>
      </c>
      <c r="D1310" s="3" t="str">
        <f ca="1">IF(B1310="","",IFERROR(_xludf.XLOOKUP(_xludf.XLOOKUP(B1310,Inventory!$A:$A,Inventory!$B:$B),Blades!$A:$A,Blades!$C:$C)+_xludf.XLOOKUP(_xludf.XLOOKUP(B1310,Inventory!$A:$A,Inventory!$C:$C),Motor!$A:$A,Motor!$C:$C)+_xludf.XLOOKUP(_xludf.XLOOKUP(B1310,Inventory!$A:$A,Inventory!$D:$D),Frame!$A:$A,Frame!$C:$C)+#REF!,""))</f>
        <v/>
      </c>
      <c r="E1310" s="4">
        <v>45177</v>
      </c>
      <c r="F1310" s="1" t="s">
        <v>52</v>
      </c>
    </row>
    <row r="1311" spans="1:6" x14ac:dyDescent="0.25">
      <c r="A1311" s="1" t="s">
        <v>2632</v>
      </c>
      <c r="B1311" s="1" t="s">
        <v>2633</v>
      </c>
      <c r="C1311" s="3">
        <v>200</v>
      </c>
      <c r="D1311" s="3" t="str">
        <f ca="1">IF(B1311="","",IFERROR(_xludf.XLOOKUP(_xludf.XLOOKUP(B1311,Inventory!$A:$A,Inventory!$B:$B),Blades!$A:$A,Blades!$C:$C)+_xludf.XLOOKUP(_xludf.XLOOKUP(B1311,Inventory!$A:$A,Inventory!$C:$C),Motor!$A:$A,Motor!$C:$C)+_xludf.XLOOKUP(_xludf.XLOOKUP(B1311,Inventory!$A:$A,Inventory!$D:$D),Frame!$A:$A,Frame!$C:$C)+#REF!,""))</f>
        <v/>
      </c>
      <c r="E1311" s="4">
        <v>45177</v>
      </c>
      <c r="F1311" s="1" t="s">
        <v>20</v>
      </c>
    </row>
    <row r="1312" spans="1:6" x14ac:dyDescent="0.25">
      <c r="A1312" s="1" t="s">
        <v>2634</v>
      </c>
      <c r="B1312" s="1" t="s">
        <v>2635</v>
      </c>
      <c r="C1312" s="3">
        <v>200</v>
      </c>
      <c r="D1312" s="3" t="str">
        <f ca="1">IF(B1312="","",IFERROR(_xludf.XLOOKUP(_xludf.XLOOKUP(B1312,Inventory!$A:$A,Inventory!$B:$B),Blades!$A:$A,Blades!$C:$C)+_xludf.XLOOKUP(_xludf.XLOOKUP(B1312,Inventory!$A:$A,Inventory!$C:$C),Motor!$A:$A,Motor!$C:$C)+_xludf.XLOOKUP(_xludf.XLOOKUP(B1312,Inventory!$A:$A,Inventory!$D:$D),Frame!$A:$A,Frame!$C:$C)+#REF!,""))</f>
        <v/>
      </c>
      <c r="E1312" s="4">
        <v>45178</v>
      </c>
      <c r="F1312" s="1" t="s">
        <v>11</v>
      </c>
    </row>
    <row r="1313" spans="1:6" x14ac:dyDescent="0.25">
      <c r="A1313" s="1" t="s">
        <v>2636</v>
      </c>
      <c r="B1313" s="1" t="s">
        <v>2637</v>
      </c>
      <c r="C1313" s="3">
        <v>200</v>
      </c>
      <c r="D1313" s="3" t="str">
        <f ca="1">IF(B1313="","",IFERROR(_xludf.XLOOKUP(_xludf.XLOOKUP(B1313,Inventory!$A:$A,Inventory!$B:$B),Blades!$A:$A,Blades!$C:$C)+_xludf.XLOOKUP(_xludf.XLOOKUP(B1313,Inventory!$A:$A,Inventory!$C:$C),Motor!$A:$A,Motor!$C:$C)+_xludf.XLOOKUP(_xludf.XLOOKUP(B1313,Inventory!$A:$A,Inventory!$D:$D),Frame!$A:$A,Frame!$C:$C)+#REF!,""))</f>
        <v/>
      </c>
      <c r="E1313" s="4">
        <v>45179</v>
      </c>
      <c r="F1313" s="1" t="s">
        <v>8</v>
      </c>
    </row>
    <row r="1314" spans="1:6" x14ac:dyDescent="0.25">
      <c r="A1314" s="1" t="s">
        <v>2638</v>
      </c>
      <c r="B1314" s="1" t="s">
        <v>2639</v>
      </c>
      <c r="C1314" s="3">
        <v>200</v>
      </c>
      <c r="D1314" s="3" t="str">
        <f ca="1">IF(B1314="","",IFERROR(_xludf.XLOOKUP(_xludf.XLOOKUP(B1314,Inventory!$A:$A,Inventory!$B:$B),Blades!$A:$A,Blades!$C:$C)+_xludf.XLOOKUP(_xludf.XLOOKUP(B1314,Inventory!$A:$A,Inventory!$C:$C),Motor!$A:$A,Motor!$C:$C)+_xludf.XLOOKUP(_xludf.XLOOKUP(B1314,Inventory!$A:$A,Inventory!$D:$D),Frame!$A:$A,Frame!$C:$C)+#REF!,""))</f>
        <v/>
      </c>
      <c r="E1314" s="4">
        <v>45179</v>
      </c>
      <c r="F1314" s="1" t="s">
        <v>63</v>
      </c>
    </row>
    <row r="1315" spans="1:6" x14ac:dyDescent="0.25">
      <c r="A1315" s="1" t="s">
        <v>2640</v>
      </c>
      <c r="B1315" s="1" t="s">
        <v>2641</v>
      </c>
      <c r="C1315" s="3">
        <v>200</v>
      </c>
      <c r="D1315" s="3" t="str">
        <f ca="1">IF(B1315="","",IFERROR(_xludf.XLOOKUP(_xludf.XLOOKUP(B1315,Inventory!$A:$A,Inventory!$B:$B),Blades!$A:$A,Blades!$C:$C)+_xludf.XLOOKUP(_xludf.XLOOKUP(B1315,Inventory!$A:$A,Inventory!$C:$C),Motor!$A:$A,Motor!$C:$C)+_xludf.XLOOKUP(_xludf.XLOOKUP(B1315,Inventory!$A:$A,Inventory!$D:$D),Frame!$A:$A,Frame!$C:$C)+#REF!,""))</f>
        <v/>
      </c>
      <c r="E1315" s="4">
        <v>45181</v>
      </c>
      <c r="F1315" s="1" t="s">
        <v>49</v>
      </c>
    </row>
    <row r="1316" spans="1:6" x14ac:dyDescent="0.25">
      <c r="A1316" s="1" t="s">
        <v>2642</v>
      </c>
      <c r="B1316" s="1" t="s">
        <v>2643</v>
      </c>
      <c r="C1316" s="3">
        <v>200</v>
      </c>
      <c r="D1316" s="3" t="str">
        <f ca="1">IF(B1316="","",IFERROR(_xludf.XLOOKUP(_xludf.XLOOKUP(B1316,Inventory!$A:$A,Inventory!$B:$B),Blades!$A:$A,Blades!$C:$C)+_xludf.XLOOKUP(_xludf.XLOOKUP(B1316,Inventory!$A:$A,Inventory!$C:$C),Motor!$A:$A,Motor!$C:$C)+_xludf.XLOOKUP(_xludf.XLOOKUP(B1316,Inventory!$A:$A,Inventory!$D:$D),Frame!$A:$A,Frame!$C:$C)+#REF!,""))</f>
        <v/>
      </c>
      <c r="E1316" s="4">
        <v>45181</v>
      </c>
      <c r="F1316" s="1" t="s">
        <v>8</v>
      </c>
    </row>
    <row r="1317" spans="1:6" x14ac:dyDescent="0.25">
      <c r="A1317" s="1" t="s">
        <v>2644</v>
      </c>
      <c r="B1317" s="1" t="s">
        <v>2645</v>
      </c>
      <c r="C1317" s="3">
        <v>200</v>
      </c>
      <c r="D1317" s="3" t="str">
        <f ca="1">IF(B1317="","",IFERROR(_xludf.XLOOKUP(_xludf.XLOOKUP(B1317,Inventory!$A:$A,Inventory!$B:$B),Blades!$A:$A,Blades!$C:$C)+_xludf.XLOOKUP(_xludf.XLOOKUP(B1317,Inventory!$A:$A,Inventory!$C:$C),Motor!$A:$A,Motor!$C:$C)+_xludf.XLOOKUP(_xludf.XLOOKUP(B1317,Inventory!$A:$A,Inventory!$D:$D),Frame!$A:$A,Frame!$C:$C)+#REF!,""))</f>
        <v/>
      </c>
      <c r="E1317" s="4">
        <v>45181</v>
      </c>
      <c r="F1317" s="1" t="s">
        <v>32</v>
      </c>
    </row>
    <row r="1318" spans="1:6" x14ac:dyDescent="0.25">
      <c r="A1318" s="1" t="s">
        <v>2646</v>
      </c>
      <c r="B1318" s="1" t="s">
        <v>2647</v>
      </c>
      <c r="C1318" s="3">
        <v>200</v>
      </c>
      <c r="D1318" s="3" t="str">
        <f ca="1">IF(B1318="","",IFERROR(_xludf.XLOOKUP(_xludf.XLOOKUP(B1318,Inventory!$A:$A,Inventory!$B:$B),Blades!$A:$A,Blades!$C:$C)+_xludf.XLOOKUP(_xludf.XLOOKUP(B1318,Inventory!$A:$A,Inventory!$C:$C),Motor!$A:$A,Motor!$C:$C)+_xludf.XLOOKUP(_xludf.XLOOKUP(B1318,Inventory!$A:$A,Inventory!$D:$D),Frame!$A:$A,Frame!$C:$C)+#REF!,""))</f>
        <v/>
      </c>
      <c r="E1318" s="4">
        <v>45182</v>
      </c>
      <c r="F1318" s="1" t="s">
        <v>8</v>
      </c>
    </row>
    <row r="1319" spans="1:6" x14ac:dyDescent="0.25">
      <c r="A1319" s="1" t="s">
        <v>2648</v>
      </c>
      <c r="B1319" s="1" t="s">
        <v>2649</v>
      </c>
      <c r="C1319" s="3">
        <v>200</v>
      </c>
      <c r="D1319" s="3" t="str">
        <f ca="1">IF(B1319="","",IFERROR(_xludf.XLOOKUP(_xludf.XLOOKUP(B1319,Inventory!$A:$A,Inventory!$B:$B),Blades!$A:$A,Blades!$C:$C)+_xludf.XLOOKUP(_xludf.XLOOKUP(B1319,Inventory!$A:$A,Inventory!$C:$C),Motor!$A:$A,Motor!$C:$C)+_xludf.XLOOKUP(_xludf.XLOOKUP(B1319,Inventory!$A:$A,Inventory!$D:$D),Frame!$A:$A,Frame!$C:$C)+#REF!,""))</f>
        <v/>
      </c>
      <c r="E1319" s="4">
        <v>45183</v>
      </c>
      <c r="F1319" s="1" t="s">
        <v>20</v>
      </c>
    </row>
    <row r="1320" spans="1:6" x14ac:dyDescent="0.25">
      <c r="A1320" s="1" t="s">
        <v>2650</v>
      </c>
      <c r="B1320" s="1" t="s">
        <v>2651</v>
      </c>
      <c r="C1320" s="3">
        <v>200</v>
      </c>
      <c r="D1320" s="3" t="str">
        <f ca="1">IF(B1320="","",IFERROR(_xludf.XLOOKUP(_xludf.XLOOKUP(B1320,Inventory!$A:$A,Inventory!$B:$B),Blades!$A:$A,Blades!$C:$C)+_xludf.XLOOKUP(_xludf.XLOOKUP(B1320,Inventory!$A:$A,Inventory!$C:$C),Motor!$A:$A,Motor!$C:$C)+_xludf.XLOOKUP(_xludf.XLOOKUP(B1320,Inventory!$A:$A,Inventory!$D:$D),Frame!$A:$A,Frame!$C:$C)+#REF!,""))</f>
        <v/>
      </c>
      <c r="E1320" s="4">
        <v>45183</v>
      </c>
      <c r="F1320" s="1" t="s">
        <v>52</v>
      </c>
    </row>
    <row r="1321" spans="1:6" x14ac:dyDescent="0.25">
      <c r="A1321" s="1" t="s">
        <v>2652</v>
      </c>
      <c r="B1321" s="1" t="s">
        <v>2653</v>
      </c>
      <c r="C1321" s="3">
        <v>200</v>
      </c>
      <c r="D1321" s="3" t="str">
        <f ca="1">IF(B1321="","",IFERROR(_xludf.XLOOKUP(_xludf.XLOOKUP(B1321,Inventory!$A:$A,Inventory!$B:$B),Blades!$A:$A,Blades!$C:$C)+_xludf.XLOOKUP(_xludf.XLOOKUP(B1321,Inventory!$A:$A,Inventory!$C:$C),Motor!$A:$A,Motor!$C:$C)+_xludf.XLOOKUP(_xludf.XLOOKUP(B1321,Inventory!$A:$A,Inventory!$D:$D),Frame!$A:$A,Frame!$C:$C)+#REF!,""))</f>
        <v/>
      </c>
      <c r="E1321" s="4">
        <v>45183</v>
      </c>
      <c r="F1321" s="1" t="s">
        <v>63</v>
      </c>
    </row>
    <row r="1322" spans="1:6" x14ac:dyDescent="0.25">
      <c r="A1322" s="1" t="s">
        <v>2654</v>
      </c>
      <c r="B1322" s="1" t="s">
        <v>2655</v>
      </c>
      <c r="C1322" s="3">
        <v>200</v>
      </c>
      <c r="D1322" s="3" t="str">
        <f ca="1">IF(B1322="","",IFERROR(_xludf.XLOOKUP(_xludf.XLOOKUP(B1322,Inventory!$A:$A,Inventory!$B:$B),Blades!$A:$A,Blades!$C:$C)+_xludf.XLOOKUP(_xludf.XLOOKUP(B1322,Inventory!$A:$A,Inventory!$C:$C),Motor!$A:$A,Motor!$C:$C)+_xludf.XLOOKUP(_xludf.XLOOKUP(B1322,Inventory!$A:$A,Inventory!$D:$D),Frame!$A:$A,Frame!$C:$C)+#REF!,""))</f>
        <v/>
      </c>
      <c r="E1322" s="4">
        <v>45184</v>
      </c>
      <c r="F1322" s="1" t="s">
        <v>11</v>
      </c>
    </row>
    <row r="1323" spans="1:6" x14ac:dyDescent="0.25">
      <c r="A1323" s="1" t="s">
        <v>2656</v>
      </c>
      <c r="B1323" s="1" t="s">
        <v>2657</v>
      </c>
      <c r="C1323" s="3">
        <v>200</v>
      </c>
      <c r="D1323" s="3" t="str">
        <f ca="1">IF(B1323="","",IFERROR(_xludf.XLOOKUP(_xludf.XLOOKUP(B1323,Inventory!$A:$A,Inventory!$B:$B),Blades!$A:$A,Blades!$C:$C)+_xludf.XLOOKUP(_xludf.XLOOKUP(B1323,Inventory!$A:$A,Inventory!$C:$C),Motor!$A:$A,Motor!$C:$C)+_xludf.XLOOKUP(_xludf.XLOOKUP(B1323,Inventory!$A:$A,Inventory!$D:$D),Frame!$A:$A,Frame!$C:$C)+#REF!,""))</f>
        <v/>
      </c>
      <c r="E1323" s="4">
        <v>45187</v>
      </c>
      <c r="F1323" s="1" t="s">
        <v>63</v>
      </c>
    </row>
    <row r="1324" spans="1:6" x14ac:dyDescent="0.25">
      <c r="A1324" s="1" t="s">
        <v>2658</v>
      </c>
      <c r="B1324" s="1" t="s">
        <v>2659</v>
      </c>
      <c r="C1324" s="3">
        <v>200</v>
      </c>
      <c r="D1324" s="3" t="str">
        <f ca="1">IF(B1324="","",IFERROR(_xludf.XLOOKUP(_xludf.XLOOKUP(B1324,Inventory!$A:$A,Inventory!$B:$B),Blades!$A:$A,Blades!$C:$C)+_xludf.XLOOKUP(_xludf.XLOOKUP(B1324,Inventory!$A:$A,Inventory!$C:$C),Motor!$A:$A,Motor!$C:$C)+_xludf.XLOOKUP(_xludf.XLOOKUP(B1324,Inventory!$A:$A,Inventory!$D:$D),Frame!$A:$A,Frame!$C:$C)+#REF!,""))</f>
        <v/>
      </c>
      <c r="E1324" s="4">
        <v>45188</v>
      </c>
      <c r="F1324" s="1" t="s">
        <v>20</v>
      </c>
    </row>
    <row r="1325" spans="1:6" x14ac:dyDescent="0.25">
      <c r="A1325" s="1" t="s">
        <v>2660</v>
      </c>
      <c r="B1325" s="1" t="s">
        <v>2661</v>
      </c>
      <c r="C1325" s="3">
        <v>200</v>
      </c>
      <c r="D1325" s="3" t="str">
        <f ca="1">IF(B1325="","",IFERROR(_xludf.XLOOKUP(_xludf.XLOOKUP(B1325,Inventory!$A:$A,Inventory!$B:$B),Blades!$A:$A,Blades!$C:$C)+_xludf.XLOOKUP(_xludf.XLOOKUP(B1325,Inventory!$A:$A,Inventory!$C:$C),Motor!$A:$A,Motor!$C:$C)+_xludf.XLOOKUP(_xludf.XLOOKUP(B1325,Inventory!$A:$A,Inventory!$D:$D),Frame!$A:$A,Frame!$C:$C)+#REF!,""))</f>
        <v/>
      </c>
      <c r="E1325" s="4">
        <v>45191</v>
      </c>
      <c r="F1325" s="1" t="s">
        <v>63</v>
      </c>
    </row>
    <row r="1326" spans="1:6" x14ac:dyDescent="0.25">
      <c r="A1326" s="1" t="s">
        <v>2662</v>
      </c>
      <c r="B1326" s="1" t="s">
        <v>2663</v>
      </c>
      <c r="C1326" s="3">
        <v>200</v>
      </c>
      <c r="D1326" s="3" t="str">
        <f ca="1">IF(B1326="","",IFERROR(_xludf.XLOOKUP(_xludf.XLOOKUP(B1326,Inventory!$A:$A,Inventory!$B:$B),Blades!$A:$A,Blades!$C:$C)+_xludf.XLOOKUP(_xludf.XLOOKUP(B1326,Inventory!$A:$A,Inventory!$C:$C),Motor!$A:$A,Motor!$C:$C)+_xludf.XLOOKUP(_xludf.XLOOKUP(B1326,Inventory!$A:$A,Inventory!$D:$D),Frame!$A:$A,Frame!$C:$C)+#REF!,""))</f>
        <v/>
      </c>
      <c r="E1326" s="4">
        <v>45191</v>
      </c>
      <c r="F1326" s="1" t="s">
        <v>25</v>
      </c>
    </row>
    <row r="1327" spans="1:6" x14ac:dyDescent="0.25">
      <c r="A1327" s="1" t="s">
        <v>2664</v>
      </c>
      <c r="B1327" s="1" t="s">
        <v>2665</v>
      </c>
      <c r="C1327" s="3">
        <v>200</v>
      </c>
      <c r="D1327" s="3" t="str">
        <f ca="1">IF(B1327="","",IFERROR(_xludf.XLOOKUP(_xludf.XLOOKUP(B1327,Inventory!$A:$A,Inventory!$B:$B),Blades!$A:$A,Blades!$C:$C)+_xludf.XLOOKUP(_xludf.XLOOKUP(B1327,Inventory!$A:$A,Inventory!$C:$C),Motor!$A:$A,Motor!$C:$C)+_xludf.XLOOKUP(_xludf.XLOOKUP(B1327,Inventory!$A:$A,Inventory!$D:$D),Frame!$A:$A,Frame!$C:$C)+#REF!,""))</f>
        <v/>
      </c>
      <c r="E1327" s="4">
        <v>45192</v>
      </c>
      <c r="F1327" s="1" t="s">
        <v>63</v>
      </c>
    </row>
    <row r="1328" spans="1:6" x14ac:dyDescent="0.25">
      <c r="A1328" s="1" t="s">
        <v>2666</v>
      </c>
      <c r="B1328" s="1" t="s">
        <v>2667</v>
      </c>
      <c r="C1328" s="3">
        <v>200</v>
      </c>
      <c r="D1328" s="3" t="str">
        <f ca="1">IF(B1328="","",IFERROR(_xludf.XLOOKUP(_xludf.XLOOKUP(B1328,Inventory!$A:$A,Inventory!$B:$B),Blades!$A:$A,Blades!$C:$C)+_xludf.XLOOKUP(_xludf.XLOOKUP(B1328,Inventory!$A:$A,Inventory!$C:$C),Motor!$A:$A,Motor!$C:$C)+_xludf.XLOOKUP(_xludf.XLOOKUP(B1328,Inventory!$A:$A,Inventory!$D:$D),Frame!$A:$A,Frame!$C:$C)+#REF!,""))</f>
        <v/>
      </c>
      <c r="E1328" s="4">
        <v>45193</v>
      </c>
      <c r="F1328" s="1" t="s">
        <v>8</v>
      </c>
    </row>
    <row r="1329" spans="1:6" x14ac:dyDescent="0.25">
      <c r="A1329" s="1" t="s">
        <v>2668</v>
      </c>
      <c r="B1329" s="1" t="s">
        <v>2669</v>
      </c>
      <c r="C1329" s="3">
        <v>200</v>
      </c>
      <c r="D1329" s="3" t="str">
        <f ca="1">IF(B1329="","",IFERROR(_xludf.XLOOKUP(_xludf.XLOOKUP(B1329,Inventory!$A:$A,Inventory!$B:$B),Blades!$A:$A,Blades!$C:$C)+_xludf.XLOOKUP(_xludf.XLOOKUP(B1329,Inventory!$A:$A,Inventory!$C:$C),Motor!$A:$A,Motor!$C:$C)+_xludf.XLOOKUP(_xludf.XLOOKUP(B1329,Inventory!$A:$A,Inventory!$D:$D),Frame!$A:$A,Frame!$C:$C)+#REF!,""))</f>
        <v/>
      </c>
      <c r="E1329" s="4">
        <v>45193</v>
      </c>
      <c r="F1329" s="1" t="s">
        <v>49</v>
      </c>
    </row>
    <row r="1330" spans="1:6" x14ac:dyDescent="0.25">
      <c r="A1330" s="1" t="s">
        <v>2670</v>
      </c>
      <c r="B1330" s="1" t="s">
        <v>2671</v>
      </c>
      <c r="C1330" s="3">
        <v>200</v>
      </c>
      <c r="D1330" s="3" t="str">
        <f ca="1">IF(B1330="","",IFERROR(_xludf.XLOOKUP(_xludf.XLOOKUP(B1330,Inventory!$A:$A,Inventory!$B:$B),Blades!$A:$A,Blades!$C:$C)+_xludf.XLOOKUP(_xludf.XLOOKUP(B1330,Inventory!$A:$A,Inventory!$C:$C),Motor!$A:$A,Motor!$C:$C)+_xludf.XLOOKUP(_xludf.XLOOKUP(B1330,Inventory!$A:$A,Inventory!$D:$D),Frame!$A:$A,Frame!$C:$C)+#REF!,""))</f>
        <v/>
      </c>
      <c r="E1330" s="4">
        <v>45193</v>
      </c>
      <c r="F1330" s="1" t="s">
        <v>20</v>
      </c>
    </row>
    <row r="1331" spans="1:6" x14ac:dyDescent="0.25">
      <c r="A1331" s="1" t="s">
        <v>2672</v>
      </c>
      <c r="B1331" s="1" t="s">
        <v>2673</v>
      </c>
      <c r="C1331" s="3">
        <v>200</v>
      </c>
      <c r="D1331" s="3" t="str">
        <f ca="1">IF(B1331="","",IFERROR(_xludf.XLOOKUP(_xludf.XLOOKUP(B1331,Inventory!$A:$A,Inventory!$B:$B),Blades!$A:$A,Blades!$C:$C)+_xludf.XLOOKUP(_xludf.XLOOKUP(B1331,Inventory!$A:$A,Inventory!$C:$C),Motor!$A:$A,Motor!$C:$C)+_xludf.XLOOKUP(_xludf.XLOOKUP(B1331,Inventory!$A:$A,Inventory!$D:$D),Frame!$A:$A,Frame!$C:$C)+#REF!,""))</f>
        <v/>
      </c>
      <c r="E1331" s="4">
        <v>45194</v>
      </c>
      <c r="F1331" s="1" t="s">
        <v>20</v>
      </c>
    </row>
    <row r="1332" spans="1:6" x14ac:dyDescent="0.25">
      <c r="A1332" s="1" t="s">
        <v>2674</v>
      </c>
      <c r="B1332" s="1" t="s">
        <v>2675</v>
      </c>
      <c r="C1332" s="3">
        <v>200</v>
      </c>
      <c r="D1332" s="3" t="str">
        <f ca="1">IF(B1332="","",IFERROR(_xludf.XLOOKUP(_xludf.XLOOKUP(B1332,Inventory!$A:$A,Inventory!$B:$B),Blades!$A:$A,Blades!$C:$C)+_xludf.XLOOKUP(_xludf.XLOOKUP(B1332,Inventory!$A:$A,Inventory!$C:$C),Motor!$A:$A,Motor!$C:$C)+_xludf.XLOOKUP(_xludf.XLOOKUP(B1332,Inventory!$A:$A,Inventory!$D:$D),Frame!$A:$A,Frame!$C:$C)+#REF!,""))</f>
        <v/>
      </c>
      <c r="E1332" s="4">
        <v>45195</v>
      </c>
      <c r="F1332" s="1" t="s">
        <v>11</v>
      </c>
    </row>
    <row r="1333" spans="1:6" x14ac:dyDescent="0.25">
      <c r="A1333" s="1" t="s">
        <v>2676</v>
      </c>
      <c r="B1333" s="1" t="s">
        <v>2677</v>
      </c>
      <c r="C1333" s="3">
        <v>200</v>
      </c>
      <c r="D1333" s="3" t="str">
        <f ca="1">IF(B1333="","",IFERROR(_xludf.XLOOKUP(_xludf.XLOOKUP(B1333,Inventory!$A:$A,Inventory!$B:$B),Blades!$A:$A,Blades!$C:$C)+_xludf.XLOOKUP(_xludf.XLOOKUP(B1333,Inventory!$A:$A,Inventory!$C:$C),Motor!$A:$A,Motor!$C:$C)+_xludf.XLOOKUP(_xludf.XLOOKUP(B1333,Inventory!$A:$A,Inventory!$D:$D),Frame!$A:$A,Frame!$C:$C)+#REF!,""))</f>
        <v/>
      </c>
      <c r="E1333" s="4">
        <v>45195</v>
      </c>
      <c r="F1333" s="1" t="s">
        <v>63</v>
      </c>
    </row>
    <row r="1334" spans="1:6" x14ac:dyDescent="0.25">
      <c r="A1334" s="1" t="s">
        <v>2678</v>
      </c>
      <c r="B1334" s="1" t="s">
        <v>2679</v>
      </c>
      <c r="C1334" s="3">
        <v>200</v>
      </c>
      <c r="D1334" s="3" t="str">
        <f ca="1">IF(B1334="","",IFERROR(_xludf.XLOOKUP(_xludf.XLOOKUP(B1334,Inventory!$A:$A,Inventory!$B:$B),Blades!$A:$A,Blades!$C:$C)+_xludf.XLOOKUP(_xludf.XLOOKUP(B1334,Inventory!$A:$A,Inventory!$C:$C),Motor!$A:$A,Motor!$C:$C)+_xludf.XLOOKUP(_xludf.XLOOKUP(B1334,Inventory!$A:$A,Inventory!$D:$D),Frame!$A:$A,Frame!$C:$C)+#REF!,""))</f>
        <v/>
      </c>
      <c r="E1334" s="4">
        <v>45195</v>
      </c>
      <c r="F1334" s="1" t="s">
        <v>49</v>
      </c>
    </row>
    <row r="1335" spans="1:6" x14ac:dyDescent="0.25">
      <c r="A1335" s="1" t="s">
        <v>2680</v>
      </c>
      <c r="B1335" s="1" t="s">
        <v>2681</v>
      </c>
      <c r="C1335" s="3">
        <v>200</v>
      </c>
      <c r="D1335" s="3" t="str">
        <f ca="1">IF(B1335="","",IFERROR(_xludf.XLOOKUP(_xludf.XLOOKUP(B1335,Inventory!$A:$A,Inventory!$B:$B),Blades!$A:$A,Blades!$C:$C)+_xludf.XLOOKUP(_xludf.XLOOKUP(B1335,Inventory!$A:$A,Inventory!$C:$C),Motor!$A:$A,Motor!$C:$C)+_xludf.XLOOKUP(_xludf.XLOOKUP(B1335,Inventory!$A:$A,Inventory!$D:$D),Frame!$A:$A,Frame!$C:$C)+#REF!,""))</f>
        <v/>
      </c>
      <c r="E1335" s="4">
        <v>45195</v>
      </c>
      <c r="F1335" s="1" t="s">
        <v>52</v>
      </c>
    </row>
    <row r="1336" spans="1:6" x14ac:dyDescent="0.25">
      <c r="A1336" s="1" t="s">
        <v>2682</v>
      </c>
      <c r="B1336" s="1" t="s">
        <v>2683</v>
      </c>
      <c r="C1336" s="3">
        <v>200</v>
      </c>
      <c r="D1336" s="3" t="str">
        <f ca="1">IF(B1336="","",IFERROR(_xludf.XLOOKUP(_xludf.XLOOKUP(B1336,Inventory!$A:$A,Inventory!$B:$B),Blades!$A:$A,Blades!$C:$C)+_xludf.XLOOKUP(_xludf.XLOOKUP(B1336,Inventory!$A:$A,Inventory!$C:$C),Motor!$A:$A,Motor!$C:$C)+_xludf.XLOOKUP(_xludf.XLOOKUP(B1336,Inventory!$A:$A,Inventory!$D:$D),Frame!$A:$A,Frame!$C:$C)+#REF!,""))</f>
        <v/>
      </c>
      <c r="E1336" s="4">
        <v>45196</v>
      </c>
      <c r="F1336" s="1" t="s">
        <v>52</v>
      </c>
    </row>
    <row r="1337" spans="1:6" x14ac:dyDescent="0.25">
      <c r="A1337" s="1" t="s">
        <v>2684</v>
      </c>
      <c r="B1337" s="1" t="s">
        <v>2685</v>
      </c>
      <c r="C1337" s="3">
        <v>200</v>
      </c>
      <c r="D1337" s="3" t="str">
        <f ca="1">IF(B1337="","",IFERROR(_xludf.XLOOKUP(_xludf.XLOOKUP(B1337,Inventory!$A:$A,Inventory!$B:$B),Blades!$A:$A,Blades!$C:$C)+_xludf.XLOOKUP(_xludf.XLOOKUP(B1337,Inventory!$A:$A,Inventory!$C:$C),Motor!$A:$A,Motor!$C:$C)+_xludf.XLOOKUP(_xludf.XLOOKUP(B1337,Inventory!$A:$A,Inventory!$D:$D),Frame!$A:$A,Frame!$C:$C)+#REF!,""))</f>
        <v/>
      </c>
      <c r="E1337" s="4">
        <v>45196</v>
      </c>
      <c r="F1337" s="1" t="s">
        <v>25</v>
      </c>
    </row>
    <row r="1338" spans="1:6" x14ac:dyDescent="0.25">
      <c r="A1338" s="1" t="s">
        <v>2686</v>
      </c>
      <c r="B1338" s="1" t="s">
        <v>2687</v>
      </c>
      <c r="C1338" s="3">
        <v>200</v>
      </c>
      <c r="D1338" s="3" t="str">
        <f ca="1">IF(B1338="","",IFERROR(_xludf.XLOOKUP(_xludf.XLOOKUP(B1338,Inventory!$A:$A,Inventory!$B:$B),Blades!$A:$A,Blades!$C:$C)+_xludf.XLOOKUP(_xludf.XLOOKUP(B1338,Inventory!$A:$A,Inventory!$C:$C),Motor!$A:$A,Motor!$C:$C)+_xludf.XLOOKUP(_xludf.XLOOKUP(B1338,Inventory!$A:$A,Inventory!$D:$D),Frame!$A:$A,Frame!$C:$C)+#REF!,""))</f>
        <v/>
      </c>
      <c r="E1338" s="4">
        <v>45196</v>
      </c>
      <c r="F1338" s="1" t="s">
        <v>49</v>
      </c>
    </row>
    <row r="1339" spans="1:6" x14ac:dyDescent="0.25">
      <c r="A1339" s="1" t="s">
        <v>2688</v>
      </c>
      <c r="B1339" s="1" t="s">
        <v>2689</v>
      </c>
      <c r="C1339" s="3">
        <v>200</v>
      </c>
      <c r="D1339" s="3" t="str">
        <f ca="1">IF(B1339="","",IFERROR(_xludf.XLOOKUP(_xludf.XLOOKUP(B1339,Inventory!$A:$A,Inventory!$B:$B),Blades!$A:$A,Blades!$C:$C)+_xludf.XLOOKUP(_xludf.XLOOKUP(B1339,Inventory!$A:$A,Inventory!$C:$C),Motor!$A:$A,Motor!$C:$C)+_xludf.XLOOKUP(_xludf.XLOOKUP(B1339,Inventory!$A:$A,Inventory!$D:$D),Frame!$A:$A,Frame!$C:$C)+#REF!,""))</f>
        <v/>
      </c>
      <c r="E1339" s="4">
        <v>45197</v>
      </c>
      <c r="F1339" s="1" t="s">
        <v>63</v>
      </c>
    </row>
    <row r="1340" spans="1:6" x14ac:dyDescent="0.25">
      <c r="A1340" s="1" t="s">
        <v>2690</v>
      </c>
      <c r="B1340" s="1" t="s">
        <v>2691</v>
      </c>
      <c r="C1340" s="3">
        <v>200</v>
      </c>
      <c r="D1340" s="3" t="str">
        <f ca="1">IF(B1340="","",IFERROR(_xludf.XLOOKUP(_xludf.XLOOKUP(B1340,Inventory!$A:$A,Inventory!$B:$B),Blades!$A:$A,Blades!$C:$C)+_xludf.XLOOKUP(_xludf.XLOOKUP(B1340,Inventory!$A:$A,Inventory!$C:$C),Motor!$A:$A,Motor!$C:$C)+_xludf.XLOOKUP(_xludf.XLOOKUP(B1340,Inventory!$A:$A,Inventory!$D:$D),Frame!$A:$A,Frame!$C:$C)+#REF!,""))</f>
        <v/>
      </c>
      <c r="E1340" s="4">
        <v>45198</v>
      </c>
      <c r="F1340" s="1" t="s">
        <v>49</v>
      </c>
    </row>
    <row r="1341" spans="1:6" x14ac:dyDescent="0.25">
      <c r="A1341" s="1" t="s">
        <v>2692</v>
      </c>
      <c r="B1341" s="1" t="s">
        <v>2693</v>
      </c>
      <c r="C1341" s="3">
        <v>200</v>
      </c>
      <c r="D1341" s="3" t="str">
        <f ca="1">IF(B1341="","",IFERROR(_xludf.XLOOKUP(_xludf.XLOOKUP(B1341,Inventory!$A:$A,Inventory!$B:$B),Blades!$A:$A,Blades!$C:$C)+_xludf.XLOOKUP(_xludf.XLOOKUP(B1341,Inventory!$A:$A,Inventory!$C:$C),Motor!$A:$A,Motor!$C:$C)+_xludf.XLOOKUP(_xludf.XLOOKUP(B1341,Inventory!$A:$A,Inventory!$D:$D),Frame!$A:$A,Frame!$C:$C)+#REF!,""))</f>
        <v/>
      </c>
      <c r="E1341" s="4">
        <v>45199</v>
      </c>
      <c r="F1341" s="1" t="s">
        <v>25</v>
      </c>
    </row>
    <row r="1342" spans="1:6" x14ac:dyDescent="0.25">
      <c r="A1342" s="1" t="s">
        <v>2694</v>
      </c>
      <c r="B1342" s="1" t="s">
        <v>2695</v>
      </c>
      <c r="C1342" s="3">
        <v>200</v>
      </c>
      <c r="D1342" s="3" t="str">
        <f ca="1">IF(B1342="","",IFERROR(_xludf.XLOOKUP(_xludf.XLOOKUP(B1342,Inventory!$A:$A,Inventory!$B:$B),Blades!$A:$A,Blades!$C:$C)+_xludf.XLOOKUP(_xludf.XLOOKUP(B1342,Inventory!$A:$A,Inventory!$C:$C),Motor!$A:$A,Motor!$C:$C)+_xludf.XLOOKUP(_xludf.XLOOKUP(B1342,Inventory!$A:$A,Inventory!$D:$D),Frame!$A:$A,Frame!$C:$C)+#REF!,""))</f>
        <v/>
      </c>
      <c r="E1342" s="4">
        <v>45199</v>
      </c>
      <c r="F1342" s="1" t="s">
        <v>52</v>
      </c>
    </row>
    <row r="1343" spans="1:6" x14ac:dyDescent="0.25">
      <c r="A1343" s="1" t="s">
        <v>2696</v>
      </c>
      <c r="B1343" s="1" t="s">
        <v>2697</v>
      </c>
      <c r="C1343" s="3">
        <v>200</v>
      </c>
      <c r="D1343" s="3" t="str">
        <f ca="1">IF(B1343="","",IFERROR(_xludf.XLOOKUP(_xludf.XLOOKUP(B1343,Inventory!$A:$A,Inventory!$B:$B),Blades!$A:$A,Blades!$C:$C)+_xludf.XLOOKUP(_xludf.XLOOKUP(B1343,Inventory!$A:$A,Inventory!$C:$C),Motor!$A:$A,Motor!$C:$C)+_xludf.XLOOKUP(_xludf.XLOOKUP(B1343,Inventory!$A:$A,Inventory!$D:$D),Frame!$A:$A,Frame!$C:$C)+#REF!,""))</f>
        <v/>
      </c>
      <c r="E1343" s="4">
        <v>45201</v>
      </c>
      <c r="F1343" s="1" t="s">
        <v>49</v>
      </c>
    </row>
    <row r="1344" spans="1:6" x14ac:dyDescent="0.25">
      <c r="A1344" s="1" t="s">
        <v>2698</v>
      </c>
      <c r="B1344" s="1" t="s">
        <v>2699</v>
      </c>
      <c r="C1344" s="3">
        <v>200</v>
      </c>
      <c r="D1344" s="3" t="str">
        <f ca="1">IF(B1344="","",IFERROR(_xludf.XLOOKUP(_xludf.XLOOKUP(B1344,Inventory!$A:$A,Inventory!$B:$B),Blades!$A:$A,Blades!$C:$C)+_xludf.XLOOKUP(_xludf.XLOOKUP(B1344,Inventory!$A:$A,Inventory!$C:$C),Motor!$A:$A,Motor!$C:$C)+_xludf.XLOOKUP(_xludf.XLOOKUP(B1344,Inventory!$A:$A,Inventory!$D:$D),Frame!$A:$A,Frame!$C:$C)+#REF!,""))</f>
        <v/>
      </c>
      <c r="E1344" s="4">
        <v>45202</v>
      </c>
      <c r="F1344" s="1" t="s">
        <v>52</v>
      </c>
    </row>
    <row r="1345" spans="1:6" x14ac:dyDescent="0.25">
      <c r="A1345" s="1" t="s">
        <v>2700</v>
      </c>
      <c r="B1345" s="1" t="s">
        <v>2701</v>
      </c>
      <c r="C1345" s="3">
        <v>200</v>
      </c>
      <c r="D1345" s="3" t="str">
        <f ca="1">IF(B1345="","",IFERROR(_xludf.XLOOKUP(_xludf.XLOOKUP(B1345,Inventory!$A:$A,Inventory!$B:$B),Blades!$A:$A,Blades!$C:$C)+_xludf.XLOOKUP(_xludf.XLOOKUP(B1345,Inventory!$A:$A,Inventory!$C:$C),Motor!$A:$A,Motor!$C:$C)+_xludf.XLOOKUP(_xludf.XLOOKUP(B1345,Inventory!$A:$A,Inventory!$D:$D),Frame!$A:$A,Frame!$C:$C)+#REF!,""))</f>
        <v/>
      </c>
      <c r="E1345" s="4">
        <v>45202</v>
      </c>
      <c r="F1345" s="1" t="s">
        <v>20</v>
      </c>
    </row>
    <row r="1346" spans="1:6" x14ac:dyDescent="0.25">
      <c r="A1346" s="1" t="s">
        <v>2702</v>
      </c>
      <c r="B1346" s="1" t="s">
        <v>2703</v>
      </c>
      <c r="C1346" s="3">
        <v>200</v>
      </c>
      <c r="D1346" s="3" t="str">
        <f ca="1">IF(B1346="","",IFERROR(_xludf.XLOOKUP(_xludf.XLOOKUP(B1346,Inventory!$A:$A,Inventory!$B:$B),Blades!$A:$A,Blades!$C:$C)+_xludf.XLOOKUP(_xludf.XLOOKUP(B1346,Inventory!$A:$A,Inventory!$C:$C),Motor!$A:$A,Motor!$C:$C)+_xludf.XLOOKUP(_xludf.XLOOKUP(B1346,Inventory!$A:$A,Inventory!$D:$D),Frame!$A:$A,Frame!$C:$C)+#REF!,""))</f>
        <v/>
      </c>
      <c r="E1346" s="4">
        <v>45204</v>
      </c>
      <c r="F1346" s="1" t="s">
        <v>52</v>
      </c>
    </row>
    <row r="1347" spans="1:6" x14ac:dyDescent="0.25">
      <c r="A1347" s="1" t="s">
        <v>2704</v>
      </c>
      <c r="B1347" s="1" t="s">
        <v>2705</v>
      </c>
      <c r="C1347" s="3">
        <v>200</v>
      </c>
      <c r="D1347" s="3" t="str">
        <f ca="1">IF(B1347="","",IFERROR(_xludf.XLOOKUP(_xludf.XLOOKUP(B1347,Inventory!$A:$A,Inventory!$B:$B),Blades!$A:$A,Blades!$C:$C)+_xludf.XLOOKUP(_xludf.XLOOKUP(B1347,Inventory!$A:$A,Inventory!$C:$C),Motor!$A:$A,Motor!$C:$C)+_xludf.XLOOKUP(_xludf.XLOOKUP(B1347,Inventory!$A:$A,Inventory!$D:$D),Frame!$A:$A,Frame!$C:$C)+#REF!,""))</f>
        <v/>
      </c>
      <c r="E1347" s="4">
        <v>45204</v>
      </c>
      <c r="F1347" s="1" t="s">
        <v>8</v>
      </c>
    </row>
    <row r="1348" spans="1:6" x14ac:dyDescent="0.25">
      <c r="A1348" s="1" t="s">
        <v>2706</v>
      </c>
      <c r="B1348" s="1" t="s">
        <v>2707</v>
      </c>
      <c r="C1348" s="3">
        <v>200</v>
      </c>
      <c r="D1348" s="3" t="str">
        <f ca="1">IF(B1348="","",IFERROR(_xludf.XLOOKUP(_xludf.XLOOKUP(B1348,Inventory!$A:$A,Inventory!$B:$B),Blades!$A:$A,Blades!$C:$C)+_xludf.XLOOKUP(_xludf.XLOOKUP(B1348,Inventory!$A:$A,Inventory!$C:$C),Motor!$A:$A,Motor!$C:$C)+_xludf.XLOOKUP(_xludf.XLOOKUP(B1348,Inventory!$A:$A,Inventory!$D:$D),Frame!$A:$A,Frame!$C:$C)+#REF!,""))</f>
        <v/>
      </c>
      <c r="E1348" s="4">
        <v>45205</v>
      </c>
      <c r="F1348" s="1" t="s">
        <v>20</v>
      </c>
    </row>
    <row r="1349" spans="1:6" x14ac:dyDescent="0.25">
      <c r="A1349" s="1" t="s">
        <v>2708</v>
      </c>
      <c r="B1349" s="1" t="s">
        <v>2709</v>
      </c>
      <c r="C1349" s="3">
        <v>200</v>
      </c>
      <c r="D1349" s="3" t="str">
        <f ca="1">IF(B1349="","",IFERROR(_xludf.XLOOKUP(_xludf.XLOOKUP(B1349,Inventory!$A:$A,Inventory!$B:$B),Blades!$A:$A,Blades!$C:$C)+_xludf.XLOOKUP(_xludf.XLOOKUP(B1349,Inventory!$A:$A,Inventory!$C:$C),Motor!$A:$A,Motor!$C:$C)+_xludf.XLOOKUP(_xludf.XLOOKUP(B1349,Inventory!$A:$A,Inventory!$D:$D),Frame!$A:$A,Frame!$C:$C)+#REF!,""))</f>
        <v/>
      </c>
      <c r="E1349" s="4">
        <v>45206</v>
      </c>
      <c r="F1349" s="1" t="s">
        <v>8</v>
      </c>
    </row>
    <row r="1350" spans="1:6" x14ac:dyDescent="0.25">
      <c r="A1350" s="1" t="s">
        <v>2710</v>
      </c>
      <c r="B1350" s="1" t="s">
        <v>2711</v>
      </c>
      <c r="C1350" s="3">
        <v>200</v>
      </c>
      <c r="D1350" s="3" t="str">
        <f ca="1">IF(B1350="","",IFERROR(_xludf.XLOOKUP(_xludf.XLOOKUP(B1350,Inventory!$A:$A,Inventory!$B:$B),Blades!$A:$A,Blades!$C:$C)+_xludf.XLOOKUP(_xludf.XLOOKUP(B1350,Inventory!$A:$A,Inventory!$C:$C),Motor!$A:$A,Motor!$C:$C)+_xludf.XLOOKUP(_xludf.XLOOKUP(B1350,Inventory!$A:$A,Inventory!$D:$D),Frame!$A:$A,Frame!$C:$C)+#REF!,""))</f>
        <v/>
      </c>
      <c r="E1350" s="4">
        <v>45206</v>
      </c>
      <c r="F1350" s="1" t="s">
        <v>20</v>
      </c>
    </row>
    <row r="1351" spans="1:6" x14ac:dyDescent="0.25">
      <c r="A1351" s="1" t="s">
        <v>2712</v>
      </c>
      <c r="B1351" s="1" t="s">
        <v>2713</v>
      </c>
      <c r="C1351" s="3">
        <v>200</v>
      </c>
      <c r="D1351" s="3" t="str">
        <f ca="1">IF(B1351="","",IFERROR(_xludf.XLOOKUP(_xludf.XLOOKUP(B1351,Inventory!$A:$A,Inventory!$B:$B),Blades!$A:$A,Blades!$C:$C)+_xludf.XLOOKUP(_xludf.XLOOKUP(B1351,Inventory!$A:$A,Inventory!$C:$C),Motor!$A:$A,Motor!$C:$C)+_xludf.XLOOKUP(_xludf.XLOOKUP(B1351,Inventory!$A:$A,Inventory!$D:$D),Frame!$A:$A,Frame!$C:$C)+#REF!,""))</f>
        <v/>
      </c>
      <c r="E1351" s="4">
        <v>45207</v>
      </c>
      <c r="F1351" s="1" t="s">
        <v>63</v>
      </c>
    </row>
    <row r="1352" spans="1:6" x14ac:dyDescent="0.25">
      <c r="A1352" s="1" t="s">
        <v>2714</v>
      </c>
      <c r="B1352" s="1" t="s">
        <v>2715</v>
      </c>
      <c r="C1352" s="3">
        <v>200</v>
      </c>
      <c r="D1352" s="3" t="str">
        <f ca="1">IF(B1352="","",IFERROR(_xludf.XLOOKUP(_xludf.XLOOKUP(B1352,Inventory!$A:$A,Inventory!$B:$B),Blades!$A:$A,Blades!$C:$C)+_xludf.XLOOKUP(_xludf.XLOOKUP(B1352,Inventory!$A:$A,Inventory!$C:$C),Motor!$A:$A,Motor!$C:$C)+_xludf.XLOOKUP(_xludf.XLOOKUP(B1352,Inventory!$A:$A,Inventory!$D:$D),Frame!$A:$A,Frame!$C:$C)+#REF!,""))</f>
        <v/>
      </c>
      <c r="E1352" s="4">
        <v>45207</v>
      </c>
      <c r="F1352" s="1" t="s">
        <v>49</v>
      </c>
    </row>
    <row r="1353" spans="1:6" x14ac:dyDescent="0.25">
      <c r="A1353" s="1" t="s">
        <v>2716</v>
      </c>
      <c r="B1353" s="1" t="s">
        <v>2717</v>
      </c>
      <c r="C1353" s="3">
        <v>200</v>
      </c>
      <c r="D1353" s="3" t="str">
        <f ca="1">IF(B1353="","",IFERROR(_xludf.XLOOKUP(_xludf.XLOOKUP(B1353,Inventory!$A:$A,Inventory!$B:$B),Blades!$A:$A,Blades!$C:$C)+_xludf.XLOOKUP(_xludf.XLOOKUP(B1353,Inventory!$A:$A,Inventory!$C:$C),Motor!$A:$A,Motor!$C:$C)+_xludf.XLOOKUP(_xludf.XLOOKUP(B1353,Inventory!$A:$A,Inventory!$D:$D),Frame!$A:$A,Frame!$C:$C)+#REF!,""))</f>
        <v/>
      </c>
      <c r="E1353" s="4">
        <v>45208</v>
      </c>
      <c r="F1353" s="1" t="s">
        <v>32</v>
      </c>
    </row>
    <row r="1354" spans="1:6" x14ac:dyDescent="0.25">
      <c r="A1354" s="1" t="s">
        <v>2718</v>
      </c>
      <c r="B1354" s="1" t="s">
        <v>2719</v>
      </c>
      <c r="C1354" s="3">
        <v>200</v>
      </c>
      <c r="D1354" s="3" t="str">
        <f ca="1">IF(B1354="","",IFERROR(_xludf.XLOOKUP(_xludf.XLOOKUP(B1354,Inventory!$A:$A,Inventory!$B:$B),Blades!$A:$A,Blades!$C:$C)+_xludf.XLOOKUP(_xludf.XLOOKUP(B1354,Inventory!$A:$A,Inventory!$C:$C),Motor!$A:$A,Motor!$C:$C)+_xludf.XLOOKUP(_xludf.XLOOKUP(B1354,Inventory!$A:$A,Inventory!$D:$D),Frame!$A:$A,Frame!$C:$C)+#REF!,""))</f>
        <v/>
      </c>
      <c r="E1354" s="4">
        <v>45208</v>
      </c>
      <c r="F1354" s="1" t="s">
        <v>20</v>
      </c>
    </row>
    <row r="1355" spans="1:6" x14ac:dyDescent="0.25">
      <c r="A1355" s="1" t="s">
        <v>2720</v>
      </c>
      <c r="B1355" s="1" t="s">
        <v>2721</v>
      </c>
      <c r="C1355" s="3">
        <v>200</v>
      </c>
      <c r="D1355" s="3" t="str">
        <f ca="1">IF(B1355="","",IFERROR(_xludf.XLOOKUP(_xludf.XLOOKUP(B1355,Inventory!$A:$A,Inventory!$B:$B),Blades!$A:$A,Blades!$C:$C)+_xludf.XLOOKUP(_xludf.XLOOKUP(B1355,Inventory!$A:$A,Inventory!$C:$C),Motor!$A:$A,Motor!$C:$C)+_xludf.XLOOKUP(_xludf.XLOOKUP(B1355,Inventory!$A:$A,Inventory!$D:$D),Frame!$A:$A,Frame!$C:$C)+#REF!,""))</f>
        <v/>
      </c>
      <c r="E1355" s="4">
        <v>45211</v>
      </c>
      <c r="F1355" s="1" t="s">
        <v>11</v>
      </c>
    </row>
    <row r="1356" spans="1:6" x14ac:dyDescent="0.25">
      <c r="A1356" s="1" t="s">
        <v>2722</v>
      </c>
      <c r="B1356" s="1" t="s">
        <v>2723</v>
      </c>
      <c r="C1356" s="3">
        <v>200</v>
      </c>
      <c r="D1356" s="3" t="str">
        <f ca="1">IF(B1356="","",IFERROR(_xludf.XLOOKUP(_xludf.XLOOKUP(B1356,Inventory!$A:$A,Inventory!$B:$B),Blades!$A:$A,Blades!$C:$C)+_xludf.XLOOKUP(_xludf.XLOOKUP(B1356,Inventory!$A:$A,Inventory!$C:$C),Motor!$A:$A,Motor!$C:$C)+_xludf.XLOOKUP(_xludf.XLOOKUP(B1356,Inventory!$A:$A,Inventory!$D:$D),Frame!$A:$A,Frame!$C:$C)+#REF!,""))</f>
        <v/>
      </c>
      <c r="E1356" s="4">
        <v>45212</v>
      </c>
      <c r="F1356" s="1" t="s">
        <v>32</v>
      </c>
    </row>
    <row r="1357" spans="1:6" x14ac:dyDescent="0.25">
      <c r="A1357" s="1" t="s">
        <v>2724</v>
      </c>
      <c r="B1357" s="1" t="s">
        <v>2725</v>
      </c>
      <c r="C1357" s="3">
        <v>200</v>
      </c>
      <c r="D1357" s="3" t="str">
        <f ca="1">IF(B1357="","",IFERROR(_xludf.XLOOKUP(_xludf.XLOOKUP(B1357,Inventory!$A:$A,Inventory!$B:$B),Blades!$A:$A,Blades!$C:$C)+_xludf.XLOOKUP(_xludf.XLOOKUP(B1357,Inventory!$A:$A,Inventory!$C:$C),Motor!$A:$A,Motor!$C:$C)+_xludf.XLOOKUP(_xludf.XLOOKUP(B1357,Inventory!$A:$A,Inventory!$D:$D),Frame!$A:$A,Frame!$C:$C)+#REF!,""))</f>
        <v/>
      </c>
      <c r="E1357" s="4">
        <v>45212</v>
      </c>
      <c r="F1357" s="1" t="s">
        <v>49</v>
      </c>
    </row>
    <row r="1358" spans="1:6" x14ac:dyDescent="0.25">
      <c r="A1358" s="1" t="s">
        <v>2726</v>
      </c>
      <c r="B1358" s="1" t="s">
        <v>2727</v>
      </c>
      <c r="C1358" s="3">
        <v>200</v>
      </c>
      <c r="D1358" s="3" t="str">
        <f ca="1">IF(B1358="","",IFERROR(_xludf.XLOOKUP(_xludf.XLOOKUP(B1358,Inventory!$A:$A,Inventory!$B:$B),Blades!$A:$A,Blades!$C:$C)+_xludf.XLOOKUP(_xludf.XLOOKUP(B1358,Inventory!$A:$A,Inventory!$C:$C),Motor!$A:$A,Motor!$C:$C)+_xludf.XLOOKUP(_xludf.XLOOKUP(B1358,Inventory!$A:$A,Inventory!$D:$D),Frame!$A:$A,Frame!$C:$C)+#REF!,""))</f>
        <v/>
      </c>
      <c r="E1358" s="4">
        <v>45212</v>
      </c>
      <c r="F1358" s="1" t="s">
        <v>32</v>
      </c>
    </row>
    <row r="1359" spans="1:6" x14ac:dyDescent="0.25">
      <c r="A1359" s="1" t="s">
        <v>2728</v>
      </c>
      <c r="B1359" s="1" t="s">
        <v>2729</v>
      </c>
      <c r="C1359" s="3">
        <v>200</v>
      </c>
      <c r="D1359" s="3" t="str">
        <f ca="1">IF(B1359="","",IFERROR(_xludf.XLOOKUP(_xludf.XLOOKUP(B1359,Inventory!$A:$A,Inventory!$B:$B),Blades!$A:$A,Blades!$C:$C)+_xludf.XLOOKUP(_xludf.XLOOKUP(B1359,Inventory!$A:$A,Inventory!$C:$C),Motor!$A:$A,Motor!$C:$C)+_xludf.XLOOKUP(_xludf.XLOOKUP(B1359,Inventory!$A:$A,Inventory!$D:$D),Frame!$A:$A,Frame!$C:$C)+#REF!,""))</f>
        <v/>
      </c>
      <c r="E1359" s="4">
        <v>45214</v>
      </c>
      <c r="F1359" s="1" t="s">
        <v>52</v>
      </c>
    </row>
    <row r="1360" spans="1:6" x14ac:dyDescent="0.25">
      <c r="A1360" s="1" t="s">
        <v>2730</v>
      </c>
      <c r="B1360" s="1" t="s">
        <v>2731</v>
      </c>
      <c r="C1360" s="3">
        <v>200</v>
      </c>
      <c r="D1360" s="3" t="str">
        <f ca="1">IF(B1360="","",IFERROR(_xludf.XLOOKUP(_xludf.XLOOKUP(B1360,Inventory!$A:$A,Inventory!$B:$B),Blades!$A:$A,Blades!$C:$C)+_xludf.XLOOKUP(_xludf.XLOOKUP(B1360,Inventory!$A:$A,Inventory!$C:$C),Motor!$A:$A,Motor!$C:$C)+_xludf.XLOOKUP(_xludf.XLOOKUP(B1360,Inventory!$A:$A,Inventory!$D:$D),Frame!$A:$A,Frame!$C:$C)+#REF!,""))</f>
        <v/>
      </c>
      <c r="E1360" s="4">
        <v>45214</v>
      </c>
      <c r="F1360" s="1" t="s">
        <v>20</v>
      </c>
    </row>
    <row r="1361" spans="1:6" x14ac:dyDescent="0.25">
      <c r="A1361" s="1" t="s">
        <v>2732</v>
      </c>
      <c r="B1361" s="1" t="s">
        <v>2733</v>
      </c>
      <c r="C1361" s="3">
        <v>200</v>
      </c>
      <c r="D1361" s="3" t="str">
        <f ca="1">IF(B1361="","",IFERROR(_xludf.XLOOKUP(_xludf.XLOOKUP(B1361,Inventory!$A:$A,Inventory!$B:$B),Blades!$A:$A,Blades!$C:$C)+_xludf.XLOOKUP(_xludf.XLOOKUP(B1361,Inventory!$A:$A,Inventory!$C:$C),Motor!$A:$A,Motor!$C:$C)+_xludf.XLOOKUP(_xludf.XLOOKUP(B1361,Inventory!$A:$A,Inventory!$D:$D),Frame!$A:$A,Frame!$C:$C)+#REF!,""))</f>
        <v/>
      </c>
      <c r="E1361" s="4">
        <v>45215</v>
      </c>
      <c r="F1361" s="1" t="s">
        <v>25</v>
      </c>
    </row>
    <row r="1362" spans="1:6" x14ac:dyDescent="0.25">
      <c r="A1362" s="1" t="s">
        <v>2734</v>
      </c>
      <c r="B1362" s="1" t="s">
        <v>2735</v>
      </c>
      <c r="C1362" s="3">
        <v>200</v>
      </c>
      <c r="D1362" s="3" t="str">
        <f ca="1">IF(B1362="","",IFERROR(_xludf.XLOOKUP(_xludf.XLOOKUP(B1362,Inventory!$A:$A,Inventory!$B:$B),Blades!$A:$A,Blades!$C:$C)+_xludf.XLOOKUP(_xludf.XLOOKUP(B1362,Inventory!$A:$A,Inventory!$C:$C),Motor!$A:$A,Motor!$C:$C)+_xludf.XLOOKUP(_xludf.XLOOKUP(B1362,Inventory!$A:$A,Inventory!$D:$D),Frame!$A:$A,Frame!$C:$C)+#REF!,""))</f>
        <v/>
      </c>
      <c r="E1362" s="4">
        <v>45216</v>
      </c>
      <c r="F1362" s="1" t="s">
        <v>11</v>
      </c>
    </row>
    <row r="1363" spans="1:6" x14ac:dyDescent="0.25">
      <c r="A1363" s="1" t="s">
        <v>2736</v>
      </c>
      <c r="B1363" s="1" t="s">
        <v>2737</v>
      </c>
      <c r="C1363" s="3">
        <v>200</v>
      </c>
      <c r="D1363" s="3" t="str">
        <f ca="1">IF(B1363="","",IFERROR(_xludf.XLOOKUP(_xludf.XLOOKUP(B1363,Inventory!$A:$A,Inventory!$B:$B),Blades!$A:$A,Blades!$C:$C)+_xludf.XLOOKUP(_xludf.XLOOKUP(B1363,Inventory!$A:$A,Inventory!$C:$C),Motor!$A:$A,Motor!$C:$C)+_xludf.XLOOKUP(_xludf.XLOOKUP(B1363,Inventory!$A:$A,Inventory!$D:$D),Frame!$A:$A,Frame!$C:$C)+#REF!,""))</f>
        <v/>
      </c>
      <c r="E1363" s="4">
        <v>45216</v>
      </c>
      <c r="F1363" s="1" t="s">
        <v>32</v>
      </c>
    </row>
    <row r="1364" spans="1:6" x14ac:dyDescent="0.25">
      <c r="A1364" s="1" t="s">
        <v>2738</v>
      </c>
      <c r="B1364" s="1" t="s">
        <v>2739</v>
      </c>
      <c r="C1364" s="3">
        <v>200</v>
      </c>
      <c r="D1364" s="3" t="str">
        <f ca="1">IF(B1364="","",IFERROR(_xludf.XLOOKUP(_xludf.XLOOKUP(B1364,Inventory!$A:$A,Inventory!$B:$B),Blades!$A:$A,Blades!$C:$C)+_xludf.XLOOKUP(_xludf.XLOOKUP(B1364,Inventory!$A:$A,Inventory!$C:$C),Motor!$A:$A,Motor!$C:$C)+_xludf.XLOOKUP(_xludf.XLOOKUP(B1364,Inventory!$A:$A,Inventory!$D:$D),Frame!$A:$A,Frame!$C:$C)+#REF!,""))</f>
        <v/>
      </c>
      <c r="E1364" s="4">
        <v>45217</v>
      </c>
      <c r="F1364" s="1" t="s">
        <v>32</v>
      </c>
    </row>
    <row r="1365" spans="1:6" x14ac:dyDescent="0.25">
      <c r="A1365" s="1" t="s">
        <v>2740</v>
      </c>
      <c r="B1365" s="1" t="s">
        <v>2741</v>
      </c>
      <c r="C1365" s="3">
        <v>200</v>
      </c>
      <c r="D1365" s="3" t="str">
        <f ca="1">IF(B1365="","",IFERROR(_xludf.XLOOKUP(_xludf.XLOOKUP(B1365,Inventory!$A:$A,Inventory!$B:$B),Blades!$A:$A,Blades!$C:$C)+_xludf.XLOOKUP(_xludf.XLOOKUP(B1365,Inventory!$A:$A,Inventory!$C:$C),Motor!$A:$A,Motor!$C:$C)+_xludf.XLOOKUP(_xludf.XLOOKUP(B1365,Inventory!$A:$A,Inventory!$D:$D),Frame!$A:$A,Frame!$C:$C)+#REF!,""))</f>
        <v/>
      </c>
      <c r="E1365" s="4">
        <v>45219</v>
      </c>
      <c r="F1365" s="1" t="s">
        <v>11</v>
      </c>
    </row>
    <row r="1366" spans="1:6" x14ac:dyDescent="0.25">
      <c r="A1366" s="1" t="s">
        <v>2742</v>
      </c>
      <c r="B1366" s="1" t="s">
        <v>2743</v>
      </c>
      <c r="C1366" s="3">
        <v>200</v>
      </c>
      <c r="D1366" s="3" t="str">
        <f ca="1">IF(B1366="","",IFERROR(_xludf.XLOOKUP(_xludf.XLOOKUP(B1366,Inventory!$A:$A,Inventory!$B:$B),Blades!$A:$A,Blades!$C:$C)+_xludf.XLOOKUP(_xludf.XLOOKUP(B1366,Inventory!$A:$A,Inventory!$C:$C),Motor!$A:$A,Motor!$C:$C)+_xludf.XLOOKUP(_xludf.XLOOKUP(B1366,Inventory!$A:$A,Inventory!$D:$D),Frame!$A:$A,Frame!$C:$C)+#REF!,""))</f>
        <v/>
      </c>
      <c r="E1366" s="4">
        <v>45219</v>
      </c>
      <c r="F1366" s="1" t="s">
        <v>8</v>
      </c>
    </row>
    <row r="1367" spans="1:6" x14ac:dyDescent="0.25">
      <c r="A1367" s="1" t="s">
        <v>2744</v>
      </c>
      <c r="B1367" s="1" t="s">
        <v>2745</v>
      </c>
      <c r="C1367" s="3">
        <v>200</v>
      </c>
      <c r="D1367" s="3" t="str">
        <f ca="1">IF(B1367="","",IFERROR(_xludf.XLOOKUP(_xludf.XLOOKUP(B1367,Inventory!$A:$A,Inventory!$B:$B),Blades!$A:$A,Blades!$C:$C)+_xludf.XLOOKUP(_xludf.XLOOKUP(B1367,Inventory!$A:$A,Inventory!$C:$C),Motor!$A:$A,Motor!$C:$C)+_xludf.XLOOKUP(_xludf.XLOOKUP(B1367,Inventory!$A:$A,Inventory!$D:$D),Frame!$A:$A,Frame!$C:$C)+#REF!,""))</f>
        <v/>
      </c>
      <c r="E1367" s="4">
        <v>45220</v>
      </c>
      <c r="F1367" s="1" t="s">
        <v>52</v>
      </c>
    </row>
    <row r="1368" spans="1:6" x14ac:dyDescent="0.25">
      <c r="A1368" s="1" t="s">
        <v>2746</v>
      </c>
      <c r="B1368" s="1" t="s">
        <v>2747</v>
      </c>
      <c r="C1368" s="3">
        <v>200</v>
      </c>
      <c r="D1368" s="3" t="str">
        <f ca="1">IF(B1368="","",IFERROR(_xludf.XLOOKUP(_xludf.XLOOKUP(B1368,Inventory!$A:$A,Inventory!$B:$B),Blades!$A:$A,Blades!$C:$C)+_xludf.XLOOKUP(_xludf.XLOOKUP(B1368,Inventory!$A:$A,Inventory!$C:$C),Motor!$A:$A,Motor!$C:$C)+_xludf.XLOOKUP(_xludf.XLOOKUP(B1368,Inventory!$A:$A,Inventory!$D:$D),Frame!$A:$A,Frame!$C:$C)+#REF!,""))</f>
        <v/>
      </c>
      <c r="E1368" s="4">
        <v>45220</v>
      </c>
      <c r="F1368" s="1" t="s">
        <v>63</v>
      </c>
    </row>
    <row r="1369" spans="1:6" x14ac:dyDescent="0.25">
      <c r="A1369" s="1" t="s">
        <v>2748</v>
      </c>
      <c r="B1369" s="1" t="s">
        <v>2749</v>
      </c>
      <c r="C1369" s="3">
        <v>200</v>
      </c>
      <c r="D1369" s="3" t="str">
        <f ca="1">IF(B1369="","",IFERROR(_xludf.XLOOKUP(_xludf.XLOOKUP(B1369,Inventory!$A:$A,Inventory!$B:$B),Blades!$A:$A,Blades!$C:$C)+_xludf.XLOOKUP(_xludf.XLOOKUP(B1369,Inventory!$A:$A,Inventory!$C:$C),Motor!$A:$A,Motor!$C:$C)+_xludf.XLOOKUP(_xludf.XLOOKUP(B1369,Inventory!$A:$A,Inventory!$D:$D),Frame!$A:$A,Frame!$C:$C)+#REF!,""))</f>
        <v/>
      </c>
      <c r="E1369" s="4">
        <v>45221</v>
      </c>
      <c r="F1369" s="1" t="s">
        <v>52</v>
      </c>
    </row>
    <row r="1370" spans="1:6" x14ac:dyDescent="0.25">
      <c r="A1370" s="1" t="s">
        <v>2750</v>
      </c>
      <c r="B1370" s="1" t="s">
        <v>2751</v>
      </c>
      <c r="C1370" s="3">
        <v>200</v>
      </c>
      <c r="D1370" s="3" t="str">
        <f ca="1">IF(B1370="","",IFERROR(_xludf.XLOOKUP(_xludf.XLOOKUP(B1370,Inventory!$A:$A,Inventory!$B:$B),Blades!$A:$A,Blades!$C:$C)+_xludf.XLOOKUP(_xludf.XLOOKUP(B1370,Inventory!$A:$A,Inventory!$C:$C),Motor!$A:$A,Motor!$C:$C)+_xludf.XLOOKUP(_xludf.XLOOKUP(B1370,Inventory!$A:$A,Inventory!$D:$D),Frame!$A:$A,Frame!$C:$C)+#REF!,""))</f>
        <v/>
      </c>
      <c r="E1370" s="4">
        <v>45221</v>
      </c>
      <c r="F1370" s="1" t="s">
        <v>52</v>
      </c>
    </row>
    <row r="1371" spans="1:6" x14ac:dyDescent="0.25">
      <c r="A1371" s="1" t="s">
        <v>2752</v>
      </c>
      <c r="B1371" s="1" t="s">
        <v>2753</v>
      </c>
      <c r="C1371" s="3">
        <v>200</v>
      </c>
      <c r="D1371" s="3" t="str">
        <f ca="1">IF(B1371="","",IFERROR(_xludf.XLOOKUP(_xludf.XLOOKUP(B1371,Inventory!$A:$A,Inventory!$B:$B),Blades!$A:$A,Blades!$C:$C)+_xludf.XLOOKUP(_xludf.XLOOKUP(B1371,Inventory!$A:$A,Inventory!$C:$C),Motor!$A:$A,Motor!$C:$C)+_xludf.XLOOKUP(_xludf.XLOOKUP(B1371,Inventory!$A:$A,Inventory!$D:$D),Frame!$A:$A,Frame!$C:$C)+#REF!,""))</f>
        <v/>
      </c>
      <c r="E1371" s="4">
        <v>45222</v>
      </c>
      <c r="F1371" s="1" t="s">
        <v>63</v>
      </c>
    </row>
    <row r="1372" spans="1:6" x14ac:dyDescent="0.25">
      <c r="A1372" s="1" t="s">
        <v>2754</v>
      </c>
      <c r="B1372" s="1" t="s">
        <v>2755</v>
      </c>
      <c r="C1372" s="3">
        <v>200</v>
      </c>
      <c r="D1372" s="3" t="str">
        <f ca="1">IF(B1372="","",IFERROR(_xludf.XLOOKUP(_xludf.XLOOKUP(B1372,Inventory!$A:$A,Inventory!$B:$B),Blades!$A:$A,Blades!$C:$C)+_xludf.XLOOKUP(_xludf.XLOOKUP(B1372,Inventory!$A:$A,Inventory!$C:$C),Motor!$A:$A,Motor!$C:$C)+_xludf.XLOOKUP(_xludf.XLOOKUP(B1372,Inventory!$A:$A,Inventory!$D:$D),Frame!$A:$A,Frame!$C:$C)+#REF!,""))</f>
        <v/>
      </c>
      <c r="E1372" s="4">
        <v>45223</v>
      </c>
      <c r="F1372" s="1" t="s">
        <v>52</v>
      </c>
    </row>
    <row r="1373" spans="1:6" x14ac:dyDescent="0.25">
      <c r="A1373" s="1" t="s">
        <v>2756</v>
      </c>
      <c r="B1373" s="1" t="s">
        <v>2757</v>
      </c>
      <c r="C1373" s="3">
        <v>200</v>
      </c>
      <c r="D1373" s="3" t="str">
        <f ca="1">IF(B1373="","",IFERROR(_xludf.XLOOKUP(_xludf.XLOOKUP(B1373,Inventory!$A:$A,Inventory!$B:$B),Blades!$A:$A,Blades!$C:$C)+_xludf.XLOOKUP(_xludf.XLOOKUP(B1373,Inventory!$A:$A,Inventory!$C:$C),Motor!$A:$A,Motor!$C:$C)+_xludf.XLOOKUP(_xludf.XLOOKUP(B1373,Inventory!$A:$A,Inventory!$D:$D),Frame!$A:$A,Frame!$C:$C)+#REF!,""))</f>
        <v/>
      </c>
      <c r="E1373" s="4">
        <v>45224</v>
      </c>
      <c r="F1373" s="1" t="s">
        <v>25</v>
      </c>
    </row>
    <row r="1374" spans="1:6" x14ac:dyDescent="0.25">
      <c r="A1374" s="1" t="s">
        <v>2758</v>
      </c>
      <c r="B1374" s="1" t="s">
        <v>2759</v>
      </c>
      <c r="C1374" s="3">
        <v>200</v>
      </c>
      <c r="D1374" s="3" t="str">
        <f ca="1">IF(B1374="","",IFERROR(_xludf.XLOOKUP(_xludf.XLOOKUP(B1374,Inventory!$A:$A,Inventory!$B:$B),Blades!$A:$A,Blades!$C:$C)+_xludf.XLOOKUP(_xludf.XLOOKUP(B1374,Inventory!$A:$A,Inventory!$C:$C),Motor!$A:$A,Motor!$C:$C)+_xludf.XLOOKUP(_xludf.XLOOKUP(B1374,Inventory!$A:$A,Inventory!$D:$D),Frame!$A:$A,Frame!$C:$C)+#REF!,""))</f>
        <v/>
      </c>
      <c r="E1374" s="4">
        <v>45225</v>
      </c>
      <c r="F1374" s="1" t="s">
        <v>20</v>
      </c>
    </row>
    <row r="1375" spans="1:6" x14ac:dyDescent="0.25">
      <c r="A1375" s="1" t="s">
        <v>2760</v>
      </c>
      <c r="B1375" s="1" t="s">
        <v>2761</v>
      </c>
      <c r="C1375" s="3">
        <v>200</v>
      </c>
      <c r="D1375" s="3" t="str">
        <f ca="1">IF(B1375="","",IFERROR(_xludf.XLOOKUP(_xludf.XLOOKUP(B1375,Inventory!$A:$A,Inventory!$B:$B),Blades!$A:$A,Blades!$C:$C)+_xludf.XLOOKUP(_xludf.XLOOKUP(B1375,Inventory!$A:$A,Inventory!$C:$C),Motor!$A:$A,Motor!$C:$C)+_xludf.XLOOKUP(_xludf.XLOOKUP(B1375,Inventory!$A:$A,Inventory!$D:$D),Frame!$A:$A,Frame!$C:$C)+#REF!,""))</f>
        <v/>
      </c>
      <c r="E1375" s="4">
        <v>45226</v>
      </c>
      <c r="F1375" s="1" t="s">
        <v>63</v>
      </c>
    </row>
    <row r="1376" spans="1:6" x14ac:dyDescent="0.25">
      <c r="A1376" s="1" t="s">
        <v>2762</v>
      </c>
      <c r="B1376" s="1" t="s">
        <v>2763</v>
      </c>
      <c r="C1376" s="3">
        <v>200</v>
      </c>
      <c r="D1376" s="3" t="str">
        <f ca="1">IF(B1376="","",IFERROR(_xludf.XLOOKUP(_xludf.XLOOKUP(B1376,Inventory!$A:$A,Inventory!$B:$B),Blades!$A:$A,Blades!$C:$C)+_xludf.XLOOKUP(_xludf.XLOOKUP(B1376,Inventory!$A:$A,Inventory!$C:$C),Motor!$A:$A,Motor!$C:$C)+_xludf.XLOOKUP(_xludf.XLOOKUP(B1376,Inventory!$A:$A,Inventory!$D:$D),Frame!$A:$A,Frame!$C:$C)+#REF!,""))</f>
        <v/>
      </c>
      <c r="E1376" s="4">
        <v>45228</v>
      </c>
      <c r="F1376" s="1" t="s">
        <v>52</v>
      </c>
    </row>
    <row r="1377" spans="1:6" x14ac:dyDescent="0.25">
      <c r="A1377" s="1" t="s">
        <v>2764</v>
      </c>
      <c r="B1377" s="1" t="s">
        <v>2765</v>
      </c>
      <c r="C1377" s="3">
        <v>200</v>
      </c>
      <c r="D1377" s="3" t="str">
        <f ca="1">IF(B1377="","",IFERROR(_xludf.XLOOKUP(_xludf.XLOOKUP(B1377,Inventory!$A:$A,Inventory!$B:$B),Blades!$A:$A,Blades!$C:$C)+_xludf.XLOOKUP(_xludf.XLOOKUP(B1377,Inventory!$A:$A,Inventory!$C:$C),Motor!$A:$A,Motor!$C:$C)+_xludf.XLOOKUP(_xludf.XLOOKUP(B1377,Inventory!$A:$A,Inventory!$D:$D),Frame!$A:$A,Frame!$C:$C)+#REF!,""))</f>
        <v/>
      </c>
      <c r="E1377" s="4">
        <v>45229</v>
      </c>
      <c r="F1377" s="1" t="s">
        <v>25</v>
      </c>
    </row>
    <row r="1378" spans="1:6" x14ac:dyDescent="0.25">
      <c r="A1378" s="1" t="s">
        <v>2766</v>
      </c>
      <c r="B1378" s="1" t="s">
        <v>2767</v>
      </c>
      <c r="C1378" s="3">
        <v>200</v>
      </c>
      <c r="D1378" s="3" t="str">
        <f ca="1">IF(B1378="","",IFERROR(_xludf.XLOOKUP(_xludf.XLOOKUP(B1378,Inventory!$A:$A,Inventory!$B:$B),Blades!$A:$A,Blades!$C:$C)+_xludf.XLOOKUP(_xludf.XLOOKUP(B1378,Inventory!$A:$A,Inventory!$C:$C),Motor!$A:$A,Motor!$C:$C)+_xludf.XLOOKUP(_xludf.XLOOKUP(B1378,Inventory!$A:$A,Inventory!$D:$D),Frame!$A:$A,Frame!$C:$C)+#REF!,""))</f>
        <v/>
      </c>
      <c r="E1378" s="4">
        <v>45231</v>
      </c>
      <c r="F1378" s="1" t="s">
        <v>20</v>
      </c>
    </row>
    <row r="1379" spans="1:6" x14ac:dyDescent="0.25">
      <c r="A1379" s="1" t="s">
        <v>2768</v>
      </c>
      <c r="B1379" s="1" t="s">
        <v>2769</v>
      </c>
      <c r="C1379" s="3">
        <v>200</v>
      </c>
      <c r="D1379" s="3" t="str">
        <f ca="1">IF(B1379="","",IFERROR(_xludf.XLOOKUP(_xludf.XLOOKUP(B1379,Inventory!$A:$A,Inventory!$B:$B),Blades!$A:$A,Blades!$C:$C)+_xludf.XLOOKUP(_xludf.XLOOKUP(B1379,Inventory!$A:$A,Inventory!$C:$C),Motor!$A:$A,Motor!$C:$C)+_xludf.XLOOKUP(_xludf.XLOOKUP(B1379,Inventory!$A:$A,Inventory!$D:$D),Frame!$A:$A,Frame!$C:$C)+#REF!,""))</f>
        <v/>
      </c>
      <c r="E1379" s="4">
        <v>45231</v>
      </c>
      <c r="F1379" s="1" t="s">
        <v>25</v>
      </c>
    </row>
    <row r="1380" spans="1:6" x14ac:dyDescent="0.25">
      <c r="A1380" s="1" t="s">
        <v>2770</v>
      </c>
      <c r="B1380" s="1" t="s">
        <v>2771</v>
      </c>
      <c r="C1380" s="3">
        <v>200</v>
      </c>
      <c r="D1380" s="3" t="str">
        <f ca="1">IF(B1380="","",IFERROR(_xludf.XLOOKUP(_xludf.XLOOKUP(B1380,Inventory!$A:$A,Inventory!$B:$B),Blades!$A:$A,Blades!$C:$C)+_xludf.XLOOKUP(_xludf.XLOOKUP(B1380,Inventory!$A:$A,Inventory!$C:$C),Motor!$A:$A,Motor!$C:$C)+_xludf.XLOOKUP(_xludf.XLOOKUP(B1380,Inventory!$A:$A,Inventory!$D:$D),Frame!$A:$A,Frame!$C:$C)+#REF!,""))</f>
        <v/>
      </c>
      <c r="E1380" s="4">
        <v>45231</v>
      </c>
      <c r="F1380" s="1" t="s">
        <v>49</v>
      </c>
    </row>
    <row r="1381" spans="1:6" x14ac:dyDescent="0.25">
      <c r="A1381" s="1" t="s">
        <v>2772</v>
      </c>
      <c r="B1381" s="1" t="s">
        <v>2773</v>
      </c>
      <c r="C1381" s="3">
        <v>200</v>
      </c>
      <c r="D1381" s="3" t="str">
        <f ca="1">IF(B1381="","",IFERROR(_xludf.XLOOKUP(_xludf.XLOOKUP(B1381,Inventory!$A:$A,Inventory!$B:$B),Blades!$A:$A,Blades!$C:$C)+_xludf.XLOOKUP(_xludf.XLOOKUP(B1381,Inventory!$A:$A,Inventory!$C:$C),Motor!$A:$A,Motor!$C:$C)+_xludf.XLOOKUP(_xludf.XLOOKUP(B1381,Inventory!$A:$A,Inventory!$D:$D),Frame!$A:$A,Frame!$C:$C)+#REF!,""))</f>
        <v/>
      </c>
      <c r="E1381" s="4">
        <v>45232</v>
      </c>
      <c r="F1381" s="1" t="s">
        <v>20</v>
      </c>
    </row>
    <row r="1382" spans="1:6" x14ac:dyDescent="0.25">
      <c r="A1382" s="1" t="s">
        <v>2774</v>
      </c>
      <c r="B1382" s="1" t="s">
        <v>2775</v>
      </c>
      <c r="C1382" s="3">
        <v>200</v>
      </c>
      <c r="D1382" s="3" t="str">
        <f ca="1">IF(B1382="","",IFERROR(_xludf.XLOOKUP(_xludf.XLOOKUP(B1382,Inventory!$A:$A,Inventory!$B:$B),Blades!$A:$A,Blades!$C:$C)+_xludf.XLOOKUP(_xludf.XLOOKUP(B1382,Inventory!$A:$A,Inventory!$C:$C),Motor!$A:$A,Motor!$C:$C)+_xludf.XLOOKUP(_xludf.XLOOKUP(B1382,Inventory!$A:$A,Inventory!$D:$D),Frame!$A:$A,Frame!$C:$C)+#REF!,""))</f>
        <v/>
      </c>
      <c r="E1382" s="4">
        <v>45232</v>
      </c>
      <c r="F1382" s="1" t="s">
        <v>32</v>
      </c>
    </row>
    <row r="1383" spans="1:6" x14ac:dyDescent="0.25">
      <c r="A1383" s="1" t="s">
        <v>2776</v>
      </c>
      <c r="B1383" s="1" t="s">
        <v>2777</v>
      </c>
      <c r="C1383" s="3">
        <v>200</v>
      </c>
      <c r="D1383" s="3" t="str">
        <f ca="1">IF(B1383="","",IFERROR(_xludf.XLOOKUP(_xludf.XLOOKUP(B1383,Inventory!$A:$A,Inventory!$B:$B),Blades!$A:$A,Blades!$C:$C)+_xludf.XLOOKUP(_xludf.XLOOKUP(B1383,Inventory!$A:$A,Inventory!$C:$C),Motor!$A:$A,Motor!$C:$C)+_xludf.XLOOKUP(_xludf.XLOOKUP(B1383,Inventory!$A:$A,Inventory!$D:$D),Frame!$A:$A,Frame!$C:$C)+#REF!,""))</f>
        <v/>
      </c>
      <c r="E1383" s="4">
        <v>45234</v>
      </c>
      <c r="F1383" s="1" t="s">
        <v>49</v>
      </c>
    </row>
    <row r="1384" spans="1:6" x14ac:dyDescent="0.25">
      <c r="A1384" s="1" t="s">
        <v>2778</v>
      </c>
      <c r="B1384" s="1" t="s">
        <v>2779</v>
      </c>
      <c r="C1384" s="3">
        <v>200</v>
      </c>
      <c r="D1384" s="3" t="str">
        <f ca="1">IF(B1384="","",IFERROR(_xludf.XLOOKUP(_xludf.XLOOKUP(B1384,Inventory!$A:$A,Inventory!$B:$B),Blades!$A:$A,Blades!$C:$C)+_xludf.XLOOKUP(_xludf.XLOOKUP(B1384,Inventory!$A:$A,Inventory!$C:$C),Motor!$A:$A,Motor!$C:$C)+_xludf.XLOOKUP(_xludf.XLOOKUP(B1384,Inventory!$A:$A,Inventory!$D:$D),Frame!$A:$A,Frame!$C:$C)+#REF!,""))</f>
        <v/>
      </c>
      <c r="E1384" s="4">
        <v>45234</v>
      </c>
      <c r="F1384" s="1" t="s">
        <v>63</v>
      </c>
    </row>
    <row r="1385" spans="1:6" x14ac:dyDescent="0.25">
      <c r="A1385" s="1" t="s">
        <v>2780</v>
      </c>
      <c r="B1385" s="1" t="s">
        <v>2781</v>
      </c>
      <c r="C1385" s="3">
        <v>200</v>
      </c>
      <c r="D1385" s="3" t="str">
        <f ca="1">IF(B1385="","",IFERROR(_xludf.XLOOKUP(_xludf.XLOOKUP(B1385,Inventory!$A:$A,Inventory!$B:$B),Blades!$A:$A,Blades!$C:$C)+_xludf.XLOOKUP(_xludf.XLOOKUP(B1385,Inventory!$A:$A,Inventory!$C:$C),Motor!$A:$A,Motor!$C:$C)+_xludf.XLOOKUP(_xludf.XLOOKUP(B1385,Inventory!$A:$A,Inventory!$D:$D),Frame!$A:$A,Frame!$C:$C)+#REF!,""))</f>
        <v/>
      </c>
      <c r="E1385" s="4">
        <v>45235</v>
      </c>
      <c r="F1385" s="1" t="s">
        <v>8</v>
      </c>
    </row>
    <row r="1386" spans="1:6" x14ac:dyDescent="0.25">
      <c r="A1386" s="1" t="s">
        <v>2782</v>
      </c>
      <c r="B1386" s="1" t="s">
        <v>2783</v>
      </c>
      <c r="C1386" s="3">
        <v>200</v>
      </c>
      <c r="D1386" s="3" t="str">
        <f ca="1">IF(B1386="","",IFERROR(_xludf.XLOOKUP(_xludf.XLOOKUP(B1386,Inventory!$A:$A,Inventory!$B:$B),Blades!$A:$A,Blades!$C:$C)+_xludf.XLOOKUP(_xludf.XLOOKUP(B1386,Inventory!$A:$A,Inventory!$C:$C),Motor!$A:$A,Motor!$C:$C)+_xludf.XLOOKUP(_xludf.XLOOKUP(B1386,Inventory!$A:$A,Inventory!$D:$D),Frame!$A:$A,Frame!$C:$C)+#REF!,""))</f>
        <v/>
      </c>
      <c r="E1386" s="4">
        <v>45236</v>
      </c>
      <c r="F1386" s="1" t="s">
        <v>8</v>
      </c>
    </row>
    <row r="1387" spans="1:6" x14ac:dyDescent="0.25">
      <c r="A1387" s="1" t="s">
        <v>2784</v>
      </c>
      <c r="B1387" s="1" t="s">
        <v>2785</v>
      </c>
      <c r="C1387" s="3">
        <v>200</v>
      </c>
      <c r="D1387" s="3" t="str">
        <f ca="1">IF(B1387="","",IFERROR(_xludf.XLOOKUP(_xludf.XLOOKUP(B1387,Inventory!$A:$A,Inventory!$B:$B),Blades!$A:$A,Blades!$C:$C)+_xludf.XLOOKUP(_xludf.XLOOKUP(B1387,Inventory!$A:$A,Inventory!$C:$C),Motor!$A:$A,Motor!$C:$C)+_xludf.XLOOKUP(_xludf.XLOOKUP(B1387,Inventory!$A:$A,Inventory!$D:$D),Frame!$A:$A,Frame!$C:$C)+#REF!,""))</f>
        <v/>
      </c>
      <c r="E1387" s="4">
        <v>45236</v>
      </c>
      <c r="F1387" s="1" t="s">
        <v>25</v>
      </c>
    </row>
    <row r="1388" spans="1:6" x14ac:dyDescent="0.25">
      <c r="A1388" s="1" t="s">
        <v>2786</v>
      </c>
      <c r="B1388" s="1" t="s">
        <v>2787</v>
      </c>
      <c r="C1388" s="3">
        <v>200</v>
      </c>
      <c r="D1388" s="3" t="str">
        <f ca="1">IF(B1388="","",IFERROR(_xludf.XLOOKUP(_xludf.XLOOKUP(B1388,Inventory!$A:$A,Inventory!$B:$B),Blades!$A:$A,Blades!$C:$C)+_xludf.XLOOKUP(_xludf.XLOOKUP(B1388,Inventory!$A:$A,Inventory!$C:$C),Motor!$A:$A,Motor!$C:$C)+_xludf.XLOOKUP(_xludf.XLOOKUP(B1388,Inventory!$A:$A,Inventory!$D:$D),Frame!$A:$A,Frame!$C:$C)+#REF!,""))</f>
        <v/>
      </c>
      <c r="E1388" s="4">
        <v>45236</v>
      </c>
      <c r="F1388" s="1" t="s">
        <v>11</v>
      </c>
    </row>
    <row r="1389" spans="1:6" x14ac:dyDescent="0.25">
      <c r="A1389" s="1" t="s">
        <v>2788</v>
      </c>
      <c r="B1389" s="1" t="s">
        <v>2789</v>
      </c>
      <c r="C1389" s="3">
        <v>200</v>
      </c>
      <c r="D1389" s="3" t="str">
        <f ca="1">IF(B1389="","",IFERROR(_xludf.XLOOKUP(_xludf.XLOOKUP(B1389,Inventory!$A:$A,Inventory!$B:$B),Blades!$A:$A,Blades!$C:$C)+_xludf.XLOOKUP(_xludf.XLOOKUP(B1389,Inventory!$A:$A,Inventory!$C:$C),Motor!$A:$A,Motor!$C:$C)+_xludf.XLOOKUP(_xludf.XLOOKUP(B1389,Inventory!$A:$A,Inventory!$D:$D),Frame!$A:$A,Frame!$C:$C)+#REF!,""))</f>
        <v/>
      </c>
      <c r="E1389" s="4">
        <v>45237</v>
      </c>
      <c r="F1389" s="1" t="s">
        <v>49</v>
      </c>
    </row>
    <row r="1390" spans="1:6" x14ac:dyDescent="0.25">
      <c r="A1390" s="1" t="s">
        <v>2790</v>
      </c>
      <c r="B1390" s="1" t="s">
        <v>2791</v>
      </c>
      <c r="C1390" s="3">
        <v>200</v>
      </c>
      <c r="D1390" s="3" t="str">
        <f ca="1">IF(B1390="","",IFERROR(_xludf.XLOOKUP(_xludf.XLOOKUP(B1390,Inventory!$A:$A,Inventory!$B:$B),Blades!$A:$A,Blades!$C:$C)+_xludf.XLOOKUP(_xludf.XLOOKUP(B1390,Inventory!$A:$A,Inventory!$C:$C),Motor!$A:$A,Motor!$C:$C)+_xludf.XLOOKUP(_xludf.XLOOKUP(B1390,Inventory!$A:$A,Inventory!$D:$D),Frame!$A:$A,Frame!$C:$C)+#REF!,""))</f>
        <v/>
      </c>
      <c r="E1390" s="4">
        <v>45238</v>
      </c>
      <c r="F1390" s="1" t="s">
        <v>11</v>
      </c>
    </row>
    <row r="1391" spans="1:6" x14ac:dyDescent="0.25">
      <c r="A1391" s="1" t="s">
        <v>2792</v>
      </c>
      <c r="B1391" s="1" t="s">
        <v>2793</v>
      </c>
      <c r="C1391" s="3">
        <v>200</v>
      </c>
      <c r="D1391" s="3" t="str">
        <f ca="1">IF(B1391="","",IFERROR(_xludf.XLOOKUP(_xludf.XLOOKUP(B1391,Inventory!$A:$A,Inventory!$B:$B),Blades!$A:$A,Blades!$C:$C)+_xludf.XLOOKUP(_xludf.XLOOKUP(B1391,Inventory!$A:$A,Inventory!$C:$C),Motor!$A:$A,Motor!$C:$C)+_xludf.XLOOKUP(_xludf.XLOOKUP(B1391,Inventory!$A:$A,Inventory!$D:$D),Frame!$A:$A,Frame!$C:$C)+#REF!,""))</f>
        <v/>
      </c>
      <c r="E1391" s="4">
        <v>45238</v>
      </c>
      <c r="F1391" s="1" t="s">
        <v>11</v>
      </c>
    </row>
    <row r="1392" spans="1:6" x14ac:dyDescent="0.25">
      <c r="A1392" s="1" t="s">
        <v>2794</v>
      </c>
      <c r="B1392" s="1" t="s">
        <v>2795</v>
      </c>
      <c r="C1392" s="3">
        <v>200</v>
      </c>
      <c r="D1392" s="3" t="str">
        <f ca="1">IF(B1392="","",IFERROR(_xludf.XLOOKUP(_xludf.XLOOKUP(B1392,Inventory!$A:$A,Inventory!$B:$B),Blades!$A:$A,Blades!$C:$C)+_xludf.XLOOKUP(_xludf.XLOOKUP(B1392,Inventory!$A:$A,Inventory!$C:$C),Motor!$A:$A,Motor!$C:$C)+_xludf.XLOOKUP(_xludf.XLOOKUP(B1392,Inventory!$A:$A,Inventory!$D:$D),Frame!$A:$A,Frame!$C:$C)+#REF!,""))</f>
        <v/>
      </c>
      <c r="E1392" s="4">
        <v>45238</v>
      </c>
      <c r="F1392" s="1" t="s">
        <v>63</v>
      </c>
    </row>
    <row r="1393" spans="1:6" x14ac:dyDescent="0.25">
      <c r="A1393" s="1" t="s">
        <v>2796</v>
      </c>
      <c r="B1393" s="1" t="s">
        <v>2797</v>
      </c>
      <c r="C1393" s="3">
        <v>200</v>
      </c>
      <c r="D1393" s="3" t="str">
        <f ca="1">IF(B1393="","",IFERROR(_xludf.XLOOKUP(_xludf.XLOOKUP(B1393,Inventory!$A:$A,Inventory!$B:$B),Blades!$A:$A,Blades!$C:$C)+_xludf.XLOOKUP(_xludf.XLOOKUP(B1393,Inventory!$A:$A,Inventory!$C:$C),Motor!$A:$A,Motor!$C:$C)+_xludf.XLOOKUP(_xludf.XLOOKUP(B1393,Inventory!$A:$A,Inventory!$D:$D),Frame!$A:$A,Frame!$C:$C)+#REF!,""))</f>
        <v/>
      </c>
      <c r="E1393" s="4">
        <v>45239</v>
      </c>
      <c r="F1393" s="1" t="s">
        <v>25</v>
      </c>
    </row>
    <row r="1394" spans="1:6" x14ac:dyDescent="0.25">
      <c r="A1394" s="1" t="s">
        <v>2798</v>
      </c>
      <c r="B1394" s="1" t="s">
        <v>2799</v>
      </c>
      <c r="C1394" s="3">
        <v>200</v>
      </c>
      <c r="D1394" s="3" t="str">
        <f ca="1">IF(B1394="","",IFERROR(_xludf.XLOOKUP(_xludf.XLOOKUP(B1394,Inventory!$A:$A,Inventory!$B:$B),Blades!$A:$A,Blades!$C:$C)+_xludf.XLOOKUP(_xludf.XLOOKUP(B1394,Inventory!$A:$A,Inventory!$C:$C),Motor!$A:$A,Motor!$C:$C)+_xludf.XLOOKUP(_xludf.XLOOKUP(B1394,Inventory!$A:$A,Inventory!$D:$D),Frame!$A:$A,Frame!$C:$C)+#REF!,""))</f>
        <v/>
      </c>
      <c r="E1394" s="4">
        <v>45239</v>
      </c>
      <c r="F1394" s="1" t="s">
        <v>11</v>
      </c>
    </row>
    <row r="1395" spans="1:6" x14ac:dyDescent="0.25">
      <c r="A1395" s="1" t="s">
        <v>2800</v>
      </c>
      <c r="B1395" s="1" t="s">
        <v>2801</v>
      </c>
      <c r="C1395" s="3">
        <v>200</v>
      </c>
      <c r="D1395" s="3" t="str">
        <f ca="1">IF(B1395="","",IFERROR(_xludf.XLOOKUP(_xludf.XLOOKUP(B1395,Inventory!$A:$A,Inventory!$B:$B),Blades!$A:$A,Blades!$C:$C)+_xludf.XLOOKUP(_xludf.XLOOKUP(B1395,Inventory!$A:$A,Inventory!$C:$C),Motor!$A:$A,Motor!$C:$C)+_xludf.XLOOKUP(_xludf.XLOOKUP(B1395,Inventory!$A:$A,Inventory!$D:$D),Frame!$A:$A,Frame!$C:$C)+#REF!,""))</f>
        <v/>
      </c>
      <c r="E1395" s="4">
        <v>45240</v>
      </c>
      <c r="F1395" s="1" t="s">
        <v>49</v>
      </c>
    </row>
    <row r="1396" spans="1:6" x14ac:dyDescent="0.25">
      <c r="A1396" s="1" t="s">
        <v>2802</v>
      </c>
      <c r="B1396" s="1" t="s">
        <v>2803</v>
      </c>
      <c r="C1396" s="3">
        <v>200</v>
      </c>
      <c r="D1396" s="3" t="str">
        <f ca="1">IF(B1396="","",IFERROR(_xludf.XLOOKUP(_xludf.XLOOKUP(B1396,Inventory!$A:$A,Inventory!$B:$B),Blades!$A:$A,Blades!$C:$C)+_xludf.XLOOKUP(_xludf.XLOOKUP(B1396,Inventory!$A:$A,Inventory!$C:$C),Motor!$A:$A,Motor!$C:$C)+_xludf.XLOOKUP(_xludf.XLOOKUP(B1396,Inventory!$A:$A,Inventory!$D:$D),Frame!$A:$A,Frame!$C:$C)+#REF!,""))</f>
        <v/>
      </c>
      <c r="E1396" s="4">
        <v>45240</v>
      </c>
      <c r="F1396" s="1" t="s">
        <v>20</v>
      </c>
    </row>
    <row r="1397" spans="1:6" x14ac:dyDescent="0.25">
      <c r="A1397" s="1" t="s">
        <v>2804</v>
      </c>
      <c r="B1397" s="1" t="s">
        <v>2805</v>
      </c>
      <c r="C1397" s="3">
        <v>200</v>
      </c>
      <c r="D1397" s="3" t="str">
        <f ca="1">IF(B1397="","",IFERROR(_xludf.XLOOKUP(_xludf.XLOOKUP(B1397,Inventory!$A:$A,Inventory!$B:$B),Blades!$A:$A,Blades!$C:$C)+_xludf.XLOOKUP(_xludf.XLOOKUP(B1397,Inventory!$A:$A,Inventory!$C:$C),Motor!$A:$A,Motor!$C:$C)+_xludf.XLOOKUP(_xludf.XLOOKUP(B1397,Inventory!$A:$A,Inventory!$D:$D),Frame!$A:$A,Frame!$C:$C)+#REF!,""))</f>
        <v/>
      </c>
      <c r="E1397" s="4">
        <v>45240</v>
      </c>
      <c r="F1397" s="1" t="s">
        <v>49</v>
      </c>
    </row>
    <row r="1398" spans="1:6" x14ac:dyDescent="0.25">
      <c r="A1398" s="1" t="s">
        <v>2806</v>
      </c>
      <c r="B1398" s="1" t="s">
        <v>2807</v>
      </c>
      <c r="C1398" s="3">
        <v>200</v>
      </c>
      <c r="D1398" s="3" t="str">
        <f ca="1">IF(B1398="","",IFERROR(_xludf.XLOOKUP(_xludf.XLOOKUP(B1398,Inventory!$A:$A,Inventory!$B:$B),Blades!$A:$A,Blades!$C:$C)+_xludf.XLOOKUP(_xludf.XLOOKUP(B1398,Inventory!$A:$A,Inventory!$C:$C),Motor!$A:$A,Motor!$C:$C)+_xludf.XLOOKUP(_xludf.XLOOKUP(B1398,Inventory!$A:$A,Inventory!$D:$D),Frame!$A:$A,Frame!$C:$C)+#REF!,""))</f>
        <v/>
      </c>
      <c r="E1398" s="4">
        <v>45240</v>
      </c>
      <c r="F1398" s="1" t="s">
        <v>8</v>
      </c>
    </row>
    <row r="1399" spans="1:6" x14ac:dyDescent="0.25">
      <c r="A1399" s="1" t="s">
        <v>2808</v>
      </c>
      <c r="B1399" s="1" t="s">
        <v>2809</v>
      </c>
      <c r="C1399" s="3">
        <v>200</v>
      </c>
      <c r="D1399" s="3" t="str">
        <f ca="1">IF(B1399="","",IFERROR(_xludf.XLOOKUP(_xludf.XLOOKUP(B1399,Inventory!$A:$A,Inventory!$B:$B),Blades!$A:$A,Blades!$C:$C)+_xludf.XLOOKUP(_xludf.XLOOKUP(B1399,Inventory!$A:$A,Inventory!$C:$C),Motor!$A:$A,Motor!$C:$C)+_xludf.XLOOKUP(_xludf.XLOOKUP(B1399,Inventory!$A:$A,Inventory!$D:$D),Frame!$A:$A,Frame!$C:$C)+#REF!,""))</f>
        <v/>
      </c>
      <c r="E1399" s="4">
        <v>45240</v>
      </c>
      <c r="F1399" s="1" t="s">
        <v>25</v>
      </c>
    </row>
    <row r="1400" spans="1:6" x14ac:dyDescent="0.25">
      <c r="A1400" s="1" t="s">
        <v>2810</v>
      </c>
      <c r="B1400" s="1" t="s">
        <v>2811</v>
      </c>
      <c r="C1400" s="3">
        <v>200</v>
      </c>
      <c r="D1400" s="3" t="str">
        <f ca="1">IF(B1400="","",IFERROR(_xludf.XLOOKUP(_xludf.XLOOKUP(B1400,Inventory!$A:$A,Inventory!$B:$B),Blades!$A:$A,Blades!$C:$C)+_xludf.XLOOKUP(_xludf.XLOOKUP(B1400,Inventory!$A:$A,Inventory!$C:$C),Motor!$A:$A,Motor!$C:$C)+_xludf.XLOOKUP(_xludf.XLOOKUP(B1400,Inventory!$A:$A,Inventory!$D:$D),Frame!$A:$A,Frame!$C:$C)+#REF!,""))</f>
        <v/>
      </c>
      <c r="E1400" s="4">
        <v>45240</v>
      </c>
      <c r="F1400" s="1" t="s">
        <v>8</v>
      </c>
    </row>
    <row r="1401" spans="1:6" x14ac:dyDescent="0.25">
      <c r="A1401" s="1" t="s">
        <v>2812</v>
      </c>
      <c r="B1401" s="1" t="s">
        <v>2813</v>
      </c>
      <c r="C1401" s="3">
        <v>200</v>
      </c>
      <c r="D1401" s="3" t="str">
        <f ca="1">IF(B1401="","",IFERROR(_xludf.XLOOKUP(_xludf.XLOOKUP(B1401,Inventory!$A:$A,Inventory!$B:$B),Blades!$A:$A,Blades!$C:$C)+_xludf.XLOOKUP(_xludf.XLOOKUP(B1401,Inventory!$A:$A,Inventory!$C:$C),Motor!$A:$A,Motor!$C:$C)+_xludf.XLOOKUP(_xludf.XLOOKUP(B1401,Inventory!$A:$A,Inventory!$D:$D),Frame!$A:$A,Frame!$C:$C)+#REF!,""))</f>
        <v/>
      </c>
      <c r="E1401" s="4">
        <v>45240</v>
      </c>
      <c r="F1401" s="1" t="s">
        <v>32</v>
      </c>
    </row>
    <row r="1402" spans="1:6" x14ac:dyDescent="0.25">
      <c r="A1402" s="1" t="s">
        <v>2814</v>
      </c>
      <c r="B1402" s="1" t="s">
        <v>2815</v>
      </c>
      <c r="C1402" s="3">
        <v>200</v>
      </c>
      <c r="D1402" s="3" t="str">
        <f ca="1">IF(B1402="","",IFERROR(_xludf.XLOOKUP(_xludf.XLOOKUP(B1402,Inventory!$A:$A,Inventory!$B:$B),Blades!$A:$A,Blades!$C:$C)+_xludf.XLOOKUP(_xludf.XLOOKUP(B1402,Inventory!$A:$A,Inventory!$C:$C),Motor!$A:$A,Motor!$C:$C)+_xludf.XLOOKUP(_xludf.XLOOKUP(B1402,Inventory!$A:$A,Inventory!$D:$D),Frame!$A:$A,Frame!$C:$C)+#REF!,""))</f>
        <v/>
      </c>
      <c r="E1402" s="4">
        <v>45241</v>
      </c>
      <c r="F1402" s="1" t="s">
        <v>49</v>
      </c>
    </row>
    <row r="1403" spans="1:6" x14ac:dyDescent="0.25">
      <c r="A1403" s="1" t="s">
        <v>2816</v>
      </c>
      <c r="B1403" s="1" t="s">
        <v>2817</v>
      </c>
      <c r="C1403" s="3">
        <v>200</v>
      </c>
      <c r="D1403" s="3" t="str">
        <f ca="1">IF(B1403="","",IFERROR(_xludf.XLOOKUP(_xludf.XLOOKUP(B1403,Inventory!$A:$A,Inventory!$B:$B),Blades!$A:$A,Blades!$C:$C)+_xludf.XLOOKUP(_xludf.XLOOKUP(B1403,Inventory!$A:$A,Inventory!$C:$C),Motor!$A:$A,Motor!$C:$C)+_xludf.XLOOKUP(_xludf.XLOOKUP(B1403,Inventory!$A:$A,Inventory!$D:$D),Frame!$A:$A,Frame!$C:$C)+#REF!,""))</f>
        <v/>
      </c>
      <c r="E1403" s="4">
        <v>45242</v>
      </c>
      <c r="F1403" s="1" t="s">
        <v>20</v>
      </c>
    </row>
    <row r="1404" spans="1:6" x14ac:dyDescent="0.25">
      <c r="A1404" s="1" t="s">
        <v>2818</v>
      </c>
      <c r="B1404" s="1" t="s">
        <v>2819</v>
      </c>
      <c r="C1404" s="3">
        <v>200</v>
      </c>
      <c r="D1404" s="3" t="str">
        <f ca="1">IF(B1404="","",IFERROR(_xludf.XLOOKUP(_xludf.XLOOKUP(B1404,Inventory!$A:$A,Inventory!$B:$B),Blades!$A:$A,Blades!$C:$C)+_xludf.XLOOKUP(_xludf.XLOOKUP(B1404,Inventory!$A:$A,Inventory!$C:$C),Motor!$A:$A,Motor!$C:$C)+_xludf.XLOOKUP(_xludf.XLOOKUP(B1404,Inventory!$A:$A,Inventory!$D:$D),Frame!$A:$A,Frame!$C:$C)+#REF!,""))</f>
        <v/>
      </c>
      <c r="E1404" s="4">
        <v>45242</v>
      </c>
      <c r="F1404" s="1" t="s">
        <v>20</v>
      </c>
    </row>
    <row r="1405" spans="1:6" x14ac:dyDescent="0.25">
      <c r="A1405" s="1" t="s">
        <v>2820</v>
      </c>
      <c r="B1405" s="1" t="s">
        <v>2821</v>
      </c>
      <c r="C1405" s="3">
        <v>200</v>
      </c>
      <c r="D1405" s="3" t="str">
        <f ca="1">IF(B1405="","",IFERROR(_xludf.XLOOKUP(_xludf.XLOOKUP(B1405,Inventory!$A:$A,Inventory!$B:$B),Blades!$A:$A,Blades!$C:$C)+_xludf.XLOOKUP(_xludf.XLOOKUP(B1405,Inventory!$A:$A,Inventory!$C:$C),Motor!$A:$A,Motor!$C:$C)+_xludf.XLOOKUP(_xludf.XLOOKUP(B1405,Inventory!$A:$A,Inventory!$D:$D),Frame!$A:$A,Frame!$C:$C)+#REF!,""))</f>
        <v/>
      </c>
      <c r="E1405" s="4">
        <v>45242</v>
      </c>
      <c r="F1405" s="1" t="s">
        <v>20</v>
      </c>
    </row>
    <row r="1406" spans="1:6" x14ac:dyDescent="0.25">
      <c r="A1406" s="1" t="s">
        <v>2822</v>
      </c>
      <c r="B1406" s="1" t="s">
        <v>2823</v>
      </c>
      <c r="C1406" s="3">
        <v>200</v>
      </c>
      <c r="D1406" s="3" t="str">
        <f ca="1">IF(B1406="","",IFERROR(_xludf.XLOOKUP(_xludf.XLOOKUP(B1406,Inventory!$A:$A,Inventory!$B:$B),Blades!$A:$A,Blades!$C:$C)+_xludf.XLOOKUP(_xludf.XLOOKUP(B1406,Inventory!$A:$A,Inventory!$C:$C),Motor!$A:$A,Motor!$C:$C)+_xludf.XLOOKUP(_xludf.XLOOKUP(B1406,Inventory!$A:$A,Inventory!$D:$D),Frame!$A:$A,Frame!$C:$C)+#REF!,""))</f>
        <v/>
      </c>
      <c r="E1406" s="4">
        <v>45242</v>
      </c>
      <c r="F1406" s="1" t="s">
        <v>11</v>
      </c>
    </row>
    <row r="1407" spans="1:6" x14ac:dyDescent="0.25">
      <c r="A1407" s="1" t="s">
        <v>2824</v>
      </c>
      <c r="B1407" s="1" t="s">
        <v>2825</v>
      </c>
      <c r="C1407" s="3">
        <v>200</v>
      </c>
      <c r="D1407" s="3" t="str">
        <f ca="1">IF(B1407="","",IFERROR(_xludf.XLOOKUP(_xludf.XLOOKUP(B1407,Inventory!$A:$A,Inventory!$B:$B),Blades!$A:$A,Blades!$C:$C)+_xludf.XLOOKUP(_xludf.XLOOKUP(B1407,Inventory!$A:$A,Inventory!$C:$C),Motor!$A:$A,Motor!$C:$C)+_xludf.XLOOKUP(_xludf.XLOOKUP(B1407,Inventory!$A:$A,Inventory!$D:$D),Frame!$A:$A,Frame!$C:$C)+#REF!,""))</f>
        <v/>
      </c>
      <c r="E1407" s="4">
        <v>45243</v>
      </c>
      <c r="F1407" s="1" t="s">
        <v>63</v>
      </c>
    </row>
    <row r="1408" spans="1:6" x14ac:dyDescent="0.25">
      <c r="A1408" s="1" t="s">
        <v>2826</v>
      </c>
      <c r="B1408" s="1" t="s">
        <v>2827</v>
      </c>
      <c r="C1408" s="3">
        <v>200</v>
      </c>
      <c r="D1408" s="3" t="str">
        <f ca="1">IF(B1408="","",IFERROR(_xludf.XLOOKUP(_xludf.XLOOKUP(B1408,Inventory!$A:$A,Inventory!$B:$B),Blades!$A:$A,Blades!$C:$C)+_xludf.XLOOKUP(_xludf.XLOOKUP(B1408,Inventory!$A:$A,Inventory!$C:$C),Motor!$A:$A,Motor!$C:$C)+_xludf.XLOOKUP(_xludf.XLOOKUP(B1408,Inventory!$A:$A,Inventory!$D:$D),Frame!$A:$A,Frame!$C:$C)+#REF!,""))</f>
        <v/>
      </c>
      <c r="E1408" s="4">
        <v>45244</v>
      </c>
      <c r="F1408" s="1" t="s">
        <v>11</v>
      </c>
    </row>
    <row r="1409" spans="1:6" x14ac:dyDescent="0.25">
      <c r="A1409" s="1" t="s">
        <v>2828</v>
      </c>
      <c r="B1409" s="1" t="s">
        <v>2829</v>
      </c>
      <c r="C1409" s="3">
        <v>200</v>
      </c>
      <c r="D1409" s="3" t="str">
        <f ca="1">IF(B1409="","",IFERROR(_xludf.XLOOKUP(_xludf.XLOOKUP(B1409,Inventory!$A:$A,Inventory!$B:$B),Blades!$A:$A,Blades!$C:$C)+_xludf.XLOOKUP(_xludf.XLOOKUP(B1409,Inventory!$A:$A,Inventory!$C:$C),Motor!$A:$A,Motor!$C:$C)+_xludf.XLOOKUP(_xludf.XLOOKUP(B1409,Inventory!$A:$A,Inventory!$D:$D),Frame!$A:$A,Frame!$C:$C)+#REF!,""))</f>
        <v/>
      </c>
      <c r="E1409" s="4">
        <v>45244</v>
      </c>
      <c r="F1409" s="1" t="s">
        <v>20</v>
      </c>
    </row>
    <row r="1410" spans="1:6" x14ac:dyDescent="0.25">
      <c r="A1410" s="1" t="s">
        <v>2830</v>
      </c>
      <c r="B1410" s="1" t="s">
        <v>2831</v>
      </c>
      <c r="C1410" s="3">
        <v>200</v>
      </c>
      <c r="D1410" s="3" t="str">
        <f ca="1">IF(B1410="","",IFERROR(_xludf.XLOOKUP(_xludf.XLOOKUP(B1410,Inventory!$A:$A,Inventory!$B:$B),Blades!$A:$A,Blades!$C:$C)+_xludf.XLOOKUP(_xludf.XLOOKUP(B1410,Inventory!$A:$A,Inventory!$C:$C),Motor!$A:$A,Motor!$C:$C)+_xludf.XLOOKUP(_xludf.XLOOKUP(B1410,Inventory!$A:$A,Inventory!$D:$D),Frame!$A:$A,Frame!$C:$C)+#REF!,""))</f>
        <v/>
      </c>
      <c r="E1410" s="4">
        <v>45245</v>
      </c>
      <c r="F1410" s="1" t="s">
        <v>20</v>
      </c>
    </row>
    <row r="1411" spans="1:6" x14ac:dyDescent="0.25">
      <c r="A1411" s="1" t="s">
        <v>2832</v>
      </c>
      <c r="B1411" s="1" t="s">
        <v>2833</v>
      </c>
      <c r="C1411" s="3">
        <v>200</v>
      </c>
      <c r="D1411" s="3" t="str">
        <f ca="1">IF(B1411="","",IFERROR(_xludf.XLOOKUP(_xludf.XLOOKUP(B1411,Inventory!$A:$A,Inventory!$B:$B),Blades!$A:$A,Blades!$C:$C)+_xludf.XLOOKUP(_xludf.XLOOKUP(B1411,Inventory!$A:$A,Inventory!$C:$C),Motor!$A:$A,Motor!$C:$C)+_xludf.XLOOKUP(_xludf.XLOOKUP(B1411,Inventory!$A:$A,Inventory!$D:$D),Frame!$A:$A,Frame!$C:$C)+#REF!,""))</f>
        <v/>
      </c>
      <c r="E1411" s="4">
        <v>45245</v>
      </c>
      <c r="F1411" s="1" t="s">
        <v>20</v>
      </c>
    </row>
    <row r="1412" spans="1:6" x14ac:dyDescent="0.25">
      <c r="A1412" s="1" t="s">
        <v>2834</v>
      </c>
      <c r="B1412" s="1" t="s">
        <v>2835</v>
      </c>
      <c r="C1412" s="3">
        <v>200</v>
      </c>
      <c r="D1412" s="3" t="str">
        <f ca="1">IF(B1412="","",IFERROR(_xludf.XLOOKUP(_xludf.XLOOKUP(B1412,Inventory!$A:$A,Inventory!$B:$B),Blades!$A:$A,Blades!$C:$C)+_xludf.XLOOKUP(_xludf.XLOOKUP(B1412,Inventory!$A:$A,Inventory!$C:$C),Motor!$A:$A,Motor!$C:$C)+_xludf.XLOOKUP(_xludf.XLOOKUP(B1412,Inventory!$A:$A,Inventory!$D:$D),Frame!$A:$A,Frame!$C:$C)+#REF!,""))</f>
        <v/>
      </c>
      <c r="E1412" s="4">
        <v>45246</v>
      </c>
      <c r="F1412" s="1" t="s">
        <v>52</v>
      </c>
    </row>
    <row r="1413" spans="1:6" x14ac:dyDescent="0.25">
      <c r="A1413" s="1" t="s">
        <v>2836</v>
      </c>
      <c r="B1413" s="1" t="s">
        <v>2837</v>
      </c>
      <c r="C1413" s="3">
        <v>200</v>
      </c>
      <c r="D1413" s="3" t="str">
        <f ca="1">IF(B1413="","",IFERROR(_xludf.XLOOKUP(_xludf.XLOOKUP(B1413,Inventory!$A:$A,Inventory!$B:$B),Blades!$A:$A,Blades!$C:$C)+_xludf.XLOOKUP(_xludf.XLOOKUP(B1413,Inventory!$A:$A,Inventory!$C:$C),Motor!$A:$A,Motor!$C:$C)+_xludf.XLOOKUP(_xludf.XLOOKUP(B1413,Inventory!$A:$A,Inventory!$D:$D),Frame!$A:$A,Frame!$C:$C)+#REF!,""))</f>
        <v/>
      </c>
      <c r="E1413" s="4">
        <v>45246</v>
      </c>
      <c r="F1413" s="1" t="s">
        <v>11</v>
      </c>
    </row>
    <row r="1414" spans="1:6" x14ac:dyDescent="0.25">
      <c r="A1414" s="1" t="s">
        <v>2838</v>
      </c>
      <c r="B1414" s="1" t="s">
        <v>2839</v>
      </c>
      <c r="C1414" s="3">
        <v>200</v>
      </c>
      <c r="D1414" s="3" t="str">
        <f ca="1">IF(B1414="","",IFERROR(_xludf.XLOOKUP(_xludf.XLOOKUP(B1414,Inventory!$A:$A,Inventory!$B:$B),Blades!$A:$A,Blades!$C:$C)+_xludf.XLOOKUP(_xludf.XLOOKUP(B1414,Inventory!$A:$A,Inventory!$C:$C),Motor!$A:$A,Motor!$C:$C)+_xludf.XLOOKUP(_xludf.XLOOKUP(B1414,Inventory!$A:$A,Inventory!$D:$D),Frame!$A:$A,Frame!$C:$C)+#REF!,""))</f>
        <v/>
      </c>
      <c r="E1414" s="4">
        <v>45247</v>
      </c>
      <c r="F1414" s="1" t="s">
        <v>8</v>
      </c>
    </row>
    <row r="1415" spans="1:6" x14ac:dyDescent="0.25">
      <c r="A1415" s="1" t="s">
        <v>2840</v>
      </c>
      <c r="B1415" s="1" t="s">
        <v>2841</v>
      </c>
      <c r="C1415" s="3">
        <v>200</v>
      </c>
      <c r="D1415" s="3" t="str">
        <f ca="1">IF(B1415="","",IFERROR(_xludf.XLOOKUP(_xludf.XLOOKUP(B1415,Inventory!$A:$A,Inventory!$B:$B),Blades!$A:$A,Blades!$C:$C)+_xludf.XLOOKUP(_xludf.XLOOKUP(B1415,Inventory!$A:$A,Inventory!$C:$C),Motor!$A:$A,Motor!$C:$C)+_xludf.XLOOKUP(_xludf.XLOOKUP(B1415,Inventory!$A:$A,Inventory!$D:$D),Frame!$A:$A,Frame!$C:$C)+#REF!,""))</f>
        <v/>
      </c>
      <c r="E1415" s="4">
        <v>45247</v>
      </c>
      <c r="F1415" s="1" t="s">
        <v>63</v>
      </c>
    </row>
    <row r="1416" spans="1:6" x14ac:dyDescent="0.25">
      <c r="A1416" s="1" t="s">
        <v>2842</v>
      </c>
      <c r="B1416" s="1" t="s">
        <v>2843</v>
      </c>
      <c r="C1416" s="3">
        <v>200</v>
      </c>
      <c r="D1416" s="3" t="str">
        <f ca="1">IF(B1416="","",IFERROR(_xludf.XLOOKUP(_xludf.XLOOKUP(B1416,Inventory!$A:$A,Inventory!$B:$B),Blades!$A:$A,Blades!$C:$C)+_xludf.XLOOKUP(_xludf.XLOOKUP(B1416,Inventory!$A:$A,Inventory!$C:$C),Motor!$A:$A,Motor!$C:$C)+_xludf.XLOOKUP(_xludf.XLOOKUP(B1416,Inventory!$A:$A,Inventory!$D:$D),Frame!$A:$A,Frame!$C:$C)+#REF!,""))</f>
        <v/>
      </c>
      <c r="E1416" s="4">
        <v>45247</v>
      </c>
      <c r="F1416" s="1" t="s">
        <v>25</v>
      </c>
    </row>
    <row r="1417" spans="1:6" x14ac:dyDescent="0.25">
      <c r="A1417" s="1" t="s">
        <v>2844</v>
      </c>
      <c r="B1417" s="1" t="s">
        <v>2845</v>
      </c>
      <c r="C1417" s="3">
        <v>200</v>
      </c>
      <c r="D1417" s="3" t="str">
        <f ca="1">IF(B1417="","",IFERROR(_xludf.XLOOKUP(_xludf.XLOOKUP(B1417,Inventory!$A:$A,Inventory!$B:$B),Blades!$A:$A,Blades!$C:$C)+_xludf.XLOOKUP(_xludf.XLOOKUP(B1417,Inventory!$A:$A,Inventory!$C:$C),Motor!$A:$A,Motor!$C:$C)+_xludf.XLOOKUP(_xludf.XLOOKUP(B1417,Inventory!$A:$A,Inventory!$D:$D),Frame!$A:$A,Frame!$C:$C)+#REF!,""))</f>
        <v/>
      </c>
      <c r="E1417" s="4">
        <v>45247</v>
      </c>
      <c r="F1417" s="1" t="s">
        <v>20</v>
      </c>
    </row>
    <row r="1418" spans="1:6" x14ac:dyDescent="0.25">
      <c r="A1418" s="1" t="s">
        <v>2846</v>
      </c>
      <c r="B1418" s="1" t="s">
        <v>2847</v>
      </c>
      <c r="C1418" s="3">
        <v>200</v>
      </c>
      <c r="D1418" s="3" t="str">
        <f ca="1">IF(B1418="","",IFERROR(_xludf.XLOOKUP(_xludf.XLOOKUP(B1418,Inventory!$A:$A,Inventory!$B:$B),Blades!$A:$A,Blades!$C:$C)+_xludf.XLOOKUP(_xludf.XLOOKUP(B1418,Inventory!$A:$A,Inventory!$C:$C),Motor!$A:$A,Motor!$C:$C)+_xludf.XLOOKUP(_xludf.XLOOKUP(B1418,Inventory!$A:$A,Inventory!$D:$D),Frame!$A:$A,Frame!$C:$C)+#REF!,""))</f>
        <v/>
      </c>
      <c r="E1418" s="4">
        <v>45247</v>
      </c>
      <c r="F1418" s="1" t="s">
        <v>63</v>
      </c>
    </row>
    <row r="1419" spans="1:6" x14ac:dyDescent="0.25">
      <c r="A1419" s="1" t="s">
        <v>2848</v>
      </c>
      <c r="B1419" s="1" t="s">
        <v>2849</v>
      </c>
      <c r="C1419" s="3">
        <v>200</v>
      </c>
      <c r="D1419" s="3" t="str">
        <f ca="1">IF(B1419="","",IFERROR(_xludf.XLOOKUP(_xludf.XLOOKUP(B1419,Inventory!$A:$A,Inventory!$B:$B),Blades!$A:$A,Blades!$C:$C)+_xludf.XLOOKUP(_xludf.XLOOKUP(B1419,Inventory!$A:$A,Inventory!$C:$C),Motor!$A:$A,Motor!$C:$C)+_xludf.XLOOKUP(_xludf.XLOOKUP(B1419,Inventory!$A:$A,Inventory!$D:$D),Frame!$A:$A,Frame!$C:$C)+#REF!,""))</f>
        <v/>
      </c>
      <c r="E1419" s="4">
        <v>45248</v>
      </c>
      <c r="F1419" s="1" t="s">
        <v>25</v>
      </c>
    </row>
    <row r="1420" spans="1:6" x14ac:dyDescent="0.25">
      <c r="A1420" s="1" t="s">
        <v>2850</v>
      </c>
      <c r="B1420" s="1" t="s">
        <v>2851</v>
      </c>
      <c r="C1420" s="3">
        <v>200</v>
      </c>
      <c r="D1420" s="3" t="str">
        <f ca="1">IF(B1420="","",IFERROR(_xludf.XLOOKUP(_xludf.XLOOKUP(B1420,Inventory!$A:$A,Inventory!$B:$B),Blades!$A:$A,Blades!$C:$C)+_xludf.XLOOKUP(_xludf.XLOOKUP(B1420,Inventory!$A:$A,Inventory!$C:$C),Motor!$A:$A,Motor!$C:$C)+_xludf.XLOOKUP(_xludf.XLOOKUP(B1420,Inventory!$A:$A,Inventory!$D:$D),Frame!$A:$A,Frame!$C:$C)+#REF!,""))</f>
        <v/>
      </c>
      <c r="E1420" s="4">
        <v>45249</v>
      </c>
      <c r="F1420" s="1" t="s">
        <v>32</v>
      </c>
    </row>
    <row r="1421" spans="1:6" x14ac:dyDescent="0.25">
      <c r="A1421" s="1" t="s">
        <v>2852</v>
      </c>
      <c r="B1421" s="1" t="s">
        <v>2853</v>
      </c>
      <c r="C1421" s="3">
        <v>200</v>
      </c>
      <c r="D1421" s="3" t="str">
        <f ca="1">IF(B1421="","",IFERROR(_xludf.XLOOKUP(_xludf.XLOOKUP(B1421,Inventory!$A:$A,Inventory!$B:$B),Blades!$A:$A,Blades!$C:$C)+_xludf.XLOOKUP(_xludf.XLOOKUP(B1421,Inventory!$A:$A,Inventory!$C:$C),Motor!$A:$A,Motor!$C:$C)+_xludf.XLOOKUP(_xludf.XLOOKUP(B1421,Inventory!$A:$A,Inventory!$D:$D),Frame!$A:$A,Frame!$C:$C)+#REF!,""))</f>
        <v/>
      </c>
      <c r="E1421" s="4">
        <v>45249</v>
      </c>
      <c r="F1421" s="1" t="s">
        <v>63</v>
      </c>
    </row>
    <row r="1422" spans="1:6" x14ac:dyDescent="0.25">
      <c r="A1422" s="1" t="s">
        <v>2854</v>
      </c>
      <c r="B1422" s="1" t="s">
        <v>2855</v>
      </c>
      <c r="C1422" s="3">
        <v>200</v>
      </c>
      <c r="D1422" s="3" t="str">
        <f ca="1">IF(B1422="","",IFERROR(_xludf.XLOOKUP(_xludf.XLOOKUP(B1422,Inventory!$A:$A,Inventory!$B:$B),Blades!$A:$A,Blades!$C:$C)+_xludf.XLOOKUP(_xludf.XLOOKUP(B1422,Inventory!$A:$A,Inventory!$C:$C),Motor!$A:$A,Motor!$C:$C)+_xludf.XLOOKUP(_xludf.XLOOKUP(B1422,Inventory!$A:$A,Inventory!$D:$D),Frame!$A:$A,Frame!$C:$C)+#REF!,""))</f>
        <v/>
      </c>
      <c r="E1422" s="4">
        <v>45250</v>
      </c>
      <c r="F1422" s="1" t="s">
        <v>8</v>
      </c>
    </row>
    <row r="1423" spans="1:6" x14ac:dyDescent="0.25">
      <c r="A1423" s="1" t="s">
        <v>2856</v>
      </c>
      <c r="B1423" s="1" t="s">
        <v>2857</v>
      </c>
      <c r="C1423" s="3">
        <v>200</v>
      </c>
      <c r="D1423" s="3" t="str">
        <f ca="1">IF(B1423="","",IFERROR(_xludf.XLOOKUP(_xludf.XLOOKUP(B1423,Inventory!$A:$A,Inventory!$B:$B),Blades!$A:$A,Blades!$C:$C)+_xludf.XLOOKUP(_xludf.XLOOKUP(B1423,Inventory!$A:$A,Inventory!$C:$C),Motor!$A:$A,Motor!$C:$C)+_xludf.XLOOKUP(_xludf.XLOOKUP(B1423,Inventory!$A:$A,Inventory!$D:$D),Frame!$A:$A,Frame!$C:$C)+#REF!,""))</f>
        <v/>
      </c>
      <c r="E1423" s="4">
        <v>45251</v>
      </c>
      <c r="F1423" s="1" t="s">
        <v>32</v>
      </c>
    </row>
    <row r="1424" spans="1:6" x14ac:dyDescent="0.25">
      <c r="A1424" s="1" t="s">
        <v>2858</v>
      </c>
      <c r="B1424" s="1" t="s">
        <v>2859</v>
      </c>
      <c r="C1424" s="3">
        <v>200</v>
      </c>
      <c r="D1424" s="3" t="str">
        <f ca="1">IF(B1424="","",IFERROR(_xludf.XLOOKUP(_xludf.XLOOKUP(B1424,Inventory!$A:$A,Inventory!$B:$B),Blades!$A:$A,Blades!$C:$C)+_xludf.XLOOKUP(_xludf.XLOOKUP(B1424,Inventory!$A:$A,Inventory!$C:$C),Motor!$A:$A,Motor!$C:$C)+_xludf.XLOOKUP(_xludf.XLOOKUP(B1424,Inventory!$A:$A,Inventory!$D:$D),Frame!$A:$A,Frame!$C:$C)+#REF!,""))</f>
        <v/>
      </c>
      <c r="E1424" s="4">
        <v>45253</v>
      </c>
      <c r="F1424" s="1" t="s">
        <v>63</v>
      </c>
    </row>
    <row r="1425" spans="1:6" x14ac:dyDescent="0.25">
      <c r="A1425" s="1" t="s">
        <v>2860</v>
      </c>
      <c r="B1425" s="1" t="s">
        <v>2861</v>
      </c>
      <c r="C1425" s="3">
        <v>200</v>
      </c>
      <c r="D1425" s="3" t="str">
        <f ca="1">IF(B1425="","",IFERROR(_xludf.XLOOKUP(_xludf.XLOOKUP(B1425,Inventory!$A:$A,Inventory!$B:$B),Blades!$A:$A,Blades!$C:$C)+_xludf.XLOOKUP(_xludf.XLOOKUP(B1425,Inventory!$A:$A,Inventory!$C:$C),Motor!$A:$A,Motor!$C:$C)+_xludf.XLOOKUP(_xludf.XLOOKUP(B1425,Inventory!$A:$A,Inventory!$D:$D),Frame!$A:$A,Frame!$C:$C)+#REF!,""))</f>
        <v/>
      </c>
      <c r="E1425" s="4">
        <v>45255</v>
      </c>
      <c r="F1425" s="1" t="s">
        <v>25</v>
      </c>
    </row>
    <row r="1426" spans="1:6" x14ac:dyDescent="0.25">
      <c r="A1426" s="1" t="s">
        <v>2862</v>
      </c>
      <c r="B1426" s="1" t="s">
        <v>2863</v>
      </c>
      <c r="C1426" s="3">
        <v>200</v>
      </c>
      <c r="D1426" s="3" t="str">
        <f ca="1">IF(B1426="","",IFERROR(_xludf.XLOOKUP(_xludf.XLOOKUP(B1426,Inventory!$A:$A,Inventory!$B:$B),Blades!$A:$A,Blades!$C:$C)+_xludf.XLOOKUP(_xludf.XLOOKUP(B1426,Inventory!$A:$A,Inventory!$C:$C),Motor!$A:$A,Motor!$C:$C)+_xludf.XLOOKUP(_xludf.XLOOKUP(B1426,Inventory!$A:$A,Inventory!$D:$D),Frame!$A:$A,Frame!$C:$C)+#REF!,""))</f>
        <v/>
      </c>
      <c r="E1426" s="4">
        <v>45257</v>
      </c>
      <c r="F1426" s="1" t="s">
        <v>8</v>
      </c>
    </row>
    <row r="1427" spans="1:6" x14ac:dyDescent="0.25">
      <c r="A1427" s="1" t="s">
        <v>2864</v>
      </c>
      <c r="B1427" s="1" t="s">
        <v>2865</v>
      </c>
      <c r="C1427" s="3">
        <v>200</v>
      </c>
      <c r="D1427" s="3" t="str">
        <f ca="1">IF(B1427="","",IFERROR(_xludf.XLOOKUP(_xludf.XLOOKUP(B1427,Inventory!$A:$A,Inventory!$B:$B),Blades!$A:$A,Blades!$C:$C)+_xludf.XLOOKUP(_xludf.XLOOKUP(B1427,Inventory!$A:$A,Inventory!$C:$C),Motor!$A:$A,Motor!$C:$C)+_xludf.XLOOKUP(_xludf.XLOOKUP(B1427,Inventory!$A:$A,Inventory!$D:$D),Frame!$A:$A,Frame!$C:$C)+#REF!,""))</f>
        <v/>
      </c>
      <c r="E1427" s="4">
        <v>45259</v>
      </c>
      <c r="F1427" s="1" t="s">
        <v>8</v>
      </c>
    </row>
    <row r="1428" spans="1:6" x14ac:dyDescent="0.25">
      <c r="A1428" s="1" t="s">
        <v>2866</v>
      </c>
      <c r="B1428" s="1" t="s">
        <v>2867</v>
      </c>
      <c r="C1428" s="3">
        <v>200</v>
      </c>
      <c r="D1428" s="3" t="str">
        <f ca="1">IF(B1428="","",IFERROR(_xludf.XLOOKUP(_xludf.XLOOKUP(B1428,Inventory!$A:$A,Inventory!$B:$B),Blades!$A:$A,Blades!$C:$C)+_xludf.XLOOKUP(_xludf.XLOOKUP(B1428,Inventory!$A:$A,Inventory!$C:$C),Motor!$A:$A,Motor!$C:$C)+_xludf.XLOOKUP(_xludf.XLOOKUP(B1428,Inventory!$A:$A,Inventory!$D:$D),Frame!$A:$A,Frame!$C:$C)+#REF!,""))</f>
        <v/>
      </c>
      <c r="E1428" s="4">
        <v>45259</v>
      </c>
      <c r="F1428" s="1" t="s">
        <v>20</v>
      </c>
    </row>
    <row r="1429" spans="1:6" x14ac:dyDescent="0.25">
      <c r="A1429" s="1" t="s">
        <v>2868</v>
      </c>
      <c r="B1429" s="1" t="s">
        <v>2869</v>
      </c>
      <c r="C1429" s="3">
        <v>200</v>
      </c>
      <c r="D1429" s="3" t="str">
        <f ca="1">IF(B1429="","",IFERROR(_xludf.XLOOKUP(_xludf.XLOOKUP(B1429,Inventory!$A:$A,Inventory!$B:$B),Blades!$A:$A,Blades!$C:$C)+_xludf.XLOOKUP(_xludf.XLOOKUP(B1429,Inventory!$A:$A,Inventory!$C:$C),Motor!$A:$A,Motor!$C:$C)+_xludf.XLOOKUP(_xludf.XLOOKUP(B1429,Inventory!$A:$A,Inventory!$D:$D),Frame!$A:$A,Frame!$C:$C)+#REF!,""))</f>
        <v/>
      </c>
      <c r="E1429" s="4">
        <v>45259</v>
      </c>
      <c r="F1429" s="1" t="s">
        <v>52</v>
      </c>
    </row>
    <row r="1430" spans="1:6" x14ac:dyDescent="0.25">
      <c r="A1430" s="1" t="s">
        <v>2870</v>
      </c>
      <c r="B1430" s="1" t="s">
        <v>2871</v>
      </c>
      <c r="C1430" s="3">
        <v>200</v>
      </c>
      <c r="D1430" s="3" t="str">
        <f ca="1">IF(B1430="","",IFERROR(_xludf.XLOOKUP(_xludf.XLOOKUP(B1430,Inventory!$A:$A,Inventory!$B:$B),Blades!$A:$A,Blades!$C:$C)+_xludf.XLOOKUP(_xludf.XLOOKUP(B1430,Inventory!$A:$A,Inventory!$C:$C),Motor!$A:$A,Motor!$C:$C)+_xludf.XLOOKUP(_xludf.XLOOKUP(B1430,Inventory!$A:$A,Inventory!$D:$D),Frame!$A:$A,Frame!$C:$C)+#REF!,""))</f>
        <v/>
      </c>
      <c r="E1430" s="4">
        <v>45261</v>
      </c>
      <c r="F1430" s="1" t="s">
        <v>25</v>
      </c>
    </row>
    <row r="1431" spans="1:6" x14ac:dyDescent="0.25">
      <c r="A1431" s="1" t="s">
        <v>2872</v>
      </c>
      <c r="B1431" s="1" t="s">
        <v>2873</v>
      </c>
      <c r="C1431" s="3">
        <v>200</v>
      </c>
      <c r="D1431" s="3" t="str">
        <f ca="1">IF(B1431="","",IFERROR(_xludf.XLOOKUP(_xludf.XLOOKUP(B1431,Inventory!$A:$A,Inventory!$B:$B),Blades!$A:$A,Blades!$C:$C)+_xludf.XLOOKUP(_xludf.XLOOKUP(B1431,Inventory!$A:$A,Inventory!$C:$C),Motor!$A:$A,Motor!$C:$C)+_xludf.XLOOKUP(_xludf.XLOOKUP(B1431,Inventory!$A:$A,Inventory!$D:$D),Frame!$A:$A,Frame!$C:$C)+#REF!,""))</f>
        <v/>
      </c>
      <c r="E1431" s="4">
        <v>45261</v>
      </c>
      <c r="F1431" s="1" t="s">
        <v>20</v>
      </c>
    </row>
    <row r="1432" spans="1:6" x14ac:dyDescent="0.25">
      <c r="A1432" s="1" t="s">
        <v>2874</v>
      </c>
      <c r="B1432" s="1" t="s">
        <v>2875</v>
      </c>
      <c r="C1432" s="3">
        <v>200</v>
      </c>
      <c r="D1432" s="3" t="str">
        <f ca="1">IF(B1432="","",IFERROR(_xludf.XLOOKUP(_xludf.XLOOKUP(B1432,Inventory!$A:$A,Inventory!$B:$B),Blades!$A:$A,Blades!$C:$C)+_xludf.XLOOKUP(_xludf.XLOOKUP(B1432,Inventory!$A:$A,Inventory!$C:$C),Motor!$A:$A,Motor!$C:$C)+_xludf.XLOOKUP(_xludf.XLOOKUP(B1432,Inventory!$A:$A,Inventory!$D:$D),Frame!$A:$A,Frame!$C:$C)+#REF!,""))</f>
        <v/>
      </c>
      <c r="E1432" s="4">
        <v>45262</v>
      </c>
      <c r="F1432" s="1" t="s">
        <v>11</v>
      </c>
    </row>
    <row r="1433" spans="1:6" x14ac:dyDescent="0.25">
      <c r="A1433" s="1" t="s">
        <v>2876</v>
      </c>
      <c r="B1433" s="1" t="s">
        <v>2877</v>
      </c>
      <c r="C1433" s="3">
        <v>200</v>
      </c>
      <c r="D1433" s="3" t="str">
        <f ca="1">IF(B1433="","",IFERROR(_xludf.XLOOKUP(_xludf.XLOOKUP(B1433,Inventory!$A:$A,Inventory!$B:$B),Blades!$A:$A,Blades!$C:$C)+_xludf.XLOOKUP(_xludf.XLOOKUP(B1433,Inventory!$A:$A,Inventory!$C:$C),Motor!$A:$A,Motor!$C:$C)+_xludf.XLOOKUP(_xludf.XLOOKUP(B1433,Inventory!$A:$A,Inventory!$D:$D),Frame!$A:$A,Frame!$C:$C)+#REF!,""))</f>
        <v/>
      </c>
      <c r="E1433" s="4">
        <v>45262</v>
      </c>
      <c r="F1433" s="1" t="s">
        <v>25</v>
      </c>
    </row>
    <row r="1434" spans="1:6" x14ac:dyDescent="0.25">
      <c r="A1434" s="1" t="s">
        <v>2878</v>
      </c>
      <c r="B1434" s="1" t="s">
        <v>2879</v>
      </c>
      <c r="C1434" s="3">
        <v>200</v>
      </c>
      <c r="D1434" s="3" t="str">
        <f ca="1">IF(B1434="","",IFERROR(_xludf.XLOOKUP(_xludf.XLOOKUP(B1434,Inventory!$A:$A,Inventory!$B:$B),Blades!$A:$A,Blades!$C:$C)+_xludf.XLOOKUP(_xludf.XLOOKUP(B1434,Inventory!$A:$A,Inventory!$C:$C),Motor!$A:$A,Motor!$C:$C)+_xludf.XLOOKUP(_xludf.XLOOKUP(B1434,Inventory!$A:$A,Inventory!$D:$D),Frame!$A:$A,Frame!$C:$C)+#REF!,""))</f>
        <v/>
      </c>
      <c r="E1434" s="4">
        <v>45262</v>
      </c>
      <c r="F1434" s="1" t="s">
        <v>8</v>
      </c>
    </row>
    <row r="1435" spans="1:6" x14ac:dyDescent="0.25">
      <c r="A1435" s="1" t="s">
        <v>2880</v>
      </c>
      <c r="B1435" s="1" t="s">
        <v>2881</v>
      </c>
      <c r="C1435" s="3">
        <v>200</v>
      </c>
      <c r="D1435" s="3" t="str">
        <f ca="1">IF(B1435="","",IFERROR(_xludf.XLOOKUP(_xludf.XLOOKUP(B1435,Inventory!$A:$A,Inventory!$B:$B),Blades!$A:$A,Blades!$C:$C)+_xludf.XLOOKUP(_xludf.XLOOKUP(B1435,Inventory!$A:$A,Inventory!$C:$C),Motor!$A:$A,Motor!$C:$C)+_xludf.XLOOKUP(_xludf.XLOOKUP(B1435,Inventory!$A:$A,Inventory!$D:$D),Frame!$A:$A,Frame!$C:$C)+#REF!,""))</f>
        <v/>
      </c>
      <c r="E1435" s="4">
        <v>45263</v>
      </c>
      <c r="F1435" s="1" t="s">
        <v>52</v>
      </c>
    </row>
    <row r="1436" spans="1:6" x14ac:dyDescent="0.25">
      <c r="A1436" s="1" t="s">
        <v>2882</v>
      </c>
      <c r="B1436" s="1" t="s">
        <v>2883</v>
      </c>
      <c r="C1436" s="3">
        <v>200</v>
      </c>
      <c r="D1436" s="3" t="str">
        <f ca="1">IF(B1436="","",IFERROR(_xludf.XLOOKUP(_xludf.XLOOKUP(B1436,Inventory!$A:$A,Inventory!$B:$B),Blades!$A:$A,Blades!$C:$C)+_xludf.XLOOKUP(_xludf.XLOOKUP(B1436,Inventory!$A:$A,Inventory!$C:$C),Motor!$A:$A,Motor!$C:$C)+_xludf.XLOOKUP(_xludf.XLOOKUP(B1436,Inventory!$A:$A,Inventory!$D:$D),Frame!$A:$A,Frame!$C:$C)+#REF!,""))</f>
        <v/>
      </c>
      <c r="E1436" s="4">
        <v>45264</v>
      </c>
      <c r="F1436" s="1" t="s">
        <v>25</v>
      </c>
    </row>
    <row r="1437" spans="1:6" x14ac:dyDescent="0.25">
      <c r="A1437" s="1" t="s">
        <v>2884</v>
      </c>
      <c r="B1437" s="1" t="s">
        <v>2885</v>
      </c>
      <c r="C1437" s="3">
        <v>200</v>
      </c>
      <c r="D1437" s="3" t="str">
        <f ca="1">IF(B1437="","",IFERROR(_xludf.XLOOKUP(_xludf.XLOOKUP(B1437,Inventory!$A:$A,Inventory!$B:$B),Blades!$A:$A,Blades!$C:$C)+_xludf.XLOOKUP(_xludf.XLOOKUP(B1437,Inventory!$A:$A,Inventory!$C:$C),Motor!$A:$A,Motor!$C:$C)+_xludf.XLOOKUP(_xludf.XLOOKUP(B1437,Inventory!$A:$A,Inventory!$D:$D),Frame!$A:$A,Frame!$C:$C)+#REF!,""))</f>
        <v/>
      </c>
      <c r="E1437" s="4">
        <v>45264</v>
      </c>
      <c r="F1437" s="1" t="s">
        <v>20</v>
      </c>
    </row>
    <row r="1438" spans="1:6" x14ac:dyDescent="0.25">
      <c r="A1438" s="1" t="s">
        <v>2886</v>
      </c>
      <c r="B1438" s="1" t="s">
        <v>2887</v>
      </c>
      <c r="C1438" s="3">
        <v>200</v>
      </c>
      <c r="D1438" s="3" t="str">
        <f ca="1">IF(B1438="","",IFERROR(_xludf.XLOOKUP(_xludf.XLOOKUP(B1438,Inventory!$A:$A,Inventory!$B:$B),Blades!$A:$A,Blades!$C:$C)+_xludf.XLOOKUP(_xludf.XLOOKUP(B1438,Inventory!$A:$A,Inventory!$C:$C),Motor!$A:$A,Motor!$C:$C)+_xludf.XLOOKUP(_xludf.XLOOKUP(B1438,Inventory!$A:$A,Inventory!$D:$D),Frame!$A:$A,Frame!$C:$C)+#REF!,""))</f>
        <v/>
      </c>
      <c r="E1438" s="4">
        <v>45264</v>
      </c>
      <c r="F1438" s="1" t="s">
        <v>63</v>
      </c>
    </row>
    <row r="1439" spans="1:6" x14ac:dyDescent="0.25">
      <c r="A1439" s="1" t="s">
        <v>2888</v>
      </c>
      <c r="B1439" s="1" t="s">
        <v>2889</v>
      </c>
      <c r="C1439" s="3">
        <v>200</v>
      </c>
      <c r="D1439" s="3" t="str">
        <f ca="1">IF(B1439="","",IFERROR(_xludf.XLOOKUP(_xludf.XLOOKUP(B1439,Inventory!$A:$A,Inventory!$B:$B),Blades!$A:$A,Blades!$C:$C)+_xludf.XLOOKUP(_xludf.XLOOKUP(B1439,Inventory!$A:$A,Inventory!$C:$C),Motor!$A:$A,Motor!$C:$C)+_xludf.XLOOKUP(_xludf.XLOOKUP(B1439,Inventory!$A:$A,Inventory!$D:$D),Frame!$A:$A,Frame!$C:$C)+#REF!,""))</f>
        <v/>
      </c>
      <c r="E1439" s="4">
        <v>45265</v>
      </c>
      <c r="F1439" s="1" t="s">
        <v>8</v>
      </c>
    </row>
    <row r="1440" spans="1:6" x14ac:dyDescent="0.25">
      <c r="A1440" s="1" t="s">
        <v>2890</v>
      </c>
      <c r="B1440" s="1" t="s">
        <v>2891</v>
      </c>
      <c r="C1440" s="3">
        <v>200</v>
      </c>
      <c r="D1440" s="3" t="str">
        <f ca="1">IF(B1440="","",IFERROR(_xludf.XLOOKUP(_xludf.XLOOKUP(B1440,Inventory!$A:$A,Inventory!$B:$B),Blades!$A:$A,Blades!$C:$C)+_xludf.XLOOKUP(_xludf.XLOOKUP(B1440,Inventory!$A:$A,Inventory!$C:$C),Motor!$A:$A,Motor!$C:$C)+_xludf.XLOOKUP(_xludf.XLOOKUP(B1440,Inventory!$A:$A,Inventory!$D:$D),Frame!$A:$A,Frame!$C:$C)+#REF!,""))</f>
        <v/>
      </c>
      <c r="E1440" s="4">
        <v>45265</v>
      </c>
      <c r="F1440" s="1" t="s">
        <v>49</v>
      </c>
    </row>
    <row r="1441" spans="1:6" x14ac:dyDescent="0.25">
      <c r="A1441" s="1" t="s">
        <v>2892</v>
      </c>
      <c r="B1441" s="1" t="s">
        <v>2893</v>
      </c>
      <c r="C1441" s="3">
        <v>200</v>
      </c>
      <c r="D1441" s="3" t="str">
        <f ca="1">IF(B1441="","",IFERROR(_xludf.XLOOKUP(_xludf.XLOOKUP(B1441,Inventory!$A:$A,Inventory!$B:$B),Blades!$A:$A,Blades!$C:$C)+_xludf.XLOOKUP(_xludf.XLOOKUP(B1441,Inventory!$A:$A,Inventory!$C:$C),Motor!$A:$A,Motor!$C:$C)+_xludf.XLOOKUP(_xludf.XLOOKUP(B1441,Inventory!$A:$A,Inventory!$D:$D),Frame!$A:$A,Frame!$C:$C)+#REF!,""))</f>
        <v/>
      </c>
      <c r="E1441" s="4">
        <v>45266</v>
      </c>
      <c r="F1441" s="1" t="s">
        <v>8</v>
      </c>
    </row>
    <row r="1442" spans="1:6" x14ac:dyDescent="0.25">
      <c r="A1442" s="1" t="s">
        <v>2894</v>
      </c>
      <c r="B1442" s="1" t="s">
        <v>2895</v>
      </c>
      <c r="C1442" s="3">
        <v>200</v>
      </c>
      <c r="D1442" s="3" t="str">
        <f ca="1">IF(B1442="","",IFERROR(_xludf.XLOOKUP(_xludf.XLOOKUP(B1442,Inventory!$A:$A,Inventory!$B:$B),Blades!$A:$A,Blades!$C:$C)+_xludf.XLOOKUP(_xludf.XLOOKUP(B1442,Inventory!$A:$A,Inventory!$C:$C),Motor!$A:$A,Motor!$C:$C)+_xludf.XLOOKUP(_xludf.XLOOKUP(B1442,Inventory!$A:$A,Inventory!$D:$D),Frame!$A:$A,Frame!$C:$C)+#REF!,""))</f>
        <v/>
      </c>
      <c r="E1442" s="4">
        <v>45266</v>
      </c>
      <c r="F1442" s="1" t="s">
        <v>8</v>
      </c>
    </row>
    <row r="1443" spans="1:6" x14ac:dyDescent="0.25">
      <c r="A1443" s="1" t="s">
        <v>2896</v>
      </c>
      <c r="B1443" s="1" t="s">
        <v>2897</v>
      </c>
      <c r="C1443" s="3">
        <v>200</v>
      </c>
      <c r="D1443" s="3" t="str">
        <f ca="1">IF(B1443="","",IFERROR(_xludf.XLOOKUP(_xludf.XLOOKUP(B1443,Inventory!$A:$A,Inventory!$B:$B),Blades!$A:$A,Blades!$C:$C)+_xludf.XLOOKUP(_xludf.XLOOKUP(B1443,Inventory!$A:$A,Inventory!$C:$C),Motor!$A:$A,Motor!$C:$C)+_xludf.XLOOKUP(_xludf.XLOOKUP(B1443,Inventory!$A:$A,Inventory!$D:$D),Frame!$A:$A,Frame!$C:$C)+#REF!,""))</f>
        <v/>
      </c>
      <c r="E1443" s="4">
        <v>45268</v>
      </c>
      <c r="F1443" s="1" t="s">
        <v>52</v>
      </c>
    </row>
    <row r="1444" spans="1:6" x14ac:dyDescent="0.25">
      <c r="A1444" s="1" t="s">
        <v>2898</v>
      </c>
      <c r="B1444" s="1" t="s">
        <v>2899</v>
      </c>
      <c r="C1444" s="3">
        <v>200</v>
      </c>
      <c r="D1444" s="3" t="str">
        <f ca="1">IF(B1444="","",IFERROR(_xludf.XLOOKUP(_xludf.XLOOKUP(B1444,Inventory!$A:$A,Inventory!$B:$B),Blades!$A:$A,Blades!$C:$C)+_xludf.XLOOKUP(_xludf.XLOOKUP(B1444,Inventory!$A:$A,Inventory!$C:$C),Motor!$A:$A,Motor!$C:$C)+_xludf.XLOOKUP(_xludf.XLOOKUP(B1444,Inventory!$A:$A,Inventory!$D:$D),Frame!$A:$A,Frame!$C:$C)+#REF!,""))</f>
        <v/>
      </c>
      <c r="E1444" s="4">
        <v>45269</v>
      </c>
      <c r="F1444" s="1" t="s">
        <v>49</v>
      </c>
    </row>
    <row r="1445" spans="1:6" x14ac:dyDescent="0.25">
      <c r="A1445" s="1" t="s">
        <v>2900</v>
      </c>
      <c r="B1445" s="1" t="s">
        <v>2901</v>
      </c>
      <c r="C1445" s="3">
        <v>200</v>
      </c>
      <c r="D1445" s="3" t="str">
        <f ca="1">IF(B1445="","",IFERROR(_xludf.XLOOKUP(_xludf.XLOOKUP(B1445,Inventory!$A:$A,Inventory!$B:$B),Blades!$A:$A,Blades!$C:$C)+_xludf.XLOOKUP(_xludf.XLOOKUP(B1445,Inventory!$A:$A,Inventory!$C:$C),Motor!$A:$A,Motor!$C:$C)+_xludf.XLOOKUP(_xludf.XLOOKUP(B1445,Inventory!$A:$A,Inventory!$D:$D),Frame!$A:$A,Frame!$C:$C)+#REF!,""))</f>
        <v/>
      </c>
      <c r="E1445" s="4">
        <v>45270</v>
      </c>
      <c r="F1445" s="1" t="s">
        <v>8</v>
      </c>
    </row>
    <row r="1446" spans="1:6" x14ac:dyDescent="0.25">
      <c r="A1446" s="1" t="s">
        <v>2902</v>
      </c>
      <c r="B1446" s="1" t="s">
        <v>2903</v>
      </c>
      <c r="C1446" s="3">
        <v>200</v>
      </c>
      <c r="D1446" s="3" t="str">
        <f ca="1">IF(B1446="","",IFERROR(_xludf.XLOOKUP(_xludf.XLOOKUP(B1446,Inventory!$A:$A,Inventory!$B:$B),Blades!$A:$A,Blades!$C:$C)+_xludf.XLOOKUP(_xludf.XLOOKUP(B1446,Inventory!$A:$A,Inventory!$C:$C),Motor!$A:$A,Motor!$C:$C)+_xludf.XLOOKUP(_xludf.XLOOKUP(B1446,Inventory!$A:$A,Inventory!$D:$D),Frame!$A:$A,Frame!$C:$C)+#REF!,""))</f>
        <v/>
      </c>
      <c r="E1446" s="4">
        <v>45270</v>
      </c>
      <c r="F1446" s="1" t="s">
        <v>20</v>
      </c>
    </row>
    <row r="1447" spans="1:6" x14ac:dyDescent="0.25">
      <c r="A1447" s="1" t="s">
        <v>2904</v>
      </c>
      <c r="B1447" s="1" t="s">
        <v>2905</v>
      </c>
      <c r="C1447" s="3">
        <v>200</v>
      </c>
      <c r="D1447" s="3" t="str">
        <f ca="1">IF(B1447="","",IFERROR(_xludf.XLOOKUP(_xludf.XLOOKUP(B1447,Inventory!$A:$A,Inventory!$B:$B),Blades!$A:$A,Blades!$C:$C)+_xludf.XLOOKUP(_xludf.XLOOKUP(B1447,Inventory!$A:$A,Inventory!$C:$C),Motor!$A:$A,Motor!$C:$C)+_xludf.XLOOKUP(_xludf.XLOOKUP(B1447,Inventory!$A:$A,Inventory!$D:$D),Frame!$A:$A,Frame!$C:$C)+#REF!,""))</f>
        <v/>
      </c>
      <c r="E1447" s="4">
        <v>45271</v>
      </c>
      <c r="F1447" s="1" t="s">
        <v>8</v>
      </c>
    </row>
    <row r="1448" spans="1:6" x14ac:dyDescent="0.25">
      <c r="A1448" s="1" t="s">
        <v>2906</v>
      </c>
      <c r="B1448" s="1" t="s">
        <v>2907</v>
      </c>
      <c r="C1448" s="3">
        <v>200</v>
      </c>
      <c r="D1448" s="3" t="str">
        <f ca="1">IF(B1448="","",IFERROR(_xludf.XLOOKUP(_xludf.XLOOKUP(B1448,Inventory!$A:$A,Inventory!$B:$B),Blades!$A:$A,Blades!$C:$C)+_xludf.XLOOKUP(_xludf.XLOOKUP(B1448,Inventory!$A:$A,Inventory!$C:$C),Motor!$A:$A,Motor!$C:$C)+_xludf.XLOOKUP(_xludf.XLOOKUP(B1448,Inventory!$A:$A,Inventory!$D:$D),Frame!$A:$A,Frame!$C:$C)+#REF!,""))</f>
        <v/>
      </c>
      <c r="E1448" s="4">
        <v>45274</v>
      </c>
      <c r="F1448" s="1" t="s">
        <v>63</v>
      </c>
    </row>
    <row r="1449" spans="1:6" x14ac:dyDescent="0.25">
      <c r="A1449" s="1" t="s">
        <v>2908</v>
      </c>
      <c r="B1449" s="1" t="s">
        <v>2909</v>
      </c>
      <c r="C1449" s="3">
        <v>200</v>
      </c>
      <c r="D1449" s="3" t="str">
        <f ca="1">IF(B1449="","",IFERROR(_xludf.XLOOKUP(_xludf.XLOOKUP(B1449,Inventory!$A:$A,Inventory!$B:$B),Blades!$A:$A,Blades!$C:$C)+_xludf.XLOOKUP(_xludf.XLOOKUP(B1449,Inventory!$A:$A,Inventory!$C:$C),Motor!$A:$A,Motor!$C:$C)+_xludf.XLOOKUP(_xludf.XLOOKUP(B1449,Inventory!$A:$A,Inventory!$D:$D),Frame!$A:$A,Frame!$C:$C)+#REF!,""))</f>
        <v/>
      </c>
      <c r="E1449" s="4">
        <v>45277</v>
      </c>
      <c r="F1449" s="1" t="s">
        <v>32</v>
      </c>
    </row>
    <row r="1450" spans="1:6" x14ac:dyDescent="0.25">
      <c r="A1450" s="1" t="s">
        <v>2910</v>
      </c>
      <c r="B1450" s="1" t="s">
        <v>2911</v>
      </c>
      <c r="C1450" s="3">
        <v>200</v>
      </c>
      <c r="D1450" s="3" t="str">
        <f ca="1">IF(B1450="","",IFERROR(_xludf.XLOOKUP(_xludf.XLOOKUP(B1450,Inventory!$A:$A,Inventory!$B:$B),Blades!$A:$A,Blades!$C:$C)+_xludf.XLOOKUP(_xludf.XLOOKUP(B1450,Inventory!$A:$A,Inventory!$C:$C),Motor!$A:$A,Motor!$C:$C)+_xludf.XLOOKUP(_xludf.XLOOKUP(B1450,Inventory!$A:$A,Inventory!$D:$D),Frame!$A:$A,Frame!$C:$C)+#REF!,""))</f>
        <v/>
      </c>
      <c r="E1450" s="4">
        <v>45277</v>
      </c>
      <c r="F1450" s="1" t="s">
        <v>20</v>
      </c>
    </row>
    <row r="1451" spans="1:6" x14ac:dyDescent="0.25">
      <c r="A1451" s="1" t="s">
        <v>2912</v>
      </c>
      <c r="B1451" s="1" t="s">
        <v>2913</v>
      </c>
      <c r="C1451" s="3">
        <v>200</v>
      </c>
      <c r="D1451" s="3" t="str">
        <f ca="1">IF(B1451="","",IFERROR(_xludf.XLOOKUP(_xludf.XLOOKUP(B1451,Inventory!$A:$A,Inventory!$B:$B),Blades!$A:$A,Blades!$C:$C)+_xludf.XLOOKUP(_xludf.XLOOKUP(B1451,Inventory!$A:$A,Inventory!$C:$C),Motor!$A:$A,Motor!$C:$C)+_xludf.XLOOKUP(_xludf.XLOOKUP(B1451,Inventory!$A:$A,Inventory!$D:$D),Frame!$A:$A,Frame!$C:$C)+#REF!,""))</f>
        <v/>
      </c>
      <c r="E1451" s="4">
        <v>45277</v>
      </c>
      <c r="F1451" s="1" t="s">
        <v>25</v>
      </c>
    </row>
    <row r="1452" spans="1:6" x14ac:dyDescent="0.25">
      <c r="A1452" s="1" t="s">
        <v>2914</v>
      </c>
      <c r="B1452" s="1" t="s">
        <v>2915</v>
      </c>
      <c r="C1452" s="3">
        <v>200</v>
      </c>
      <c r="D1452" s="3" t="str">
        <f ca="1">IF(B1452="","",IFERROR(_xludf.XLOOKUP(_xludf.XLOOKUP(B1452,Inventory!$A:$A,Inventory!$B:$B),Blades!$A:$A,Blades!$C:$C)+_xludf.XLOOKUP(_xludf.XLOOKUP(B1452,Inventory!$A:$A,Inventory!$C:$C),Motor!$A:$A,Motor!$C:$C)+_xludf.XLOOKUP(_xludf.XLOOKUP(B1452,Inventory!$A:$A,Inventory!$D:$D),Frame!$A:$A,Frame!$C:$C)+#REF!,""))</f>
        <v/>
      </c>
      <c r="E1452" s="4">
        <v>45277</v>
      </c>
      <c r="F1452" s="1" t="s">
        <v>32</v>
      </c>
    </row>
    <row r="1453" spans="1:6" x14ac:dyDescent="0.25">
      <c r="A1453" s="1" t="s">
        <v>2916</v>
      </c>
      <c r="B1453" s="1" t="s">
        <v>2917</v>
      </c>
      <c r="C1453" s="3">
        <v>200</v>
      </c>
      <c r="D1453" s="3" t="str">
        <f ca="1">IF(B1453="","",IFERROR(_xludf.XLOOKUP(_xludf.XLOOKUP(B1453,Inventory!$A:$A,Inventory!$B:$B),Blades!$A:$A,Blades!$C:$C)+_xludf.XLOOKUP(_xludf.XLOOKUP(B1453,Inventory!$A:$A,Inventory!$C:$C),Motor!$A:$A,Motor!$C:$C)+_xludf.XLOOKUP(_xludf.XLOOKUP(B1453,Inventory!$A:$A,Inventory!$D:$D),Frame!$A:$A,Frame!$C:$C)+#REF!,""))</f>
        <v/>
      </c>
      <c r="E1453" s="4">
        <v>45278</v>
      </c>
      <c r="F1453" s="1" t="s">
        <v>11</v>
      </c>
    </row>
    <row r="1454" spans="1:6" x14ac:dyDescent="0.25">
      <c r="A1454" s="1" t="s">
        <v>2918</v>
      </c>
      <c r="B1454" s="1" t="s">
        <v>2919</v>
      </c>
      <c r="C1454" s="3">
        <v>200</v>
      </c>
      <c r="D1454" s="3" t="str">
        <f ca="1">IF(B1454="","",IFERROR(_xludf.XLOOKUP(_xludf.XLOOKUP(B1454,Inventory!$A:$A,Inventory!$B:$B),Blades!$A:$A,Blades!$C:$C)+_xludf.XLOOKUP(_xludf.XLOOKUP(B1454,Inventory!$A:$A,Inventory!$C:$C),Motor!$A:$A,Motor!$C:$C)+_xludf.XLOOKUP(_xludf.XLOOKUP(B1454,Inventory!$A:$A,Inventory!$D:$D),Frame!$A:$A,Frame!$C:$C)+#REF!,""))</f>
        <v/>
      </c>
      <c r="E1454" s="4">
        <v>45278</v>
      </c>
      <c r="F1454" s="1" t="s">
        <v>52</v>
      </c>
    </row>
    <row r="1455" spans="1:6" x14ac:dyDescent="0.25">
      <c r="A1455" s="1" t="s">
        <v>2920</v>
      </c>
      <c r="B1455" s="1" t="s">
        <v>2921</v>
      </c>
      <c r="C1455" s="3">
        <v>200</v>
      </c>
      <c r="D1455" s="3" t="str">
        <f ca="1">IF(B1455="","",IFERROR(_xludf.XLOOKUP(_xludf.XLOOKUP(B1455,Inventory!$A:$A,Inventory!$B:$B),Blades!$A:$A,Blades!$C:$C)+_xludf.XLOOKUP(_xludf.XLOOKUP(B1455,Inventory!$A:$A,Inventory!$C:$C),Motor!$A:$A,Motor!$C:$C)+_xludf.XLOOKUP(_xludf.XLOOKUP(B1455,Inventory!$A:$A,Inventory!$D:$D),Frame!$A:$A,Frame!$C:$C)+#REF!,""))</f>
        <v/>
      </c>
      <c r="E1455" s="4">
        <v>45279</v>
      </c>
      <c r="F1455" s="1" t="s">
        <v>25</v>
      </c>
    </row>
    <row r="1456" spans="1:6" x14ac:dyDescent="0.25">
      <c r="A1456" s="1" t="s">
        <v>2922</v>
      </c>
      <c r="B1456" s="1" t="s">
        <v>2923</v>
      </c>
      <c r="C1456" s="3">
        <v>200</v>
      </c>
      <c r="D1456" s="3" t="str">
        <f ca="1">IF(B1456="","",IFERROR(_xludf.XLOOKUP(_xludf.XLOOKUP(B1456,Inventory!$A:$A,Inventory!$B:$B),Blades!$A:$A,Blades!$C:$C)+_xludf.XLOOKUP(_xludf.XLOOKUP(B1456,Inventory!$A:$A,Inventory!$C:$C),Motor!$A:$A,Motor!$C:$C)+_xludf.XLOOKUP(_xludf.XLOOKUP(B1456,Inventory!$A:$A,Inventory!$D:$D),Frame!$A:$A,Frame!$C:$C)+#REF!,""))</f>
        <v/>
      </c>
      <c r="E1456" s="4">
        <v>45279</v>
      </c>
      <c r="F1456" s="1" t="s">
        <v>11</v>
      </c>
    </row>
    <row r="1457" spans="1:6" x14ac:dyDescent="0.25">
      <c r="A1457" s="1" t="s">
        <v>2924</v>
      </c>
      <c r="B1457" s="1" t="s">
        <v>2925</v>
      </c>
      <c r="C1457" s="3">
        <v>200</v>
      </c>
      <c r="D1457" s="3" t="str">
        <f ca="1">IF(B1457="","",IFERROR(_xludf.XLOOKUP(_xludf.XLOOKUP(B1457,Inventory!$A:$A,Inventory!$B:$B),Blades!$A:$A,Blades!$C:$C)+_xludf.XLOOKUP(_xludf.XLOOKUP(B1457,Inventory!$A:$A,Inventory!$C:$C),Motor!$A:$A,Motor!$C:$C)+_xludf.XLOOKUP(_xludf.XLOOKUP(B1457,Inventory!$A:$A,Inventory!$D:$D),Frame!$A:$A,Frame!$C:$C)+#REF!,""))</f>
        <v/>
      </c>
      <c r="E1457" s="4">
        <v>45279</v>
      </c>
      <c r="F1457" s="1" t="s">
        <v>8</v>
      </c>
    </row>
    <row r="1458" spans="1:6" x14ac:dyDescent="0.25">
      <c r="A1458" s="1" t="s">
        <v>2926</v>
      </c>
      <c r="B1458" s="1" t="s">
        <v>2927</v>
      </c>
      <c r="C1458" s="3">
        <v>200</v>
      </c>
      <c r="D1458" s="3" t="str">
        <f ca="1">IF(B1458="","",IFERROR(_xludf.XLOOKUP(_xludf.XLOOKUP(B1458,Inventory!$A:$A,Inventory!$B:$B),Blades!$A:$A,Blades!$C:$C)+_xludf.XLOOKUP(_xludf.XLOOKUP(B1458,Inventory!$A:$A,Inventory!$C:$C),Motor!$A:$A,Motor!$C:$C)+_xludf.XLOOKUP(_xludf.XLOOKUP(B1458,Inventory!$A:$A,Inventory!$D:$D),Frame!$A:$A,Frame!$C:$C)+#REF!,""))</f>
        <v/>
      </c>
      <c r="E1458" s="4">
        <v>45279</v>
      </c>
      <c r="F1458" s="1" t="s">
        <v>11</v>
      </c>
    </row>
    <row r="1459" spans="1:6" x14ac:dyDescent="0.25">
      <c r="A1459" s="1" t="s">
        <v>2928</v>
      </c>
      <c r="B1459" s="1" t="s">
        <v>2929</v>
      </c>
      <c r="C1459" s="3">
        <v>200</v>
      </c>
      <c r="D1459" s="3" t="str">
        <f ca="1">IF(B1459="","",IFERROR(_xludf.XLOOKUP(_xludf.XLOOKUP(B1459,Inventory!$A:$A,Inventory!$B:$B),Blades!$A:$A,Blades!$C:$C)+_xludf.XLOOKUP(_xludf.XLOOKUP(B1459,Inventory!$A:$A,Inventory!$C:$C),Motor!$A:$A,Motor!$C:$C)+_xludf.XLOOKUP(_xludf.XLOOKUP(B1459,Inventory!$A:$A,Inventory!$D:$D),Frame!$A:$A,Frame!$C:$C)+#REF!,""))</f>
        <v/>
      </c>
      <c r="E1459" s="4">
        <v>45280</v>
      </c>
      <c r="F1459" s="1" t="s">
        <v>11</v>
      </c>
    </row>
    <row r="1460" spans="1:6" x14ac:dyDescent="0.25">
      <c r="A1460" s="1" t="s">
        <v>2930</v>
      </c>
      <c r="B1460" s="1" t="s">
        <v>2931</v>
      </c>
      <c r="C1460" s="3">
        <v>200</v>
      </c>
      <c r="D1460" s="3" t="str">
        <f ca="1">IF(B1460="","",IFERROR(_xludf.XLOOKUP(_xludf.XLOOKUP(B1460,Inventory!$A:$A,Inventory!$B:$B),Blades!$A:$A,Blades!$C:$C)+_xludf.XLOOKUP(_xludf.XLOOKUP(B1460,Inventory!$A:$A,Inventory!$C:$C),Motor!$A:$A,Motor!$C:$C)+_xludf.XLOOKUP(_xludf.XLOOKUP(B1460,Inventory!$A:$A,Inventory!$D:$D),Frame!$A:$A,Frame!$C:$C)+#REF!,""))</f>
        <v/>
      </c>
      <c r="E1460" s="4">
        <v>45281</v>
      </c>
      <c r="F1460" s="1" t="s">
        <v>63</v>
      </c>
    </row>
    <row r="1461" spans="1:6" x14ac:dyDescent="0.25">
      <c r="A1461" s="1" t="s">
        <v>2932</v>
      </c>
      <c r="B1461" s="1" t="s">
        <v>2933</v>
      </c>
      <c r="C1461" s="3">
        <v>200</v>
      </c>
      <c r="D1461" s="3" t="str">
        <f ca="1">IF(B1461="","",IFERROR(_xludf.XLOOKUP(_xludf.XLOOKUP(B1461,Inventory!$A:$A,Inventory!$B:$B),Blades!$A:$A,Blades!$C:$C)+_xludf.XLOOKUP(_xludf.XLOOKUP(B1461,Inventory!$A:$A,Inventory!$C:$C),Motor!$A:$A,Motor!$C:$C)+_xludf.XLOOKUP(_xludf.XLOOKUP(B1461,Inventory!$A:$A,Inventory!$D:$D),Frame!$A:$A,Frame!$C:$C)+#REF!,""))</f>
        <v/>
      </c>
      <c r="E1461" s="4">
        <v>45281</v>
      </c>
      <c r="F1461" s="1" t="s">
        <v>11</v>
      </c>
    </row>
    <row r="1462" spans="1:6" x14ac:dyDescent="0.25">
      <c r="A1462" s="1" t="s">
        <v>2934</v>
      </c>
      <c r="B1462" s="1" t="s">
        <v>2935</v>
      </c>
      <c r="C1462" s="3">
        <v>200</v>
      </c>
      <c r="D1462" s="3" t="str">
        <f ca="1">IF(B1462="","",IFERROR(_xludf.XLOOKUP(_xludf.XLOOKUP(B1462,Inventory!$A:$A,Inventory!$B:$B),Blades!$A:$A,Blades!$C:$C)+_xludf.XLOOKUP(_xludf.XLOOKUP(B1462,Inventory!$A:$A,Inventory!$C:$C),Motor!$A:$A,Motor!$C:$C)+_xludf.XLOOKUP(_xludf.XLOOKUP(B1462,Inventory!$A:$A,Inventory!$D:$D),Frame!$A:$A,Frame!$C:$C)+#REF!,""))</f>
        <v/>
      </c>
      <c r="E1462" s="4">
        <v>45282</v>
      </c>
      <c r="F1462" s="1" t="s">
        <v>11</v>
      </c>
    </row>
    <row r="1463" spans="1:6" x14ac:dyDescent="0.25">
      <c r="A1463" s="1" t="s">
        <v>2936</v>
      </c>
      <c r="B1463" s="1" t="s">
        <v>2937</v>
      </c>
      <c r="C1463" s="3">
        <v>200</v>
      </c>
      <c r="D1463" s="3" t="str">
        <f ca="1">IF(B1463="","",IFERROR(_xludf.XLOOKUP(_xludf.XLOOKUP(B1463,Inventory!$A:$A,Inventory!$B:$B),Blades!$A:$A,Blades!$C:$C)+_xludf.XLOOKUP(_xludf.XLOOKUP(B1463,Inventory!$A:$A,Inventory!$C:$C),Motor!$A:$A,Motor!$C:$C)+_xludf.XLOOKUP(_xludf.XLOOKUP(B1463,Inventory!$A:$A,Inventory!$D:$D),Frame!$A:$A,Frame!$C:$C)+#REF!,""))</f>
        <v/>
      </c>
      <c r="E1463" s="4">
        <v>45282</v>
      </c>
      <c r="F1463" s="1" t="s">
        <v>25</v>
      </c>
    </row>
    <row r="1464" spans="1:6" x14ac:dyDescent="0.25">
      <c r="A1464" s="1" t="s">
        <v>2938</v>
      </c>
      <c r="B1464" s="1" t="s">
        <v>2939</v>
      </c>
      <c r="C1464" s="3">
        <v>200</v>
      </c>
      <c r="D1464" s="3" t="str">
        <f ca="1">IF(B1464="","",IFERROR(_xludf.XLOOKUP(_xludf.XLOOKUP(B1464,Inventory!$A:$A,Inventory!$B:$B),Blades!$A:$A,Blades!$C:$C)+_xludf.XLOOKUP(_xludf.XLOOKUP(B1464,Inventory!$A:$A,Inventory!$C:$C),Motor!$A:$A,Motor!$C:$C)+_xludf.XLOOKUP(_xludf.XLOOKUP(B1464,Inventory!$A:$A,Inventory!$D:$D),Frame!$A:$A,Frame!$C:$C)+#REF!,""))</f>
        <v/>
      </c>
      <c r="E1464" s="4">
        <v>45282</v>
      </c>
      <c r="F1464" s="1" t="s">
        <v>32</v>
      </c>
    </row>
    <row r="1465" spans="1:6" x14ac:dyDescent="0.25">
      <c r="A1465" s="1" t="s">
        <v>2940</v>
      </c>
      <c r="B1465" s="1" t="s">
        <v>2941</v>
      </c>
      <c r="C1465" s="3">
        <v>200</v>
      </c>
      <c r="D1465" s="3" t="str">
        <f ca="1">IF(B1465="","",IFERROR(_xludf.XLOOKUP(_xludf.XLOOKUP(B1465,Inventory!$A:$A,Inventory!$B:$B),Blades!$A:$A,Blades!$C:$C)+_xludf.XLOOKUP(_xludf.XLOOKUP(B1465,Inventory!$A:$A,Inventory!$C:$C),Motor!$A:$A,Motor!$C:$C)+_xludf.XLOOKUP(_xludf.XLOOKUP(B1465,Inventory!$A:$A,Inventory!$D:$D),Frame!$A:$A,Frame!$C:$C)+#REF!,""))</f>
        <v/>
      </c>
      <c r="E1465" s="4">
        <v>45283</v>
      </c>
      <c r="F1465" s="1" t="s">
        <v>49</v>
      </c>
    </row>
    <row r="1466" spans="1:6" x14ac:dyDescent="0.25">
      <c r="A1466" s="1" t="s">
        <v>2942</v>
      </c>
      <c r="B1466" s="1" t="s">
        <v>2943</v>
      </c>
      <c r="C1466" s="3">
        <v>200</v>
      </c>
      <c r="D1466" s="3" t="str">
        <f ca="1">IF(B1466="","",IFERROR(_xludf.XLOOKUP(_xludf.XLOOKUP(B1466,Inventory!$A:$A,Inventory!$B:$B),Blades!$A:$A,Blades!$C:$C)+_xludf.XLOOKUP(_xludf.XLOOKUP(B1466,Inventory!$A:$A,Inventory!$C:$C),Motor!$A:$A,Motor!$C:$C)+_xludf.XLOOKUP(_xludf.XLOOKUP(B1466,Inventory!$A:$A,Inventory!$D:$D),Frame!$A:$A,Frame!$C:$C)+#REF!,""))</f>
        <v/>
      </c>
      <c r="E1466" s="4">
        <v>45283</v>
      </c>
      <c r="F1466" s="1" t="s">
        <v>20</v>
      </c>
    </row>
    <row r="1467" spans="1:6" x14ac:dyDescent="0.25">
      <c r="A1467" s="1" t="s">
        <v>2944</v>
      </c>
      <c r="B1467" s="1" t="s">
        <v>2945</v>
      </c>
      <c r="C1467" s="3">
        <v>200</v>
      </c>
      <c r="D1467" s="3" t="str">
        <f ca="1">IF(B1467="","",IFERROR(_xludf.XLOOKUP(_xludf.XLOOKUP(B1467,Inventory!$A:$A,Inventory!$B:$B),Blades!$A:$A,Blades!$C:$C)+_xludf.XLOOKUP(_xludf.XLOOKUP(B1467,Inventory!$A:$A,Inventory!$C:$C),Motor!$A:$A,Motor!$C:$C)+_xludf.XLOOKUP(_xludf.XLOOKUP(B1467,Inventory!$A:$A,Inventory!$D:$D),Frame!$A:$A,Frame!$C:$C)+#REF!,""))</f>
        <v/>
      </c>
      <c r="E1467" s="4">
        <v>45283</v>
      </c>
      <c r="F1467" s="1" t="s">
        <v>20</v>
      </c>
    </row>
    <row r="1468" spans="1:6" x14ac:dyDescent="0.25">
      <c r="A1468" s="1" t="s">
        <v>2946</v>
      </c>
      <c r="B1468" s="1" t="s">
        <v>2947</v>
      </c>
      <c r="C1468" s="3">
        <v>200</v>
      </c>
      <c r="D1468" s="3" t="str">
        <f ca="1">IF(B1468="","",IFERROR(_xludf.XLOOKUP(_xludf.XLOOKUP(B1468,Inventory!$A:$A,Inventory!$B:$B),Blades!$A:$A,Blades!$C:$C)+_xludf.XLOOKUP(_xludf.XLOOKUP(B1468,Inventory!$A:$A,Inventory!$C:$C),Motor!$A:$A,Motor!$C:$C)+_xludf.XLOOKUP(_xludf.XLOOKUP(B1468,Inventory!$A:$A,Inventory!$D:$D),Frame!$A:$A,Frame!$C:$C)+#REF!,""))</f>
        <v/>
      </c>
      <c r="E1468" s="4">
        <v>45284</v>
      </c>
      <c r="F1468" s="1" t="s">
        <v>49</v>
      </c>
    </row>
    <row r="1469" spans="1:6" x14ac:dyDescent="0.25">
      <c r="A1469" s="1" t="s">
        <v>2948</v>
      </c>
      <c r="B1469" s="1" t="s">
        <v>2949</v>
      </c>
      <c r="C1469" s="3">
        <v>200</v>
      </c>
      <c r="D1469" s="3" t="str">
        <f ca="1">IF(B1469="","",IFERROR(_xludf.XLOOKUP(_xludf.XLOOKUP(B1469,Inventory!$A:$A,Inventory!$B:$B),Blades!$A:$A,Blades!$C:$C)+_xludf.XLOOKUP(_xludf.XLOOKUP(B1469,Inventory!$A:$A,Inventory!$C:$C),Motor!$A:$A,Motor!$C:$C)+_xludf.XLOOKUP(_xludf.XLOOKUP(B1469,Inventory!$A:$A,Inventory!$D:$D),Frame!$A:$A,Frame!$C:$C)+#REF!,""))</f>
        <v/>
      </c>
      <c r="E1469" s="4">
        <v>45285</v>
      </c>
      <c r="F1469" s="1" t="s">
        <v>11</v>
      </c>
    </row>
    <row r="1470" spans="1:6" x14ac:dyDescent="0.25">
      <c r="A1470" s="1" t="s">
        <v>2950</v>
      </c>
      <c r="B1470" s="1" t="s">
        <v>2951</v>
      </c>
      <c r="C1470" s="3">
        <v>200</v>
      </c>
      <c r="D1470" s="3" t="str">
        <f ca="1">IF(B1470="","",IFERROR(_xludf.XLOOKUP(_xludf.XLOOKUP(B1470,Inventory!$A:$A,Inventory!$B:$B),Blades!$A:$A,Blades!$C:$C)+_xludf.XLOOKUP(_xludf.XLOOKUP(B1470,Inventory!$A:$A,Inventory!$C:$C),Motor!$A:$A,Motor!$C:$C)+_xludf.XLOOKUP(_xludf.XLOOKUP(B1470,Inventory!$A:$A,Inventory!$D:$D),Frame!$A:$A,Frame!$C:$C)+#REF!,""))</f>
        <v/>
      </c>
      <c r="E1470" s="4">
        <v>45287</v>
      </c>
      <c r="F1470" s="1" t="s">
        <v>32</v>
      </c>
    </row>
    <row r="1471" spans="1:6" x14ac:dyDescent="0.25">
      <c r="A1471" s="1" t="s">
        <v>2952</v>
      </c>
      <c r="B1471" s="1" t="s">
        <v>2953</v>
      </c>
      <c r="C1471" s="3">
        <v>200</v>
      </c>
      <c r="D1471" s="3" t="str">
        <f ca="1">IF(B1471="","",IFERROR(_xludf.XLOOKUP(_xludf.XLOOKUP(B1471,Inventory!$A:$A,Inventory!$B:$B),Blades!$A:$A,Blades!$C:$C)+_xludf.XLOOKUP(_xludf.XLOOKUP(B1471,Inventory!$A:$A,Inventory!$C:$C),Motor!$A:$A,Motor!$C:$C)+_xludf.XLOOKUP(_xludf.XLOOKUP(B1471,Inventory!$A:$A,Inventory!$D:$D),Frame!$A:$A,Frame!$C:$C)+#REF!,""))</f>
        <v/>
      </c>
      <c r="E1471" s="4">
        <v>45288</v>
      </c>
      <c r="F1471" s="1" t="s">
        <v>32</v>
      </c>
    </row>
    <row r="1472" spans="1:6" x14ac:dyDescent="0.25">
      <c r="A1472" s="1" t="s">
        <v>2954</v>
      </c>
      <c r="B1472" s="1" t="s">
        <v>2955</v>
      </c>
      <c r="C1472" s="3">
        <v>200</v>
      </c>
      <c r="D1472" s="3" t="str">
        <f ca="1">IF(B1472="","",IFERROR(_xludf.XLOOKUP(_xludf.XLOOKUP(B1472,Inventory!$A:$A,Inventory!$B:$B),Blades!$A:$A,Blades!$C:$C)+_xludf.XLOOKUP(_xludf.XLOOKUP(B1472,Inventory!$A:$A,Inventory!$C:$C),Motor!$A:$A,Motor!$C:$C)+_xludf.XLOOKUP(_xludf.XLOOKUP(B1472,Inventory!$A:$A,Inventory!$D:$D),Frame!$A:$A,Frame!$C:$C)+#REF!,""))</f>
        <v/>
      </c>
      <c r="E1472" s="4">
        <v>45288</v>
      </c>
      <c r="F1472" s="1" t="s">
        <v>63</v>
      </c>
    </row>
    <row r="1473" spans="1:6" x14ac:dyDescent="0.25">
      <c r="A1473" s="1" t="s">
        <v>2956</v>
      </c>
      <c r="B1473" s="1" t="s">
        <v>2957</v>
      </c>
      <c r="C1473" s="3">
        <v>200</v>
      </c>
      <c r="D1473" s="3" t="str">
        <f ca="1">IF(B1473="","",IFERROR(_xludf.XLOOKUP(_xludf.XLOOKUP(B1473,Inventory!$A:$A,Inventory!$B:$B),Blades!$A:$A,Blades!$C:$C)+_xludf.XLOOKUP(_xludf.XLOOKUP(B1473,Inventory!$A:$A,Inventory!$C:$C),Motor!$A:$A,Motor!$C:$C)+_xludf.XLOOKUP(_xludf.XLOOKUP(B1473,Inventory!$A:$A,Inventory!$D:$D),Frame!$A:$A,Frame!$C:$C)+#REF!,""))</f>
        <v/>
      </c>
      <c r="E1473" s="4">
        <v>45288</v>
      </c>
      <c r="F1473" s="1" t="s">
        <v>63</v>
      </c>
    </row>
    <row r="1474" spans="1:6" x14ac:dyDescent="0.25">
      <c r="A1474" s="1" t="s">
        <v>2958</v>
      </c>
      <c r="B1474" s="1" t="s">
        <v>2959</v>
      </c>
      <c r="C1474" s="3">
        <v>200</v>
      </c>
      <c r="D1474" s="3" t="str">
        <f ca="1">IF(B1474="","",IFERROR(_xludf.XLOOKUP(_xludf.XLOOKUP(B1474,Inventory!$A:$A,Inventory!$B:$B),Blades!$A:$A,Blades!$C:$C)+_xludf.XLOOKUP(_xludf.XLOOKUP(B1474,Inventory!$A:$A,Inventory!$C:$C),Motor!$A:$A,Motor!$C:$C)+_xludf.XLOOKUP(_xludf.XLOOKUP(B1474,Inventory!$A:$A,Inventory!$D:$D),Frame!$A:$A,Frame!$C:$C)+#REF!,""))</f>
        <v/>
      </c>
      <c r="E1474" s="4">
        <v>45289</v>
      </c>
      <c r="F1474" s="1" t="s">
        <v>63</v>
      </c>
    </row>
    <row r="1475" spans="1:6" x14ac:dyDescent="0.25">
      <c r="A1475" s="1" t="s">
        <v>2960</v>
      </c>
      <c r="B1475" s="1" t="s">
        <v>2961</v>
      </c>
      <c r="C1475" s="3">
        <v>200</v>
      </c>
      <c r="D1475" s="3" t="str">
        <f ca="1">IF(B1475="","",IFERROR(_xludf.XLOOKUP(_xludf.XLOOKUP(B1475,Inventory!$A:$A,Inventory!$B:$B),Blades!$A:$A,Blades!$C:$C)+_xludf.XLOOKUP(_xludf.XLOOKUP(B1475,Inventory!$A:$A,Inventory!$C:$C),Motor!$A:$A,Motor!$C:$C)+_xludf.XLOOKUP(_xludf.XLOOKUP(B1475,Inventory!$A:$A,Inventory!$D:$D),Frame!$A:$A,Frame!$C:$C)+#REF!,""))</f>
        <v/>
      </c>
      <c r="E1475" s="4">
        <v>45289</v>
      </c>
      <c r="F1475" s="1" t="s">
        <v>20</v>
      </c>
    </row>
    <row r="1476" spans="1:6" x14ac:dyDescent="0.25">
      <c r="A1476" s="1" t="s">
        <v>2962</v>
      </c>
      <c r="B1476" s="1" t="s">
        <v>2963</v>
      </c>
      <c r="C1476" s="3">
        <v>200</v>
      </c>
      <c r="D1476" s="3" t="str">
        <f ca="1">IF(B1476="","",IFERROR(_xludf.XLOOKUP(_xludf.XLOOKUP(B1476,Inventory!$A:$A,Inventory!$B:$B),Blades!$A:$A,Blades!$C:$C)+_xludf.XLOOKUP(_xludf.XLOOKUP(B1476,Inventory!$A:$A,Inventory!$C:$C),Motor!$A:$A,Motor!$C:$C)+_xludf.XLOOKUP(_xludf.XLOOKUP(B1476,Inventory!$A:$A,Inventory!$D:$D),Frame!$A:$A,Frame!$C:$C)+#REF!,""))</f>
        <v/>
      </c>
      <c r="E1476" s="4">
        <v>45290</v>
      </c>
      <c r="F1476" s="1" t="s">
        <v>8</v>
      </c>
    </row>
    <row r="1477" spans="1:6" x14ac:dyDescent="0.25">
      <c r="A1477" s="1" t="s">
        <v>2964</v>
      </c>
      <c r="B1477" s="1" t="s">
        <v>2965</v>
      </c>
      <c r="C1477" s="3">
        <v>200</v>
      </c>
      <c r="D1477" s="3" t="str">
        <f ca="1">IF(B1477="","",IFERROR(_xludf.XLOOKUP(_xludf.XLOOKUP(B1477,Inventory!$A:$A,Inventory!$B:$B),Blades!$A:$A,Blades!$C:$C)+_xludf.XLOOKUP(_xludf.XLOOKUP(B1477,Inventory!$A:$A,Inventory!$C:$C),Motor!$A:$A,Motor!$C:$C)+_xludf.XLOOKUP(_xludf.XLOOKUP(B1477,Inventory!$A:$A,Inventory!$D:$D),Frame!$A:$A,Frame!$C:$C)+#REF!,""))</f>
        <v/>
      </c>
      <c r="E1477" s="4">
        <v>45291</v>
      </c>
      <c r="F1477" s="1" t="s">
        <v>20</v>
      </c>
    </row>
    <row r="1478" spans="1:6" x14ac:dyDescent="0.25">
      <c r="A1478" s="1" t="s">
        <v>2966</v>
      </c>
      <c r="B1478" s="1" t="s">
        <v>2967</v>
      </c>
      <c r="C1478" s="3">
        <v>200</v>
      </c>
      <c r="D1478" s="3" t="str">
        <f ca="1">IF(B1478="","",IFERROR(_xludf.XLOOKUP(_xludf.XLOOKUP(B1478,Inventory!$A:$A,Inventory!$B:$B),Blades!$A:$A,Blades!$C:$C)+_xludf.XLOOKUP(_xludf.XLOOKUP(B1478,Inventory!$A:$A,Inventory!$C:$C),Motor!$A:$A,Motor!$C:$C)+_xludf.XLOOKUP(_xludf.XLOOKUP(B1478,Inventory!$A:$A,Inventory!$D:$D),Frame!$A:$A,Frame!$C:$C)+#REF!,""))</f>
        <v/>
      </c>
      <c r="E1478" s="4">
        <v>45291</v>
      </c>
      <c r="F1478" s="1" t="s">
        <v>49</v>
      </c>
    </row>
    <row r="1479" spans="1:6" x14ac:dyDescent="0.25">
      <c r="A1479" s="1" t="s">
        <v>2968</v>
      </c>
      <c r="B1479" s="1" t="s">
        <v>2969</v>
      </c>
      <c r="C1479" s="3">
        <v>200</v>
      </c>
      <c r="D1479" s="3" t="str">
        <f ca="1">IF(B1479="","",IFERROR(_xludf.XLOOKUP(_xludf.XLOOKUP(B1479,Inventory!$A:$A,Inventory!$B:$B),Blades!$A:$A,Blades!$C:$C)+_xludf.XLOOKUP(_xludf.XLOOKUP(B1479,Inventory!$A:$A,Inventory!$C:$C),Motor!$A:$A,Motor!$C:$C)+_xludf.XLOOKUP(_xludf.XLOOKUP(B1479,Inventory!$A:$A,Inventory!$D:$D),Frame!$A:$A,Frame!$C:$C)+#REF!,""))</f>
        <v/>
      </c>
      <c r="E1479" s="4">
        <v>45291</v>
      </c>
      <c r="F1479" s="1" t="s">
        <v>63</v>
      </c>
    </row>
    <row r="1480" spans="1:6" x14ac:dyDescent="0.25">
      <c r="A1480" s="1" t="s">
        <v>2970</v>
      </c>
      <c r="B1480" s="1" t="s">
        <v>2971</v>
      </c>
      <c r="C1480" s="3">
        <v>200</v>
      </c>
      <c r="D1480" s="3" t="str">
        <f ca="1">IF(B1480="","",IFERROR(_xludf.XLOOKUP(_xludf.XLOOKUP(B1480,Inventory!$A:$A,Inventory!$B:$B),Blades!$A:$A,Blades!$C:$C)+_xludf.XLOOKUP(_xludf.XLOOKUP(B1480,Inventory!$A:$A,Inventory!$C:$C),Motor!$A:$A,Motor!$C:$C)+_xludf.XLOOKUP(_xludf.XLOOKUP(B1480,Inventory!$A:$A,Inventory!$D:$D),Frame!$A:$A,Frame!$C:$C)+#REF!,""))</f>
        <v/>
      </c>
      <c r="E1480" s="4">
        <v>45291</v>
      </c>
      <c r="F1480" s="1" t="s">
        <v>49</v>
      </c>
    </row>
    <row r="1481" spans="1:6" x14ac:dyDescent="0.25">
      <c r="A1481" s="1" t="s">
        <v>2972</v>
      </c>
      <c r="B1481" s="1" t="s">
        <v>2973</v>
      </c>
      <c r="C1481" s="3">
        <v>200</v>
      </c>
      <c r="D1481" s="3" t="str">
        <f ca="1">IF(B1481="","",IFERROR(_xludf.XLOOKUP(_xludf.XLOOKUP(B1481,Inventory!$A:$A,Inventory!$B:$B),Blades!$A:$A,Blades!$C:$C)+_xludf.XLOOKUP(_xludf.XLOOKUP(B1481,Inventory!$A:$A,Inventory!$C:$C),Motor!$A:$A,Motor!$C:$C)+_xludf.XLOOKUP(_xludf.XLOOKUP(B1481,Inventory!$A:$A,Inventory!$D:$D),Frame!$A:$A,Frame!$C:$C)+#REF!,""))</f>
        <v/>
      </c>
      <c r="E1481" s="4">
        <v>45291</v>
      </c>
      <c r="F1481" s="1" t="s">
        <v>63</v>
      </c>
    </row>
    <row r="1482" spans="1:6" x14ac:dyDescent="0.25">
      <c r="A1482" s="1" t="s">
        <v>2974</v>
      </c>
      <c r="B1482" s="1" t="s">
        <v>2975</v>
      </c>
      <c r="C1482" s="3">
        <v>200</v>
      </c>
      <c r="D1482" s="3" t="str">
        <f ca="1">IF(B1482="","",IFERROR(_xludf.XLOOKUP(_xludf.XLOOKUP(B1482,Inventory!$A:$A,Inventory!$B:$B),Blades!$A:$A,Blades!$C:$C)+_xludf.XLOOKUP(_xludf.XLOOKUP(B1482,Inventory!$A:$A,Inventory!$C:$C),Motor!$A:$A,Motor!$C:$C)+_xludf.XLOOKUP(_xludf.XLOOKUP(B1482,Inventory!$A:$A,Inventory!$D:$D),Frame!$A:$A,Frame!$C:$C)+#REF!,""))</f>
        <v/>
      </c>
      <c r="E1482" s="4">
        <v>45292</v>
      </c>
      <c r="F1482" s="1" t="s">
        <v>25</v>
      </c>
    </row>
    <row r="1483" spans="1:6" x14ac:dyDescent="0.25">
      <c r="A1483" s="1" t="s">
        <v>2976</v>
      </c>
      <c r="B1483" s="1" t="s">
        <v>2977</v>
      </c>
      <c r="C1483" s="3">
        <v>200</v>
      </c>
      <c r="D1483" s="3" t="str">
        <f ca="1">IF(B1483="","",IFERROR(_xludf.XLOOKUP(_xludf.XLOOKUP(B1483,Inventory!$A:$A,Inventory!$B:$B),Blades!$A:$A,Blades!$C:$C)+_xludf.XLOOKUP(_xludf.XLOOKUP(B1483,Inventory!$A:$A,Inventory!$C:$C),Motor!$A:$A,Motor!$C:$C)+_xludf.XLOOKUP(_xludf.XLOOKUP(B1483,Inventory!$A:$A,Inventory!$D:$D),Frame!$A:$A,Frame!$C:$C)+#REF!,""))</f>
        <v/>
      </c>
      <c r="E1483" s="4">
        <v>45292</v>
      </c>
      <c r="F1483" s="1" t="s">
        <v>11</v>
      </c>
    </row>
    <row r="1484" spans="1:6" x14ac:dyDescent="0.25">
      <c r="A1484" s="1" t="s">
        <v>2978</v>
      </c>
      <c r="B1484" s="1" t="s">
        <v>2979</v>
      </c>
      <c r="C1484" s="3">
        <v>200</v>
      </c>
      <c r="D1484" s="3" t="str">
        <f ca="1">IF(B1484="","",IFERROR(_xludf.XLOOKUP(_xludf.XLOOKUP(B1484,Inventory!$A:$A,Inventory!$B:$B),Blades!$A:$A,Blades!$C:$C)+_xludf.XLOOKUP(_xludf.XLOOKUP(B1484,Inventory!$A:$A,Inventory!$C:$C),Motor!$A:$A,Motor!$C:$C)+_xludf.XLOOKUP(_xludf.XLOOKUP(B1484,Inventory!$A:$A,Inventory!$D:$D),Frame!$A:$A,Frame!$C:$C)+#REF!,""))</f>
        <v/>
      </c>
      <c r="E1484" s="4">
        <v>45293</v>
      </c>
      <c r="F1484" s="1" t="s">
        <v>8</v>
      </c>
    </row>
    <row r="1485" spans="1:6" x14ac:dyDescent="0.25">
      <c r="A1485" s="1" t="s">
        <v>2980</v>
      </c>
      <c r="B1485" s="1" t="s">
        <v>2981</v>
      </c>
      <c r="C1485" s="3">
        <v>200</v>
      </c>
      <c r="D1485" s="3" t="str">
        <f ca="1">IF(B1485="","",IFERROR(_xludf.XLOOKUP(_xludf.XLOOKUP(B1485,Inventory!$A:$A,Inventory!$B:$B),Blades!$A:$A,Blades!$C:$C)+_xludf.XLOOKUP(_xludf.XLOOKUP(B1485,Inventory!$A:$A,Inventory!$C:$C),Motor!$A:$A,Motor!$C:$C)+_xludf.XLOOKUP(_xludf.XLOOKUP(B1485,Inventory!$A:$A,Inventory!$D:$D),Frame!$A:$A,Frame!$C:$C)+#REF!,""))</f>
        <v/>
      </c>
      <c r="E1485" s="4">
        <v>45293</v>
      </c>
      <c r="F1485" s="1" t="s">
        <v>25</v>
      </c>
    </row>
    <row r="1486" spans="1:6" x14ac:dyDescent="0.25">
      <c r="A1486" s="1" t="s">
        <v>2982</v>
      </c>
      <c r="B1486" s="1" t="s">
        <v>2983</v>
      </c>
      <c r="C1486" s="3">
        <v>200</v>
      </c>
      <c r="D1486" s="3" t="str">
        <f ca="1">IF(B1486="","",IFERROR(_xludf.XLOOKUP(_xludf.XLOOKUP(B1486,Inventory!$A:$A,Inventory!$B:$B),Blades!$A:$A,Blades!$C:$C)+_xludf.XLOOKUP(_xludf.XLOOKUP(B1486,Inventory!$A:$A,Inventory!$C:$C),Motor!$A:$A,Motor!$C:$C)+_xludf.XLOOKUP(_xludf.XLOOKUP(B1486,Inventory!$A:$A,Inventory!$D:$D),Frame!$A:$A,Frame!$C:$C)+#REF!,""))</f>
        <v/>
      </c>
      <c r="E1486" s="4">
        <v>45293</v>
      </c>
      <c r="F1486" s="1" t="s">
        <v>52</v>
      </c>
    </row>
    <row r="1487" spans="1:6" x14ac:dyDescent="0.25">
      <c r="A1487" s="1" t="s">
        <v>2984</v>
      </c>
      <c r="B1487" s="1" t="s">
        <v>2985</v>
      </c>
      <c r="C1487" s="3">
        <v>200</v>
      </c>
      <c r="D1487" s="3" t="str">
        <f ca="1">IF(B1487="","",IFERROR(_xludf.XLOOKUP(_xludf.XLOOKUP(B1487,Inventory!$A:$A,Inventory!$B:$B),Blades!$A:$A,Blades!$C:$C)+_xludf.XLOOKUP(_xludf.XLOOKUP(B1487,Inventory!$A:$A,Inventory!$C:$C),Motor!$A:$A,Motor!$C:$C)+_xludf.XLOOKUP(_xludf.XLOOKUP(B1487,Inventory!$A:$A,Inventory!$D:$D),Frame!$A:$A,Frame!$C:$C)+#REF!,""))</f>
        <v/>
      </c>
      <c r="E1487" s="4">
        <v>45294</v>
      </c>
      <c r="F1487" s="1" t="s">
        <v>49</v>
      </c>
    </row>
    <row r="1488" spans="1:6" x14ac:dyDescent="0.25">
      <c r="A1488" s="1" t="s">
        <v>2986</v>
      </c>
      <c r="B1488" s="1" t="s">
        <v>2987</v>
      </c>
      <c r="C1488" s="3">
        <v>200</v>
      </c>
      <c r="D1488" s="3" t="str">
        <f ca="1">IF(B1488="","",IFERROR(_xludf.XLOOKUP(_xludf.XLOOKUP(B1488,Inventory!$A:$A,Inventory!$B:$B),Blades!$A:$A,Blades!$C:$C)+_xludf.XLOOKUP(_xludf.XLOOKUP(B1488,Inventory!$A:$A,Inventory!$C:$C),Motor!$A:$A,Motor!$C:$C)+_xludf.XLOOKUP(_xludf.XLOOKUP(B1488,Inventory!$A:$A,Inventory!$D:$D),Frame!$A:$A,Frame!$C:$C)+#REF!,""))</f>
        <v/>
      </c>
      <c r="E1488" s="4">
        <v>45294</v>
      </c>
      <c r="F1488" s="1" t="s">
        <v>52</v>
      </c>
    </row>
    <row r="1489" spans="1:6" x14ac:dyDescent="0.25">
      <c r="A1489" s="1" t="s">
        <v>2988</v>
      </c>
      <c r="B1489" s="1" t="s">
        <v>2989</v>
      </c>
      <c r="C1489" s="3">
        <v>200</v>
      </c>
      <c r="D1489" s="3" t="str">
        <f ca="1">IF(B1489="","",IFERROR(_xludf.XLOOKUP(_xludf.XLOOKUP(B1489,Inventory!$A:$A,Inventory!$B:$B),Blades!$A:$A,Blades!$C:$C)+_xludf.XLOOKUP(_xludf.XLOOKUP(B1489,Inventory!$A:$A,Inventory!$C:$C),Motor!$A:$A,Motor!$C:$C)+_xludf.XLOOKUP(_xludf.XLOOKUP(B1489,Inventory!$A:$A,Inventory!$D:$D),Frame!$A:$A,Frame!$C:$C)+#REF!,""))</f>
        <v/>
      </c>
      <c r="E1489" s="4">
        <v>45294</v>
      </c>
      <c r="F1489" s="1" t="s">
        <v>20</v>
      </c>
    </row>
    <row r="1490" spans="1:6" x14ac:dyDescent="0.25">
      <c r="A1490" s="1" t="s">
        <v>2990</v>
      </c>
      <c r="B1490" s="1" t="s">
        <v>2991</v>
      </c>
      <c r="C1490" s="3">
        <v>200</v>
      </c>
      <c r="D1490" s="3" t="str">
        <f ca="1">IF(B1490="","",IFERROR(_xludf.XLOOKUP(_xludf.XLOOKUP(B1490,Inventory!$A:$A,Inventory!$B:$B),Blades!$A:$A,Blades!$C:$C)+_xludf.XLOOKUP(_xludf.XLOOKUP(B1490,Inventory!$A:$A,Inventory!$C:$C),Motor!$A:$A,Motor!$C:$C)+_xludf.XLOOKUP(_xludf.XLOOKUP(B1490,Inventory!$A:$A,Inventory!$D:$D),Frame!$A:$A,Frame!$C:$C)+#REF!,""))</f>
        <v/>
      </c>
      <c r="E1490" s="4">
        <v>45295</v>
      </c>
      <c r="F1490" s="1" t="s">
        <v>32</v>
      </c>
    </row>
    <row r="1491" spans="1:6" x14ac:dyDescent="0.25">
      <c r="A1491" s="1" t="s">
        <v>2992</v>
      </c>
      <c r="B1491" s="1" t="s">
        <v>2993</v>
      </c>
      <c r="C1491" s="3">
        <v>200</v>
      </c>
      <c r="D1491" s="3" t="str">
        <f ca="1">IF(B1491="","",IFERROR(_xludf.XLOOKUP(_xludf.XLOOKUP(B1491,Inventory!$A:$A,Inventory!$B:$B),Blades!$A:$A,Blades!$C:$C)+_xludf.XLOOKUP(_xludf.XLOOKUP(B1491,Inventory!$A:$A,Inventory!$C:$C),Motor!$A:$A,Motor!$C:$C)+_xludf.XLOOKUP(_xludf.XLOOKUP(B1491,Inventory!$A:$A,Inventory!$D:$D),Frame!$A:$A,Frame!$C:$C)+#REF!,""))</f>
        <v/>
      </c>
      <c r="E1491" s="4">
        <v>45296</v>
      </c>
      <c r="F1491" s="1" t="s">
        <v>49</v>
      </c>
    </row>
    <row r="1492" spans="1:6" x14ac:dyDescent="0.25">
      <c r="A1492" s="1" t="s">
        <v>2994</v>
      </c>
      <c r="B1492" s="1" t="s">
        <v>2995</v>
      </c>
      <c r="C1492" s="3">
        <v>200</v>
      </c>
      <c r="D1492" s="3" t="str">
        <f ca="1">IF(B1492="","",IFERROR(_xludf.XLOOKUP(_xludf.XLOOKUP(B1492,Inventory!$A:$A,Inventory!$B:$B),Blades!$A:$A,Blades!$C:$C)+_xludf.XLOOKUP(_xludf.XLOOKUP(B1492,Inventory!$A:$A,Inventory!$C:$C),Motor!$A:$A,Motor!$C:$C)+_xludf.XLOOKUP(_xludf.XLOOKUP(B1492,Inventory!$A:$A,Inventory!$D:$D),Frame!$A:$A,Frame!$C:$C)+#REF!,""))</f>
        <v/>
      </c>
      <c r="E1492" s="4">
        <v>45296</v>
      </c>
      <c r="F1492" s="1" t="s">
        <v>32</v>
      </c>
    </row>
    <row r="1493" spans="1:6" x14ac:dyDescent="0.25">
      <c r="A1493" s="1" t="s">
        <v>2996</v>
      </c>
      <c r="B1493" s="1" t="s">
        <v>2997</v>
      </c>
      <c r="C1493" s="3">
        <v>200</v>
      </c>
      <c r="D1493" s="3" t="str">
        <f ca="1">IF(B1493="","",IFERROR(_xludf.XLOOKUP(_xludf.XLOOKUP(B1493,Inventory!$A:$A,Inventory!$B:$B),Blades!$A:$A,Blades!$C:$C)+_xludf.XLOOKUP(_xludf.XLOOKUP(B1493,Inventory!$A:$A,Inventory!$C:$C),Motor!$A:$A,Motor!$C:$C)+_xludf.XLOOKUP(_xludf.XLOOKUP(B1493,Inventory!$A:$A,Inventory!$D:$D),Frame!$A:$A,Frame!$C:$C)+#REF!,""))</f>
        <v/>
      </c>
      <c r="E1493" s="4">
        <v>45296</v>
      </c>
      <c r="F1493" s="1" t="s">
        <v>25</v>
      </c>
    </row>
    <row r="1494" spans="1:6" x14ac:dyDescent="0.25">
      <c r="A1494" s="1" t="s">
        <v>2998</v>
      </c>
      <c r="B1494" s="1" t="s">
        <v>2999</v>
      </c>
      <c r="C1494" s="3">
        <v>200</v>
      </c>
      <c r="D1494" s="3" t="str">
        <f ca="1">IF(B1494="","",IFERROR(_xludf.XLOOKUP(_xludf.XLOOKUP(B1494,Inventory!$A:$A,Inventory!$B:$B),Blades!$A:$A,Blades!$C:$C)+_xludf.XLOOKUP(_xludf.XLOOKUP(B1494,Inventory!$A:$A,Inventory!$C:$C),Motor!$A:$A,Motor!$C:$C)+_xludf.XLOOKUP(_xludf.XLOOKUP(B1494,Inventory!$A:$A,Inventory!$D:$D),Frame!$A:$A,Frame!$C:$C)+#REF!,""))</f>
        <v/>
      </c>
      <c r="E1494" s="4">
        <v>45300</v>
      </c>
      <c r="F1494" s="1" t="s">
        <v>52</v>
      </c>
    </row>
    <row r="1495" spans="1:6" x14ac:dyDescent="0.25">
      <c r="A1495" s="1" t="s">
        <v>3000</v>
      </c>
      <c r="B1495" s="1" t="s">
        <v>3001</v>
      </c>
      <c r="C1495" s="3">
        <v>200</v>
      </c>
      <c r="D1495" s="3" t="str">
        <f ca="1">IF(B1495="","",IFERROR(_xludf.XLOOKUP(_xludf.XLOOKUP(B1495,Inventory!$A:$A,Inventory!$B:$B),Blades!$A:$A,Blades!$C:$C)+_xludf.XLOOKUP(_xludf.XLOOKUP(B1495,Inventory!$A:$A,Inventory!$C:$C),Motor!$A:$A,Motor!$C:$C)+_xludf.XLOOKUP(_xludf.XLOOKUP(B1495,Inventory!$A:$A,Inventory!$D:$D),Frame!$A:$A,Frame!$C:$C)+#REF!,""))</f>
        <v/>
      </c>
      <c r="E1495" s="4">
        <v>45301</v>
      </c>
      <c r="F1495" s="1" t="s">
        <v>8</v>
      </c>
    </row>
    <row r="1496" spans="1:6" x14ac:dyDescent="0.25">
      <c r="A1496" s="1" t="s">
        <v>3002</v>
      </c>
      <c r="B1496" s="1" t="s">
        <v>3003</v>
      </c>
      <c r="C1496" s="3">
        <v>200</v>
      </c>
      <c r="D1496" s="3" t="str">
        <f ca="1">IF(B1496="","",IFERROR(_xludf.XLOOKUP(_xludf.XLOOKUP(B1496,Inventory!$A:$A,Inventory!$B:$B),Blades!$A:$A,Blades!$C:$C)+_xludf.XLOOKUP(_xludf.XLOOKUP(B1496,Inventory!$A:$A,Inventory!$C:$C),Motor!$A:$A,Motor!$C:$C)+_xludf.XLOOKUP(_xludf.XLOOKUP(B1496,Inventory!$A:$A,Inventory!$D:$D),Frame!$A:$A,Frame!$C:$C)+#REF!,""))</f>
        <v/>
      </c>
      <c r="E1496" s="4">
        <v>45301</v>
      </c>
      <c r="F1496" s="1" t="s">
        <v>49</v>
      </c>
    </row>
    <row r="1497" spans="1:6" x14ac:dyDescent="0.25">
      <c r="A1497" s="1" t="s">
        <v>3004</v>
      </c>
      <c r="B1497" s="1" t="s">
        <v>3005</v>
      </c>
      <c r="C1497" s="3">
        <v>200</v>
      </c>
      <c r="D1497" s="3" t="str">
        <f ca="1">IF(B1497="","",IFERROR(_xludf.XLOOKUP(_xludf.XLOOKUP(B1497,Inventory!$A:$A,Inventory!$B:$B),Blades!$A:$A,Blades!$C:$C)+_xludf.XLOOKUP(_xludf.XLOOKUP(B1497,Inventory!$A:$A,Inventory!$C:$C),Motor!$A:$A,Motor!$C:$C)+_xludf.XLOOKUP(_xludf.XLOOKUP(B1497,Inventory!$A:$A,Inventory!$D:$D),Frame!$A:$A,Frame!$C:$C)+#REF!,""))</f>
        <v/>
      </c>
      <c r="E1497" s="4">
        <v>45301</v>
      </c>
      <c r="F1497" s="1" t="s">
        <v>8</v>
      </c>
    </row>
    <row r="1498" spans="1:6" x14ac:dyDescent="0.25">
      <c r="A1498" s="1" t="s">
        <v>3006</v>
      </c>
      <c r="B1498" s="1" t="s">
        <v>3007</v>
      </c>
      <c r="C1498" s="3">
        <v>200</v>
      </c>
      <c r="D1498" s="3" t="str">
        <f ca="1">IF(B1498="","",IFERROR(_xludf.XLOOKUP(_xludf.XLOOKUP(B1498,Inventory!$A:$A,Inventory!$B:$B),Blades!$A:$A,Blades!$C:$C)+_xludf.XLOOKUP(_xludf.XLOOKUP(B1498,Inventory!$A:$A,Inventory!$C:$C),Motor!$A:$A,Motor!$C:$C)+_xludf.XLOOKUP(_xludf.XLOOKUP(B1498,Inventory!$A:$A,Inventory!$D:$D),Frame!$A:$A,Frame!$C:$C)+#REF!,""))</f>
        <v/>
      </c>
      <c r="E1498" s="4">
        <v>45302</v>
      </c>
      <c r="F1498" s="1" t="s">
        <v>25</v>
      </c>
    </row>
    <row r="1499" spans="1:6" x14ac:dyDescent="0.25">
      <c r="A1499" s="1" t="s">
        <v>3008</v>
      </c>
      <c r="B1499" s="1" t="s">
        <v>3009</v>
      </c>
      <c r="C1499" s="3">
        <v>200</v>
      </c>
      <c r="D1499" s="3" t="str">
        <f ca="1">IF(B1499="","",IFERROR(_xludf.XLOOKUP(_xludf.XLOOKUP(B1499,Inventory!$A:$A,Inventory!$B:$B),Blades!$A:$A,Blades!$C:$C)+_xludf.XLOOKUP(_xludf.XLOOKUP(B1499,Inventory!$A:$A,Inventory!$C:$C),Motor!$A:$A,Motor!$C:$C)+_xludf.XLOOKUP(_xludf.XLOOKUP(B1499,Inventory!$A:$A,Inventory!$D:$D),Frame!$A:$A,Frame!$C:$C)+#REF!,""))</f>
        <v/>
      </c>
      <c r="E1499" s="4">
        <v>45303</v>
      </c>
      <c r="F1499" s="1" t="s">
        <v>52</v>
      </c>
    </row>
    <row r="1500" spans="1:6" x14ac:dyDescent="0.25">
      <c r="A1500" s="1" t="s">
        <v>3010</v>
      </c>
      <c r="B1500" s="1" t="s">
        <v>3011</v>
      </c>
      <c r="C1500" s="3">
        <v>200</v>
      </c>
      <c r="D1500" s="3" t="str">
        <f ca="1">IF(B1500="","",IFERROR(_xludf.XLOOKUP(_xludf.XLOOKUP(B1500,Inventory!$A:$A,Inventory!$B:$B),Blades!$A:$A,Blades!$C:$C)+_xludf.XLOOKUP(_xludf.XLOOKUP(B1500,Inventory!$A:$A,Inventory!$C:$C),Motor!$A:$A,Motor!$C:$C)+_xludf.XLOOKUP(_xludf.XLOOKUP(B1500,Inventory!$A:$A,Inventory!$D:$D),Frame!$A:$A,Frame!$C:$C)+#REF!,""))</f>
        <v/>
      </c>
      <c r="E1500" s="4">
        <v>45303</v>
      </c>
      <c r="F1500" s="1" t="s">
        <v>49</v>
      </c>
    </row>
    <row r="1501" spans="1:6" x14ac:dyDescent="0.25">
      <c r="A1501" s="1" t="s">
        <v>3012</v>
      </c>
      <c r="B1501" s="1" t="s">
        <v>3013</v>
      </c>
      <c r="C1501" s="3">
        <v>200</v>
      </c>
      <c r="D1501" s="3" t="str">
        <f ca="1">IF(B1501="","",IFERROR(_xludf.XLOOKUP(_xludf.XLOOKUP(B1501,Inventory!$A:$A,Inventory!$B:$B),Blades!$A:$A,Blades!$C:$C)+_xludf.XLOOKUP(_xludf.XLOOKUP(B1501,Inventory!$A:$A,Inventory!$C:$C),Motor!$A:$A,Motor!$C:$C)+_xludf.XLOOKUP(_xludf.XLOOKUP(B1501,Inventory!$A:$A,Inventory!$D:$D),Frame!$A:$A,Frame!$C:$C)+#REF!,""))</f>
        <v/>
      </c>
      <c r="E1501" s="4">
        <v>45304</v>
      </c>
      <c r="F1501" s="1" t="s">
        <v>25</v>
      </c>
    </row>
    <row r="1502" spans="1:6" x14ac:dyDescent="0.25">
      <c r="A1502" s="1" t="s">
        <v>3014</v>
      </c>
      <c r="B1502" s="1" t="s">
        <v>3015</v>
      </c>
      <c r="C1502" s="3">
        <v>200</v>
      </c>
      <c r="D1502" s="3" t="str">
        <f ca="1">IF(B1502="","",IFERROR(_xludf.XLOOKUP(_xludf.XLOOKUP(B1502,Inventory!$A:$A,Inventory!$B:$B),Blades!$A:$A,Blades!$C:$C)+_xludf.XLOOKUP(_xludf.XLOOKUP(B1502,Inventory!$A:$A,Inventory!$C:$C),Motor!$A:$A,Motor!$C:$C)+_xludf.XLOOKUP(_xludf.XLOOKUP(B1502,Inventory!$A:$A,Inventory!$D:$D),Frame!$A:$A,Frame!$C:$C)+#REF!,""))</f>
        <v/>
      </c>
      <c r="E1502" s="4">
        <v>45304</v>
      </c>
      <c r="F1502" s="1" t="s">
        <v>11</v>
      </c>
    </row>
    <row r="1503" spans="1:6" x14ac:dyDescent="0.25">
      <c r="A1503" s="1" t="s">
        <v>3016</v>
      </c>
      <c r="B1503" s="1" t="s">
        <v>3017</v>
      </c>
      <c r="C1503" s="3">
        <v>200</v>
      </c>
      <c r="D1503" s="3" t="str">
        <f ca="1">IF(B1503="","",IFERROR(_xludf.XLOOKUP(_xludf.XLOOKUP(B1503,Inventory!$A:$A,Inventory!$B:$B),Blades!$A:$A,Blades!$C:$C)+_xludf.XLOOKUP(_xludf.XLOOKUP(B1503,Inventory!$A:$A,Inventory!$C:$C),Motor!$A:$A,Motor!$C:$C)+_xludf.XLOOKUP(_xludf.XLOOKUP(B1503,Inventory!$A:$A,Inventory!$D:$D),Frame!$A:$A,Frame!$C:$C)+#REF!,""))</f>
        <v/>
      </c>
      <c r="E1503" s="4">
        <v>45304</v>
      </c>
      <c r="F1503" s="1" t="s">
        <v>49</v>
      </c>
    </row>
    <row r="1504" spans="1:6" x14ac:dyDescent="0.25">
      <c r="A1504" s="1" t="s">
        <v>3018</v>
      </c>
      <c r="B1504" s="1" t="s">
        <v>3019</v>
      </c>
      <c r="C1504" s="3">
        <v>200</v>
      </c>
      <c r="D1504" s="3" t="str">
        <f ca="1">IF(B1504="","",IFERROR(_xludf.XLOOKUP(_xludf.XLOOKUP(B1504,Inventory!$A:$A,Inventory!$B:$B),Blades!$A:$A,Blades!$C:$C)+_xludf.XLOOKUP(_xludf.XLOOKUP(B1504,Inventory!$A:$A,Inventory!$C:$C),Motor!$A:$A,Motor!$C:$C)+_xludf.XLOOKUP(_xludf.XLOOKUP(B1504,Inventory!$A:$A,Inventory!$D:$D),Frame!$A:$A,Frame!$C:$C)+#REF!,""))</f>
        <v/>
      </c>
      <c r="E1504" s="4">
        <v>45304</v>
      </c>
      <c r="F1504" s="1" t="s">
        <v>32</v>
      </c>
    </row>
    <row r="1505" spans="1:6" x14ac:dyDescent="0.25">
      <c r="A1505" s="1" t="s">
        <v>3020</v>
      </c>
      <c r="B1505" s="1" t="s">
        <v>3021</v>
      </c>
      <c r="C1505" s="3">
        <v>200</v>
      </c>
      <c r="D1505" s="3" t="str">
        <f ca="1">IF(B1505="","",IFERROR(_xludf.XLOOKUP(_xludf.XLOOKUP(B1505,Inventory!$A:$A,Inventory!$B:$B),Blades!$A:$A,Blades!$C:$C)+_xludf.XLOOKUP(_xludf.XLOOKUP(B1505,Inventory!$A:$A,Inventory!$C:$C),Motor!$A:$A,Motor!$C:$C)+_xludf.XLOOKUP(_xludf.XLOOKUP(B1505,Inventory!$A:$A,Inventory!$D:$D),Frame!$A:$A,Frame!$C:$C)+#REF!,""))</f>
        <v/>
      </c>
      <c r="E1505" s="4">
        <v>45305</v>
      </c>
      <c r="F1505" s="1" t="s">
        <v>52</v>
      </c>
    </row>
    <row r="1506" spans="1:6" x14ac:dyDescent="0.25">
      <c r="A1506" s="1" t="s">
        <v>3022</v>
      </c>
      <c r="B1506" s="1" t="s">
        <v>3023</v>
      </c>
      <c r="C1506" s="3">
        <v>200</v>
      </c>
      <c r="D1506" s="3" t="str">
        <f ca="1">IF(B1506="","",IFERROR(_xludf.XLOOKUP(_xludf.XLOOKUP(B1506,Inventory!$A:$A,Inventory!$B:$B),Blades!$A:$A,Blades!$C:$C)+_xludf.XLOOKUP(_xludf.XLOOKUP(B1506,Inventory!$A:$A,Inventory!$C:$C),Motor!$A:$A,Motor!$C:$C)+_xludf.XLOOKUP(_xludf.XLOOKUP(B1506,Inventory!$A:$A,Inventory!$D:$D),Frame!$A:$A,Frame!$C:$C)+#REF!,""))</f>
        <v/>
      </c>
      <c r="E1506" s="4">
        <v>45306</v>
      </c>
      <c r="F1506" s="1" t="s">
        <v>11</v>
      </c>
    </row>
    <row r="1507" spans="1:6" x14ac:dyDescent="0.25">
      <c r="A1507" s="1" t="s">
        <v>3024</v>
      </c>
      <c r="B1507" s="1" t="s">
        <v>3025</v>
      </c>
      <c r="C1507" s="3">
        <v>200</v>
      </c>
      <c r="D1507" s="3" t="str">
        <f ca="1">IF(B1507="","",IFERROR(_xludf.XLOOKUP(_xludf.XLOOKUP(B1507,Inventory!$A:$A,Inventory!$B:$B),Blades!$A:$A,Blades!$C:$C)+_xludf.XLOOKUP(_xludf.XLOOKUP(B1507,Inventory!$A:$A,Inventory!$C:$C),Motor!$A:$A,Motor!$C:$C)+_xludf.XLOOKUP(_xludf.XLOOKUP(B1507,Inventory!$A:$A,Inventory!$D:$D),Frame!$A:$A,Frame!$C:$C)+#REF!,""))</f>
        <v/>
      </c>
      <c r="E1507" s="4">
        <v>45306</v>
      </c>
      <c r="F1507" s="1" t="s">
        <v>11</v>
      </c>
    </row>
    <row r="1508" spans="1:6" x14ac:dyDescent="0.25">
      <c r="A1508" s="1" t="s">
        <v>3026</v>
      </c>
      <c r="B1508" s="1" t="s">
        <v>3027</v>
      </c>
      <c r="C1508" s="3">
        <v>200</v>
      </c>
      <c r="D1508" s="3" t="str">
        <f ca="1">IF(B1508="","",IFERROR(_xludf.XLOOKUP(_xludf.XLOOKUP(B1508,Inventory!$A:$A,Inventory!$B:$B),Blades!$A:$A,Blades!$C:$C)+_xludf.XLOOKUP(_xludf.XLOOKUP(B1508,Inventory!$A:$A,Inventory!$C:$C),Motor!$A:$A,Motor!$C:$C)+_xludf.XLOOKUP(_xludf.XLOOKUP(B1508,Inventory!$A:$A,Inventory!$D:$D),Frame!$A:$A,Frame!$C:$C)+#REF!,""))</f>
        <v/>
      </c>
      <c r="E1508" s="4">
        <v>45306</v>
      </c>
      <c r="F1508" s="1" t="s">
        <v>49</v>
      </c>
    </row>
    <row r="1509" spans="1:6" x14ac:dyDescent="0.25">
      <c r="A1509" s="1" t="s">
        <v>3028</v>
      </c>
      <c r="B1509" s="1" t="s">
        <v>3029</v>
      </c>
      <c r="C1509" s="3">
        <v>200</v>
      </c>
      <c r="D1509" s="3" t="str">
        <f ca="1">IF(B1509="","",IFERROR(_xludf.XLOOKUP(_xludf.XLOOKUP(B1509,Inventory!$A:$A,Inventory!$B:$B),Blades!$A:$A,Blades!$C:$C)+_xludf.XLOOKUP(_xludf.XLOOKUP(B1509,Inventory!$A:$A,Inventory!$C:$C),Motor!$A:$A,Motor!$C:$C)+_xludf.XLOOKUP(_xludf.XLOOKUP(B1509,Inventory!$A:$A,Inventory!$D:$D),Frame!$A:$A,Frame!$C:$C)+#REF!,""))</f>
        <v/>
      </c>
      <c r="E1509" s="4">
        <v>45307</v>
      </c>
      <c r="F1509" s="1" t="s">
        <v>20</v>
      </c>
    </row>
    <row r="1510" spans="1:6" x14ac:dyDescent="0.25">
      <c r="A1510" s="1" t="s">
        <v>3030</v>
      </c>
      <c r="B1510" s="1" t="s">
        <v>3031</v>
      </c>
      <c r="C1510" s="3">
        <v>200</v>
      </c>
      <c r="D1510" s="3" t="str">
        <f ca="1">IF(B1510="","",IFERROR(_xludf.XLOOKUP(_xludf.XLOOKUP(B1510,Inventory!$A:$A,Inventory!$B:$B),Blades!$A:$A,Blades!$C:$C)+_xludf.XLOOKUP(_xludf.XLOOKUP(B1510,Inventory!$A:$A,Inventory!$C:$C),Motor!$A:$A,Motor!$C:$C)+_xludf.XLOOKUP(_xludf.XLOOKUP(B1510,Inventory!$A:$A,Inventory!$D:$D),Frame!$A:$A,Frame!$C:$C)+#REF!,""))</f>
        <v/>
      </c>
      <c r="E1510" s="4">
        <v>45308</v>
      </c>
      <c r="F1510" s="1" t="s">
        <v>32</v>
      </c>
    </row>
    <row r="1511" spans="1:6" x14ac:dyDescent="0.25">
      <c r="A1511" s="1" t="s">
        <v>3032</v>
      </c>
      <c r="B1511" s="1" t="s">
        <v>3033</v>
      </c>
      <c r="C1511" s="3">
        <v>200</v>
      </c>
      <c r="D1511" s="3" t="str">
        <f ca="1">IF(B1511="","",IFERROR(_xludf.XLOOKUP(_xludf.XLOOKUP(B1511,Inventory!$A:$A,Inventory!$B:$B),Blades!$A:$A,Blades!$C:$C)+_xludf.XLOOKUP(_xludf.XLOOKUP(B1511,Inventory!$A:$A,Inventory!$C:$C),Motor!$A:$A,Motor!$C:$C)+_xludf.XLOOKUP(_xludf.XLOOKUP(B1511,Inventory!$A:$A,Inventory!$D:$D),Frame!$A:$A,Frame!$C:$C)+#REF!,""))</f>
        <v/>
      </c>
      <c r="E1511" s="4">
        <v>45309</v>
      </c>
      <c r="F1511" s="1" t="s">
        <v>49</v>
      </c>
    </row>
    <row r="1512" spans="1:6" x14ac:dyDescent="0.25">
      <c r="A1512" s="1" t="s">
        <v>3034</v>
      </c>
      <c r="B1512" s="1" t="s">
        <v>3035</v>
      </c>
      <c r="C1512" s="3">
        <v>200</v>
      </c>
      <c r="D1512" s="3" t="str">
        <f ca="1">IF(B1512="","",IFERROR(_xludf.XLOOKUP(_xludf.XLOOKUP(B1512,Inventory!$A:$A,Inventory!$B:$B),Blades!$A:$A,Blades!$C:$C)+_xludf.XLOOKUP(_xludf.XLOOKUP(B1512,Inventory!$A:$A,Inventory!$C:$C),Motor!$A:$A,Motor!$C:$C)+_xludf.XLOOKUP(_xludf.XLOOKUP(B1512,Inventory!$A:$A,Inventory!$D:$D),Frame!$A:$A,Frame!$C:$C)+#REF!,""))</f>
        <v/>
      </c>
      <c r="E1512" s="4">
        <v>45310</v>
      </c>
      <c r="F1512" s="1" t="s">
        <v>25</v>
      </c>
    </row>
    <row r="1513" spans="1:6" x14ac:dyDescent="0.25">
      <c r="A1513" s="1" t="s">
        <v>3036</v>
      </c>
      <c r="B1513" s="1" t="s">
        <v>3037</v>
      </c>
      <c r="C1513" s="3">
        <v>200</v>
      </c>
      <c r="D1513" s="3" t="str">
        <f ca="1">IF(B1513="","",IFERROR(_xludf.XLOOKUP(_xludf.XLOOKUP(B1513,Inventory!$A:$A,Inventory!$B:$B),Blades!$A:$A,Blades!$C:$C)+_xludf.XLOOKUP(_xludf.XLOOKUP(B1513,Inventory!$A:$A,Inventory!$C:$C),Motor!$A:$A,Motor!$C:$C)+_xludf.XLOOKUP(_xludf.XLOOKUP(B1513,Inventory!$A:$A,Inventory!$D:$D),Frame!$A:$A,Frame!$C:$C)+#REF!,""))</f>
        <v/>
      </c>
      <c r="E1513" s="4">
        <v>45312</v>
      </c>
      <c r="F1513" s="1" t="s">
        <v>63</v>
      </c>
    </row>
    <row r="1514" spans="1:6" x14ac:dyDescent="0.25">
      <c r="A1514" s="1" t="s">
        <v>3038</v>
      </c>
      <c r="B1514" s="1" t="s">
        <v>3039</v>
      </c>
      <c r="C1514" s="3">
        <v>200</v>
      </c>
      <c r="D1514" s="3" t="str">
        <f ca="1">IF(B1514="","",IFERROR(_xludf.XLOOKUP(_xludf.XLOOKUP(B1514,Inventory!$A:$A,Inventory!$B:$B),Blades!$A:$A,Blades!$C:$C)+_xludf.XLOOKUP(_xludf.XLOOKUP(B1514,Inventory!$A:$A,Inventory!$C:$C),Motor!$A:$A,Motor!$C:$C)+_xludf.XLOOKUP(_xludf.XLOOKUP(B1514,Inventory!$A:$A,Inventory!$D:$D),Frame!$A:$A,Frame!$C:$C)+#REF!,""))</f>
        <v/>
      </c>
      <c r="E1514" s="4">
        <v>45313</v>
      </c>
      <c r="F1514" s="1" t="s">
        <v>63</v>
      </c>
    </row>
    <row r="1515" spans="1:6" x14ac:dyDescent="0.25">
      <c r="A1515" s="1" t="s">
        <v>3040</v>
      </c>
      <c r="B1515" s="1" t="s">
        <v>3041</v>
      </c>
      <c r="C1515" s="3">
        <v>200</v>
      </c>
      <c r="D1515" s="3" t="str">
        <f ca="1">IF(B1515="","",IFERROR(_xludf.XLOOKUP(_xludf.XLOOKUP(B1515,Inventory!$A:$A,Inventory!$B:$B),Blades!$A:$A,Blades!$C:$C)+_xludf.XLOOKUP(_xludf.XLOOKUP(B1515,Inventory!$A:$A,Inventory!$C:$C),Motor!$A:$A,Motor!$C:$C)+_xludf.XLOOKUP(_xludf.XLOOKUP(B1515,Inventory!$A:$A,Inventory!$D:$D),Frame!$A:$A,Frame!$C:$C)+#REF!,""))</f>
        <v/>
      </c>
      <c r="E1515" s="4">
        <v>45314</v>
      </c>
      <c r="F1515" s="1" t="s">
        <v>8</v>
      </c>
    </row>
    <row r="1516" spans="1:6" x14ac:dyDescent="0.25">
      <c r="A1516" s="1" t="s">
        <v>3042</v>
      </c>
      <c r="B1516" s="1" t="s">
        <v>3043</v>
      </c>
      <c r="C1516" s="3">
        <v>200</v>
      </c>
      <c r="D1516" s="3" t="str">
        <f ca="1">IF(B1516="","",IFERROR(_xludf.XLOOKUP(_xludf.XLOOKUP(B1516,Inventory!$A:$A,Inventory!$B:$B),Blades!$A:$A,Blades!$C:$C)+_xludf.XLOOKUP(_xludf.XLOOKUP(B1516,Inventory!$A:$A,Inventory!$C:$C),Motor!$A:$A,Motor!$C:$C)+_xludf.XLOOKUP(_xludf.XLOOKUP(B1516,Inventory!$A:$A,Inventory!$D:$D),Frame!$A:$A,Frame!$C:$C)+#REF!,""))</f>
        <v/>
      </c>
      <c r="E1516" s="4">
        <v>45314</v>
      </c>
      <c r="F1516" s="1" t="s">
        <v>11</v>
      </c>
    </row>
    <row r="1517" spans="1:6" x14ac:dyDescent="0.25">
      <c r="A1517" s="1" t="s">
        <v>3044</v>
      </c>
      <c r="B1517" s="1" t="s">
        <v>3045</v>
      </c>
      <c r="C1517" s="3">
        <v>200</v>
      </c>
      <c r="D1517" s="3" t="str">
        <f ca="1">IF(B1517="","",IFERROR(_xludf.XLOOKUP(_xludf.XLOOKUP(B1517,Inventory!$A:$A,Inventory!$B:$B),Blades!$A:$A,Blades!$C:$C)+_xludf.XLOOKUP(_xludf.XLOOKUP(B1517,Inventory!$A:$A,Inventory!$C:$C),Motor!$A:$A,Motor!$C:$C)+_xludf.XLOOKUP(_xludf.XLOOKUP(B1517,Inventory!$A:$A,Inventory!$D:$D),Frame!$A:$A,Frame!$C:$C)+#REF!,""))</f>
        <v/>
      </c>
      <c r="E1517" s="4">
        <v>45315</v>
      </c>
      <c r="F1517" s="1" t="s">
        <v>49</v>
      </c>
    </row>
    <row r="1518" spans="1:6" x14ac:dyDescent="0.25">
      <c r="A1518" s="1" t="s">
        <v>3046</v>
      </c>
      <c r="B1518" s="1" t="s">
        <v>3047</v>
      </c>
      <c r="C1518" s="3">
        <v>200</v>
      </c>
      <c r="D1518" s="3" t="str">
        <f ca="1">IF(B1518="","",IFERROR(_xludf.XLOOKUP(_xludf.XLOOKUP(B1518,Inventory!$A:$A,Inventory!$B:$B),Blades!$A:$A,Blades!$C:$C)+_xludf.XLOOKUP(_xludf.XLOOKUP(B1518,Inventory!$A:$A,Inventory!$C:$C),Motor!$A:$A,Motor!$C:$C)+_xludf.XLOOKUP(_xludf.XLOOKUP(B1518,Inventory!$A:$A,Inventory!$D:$D),Frame!$A:$A,Frame!$C:$C)+#REF!,""))</f>
        <v/>
      </c>
      <c r="E1518" s="4">
        <v>45315</v>
      </c>
      <c r="F1518" s="1" t="s">
        <v>49</v>
      </c>
    </row>
    <row r="1519" spans="1:6" x14ac:dyDescent="0.25">
      <c r="A1519" s="1" t="s">
        <v>3048</v>
      </c>
      <c r="B1519" s="1" t="s">
        <v>3049</v>
      </c>
      <c r="C1519" s="3">
        <v>200</v>
      </c>
      <c r="D1519" s="3" t="str">
        <f ca="1">IF(B1519="","",IFERROR(_xludf.XLOOKUP(_xludf.XLOOKUP(B1519,Inventory!$A:$A,Inventory!$B:$B),Blades!$A:$A,Blades!$C:$C)+_xludf.XLOOKUP(_xludf.XLOOKUP(B1519,Inventory!$A:$A,Inventory!$C:$C),Motor!$A:$A,Motor!$C:$C)+_xludf.XLOOKUP(_xludf.XLOOKUP(B1519,Inventory!$A:$A,Inventory!$D:$D),Frame!$A:$A,Frame!$C:$C)+#REF!,""))</f>
        <v/>
      </c>
      <c r="E1519" s="4">
        <v>45315</v>
      </c>
      <c r="F1519" s="1" t="s">
        <v>8</v>
      </c>
    </row>
    <row r="1520" spans="1:6" x14ac:dyDescent="0.25">
      <c r="A1520" s="1" t="s">
        <v>3050</v>
      </c>
      <c r="B1520" s="1" t="s">
        <v>3051</v>
      </c>
      <c r="C1520" s="3">
        <v>200</v>
      </c>
      <c r="D1520" s="3" t="str">
        <f ca="1">IF(B1520="","",IFERROR(_xludf.XLOOKUP(_xludf.XLOOKUP(B1520,Inventory!$A:$A,Inventory!$B:$B),Blades!$A:$A,Blades!$C:$C)+_xludf.XLOOKUP(_xludf.XLOOKUP(B1520,Inventory!$A:$A,Inventory!$C:$C),Motor!$A:$A,Motor!$C:$C)+_xludf.XLOOKUP(_xludf.XLOOKUP(B1520,Inventory!$A:$A,Inventory!$D:$D),Frame!$A:$A,Frame!$C:$C)+#REF!,""))</f>
        <v/>
      </c>
      <c r="E1520" s="4">
        <v>45316</v>
      </c>
      <c r="F1520" s="1" t="s">
        <v>25</v>
      </c>
    </row>
    <row r="1521" spans="1:6" x14ac:dyDescent="0.25">
      <c r="A1521" s="1" t="s">
        <v>3052</v>
      </c>
      <c r="B1521" s="1" t="s">
        <v>3053</v>
      </c>
      <c r="C1521" s="3">
        <v>200</v>
      </c>
      <c r="D1521" s="3" t="str">
        <f ca="1">IF(B1521="","",IFERROR(_xludf.XLOOKUP(_xludf.XLOOKUP(B1521,Inventory!$A:$A,Inventory!$B:$B),Blades!$A:$A,Blades!$C:$C)+_xludf.XLOOKUP(_xludf.XLOOKUP(B1521,Inventory!$A:$A,Inventory!$C:$C),Motor!$A:$A,Motor!$C:$C)+_xludf.XLOOKUP(_xludf.XLOOKUP(B1521,Inventory!$A:$A,Inventory!$D:$D),Frame!$A:$A,Frame!$C:$C)+#REF!,""))</f>
        <v/>
      </c>
      <c r="E1521" s="4">
        <v>45316</v>
      </c>
      <c r="F1521" s="1" t="s">
        <v>52</v>
      </c>
    </row>
    <row r="1522" spans="1:6" x14ac:dyDescent="0.25">
      <c r="A1522" s="1" t="s">
        <v>3054</v>
      </c>
      <c r="B1522" s="1" t="s">
        <v>3055</v>
      </c>
      <c r="C1522" s="3">
        <v>200</v>
      </c>
      <c r="D1522" s="3" t="str">
        <f ca="1">IF(B1522="","",IFERROR(_xludf.XLOOKUP(_xludf.XLOOKUP(B1522,Inventory!$A:$A,Inventory!$B:$B),Blades!$A:$A,Blades!$C:$C)+_xludf.XLOOKUP(_xludf.XLOOKUP(B1522,Inventory!$A:$A,Inventory!$C:$C),Motor!$A:$A,Motor!$C:$C)+_xludf.XLOOKUP(_xludf.XLOOKUP(B1522,Inventory!$A:$A,Inventory!$D:$D),Frame!$A:$A,Frame!$C:$C)+#REF!,""))</f>
        <v/>
      </c>
      <c r="E1522" s="4">
        <v>45316</v>
      </c>
      <c r="F1522" s="1" t="s">
        <v>32</v>
      </c>
    </row>
    <row r="1523" spans="1:6" x14ac:dyDescent="0.25">
      <c r="A1523" s="1" t="s">
        <v>3056</v>
      </c>
      <c r="B1523" s="1" t="s">
        <v>3057</v>
      </c>
      <c r="C1523" s="3">
        <v>200</v>
      </c>
      <c r="D1523" s="3" t="str">
        <f ca="1">IF(B1523="","",IFERROR(_xludf.XLOOKUP(_xludf.XLOOKUP(B1523,Inventory!$A:$A,Inventory!$B:$B),Blades!$A:$A,Blades!$C:$C)+_xludf.XLOOKUP(_xludf.XLOOKUP(B1523,Inventory!$A:$A,Inventory!$C:$C),Motor!$A:$A,Motor!$C:$C)+_xludf.XLOOKUP(_xludf.XLOOKUP(B1523,Inventory!$A:$A,Inventory!$D:$D),Frame!$A:$A,Frame!$C:$C)+#REF!,""))</f>
        <v/>
      </c>
      <c r="E1523" s="4">
        <v>45318</v>
      </c>
      <c r="F1523" s="1" t="s">
        <v>32</v>
      </c>
    </row>
    <row r="1524" spans="1:6" x14ac:dyDescent="0.25">
      <c r="A1524" s="1" t="s">
        <v>3058</v>
      </c>
      <c r="B1524" s="1" t="s">
        <v>3059</v>
      </c>
      <c r="C1524" s="3">
        <v>200</v>
      </c>
      <c r="D1524" s="3" t="str">
        <f ca="1">IF(B1524="","",IFERROR(_xludf.XLOOKUP(_xludf.XLOOKUP(B1524,Inventory!$A:$A,Inventory!$B:$B),Blades!$A:$A,Blades!$C:$C)+_xludf.XLOOKUP(_xludf.XLOOKUP(B1524,Inventory!$A:$A,Inventory!$C:$C),Motor!$A:$A,Motor!$C:$C)+_xludf.XLOOKUP(_xludf.XLOOKUP(B1524,Inventory!$A:$A,Inventory!$D:$D),Frame!$A:$A,Frame!$C:$C)+#REF!,""))</f>
        <v/>
      </c>
      <c r="E1524" s="4">
        <v>45318</v>
      </c>
      <c r="F1524" s="1" t="s">
        <v>52</v>
      </c>
    </row>
    <row r="1525" spans="1:6" x14ac:dyDescent="0.25">
      <c r="A1525" s="1" t="s">
        <v>3060</v>
      </c>
      <c r="B1525" s="1" t="s">
        <v>3061</v>
      </c>
      <c r="C1525" s="3">
        <v>200</v>
      </c>
      <c r="D1525" s="3" t="str">
        <f ca="1">IF(B1525="","",IFERROR(_xludf.XLOOKUP(_xludf.XLOOKUP(B1525,Inventory!$A:$A,Inventory!$B:$B),Blades!$A:$A,Blades!$C:$C)+_xludf.XLOOKUP(_xludf.XLOOKUP(B1525,Inventory!$A:$A,Inventory!$C:$C),Motor!$A:$A,Motor!$C:$C)+_xludf.XLOOKUP(_xludf.XLOOKUP(B1525,Inventory!$A:$A,Inventory!$D:$D),Frame!$A:$A,Frame!$C:$C)+#REF!,""))</f>
        <v/>
      </c>
      <c r="E1525" s="4">
        <v>45318</v>
      </c>
      <c r="F1525" s="1" t="s">
        <v>20</v>
      </c>
    </row>
    <row r="1526" spans="1:6" x14ac:dyDescent="0.25">
      <c r="A1526" s="1" t="s">
        <v>3062</v>
      </c>
      <c r="B1526" s="1" t="s">
        <v>3063</v>
      </c>
      <c r="C1526" s="3">
        <v>200</v>
      </c>
      <c r="D1526" s="3" t="str">
        <f ca="1">IF(B1526="","",IFERROR(_xludf.XLOOKUP(_xludf.XLOOKUP(B1526,Inventory!$A:$A,Inventory!$B:$B),Blades!$A:$A,Blades!$C:$C)+_xludf.XLOOKUP(_xludf.XLOOKUP(B1526,Inventory!$A:$A,Inventory!$C:$C),Motor!$A:$A,Motor!$C:$C)+_xludf.XLOOKUP(_xludf.XLOOKUP(B1526,Inventory!$A:$A,Inventory!$D:$D),Frame!$A:$A,Frame!$C:$C)+#REF!,""))</f>
        <v/>
      </c>
      <c r="E1526" s="4">
        <v>45319</v>
      </c>
      <c r="F1526" s="1" t="s">
        <v>8</v>
      </c>
    </row>
    <row r="1527" spans="1:6" x14ac:dyDescent="0.25">
      <c r="A1527" s="1" t="s">
        <v>3064</v>
      </c>
      <c r="B1527" s="1" t="s">
        <v>3065</v>
      </c>
      <c r="C1527" s="3">
        <v>200</v>
      </c>
      <c r="D1527" s="3" t="str">
        <f ca="1">IF(B1527="","",IFERROR(_xludf.XLOOKUP(_xludf.XLOOKUP(B1527,Inventory!$A:$A,Inventory!$B:$B),Blades!$A:$A,Blades!$C:$C)+_xludf.XLOOKUP(_xludf.XLOOKUP(B1527,Inventory!$A:$A,Inventory!$C:$C),Motor!$A:$A,Motor!$C:$C)+_xludf.XLOOKUP(_xludf.XLOOKUP(B1527,Inventory!$A:$A,Inventory!$D:$D),Frame!$A:$A,Frame!$C:$C)+#REF!,""))</f>
        <v/>
      </c>
      <c r="E1527" s="4">
        <v>45319</v>
      </c>
      <c r="F1527" s="1" t="s">
        <v>52</v>
      </c>
    </row>
    <row r="1528" spans="1:6" x14ac:dyDescent="0.25">
      <c r="A1528" s="1" t="s">
        <v>3066</v>
      </c>
      <c r="B1528" s="1" t="s">
        <v>3067</v>
      </c>
      <c r="C1528" s="3">
        <v>200</v>
      </c>
      <c r="D1528" s="3" t="str">
        <f ca="1">IF(B1528="","",IFERROR(_xludf.XLOOKUP(_xludf.XLOOKUP(B1528,Inventory!$A:$A,Inventory!$B:$B),Blades!$A:$A,Blades!$C:$C)+_xludf.XLOOKUP(_xludf.XLOOKUP(B1528,Inventory!$A:$A,Inventory!$C:$C),Motor!$A:$A,Motor!$C:$C)+_xludf.XLOOKUP(_xludf.XLOOKUP(B1528,Inventory!$A:$A,Inventory!$D:$D),Frame!$A:$A,Frame!$C:$C)+#REF!,""))</f>
        <v/>
      </c>
      <c r="E1528" s="4">
        <v>45320</v>
      </c>
      <c r="F1528" s="1" t="s">
        <v>63</v>
      </c>
    </row>
    <row r="1529" spans="1:6" x14ac:dyDescent="0.25">
      <c r="A1529" s="1" t="s">
        <v>3068</v>
      </c>
      <c r="B1529" s="1" t="s">
        <v>3069</v>
      </c>
      <c r="C1529" s="3">
        <v>200</v>
      </c>
      <c r="D1529" s="3" t="str">
        <f ca="1">IF(B1529="","",IFERROR(_xludf.XLOOKUP(_xludf.XLOOKUP(B1529,Inventory!$A:$A,Inventory!$B:$B),Blades!$A:$A,Blades!$C:$C)+_xludf.XLOOKUP(_xludf.XLOOKUP(B1529,Inventory!$A:$A,Inventory!$C:$C),Motor!$A:$A,Motor!$C:$C)+_xludf.XLOOKUP(_xludf.XLOOKUP(B1529,Inventory!$A:$A,Inventory!$D:$D),Frame!$A:$A,Frame!$C:$C)+#REF!,""))</f>
        <v/>
      </c>
      <c r="E1529" s="4">
        <v>45320</v>
      </c>
      <c r="F1529" s="1" t="s">
        <v>63</v>
      </c>
    </row>
    <row r="1530" spans="1:6" x14ac:dyDescent="0.25">
      <c r="A1530" s="1" t="s">
        <v>3070</v>
      </c>
      <c r="B1530" s="1" t="s">
        <v>3071</v>
      </c>
      <c r="C1530" s="3">
        <v>200</v>
      </c>
      <c r="D1530" s="3" t="str">
        <f ca="1">IF(B1530="","",IFERROR(_xludf.XLOOKUP(_xludf.XLOOKUP(B1530,Inventory!$A:$A,Inventory!$B:$B),Blades!$A:$A,Blades!$C:$C)+_xludf.XLOOKUP(_xludf.XLOOKUP(B1530,Inventory!$A:$A,Inventory!$C:$C),Motor!$A:$A,Motor!$C:$C)+_xludf.XLOOKUP(_xludf.XLOOKUP(B1530,Inventory!$A:$A,Inventory!$D:$D),Frame!$A:$A,Frame!$C:$C)+#REF!,""))</f>
        <v/>
      </c>
      <c r="E1530" s="4">
        <v>45321</v>
      </c>
      <c r="F1530" s="1" t="s">
        <v>25</v>
      </c>
    </row>
    <row r="1531" spans="1:6" x14ac:dyDescent="0.25">
      <c r="A1531" s="1" t="s">
        <v>3072</v>
      </c>
      <c r="B1531" s="1" t="s">
        <v>3073</v>
      </c>
      <c r="C1531" s="3">
        <v>200</v>
      </c>
      <c r="D1531" s="3" t="str">
        <f ca="1">IF(B1531="","",IFERROR(_xludf.XLOOKUP(_xludf.XLOOKUP(B1531,Inventory!$A:$A,Inventory!$B:$B),Blades!$A:$A,Blades!$C:$C)+_xludf.XLOOKUP(_xludf.XLOOKUP(B1531,Inventory!$A:$A,Inventory!$C:$C),Motor!$A:$A,Motor!$C:$C)+_xludf.XLOOKUP(_xludf.XLOOKUP(B1531,Inventory!$A:$A,Inventory!$D:$D),Frame!$A:$A,Frame!$C:$C)+#REF!,""))</f>
        <v/>
      </c>
      <c r="E1531" s="4">
        <v>45322</v>
      </c>
      <c r="F1531" s="1" t="s">
        <v>63</v>
      </c>
    </row>
    <row r="1532" spans="1:6" x14ac:dyDescent="0.25">
      <c r="A1532" s="1" t="s">
        <v>3074</v>
      </c>
      <c r="B1532" s="1" t="s">
        <v>3075</v>
      </c>
      <c r="C1532" s="3">
        <v>200</v>
      </c>
      <c r="D1532" s="3" t="str">
        <f ca="1">IF(B1532="","",IFERROR(_xludf.XLOOKUP(_xludf.XLOOKUP(B1532,Inventory!$A:$A,Inventory!$B:$B),Blades!$A:$A,Blades!$C:$C)+_xludf.XLOOKUP(_xludf.XLOOKUP(B1532,Inventory!$A:$A,Inventory!$C:$C),Motor!$A:$A,Motor!$C:$C)+_xludf.XLOOKUP(_xludf.XLOOKUP(B1532,Inventory!$A:$A,Inventory!$D:$D),Frame!$A:$A,Frame!$C:$C)+#REF!,""))</f>
        <v/>
      </c>
      <c r="E1532" s="4">
        <v>45322</v>
      </c>
      <c r="F1532" s="1" t="s">
        <v>63</v>
      </c>
    </row>
    <row r="1533" spans="1:6" x14ac:dyDescent="0.25">
      <c r="A1533" s="1" t="s">
        <v>3076</v>
      </c>
      <c r="B1533" s="1" t="s">
        <v>3077</v>
      </c>
      <c r="C1533" s="3">
        <v>200</v>
      </c>
      <c r="D1533" s="3" t="str">
        <f ca="1">IF(B1533="","",IFERROR(_xludf.XLOOKUP(_xludf.XLOOKUP(B1533,Inventory!$A:$A,Inventory!$B:$B),Blades!$A:$A,Blades!$C:$C)+_xludf.XLOOKUP(_xludf.XLOOKUP(B1533,Inventory!$A:$A,Inventory!$C:$C),Motor!$A:$A,Motor!$C:$C)+_xludf.XLOOKUP(_xludf.XLOOKUP(B1533,Inventory!$A:$A,Inventory!$D:$D),Frame!$A:$A,Frame!$C:$C)+#REF!,""))</f>
        <v/>
      </c>
      <c r="E1533" s="4">
        <v>45322</v>
      </c>
      <c r="F1533" s="1" t="s">
        <v>63</v>
      </c>
    </row>
    <row r="1534" spans="1:6" x14ac:dyDescent="0.25">
      <c r="A1534" s="1" t="s">
        <v>3078</v>
      </c>
      <c r="B1534" s="1" t="s">
        <v>3079</v>
      </c>
      <c r="C1534" s="3">
        <v>200</v>
      </c>
      <c r="D1534" s="3" t="str">
        <f ca="1">IF(B1534="","",IFERROR(_xludf.XLOOKUP(_xludf.XLOOKUP(B1534,Inventory!$A:$A,Inventory!$B:$B),Blades!$A:$A,Blades!$C:$C)+_xludf.XLOOKUP(_xludf.XLOOKUP(B1534,Inventory!$A:$A,Inventory!$C:$C),Motor!$A:$A,Motor!$C:$C)+_xludf.XLOOKUP(_xludf.XLOOKUP(B1534,Inventory!$A:$A,Inventory!$D:$D),Frame!$A:$A,Frame!$C:$C)+#REF!,""))</f>
        <v/>
      </c>
      <c r="E1534" s="4">
        <v>45323</v>
      </c>
      <c r="F1534" s="1" t="s">
        <v>20</v>
      </c>
    </row>
    <row r="1535" spans="1:6" x14ac:dyDescent="0.25">
      <c r="A1535" s="1" t="s">
        <v>3080</v>
      </c>
      <c r="B1535" s="1" t="s">
        <v>3081</v>
      </c>
      <c r="C1535" s="3">
        <v>200</v>
      </c>
      <c r="D1535" s="3" t="str">
        <f ca="1">IF(B1535="","",IFERROR(_xludf.XLOOKUP(_xludf.XLOOKUP(B1535,Inventory!$A:$A,Inventory!$B:$B),Blades!$A:$A,Blades!$C:$C)+_xludf.XLOOKUP(_xludf.XLOOKUP(B1535,Inventory!$A:$A,Inventory!$C:$C),Motor!$A:$A,Motor!$C:$C)+_xludf.XLOOKUP(_xludf.XLOOKUP(B1535,Inventory!$A:$A,Inventory!$D:$D),Frame!$A:$A,Frame!$C:$C)+#REF!,""))</f>
        <v/>
      </c>
      <c r="E1535" s="4">
        <v>45323</v>
      </c>
      <c r="F1535" s="1" t="s">
        <v>25</v>
      </c>
    </row>
    <row r="1536" spans="1:6" x14ac:dyDescent="0.25">
      <c r="A1536" s="1" t="s">
        <v>3082</v>
      </c>
      <c r="B1536" s="1" t="s">
        <v>3083</v>
      </c>
      <c r="C1536" s="3">
        <v>200</v>
      </c>
      <c r="D1536" s="3" t="str">
        <f ca="1">IF(B1536="","",IFERROR(_xludf.XLOOKUP(_xludf.XLOOKUP(B1536,Inventory!$A:$A,Inventory!$B:$B),Blades!$A:$A,Blades!$C:$C)+_xludf.XLOOKUP(_xludf.XLOOKUP(B1536,Inventory!$A:$A,Inventory!$C:$C),Motor!$A:$A,Motor!$C:$C)+_xludf.XLOOKUP(_xludf.XLOOKUP(B1536,Inventory!$A:$A,Inventory!$D:$D),Frame!$A:$A,Frame!$C:$C)+#REF!,""))</f>
        <v/>
      </c>
      <c r="E1536" s="4">
        <v>45323</v>
      </c>
      <c r="F1536" s="1" t="s">
        <v>32</v>
      </c>
    </row>
    <row r="1537" spans="1:6" x14ac:dyDescent="0.25">
      <c r="A1537" s="1" t="s">
        <v>3084</v>
      </c>
      <c r="B1537" s="1" t="s">
        <v>3085</v>
      </c>
      <c r="C1537" s="3">
        <v>200</v>
      </c>
      <c r="D1537" s="3" t="str">
        <f ca="1">IF(B1537="","",IFERROR(_xludf.XLOOKUP(_xludf.XLOOKUP(B1537,Inventory!$A:$A,Inventory!$B:$B),Blades!$A:$A,Blades!$C:$C)+_xludf.XLOOKUP(_xludf.XLOOKUP(B1537,Inventory!$A:$A,Inventory!$C:$C),Motor!$A:$A,Motor!$C:$C)+_xludf.XLOOKUP(_xludf.XLOOKUP(B1537,Inventory!$A:$A,Inventory!$D:$D),Frame!$A:$A,Frame!$C:$C)+#REF!,""))</f>
        <v/>
      </c>
      <c r="E1537" s="4">
        <v>45323</v>
      </c>
      <c r="F1537" s="1" t="s">
        <v>52</v>
      </c>
    </row>
    <row r="1538" spans="1:6" x14ac:dyDescent="0.25">
      <c r="A1538" s="1" t="s">
        <v>3086</v>
      </c>
      <c r="B1538" s="1" t="s">
        <v>3087</v>
      </c>
      <c r="C1538" s="3">
        <v>200</v>
      </c>
      <c r="D1538" s="3" t="str">
        <f ca="1">IF(B1538="","",IFERROR(_xludf.XLOOKUP(_xludf.XLOOKUP(B1538,Inventory!$A:$A,Inventory!$B:$B),Blades!$A:$A,Blades!$C:$C)+_xludf.XLOOKUP(_xludf.XLOOKUP(B1538,Inventory!$A:$A,Inventory!$C:$C),Motor!$A:$A,Motor!$C:$C)+_xludf.XLOOKUP(_xludf.XLOOKUP(B1538,Inventory!$A:$A,Inventory!$D:$D),Frame!$A:$A,Frame!$C:$C)+#REF!,""))</f>
        <v/>
      </c>
      <c r="E1538" s="4">
        <v>45324</v>
      </c>
      <c r="F1538" s="1" t="s">
        <v>8</v>
      </c>
    </row>
    <row r="1539" spans="1:6" x14ac:dyDescent="0.25">
      <c r="A1539" s="1" t="s">
        <v>3088</v>
      </c>
      <c r="B1539" s="1" t="s">
        <v>3089</v>
      </c>
      <c r="C1539" s="3">
        <v>200</v>
      </c>
      <c r="D1539" s="3" t="str">
        <f ca="1">IF(B1539="","",IFERROR(_xludf.XLOOKUP(_xludf.XLOOKUP(B1539,Inventory!$A:$A,Inventory!$B:$B),Blades!$A:$A,Blades!$C:$C)+_xludf.XLOOKUP(_xludf.XLOOKUP(B1539,Inventory!$A:$A,Inventory!$C:$C),Motor!$A:$A,Motor!$C:$C)+_xludf.XLOOKUP(_xludf.XLOOKUP(B1539,Inventory!$A:$A,Inventory!$D:$D),Frame!$A:$A,Frame!$C:$C)+#REF!,""))</f>
        <v/>
      </c>
      <c r="E1539" s="4">
        <v>45325</v>
      </c>
      <c r="F1539" s="1" t="s">
        <v>49</v>
      </c>
    </row>
    <row r="1540" spans="1:6" x14ac:dyDescent="0.25">
      <c r="A1540" s="1" t="s">
        <v>3090</v>
      </c>
      <c r="B1540" s="1" t="s">
        <v>3091</v>
      </c>
      <c r="C1540" s="3">
        <v>200</v>
      </c>
      <c r="D1540" s="3" t="str">
        <f ca="1">IF(B1540="","",IFERROR(_xludf.XLOOKUP(_xludf.XLOOKUP(B1540,Inventory!$A:$A,Inventory!$B:$B),Blades!$A:$A,Blades!$C:$C)+_xludf.XLOOKUP(_xludf.XLOOKUP(B1540,Inventory!$A:$A,Inventory!$C:$C),Motor!$A:$A,Motor!$C:$C)+_xludf.XLOOKUP(_xludf.XLOOKUP(B1540,Inventory!$A:$A,Inventory!$D:$D),Frame!$A:$A,Frame!$C:$C)+#REF!,""))</f>
        <v/>
      </c>
      <c r="E1540" s="4">
        <v>45325</v>
      </c>
      <c r="F1540" s="1" t="s">
        <v>20</v>
      </c>
    </row>
    <row r="1541" spans="1:6" x14ac:dyDescent="0.25">
      <c r="A1541" s="1" t="s">
        <v>3092</v>
      </c>
      <c r="B1541" s="1" t="s">
        <v>3093</v>
      </c>
      <c r="C1541" s="3">
        <v>200</v>
      </c>
      <c r="D1541" s="3" t="str">
        <f ca="1">IF(B1541="","",IFERROR(_xludf.XLOOKUP(_xludf.XLOOKUP(B1541,Inventory!$A:$A,Inventory!$B:$B),Blades!$A:$A,Blades!$C:$C)+_xludf.XLOOKUP(_xludf.XLOOKUP(B1541,Inventory!$A:$A,Inventory!$C:$C),Motor!$A:$A,Motor!$C:$C)+_xludf.XLOOKUP(_xludf.XLOOKUP(B1541,Inventory!$A:$A,Inventory!$D:$D),Frame!$A:$A,Frame!$C:$C)+#REF!,""))</f>
        <v/>
      </c>
      <c r="E1541" s="4">
        <v>45325</v>
      </c>
      <c r="F1541" s="1" t="s">
        <v>49</v>
      </c>
    </row>
    <row r="1542" spans="1:6" x14ac:dyDescent="0.25">
      <c r="A1542" s="1" t="s">
        <v>3094</v>
      </c>
      <c r="B1542" s="1" t="s">
        <v>3095</v>
      </c>
      <c r="C1542" s="3">
        <v>200</v>
      </c>
      <c r="D1542" s="3" t="str">
        <f ca="1">IF(B1542="","",IFERROR(_xludf.XLOOKUP(_xludf.XLOOKUP(B1542,Inventory!$A:$A,Inventory!$B:$B),Blades!$A:$A,Blades!$C:$C)+_xludf.XLOOKUP(_xludf.XLOOKUP(B1542,Inventory!$A:$A,Inventory!$C:$C),Motor!$A:$A,Motor!$C:$C)+_xludf.XLOOKUP(_xludf.XLOOKUP(B1542,Inventory!$A:$A,Inventory!$D:$D),Frame!$A:$A,Frame!$C:$C)+#REF!,""))</f>
        <v/>
      </c>
      <c r="E1542" s="4">
        <v>45325</v>
      </c>
      <c r="F1542" s="1" t="s">
        <v>25</v>
      </c>
    </row>
    <row r="1543" spans="1:6" x14ac:dyDescent="0.25">
      <c r="A1543" s="1" t="s">
        <v>3096</v>
      </c>
      <c r="B1543" s="1" t="s">
        <v>3097</v>
      </c>
      <c r="C1543" s="3">
        <v>200</v>
      </c>
      <c r="D1543" s="3" t="str">
        <f ca="1">IF(B1543="","",IFERROR(_xludf.XLOOKUP(_xludf.XLOOKUP(B1543,Inventory!$A:$A,Inventory!$B:$B),Blades!$A:$A,Blades!$C:$C)+_xludf.XLOOKUP(_xludf.XLOOKUP(B1543,Inventory!$A:$A,Inventory!$C:$C),Motor!$A:$A,Motor!$C:$C)+_xludf.XLOOKUP(_xludf.XLOOKUP(B1543,Inventory!$A:$A,Inventory!$D:$D),Frame!$A:$A,Frame!$C:$C)+#REF!,""))</f>
        <v/>
      </c>
      <c r="E1543" s="4">
        <v>45325</v>
      </c>
      <c r="F1543" s="1" t="s">
        <v>52</v>
      </c>
    </row>
    <row r="1544" spans="1:6" x14ac:dyDescent="0.25">
      <c r="A1544" s="1" t="s">
        <v>3098</v>
      </c>
      <c r="B1544" s="1" t="s">
        <v>3099</v>
      </c>
      <c r="C1544" s="3">
        <v>200</v>
      </c>
      <c r="D1544" s="3" t="str">
        <f ca="1">IF(B1544="","",IFERROR(_xludf.XLOOKUP(_xludf.XLOOKUP(B1544,Inventory!$A:$A,Inventory!$B:$B),Blades!$A:$A,Blades!$C:$C)+_xludf.XLOOKUP(_xludf.XLOOKUP(B1544,Inventory!$A:$A,Inventory!$C:$C),Motor!$A:$A,Motor!$C:$C)+_xludf.XLOOKUP(_xludf.XLOOKUP(B1544,Inventory!$A:$A,Inventory!$D:$D),Frame!$A:$A,Frame!$C:$C)+#REF!,""))</f>
        <v/>
      </c>
      <c r="E1544" s="4">
        <v>45326</v>
      </c>
      <c r="F1544" s="1" t="s">
        <v>63</v>
      </c>
    </row>
    <row r="1545" spans="1:6" x14ac:dyDescent="0.25">
      <c r="A1545" s="1" t="s">
        <v>3100</v>
      </c>
      <c r="B1545" s="1" t="s">
        <v>3101</v>
      </c>
      <c r="C1545" s="3">
        <v>200</v>
      </c>
      <c r="D1545" s="3" t="str">
        <f ca="1">IF(B1545="","",IFERROR(_xludf.XLOOKUP(_xludf.XLOOKUP(B1545,Inventory!$A:$A,Inventory!$B:$B),Blades!$A:$A,Blades!$C:$C)+_xludf.XLOOKUP(_xludf.XLOOKUP(B1545,Inventory!$A:$A,Inventory!$C:$C),Motor!$A:$A,Motor!$C:$C)+_xludf.XLOOKUP(_xludf.XLOOKUP(B1545,Inventory!$A:$A,Inventory!$D:$D),Frame!$A:$A,Frame!$C:$C)+#REF!,""))</f>
        <v/>
      </c>
      <c r="E1545" s="4">
        <v>45327</v>
      </c>
      <c r="F1545" s="1" t="s">
        <v>32</v>
      </c>
    </row>
    <row r="1546" spans="1:6" x14ac:dyDescent="0.25">
      <c r="A1546" s="1" t="s">
        <v>3102</v>
      </c>
      <c r="B1546" s="1" t="s">
        <v>3103</v>
      </c>
      <c r="C1546" s="3">
        <v>200</v>
      </c>
      <c r="D1546" s="3" t="str">
        <f ca="1">IF(B1546="","",IFERROR(_xludf.XLOOKUP(_xludf.XLOOKUP(B1546,Inventory!$A:$A,Inventory!$B:$B),Blades!$A:$A,Blades!$C:$C)+_xludf.XLOOKUP(_xludf.XLOOKUP(B1546,Inventory!$A:$A,Inventory!$C:$C),Motor!$A:$A,Motor!$C:$C)+_xludf.XLOOKUP(_xludf.XLOOKUP(B1546,Inventory!$A:$A,Inventory!$D:$D),Frame!$A:$A,Frame!$C:$C)+#REF!,""))</f>
        <v/>
      </c>
      <c r="E1546" s="4">
        <v>45329</v>
      </c>
      <c r="F1546" s="1" t="s">
        <v>20</v>
      </c>
    </row>
    <row r="1547" spans="1:6" x14ac:dyDescent="0.25">
      <c r="A1547" s="1" t="s">
        <v>3104</v>
      </c>
      <c r="B1547" s="1" t="s">
        <v>3105</v>
      </c>
      <c r="C1547" s="3">
        <v>200</v>
      </c>
      <c r="D1547" s="3" t="str">
        <f ca="1">IF(B1547="","",IFERROR(_xludf.XLOOKUP(_xludf.XLOOKUP(B1547,Inventory!$A:$A,Inventory!$B:$B),Blades!$A:$A,Blades!$C:$C)+_xludf.XLOOKUP(_xludf.XLOOKUP(B1547,Inventory!$A:$A,Inventory!$C:$C),Motor!$A:$A,Motor!$C:$C)+_xludf.XLOOKUP(_xludf.XLOOKUP(B1547,Inventory!$A:$A,Inventory!$D:$D),Frame!$A:$A,Frame!$C:$C)+#REF!,""))</f>
        <v/>
      </c>
      <c r="E1547" s="4">
        <v>45330</v>
      </c>
      <c r="F1547" s="1" t="s">
        <v>20</v>
      </c>
    </row>
    <row r="1548" spans="1:6" x14ac:dyDescent="0.25">
      <c r="A1548" s="1" t="s">
        <v>3106</v>
      </c>
      <c r="B1548" s="1" t="s">
        <v>3107</v>
      </c>
      <c r="C1548" s="3">
        <v>200</v>
      </c>
      <c r="D1548" s="3" t="str">
        <f ca="1">IF(B1548="","",IFERROR(_xludf.XLOOKUP(_xludf.XLOOKUP(B1548,Inventory!$A:$A,Inventory!$B:$B),Blades!$A:$A,Blades!$C:$C)+_xludf.XLOOKUP(_xludf.XLOOKUP(B1548,Inventory!$A:$A,Inventory!$C:$C),Motor!$A:$A,Motor!$C:$C)+_xludf.XLOOKUP(_xludf.XLOOKUP(B1548,Inventory!$A:$A,Inventory!$D:$D),Frame!$A:$A,Frame!$C:$C)+#REF!,""))</f>
        <v/>
      </c>
      <c r="E1548" s="4">
        <v>45331</v>
      </c>
      <c r="F1548" s="1" t="s">
        <v>8</v>
      </c>
    </row>
    <row r="1549" spans="1:6" x14ac:dyDescent="0.25">
      <c r="A1549" s="1" t="s">
        <v>3108</v>
      </c>
      <c r="B1549" s="1" t="s">
        <v>3109</v>
      </c>
      <c r="C1549" s="3">
        <v>200</v>
      </c>
      <c r="D1549" s="3" t="str">
        <f ca="1">IF(B1549="","",IFERROR(_xludf.XLOOKUP(_xludf.XLOOKUP(B1549,Inventory!$A:$A,Inventory!$B:$B),Blades!$A:$A,Blades!$C:$C)+_xludf.XLOOKUP(_xludf.XLOOKUP(B1549,Inventory!$A:$A,Inventory!$C:$C),Motor!$A:$A,Motor!$C:$C)+_xludf.XLOOKUP(_xludf.XLOOKUP(B1549,Inventory!$A:$A,Inventory!$D:$D),Frame!$A:$A,Frame!$C:$C)+#REF!,""))</f>
        <v/>
      </c>
      <c r="E1549" s="4">
        <v>45331</v>
      </c>
      <c r="F1549" s="1" t="s">
        <v>32</v>
      </c>
    </row>
    <row r="1550" spans="1:6" x14ac:dyDescent="0.25">
      <c r="A1550" s="1" t="s">
        <v>3110</v>
      </c>
      <c r="B1550" s="1" t="s">
        <v>3111</v>
      </c>
      <c r="C1550" s="3">
        <v>200</v>
      </c>
      <c r="D1550" s="3" t="str">
        <f ca="1">IF(B1550="","",IFERROR(_xludf.XLOOKUP(_xludf.XLOOKUP(B1550,Inventory!$A:$A,Inventory!$B:$B),Blades!$A:$A,Blades!$C:$C)+_xludf.XLOOKUP(_xludf.XLOOKUP(B1550,Inventory!$A:$A,Inventory!$C:$C),Motor!$A:$A,Motor!$C:$C)+_xludf.XLOOKUP(_xludf.XLOOKUP(B1550,Inventory!$A:$A,Inventory!$D:$D),Frame!$A:$A,Frame!$C:$C)+#REF!,""))</f>
        <v/>
      </c>
      <c r="E1550" s="4">
        <v>45333</v>
      </c>
      <c r="F1550" s="1" t="s">
        <v>32</v>
      </c>
    </row>
    <row r="1551" spans="1:6" x14ac:dyDescent="0.25">
      <c r="A1551" s="1" t="s">
        <v>3112</v>
      </c>
      <c r="B1551" s="1" t="s">
        <v>3113</v>
      </c>
      <c r="C1551" s="3">
        <v>200</v>
      </c>
      <c r="D1551" s="3" t="str">
        <f ca="1">IF(B1551="","",IFERROR(_xludf.XLOOKUP(_xludf.XLOOKUP(B1551,Inventory!$A:$A,Inventory!$B:$B),Blades!$A:$A,Blades!$C:$C)+_xludf.XLOOKUP(_xludf.XLOOKUP(B1551,Inventory!$A:$A,Inventory!$C:$C),Motor!$A:$A,Motor!$C:$C)+_xludf.XLOOKUP(_xludf.XLOOKUP(B1551,Inventory!$A:$A,Inventory!$D:$D),Frame!$A:$A,Frame!$C:$C)+#REF!,""))</f>
        <v/>
      </c>
      <c r="E1551" s="4">
        <v>45333</v>
      </c>
      <c r="F1551" s="1" t="s">
        <v>52</v>
      </c>
    </row>
    <row r="1552" spans="1:6" x14ac:dyDescent="0.25">
      <c r="A1552" s="1" t="s">
        <v>3114</v>
      </c>
      <c r="B1552" s="1" t="s">
        <v>3115</v>
      </c>
      <c r="C1552" s="3">
        <v>200</v>
      </c>
      <c r="D1552" s="3" t="str">
        <f ca="1">IF(B1552="","",IFERROR(_xludf.XLOOKUP(_xludf.XLOOKUP(B1552,Inventory!$A:$A,Inventory!$B:$B),Blades!$A:$A,Blades!$C:$C)+_xludf.XLOOKUP(_xludf.XLOOKUP(B1552,Inventory!$A:$A,Inventory!$C:$C),Motor!$A:$A,Motor!$C:$C)+_xludf.XLOOKUP(_xludf.XLOOKUP(B1552,Inventory!$A:$A,Inventory!$D:$D),Frame!$A:$A,Frame!$C:$C)+#REF!,""))</f>
        <v/>
      </c>
      <c r="E1552" s="4">
        <v>45333</v>
      </c>
      <c r="F1552" s="1" t="s">
        <v>25</v>
      </c>
    </row>
    <row r="1553" spans="1:6" x14ac:dyDescent="0.25">
      <c r="A1553" s="1" t="s">
        <v>3116</v>
      </c>
      <c r="B1553" s="1" t="s">
        <v>3117</v>
      </c>
      <c r="C1553" s="3">
        <v>200</v>
      </c>
      <c r="D1553" s="3" t="str">
        <f ca="1">IF(B1553="","",IFERROR(_xludf.XLOOKUP(_xludf.XLOOKUP(B1553,Inventory!$A:$A,Inventory!$B:$B),Blades!$A:$A,Blades!$C:$C)+_xludf.XLOOKUP(_xludf.XLOOKUP(B1553,Inventory!$A:$A,Inventory!$C:$C),Motor!$A:$A,Motor!$C:$C)+_xludf.XLOOKUP(_xludf.XLOOKUP(B1553,Inventory!$A:$A,Inventory!$D:$D),Frame!$A:$A,Frame!$C:$C)+#REF!,""))</f>
        <v/>
      </c>
      <c r="E1553" s="4">
        <v>45334</v>
      </c>
      <c r="F1553" s="1" t="s">
        <v>20</v>
      </c>
    </row>
    <row r="1554" spans="1:6" x14ac:dyDescent="0.25">
      <c r="A1554" s="1" t="s">
        <v>3118</v>
      </c>
      <c r="B1554" s="1" t="s">
        <v>3119</v>
      </c>
      <c r="C1554" s="3">
        <v>200</v>
      </c>
      <c r="D1554" s="3" t="str">
        <f ca="1">IF(B1554="","",IFERROR(_xludf.XLOOKUP(_xludf.XLOOKUP(B1554,Inventory!$A:$A,Inventory!$B:$B),Blades!$A:$A,Blades!$C:$C)+_xludf.XLOOKUP(_xludf.XLOOKUP(B1554,Inventory!$A:$A,Inventory!$C:$C),Motor!$A:$A,Motor!$C:$C)+_xludf.XLOOKUP(_xludf.XLOOKUP(B1554,Inventory!$A:$A,Inventory!$D:$D),Frame!$A:$A,Frame!$C:$C)+#REF!,""))</f>
        <v/>
      </c>
      <c r="E1554" s="4">
        <v>45335</v>
      </c>
      <c r="F1554" s="1" t="s">
        <v>20</v>
      </c>
    </row>
    <row r="1555" spans="1:6" x14ac:dyDescent="0.25">
      <c r="A1555" s="1" t="s">
        <v>3120</v>
      </c>
      <c r="B1555" s="1" t="s">
        <v>3121</v>
      </c>
      <c r="C1555" s="3">
        <v>200</v>
      </c>
      <c r="D1555" s="3" t="str">
        <f ca="1">IF(B1555="","",IFERROR(_xludf.XLOOKUP(_xludf.XLOOKUP(B1555,Inventory!$A:$A,Inventory!$B:$B),Blades!$A:$A,Blades!$C:$C)+_xludf.XLOOKUP(_xludf.XLOOKUP(B1555,Inventory!$A:$A,Inventory!$C:$C),Motor!$A:$A,Motor!$C:$C)+_xludf.XLOOKUP(_xludf.XLOOKUP(B1555,Inventory!$A:$A,Inventory!$D:$D),Frame!$A:$A,Frame!$C:$C)+#REF!,""))</f>
        <v/>
      </c>
      <c r="E1555" s="4">
        <v>45335</v>
      </c>
      <c r="F1555" s="1" t="s">
        <v>52</v>
      </c>
    </row>
    <row r="1556" spans="1:6" x14ac:dyDescent="0.25">
      <c r="A1556" s="1" t="s">
        <v>3122</v>
      </c>
      <c r="B1556" s="1" t="s">
        <v>3123</v>
      </c>
      <c r="C1556" s="3">
        <v>200</v>
      </c>
      <c r="D1556" s="3" t="str">
        <f ca="1">IF(B1556="","",IFERROR(_xludf.XLOOKUP(_xludf.XLOOKUP(B1556,Inventory!$A:$A,Inventory!$B:$B),Blades!$A:$A,Blades!$C:$C)+_xludf.XLOOKUP(_xludf.XLOOKUP(B1556,Inventory!$A:$A,Inventory!$C:$C),Motor!$A:$A,Motor!$C:$C)+_xludf.XLOOKUP(_xludf.XLOOKUP(B1556,Inventory!$A:$A,Inventory!$D:$D),Frame!$A:$A,Frame!$C:$C)+#REF!,""))</f>
        <v/>
      </c>
      <c r="E1556" s="4">
        <v>45335</v>
      </c>
      <c r="F1556" s="1" t="s">
        <v>8</v>
      </c>
    </row>
    <row r="1557" spans="1:6" x14ac:dyDescent="0.25">
      <c r="A1557" s="1" t="s">
        <v>3124</v>
      </c>
      <c r="B1557" s="1" t="s">
        <v>3125</v>
      </c>
      <c r="C1557" s="3">
        <v>200</v>
      </c>
      <c r="D1557" s="3" t="str">
        <f ca="1">IF(B1557="","",IFERROR(_xludf.XLOOKUP(_xludf.XLOOKUP(B1557,Inventory!$A:$A,Inventory!$B:$B),Blades!$A:$A,Blades!$C:$C)+_xludf.XLOOKUP(_xludf.XLOOKUP(B1557,Inventory!$A:$A,Inventory!$C:$C),Motor!$A:$A,Motor!$C:$C)+_xludf.XLOOKUP(_xludf.XLOOKUP(B1557,Inventory!$A:$A,Inventory!$D:$D),Frame!$A:$A,Frame!$C:$C)+#REF!,""))</f>
        <v/>
      </c>
      <c r="E1557" s="4">
        <v>45337</v>
      </c>
      <c r="F1557" s="1" t="s">
        <v>52</v>
      </c>
    </row>
    <row r="1558" spans="1:6" x14ac:dyDescent="0.25">
      <c r="A1558" s="1" t="s">
        <v>3126</v>
      </c>
      <c r="B1558" s="1" t="s">
        <v>3127</v>
      </c>
      <c r="C1558" s="3">
        <v>200</v>
      </c>
      <c r="D1558" s="3" t="str">
        <f ca="1">IF(B1558="","",IFERROR(_xludf.XLOOKUP(_xludf.XLOOKUP(B1558,Inventory!$A:$A,Inventory!$B:$B),Blades!$A:$A,Blades!$C:$C)+_xludf.XLOOKUP(_xludf.XLOOKUP(B1558,Inventory!$A:$A,Inventory!$C:$C),Motor!$A:$A,Motor!$C:$C)+_xludf.XLOOKUP(_xludf.XLOOKUP(B1558,Inventory!$A:$A,Inventory!$D:$D),Frame!$A:$A,Frame!$C:$C)+#REF!,""))</f>
        <v/>
      </c>
      <c r="E1558" s="4">
        <v>45337</v>
      </c>
      <c r="F1558" s="1" t="s">
        <v>25</v>
      </c>
    </row>
    <row r="1559" spans="1:6" x14ac:dyDescent="0.25">
      <c r="A1559" s="1" t="s">
        <v>3128</v>
      </c>
      <c r="B1559" s="1" t="s">
        <v>3129</v>
      </c>
      <c r="C1559" s="3">
        <v>200</v>
      </c>
      <c r="D1559" s="3" t="str">
        <f ca="1">IF(B1559="","",IFERROR(_xludf.XLOOKUP(_xludf.XLOOKUP(B1559,Inventory!$A:$A,Inventory!$B:$B),Blades!$A:$A,Blades!$C:$C)+_xludf.XLOOKUP(_xludf.XLOOKUP(B1559,Inventory!$A:$A,Inventory!$C:$C),Motor!$A:$A,Motor!$C:$C)+_xludf.XLOOKUP(_xludf.XLOOKUP(B1559,Inventory!$A:$A,Inventory!$D:$D),Frame!$A:$A,Frame!$C:$C)+#REF!,""))</f>
        <v/>
      </c>
      <c r="E1559" s="4">
        <v>45337</v>
      </c>
      <c r="F1559" s="1" t="s">
        <v>52</v>
      </c>
    </row>
    <row r="1560" spans="1:6" x14ac:dyDescent="0.25">
      <c r="A1560" s="1" t="s">
        <v>3130</v>
      </c>
      <c r="B1560" s="1" t="s">
        <v>3131</v>
      </c>
      <c r="C1560" s="3">
        <v>200</v>
      </c>
      <c r="D1560" s="3" t="str">
        <f ca="1">IF(B1560="","",IFERROR(_xludf.XLOOKUP(_xludf.XLOOKUP(B1560,Inventory!$A:$A,Inventory!$B:$B),Blades!$A:$A,Blades!$C:$C)+_xludf.XLOOKUP(_xludf.XLOOKUP(B1560,Inventory!$A:$A,Inventory!$C:$C),Motor!$A:$A,Motor!$C:$C)+_xludf.XLOOKUP(_xludf.XLOOKUP(B1560,Inventory!$A:$A,Inventory!$D:$D),Frame!$A:$A,Frame!$C:$C)+#REF!,""))</f>
        <v/>
      </c>
      <c r="E1560" s="4">
        <v>45337</v>
      </c>
      <c r="F1560" s="1" t="s">
        <v>8</v>
      </c>
    </row>
    <row r="1561" spans="1:6" x14ac:dyDescent="0.25">
      <c r="A1561" s="1" t="s">
        <v>3132</v>
      </c>
      <c r="B1561" s="1" t="s">
        <v>3133</v>
      </c>
      <c r="C1561" s="3">
        <v>200</v>
      </c>
      <c r="D1561" s="3" t="str">
        <f ca="1">IF(B1561="","",IFERROR(_xludf.XLOOKUP(_xludf.XLOOKUP(B1561,Inventory!$A:$A,Inventory!$B:$B),Blades!$A:$A,Blades!$C:$C)+_xludf.XLOOKUP(_xludf.XLOOKUP(B1561,Inventory!$A:$A,Inventory!$C:$C),Motor!$A:$A,Motor!$C:$C)+_xludf.XLOOKUP(_xludf.XLOOKUP(B1561,Inventory!$A:$A,Inventory!$D:$D),Frame!$A:$A,Frame!$C:$C)+#REF!,""))</f>
        <v/>
      </c>
      <c r="E1561" s="4">
        <v>45338</v>
      </c>
      <c r="F1561" s="1" t="s">
        <v>8</v>
      </c>
    </row>
    <row r="1562" spans="1:6" x14ac:dyDescent="0.25">
      <c r="A1562" s="1" t="s">
        <v>3134</v>
      </c>
      <c r="B1562" s="1" t="s">
        <v>3135</v>
      </c>
      <c r="C1562" s="3">
        <v>200</v>
      </c>
      <c r="D1562" s="3" t="str">
        <f ca="1">IF(B1562="","",IFERROR(_xludf.XLOOKUP(_xludf.XLOOKUP(B1562,Inventory!$A:$A,Inventory!$B:$B),Blades!$A:$A,Blades!$C:$C)+_xludf.XLOOKUP(_xludf.XLOOKUP(B1562,Inventory!$A:$A,Inventory!$C:$C),Motor!$A:$A,Motor!$C:$C)+_xludf.XLOOKUP(_xludf.XLOOKUP(B1562,Inventory!$A:$A,Inventory!$D:$D),Frame!$A:$A,Frame!$C:$C)+#REF!,""))</f>
        <v/>
      </c>
      <c r="E1562" s="4">
        <v>45338</v>
      </c>
      <c r="F1562" s="1" t="s">
        <v>20</v>
      </c>
    </row>
    <row r="1563" spans="1:6" x14ac:dyDescent="0.25">
      <c r="A1563" s="1" t="s">
        <v>3136</v>
      </c>
      <c r="B1563" s="1" t="s">
        <v>3137</v>
      </c>
      <c r="C1563" s="3">
        <v>200</v>
      </c>
      <c r="D1563" s="3" t="str">
        <f ca="1">IF(B1563="","",IFERROR(_xludf.XLOOKUP(_xludf.XLOOKUP(B1563,Inventory!$A:$A,Inventory!$B:$B),Blades!$A:$A,Blades!$C:$C)+_xludf.XLOOKUP(_xludf.XLOOKUP(B1563,Inventory!$A:$A,Inventory!$C:$C),Motor!$A:$A,Motor!$C:$C)+_xludf.XLOOKUP(_xludf.XLOOKUP(B1563,Inventory!$A:$A,Inventory!$D:$D),Frame!$A:$A,Frame!$C:$C)+#REF!,""))</f>
        <v/>
      </c>
      <c r="E1563" s="4">
        <v>45339</v>
      </c>
      <c r="F1563" s="1" t="s">
        <v>52</v>
      </c>
    </row>
    <row r="1564" spans="1:6" x14ac:dyDescent="0.25">
      <c r="A1564" s="1" t="s">
        <v>3138</v>
      </c>
      <c r="B1564" s="1" t="s">
        <v>3139</v>
      </c>
      <c r="C1564" s="3">
        <v>200</v>
      </c>
      <c r="D1564" s="3" t="str">
        <f ca="1">IF(B1564="","",IFERROR(_xludf.XLOOKUP(_xludf.XLOOKUP(B1564,Inventory!$A:$A,Inventory!$B:$B),Blades!$A:$A,Blades!$C:$C)+_xludf.XLOOKUP(_xludf.XLOOKUP(B1564,Inventory!$A:$A,Inventory!$C:$C),Motor!$A:$A,Motor!$C:$C)+_xludf.XLOOKUP(_xludf.XLOOKUP(B1564,Inventory!$A:$A,Inventory!$D:$D),Frame!$A:$A,Frame!$C:$C)+#REF!,""))</f>
        <v/>
      </c>
      <c r="E1564" s="4">
        <v>45340</v>
      </c>
      <c r="F1564" s="1" t="s">
        <v>20</v>
      </c>
    </row>
    <row r="1565" spans="1:6" x14ac:dyDescent="0.25">
      <c r="A1565" s="1" t="s">
        <v>3140</v>
      </c>
      <c r="B1565" s="1" t="s">
        <v>3141</v>
      </c>
      <c r="C1565" s="3">
        <v>200</v>
      </c>
      <c r="D1565" s="3" t="str">
        <f ca="1">IF(B1565="","",IFERROR(_xludf.XLOOKUP(_xludf.XLOOKUP(B1565,Inventory!$A:$A,Inventory!$B:$B),Blades!$A:$A,Blades!$C:$C)+_xludf.XLOOKUP(_xludf.XLOOKUP(B1565,Inventory!$A:$A,Inventory!$C:$C),Motor!$A:$A,Motor!$C:$C)+_xludf.XLOOKUP(_xludf.XLOOKUP(B1565,Inventory!$A:$A,Inventory!$D:$D),Frame!$A:$A,Frame!$C:$C)+#REF!,""))</f>
        <v/>
      </c>
      <c r="E1565" s="4">
        <v>45341</v>
      </c>
      <c r="F1565" s="1" t="s">
        <v>20</v>
      </c>
    </row>
    <row r="1566" spans="1:6" x14ac:dyDescent="0.25">
      <c r="A1566" s="1" t="s">
        <v>3142</v>
      </c>
      <c r="B1566" s="1" t="s">
        <v>3143</v>
      </c>
      <c r="C1566" s="3">
        <v>200</v>
      </c>
      <c r="D1566" s="3" t="str">
        <f ca="1">IF(B1566="","",IFERROR(_xludf.XLOOKUP(_xludf.XLOOKUP(B1566,Inventory!$A:$A,Inventory!$B:$B),Blades!$A:$A,Blades!$C:$C)+_xludf.XLOOKUP(_xludf.XLOOKUP(B1566,Inventory!$A:$A,Inventory!$C:$C),Motor!$A:$A,Motor!$C:$C)+_xludf.XLOOKUP(_xludf.XLOOKUP(B1566,Inventory!$A:$A,Inventory!$D:$D),Frame!$A:$A,Frame!$C:$C)+#REF!,""))</f>
        <v/>
      </c>
      <c r="E1566" s="4">
        <v>45341</v>
      </c>
      <c r="F1566" s="1" t="s">
        <v>32</v>
      </c>
    </row>
    <row r="1567" spans="1:6" x14ac:dyDescent="0.25">
      <c r="A1567" s="1" t="s">
        <v>3144</v>
      </c>
      <c r="B1567" s="1" t="s">
        <v>3145</v>
      </c>
      <c r="C1567" s="3">
        <v>200</v>
      </c>
      <c r="D1567" s="3" t="str">
        <f ca="1">IF(B1567="","",IFERROR(_xludf.XLOOKUP(_xludf.XLOOKUP(B1567,Inventory!$A:$A,Inventory!$B:$B),Blades!$A:$A,Blades!$C:$C)+_xludf.XLOOKUP(_xludf.XLOOKUP(B1567,Inventory!$A:$A,Inventory!$C:$C),Motor!$A:$A,Motor!$C:$C)+_xludf.XLOOKUP(_xludf.XLOOKUP(B1567,Inventory!$A:$A,Inventory!$D:$D),Frame!$A:$A,Frame!$C:$C)+#REF!,""))</f>
        <v/>
      </c>
      <c r="E1567" s="4">
        <v>45342</v>
      </c>
      <c r="F1567" s="1" t="s">
        <v>11</v>
      </c>
    </row>
    <row r="1568" spans="1:6" x14ac:dyDescent="0.25">
      <c r="A1568" s="1" t="s">
        <v>3146</v>
      </c>
      <c r="B1568" s="1" t="s">
        <v>3147</v>
      </c>
      <c r="C1568" s="3">
        <v>200</v>
      </c>
      <c r="D1568" s="3" t="str">
        <f ca="1">IF(B1568="","",IFERROR(_xludf.XLOOKUP(_xludf.XLOOKUP(B1568,Inventory!$A:$A,Inventory!$B:$B),Blades!$A:$A,Blades!$C:$C)+_xludf.XLOOKUP(_xludf.XLOOKUP(B1568,Inventory!$A:$A,Inventory!$C:$C),Motor!$A:$A,Motor!$C:$C)+_xludf.XLOOKUP(_xludf.XLOOKUP(B1568,Inventory!$A:$A,Inventory!$D:$D),Frame!$A:$A,Frame!$C:$C)+#REF!,""))</f>
        <v/>
      </c>
      <c r="E1568" s="4">
        <v>45342</v>
      </c>
      <c r="F1568" s="1" t="s">
        <v>8</v>
      </c>
    </row>
    <row r="1569" spans="1:6" x14ac:dyDescent="0.25">
      <c r="A1569" s="1" t="s">
        <v>3148</v>
      </c>
      <c r="B1569" s="1" t="s">
        <v>3149</v>
      </c>
      <c r="C1569" s="3">
        <v>200</v>
      </c>
      <c r="D1569" s="3" t="str">
        <f ca="1">IF(B1569="","",IFERROR(_xludf.XLOOKUP(_xludf.XLOOKUP(B1569,Inventory!$A:$A,Inventory!$B:$B),Blades!$A:$A,Blades!$C:$C)+_xludf.XLOOKUP(_xludf.XLOOKUP(B1569,Inventory!$A:$A,Inventory!$C:$C),Motor!$A:$A,Motor!$C:$C)+_xludf.XLOOKUP(_xludf.XLOOKUP(B1569,Inventory!$A:$A,Inventory!$D:$D),Frame!$A:$A,Frame!$C:$C)+#REF!,""))</f>
        <v/>
      </c>
      <c r="E1569" s="4">
        <v>45342</v>
      </c>
      <c r="F1569" s="1" t="s">
        <v>49</v>
      </c>
    </row>
    <row r="1570" spans="1:6" x14ac:dyDescent="0.25">
      <c r="A1570" s="1" t="s">
        <v>3150</v>
      </c>
      <c r="B1570" s="1" t="s">
        <v>3151</v>
      </c>
      <c r="C1570" s="3">
        <v>200</v>
      </c>
      <c r="D1570" s="3" t="str">
        <f ca="1">IF(B1570="","",IFERROR(_xludf.XLOOKUP(_xludf.XLOOKUP(B1570,Inventory!$A:$A,Inventory!$B:$B),Blades!$A:$A,Blades!$C:$C)+_xludf.XLOOKUP(_xludf.XLOOKUP(B1570,Inventory!$A:$A,Inventory!$C:$C),Motor!$A:$A,Motor!$C:$C)+_xludf.XLOOKUP(_xludf.XLOOKUP(B1570,Inventory!$A:$A,Inventory!$D:$D),Frame!$A:$A,Frame!$C:$C)+#REF!,""))</f>
        <v/>
      </c>
      <c r="E1570" s="4">
        <v>45343</v>
      </c>
      <c r="F1570" s="1" t="s">
        <v>49</v>
      </c>
    </row>
    <row r="1571" spans="1:6" x14ac:dyDescent="0.25">
      <c r="A1571" s="1" t="s">
        <v>3152</v>
      </c>
      <c r="B1571" s="1" t="s">
        <v>3153</v>
      </c>
      <c r="C1571" s="3">
        <v>200</v>
      </c>
      <c r="D1571" s="3" t="str">
        <f ca="1">IF(B1571="","",IFERROR(_xludf.XLOOKUP(_xludf.XLOOKUP(B1571,Inventory!$A:$A,Inventory!$B:$B),Blades!$A:$A,Blades!$C:$C)+_xludf.XLOOKUP(_xludf.XLOOKUP(B1571,Inventory!$A:$A,Inventory!$C:$C),Motor!$A:$A,Motor!$C:$C)+_xludf.XLOOKUP(_xludf.XLOOKUP(B1571,Inventory!$A:$A,Inventory!$D:$D),Frame!$A:$A,Frame!$C:$C)+#REF!,""))</f>
        <v/>
      </c>
      <c r="E1571" s="4">
        <v>45344</v>
      </c>
      <c r="F1571" s="1" t="s">
        <v>25</v>
      </c>
    </row>
    <row r="1572" spans="1:6" x14ac:dyDescent="0.25">
      <c r="A1572" s="1" t="s">
        <v>3154</v>
      </c>
      <c r="B1572" s="1" t="s">
        <v>3155</v>
      </c>
      <c r="C1572" s="3">
        <v>200</v>
      </c>
      <c r="D1572" s="3" t="str">
        <f ca="1">IF(B1572="","",IFERROR(_xludf.XLOOKUP(_xludf.XLOOKUP(B1572,Inventory!$A:$A,Inventory!$B:$B),Blades!$A:$A,Blades!$C:$C)+_xludf.XLOOKUP(_xludf.XLOOKUP(B1572,Inventory!$A:$A,Inventory!$C:$C),Motor!$A:$A,Motor!$C:$C)+_xludf.XLOOKUP(_xludf.XLOOKUP(B1572,Inventory!$A:$A,Inventory!$D:$D),Frame!$A:$A,Frame!$C:$C)+#REF!,""))</f>
        <v/>
      </c>
      <c r="E1572" s="4">
        <v>45345</v>
      </c>
      <c r="F1572" s="1" t="s">
        <v>8</v>
      </c>
    </row>
    <row r="1573" spans="1:6" x14ac:dyDescent="0.25">
      <c r="A1573" s="1" t="s">
        <v>3156</v>
      </c>
      <c r="B1573" s="1" t="s">
        <v>3157</v>
      </c>
      <c r="C1573" s="3">
        <v>200</v>
      </c>
      <c r="D1573" s="3" t="str">
        <f ca="1">IF(B1573="","",IFERROR(_xludf.XLOOKUP(_xludf.XLOOKUP(B1573,Inventory!$A:$A,Inventory!$B:$B),Blades!$A:$A,Blades!$C:$C)+_xludf.XLOOKUP(_xludf.XLOOKUP(B1573,Inventory!$A:$A,Inventory!$C:$C),Motor!$A:$A,Motor!$C:$C)+_xludf.XLOOKUP(_xludf.XLOOKUP(B1573,Inventory!$A:$A,Inventory!$D:$D),Frame!$A:$A,Frame!$C:$C)+#REF!,""))</f>
        <v/>
      </c>
      <c r="E1573" s="4">
        <v>45347</v>
      </c>
      <c r="F1573" s="1" t="s">
        <v>20</v>
      </c>
    </row>
    <row r="1574" spans="1:6" x14ac:dyDescent="0.25">
      <c r="A1574" s="1" t="s">
        <v>3158</v>
      </c>
      <c r="B1574" s="1" t="s">
        <v>3159</v>
      </c>
      <c r="C1574" s="3">
        <v>200</v>
      </c>
      <c r="D1574" s="3" t="str">
        <f ca="1">IF(B1574="","",IFERROR(_xludf.XLOOKUP(_xludf.XLOOKUP(B1574,Inventory!$A:$A,Inventory!$B:$B),Blades!$A:$A,Blades!$C:$C)+_xludf.XLOOKUP(_xludf.XLOOKUP(B1574,Inventory!$A:$A,Inventory!$C:$C),Motor!$A:$A,Motor!$C:$C)+_xludf.XLOOKUP(_xludf.XLOOKUP(B1574,Inventory!$A:$A,Inventory!$D:$D),Frame!$A:$A,Frame!$C:$C)+#REF!,""))</f>
        <v/>
      </c>
      <c r="E1574" s="4">
        <v>45348</v>
      </c>
      <c r="F1574" s="1" t="s">
        <v>32</v>
      </c>
    </row>
    <row r="1575" spans="1:6" x14ac:dyDescent="0.25">
      <c r="A1575" s="1" t="s">
        <v>3160</v>
      </c>
      <c r="B1575" s="1" t="s">
        <v>3161</v>
      </c>
      <c r="C1575" s="3">
        <v>200</v>
      </c>
      <c r="D1575" s="3" t="str">
        <f ca="1">IF(B1575="","",IFERROR(_xludf.XLOOKUP(_xludf.XLOOKUP(B1575,Inventory!$A:$A,Inventory!$B:$B),Blades!$A:$A,Blades!$C:$C)+_xludf.XLOOKUP(_xludf.XLOOKUP(B1575,Inventory!$A:$A,Inventory!$C:$C),Motor!$A:$A,Motor!$C:$C)+_xludf.XLOOKUP(_xludf.XLOOKUP(B1575,Inventory!$A:$A,Inventory!$D:$D),Frame!$A:$A,Frame!$C:$C)+#REF!,""))</f>
        <v/>
      </c>
      <c r="E1575" s="4">
        <v>45348</v>
      </c>
      <c r="F1575" s="1" t="s">
        <v>11</v>
      </c>
    </row>
    <row r="1576" spans="1:6" x14ac:dyDescent="0.25">
      <c r="A1576" s="1" t="s">
        <v>3162</v>
      </c>
      <c r="B1576" s="1" t="s">
        <v>3163</v>
      </c>
      <c r="C1576" s="3">
        <v>200</v>
      </c>
      <c r="D1576" s="3" t="str">
        <f ca="1">IF(B1576="","",IFERROR(_xludf.XLOOKUP(_xludf.XLOOKUP(B1576,Inventory!$A:$A,Inventory!$B:$B),Blades!$A:$A,Blades!$C:$C)+_xludf.XLOOKUP(_xludf.XLOOKUP(B1576,Inventory!$A:$A,Inventory!$C:$C),Motor!$A:$A,Motor!$C:$C)+_xludf.XLOOKUP(_xludf.XLOOKUP(B1576,Inventory!$A:$A,Inventory!$D:$D),Frame!$A:$A,Frame!$C:$C)+#REF!,""))</f>
        <v/>
      </c>
      <c r="E1576" s="4">
        <v>45348</v>
      </c>
      <c r="F1576" s="1" t="s">
        <v>8</v>
      </c>
    </row>
    <row r="1577" spans="1:6" x14ac:dyDescent="0.25">
      <c r="A1577" s="1" t="s">
        <v>3164</v>
      </c>
      <c r="B1577" s="1" t="s">
        <v>3165</v>
      </c>
      <c r="C1577" s="3">
        <v>200</v>
      </c>
      <c r="D1577" s="3" t="str">
        <f ca="1">IF(B1577="","",IFERROR(_xludf.XLOOKUP(_xludf.XLOOKUP(B1577,Inventory!$A:$A,Inventory!$B:$B),Blades!$A:$A,Blades!$C:$C)+_xludf.XLOOKUP(_xludf.XLOOKUP(B1577,Inventory!$A:$A,Inventory!$C:$C),Motor!$A:$A,Motor!$C:$C)+_xludf.XLOOKUP(_xludf.XLOOKUP(B1577,Inventory!$A:$A,Inventory!$D:$D),Frame!$A:$A,Frame!$C:$C)+#REF!,""))</f>
        <v/>
      </c>
      <c r="E1577" s="4">
        <v>45350</v>
      </c>
      <c r="F1577" s="1" t="s">
        <v>32</v>
      </c>
    </row>
    <row r="1578" spans="1:6" x14ac:dyDescent="0.25">
      <c r="A1578" s="1" t="s">
        <v>3166</v>
      </c>
      <c r="B1578" s="1" t="s">
        <v>3167</v>
      </c>
      <c r="C1578" s="3">
        <v>200</v>
      </c>
      <c r="D1578" s="3" t="str">
        <f ca="1">IF(B1578="","",IFERROR(_xludf.XLOOKUP(_xludf.XLOOKUP(B1578,Inventory!$A:$A,Inventory!$B:$B),Blades!$A:$A,Blades!$C:$C)+_xludf.XLOOKUP(_xludf.XLOOKUP(B1578,Inventory!$A:$A,Inventory!$C:$C),Motor!$A:$A,Motor!$C:$C)+_xludf.XLOOKUP(_xludf.XLOOKUP(B1578,Inventory!$A:$A,Inventory!$D:$D),Frame!$A:$A,Frame!$C:$C)+#REF!,""))</f>
        <v/>
      </c>
      <c r="E1578" s="4">
        <v>45350</v>
      </c>
      <c r="F1578" s="1" t="s">
        <v>11</v>
      </c>
    </row>
    <row r="1579" spans="1:6" x14ac:dyDescent="0.25">
      <c r="A1579" s="1" t="s">
        <v>3168</v>
      </c>
      <c r="B1579" s="1" t="s">
        <v>3169</v>
      </c>
      <c r="C1579" s="3">
        <v>200</v>
      </c>
      <c r="D1579" s="3" t="str">
        <f ca="1">IF(B1579="","",IFERROR(_xludf.XLOOKUP(_xludf.XLOOKUP(B1579,Inventory!$A:$A,Inventory!$B:$B),Blades!$A:$A,Blades!$C:$C)+_xludf.XLOOKUP(_xludf.XLOOKUP(B1579,Inventory!$A:$A,Inventory!$C:$C),Motor!$A:$A,Motor!$C:$C)+_xludf.XLOOKUP(_xludf.XLOOKUP(B1579,Inventory!$A:$A,Inventory!$D:$D),Frame!$A:$A,Frame!$C:$C)+#REF!,""))</f>
        <v/>
      </c>
      <c r="E1579" s="4">
        <v>45352</v>
      </c>
      <c r="F1579" s="1" t="s">
        <v>25</v>
      </c>
    </row>
    <row r="1580" spans="1:6" x14ac:dyDescent="0.25">
      <c r="A1580" s="1" t="s">
        <v>3170</v>
      </c>
      <c r="B1580" s="1" t="s">
        <v>3171</v>
      </c>
      <c r="C1580" s="3">
        <v>200</v>
      </c>
      <c r="D1580" s="3" t="str">
        <f ca="1">IF(B1580="","",IFERROR(_xludf.XLOOKUP(_xludf.XLOOKUP(B1580,Inventory!$A:$A,Inventory!$B:$B),Blades!$A:$A,Blades!$C:$C)+_xludf.XLOOKUP(_xludf.XLOOKUP(B1580,Inventory!$A:$A,Inventory!$C:$C),Motor!$A:$A,Motor!$C:$C)+_xludf.XLOOKUP(_xludf.XLOOKUP(B1580,Inventory!$A:$A,Inventory!$D:$D),Frame!$A:$A,Frame!$C:$C)+#REF!,""))</f>
        <v/>
      </c>
      <c r="E1580" s="4">
        <v>45352</v>
      </c>
      <c r="F1580" s="1" t="s">
        <v>52</v>
      </c>
    </row>
    <row r="1581" spans="1:6" x14ac:dyDescent="0.25">
      <c r="A1581" s="1" t="s">
        <v>3172</v>
      </c>
      <c r="B1581" s="1" t="s">
        <v>3173</v>
      </c>
      <c r="C1581" s="3">
        <v>200</v>
      </c>
      <c r="D1581" s="3" t="str">
        <f ca="1">IF(B1581="","",IFERROR(_xludf.XLOOKUP(_xludf.XLOOKUP(B1581,Inventory!$A:$A,Inventory!$B:$B),Blades!$A:$A,Blades!$C:$C)+_xludf.XLOOKUP(_xludf.XLOOKUP(B1581,Inventory!$A:$A,Inventory!$C:$C),Motor!$A:$A,Motor!$C:$C)+_xludf.XLOOKUP(_xludf.XLOOKUP(B1581,Inventory!$A:$A,Inventory!$D:$D),Frame!$A:$A,Frame!$C:$C)+#REF!,""))</f>
        <v/>
      </c>
      <c r="E1581" s="4">
        <v>45352</v>
      </c>
      <c r="F1581" s="1" t="s">
        <v>8</v>
      </c>
    </row>
    <row r="1582" spans="1:6" x14ac:dyDescent="0.25">
      <c r="A1582" s="1" t="s">
        <v>3174</v>
      </c>
      <c r="B1582" s="1" t="s">
        <v>3175</v>
      </c>
      <c r="C1582" s="3">
        <v>200</v>
      </c>
      <c r="D1582" s="3" t="str">
        <f ca="1">IF(B1582="","",IFERROR(_xludf.XLOOKUP(_xludf.XLOOKUP(B1582,Inventory!$A:$A,Inventory!$B:$B),Blades!$A:$A,Blades!$C:$C)+_xludf.XLOOKUP(_xludf.XLOOKUP(B1582,Inventory!$A:$A,Inventory!$C:$C),Motor!$A:$A,Motor!$C:$C)+_xludf.XLOOKUP(_xludf.XLOOKUP(B1582,Inventory!$A:$A,Inventory!$D:$D),Frame!$A:$A,Frame!$C:$C)+#REF!,""))</f>
        <v/>
      </c>
      <c r="E1582" s="4">
        <v>45353</v>
      </c>
      <c r="F1582" s="1" t="s">
        <v>11</v>
      </c>
    </row>
    <row r="1583" spans="1:6" x14ac:dyDescent="0.25">
      <c r="A1583" s="1" t="s">
        <v>3176</v>
      </c>
      <c r="B1583" s="1" t="s">
        <v>3177</v>
      </c>
      <c r="C1583" s="3">
        <v>200</v>
      </c>
      <c r="D1583" s="3" t="str">
        <f ca="1">IF(B1583="","",IFERROR(_xludf.XLOOKUP(_xludf.XLOOKUP(B1583,Inventory!$A:$A,Inventory!$B:$B),Blades!$A:$A,Blades!$C:$C)+_xludf.XLOOKUP(_xludf.XLOOKUP(B1583,Inventory!$A:$A,Inventory!$C:$C),Motor!$A:$A,Motor!$C:$C)+_xludf.XLOOKUP(_xludf.XLOOKUP(B1583,Inventory!$A:$A,Inventory!$D:$D),Frame!$A:$A,Frame!$C:$C)+#REF!,""))</f>
        <v/>
      </c>
      <c r="E1583" s="4">
        <v>45353</v>
      </c>
      <c r="F1583" s="1" t="s">
        <v>25</v>
      </c>
    </row>
    <row r="1584" spans="1:6" x14ac:dyDescent="0.25">
      <c r="A1584" s="1" t="s">
        <v>3178</v>
      </c>
      <c r="B1584" s="1" t="s">
        <v>3179</v>
      </c>
      <c r="C1584" s="3">
        <v>200</v>
      </c>
      <c r="D1584" s="3" t="str">
        <f ca="1">IF(B1584="","",IFERROR(_xludf.XLOOKUP(_xludf.XLOOKUP(B1584,Inventory!$A:$A,Inventory!$B:$B),Blades!$A:$A,Blades!$C:$C)+_xludf.XLOOKUP(_xludf.XLOOKUP(B1584,Inventory!$A:$A,Inventory!$C:$C),Motor!$A:$A,Motor!$C:$C)+_xludf.XLOOKUP(_xludf.XLOOKUP(B1584,Inventory!$A:$A,Inventory!$D:$D),Frame!$A:$A,Frame!$C:$C)+#REF!,""))</f>
        <v/>
      </c>
      <c r="E1584" s="4">
        <v>45353</v>
      </c>
      <c r="F1584" s="1" t="s">
        <v>52</v>
      </c>
    </row>
    <row r="1585" spans="1:6" x14ac:dyDescent="0.25">
      <c r="A1585" s="1" t="s">
        <v>3180</v>
      </c>
      <c r="B1585" s="1" t="s">
        <v>3181</v>
      </c>
      <c r="C1585" s="3">
        <v>200</v>
      </c>
      <c r="D1585" s="3" t="str">
        <f ca="1">IF(B1585="","",IFERROR(_xludf.XLOOKUP(_xludf.XLOOKUP(B1585,Inventory!$A:$A,Inventory!$B:$B),Blades!$A:$A,Blades!$C:$C)+_xludf.XLOOKUP(_xludf.XLOOKUP(B1585,Inventory!$A:$A,Inventory!$C:$C),Motor!$A:$A,Motor!$C:$C)+_xludf.XLOOKUP(_xludf.XLOOKUP(B1585,Inventory!$A:$A,Inventory!$D:$D),Frame!$A:$A,Frame!$C:$C)+#REF!,""))</f>
        <v/>
      </c>
      <c r="E1585" s="4">
        <v>45354</v>
      </c>
      <c r="F1585" s="1" t="s">
        <v>20</v>
      </c>
    </row>
    <row r="1586" spans="1:6" x14ac:dyDescent="0.25">
      <c r="A1586" s="1" t="s">
        <v>3182</v>
      </c>
      <c r="B1586" s="1" t="s">
        <v>3183</v>
      </c>
      <c r="C1586" s="3">
        <v>200</v>
      </c>
      <c r="D1586" s="3" t="str">
        <f ca="1">IF(B1586="","",IFERROR(_xludf.XLOOKUP(_xludf.XLOOKUP(B1586,Inventory!$A:$A,Inventory!$B:$B),Blades!$A:$A,Blades!$C:$C)+_xludf.XLOOKUP(_xludf.XLOOKUP(B1586,Inventory!$A:$A,Inventory!$C:$C),Motor!$A:$A,Motor!$C:$C)+_xludf.XLOOKUP(_xludf.XLOOKUP(B1586,Inventory!$A:$A,Inventory!$D:$D),Frame!$A:$A,Frame!$C:$C)+#REF!,""))</f>
        <v/>
      </c>
      <c r="E1586" s="4">
        <v>45354</v>
      </c>
      <c r="F1586" s="1" t="s">
        <v>11</v>
      </c>
    </row>
    <row r="1587" spans="1:6" x14ac:dyDescent="0.25">
      <c r="A1587" s="1" t="s">
        <v>3184</v>
      </c>
      <c r="B1587" s="1" t="s">
        <v>3185</v>
      </c>
      <c r="C1587" s="3">
        <v>200</v>
      </c>
      <c r="D1587" s="3" t="str">
        <f ca="1">IF(B1587="","",IFERROR(_xludf.XLOOKUP(_xludf.XLOOKUP(B1587,Inventory!$A:$A,Inventory!$B:$B),Blades!$A:$A,Blades!$C:$C)+_xludf.XLOOKUP(_xludf.XLOOKUP(B1587,Inventory!$A:$A,Inventory!$C:$C),Motor!$A:$A,Motor!$C:$C)+_xludf.XLOOKUP(_xludf.XLOOKUP(B1587,Inventory!$A:$A,Inventory!$D:$D),Frame!$A:$A,Frame!$C:$C)+#REF!,""))</f>
        <v/>
      </c>
      <c r="E1587" s="4">
        <v>45354</v>
      </c>
      <c r="F1587" s="1" t="s">
        <v>32</v>
      </c>
    </row>
    <row r="1588" spans="1:6" x14ac:dyDescent="0.25">
      <c r="A1588" s="1" t="s">
        <v>3186</v>
      </c>
      <c r="B1588" s="1" t="s">
        <v>3187</v>
      </c>
      <c r="C1588" s="3">
        <v>200</v>
      </c>
      <c r="D1588" s="3" t="str">
        <f ca="1">IF(B1588="","",IFERROR(_xludf.XLOOKUP(_xludf.XLOOKUP(B1588,Inventory!$A:$A,Inventory!$B:$B),Blades!$A:$A,Blades!$C:$C)+_xludf.XLOOKUP(_xludf.XLOOKUP(B1588,Inventory!$A:$A,Inventory!$C:$C),Motor!$A:$A,Motor!$C:$C)+_xludf.XLOOKUP(_xludf.XLOOKUP(B1588,Inventory!$A:$A,Inventory!$D:$D),Frame!$A:$A,Frame!$C:$C)+#REF!,""))</f>
        <v/>
      </c>
      <c r="E1588" s="4">
        <v>45355</v>
      </c>
      <c r="F1588" s="1" t="s">
        <v>49</v>
      </c>
    </row>
    <row r="1589" spans="1:6" x14ac:dyDescent="0.25">
      <c r="A1589" s="1" t="s">
        <v>3188</v>
      </c>
      <c r="B1589" s="1" t="s">
        <v>3189</v>
      </c>
      <c r="C1589" s="3">
        <v>200</v>
      </c>
      <c r="D1589" s="3" t="str">
        <f ca="1">IF(B1589="","",IFERROR(_xludf.XLOOKUP(_xludf.XLOOKUP(B1589,Inventory!$A:$A,Inventory!$B:$B),Blades!$A:$A,Blades!$C:$C)+_xludf.XLOOKUP(_xludf.XLOOKUP(B1589,Inventory!$A:$A,Inventory!$C:$C),Motor!$A:$A,Motor!$C:$C)+_xludf.XLOOKUP(_xludf.XLOOKUP(B1589,Inventory!$A:$A,Inventory!$D:$D),Frame!$A:$A,Frame!$C:$C)+#REF!,""))</f>
        <v/>
      </c>
      <c r="E1589" s="4">
        <v>45355</v>
      </c>
      <c r="F1589" s="1" t="s">
        <v>20</v>
      </c>
    </row>
    <row r="1590" spans="1:6" x14ac:dyDescent="0.25">
      <c r="A1590" s="1" t="s">
        <v>3190</v>
      </c>
      <c r="B1590" s="1" t="s">
        <v>3191</v>
      </c>
      <c r="C1590" s="3">
        <v>200</v>
      </c>
      <c r="D1590" s="3" t="str">
        <f ca="1">IF(B1590="","",IFERROR(_xludf.XLOOKUP(_xludf.XLOOKUP(B1590,Inventory!$A:$A,Inventory!$B:$B),Blades!$A:$A,Blades!$C:$C)+_xludf.XLOOKUP(_xludf.XLOOKUP(B1590,Inventory!$A:$A,Inventory!$C:$C),Motor!$A:$A,Motor!$C:$C)+_xludf.XLOOKUP(_xludf.XLOOKUP(B1590,Inventory!$A:$A,Inventory!$D:$D),Frame!$A:$A,Frame!$C:$C)+#REF!,""))</f>
        <v/>
      </c>
      <c r="E1590" s="4">
        <v>45355</v>
      </c>
      <c r="F1590" s="1" t="s">
        <v>49</v>
      </c>
    </row>
    <row r="1591" spans="1:6" x14ac:dyDescent="0.25">
      <c r="A1591" s="1" t="s">
        <v>3192</v>
      </c>
      <c r="B1591" s="1" t="s">
        <v>3193</v>
      </c>
      <c r="C1591" s="3">
        <v>200</v>
      </c>
      <c r="D1591" s="3" t="str">
        <f ca="1">IF(B1591="","",IFERROR(_xludf.XLOOKUP(_xludf.XLOOKUP(B1591,Inventory!$A:$A,Inventory!$B:$B),Blades!$A:$A,Blades!$C:$C)+_xludf.XLOOKUP(_xludf.XLOOKUP(B1591,Inventory!$A:$A,Inventory!$C:$C),Motor!$A:$A,Motor!$C:$C)+_xludf.XLOOKUP(_xludf.XLOOKUP(B1591,Inventory!$A:$A,Inventory!$D:$D),Frame!$A:$A,Frame!$C:$C)+#REF!,""))</f>
        <v/>
      </c>
      <c r="E1591" s="4">
        <v>45355</v>
      </c>
      <c r="F1591" s="1" t="s">
        <v>25</v>
      </c>
    </row>
    <row r="1592" spans="1:6" x14ac:dyDescent="0.25">
      <c r="A1592" s="1" t="s">
        <v>3194</v>
      </c>
      <c r="B1592" s="1" t="s">
        <v>3195</v>
      </c>
      <c r="C1592" s="3">
        <v>200</v>
      </c>
      <c r="D1592" s="3" t="str">
        <f ca="1">IF(B1592="","",IFERROR(_xludf.XLOOKUP(_xludf.XLOOKUP(B1592,Inventory!$A:$A,Inventory!$B:$B),Blades!$A:$A,Blades!$C:$C)+_xludf.XLOOKUP(_xludf.XLOOKUP(B1592,Inventory!$A:$A,Inventory!$C:$C),Motor!$A:$A,Motor!$C:$C)+_xludf.XLOOKUP(_xludf.XLOOKUP(B1592,Inventory!$A:$A,Inventory!$D:$D),Frame!$A:$A,Frame!$C:$C)+#REF!,""))</f>
        <v/>
      </c>
      <c r="E1592" s="4">
        <v>45355</v>
      </c>
      <c r="F1592" s="1" t="s">
        <v>63</v>
      </c>
    </row>
    <row r="1593" spans="1:6" x14ac:dyDescent="0.25">
      <c r="A1593" s="1" t="s">
        <v>3196</v>
      </c>
      <c r="B1593" s="1" t="s">
        <v>3197</v>
      </c>
      <c r="C1593" s="3">
        <v>200</v>
      </c>
      <c r="D1593" s="3" t="str">
        <f ca="1">IF(B1593="","",IFERROR(_xludf.XLOOKUP(_xludf.XLOOKUP(B1593,Inventory!$A:$A,Inventory!$B:$B),Blades!$A:$A,Blades!$C:$C)+_xludf.XLOOKUP(_xludf.XLOOKUP(B1593,Inventory!$A:$A,Inventory!$C:$C),Motor!$A:$A,Motor!$C:$C)+_xludf.XLOOKUP(_xludf.XLOOKUP(B1593,Inventory!$A:$A,Inventory!$D:$D),Frame!$A:$A,Frame!$C:$C)+#REF!,""))</f>
        <v/>
      </c>
      <c r="E1593" s="4">
        <v>45355</v>
      </c>
      <c r="F1593" s="1" t="s">
        <v>52</v>
      </c>
    </row>
    <row r="1594" spans="1:6" x14ac:dyDescent="0.25">
      <c r="A1594" s="1" t="s">
        <v>3198</v>
      </c>
      <c r="B1594" s="1" t="s">
        <v>3199</v>
      </c>
      <c r="C1594" s="3">
        <v>200</v>
      </c>
      <c r="D1594" s="3" t="str">
        <f ca="1">IF(B1594="","",IFERROR(_xludf.XLOOKUP(_xludf.XLOOKUP(B1594,Inventory!$A:$A,Inventory!$B:$B),Blades!$A:$A,Blades!$C:$C)+_xludf.XLOOKUP(_xludf.XLOOKUP(B1594,Inventory!$A:$A,Inventory!$C:$C),Motor!$A:$A,Motor!$C:$C)+_xludf.XLOOKUP(_xludf.XLOOKUP(B1594,Inventory!$A:$A,Inventory!$D:$D),Frame!$A:$A,Frame!$C:$C)+#REF!,""))</f>
        <v/>
      </c>
      <c r="E1594" s="4">
        <v>45356</v>
      </c>
      <c r="F1594" s="1" t="s">
        <v>11</v>
      </c>
    </row>
    <row r="1595" spans="1:6" x14ac:dyDescent="0.25">
      <c r="A1595" s="1" t="s">
        <v>3200</v>
      </c>
      <c r="B1595" s="1" t="s">
        <v>3201</v>
      </c>
      <c r="C1595" s="3">
        <v>200</v>
      </c>
      <c r="D1595" s="3" t="str">
        <f ca="1">IF(B1595="","",IFERROR(_xludf.XLOOKUP(_xludf.XLOOKUP(B1595,Inventory!$A:$A,Inventory!$B:$B),Blades!$A:$A,Blades!$C:$C)+_xludf.XLOOKUP(_xludf.XLOOKUP(B1595,Inventory!$A:$A,Inventory!$C:$C),Motor!$A:$A,Motor!$C:$C)+_xludf.XLOOKUP(_xludf.XLOOKUP(B1595,Inventory!$A:$A,Inventory!$D:$D),Frame!$A:$A,Frame!$C:$C)+#REF!,""))</f>
        <v/>
      </c>
      <c r="E1595" s="4">
        <v>45357</v>
      </c>
      <c r="F1595" s="1" t="s">
        <v>32</v>
      </c>
    </row>
    <row r="1596" spans="1:6" x14ac:dyDescent="0.25">
      <c r="A1596" s="1" t="s">
        <v>3202</v>
      </c>
      <c r="B1596" s="1" t="s">
        <v>3203</v>
      </c>
      <c r="C1596" s="3">
        <v>200</v>
      </c>
      <c r="D1596" s="3" t="str">
        <f ca="1">IF(B1596="","",IFERROR(_xludf.XLOOKUP(_xludf.XLOOKUP(B1596,Inventory!$A:$A,Inventory!$B:$B),Blades!$A:$A,Blades!$C:$C)+_xludf.XLOOKUP(_xludf.XLOOKUP(B1596,Inventory!$A:$A,Inventory!$C:$C),Motor!$A:$A,Motor!$C:$C)+_xludf.XLOOKUP(_xludf.XLOOKUP(B1596,Inventory!$A:$A,Inventory!$D:$D),Frame!$A:$A,Frame!$C:$C)+#REF!,""))</f>
        <v/>
      </c>
      <c r="E1596" s="4">
        <v>45357</v>
      </c>
      <c r="F1596" s="1" t="s">
        <v>20</v>
      </c>
    </row>
    <row r="1597" spans="1:6" x14ac:dyDescent="0.25">
      <c r="A1597" s="1" t="s">
        <v>3204</v>
      </c>
      <c r="B1597" s="1" t="s">
        <v>3205</v>
      </c>
      <c r="C1597" s="3">
        <v>200</v>
      </c>
      <c r="D1597" s="3" t="str">
        <f ca="1">IF(B1597="","",IFERROR(_xludf.XLOOKUP(_xludf.XLOOKUP(B1597,Inventory!$A:$A,Inventory!$B:$B),Blades!$A:$A,Blades!$C:$C)+_xludf.XLOOKUP(_xludf.XLOOKUP(B1597,Inventory!$A:$A,Inventory!$C:$C),Motor!$A:$A,Motor!$C:$C)+_xludf.XLOOKUP(_xludf.XLOOKUP(B1597,Inventory!$A:$A,Inventory!$D:$D),Frame!$A:$A,Frame!$C:$C)+#REF!,""))</f>
        <v/>
      </c>
      <c r="E1597" s="4">
        <v>45357</v>
      </c>
      <c r="F1597" s="1" t="s">
        <v>49</v>
      </c>
    </row>
    <row r="1598" spans="1:6" x14ac:dyDescent="0.25">
      <c r="A1598" s="1" t="s">
        <v>3206</v>
      </c>
      <c r="B1598" s="1" t="s">
        <v>3207</v>
      </c>
      <c r="C1598" s="3">
        <v>200</v>
      </c>
      <c r="D1598" s="3" t="str">
        <f ca="1">IF(B1598="","",IFERROR(_xludf.XLOOKUP(_xludf.XLOOKUP(B1598,Inventory!$A:$A,Inventory!$B:$B),Blades!$A:$A,Blades!$C:$C)+_xludf.XLOOKUP(_xludf.XLOOKUP(B1598,Inventory!$A:$A,Inventory!$C:$C),Motor!$A:$A,Motor!$C:$C)+_xludf.XLOOKUP(_xludf.XLOOKUP(B1598,Inventory!$A:$A,Inventory!$D:$D),Frame!$A:$A,Frame!$C:$C)+#REF!,""))</f>
        <v/>
      </c>
      <c r="E1598" s="4">
        <v>45357</v>
      </c>
      <c r="F1598" s="1" t="s">
        <v>8</v>
      </c>
    </row>
    <row r="1599" spans="1:6" x14ac:dyDescent="0.25">
      <c r="A1599" s="1" t="s">
        <v>3208</v>
      </c>
      <c r="B1599" s="1" t="s">
        <v>3209</v>
      </c>
      <c r="C1599" s="3">
        <v>200</v>
      </c>
      <c r="D1599" s="3" t="str">
        <f ca="1">IF(B1599="","",IFERROR(_xludf.XLOOKUP(_xludf.XLOOKUP(B1599,Inventory!$A:$A,Inventory!$B:$B),Blades!$A:$A,Blades!$C:$C)+_xludf.XLOOKUP(_xludf.XLOOKUP(B1599,Inventory!$A:$A,Inventory!$C:$C),Motor!$A:$A,Motor!$C:$C)+_xludf.XLOOKUP(_xludf.XLOOKUP(B1599,Inventory!$A:$A,Inventory!$D:$D),Frame!$A:$A,Frame!$C:$C)+#REF!,""))</f>
        <v/>
      </c>
      <c r="E1599" s="4">
        <v>45358</v>
      </c>
      <c r="F1599" s="1" t="s">
        <v>8</v>
      </c>
    </row>
    <row r="1600" spans="1:6" x14ac:dyDescent="0.25">
      <c r="A1600" s="1" t="s">
        <v>3210</v>
      </c>
      <c r="B1600" s="1" t="s">
        <v>3211</v>
      </c>
      <c r="C1600" s="3">
        <v>200</v>
      </c>
      <c r="D1600" s="3" t="str">
        <f ca="1">IF(B1600="","",IFERROR(_xludf.XLOOKUP(_xludf.XLOOKUP(B1600,Inventory!$A:$A,Inventory!$B:$B),Blades!$A:$A,Blades!$C:$C)+_xludf.XLOOKUP(_xludf.XLOOKUP(B1600,Inventory!$A:$A,Inventory!$C:$C),Motor!$A:$A,Motor!$C:$C)+_xludf.XLOOKUP(_xludf.XLOOKUP(B1600,Inventory!$A:$A,Inventory!$D:$D),Frame!$A:$A,Frame!$C:$C)+#REF!,""))</f>
        <v/>
      </c>
      <c r="E1600" s="4">
        <v>45358</v>
      </c>
      <c r="F1600" s="1" t="s">
        <v>25</v>
      </c>
    </row>
    <row r="1601" spans="1:6" x14ac:dyDescent="0.25">
      <c r="A1601" s="1" t="s">
        <v>3212</v>
      </c>
      <c r="B1601" s="1" t="s">
        <v>3213</v>
      </c>
      <c r="C1601" s="3">
        <v>200</v>
      </c>
      <c r="D1601" s="3" t="str">
        <f ca="1">IF(B1601="","",IFERROR(_xludf.XLOOKUP(_xludf.XLOOKUP(B1601,Inventory!$A:$A,Inventory!$B:$B),Blades!$A:$A,Blades!$C:$C)+_xludf.XLOOKUP(_xludf.XLOOKUP(B1601,Inventory!$A:$A,Inventory!$C:$C),Motor!$A:$A,Motor!$C:$C)+_xludf.XLOOKUP(_xludf.XLOOKUP(B1601,Inventory!$A:$A,Inventory!$D:$D),Frame!$A:$A,Frame!$C:$C)+#REF!,""))</f>
        <v/>
      </c>
      <c r="E1601" s="4">
        <v>45359</v>
      </c>
      <c r="F1601" s="1" t="s">
        <v>63</v>
      </c>
    </row>
    <row r="1602" spans="1:6" x14ac:dyDescent="0.25">
      <c r="A1602" s="1" t="s">
        <v>3214</v>
      </c>
      <c r="B1602" s="1" t="s">
        <v>3215</v>
      </c>
      <c r="C1602" s="3">
        <v>200</v>
      </c>
      <c r="D1602" s="3" t="str">
        <f ca="1">IF(B1602="","",IFERROR(_xludf.XLOOKUP(_xludf.XLOOKUP(B1602,Inventory!$A:$A,Inventory!$B:$B),Blades!$A:$A,Blades!$C:$C)+_xludf.XLOOKUP(_xludf.XLOOKUP(B1602,Inventory!$A:$A,Inventory!$C:$C),Motor!$A:$A,Motor!$C:$C)+_xludf.XLOOKUP(_xludf.XLOOKUP(B1602,Inventory!$A:$A,Inventory!$D:$D),Frame!$A:$A,Frame!$C:$C)+#REF!,""))</f>
        <v/>
      </c>
      <c r="E1602" s="4">
        <v>45360</v>
      </c>
      <c r="F1602" s="1" t="s">
        <v>11</v>
      </c>
    </row>
    <row r="1603" spans="1:6" x14ac:dyDescent="0.25">
      <c r="A1603" s="1" t="s">
        <v>3216</v>
      </c>
      <c r="B1603" s="1" t="s">
        <v>3217</v>
      </c>
      <c r="C1603" s="3">
        <v>200</v>
      </c>
      <c r="D1603" s="3" t="str">
        <f ca="1">IF(B1603="","",IFERROR(_xludf.XLOOKUP(_xludf.XLOOKUP(B1603,Inventory!$A:$A,Inventory!$B:$B),Blades!$A:$A,Blades!$C:$C)+_xludf.XLOOKUP(_xludf.XLOOKUP(B1603,Inventory!$A:$A,Inventory!$C:$C),Motor!$A:$A,Motor!$C:$C)+_xludf.XLOOKUP(_xludf.XLOOKUP(B1603,Inventory!$A:$A,Inventory!$D:$D),Frame!$A:$A,Frame!$C:$C)+#REF!,""))</f>
        <v/>
      </c>
      <c r="E1603" s="4">
        <v>45362</v>
      </c>
      <c r="F1603" s="1" t="s">
        <v>32</v>
      </c>
    </row>
    <row r="1604" spans="1:6" x14ac:dyDescent="0.25">
      <c r="A1604" s="1" t="s">
        <v>3218</v>
      </c>
      <c r="B1604" s="1" t="s">
        <v>3219</v>
      </c>
      <c r="C1604" s="3">
        <v>200</v>
      </c>
      <c r="D1604" s="3" t="str">
        <f ca="1">IF(B1604="","",IFERROR(_xludf.XLOOKUP(_xludf.XLOOKUP(B1604,Inventory!$A:$A,Inventory!$B:$B),Blades!$A:$A,Blades!$C:$C)+_xludf.XLOOKUP(_xludf.XLOOKUP(B1604,Inventory!$A:$A,Inventory!$C:$C),Motor!$A:$A,Motor!$C:$C)+_xludf.XLOOKUP(_xludf.XLOOKUP(B1604,Inventory!$A:$A,Inventory!$D:$D),Frame!$A:$A,Frame!$C:$C)+#REF!,""))</f>
        <v/>
      </c>
      <c r="E1604" s="4">
        <v>45363</v>
      </c>
      <c r="F1604" s="1" t="s">
        <v>8</v>
      </c>
    </row>
    <row r="1605" spans="1:6" x14ac:dyDescent="0.25">
      <c r="A1605" s="1" t="s">
        <v>3220</v>
      </c>
      <c r="B1605" s="1" t="s">
        <v>3221</v>
      </c>
      <c r="C1605" s="3">
        <v>200</v>
      </c>
      <c r="D1605" s="3" t="str">
        <f ca="1">IF(B1605="","",IFERROR(_xludf.XLOOKUP(_xludf.XLOOKUP(B1605,Inventory!$A:$A,Inventory!$B:$B),Blades!$A:$A,Blades!$C:$C)+_xludf.XLOOKUP(_xludf.XLOOKUP(B1605,Inventory!$A:$A,Inventory!$C:$C),Motor!$A:$A,Motor!$C:$C)+_xludf.XLOOKUP(_xludf.XLOOKUP(B1605,Inventory!$A:$A,Inventory!$D:$D),Frame!$A:$A,Frame!$C:$C)+#REF!,""))</f>
        <v/>
      </c>
      <c r="E1605" s="4">
        <v>45363</v>
      </c>
      <c r="F1605" s="1" t="s">
        <v>25</v>
      </c>
    </row>
    <row r="1606" spans="1:6" x14ac:dyDescent="0.25">
      <c r="A1606" s="1" t="s">
        <v>3222</v>
      </c>
      <c r="B1606" s="1" t="s">
        <v>3223</v>
      </c>
      <c r="C1606" s="3">
        <v>200</v>
      </c>
      <c r="D1606" s="3" t="str">
        <f ca="1">IF(B1606="","",IFERROR(_xludf.XLOOKUP(_xludf.XLOOKUP(B1606,Inventory!$A:$A,Inventory!$B:$B),Blades!$A:$A,Blades!$C:$C)+_xludf.XLOOKUP(_xludf.XLOOKUP(B1606,Inventory!$A:$A,Inventory!$C:$C),Motor!$A:$A,Motor!$C:$C)+_xludf.XLOOKUP(_xludf.XLOOKUP(B1606,Inventory!$A:$A,Inventory!$D:$D),Frame!$A:$A,Frame!$C:$C)+#REF!,""))</f>
        <v/>
      </c>
      <c r="E1606" s="4">
        <v>45364</v>
      </c>
      <c r="F1606" s="1" t="s">
        <v>63</v>
      </c>
    </row>
    <row r="1607" spans="1:6" x14ac:dyDescent="0.25">
      <c r="A1607" s="1" t="s">
        <v>3224</v>
      </c>
      <c r="B1607" s="1" t="s">
        <v>3225</v>
      </c>
      <c r="C1607" s="3">
        <v>200</v>
      </c>
      <c r="D1607" s="3" t="str">
        <f ca="1">IF(B1607="","",IFERROR(_xludf.XLOOKUP(_xludf.XLOOKUP(B1607,Inventory!$A:$A,Inventory!$B:$B),Blades!$A:$A,Blades!$C:$C)+_xludf.XLOOKUP(_xludf.XLOOKUP(B1607,Inventory!$A:$A,Inventory!$C:$C),Motor!$A:$A,Motor!$C:$C)+_xludf.XLOOKUP(_xludf.XLOOKUP(B1607,Inventory!$A:$A,Inventory!$D:$D),Frame!$A:$A,Frame!$C:$C)+#REF!,""))</f>
        <v/>
      </c>
      <c r="E1607" s="4">
        <v>45364</v>
      </c>
      <c r="F1607" s="1" t="s">
        <v>49</v>
      </c>
    </row>
    <row r="1608" spans="1:6" x14ac:dyDescent="0.25">
      <c r="A1608" s="1" t="s">
        <v>3226</v>
      </c>
      <c r="B1608" s="1" t="s">
        <v>3227</v>
      </c>
      <c r="C1608" s="3">
        <v>200</v>
      </c>
      <c r="D1608" s="3" t="str">
        <f ca="1">IF(B1608="","",IFERROR(_xludf.XLOOKUP(_xludf.XLOOKUP(B1608,Inventory!$A:$A,Inventory!$B:$B),Blades!$A:$A,Blades!$C:$C)+_xludf.XLOOKUP(_xludf.XLOOKUP(B1608,Inventory!$A:$A,Inventory!$C:$C),Motor!$A:$A,Motor!$C:$C)+_xludf.XLOOKUP(_xludf.XLOOKUP(B1608,Inventory!$A:$A,Inventory!$D:$D),Frame!$A:$A,Frame!$C:$C)+#REF!,""))</f>
        <v/>
      </c>
      <c r="E1608" s="4">
        <v>45364</v>
      </c>
      <c r="F1608" s="1" t="s">
        <v>52</v>
      </c>
    </row>
    <row r="1609" spans="1:6" x14ac:dyDescent="0.25">
      <c r="A1609" s="1" t="s">
        <v>3228</v>
      </c>
      <c r="B1609" s="1" t="s">
        <v>3229</v>
      </c>
      <c r="C1609" s="3">
        <v>200</v>
      </c>
      <c r="D1609" s="3" t="str">
        <f ca="1">IF(B1609="","",IFERROR(_xludf.XLOOKUP(_xludf.XLOOKUP(B1609,Inventory!$A:$A,Inventory!$B:$B),Blades!$A:$A,Blades!$C:$C)+_xludf.XLOOKUP(_xludf.XLOOKUP(B1609,Inventory!$A:$A,Inventory!$C:$C),Motor!$A:$A,Motor!$C:$C)+_xludf.XLOOKUP(_xludf.XLOOKUP(B1609,Inventory!$A:$A,Inventory!$D:$D),Frame!$A:$A,Frame!$C:$C)+#REF!,""))</f>
        <v/>
      </c>
      <c r="E1609" s="4">
        <v>45365</v>
      </c>
      <c r="F1609" s="1" t="s">
        <v>20</v>
      </c>
    </row>
    <row r="1610" spans="1:6" x14ac:dyDescent="0.25">
      <c r="A1610" s="1" t="s">
        <v>3230</v>
      </c>
      <c r="B1610" s="1" t="s">
        <v>3231</v>
      </c>
      <c r="C1610" s="3">
        <v>200</v>
      </c>
      <c r="D1610" s="3" t="str">
        <f ca="1">IF(B1610="","",IFERROR(_xludf.XLOOKUP(_xludf.XLOOKUP(B1610,Inventory!$A:$A,Inventory!$B:$B),Blades!$A:$A,Blades!$C:$C)+_xludf.XLOOKUP(_xludf.XLOOKUP(B1610,Inventory!$A:$A,Inventory!$C:$C),Motor!$A:$A,Motor!$C:$C)+_xludf.XLOOKUP(_xludf.XLOOKUP(B1610,Inventory!$A:$A,Inventory!$D:$D),Frame!$A:$A,Frame!$C:$C)+#REF!,""))</f>
        <v/>
      </c>
      <c r="E1610" s="4">
        <v>45365</v>
      </c>
      <c r="F1610" s="1" t="s">
        <v>11</v>
      </c>
    </row>
    <row r="1611" spans="1:6" x14ac:dyDescent="0.25">
      <c r="A1611" s="1" t="s">
        <v>3232</v>
      </c>
      <c r="B1611" s="1" t="s">
        <v>3233</v>
      </c>
      <c r="C1611" s="3">
        <v>200</v>
      </c>
      <c r="D1611" s="3" t="str">
        <f ca="1">IF(B1611="","",IFERROR(_xludf.XLOOKUP(_xludf.XLOOKUP(B1611,Inventory!$A:$A,Inventory!$B:$B),Blades!$A:$A,Blades!$C:$C)+_xludf.XLOOKUP(_xludf.XLOOKUP(B1611,Inventory!$A:$A,Inventory!$C:$C),Motor!$A:$A,Motor!$C:$C)+_xludf.XLOOKUP(_xludf.XLOOKUP(B1611,Inventory!$A:$A,Inventory!$D:$D),Frame!$A:$A,Frame!$C:$C)+#REF!,""))</f>
        <v/>
      </c>
      <c r="E1611" s="4">
        <v>45365</v>
      </c>
      <c r="F1611" s="1" t="s">
        <v>32</v>
      </c>
    </row>
    <row r="1612" spans="1:6" x14ac:dyDescent="0.25">
      <c r="A1612" s="1" t="s">
        <v>3234</v>
      </c>
      <c r="B1612" s="1" t="s">
        <v>3235</v>
      </c>
      <c r="C1612" s="3">
        <v>200</v>
      </c>
      <c r="D1612" s="3" t="str">
        <f ca="1">IF(B1612="","",IFERROR(_xludf.XLOOKUP(_xludf.XLOOKUP(B1612,Inventory!$A:$A,Inventory!$B:$B),Blades!$A:$A,Blades!$C:$C)+_xludf.XLOOKUP(_xludf.XLOOKUP(B1612,Inventory!$A:$A,Inventory!$C:$C),Motor!$A:$A,Motor!$C:$C)+_xludf.XLOOKUP(_xludf.XLOOKUP(B1612,Inventory!$A:$A,Inventory!$D:$D),Frame!$A:$A,Frame!$C:$C)+#REF!,""))</f>
        <v/>
      </c>
      <c r="E1612" s="4">
        <v>45367</v>
      </c>
      <c r="F1612" s="1" t="s">
        <v>52</v>
      </c>
    </row>
    <row r="1613" spans="1:6" x14ac:dyDescent="0.25">
      <c r="A1613" s="1" t="s">
        <v>3236</v>
      </c>
      <c r="B1613" s="1" t="s">
        <v>3237</v>
      </c>
      <c r="C1613" s="3">
        <v>200</v>
      </c>
      <c r="D1613" s="3" t="str">
        <f ca="1">IF(B1613="","",IFERROR(_xludf.XLOOKUP(_xludf.XLOOKUP(B1613,Inventory!$A:$A,Inventory!$B:$B),Blades!$A:$A,Blades!$C:$C)+_xludf.XLOOKUP(_xludf.XLOOKUP(B1613,Inventory!$A:$A,Inventory!$C:$C),Motor!$A:$A,Motor!$C:$C)+_xludf.XLOOKUP(_xludf.XLOOKUP(B1613,Inventory!$A:$A,Inventory!$D:$D),Frame!$A:$A,Frame!$C:$C)+#REF!,""))</f>
        <v/>
      </c>
      <c r="E1613" s="4">
        <v>45368</v>
      </c>
      <c r="F1613" s="1" t="s">
        <v>63</v>
      </c>
    </row>
    <row r="1614" spans="1:6" x14ac:dyDescent="0.25">
      <c r="A1614" s="1" t="s">
        <v>3238</v>
      </c>
      <c r="B1614" s="1" t="s">
        <v>3239</v>
      </c>
      <c r="C1614" s="3">
        <v>200</v>
      </c>
      <c r="D1614" s="3" t="str">
        <f ca="1">IF(B1614="","",IFERROR(_xludf.XLOOKUP(_xludf.XLOOKUP(B1614,Inventory!$A:$A,Inventory!$B:$B),Blades!$A:$A,Blades!$C:$C)+_xludf.XLOOKUP(_xludf.XLOOKUP(B1614,Inventory!$A:$A,Inventory!$C:$C),Motor!$A:$A,Motor!$C:$C)+_xludf.XLOOKUP(_xludf.XLOOKUP(B1614,Inventory!$A:$A,Inventory!$D:$D),Frame!$A:$A,Frame!$C:$C)+#REF!,""))</f>
        <v/>
      </c>
      <c r="E1614" s="4">
        <v>45370</v>
      </c>
      <c r="F1614" s="1" t="s">
        <v>52</v>
      </c>
    </row>
    <row r="1615" spans="1:6" x14ac:dyDescent="0.25">
      <c r="A1615" s="1" t="s">
        <v>3240</v>
      </c>
      <c r="B1615" s="1" t="s">
        <v>3241</v>
      </c>
      <c r="C1615" s="3">
        <v>200</v>
      </c>
      <c r="D1615" s="3" t="str">
        <f ca="1">IF(B1615="","",IFERROR(_xludf.XLOOKUP(_xludf.XLOOKUP(B1615,Inventory!$A:$A,Inventory!$B:$B),Blades!$A:$A,Blades!$C:$C)+_xludf.XLOOKUP(_xludf.XLOOKUP(B1615,Inventory!$A:$A,Inventory!$C:$C),Motor!$A:$A,Motor!$C:$C)+_xludf.XLOOKUP(_xludf.XLOOKUP(B1615,Inventory!$A:$A,Inventory!$D:$D),Frame!$A:$A,Frame!$C:$C)+#REF!,""))</f>
        <v/>
      </c>
      <c r="E1615" s="4">
        <v>45370</v>
      </c>
      <c r="F1615" s="1" t="s">
        <v>52</v>
      </c>
    </row>
    <row r="1616" spans="1:6" x14ac:dyDescent="0.25">
      <c r="A1616" s="1" t="s">
        <v>3242</v>
      </c>
      <c r="B1616" s="1" t="s">
        <v>3243</v>
      </c>
      <c r="C1616" s="3">
        <v>200</v>
      </c>
      <c r="D1616" s="3" t="str">
        <f ca="1">IF(B1616="","",IFERROR(_xludf.XLOOKUP(_xludf.XLOOKUP(B1616,Inventory!$A:$A,Inventory!$B:$B),Blades!$A:$A,Blades!$C:$C)+_xludf.XLOOKUP(_xludf.XLOOKUP(B1616,Inventory!$A:$A,Inventory!$C:$C),Motor!$A:$A,Motor!$C:$C)+_xludf.XLOOKUP(_xludf.XLOOKUP(B1616,Inventory!$A:$A,Inventory!$D:$D),Frame!$A:$A,Frame!$C:$C)+#REF!,""))</f>
        <v/>
      </c>
      <c r="E1616" s="4">
        <v>45372</v>
      </c>
      <c r="F1616" s="1" t="s">
        <v>49</v>
      </c>
    </row>
    <row r="1617" spans="1:6" x14ac:dyDescent="0.25">
      <c r="A1617" s="1" t="s">
        <v>3244</v>
      </c>
      <c r="B1617" s="1" t="s">
        <v>3245</v>
      </c>
      <c r="C1617" s="3">
        <v>200</v>
      </c>
      <c r="D1617" s="3" t="str">
        <f ca="1">IF(B1617="","",IFERROR(_xludf.XLOOKUP(_xludf.XLOOKUP(B1617,Inventory!$A:$A,Inventory!$B:$B),Blades!$A:$A,Blades!$C:$C)+_xludf.XLOOKUP(_xludf.XLOOKUP(B1617,Inventory!$A:$A,Inventory!$C:$C),Motor!$A:$A,Motor!$C:$C)+_xludf.XLOOKUP(_xludf.XLOOKUP(B1617,Inventory!$A:$A,Inventory!$D:$D),Frame!$A:$A,Frame!$C:$C)+#REF!,""))</f>
        <v/>
      </c>
      <c r="E1617" s="4">
        <v>45374</v>
      </c>
      <c r="F1617" s="1" t="s">
        <v>20</v>
      </c>
    </row>
    <row r="1618" spans="1:6" x14ac:dyDescent="0.25">
      <c r="A1618" s="1" t="s">
        <v>3246</v>
      </c>
      <c r="B1618" s="1" t="s">
        <v>3247</v>
      </c>
      <c r="C1618" s="3">
        <v>200</v>
      </c>
      <c r="D1618" s="3" t="str">
        <f ca="1">IF(B1618="","",IFERROR(_xludf.XLOOKUP(_xludf.XLOOKUP(B1618,Inventory!$A:$A,Inventory!$B:$B),Blades!$A:$A,Blades!$C:$C)+_xludf.XLOOKUP(_xludf.XLOOKUP(B1618,Inventory!$A:$A,Inventory!$C:$C),Motor!$A:$A,Motor!$C:$C)+_xludf.XLOOKUP(_xludf.XLOOKUP(B1618,Inventory!$A:$A,Inventory!$D:$D),Frame!$A:$A,Frame!$C:$C)+#REF!,""))</f>
        <v/>
      </c>
      <c r="E1618" s="4">
        <v>45375</v>
      </c>
      <c r="F1618" s="1" t="s">
        <v>25</v>
      </c>
    </row>
    <row r="1619" spans="1:6" x14ac:dyDescent="0.25">
      <c r="A1619" s="1" t="s">
        <v>3248</v>
      </c>
      <c r="B1619" s="1" t="s">
        <v>3249</v>
      </c>
      <c r="C1619" s="3">
        <v>200</v>
      </c>
      <c r="D1619" s="3" t="str">
        <f ca="1">IF(B1619="","",IFERROR(_xludf.XLOOKUP(_xludf.XLOOKUP(B1619,Inventory!$A:$A,Inventory!$B:$B),Blades!$A:$A,Blades!$C:$C)+_xludf.XLOOKUP(_xludf.XLOOKUP(B1619,Inventory!$A:$A,Inventory!$C:$C),Motor!$A:$A,Motor!$C:$C)+_xludf.XLOOKUP(_xludf.XLOOKUP(B1619,Inventory!$A:$A,Inventory!$D:$D),Frame!$A:$A,Frame!$C:$C)+#REF!,""))</f>
        <v/>
      </c>
      <c r="E1619" s="4">
        <v>45376</v>
      </c>
      <c r="F1619" s="1" t="s">
        <v>63</v>
      </c>
    </row>
    <row r="1620" spans="1:6" x14ac:dyDescent="0.25">
      <c r="A1620" s="1" t="s">
        <v>3250</v>
      </c>
      <c r="B1620" s="1" t="s">
        <v>3251</v>
      </c>
      <c r="C1620" s="3">
        <v>200</v>
      </c>
      <c r="D1620" s="3" t="str">
        <f ca="1">IF(B1620="","",IFERROR(_xludf.XLOOKUP(_xludf.XLOOKUP(B1620,Inventory!$A:$A,Inventory!$B:$B),Blades!$A:$A,Blades!$C:$C)+_xludf.XLOOKUP(_xludf.XLOOKUP(B1620,Inventory!$A:$A,Inventory!$C:$C),Motor!$A:$A,Motor!$C:$C)+_xludf.XLOOKUP(_xludf.XLOOKUP(B1620,Inventory!$A:$A,Inventory!$D:$D),Frame!$A:$A,Frame!$C:$C)+#REF!,""))</f>
        <v/>
      </c>
      <c r="E1620" s="4">
        <v>45376</v>
      </c>
      <c r="F1620" s="1" t="s">
        <v>63</v>
      </c>
    </row>
    <row r="1621" spans="1:6" x14ac:dyDescent="0.25">
      <c r="A1621" s="1" t="s">
        <v>3252</v>
      </c>
      <c r="B1621" s="1" t="s">
        <v>3253</v>
      </c>
      <c r="C1621" s="3">
        <v>200</v>
      </c>
      <c r="D1621" s="3" t="str">
        <f ca="1">IF(B1621="","",IFERROR(_xludf.XLOOKUP(_xludf.XLOOKUP(B1621,Inventory!$A:$A,Inventory!$B:$B),Blades!$A:$A,Blades!$C:$C)+_xludf.XLOOKUP(_xludf.XLOOKUP(B1621,Inventory!$A:$A,Inventory!$C:$C),Motor!$A:$A,Motor!$C:$C)+_xludf.XLOOKUP(_xludf.XLOOKUP(B1621,Inventory!$A:$A,Inventory!$D:$D),Frame!$A:$A,Frame!$C:$C)+#REF!,""))</f>
        <v/>
      </c>
      <c r="E1621" s="4">
        <v>45377</v>
      </c>
      <c r="F1621" s="1" t="s">
        <v>8</v>
      </c>
    </row>
    <row r="1622" spans="1:6" x14ac:dyDescent="0.25">
      <c r="A1622" s="1" t="s">
        <v>3254</v>
      </c>
      <c r="B1622" s="1" t="s">
        <v>3255</v>
      </c>
      <c r="C1622" s="3">
        <v>200</v>
      </c>
      <c r="D1622" s="3" t="str">
        <f ca="1">IF(B1622="","",IFERROR(_xludf.XLOOKUP(_xludf.XLOOKUP(B1622,Inventory!$A:$A,Inventory!$B:$B),Blades!$A:$A,Blades!$C:$C)+_xludf.XLOOKUP(_xludf.XLOOKUP(B1622,Inventory!$A:$A,Inventory!$C:$C),Motor!$A:$A,Motor!$C:$C)+_xludf.XLOOKUP(_xludf.XLOOKUP(B1622,Inventory!$A:$A,Inventory!$D:$D),Frame!$A:$A,Frame!$C:$C)+#REF!,""))</f>
        <v/>
      </c>
      <c r="E1622" s="4">
        <v>45378</v>
      </c>
      <c r="F1622" s="1" t="s">
        <v>32</v>
      </c>
    </row>
    <row r="1623" spans="1:6" x14ac:dyDescent="0.25">
      <c r="A1623" s="1" t="s">
        <v>3256</v>
      </c>
      <c r="B1623" s="1" t="s">
        <v>3257</v>
      </c>
      <c r="C1623" s="3">
        <v>200</v>
      </c>
      <c r="D1623" s="3" t="str">
        <f ca="1">IF(B1623="","",IFERROR(_xludf.XLOOKUP(_xludf.XLOOKUP(B1623,Inventory!$A:$A,Inventory!$B:$B),Blades!$A:$A,Blades!$C:$C)+_xludf.XLOOKUP(_xludf.XLOOKUP(B1623,Inventory!$A:$A,Inventory!$C:$C),Motor!$A:$A,Motor!$C:$C)+_xludf.XLOOKUP(_xludf.XLOOKUP(B1623,Inventory!$A:$A,Inventory!$D:$D),Frame!$A:$A,Frame!$C:$C)+#REF!,""))</f>
        <v/>
      </c>
      <c r="E1623" s="4">
        <v>45378</v>
      </c>
      <c r="F1623" s="1" t="s">
        <v>49</v>
      </c>
    </row>
    <row r="1624" spans="1:6" x14ac:dyDescent="0.25">
      <c r="A1624" s="1" t="s">
        <v>3258</v>
      </c>
      <c r="B1624" s="1" t="s">
        <v>3259</v>
      </c>
      <c r="C1624" s="3">
        <v>200</v>
      </c>
      <c r="D1624" s="3" t="str">
        <f ca="1">IF(B1624="","",IFERROR(_xludf.XLOOKUP(_xludf.XLOOKUP(B1624,Inventory!$A:$A,Inventory!$B:$B),Blades!$A:$A,Blades!$C:$C)+_xludf.XLOOKUP(_xludf.XLOOKUP(B1624,Inventory!$A:$A,Inventory!$C:$C),Motor!$A:$A,Motor!$C:$C)+_xludf.XLOOKUP(_xludf.XLOOKUP(B1624,Inventory!$A:$A,Inventory!$D:$D),Frame!$A:$A,Frame!$C:$C)+#REF!,""))</f>
        <v/>
      </c>
      <c r="E1624" s="4">
        <v>45378</v>
      </c>
      <c r="F1624" s="1" t="s">
        <v>49</v>
      </c>
    </row>
    <row r="1625" spans="1:6" x14ac:dyDescent="0.25">
      <c r="A1625" s="1" t="s">
        <v>3260</v>
      </c>
      <c r="B1625" s="1" t="s">
        <v>3261</v>
      </c>
      <c r="C1625" s="3">
        <v>200</v>
      </c>
      <c r="D1625" s="3" t="str">
        <f ca="1">IF(B1625="","",IFERROR(_xludf.XLOOKUP(_xludf.XLOOKUP(B1625,Inventory!$A:$A,Inventory!$B:$B),Blades!$A:$A,Blades!$C:$C)+_xludf.XLOOKUP(_xludf.XLOOKUP(B1625,Inventory!$A:$A,Inventory!$C:$C),Motor!$A:$A,Motor!$C:$C)+_xludf.XLOOKUP(_xludf.XLOOKUP(B1625,Inventory!$A:$A,Inventory!$D:$D),Frame!$A:$A,Frame!$C:$C)+#REF!,""))</f>
        <v/>
      </c>
      <c r="E1625" s="4">
        <v>45379</v>
      </c>
      <c r="F1625" s="1" t="s">
        <v>11</v>
      </c>
    </row>
    <row r="1626" spans="1:6" x14ac:dyDescent="0.25">
      <c r="A1626" s="1" t="s">
        <v>3262</v>
      </c>
      <c r="B1626" s="1" t="s">
        <v>3263</v>
      </c>
      <c r="C1626" s="3">
        <v>200</v>
      </c>
      <c r="D1626" s="3" t="str">
        <f ca="1">IF(B1626="","",IFERROR(_xludf.XLOOKUP(_xludf.XLOOKUP(B1626,Inventory!$A:$A,Inventory!$B:$B),Blades!$A:$A,Blades!$C:$C)+_xludf.XLOOKUP(_xludf.XLOOKUP(B1626,Inventory!$A:$A,Inventory!$C:$C),Motor!$A:$A,Motor!$C:$C)+_xludf.XLOOKUP(_xludf.XLOOKUP(B1626,Inventory!$A:$A,Inventory!$D:$D),Frame!$A:$A,Frame!$C:$C)+#REF!,""))</f>
        <v/>
      </c>
      <c r="E1626" s="4">
        <v>45380</v>
      </c>
      <c r="F1626" s="1" t="s">
        <v>20</v>
      </c>
    </row>
    <row r="1627" spans="1:6" x14ac:dyDescent="0.25">
      <c r="A1627" s="1" t="s">
        <v>3264</v>
      </c>
      <c r="B1627" s="1" t="s">
        <v>3265</v>
      </c>
      <c r="C1627" s="3">
        <v>200</v>
      </c>
      <c r="D1627" s="3" t="str">
        <f ca="1">IF(B1627="","",IFERROR(_xludf.XLOOKUP(_xludf.XLOOKUP(B1627,Inventory!$A:$A,Inventory!$B:$B),Blades!$A:$A,Blades!$C:$C)+_xludf.XLOOKUP(_xludf.XLOOKUP(B1627,Inventory!$A:$A,Inventory!$C:$C),Motor!$A:$A,Motor!$C:$C)+_xludf.XLOOKUP(_xludf.XLOOKUP(B1627,Inventory!$A:$A,Inventory!$D:$D),Frame!$A:$A,Frame!$C:$C)+#REF!,""))</f>
        <v/>
      </c>
      <c r="E1627" s="4">
        <v>45381</v>
      </c>
      <c r="F1627" s="1" t="s">
        <v>63</v>
      </c>
    </row>
    <row r="1628" spans="1:6" x14ac:dyDescent="0.25">
      <c r="A1628" s="1" t="s">
        <v>3266</v>
      </c>
      <c r="B1628" s="1" t="s">
        <v>3267</v>
      </c>
      <c r="C1628" s="3">
        <v>200</v>
      </c>
      <c r="D1628" s="3" t="str">
        <f ca="1">IF(B1628="","",IFERROR(_xludf.XLOOKUP(_xludf.XLOOKUP(B1628,Inventory!$A:$A,Inventory!$B:$B),Blades!$A:$A,Blades!$C:$C)+_xludf.XLOOKUP(_xludf.XLOOKUP(B1628,Inventory!$A:$A,Inventory!$C:$C),Motor!$A:$A,Motor!$C:$C)+_xludf.XLOOKUP(_xludf.XLOOKUP(B1628,Inventory!$A:$A,Inventory!$D:$D),Frame!$A:$A,Frame!$C:$C)+#REF!,""))</f>
        <v/>
      </c>
      <c r="E1628" s="4">
        <v>45382</v>
      </c>
      <c r="F1628" s="1" t="s">
        <v>8</v>
      </c>
    </row>
    <row r="1629" spans="1:6" x14ac:dyDescent="0.25">
      <c r="A1629" s="1" t="s">
        <v>3268</v>
      </c>
      <c r="B1629" s="1" t="s">
        <v>3269</v>
      </c>
      <c r="C1629" s="3">
        <v>200</v>
      </c>
      <c r="D1629" s="3" t="str">
        <f ca="1">IF(B1629="","",IFERROR(_xludf.XLOOKUP(_xludf.XLOOKUP(B1629,Inventory!$A:$A,Inventory!$B:$B),Blades!$A:$A,Blades!$C:$C)+_xludf.XLOOKUP(_xludf.XLOOKUP(B1629,Inventory!$A:$A,Inventory!$C:$C),Motor!$A:$A,Motor!$C:$C)+_xludf.XLOOKUP(_xludf.XLOOKUP(B1629,Inventory!$A:$A,Inventory!$D:$D),Frame!$A:$A,Frame!$C:$C)+#REF!,""))</f>
        <v/>
      </c>
      <c r="E1629" s="4">
        <v>45384</v>
      </c>
      <c r="F1629" s="1" t="s">
        <v>20</v>
      </c>
    </row>
    <row r="1630" spans="1:6" x14ac:dyDescent="0.25">
      <c r="A1630" s="1" t="s">
        <v>3270</v>
      </c>
      <c r="B1630" s="1" t="s">
        <v>3271</v>
      </c>
      <c r="C1630" s="3">
        <v>200</v>
      </c>
      <c r="D1630" s="3" t="str">
        <f ca="1">IF(B1630="","",IFERROR(_xludf.XLOOKUP(_xludf.XLOOKUP(B1630,Inventory!$A:$A,Inventory!$B:$B),Blades!$A:$A,Blades!$C:$C)+_xludf.XLOOKUP(_xludf.XLOOKUP(B1630,Inventory!$A:$A,Inventory!$C:$C),Motor!$A:$A,Motor!$C:$C)+_xludf.XLOOKUP(_xludf.XLOOKUP(B1630,Inventory!$A:$A,Inventory!$D:$D),Frame!$A:$A,Frame!$C:$C)+#REF!,""))</f>
        <v/>
      </c>
      <c r="E1630" s="4">
        <v>45384</v>
      </c>
      <c r="F1630" s="1" t="s">
        <v>25</v>
      </c>
    </row>
    <row r="1631" spans="1:6" x14ac:dyDescent="0.25">
      <c r="A1631" s="1" t="s">
        <v>3272</v>
      </c>
      <c r="B1631" s="1" t="s">
        <v>3273</v>
      </c>
      <c r="C1631" s="3">
        <v>200</v>
      </c>
      <c r="D1631" s="3" t="str">
        <f ca="1">IF(B1631="","",IFERROR(_xludf.XLOOKUP(_xludf.XLOOKUP(B1631,Inventory!$A:$A,Inventory!$B:$B),Blades!$A:$A,Blades!$C:$C)+_xludf.XLOOKUP(_xludf.XLOOKUP(B1631,Inventory!$A:$A,Inventory!$C:$C),Motor!$A:$A,Motor!$C:$C)+_xludf.XLOOKUP(_xludf.XLOOKUP(B1631,Inventory!$A:$A,Inventory!$D:$D),Frame!$A:$A,Frame!$C:$C)+#REF!,""))</f>
        <v/>
      </c>
      <c r="E1631" s="4">
        <v>45384</v>
      </c>
      <c r="F1631" s="1" t="s">
        <v>25</v>
      </c>
    </row>
    <row r="1632" spans="1:6" x14ac:dyDescent="0.25">
      <c r="A1632" s="1" t="s">
        <v>3274</v>
      </c>
      <c r="B1632" s="1" t="s">
        <v>3275</v>
      </c>
      <c r="C1632" s="3">
        <v>200</v>
      </c>
      <c r="D1632" s="3" t="str">
        <f ca="1">IF(B1632="","",IFERROR(_xludf.XLOOKUP(_xludf.XLOOKUP(B1632,Inventory!$A:$A,Inventory!$B:$B),Blades!$A:$A,Blades!$C:$C)+_xludf.XLOOKUP(_xludf.XLOOKUP(B1632,Inventory!$A:$A,Inventory!$C:$C),Motor!$A:$A,Motor!$C:$C)+_xludf.XLOOKUP(_xludf.XLOOKUP(B1632,Inventory!$A:$A,Inventory!$D:$D),Frame!$A:$A,Frame!$C:$C)+#REF!,""))</f>
        <v/>
      </c>
      <c r="E1632" s="4">
        <v>45385</v>
      </c>
      <c r="F1632" s="1" t="s">
        <v>8</v>
      </c>
    </row>
    <row r="1633" spans="1:6" x14ac:dyDescent="0.25">
      <c r="A1633" s="1" t="s">
        <v>3276</v>
      </c>
      <c r="B1633" s="1" t="s">
        <v>3277</v>
      </c>
      <c r="C1633" s="3">
        <v>200</v>
      </c>
      <c r="D1633" s="3" t="str">
        <f ca="1">IF(B1633="","",IFERROR(_xludf.XLOOKUP(_xludf.XLOOKUP(B1633,Inventory!$A:$A,Inventory!$B:$B),Blades!$A:$A,Blades!$C:$C)+_xludf.XLOOKUP(_xludf.XLOOKUP(B1633,Inventory!$A:$A,Inventory!$C:$C),Motor!$A:$A,Motor!$C:$C)+_xludf.XLOOKUP(_xludf.XLOOKUP(B1633,Inventory!$A:$A,Inventory!$D:$D),Frame!$A:$A,Frame!$C:$C)+#REF!,""))</f>
        <v/>
      </c>
      <c r="E1633" s="4">
        <v>45385</v>
      </c>
      <c r="F1633" s="1" t="s">
        <v>32</v>
      </c>
    </row>
    <row r="1634" spans="1:6" x14ac:dyDescent="0.25">
      <c r="A1634" s="1" t="s">
        <v>3278</v>
      </c>
      <c r="B1634" s="1" t="s">
        <v>3279</v>
      </c>
      <c r="C1634" s="3">
        <v>200</v>
      </c>
      <c r="D1634" s="3" t="str">
        <f ca="1">IF(B1634="","",IFERROR(_xludf.XLOOKUP(_xludf.XLOOKUP(B1634,Inventory!$A:$A,Inventory!$B:$B),Blades!$A:$A,Blades!$C:$C)+_xludf.XLOOKUP(_xludf.XLOOKUP(B1634,Inventory!$A:$A,Inventory!$C:$C),Motor!$A:$A,Motor!$C:$C)+_xludf.XLOOKUP(_xludf.XLOOKUP(B1634,Inventory!$A:$A,Inventory!$D:$D),Frame!$A:$A,Frame!$C:$C)+#REF!,""))</f>
        <v/>
      </c>
      <c r="E1634" s="4">
        <v>45388</v>
      </c>
      <c r="F1634" s="1" t="s">
        <v>20</v>
      </c>
    </row>
    <row r="1635" spans="1:6" x14ac:dyDescent="0.25">
      <c r="A1635" s="1" t="s">
        <v>3280</v>
      </c>
      <c r="B1635" s="1" t="s">
        <v>3281</v>
      </c>
      <c r="C1635" s="3">
        <v>200</v>
      </c>
      <c r="D1635" s="3" t="str">
        <f ca="1">IF(B1635="","",IFERROR(_xludf.XLOOKUP(_xludf.XLOOKUP(B1635,Inventory!$A:$A,Inventory!$B:$B),Blades!$A:$A,Blades!$C:$C)+_xludf.XLOOKUP(_xludf.XLOOKUP(B1635,Inventory!$A:$A,Inventory!$C:$C),Motor!$A:$A,Motor!$C:$C)+_xludf.XLOOKUP(_xludf.XLOOKUP(B1635,Inventory!$A:$A,Inventory!$D:$D),Frame!$A:$A,Frame!$C:$C)+#REF!,""))</f>
        <v/>
      </c>
      <c r="E1635" s="4">
        <v>45390</v>
      </c>
      <c r="F1635" s="1" t="s">
        <v>52</v>
      </c>
    </row>
    <row r="1636" spans="1:6" x14ac:dyDescent="0.25">
      <c r="A1636" s="1" t="s">
        <v>3282</v>
      </c>
      <c r="B1636" s="1" t="s">
        <v>3283</v>
      </c>
      <c r="C1636" s="3">
        <v>200</v>
      </c>
      <c r="D1636" s="3" t="str">
        <f ca="1">IF(B1636="","",IFERROR(_xludf.XLOOKUP(_xludf.XLOOKUP(B1636,Inventory!$A:$A,Inventory!$B:$B),Blades!$A:$A,Blades!$C:$C)+_xludf.XLOOKUP(_xludf.XLOOKUP(B1636,Inventory!$A:$A,Inventory!$C:$C),Motor!$A:$A,Motor!$C:$C)+_xludf.XLOOKUP(_xludf.XLOOKUP(B1636,Inventory!$A:$A,Inventory!$D:$D),Frame!$A:$A,Frame!$C:$C)+#REF!,""))</f>
        <v/>
      </c>
      <c r="E1636" s="4">
        <v>45390</v>
      </c>
      <c r="F1636" s="1" t="s">
        <v>63</v>
      </c>
    </row>
    <row r="1637" spans="1:6" x14ac:dyDescent="0.25">
      <c r="A1637" s="1" t="s">
        <v>3284</v>
      </c>
      <c r="B1637" s="1" t="s">
        <v>3285</v>
      </c>
      <c r="C1637" s="3">
        <v>200</v>
      </c>
      <c r="D1637" s="3" t="str">
        <f ca="1">IF(B1637="","",IFERROR(_xludf.XLOOKUP(_xludf.XLOOKUP(B1637,Inventory!$A:$A,Inventory!$B:$B),Blades!$A:$A,Blades!$C:$C)+_xludf.XLOOKUP(_xludf.XLOOKUP(B1637,Inventory!$A:$A,Inventory!$C:$C),Motor!$A:$A,Motor!$C:$C)+_xludf.XLOOKUP(_xludf.XLOOKUP(B1637,Inventory!$A:$A,Inventory!$D:$D),Frame!$A:$A,Frame!$C:$C)+#REF!,""))</f>
        <v/>
      </c>
      <c r="E1637" s="4">
        <v>45390</v>
      </c>
      <c r="F1637" s="1" t="s">
        <v>63</v>
      </c>
    </row>
    <row r="1638" spans="1:6" x14ac:dyDescent="0.25">
      <c r="A1638" s="1" t="s">
        <v>3286</v>
      </c>
      <c r="B1638" s="1" t="s">
        <v>3287</v>
      </c>
      <c r="C1638" s="3">
        <v>200</v>
      </c>
      <c r="D1638" s="3" t="str">
        <f ca="1">IF(B1638="","",IFERROR(_xludf.XLOOKUP(_xludf.XLOOKUP(B1638,Inventory!$A:$A,Inventory!$B:$B),Blades!$A:$A,Blades!$C:$C)+_xludf.XLOOKUP(_xludf.XLOOKUP(B1638,Inventory!$A:$A,Inventory!$C:$C),Motor!$A:$A,Motor!$C:$C)+_xludf.XLOOKUP(_xludf.XLOOKUP(B1638,Inventory!$A:$A,Inventory!$D:$D),Frame!$A:$A,Frame!$C:$C)+#REF!,""))</f>
        <v/>
      </c>
      <c r="E1638" s="4">
        <v>45390</v>
      </c>
      <c r="F1638" s="1" t="s">
        <v>11</v>
      </c>
    </row>
    <row r="1639" spans="1:6" x14ac:dyDescent="0.25">
      <c r="A1639" s="1" t="s">
        <v>3288</v>
      </c>
      <c r="B1639" s="1" t="s">
        <v>3289</v>
      </c>
      <c r="C1639" s="3">
        <v>200</v>
      </c>
      <c r="D1639" s="3" t="str">
        <f ca="1">IF(B1639="","",IFERROR(_xludf.XLOOKUP(_xludf.XLOOKUP(B1639,Inventory!$A:$A,Inventory!$B:$B),Blades!$A:$A,Blades!$C:$C)+_xludf.XLOOKUP(_xludf.XLOOKUP(B1639,Inventory!$A:$A,Inventory!$C:$C),Motor!$A:$A,Motor!$C:$C)+_xludf.XLOOKUP(_xludf.XLOOKUP(B1639,Inventory!$A:$A,Inventory!$D:$D),Frame!$A:$A,Frame!$C:$C)+#REF!,""))</f>
        <v/>
      </c>
      <c r="E1639" s="4">
        <v>45390</v>
      </c>
      <c r="F1639" s="1" t="s">
        <v>32</v>
      </c>
    </row>
    <row r="1640" spans="1:6" x14ac:dyDescent="0.25">
      <c r="A1640" s="1" t="s">
        <v>3290</v>
      </c>
      <c r="B1640" s="1" t="s">
        <v>3291</v>
      </c>
      <c r="C1640" s="3">
        <v>200</v>
      </c>
      <c r="D1640" s="3" t="str">
        <f ca="1">IF(B1640="","",IFERROR(_xludf.XLOOKUP(_xludf.XLOOKUP(B1640,Inventory!$A:$A,Inventory!$B:$B),Blades!$A:$A,Blades!$C:$C)+_xludf.XLOOKUP(_xludf.XLOOKUP(B1640,Inventory!$A:$A,Inventory!$C:$C),Motor!$A:$A,Motor!$C:$C)+_xludf.XLOOKUP(_xludf.XLOOKUP(B1640,Inventory!$A:$A,Inventory!$D:$D),Frame!$A:$A,Frame!$C:$C)+#REF!,""))</f>
        <v/>
      </c>
      <c r="E1640" s="4">
        <v>45391</v>
      </c>
      <c r="F1640" s="1" t="s">
        <v>63</v>
      </c>
    </row>
    <row r="1641" spans="1:6" x14ac:dyDescent="0.25">
      <c r="A1641" s="1" t="s">
        <v>3292</v>
      </c>
      <c r="B1641" s="1" t="s">
        <v>3293</v>
      </c>
      <c r="C1641" s="3">
        <v>200</v>
      </c>
      <c r="D1641" s="3" t="str">
        <f ca="1">IF(B1641="","",IFERROR(_xludf.XLOOKUP(_xludf.XLOOKUP(B1641,Inventory!$A:$A,Inventory!$B:$B),Blades!$A:$A,Blades!$C:$C)+_xludf.XLOOKUP(_xludf.XLOOKUP(B1641,Inventory!$A:$A,Inventory!$C:$C),Motor!$A:$A,Motor!$C:$C)+_xludf.XLOOKUP(_xludf.XLOOKUP(B1641,Inventory!$A:$A,Inventory!$D:$D),Frame!$A:$A,Frame!$C:$C)+#REF!,""))</f>
        <v/>
      </c>
      <c r="E1641" s="4">
        <v>45391</v>
      </c>
      <c r="F1641" s="1" t="s">
        <v>11</v>
      </c>
    </row>
    <row r="1642" spans="1:6" x14ac:dyDescent="0.25">
      <c r="A1642" s="1" t="s">
        <v>3294</v>
      </c>
      <c r="B1642" s="1" t="s">
        <v>3295</v>
      </c>
      <c r="C1642" s="3">
        <v>200</v>
      </c>
      <c r="D1642" s="3" t="str">
        <f ca="1">IF(B1642="","",IFERROR(_xludf.XLOOKUP(_xludf.XLOOKUP(B1642,Inventory!$A:$A,Inventory!$B:$B),Blades!$A:$A,Blades!$C:$C)+_xludf.XLOOKUP(_xludf.XLOOKUP(B1642,Inventory!$A:$A,Inventory!$C:$C),Motor!$A:$A,Motor!$C:$C)+_xludf.XLOOKUP(_xludf.XLOOKUP(B1642,Inventory!$A:$A,Inventory!$D:$D),Frame!$A:$A,Frame!$C:$C)+#REF!,""))</f>
        <v/>
      </c>
      <c r="E1642" s="4">
        <v>45392</v>
      </c>
      <c r="F1642" s="1" t="s">
        <v>63</v>
      </c>
    </row>
    <row r="1643" spans="1:6" x14ac:dyDescent="0.25">
      <c r="A1643" s="1" t="s">
        <v>3296</v>
      </c>
      <c r="B1643" s="1" t="s">
        <v>3297</v>
      </c>
      <c r="C1643" s="3">
        <v>200</v>
      </c>
      <c r="D1643" s="3" t="str">
        <f ca="1">IF(B1643="","",IFERROR(_xludf.XLOOKUP(_xludf.XLOOKUP(B1643,Inventory!$A:$A,Inventory!$B:$B),Blades!$A:$A,Blades!$C:$C)+_xludf.XLOOKUP(_xludf.XLOOKUP(B1643,Inventory!$A:$A,Inventory!$C:$C),Motor!$A:$A,Motor!$C:$C)+_xludf.XLOOKUP(_xludf.XLOOKUP(B1643,Inventory!$A:$A,Inventory!$D:$D),Frame!$A:$A,Frame!$C:$C)+#REF!,""))</f>
        <v/>
      </c>
      <c r="E1643" s="4">
        <v>45392</v>
      </c>
      <c r="F1643" s="1" t="s">
        <v>32</v>
      </c>
    </row>
    <row r="1644" spans="1:6" x14ac:dyDescent="0.25">
      <c r="A1644" s="1" t="s">
        <v>3298</v>
      </c>
      <c r="B1644" s="1" t="s">
        <v>3299</v>
      </c>
      <c r="C1644" s="3">
        <v>200</v>
      </c>
      <c r="D1644" s="3" t="str">
        <f ca="1">IF(B1644="","",IFERROR(_xludf.XLOOKUP(_xludf.XLOOKUP(B1644,Inventory!$A:$A,Inventory!$B:$B),Blades!$A:$A,Blades!$C:$C)+_xludf.XLOOKUP(_xludf.XLOOKUP(B1644,Inventory!$A:$A,Inventory!$C:$C),Motor!$A:$A,Motor!$C:$C)+_xludf.XLOOKUP(_xludf.XLOOKUP(B1644,Inventory!$A:$A,Inventory!$D:$D),Frame!$A:$A,Frame!$C:$C)+#REF!,""))</f>
        <v/>
      </c>
      <c r="E1644" s="4">
        <v>45395</v>
      </c>
      <c r="F1644" s="1" t="s">
        <v>8</v>
      </c>
    </row>
    <row r="1645" spans="1:6" x14ac:dyDescent="0.25">
      <c r="A1645" s="1" t="s">
        <v>3300</v>
      </c>
      <c r="B1645" s="1" t="s">
        <v>3301</v>
      </c>
      <c r="C1645" s="3">
        <v>200</v>
      </c>
      <c r="D1645" s="3" t="str">
        <f ca="1">IF(B1645="","",IFERROR(_xludf.XLOOKUP(_xludf.XLOOKUP(B1645,Inventory!$A:$A,Inventory!$B:$B),Blades!$A:$A,Blades!$C:$C)+_xludf.XLOOKUP(_xludf.XLOOKUP(B1645,Inventory!$A:$A,Inventory!$C:$C),Motor!$A:$A,Motor!$C:$C)+_xludf.XLOOKUP(_xludf.XLOOKUP(B1645,Inventory!$A:$A,Inventory!$D:$D),Frame!$A:$A,Frame!$C:$C)+#REF!,""))</f>
        <v/>
      </c>
      <c r="E1645" s="4">
        <v>45396</v>
      </c>
      <c r="F1645" s="1" t="s">
        <v>32</v>
      </c>
    </row>
    <row r="1646" spans="1:6" x14ac:dyDescent="0.25">
      <c r="A1646" s="1" t="s">
        <v>3302</v>
      </c>
      <c r="B1646" s="1" t="s">
        <v>3303</v>
      </c>
      <c r="C1646" s="3">
        <v>200</v>
      </c>
      <c r="D1646" s="3" t="str">
        <f ca="1">IF(B1646="","",IFERROR(_xludf.XLOOKUP(_xludf.XLOOKUP(B1646,Inventory!$A:$A,Inventory!$B:$B),Blades!$A:$A,Blades!$C:$C)+_xludf.XLOOKUP(_xludf.XLOOKUP(B1646,Inventory!$A:$A,Inventory!$C:$C),Motor!$A:$A,Motor!$C:$C)+_xludf.XLOOKUP(_xludf.XLOOKUP(B1646,Inventory!$A:$A,Inventory!$D:$D),Frame!$A:$A,Frame!$C:$C)+#REF!,""))</f>
        <v/>
      </c>
      <c r="E1646" s="4">
        <v>45397</v>
      </c>
      <c r="F1646" s="1" t="s">
        <v>20</v>
      </c>
    </row>
    <row r="1647" spans="1:6" x14ac:dyDescent="0.25">
      <c r="A1647" s="1" t="s">
        <v>3304</v>
      </c>
      <c r="B1647" s="1" t="s">
        <v>3305</v>
      </c>
      <c r="C1647" s="3">
        <v>200</v>
      </c>
      <c r="D1647" s="3" t="str">
        <f ca="1">IF(B1647="","",IFERROR(_xludf.XLOOKUP(_xludf.XLOOKUP(B1647,Inventory!$A:$A,Inventory!$B:$B),Blades!$A:$A,Blades!$C:$C)+_xludf.XLOOKUP(_xludf.XLOOKUP(B1647,Inventory!$A:$A,Inventory!$C:$C),Motor!$A:$A,Motor!$C:$C)+_xludf.XLOOKUP(_xludf.XLOOKUP(B1647,Inventory!$A:$A,Inventory!$D:$D),Frame!$A:$A,Frame!$C:$C)+#REF!,""))</f>
        <v/>
      </c>
      <c r="E1647" s="4">
        <v>45399</v>
      </c>
      <c r="F1647" s="1" t="s">
        <v>32</v>
      </c>
    </row>
    <row r="1648" spans="1:6" x14ac:dyDescent="0.25">
      <c r="A1648" s="1" t="s">
        <v>3306</v>
      </c>
      <c r="B1648" s="1" t="s">
        <v>3307</v>
      </c>
      <c r="C1648" s="3">
        <v>200</v>
      </c>
      <c r="D1648" s="3" t="str">
        <f ca="1">IF(B1648="","",IFERROR(_xludf.XLOOKUP(_xludf.XLOOKUP(B1648,Inventory!$A:$A,Inventory!$B:$B),Blades!$A:$A,Blades!$C:$C)+_xludf.XLOOKUP(_xludf.XLOOKUP(B1648,Inventory!$A:$A,Inventory!$C:$C),Motor!$A:$A,Motor!$C:$C)+_xludf.XLOOKUP(_xludf.XLOOKUP(B1648,Inventory!$A:$A,Inventory!$D:$D),Frame!$A:$A,Frame!$C:$C)+#REF!,""))</f>
        <v/>
      </c>
      <c r="E1648" s="4">
        <v>45399</v>
      </c>
      <c r="F1648" s="1" t="s">
        <v>11</v>
      </c>
    </row>
    <row r="1649" spans="1:6" x14ac:dyDescent="0.25">
      <c r="A1649" s="1" t="s">
        <v>3308</v>
      </c>
      <c r="B1649" s="1" t="s">
        <v>3309</v>
      </c>
      <c r="C1649" s="3">
        <v>200</v>
      </c>
      <c r="D1649" s="3" t="str">
        <f ca="1">IF(B1649="","",IFERROR(_xludf.XLOOKUP(_xludf.XLOOKUP(B1649,Inventory!$A:$A,Inventory!$B:$B),Blades!$A:$A,Blades!$C:$C)+_xludf.XLOOKUP(_xludf.XLOOKUP(B1649,Inventory!$A:$A,Inventory!$C:$C),Motor!$A:$A,Motor!$C:$C)+_xludf.XLOOKUP(_xludf.XLOOKUP(B1649,Inventory!$A:$A,Inventory!$D:$D),Frame!$A:$A,Frame!$C:$C)+#REF!,""))</f>
        <v/>
      </c>
      <c r="E1649" s="4">
        <v>45399</v>
      </c>
      <c r="F1649" s="1" t="s">
        <v>11</v>
      </c>
    </row>
    <row r="1650" spans="1:6" x14ac:dyDescent="0.25">
      <c r="A1650" s="1" t="s">
        <v>3310</v>
      </c>
      <c r="B1650" s="1" t="s">
        <v>3311</v>
      </c>
      <c r="C1650" s="3">
        <v>200</v>
      </c>
      <c r="D1650" s="3" t="str">
        <f ca="1">IF(B1650="","",IFERROR(_xludf.XLOOKUP(_xludf.XLOOKUP(B1650,Inventory!$A:$A,Inventory!$B:$B),Blades!$A:$A,Blades!$C:$C)+_xludf.XLOOKUP(_xludf.XLOOKUP(B1650,Inventory!$A:$A,Inventory!$C:$C),Motor!$A:$A,Motor!$C:$C)+_xludf.XLOOKUP(_xludf.XLOOKUP(B1650,Inventory!$A:$A,Inventory!$D:$D),Frame!$A:$A,Frame!$C:$C)+#REF!,""))</f>
        <v/>
      </c>
      <c r="E1650" s="4">
        <v>45400</v>
      </c>
      <c r="F1650" s="1" t="s">
        <v>25</v>
      </c>
    </row>
    <row r="1651" spans="1:6" x14ac:dyDescent="0.25">
      <c r="A1651" s="1" t="s">
        <v>3312</v>
      </c>
      <c r="B1651" s="1" t="s">
        <v>3313</v>
      </c>
      <c r="C1651" s="3">
        <v>200</v>
      </c>
      <c r="D1651" s="3" t="str">
        <f ca="1">IF(B1651="","",IFERROR(_xludf.XLOOKUP(_xludf.XLOOKUP(B1651,Inventory!$A:$A,Inventory!$B:$B),Blades!$A:$A,Blades!$C:$C)+_xludf.XLOOKUP(_xludf.XLOOKUP(B1651,Inventory!$A:$A,Inventory!$C:$C),Motor!$A:$A,Motor!$C:$C)+_xludf.XLOOKUP(_xludf.XLOOKUP(B1651,Inventory!$A:$A,Inventory!$D:$D),Frame!$A:$A,Frame!$C:$C)+#REF!,""))</f>
        <v/>
      </c>
      <c r="E1651" s="4">
        <v>45400</v>
      </c>
      <c r="F1651" s="1" t="s">
        <v>63</v>
      </c>
    </row>
    <row r="1652" spans="1:6" x14ac:dyDescent="0.25">
      <c r="A1652" s="1" t="s">
        <v>3314</v>
      </c>
      <c r="B1652" s="1" t="s">
        <v>3315</v>
      </c>
      <c r="C1652" s="3">
        <v>200</v>
      </c>
      <c r="D1652" s="3" t="str">
        <f ca="1">IF(B1652="","",IFERROR(_xludf.XLOOKUP(_xludf.XLOOKUP(B1652,Inventory!$A:$A,Inventory!$B:$B),Blades!$A:$A,Blades!$C:$C)+_xludf.XLOOKUP(_xludf.XLOOKUP(B1652,Inventory!$A:$A,Inventory!$C:$C),Motor!$A:$A,Motor!$C:$C)+_xludf.XLOOKUP(_xludf.XLOOKUP(B1652,Inventory!$A:$A,Inventory!$D:$D),Frame!$A:$A,Frame!$C:$C)+#REF!,""))</f>
        <v/>
      </c>
      <c r="E1652" s="4">
        <v>45401</v>
      </c>
      <c r="F1652" s="1" t="s">
        <v>20</v>
      </c>
    </row>
    <row r="1653" spans="1:6" x14ac:dyDescent="0.25">
      <c r="A1653" s="1" t="s">
        <v>3316</v>
      </c>
      <c r="B1653" s="1" t="s">
        <v>3317</v>
      </c>
      <c r="C1653" s="3">
        <v>200</v>
      </c>
      <c r="D1653" s="3" t="str">
        <f ca="1">IF(B1653="","",IFERROR(_xludf.XLOOKUP(_xludf.XLOOKUP(B1653,Inventory!$A:$A,Inventory!$B:$B),Blades!$A:$A,Blades!$C:$C)+_xludf.XLOOKUP(_xludf.XLOOKUP(B1653,Inventory!$A:$A,Inventory!$C:$C),Motor!$A:$A,Motor!$C:$C)+_xludf.XLOOKUP(_xludf.XLOOKUP(B1653,Inventory!$A:$A,Inventory!$D:$D),Frame!$A:$A,Frame!$C:$C)+#REF!,""))</f>
        <v/>
      </c>
      <c r="E1653" s="4">
        <v>45402</v>
      </c>
      <c r="F1653" s="1" t="s">
        <v>49</v>
      </c>
    </row>
    <row r="1654" spans="1:6" x14ac:dyDescent="0.25">
      <c r="A1654" s="1" t="s">
        <v>3318</v>
      </c>
      <c r="B1654" s="1" t="s">
        <v>3319</v>
      </c>
      <c r="C1654" s="3">
        <v>200</v>
      </c>
      <c r="D1654" s="3" t="str">
        <f ca="1">IF(B1654="","",IFERROR(_xludf.XLOOKUP(_xludf.XLOOKUP(B1654,Inventory!$A:$A,Inventory!$B:$B),Blades!$A:$A,Blades!$C:$C)+_xludf.XLOOKUP(_xludf.XLOOKUP(B1654,Inventory!$A:$A,Inventory!$C:$C),Motor!$A:$A,Motor!$C:$C)+_xludf.XLOOKUP(_xludf.XLOOKUP(B1654,Inventory!$A:$A,Inventory!$D:$D),Frame!$A:$A,Frame!$C:$C)+#REF!,""))</f>
        <v/>
      </c>
      <c r="E1654" s="4">
        <v>45405</v>
      </c>
      <c r="F1654" s="1" t="s">
        <v>20</v>
      </c>
    </row>
    <row r="1655" spans="1:6" x14ac:dyDescent="0.25">
      <c r="A1655" s="1" t="s">
        <v>3320</v>
      </c>
      <c r="B1655" s="1" t="s">
        <v>3321</v>
      </c>
      <c r="C1655" s="3">
        <v>200</v>
      </c>
      <c r="D1655" s="3" t="str">
        <f ca="1">IF(B1655="","",IFERROR(_xludf.XLOOKUP(_xludf.XLOOKUP(B1655,Inventory!$A:$A,Inventory!$B:$B),Blades!$A:$A,Blades!$C:$C)+_xludf.XLOOKUP(_xludf.XLOOKUP(B1655,Inventory!$A:$A,Inventory!$C:$C),Motor!$A:$A,Motor!$C:$C)+_xludf.XLOOKUP(_xludf.XLOOKUP(B1655,Inventory!$A:$A,Inventory!$D:$D),Frame!$A:$A,Frame!$C:$C)+#REF!,""))</f>
        <v/>
      </c>
      <c r="E1655" s="4">
        <v>45405</v>
      </c>
      <c r="F1655" s="1" t="s">
        <v>11</v>
      </c>
    </row>
    <row r="1656" spans="1:6" x14ac:dyDescent="0.25">
      <c r="A1656" s="1" t="s">
        <v>3322</v>
      </c>
      <c r="B1656" s="1" t="s">
        <v>3323</v>
      </c>
      <c r="C1656" s="3">
        <v>200</v>
      </c>
      <c r="D1656" s="3" t="str">
        <f ca="1">IF(B1656="","",IFERROR(_xludf.XLOOKUP(_xludf.XLOOKUP(B1656,Inventory!$A:$A,Inventory!$B:$B),Blades!$A:$A,Blades!$C:$C)+_xludf.XLOOKUP(_xludf.XLOOKUP(B1656,Inventory!$A:$A,Inventory!$C:$C),Motor!$A:$A,Motor!$C:$C)+_xludf.XLOOKUP(_xludf.XLOOKUP(B1656,Inventory!$A:$A,Inventory!$D:$D),Frame!$A:$A,Frame!$C:$C)+#REF!,""))</f>
        <v/>
      </c>
      <c r="E1656" s="4">
        <v>45406</v>
      </c>
      <c r="F1656" s="1" t="s">
        <v>32</v>
      </c>
    </row>
    <row r="1657" spans="1:6" x14ac:dyDescent="0.25">
      <c r="A1657" s="1" t="s">
        <v>3324</v>
      </c>
      <c r="B1657" s="1" t="s">
        <v>3325</v>
      </c>
      <c r="C1657" s="3">
        <v>200</v>
      </c>
      <c r="D1657" s="3" t="str">
        <f ca="1">IF(B1657="","",IFERROR(_xludf.XLOOKUP(_xludf.XLOOKUP(B1657,Inventory!$A:$A,Inventory!$B:$B),Blades!$A:$A,Blades!$C:$C)+_xludf.XLOOKUP(_xludf.XLOOKUP(B1657,Inventory!$A:$A,Inventory!$C:$C),Motor!$A:$A,Motor!$C:$C)+_xludf.XLOOKUP(_xludf.XLOOKUP(B1657,Inventory!$A:$A,Inventory!$D:$D),Frame!$A:$A,Frame!$C:$C)+#REF!,""))</f>
        <v/>
      </c>
      <c r="E1657" s="4">
        <v>45407</v>
      </c>
      <c r="F1657" s="1" t="s">
        <v>52</v>
      </c>
    </row>
    <row r="1658" spans="1:6" x14ac:dyDescent="0.25">
      <c r="A1658" s="1" t="s">
        <v>3326</v>
      </c>
      <c r="B1658" s="1" t="s">
        <v>3327</v>
      </c>
      <c r="C1658" s="3">
        <v>200</v>
      </c>
      <c r="D1658" s="3" t="str">
        <f ca="1">IF(B1658="","",IFERROR(_xludf.XLOOKUP(_xludf.XLOOKUP(B1658,Inventory!$A:$A,Inventory!$B:$B),Blades!$A:$A,Blades!$C:$C)+_xludf.XLOOKUP(_xludf.XLOOKUP(B1658,Inventory!$A:$A,Inventory!$C:$C),Motor!$A:$A,Motor!$C:$C)+_xludf.XLOOKUP(_xludf.XLOOKUP(B1658,Inventory!$A:$A,Inventory!$D:$D),Frame!$A:$A,Frame!$C:$C)+#REF!,""))</f>
        <v/>
      </c>
      <c r="E1658" s="4">
        <v>45408</v>
      </c>
      <c r="F1658" s="1" t="s">
        <v>8</v>
      </c>
    </row>
    <row r="1659" spans="1:6" x14ac:dyDescent="0.25">
      <c r="A1659" s="1" t="s">
        <v>3328</v>
      </c>
      <c r="B1659" s="1" t="s">
        <v>3329</v>
      </c>
      <c r="C1659" s="3">
        <v>200</v>
      </c>
      <c r="D1659" s="3" t="str">
        <f ca="1">IF(B1659="","",IFERROR(_xludf.XLOOKUP(_xludf.XLOOKUP(B1659,Inventory!$A:$A,Inventory!$B:$B),Blades!$A:$A,Blades!$C:$C)+_xludf.XLOOKUP(_xludf.XLOOKUP(B1659,Inventory!$A:$A,Inventory!$C:$C),Motor!$A:$A,Motor!$C:$C)+_xludf.XLOOKUP(_xludf.XLOOKUP(B1659,Inventory!$A:$A,Inventory!$D:$D),Frame!$A:$A,Frame!$C:$C)+#REF!,""))</f>
        <v/>
      </c>
      <c r="E1659" s="4">
        <v>45411</v>
      </c>
      <c r="F1659" s="1" t="s">
        <v>49</v>
      </c>
    </row>
    <row r="1660" spans="1:6" x14ac:dyDescent="0.25">
      <c r="A1660" s="1" t="s">
        <v>3330</v>
      </c>
      <c r="B1660" s="1" t="s">
        <v>3331</v>
      </c>
      <c r="C1660" s="3">
        <v>200</v>
      </c>
      <c r="D1660" s="3" t="str">
        <f ca="1">IF(B1660="","",IFERROR(_xludf.XLOOKUP(_xludf.XLOOKUP(B1660,Inventory!$A:$A,Inventory!$B:$B),Blades!$A:$A,Blades!$C:$C)+_xludf.XLOOKUP(_xludf.XLOOKUP(B1660,Inventory!$A:$A,Inventory!$C:$C),Motor!$A:$A,Motor!$C:$C)+_xludf.XLOOKUP(_xludf.XLOOKUP(B1660,Inventory!$A:$A,Inventory!$D:$D),Frame!$A:$A,Frame!$C:$C)+#REF!,""))</f>
        <v/>
      </c>
      <c r="E1660" s="4">
        <v>45411</v>
      </c>
      <c r="F1660" s="1" t="s">
        <v>49</v>
      </c>
    </row>
    <row r="1661" spans="1:6" x14ac:dyDescent="0.25">
      <c r="A1661" s="1" t="s">
        <v>3332</v>
      </c>
      <c r="B1661" s="1" t="s">
        <v>3333</v>
      </c>
      <c r="C1661" s="3">
        <v>200</v>
      </c>
      <c r="D1661" s="3" t="str">
        <f ca="1">IF(B1661="","",IFERROR(_xludf.XLOOKUP(_xludf.XLOOKUP(B1661,Inventory!$A:$A,Inventory!$B:$B),Blades!$A:$A,Blades!$C:$C)+_xludf.XLOOKUP(_xludf.XLOOKUP(B1661,Inventory!$A:$A,Inventory!$C:$C),Motor!$A:$A,Motor!$C:$C)+_xludf.XLOOKUP(_xludf.XLOOKUP(B1661,Inventory!$A:$A,Inventory!$D:$D),Frame!$A:$A,Frame!$C:$C)+#REF!,""))</f>
        <v/>
      </c>
      <c r="E1661" s="4">
        <v>45411</v>
      </c>
      <c r="F1661" s="1" t="s">
        <v>11</v>
      </c>
    </row>
    <row r="1662" spans="1:6" x14ac:dyDescent="0.25">
      <c r="A1662" s="1" t="s">
        <v>3334</v>
      </c>
      <c r="B1662" s="1" t="s">
        <v>3335</v>
      </c>
      <c r="C1662" s="3">
        <v>200</v>
      </c>
      <c r="D1662" s="3" t="str">
        <f ca="1">IF(B1662="","",IFERROR(_xludf.XLOOKUP(_xludf.XLOOKUP(B1662,Inventory!$A:$A,Inventory!$B:$B),Blades!$A:$A,Blades!$C:$C)+_xludf.XLOOKUP(_xludf.XLOOKUP(B1662,Inventory!$A:$A,Inventory!$C:$C),Motor!$A:$A,Motor!$C:$C)+_xludf.XLOOKUP(_xludf.XLOOKUP(B1662,Inventory!$A:$A,Inventory!$D:$D),Frame!$A:$A,Frame!$C:$C)+#REF!,""))</f>
        <v/>
      </c>
      <c r="E1662" s="4">
        <v>45411</v>
      </c>
      <c r="F1662" s="1" t="s">
        <v>8</v>
      </c>
    </row>
    <row r="1663" spans="1:6" x14ac:dyDescent="0.25">
      <c r="A1663" s="1" t="s">
        <v>3336</v>
      </c>
      <c r="B1663" s="1" t="s">
        <v>3337</v>
      </c>
      <c r="C1663" s="3">
        <v>200</v>
      </c>
      <c r="D1663" s="3" t="str">
        <f ca="1">IF(B1663="","",IFERROR(_xludf.XLOOKUP(_xludf.XLOOKUP(B1663,Inventory!$A:$A,Inventory!$B:$B),Blades!$A:$A,Blades!$C:$C)+_xludf.XLOOKUP(_xludf.XLOOKUP(B1663,Inventory!$A:$A,Inventory!$C:$C),Motor!$A:$A,Motor!$C:$C)+_xludf.XLOOKUP(_xludf.XLOOKUP(B1663,Inventory!$A:$A,Inventory!$D:$D),Frame!$A:$A,Frame!$C:$C)+#REF!,""))</f>
        <v/>
      </c>
      <c r="E1663" s="4">
        <v>45411</v>
      </c>
      <c r="F1663" s="1" t="s">
        <v>20</v>
      </c>
    </row>
    <row r="1664" spans="1:6" x14ac:dyDescent="0.25">
      <c r="A1664" s="1" t="s">
        <v>3338</v>
      </c>
      <c r="B1664" s="1" t="s">
        <v>3339</v>
      </c>
      <c r="C1664" s="3">
        <v>200</v>
      </c>
      <c r="D1664" s="3" t="str">
        <f ca="1">IF(B1664="","",IFERROR(_xludf.XLOOKUP(_xludf.XLOOKUP(B1664,Inventory!$A:$A,Inventory!$B:$B),Blades!$A:$A,Blades!$C:$C)+_xludf.XLOOKUP(_xludf.XLOOKUP(B1664,Inventory!$A:$A,Inventory!$C:$C),Motor!$A:$A,Motor!$C:$C)+_xludf.XLOOKUP(_xludf.XLOOKUP(B1664,Inventory!$A:$A,Inventory!$D:$D),Frame!$A:$A,Frame!$C:$C)+#REF!,""))</f>
        <v/>
      </c>
      <c r="E1664" s="4">
        <v>45412</v>
      </c>
      <c r="F1664" s="1" t="s">
        <v>25</v>
      </c>
    </row>
    <row r="1665" spans="1:6" x14ac:dyDescent="0.25">
      <c r="A1665" s="1" t="s">
        <v>3340</v>
      </c>
      <c r="B1665" s="1" t="s">
        <v>3341</v>
      </c>
      <c r="C1665" s="3">
        <v>200</v>
      </c>
      <c r="D1665" s="3" t="str">
        <f ca="1">IF(B1665="","",IFERROR(_xludf.XLOOKUP(_xludf.XLOOKUP(B1665,Inventory!$A:$A,Inventory!$B:$B),Blades!$A:$A,Blades!$C:$C)+_xludf.XLOOKUP(_xludf.XLOOKUP(B1665,Inventory!$A:$A,Inventory!$C:$C),Motor!$A:$A,Motor!$C:$C)+_xludf.XLOOKUP(_xludf.XLOOKUP(B1665,Inventory!$A:$A,Inventory!$D:$D),Frame!$A:$A,Frame!$C:$C)+#REF!,""))</f>
        <v/>
      </c>
      <c r="E1665" s="4">
        <v>45413</v>
      </c>
      <c r="F1665" s="1" t="s">
        <v>8</v>
      </c>
    </row>
    <row r="1666" spans="1:6" x14ac:dyDescent="0.25">
      <c r="A1666" s="1" t="s">
        <v>3342</v>
      </c>
      <c r="B1666" s="1" t="s">
        <v>3343</v>
      </c>
      <c r="C1666" s="3">
        <v>200</v>
      </c>
      <c r="D1666" s="3" t="str">
        <f ca="1">IF(B1666="","",IFERROR(_xludf.XLOOKUP(_xludf.XLOOKUP(B1666,Inventory!$A:$A,Inventory!$B:$B),Blades!$A:$A,Blades!$C:$C)+_xludf.XLOOKUP(_xludf.XLOOKUP(B1666,Inventory!$A:$A,Inventory!$C:$C),Motor!$A:$A,Motor!$C:$C)+_xludf.XLOOKUP(_xludf.XLOOKUP(B1666,Inventory!$A:$A,Inventory!$D:$D),Frame!$A:$A,Frame!$C:$C)+#REF!,""))</f>
        <v/>
      </c>
      <c r="E1666" s="4">
        <v>45413</v>
      </c>
      <c r="F1666" s="1" t="s">
        <v>52</v>
      </c>
    </row>
    <row r="1667" spans="1:6" x14ac:dyDescent="0.25">
      <c r="A1667" s="1" t="s">
        <v>3344</v>
      </c>
      <c r="B1667" s="1" t="s">
        <v>3345</v>
      </c>
      <c r="C1667" s="3">
        <v>200</v>
      </c>
      <c r="D1667" s="3" t="str">
        <f ca="1">IF(B1667="","",IFERROR(_xludf.XLOOKUP(_xludf.XLOOKUP(B1667,Inventory!$A:$A,Inventory!$B:$B),Blades!$A:$A,Blades!$C:$C)+_xludf.XLOOKUP(_xludf.XLOOKUP(B1667,Inventory!$A:$A,Inventory!$C:$C),Motor!$A:$A,Motor!$C:$C)+_xludf.XLOOKUP(_xludf.XLOOKUP(B1667,Inventory!$A:$A,Inventory!$D:$D),Frame!$A:$A,Frame!$C:$C)+#REF!,""))</f>
        <v/>
      </c>
      <c r="E1667" s="4">
        <v>45414</v>
      </c>
      <c r="F1667" s="1" t="s">
        <v>11</v>
      </c>
    </row>
    <row r="1668" spans="1:6" x14ac:dyDescent="0.25">
      <c r="A1668" s="1" t="s">
        <v>3346</v>
      </c>
      <c r="B1668" s="1" t="s">
        <v>3347</v>
      </c>
      <c r="C1668" s="3">
        <v>200</v>
      </c>
      <c r="D1668" s="3" t="str">
        <f ca="1">IF(B1668="","",IFERROR(_xludf.XLOOKUP(_xludf.XLOOKUP(B1668,Inventory!$A:$A,Inventory!$B:$B),Blades!$A:$A,Blades!$C:$C)+_xludf.XLOOKUP(_xludf.XLOOKUP(B1668,Inventory!$A:$A,Inventory!$C:$C),Motor!$A:$A,Motor!$C:$C)+_xludf.XLOOKUP(_xludf.XLOOKUP(B1668,Inventory!$A:$A,Inventory!$D:$D),Frame!$A:$A,Frame!$C:$C)+#REF!,""))</f>
        <v/>
      </c>
      <c r="E1668" s="4">
        <v>45414</v>
      </c>
      <c r="F1668" s="1" t="s">
        <v>49</v>
      </c>
    </row>
    <row r="1669" spans="1:6" x14ac:dyDescent="0.25">
      <c r="A1669" s="1" t="s">
        <v>3348</v>
      </c>
      <c r="B1669" s="1" t="s">
        <v>3349</v>
      </c>
      <c r="C1669" s="3">
        <v>200</v>
      </c>
      <c r="D1669" s="3" t="str">
        <f ca="1">IF(B1669="","",IFERROR(_xludf.XLOOKUP(_xludf.XLOOKUP(B1669,Inventory!$A:$A,Inventory!$B:$B),Blades!$A:$A,Blades!$C:$C)+_xludf.XLOOKUP(_xludf.XLOOKUP(B1669,Inventory!$A:$A,Inventory!$C:$C),Motor!$A:$A,Motor!$C:$C)+_xludf.XLOOKUP(_xludf.XLOOKUP(B1669,Inventory!$A:$A,Inventory!$D:$D),Frame!$A:$A,Frame!$C:$C)+#REF!,""))</f>
        <v/>
      </c>
      <c r="E1669" s="4">
        <v>45417</v>
      </c>
      <c r="F1669" s="1" t="s">
        <v>63</v>
      </c>
    </row>
    <row r="1670" spans="1:6" x14ac:dyDescent="0.25">
      <c r="A1670" s="1" t="s">
        <v>3350</v>
      </c>
      <c r="B1670" s="1" t="s">
        <v>3351</v>
      </c>
      <c r="C1670" s="3">
        <v>200</v>
      </c>
      <c r="D1670" s="3" t="str">
        <f ca="1">IF(B1670="","",IFERROR(_xludf.XLOOKUP(_xludf.XLOOKUP(B1670,Inventory!$A:$A,Inventory!$B:$B),Blades!$A:$A,Blades!$C:$C)+_xludf.XLOOKUP(_xludf.XLOOKUP(B1670,Inventory!$A:$A,Inventory!$C:$C),Motor!$A:$A,Motor!$C:$C)+_xludf.XLOOKUP(_xludf.XLOOKUP(B1670,Inventory!$A:$A,Inventory!$D:$D),Frame!$A:$A,Frame!$C:$C)+#REF!,""))</f>
        <v/>
      </c>
      <c r="E1670" s="4">
        <v>45417</v>
      </c>
      <c r="F1670" s="1" t="s">
        <v>32</v>
      </c>
    </row>
    <row r="1671" spans="1:6" x14ac:dyDescent="0.25">
      <c r="A1671" s="1" t="s">
        <v>3352</v>
      </c>
      <c r="B1671" s="1" t="s">
        <v>3353</v>
      </c>
      <c r="C1671" s="3">
        <v>200</v>
      </c>
      <c r="D1671" s="3" t="str">
        <f ca="1">IF(B1671="","",IFERROR(_xludf.XLOOKUP(_xludf.XLOOKUP(B1671,Inventory!$A:$A,Inventory!$B:$B),Blades!$A:$A,Blades!$C:$C)+_xludf.XLOOKUP(_xludf.XLOOKUP(B1671,Inventory!$A:$A,Inventory!$C:$C),Motor!$A:$A,Motor!$C:$C)+_xludf.XLOOKUP(_xludf.XLOOKUP(B1671,Inventory!$A:$A,Inventory!$D:$D),Frame!$A:$A,Frame!$C:$C)+#REF!,""))</f>
        <v/>
      </c>
      <c r="E1671" s="4">
        <v>45417</v>
      </c>
      <c r="F1671" s="1" t="s">
        <v>49</v>
      </c>
    </row>
    <row r="1672" spans="1:6" x14ac:dyDescent="0.25">
      <c r="A1672" s="1" t="s">
        <v>3354</v>
      </c>
      <c r="B1672" s="1" t="s">
        <v>3355</v>
      </c>
      <c r="C1672" s="3">
        <v>200</v>
      </c>
      <c r="D1672" s="3" t="str">
        <f ca="1">IF(B1672="","",IFERROR(_xludf.XLOOKUP(_xludf.XLOOKUP(B1672,Inventory!$A:$A,Inventory!$B:$B),Blades!$A:$A,Blades!$C:$C)+_xludf.XLOOKUP(_xludf.XLOOKUP(B1672,Inventory!$A:$A,Inventory!$C:$C),Motor!$A:$A,Motor!$C:$C)+_xludf.XLOOKUP(_xludf.XLOOKUP(B1672,Inventory!$A:$A,Inventory!$D:$D),Frame!$A:$A,Frame!$C:$C)+#REF!,""))</f>
        <v/>
      </c>
      <c r="E1672" s="4">
        <v>45418</v>
      </c>
      <c r="F1672" s="1" t="s">
        <v>11</v>
      </c>
    </row>
    <row r="1673" spans="1:6" x14ac:dyDescent="0.25">
      <c r="A1673" s="1" t="s">
        <v>3356</v>
      </c>
      <c r="B1673" s="1" t="s">
        <v>3357</v>
      </c>
      <c r="C1673" s="3">
        <v>200</v>
      </c>
      <c r="D1673" s="3" t="str">
        <f ca="1">IF(B1673="","",IFERROR(_xludf.XLOOKUP(_xludf.XLOOKUP(B1673,Inventory!$A:$A,Inventory!$B:$B),Blades!$A:$A,Blades!$C:$C)+_xludf.XLOOKUP(_xludf.XLOOKUP(B1673,Inventory!$A:$A,Inventory!$C:$C),Motor!$A:$A,Motor!$C:$C)+_xludf.XLOOKUP(_xludf.XLOOKUP(B1673,Inventory!$A:$A,Inventory!$D:$D),Frame!$A:$A,Frame!$C:$C)+#REF!,""))</f>
        <v/>
      </c>
      <c r="E1673" s="4">
        <v>45418</v>
      </c>
      <c r="F1673" s="1" t="s">
        <v>20</v>
      </c>
    </row>
    <row r="1674" spans="1:6" x14ac:dyDescent="0.25">
      <c r="A1674" s="1" t="s">
        <v>3358</v>
      </c>
      <c r="B1674" s="1" t="s">
        <v>3359</v>
      </c>
      <c r="C1674" s="3">
        <v>200</v>
      </c>
      <c r="D1674" s="3" t="str">
        <f ca="1">IF(B1674="","",IFERROR(_xludf.XLOOKUP(_xludf.XLOOKUP(B1674,Inventory!$A:$A,Inventory!$B:$B),Blades!$A:$A,Blades!$C:$C)+_xludf.XLOOKUP(_xludf.XLOOKUP(B1674,Inventory!$A:$A,Inventory!$C:$C),Motor!$A:$A,Motor!$C:$C)+_xludf.XLOOKUP(_xludf.XLOOKUP(B1674,Inventory!$A:$A,Inventory!$D:$D),Frame!$A:$A,Frame!$C:$C)+#REF!,""))</f>
        <v/>
      </c>
      <c r="E1674" s="4">
        <v>45418</v>
      </c>
      <c r="F1674" s="1" t="s">
        <v>20</v>
      </c>
    </row>
    <row r="1675" spans="1:6" x14ac:dyDescent="0.25">
      <c r="A1675" s="1" t="s">
        <v>3360</v>
      </c>
      <c r="B1675" s="1" t="s">
        <v>3361</v>
      </c>
      <c r="C1675" s="3">
        <v>200</v>
      </c>
      <c r="D1675" s="3" t="str">
        <f ca="1">IF(B1675="","",IFERROR(_xludf.XLOOKUP(_xludf.XLOOKUP(B1675,Inventory!$A:$A,Inventory!$B:$B),Blades!$A:$A,Blades!$C:$C)+_xludf.XLOOKUP(_xludf.XLOOKUP(B1675,Inventory!$A:$A,Inventory!$C:$C),Motor!$A:$A,Motor!$C:$C)+_xludf.XLOOKUP(_xludf.XLOOKUP(B1675,Inventory!$A:$A,Inventory!$D:$D),Frame!$A:$A,Frame!$C:$C)+#REF!,""))</f>
        <v/>
      </c>
      <c r="E1675" s="4">
        <v>45419</v>
      </c>
      <c r="F1675" s="1" t="s">
        <v>11</v>
      </c>
    </row>
    <row r="1676" spans="1:6" x14ac:dyDescent="0.25">
      <c r="A1676" s="1" t="s">
        <v>3362</v>
      </c>
      <c r="B1676" s="1" t="s">
        <v>3363</v>
      </c>
      <c r="C1676" s="3">
        <v>200</v>
      </c>
      <c r="D1676" s="3" t="str">
        <f ca="1">IF(B1676="","",IFERROR(_xludf.XLOOKUP(_xludf.XLOOKUP(B1676,Inventory!$A:$A,Inventory!$B:$B),Blades!$A:$A,Blades!$C:$C)+_xludf.XLOOKUP(_xludf.XLOOKUP(B1676,Inventory!$A:$A,Inventory!$C:$C),Motor!$A:$A,Motor!$C:$C)+_xludf.XLOOKUP(_xludf.XLOOKUP(B1676,Inventory!$A:$A,Inventory!$D:$D),Frame!$A:$A,Frame!$C:$C)+#REF!,""))</f>
        <v/>
      </c>
      <c r="E1676" s="4">
        <v>45420</v>
      </c>
      <c r="F1676" s="1" t="s">
        <v>52</v>
      </c>
    </row>
    <row r="1677" spans="1:6" x14ac:dyDescent="0.25">
      <c r="A1677" s="1" t="s">
        <v>3364</v>
      </c>
      <c r="B1677" s="1" t="s">
        <v>3365</v>
      </c>
      <c r="C1677" s="3">
        <v>200</v>
      </c>
      <c r="D1677" s="3" t="str">
        <f ca="1">IF(B1677="","",IFERROR(_xludf.XLOOKUP(_xludf.XLOOKUP(B1677,Inventory!$A:$A,Inventory!$B:$B),Blades!$A:$A,Blades!$C:$C)+_xludf.XLOOKUP(_xludf.XLOOKUP(B1677,Inventory!$A:$A,Inventory!$C:$C),Motor!$A:$A,Motor!$C:$C)+_xludf.XLOOKUP(_xludf.XLOOKUP(B1677,Inventory!$A:$A,Inventory!$D:$D),Frame!$A:$A,Frame!$C:$C)+#REF!,""))</f>
        <v/>
      </c>
      <c r="E1677" s="4">
        <v>45420</v>
      </c>
      <c r="F1677" s="1" t="s">
        <v>49</v>
      </c>
    </row>
    <row r="1678" spans="1:6" x14ac:dyDescent="0.25">
      <c r="A1678" s="1" t="s">
        <v>3366</v>
      </c>
      <c r="B1678" s="1" t="s">
        <v>3367</v>
      </c>
      <c r="C1678" s="3">
        <v>200</v>
      </c>
      <c r="D1678" s="3" t="str">
        <f ca="1">IF(B1678="","",IFERROR(_xludf.XLOOKUP(_xludf.XLOOKUP(B1678,Inventory!$A:$A,Inventory!$B:$B),Blades!$A:$A,Blades!$C:$C)+_xludf.XLOOKUP(_xludf.XLOOKUP(B1678,Inventory!$A:$A,Inventory!$C:$C),Motor!$A:$A,Motor!$C:$C)+_xludf.XLOOKUP(_xludf.XLOOKUP(B1678,Inventory!$A:$A,Inventory!$D:$D),Frame!$A:$A,Frame!$C:$C)+#REF!,""))</f>
        <v/>
      </c>
      <c r="E1678" s="4">
        <v>45421</v>
      </c>
      <c r="F1678" s="1" t="s">
        <v>25</v>
      </c>
    </row>
    <row r="1679" spans="1:6" x14ac:dyDescent="0.25">
      <c r="A1679" s="1" t="s">
        <v>3368</v>
      </c>
      <c r="B1679" s="1" t="s">
        <v>3369</v>
      </c>
      <c r="C1679" s="3">
        <v>200</v>
      </c>
      <c r="D1679" s="3" t="str">
        <f ca="1">IF(B1679="","",IFERROR(_xludf.XLOOKUP(_xludf.XLOOKUP(B1679,Inventory!$A:$A,Inventory!$B:$B),Blades!$A:$A,Blades!$C:$C)+_xludf.XLOOKUP(_xludf.XLOOKUP(B1679,Inventory!$A:$A,Inventory!$C:$C),Motor!$A:$A,Motor!$C:$C)+_xludf.XLOOKUP(_xludf.XLOOKUP(B1679,Inventory!$A:$A,Inventory!$D:$D),Frame!$A:$A,Frame!$C:$C)+#REF!,""))</f>
        <v/>
      </c>
      <c r="E1679" s="4">
        <v>45422</v>
      </c>
      <c r="F1679" s="1" t="s">
        <v>20</v>
      </c>
    </row>
    <row r="1680" spans="1:6" x14ac:dyDescent="0.25">
      <c r="A1680" s="1" t="s">
        <v>3370</v>
      </c>
      <c r="B1680" s="1" t="s">
        <v>3371</v>
      </c>
      <c r="C1680" s="3">
        <v>200</v>
      </c>
      <c r="D1680" s="3" t="str">
        <f ca="1">IF(B1680="","",IFERROR(_xludf.XLOOKUP(_xludf.XLOOKUP(B1680,Inventory!$A:$A,Inventory!$B:$B),Blades!$A:$A,Blades!$C:$C)+_xludf.XLOOKUP(_xludf.XLOOKUP(B1680,Inventory!$A:$A,Inventory!$C:$C),Motor!$A:$A,Motor!$C:$C)+_xludf.XLOOKUP(_xludf.XLOOKUP(B1680,Inventory!$A:$A,Inventory!$D:$D),Frame!$A:$A,Frame!$C:$C)+#REF!,""))</f>
        <v/>
      </c>
      <c r="E1680" s="4">
        <v>45423</v>
      </c>
      <c r="F1680" s="1" t="s">
        <v>32</v>
      </c>
    </row>
    <row r="1681" spans="1:6" x14ac:dyDescent="0.25">
      <c r="A1681" s="1" t="s">
        <v>3372</v>
      </c>
      <c r="B1681" s="1" t="s">
        <v>3373</v>
      </c>
      <c r="C1681" s="3">
        <v>200</v>
      </c>
      <c r="D1681" s="3" t="str">
        <f ca="1">IF(B1681="","",IFERROR(_xludf.XLOOKUP(_xludf.XLOOKUP(B1681,Inventory!$A:$A,Inventory!$B:$B),Blades!$A:$A,Blades!$C:$C)+_xludf.XLOOKUP(_xludf.XLOOKUP(B1681,Inventory!$A:$A,Inventory!$C:$C),Motor!$A:$A,Motor!$C:$C)+_xludf.XLOOKUP(_xludf.XLOOKUP(B1681,Inventory!$A:$A,Inventory!$D:$D),Frame!$A:$A,Frame!$C:$C)+#REF!,""))</f>
        <v/>
      </c>
      <c r="E1681" s="4">
        <v>45424</v>
      </c>
      <c r="F1681" s="1" t="s">
        <v>20</v>
      </c>
    </row>
    <row r="1682" spans="1:6" x14ac:dyDescent="0.25">
      <c r="A1682" s="1" t="s">
        <v>3374</v>
      </c>
      <c r="B1682" s="1" t="s">
        <v>3375</v>
      </c>
      <c r="C1682" s="3">
        <v>200</v>
      </c>
      <c r="D1682" s="3" t="str">
        <f ca="1">IF(B1682="","",IFERROR(_xludf.XLOOKUP(_xludf.XLOOKUP(B1682,Inventory!$A:$A,Inventory!$B:$B),Blades!$A:$A,Blades!$C:$C)+_xludf.XLOOKUP(_xludf.XLOOKUP(B1682,Inventory!$A:$A,Inventory!$C:$C),Motor!$A:$A,Motor!$C:$C)+_xludf.XLOOKUP(_xludf.XLOOKUP(B1682,Inventory!$A:$A,Inventory!$D:$D),Frame!$A:$A,Frame!$C:$C)+#REF!,""))</f>
        <v/>
      </c>
      <c r="E1682" s="4">
        <v>45424</v>
      </c>
      <c r="F1682" s="1" t="s">
        <v>63</v>
      </c>
    </row>
    <row r="1683" spans="1:6" x14ac:dyDescent="0.25">
      <c r="A1683" s="1" t="s">
        <v>3376</v>
      </c>
      <c r="B1683" s="1" t="s">
        <v>3377</v>
      </c>
      <c r="C1683" s="3">
        <v>200</v>
      </c>
      <c r="D1683" s="3" t="str">
        <f ca="1">IF(B1683="","",IFERROR(_xludf.XLOOKUP(_xludf.XLOOKUP(B1683,Inventory!$A:$A,Inventory!$B:$B),Blades!$A:$A,Blades!$C:$C)+_xludf.XLOOKUP(_xludf.XLOOKUP(B1683,Inventory!$A:$A,Inventory!$C:$C),Motor!$A:$A,Motor!$C:$C)+_xludf.XLOOKUP(_xludf.XLOOKUP(B1683,Inventory!$A:$A,Inventory!$D:$D),Frame!$A:$A,Frame!$C:$C)+#REF!,""))</f>
        <v/>
      </c>
      <c r="E1683" s="4">
        <v>45424</v>
      </c>
      <c r="F1683" s="1" t="s">
        <v>63</v>
      </c>
    </row>
    <row r="1684" spans="1:6" x14ac:dyDescent="0.25">
      <c r="A1684" s="1" t="s">
        <v>3378</v>
      </c>
      <c r="B1684" s="1" t="s">
        <v>3379</v>
      </c>
      <c r="C1684" s="3">
        <v>200</v>
      </c>
      <c r="D1684" s="3" t="str">
        <f ca="1">IF(B1684="","",IFERROR(_xludf.XLOOKUP(_xludf.XLOOKUP(B1684,Inventory!$A:$A,Inventory!$B:$B),Blades!$A:$A,Blades!$C:$C)+_xludf.XLOOKUP(_xludf.XLOOKUP(B1684,Inventory!$A:$A,Inventory!$C:$C),Motor!$A:$A,Motor!$C:$C)+_xludf.XLOOKUP(_xludf.XLOOKUP(B1684,Inventory!$A:$A,Inventory!$D:$D),Frame!$A:$A,Frame!$C:$C)+#REF!,""))</f>
        <v/>
      </c>
      <c r="E1684" s="4">
        <v>45425</v>
      </c>
      <c r="F1684" s="1" t="s">
        <v>25</v>
      </c>
    </row>
    <row r="1685" spans="1:6" x14ac:dyDescent="0.25">
      <c r="A1685" s="1" t="s">
        <v>3380</v>
      </c>
      <c r="B1685" s="1" t="s">
        <v>3381</v>
      </c>
      <c r="C1685" s="3">
        <v>200</v>
      </c>
      <c r="D1685" s="3" t="str">
        <f ca="1">IF(B1685="","",IFERROR(_xludf.XLOOKUP(_xludf.XLOOKUP(B1685,Inventory!$A:$A,Inventory!$B:$B),Blades!$A:$A,Blades!$C:$C)+_xludf.XLOOKUP(_xludf.XLOOKUP(B1685,Inventory!$A:$A,Inventory!$C:$C),Motor!$A:$A,Motor!$C:$C)+_xludf.XLOOKUP(_xludf.XLOOKUP(B1685,Inventory!$A:$A,Inventory!$D:$D),Frame!$A:$A,Frame!$C:$C)+#REF!,""))</f>
        <v/>
      </c>
      <c r="E1685" s="4">
        <v>45427</v>
      </c>
      <c r="F1685" s="1" t="s">
        <v>11</v>
      </c>
    </row>
    <row r="1686" spans="1:6" x14ac:dyDescent="0.25">
      <c r="A1686" s="1" t="s">
        <v>3382</v>
      </c>
      <c r="B1686" s="1" t="s">
        <v>3383</v>
      </c>
      <c r="C1686" s="3">
        <v>200</v>
      </c>
      <c r="D1686" s="3" t="str">
        <f ca="1">IF(B1686="","",IFERROR(_xludf.XLOOKUP(_xludf.XLOOKUP(B1686,Inventory!$A:$A,Inventory!$B:$B),Blades!$A:$A,Blades!$C:$C)+_xludf.XLOOKUP(_xludf.XLOOKUP(B1686,Inventory!$A:$A,Inventory!$C:$C),Motor!$A:$A,Motor!$C:$C)+_xludf.XLOOKUP(_xludf.XLOOKUP(B1686,Inventory!$A:$A,Inventory!$D:$D),Frame!$A:$A,Frame!$C:$C)+#REF!,""))</f>
        <v/>
      </c>
      <c r="E1686" s="4">
        <v>45429</v>
      </c>
      <c r="F1686" s="1" t="s">
        <v>52</v>
      </c>
    </row>
    <row r="1687" spans="1:6" x14ac:dyDescent="0.25">
      <c r="A1687" s="1" t="s">
        <v>3384</v>
      </c>
      <c r="B1687" s="1" t="s">
        <v>3385</v>
      </c>
      <c r="C1687" s="3">
        <v>200</v>
      </c>
      <c r="D1687" s="3" t="str">
        <f ca="1">IF(B1687="","",IFERROR(_xludf.XLOOKUP(_xludf.XLOOKUP(B1687,Inventory!$A:$A,Inventory!$B:$B),Blades!$A:$A,Blades!$C:$C)+_xludf.XLOOKUP(_xludf.XLOOKUP(B1687,Inventory!$A:$A,Inventory!$C:$C),Motor!$A:$A,Motor!$C:$C)+_xludf.XLOOKUP(_xludf.XLOOKUP(B1687,Inventory!$A:$A,Inventory!$D:$D),Frame!$A:$A,Frame!$C:$C)+#REF!,""))</f>
        <v/>
      </c>
      <c r="E1687" s="4">
        <v>45429</v>
      </c>
      <c r="F1687" s="1" t="s">
        <v>49</v>
      </c>
    </row>
    <row r="1688" spans="1:6" x14ac:dyDescent="0.25">
      <c r="A1688" s="1" t="s">
        <v>3386</v>
      </c>
      <c r="B1688" s="1" t="s">
        <v>3387</v>
      </c>
      <c r="C1688" s="3">
        <v>200</v>
      </c>
      <c r="D1688" s="3" t="str">
        <f ca="1">IF(B1688="","",IFERROR(_xludf.XLOOKUP(_xludf.XLOOKUP(B1688,Inventory!$A:$A,Inventory!$B:$B),Blades!$A:$A,Blades!$C:$C)+_xludf.XLOOKUP(_xludf.XLOOKUP(B1688,Inventory!$A:$A,Inventory!$C:$C),Motor!$A:$A,Motor!$C:$C)+_xludf.XLOOKUP(_xludf.XLOOKUP(B1688,Inventory!$A:$A,Inventory!$D:$D),Frame!$A:$A,Frame!$C:$C)+#REF!,""))</f>
        <v/>
      </c>
      <c r="E1688" s="4">
        <v>45431</v>
      </c>
      <c r="F1688" s="1" t="s">
        <v>52</v>
      </c>
    </row>
    <row r="1689" spans="1:6" x14ac:dyDescent="0.25">
      <c r="A1689" s="1" t="s">
        <v>3388</v>
      </c>
      <c r="B1689" s="1" t="s">
        <v>3389</v>
      </c>
      <c r="C1689" s="3">
        <v>200</v>
      </c>
      <c r="D1689" s="3" t="str">
        <f ca="1">IF(B1689="","",IFERROR(_xludf.XLOOKUP(_xludf.XLOOKUP(B1689,Inventory!$A:$A,Inventory!$B:$B),Blades!$A:$A,Blades!$C:$C)+_xludf.XLOOKUP(_xludf.XLOOKUP(B1689,Inventory!$A:$A,Inventory!$C:$C),Motor!$A:$A,Motor!$C:$C)+_xludf.XLOOKUP(_xludf.XLOOKUP(B1689,Inventory!$A:$A,Inventory!$D:$D),Frame!$A:$A,Frame!$C:$C)+#REF!,""))</f>
        <v/>
      </c>
      <c r="E1689" s="4">
        <v>45431</v>
      </c>
      <c r="F1689" s="1" t="s">
        <v>32</v>
      </c>
    </row>
    <row r="1690" spans="1:6" x14ac:dyDescent="0.25">
      <c r="A1690" s="1" t="s">
        <v>3390</v>
      </c>
      <c r="B1690" s="1" t="s">
        <v>3391</v>
      </c>
      <c r="C1690" s="3">
        <v>200</v>
      </c>
      <c r="D1690" s="3" t="str">
        <f ca="1">IF(B1690="","",IFERROR(_xludf.XLOOKUP(_xludf.XLOOKUP(B1690,Inventory!$A:$A,Inventory!$B:$B),Blades!$A:$A,Blades!$C:$C)+_xludf.XLOOKUP(_xludf.XLOOKUP(B1690,Inventory!$A:$A,Inventory!$C:$C),Motor!$A:$A,Motor!$C:$C)+_xludf.XLOOKUP(_xludf.XLOOKUP(B1690,Inventory!$A:$A,Inventory!$D:$D),Frame!$A:$A,Frame!$C:$C)+#REF!,""))</f>
        <v/>
      </c>
      <c r="E1690" s="4">
        <v>45432</v>
      </c>
      <c r="F1690" s="1" t="s">
        <v>32</v>
      </c>
    </row>
    <row r="1691" spans="1:6" x14ac:dyDescent="0.25">
      <c r="A1691" s="1" t="s">
        <v>3392</v>
      </c>
      <c r="B1691" s="1" t="s">
        <v>3393</v>
      </c>
      <c r="C1691" s="3">
        <v>200</v>
      </c>
      <c r="D1691" s="3" t="str">
        <f ca="1">IF(B1691="","",IFERROR(_xludf.XLOOKUP(_xludf.XLOOKUP(B1691,Inventory!$A:$A,Inventory!$B:$B),Blades!$A:$A,Blades!$C:$C)+_xludf.XLOOKUP(_xludf.XLOOKUP(B1691,Inventory!$A:$A,Inventory!$C:$C),Motor!$A:$A,Motor!$C:$C)+_xludf.XLOOKUP(_xludf.XLOOKUP(B1691,Inventory!$A:$A,Inventory!$D:$D),Frame!$A:$A,Frame!$C:$C)+#REF!,""))</f>
        <v/>
      </c>
      <c r="E1691" s="4">
        <v>45432</v>
      </c>
      <c r="F1691" s="1" t="s">
        <v>8</v>
      </c>
    </row>
    <row r="1692" spans="1:6" x14ac:dyDescent="0.25">
      <c r="A1692" s="1" t="s">
        <v>3394</v>
      </c>
      <c r="B1692" s="1" t="s">
        <v>3395</v>
      </c>
      <c r="C1692" s="3">
        <v>200</v>
      </c>
      <c r="D1692" s="3" t="str">
        <f ca="1">IF(B1692="","",IFERROR(_xludf.XLOOKUP(_xludf.XLOOKUP(B1692,Inventory!$A:$A,Inventory!$B:$B),Blades!$A:$A,Blades!$C:$C)+_xludf.XLOOKUP(_xludf.XLOOKUP(B1692,Inventory!$A:$A,Inventory!$C:$C),Motor!$A:$A,Motor!$C:$C)+_xludf.XLOOKUP(_xludf.XLOOKUP(B1692,Inventory!$A:$A,Inventory!$D:$D),Frame!$A:$A,Frame!$C:$C)+#REF!,""))</f>
        <v/>
      </c>
      <c r="E1692" s="4">
        <v>45432</v>
      </c>
      <c r="F1692" s="1" t="s">
        <v>63</v>
      </c>
    </row>
    <row r="1693" spans="1:6" x14ac:dyDescent="0.25">
      <c r="A1693" s="1" t="s">
        <v>3396</v>
      </c>
      <c r="B1693" s="1" t="s">
        <v>3397</v>
      </c>
      <c r="C1693" s="3">
        <v>200</v>
      </c>
      <c r="D1693" s="3" t="str">
        <f ca="1">IF(B1693="","",IFERROR(_xludf.XLOOKUP(_xludf.XLOOKUP(B1693,Inventory!$A:$A,Inventory!$B:$B),Blades!$A:$A,Blades!$C:$C)+_xludf.XLOOKUP(_xludf.XLOOKUP(B1693,Inventory!$A:$A,Inventory!$C:$C),Motor!$A:$A,Motor!$C:$C)+_xludf.XLOOKUP(_xludf.XLOOKUP(B1693,Inventory!$A:$A,Inventory!$D:$D),Frame!$A:$A,Frame!$C:$C)+#REF!,""))</f>
        <v/>
      </c>
      <c r="E1693" s="4">
        <v>45434</v>
      </c>
      <c r="F1693" s="1" t="s">
        <v>20</v>
      </c>
    </row>
    <row r="1694" spans="1:6" x14ac:dyDescent="0.25">
      <c r="A1694" s="1" t="s">
        <v>3398</v>
      </c>
      <c r="B1694" s="1" t="s">
        <v>3399</v>
      </c>
      <c r="C1694" s="3">
        <v>200</v>
      </c>
      <c r="D1694" s="3" t="str">
        <f ca="1">IF(B1694="","",IFERROR(_xludf.XLOOKUP(_xludf.XLOOKUP(B1694,Inventory!$A:$A,Inventory!$B:$B),Blades!$A:$A,Blades!$C:$C)+_xludf.XLOOKUP(_xludf.XLOOKUP(B1694,Inventory!$A:$A,Inventory!$C:$C),Motor!$A:$A,Motor!$C:$C)+_xludf.XLOOKUP(_xludf.XLOOKUP(B1694,Inventory!$A:$A,Inventory!$D:$D),Frame!$A:$A,Frame!$C:$C)+#REF!,""))</f>
        <v/>
      </c>
      <c r="E1694" s="4">
        <v>45434</v>
      </c>
      <c r="F1694" s="1" t="s">
        <v>25</v>
      </c>
    </row>
    <row r="1695" spans="1:6" x14ac:dyDescent="0.25">
      <c r="A1695" s="1" t="s">
        <v>3400</v>
      </c>
      <c r="B1695" s="1" t="s">
        <v>3401</v>
      </c>
      <c r="C1695" s="3">
        <v>200</v>
      </c>
      <c r="D1695" s="3" t="str">
        <f ca="1">IF(B1695="","",IFERROR(_xludf.XLOOKUP(_xludf.XLOOKUP(B1695,Inventory!$A:$A,Inventory!$B:$B),Blades!$A:$A,Blades!$C:$C)+_xludf.XLOOKUP(_xludf.XLOOKUP(B1695,Inventory!$A:$A,Inventory!$C:$C),Motor!$A:$A,Motor!$C:$C)+_xludf.XLOOKUP(_xludf.XLOOKUP(B1695,Inventory!$A:$A,Inventory!$D:$D),Frame!$A:$A,Frame!$C:$C)+#REF!,""))</f>
        <v/>
      </c>
      <c r="E1695" s="4">
        <v>45434</v>
      </c>
      <c r="F1695" s="1" t="s">
        <v>32</v>
      </c>
    </row>
    <row r="1696" spans="1:6" x14ac:dyDescent="0.25">
      <c r="A1696" s="1" t="s">
        <v>3402</v>
      </c>
      <c r="B1696" s="1" t="s">
        <v>3403</v>
      </c>
      <c r="C1696" s="3">
        <v>200</v>
      </c>
      <c r="D1696" s="3" t="str">
        <f ca="1">IF(B1696="","",IFERROR(_xludf.XLOOKUP(_xludf.XLOOKUP(B1696,Inventory!$A:$A,Inventory!$B:$B),Blades!$A:$A,Blades!$C:$C)+_xludf.XLOOKUP(_xludf.XLOOKUP(B1696,Inventory!$A:$A,Inventory!$C:$C),Motor!$A:$A,Motor!$C:$C)+_xludf.XLOOKUP(_xludf.XLOOKUP(B1696,Inventory!$A:$A,Inventory!$D:$D),Frame!$A:$A,Frame!$C:$C)+#REF!,""))</f>
        <v/>
      </c>
      <c r="E1696" s="4">
        <v>45435</v>
      </c>
      <c r="F1696" s="1" t="s">
        <v>32</v>
      </c>
    </row>
    <row r="1697" spans="1:6" x14ac:dyDescent="0.25">
      <c r="A1697" s="1" t="s">
        <v>3404</v>
      </c>
      <c r="B1697" s="1" t="s">
        <v>3405</v>
      </c>
      <c r="C1697" s="3">
        <v>200</v>
      </c>
      <c r="D1697" s="3" t="str">
        <f ca="1">IF(B1697="","",IFERROR(_xludf.XLOOKUP(_xludf.XLOOKUP(B1697,Inventory!$A:$A,Inventory!$B:$B),Blades!$A:$A,Blades!$C:$C)+_xludf.XLOOKUP(_xludf.XLOOKUP(B1697,Inventory!$A:$A,Inventory!$C:$C),Motor!$A:$A,Motor!$C:$C)+_xludf.XLOOKUP(_xludf.XLOOKUP(B1697,Inventory!$A:$A,Inventory!$D:$D),Frame!$A:$A,Frame!$C:$C)+#REF!,""))</f>
        <v/>
      </c>
      <c r="E1697" s="4">
        <v>45435</v>
      </c>
      <c r="F1697" s="1" t="s">
        <v>25</v>
      </c>
    </row>
    <row r="1698" spans="1:6" x14ac:dyDescent="0.25">
      <c r="A1698" s="1" t="s">
        <v>3406</v>
      </c>
      <c r="B1698" s="1" t="s">
        <v>3407</v>
      </c>
      <c r="C1698" s="3">
        <v>200</v>
      </c>
      <c r="D1698" s="3" t="str">
        <f ca="1">IF(B1698="","",IFERROR(_xludf.XLOOKUP(_xludf.XLOOKUP(B1698,Inventory!$A:$A,Inventory!$B:$B),Blades!$A:$A,Blades!$C:$C)+_xludf.XLOOKUP(_xludf.XLOOKUP(B1698,Inventory!$A:$A,Inventory!$C:$C),Motor!$A:$A,Motor!$C:$C)+_xludf.XLOOKUP(_xludf.XLOOKUP(B1698,Inventory!$A:$A,Inventory!$D:$D),Frame!$A:$A,Frame!$C:$C)+#REF!,""))</f>
        <v/>
      </c>
      <c r="E1698" s="4">
        <v>45435</v>
      </c>
      <c r="F1698" s="1" t="s">
        <v>32</v>
      </c>
    </row>
    <row r="1699" spans="1:6" x14ac:dyDescent="0.25">
      <c r="A1699" s="1" t="s">
        <v>3408</v>
      </c>
      <c r="B1699" s="1" t="s">
        <v>3409</v>
      </c>
      <c r="C1699" s="3">
        <v>200</v>
      </c>
      <c r="D1699" s="3" t="str">
        <f ca="1">IF(B1699="","",IFERROR(_xludf.XLOOKUP(_xludf.XLOOKUP(B1699,Inventory!$A:$A,Inventory!$B:$B),Blades!$A:$A,Blades!$C:$C)+_xludf.XLOOKUP(_xludf.XLOOKUP(B1699,Inventory!$A:$A,Inventory!$C:$C),Motor!$A:$A,Motor!$C:$C)+_xludf.XLOOKUP(_xludf.XLOOKUP(B1699,Inventory!$A:$A,Inventory!$D:$D),Frame!$A:$A,Frame!$C:$C)+#REF!,""))</f>
        <v/>
      </c>
      <c r="E1699" s="4">
        <v>45436</v>
      </c>
      <c r="F1699" s="1" t="s">
        <v>32</v>
      </c>
    </row>
    <row r="1700" spans="1:6" x14ac:dyDescent="0.25">
      <c r="A1700" s="1" t="s">
        <v>3410</v>
      </c>
      <c r="B1700" s="1" t="s">
        <v>3411</v>
      </c>
      <c r="C1700" s="3">
        <v>200</v>
      </c>
      <c r="D1700" s="3" t="str">
        <f ca="1">IF(B1700="","",IFERROR(_xludf.XLOOKUP(_xludf.XLOOKUP(B1700,Inventory!$A:$A,Inventory!$B:$B),Blades!$A:$A,Blades!$C:$C)+_xludf.XLOOKUP(_xludf.XLOOKUP(B1700,Inventory!$A:$A,Inventory!$C:$C),Motor!$A:$A,Motor!$C:$C)+_xludf.XLOOKUP(_xludf.XLOOKUP(B1700,Inventory!$A:$A,Inventory!$D:$D),Frame!$A:$A,Frame!$C:$C)+#REF!,""))</f>
        <v/>
      </c>
      <c r="E1700" s="4">
        <v>45437</v>
      </c>
      <c r="F1700" s="1" t="s">
        <v>32</v>
      </c>
    </row>
    <row r="1701" spans="1:6" x14ac:dyDescent="0.25">
      <c r="A1701" s="1" t="s">
        <v>3412</v>
      </c>
      <c r="B1701" s="1" t="s">
        <v>3413</v>
      </c>
      <c r="C1701" s="3">
        <v>200</v>
      </c>
      <c r="D1701" s="3" t="str">
        <f ca="1">IF(B1701="","",IFERROR(_xludf.XLOOKUP(_xludf.XLOOKUP(B1701,Inventory!$A:$A,Inventory!$B:$B),Blades!$A:$A,Blades!$C:$C)+_xludf.XLOOKUP(_xludf.XLOOKUP(B1701,Inventory!$A:$A,Inventory!$C:$C),Motor!$A:$A,Motor!$C:$C)+_xludf.XLOOKUP(_xludf.XLOOKUP(B1701,Inventory!$A:$A,Inventory!$D:$D),Frame!$A:$A,Frame!$C:$C)+#REF!,""))</f>
        <v/>
      </c>
      <c r="E1701" s="4">
        <v>45437</v>
      </c>
      <c r="F1701" s="1" t="s">
        <v>49</v>
      </c>
    </row>
    <row r="1702" spans="1:6" x14ac:dyDescent="0.25">
      <c r="A1702" s="1" t="s">
        <v>3414</v>
      </c>
      <c r="B1702" s="1" t="s">
        <v>3415</v>
      </c>
      <c r="C1702" s="3">
        <v>200</v>
      </c>
      <c r="D1702" s="3" t="str">
        <f ca="1">IF(B1702="","",IFERROR(_xludf.XLOOKUP(_xludf.XLOOKUP(B1702,Inventory!$A:$A,Inventory!$B:$B),Blades!$A:$A,Blades!$C:$C)+_xludf.XLOOKUP(_xludf.XLOOKUP(B1702,Inventory!$A:$A,Inventory!$C:$C),Motor!$A:$A,Motor!$C:$C)+_xludf.XLOOKUP(_xludf.XLOOKUP(B1702,Inventory!$A:$A,Inventory!$D:$D),Frame!$A:$A,Frame!$C:$C)+#REF!,""))</f>
        <v/>
      </c>
      <c r="E1702" s="4">
        <v>45438</v>
      </c>
      <c r="F1702" s="1" t="s">
        <v>20</v>
      </c>
    </row>
    <row r="1703" spans="1:6" x14ac:dyDescent="0.25">
      <c r="A1703" s="1" t="s">
        <v>3416</v>
      </c>
      <c r="B1703" s="1" t="s">
        <v>3417</v>
      </c>
      <c r="C1703" s="3">
        <v>200</v>
      </c>
      <c r="D1703" s="3" t="str">
        <f ca="1">IF(B1703="","",IFERROR(_xludf.XLOOKUP(_xludf.XLOOKUP(B1703,Inventory!$A:$A,Inventory!$B:$B),Blades!$A:$A,Blades!$C:$C)+_xludf.XLOOKUP(_xludf.XLOOKUP(B1703,Inventory!$A:$A,Inventory!$C:$C),Motor!$A:$A,Motor!$C:$C)+_xludf.XLOOKUP(_xludf.XLOOKUP(B1703,Inventory!$A:$A,Inventory!$D:$D),Frame!$A:$A,Frame!$C:$C)+#REF!,""))</f>
        <v/>
      </c>
      <c r="E1703" s="4">
        <v>45440</v>
      </c>
      <c r="F1703" s="1" t="s">
        <v>63</v>
      </c>
    </row>
    <row r="1704" spans="1:6" x14ac:dyDescent="0.25">
      <c r="A1704" s="1" t="s">
        <v>3418</v>
      </c>
      <c r="B1704" s="1" t="s">
        <v>3419</v>
      </c>
      <c r="C1704" s="3">
        <v>200</v>
      </c>
      <c r="D1704" s="3" t="str">
        <f ca="1">IF(B1704="","",IFERROR(_xludf.XLOOKUP(_xludf.XLOOKUP(B1704,Inventory!$A:$A,Inventory!$B:$B),Blades!$A:$A,Blades!$C:$C)+_xludf.XLOOKUP(_xludf.XLOOKUP(B1704,Inventory!$A:$A,Inventory!$C:$C),Motor!$A:$A,Motor!$C:$C)+_xludf.XLOOKUP(_xludf.XLOOKUP(B1704,Inventory!$A:$A,Inventory!$D:$D),Frame!$A:$A,Frame!$C:$C)+#REF!,""))</f>
        <v/>
      </c>
      <c r="E1704" s="4">
        <v>45440</v>
      </c>
      <c r="F1704" s="1" t="s">
        <v>20</v>
      </c>
    </row>
    <row r="1705" spans="1:6" x14ac:dyDescent="0.25">
      <c r="A1705" s="1" t="s">
        <v>3420</v>
      </c>
      <c r="B1705" s="1" t="s">
        <v>3421</v>
      </c>
      <c r="C1705" s="3">
        <v>200</v>
      </c>
      <c r="D1705" s="3" t="str">
        <f ca="1">IF(B1705="","",IFERROR(_xludf.XLOOKUP(_xludf.XLOOKUP(B1705,Inventory!$A:$A,Inventory!$B:$B),Blades!$A:$A,Blades!$C:$C)+_xludf.XLOOKUP(_xludf.XLOOKUP(B1705,Inventory!$A:$A,Inventory!$C:$C),Motor!$A:$A,Motor!$C:$C)+_xludf.XLOOKUP(_xludf.XLOOKUP(B1705,Inventory!$A:$A,Inventory!$D:$D),Frame!$A:$A,Frame!$C:$C)+#REF!,""))</f>
        <v/>
      </c>
      <c r="E1705" s="4">
        <v>45442</v>
      </c>
      <c r="F1705" s="1" t="s">
        <v>11</v>
      </c>
    </row>
    <row r="1706" spans="1:6" x14ac:dyDescent="0.25">
      <c r="A1706" s="1" t="s">
        <v>3422</v>
      </c>
      <c r="B1706" s="1" t="s">
        <v>3423</v>
      </c>
      <c r="C1706" s="3">
        <v>200</v>
      </c>
      <c r="D1706" s="3" t="str">
        <f ca="1">IF(B1706="","",IFERROR(_xludf.XLOOKUP(_xludf.XLOOKUP(B1706,Inventory!$A:$A,Inventory!$B:$B),Blades!$A:$A,Blades!$C:$C)+_xludf.XLOOKUP(_xludf.XLOOKUP(B1706,Inventory!$A:$A,Inventory!$C:$C),Motor!$A:$A,Motor!$C:$C)+_xludf.XLOOKUP(_xludf.XLOOKUP(B1706,Inventory!$A:$A,Inventory!$D:$D),Frame!$A:$A,Frame!$C:$C)+#REF!,""))</f>
        <v/>
      </c>
      <c r="E1706" s="4">
        <v>45442</v>
      </c>
      <c r="F1706" s="1" t="s">
        <v>63</v>
      </c>
    </row>
    <row r="1707" spans="1:6" x14ac:dyDescent="0.25">
      <c r="A1707" s="1" t="s">
        <v>3424</v>
      </c>
      <c r="B1707" s="1" t="s">
        <v>3425</v>
      </c>
      <c r="C1707" s="3">
        <v>200</v>
      </c>
      <c r="D1707" s="3" t="str">
        <f ca="1">IF(B1707="","",IFERROR(_xludf.XLOOKUP(_xludf.XLOOKUP(B1707,Inventory!$A:$A,Inventory!$B:$B),Blades!$A:$A,Blades!$C:$C)+_xludf.XLOOKUP(_xludf.XLOOKUP(B1707,Inventory!$A:$A,Inventory!$C:$C),Motor!$A:$A,Motor!$C:$C)+_xludf.XLOOKUP(_xludf.XLOOKUP(B1707,Inventory!$A:$A,Inventory!$D:$D),Frame!$A:$A,Frame!$C:$C)+#REF!,""))</f>
        <v/>
      </c>
      <c r="E1707" s="4">
        <v>45444</v>
      </c>
      <c r="F1707" s="1" t="s">
        <v>11</v>
      </c>
    </row>
    <row r="1708" spans="1:6" x14ac:dyDescent="0.25">
      <c r="A1708" s="1" t="s">
        <v>3426</v>
      </c>
      <c r="B1708" s="1" t="s">
        <v>3427</v>
      </c>
      <c r="C1708" s="3">
        <v>200</v>
      </c>
      <c r="D1708" s="3" t="str">
        <f ca="1">IF(B1708="","",IFERROR(_xludf.XLOOKUP(_xludf.XLOOKUP(B1708,Inventory!$A:$A,Inventory!$B:$B),Blades!$A:$A,Blades!$C:$C)+_xludf.XLOOKUP(_xludf.XLOOKUP(B1708,Inventory!$A:$A,Inventory!$C:$C),Motor!$A:$A,Motor!$C:$C)+_xludf.XLOOKUP(_xludf.XLOOKUP(B1708,Inventory!$A:$A,Inventory!$D:$D),Frame!$A:$A,Frame!$C:$C)+#REF!,""))</f>
        <v/>
      </c>
      <c r="E1708" s="4">
        <v>45444</v>
      </c>
      <c r="F1708" s="1" t="s">
        <v>52</v>
      </c>
    </row>
    <row r="1709" spans="1:6" x14ac:dyDescent="0.25">
      <c r="A1709" s="1" t="s">
        <v>3428</v>
      </c>
      <c r="B1709" s="1" t="s">
        <v>3429</v>
      </c>
      <c r="C1709" s="3">
        <v>200</v>
      </c>
      <c r="D1709" s="3" t="str">
        <f ca="1">IF(B1709="","",IFERROR(_xludf.XLOOKUP(_xludf.XLOOKUP(B1709,Inventory!$A:$A,Inventory!$B:$B),Blades!$A:$A,Blades!$C:$C)+_xludf.XLOOKUP(_xludf.XLOOKUP(B1709,Inventory!$A:$A,Inventory!$C:$C),Motor!$A:$A,Motor!$C:$C)+_xludf.XLOOKUP(_xludf.XLOOKUP(B1709,Inventory!$A:$A,Inventory!$D:$D),Frame!$A:$A,Frame!$C:$C)+#REF!,""))</f>
        <v/>
      </c>
      <c r="E1709" s="4">
        <v>45445</v>
      </c>
      <c r="F1709" s="1" t="s">
        <v>63</v>
      </c>
    </row>
    <row r="1710" spans="1:6" x14ac:dyDescent="0.25">
      <c r="A1710" s="1" t="s">
        <v>3430</v>
      </c>
      <c r="B1710" s="1" t="s">
        <v>3431</v>
      </c>
      <c r="C1710" s="3">
        <v>200</v>
      </c>
      <c r="D1710" s="3" t="str">
        <f ca="1">IF(B1710="","",IFERROR(_xludf.XLOOKUP(_xludf.XLOOKUP(B1710,Inventory!$A:$A,Inventory!$B:$B),Blades!$A:$A,Blades!$C:$C)+_xludf.XLOOKUP(_xludf.XLOOKUP(B1710,Inventory!$A:$A,Inventory!$C:$C),Motor!$A:$A,Motor!$C:$C)+_xludf.XLOOKUP(_xludf.XLOOKUP(B1710,Inventory!$A:$A,Inventory!$D:$D),Frame!$A:$A,Frame!$C:$C)+#REF!,""))</f>
        <v/>
      </c>
      <c r="E1710" s="4">
        <v>45445</v>
      </c>
      <c r="F1710" s="1" t="s">
        <v>20</v>
      </c>
    </row>
    <row r="1711" spans="1:6" x14ac:dyDescent="0.25">
      <c r="A1711" s="1" t="s">
        <v>3432</v>
      </c>
      <c r="B1711" s="1" t="s">
        <v>3433</v>
      </c>
      <c r="C1711" s="3">
        <v>200</v>
      </c>
      <c r="D1711" s="3" t="str">
        <f ca="1">IF(B1711="","",IFERROR(_xludf.XLOOKUP(_xludf.XLOOKUP(B1711,Inventory!$A:$A,Inventory!$B:$B),Blades!$A:$A,Blades!$C:$C)+_xludf.XLOOKUP(_xludf.XLOOKUP(B1711,Inventory!$A:$A,Inventory!$C:$C),Motor!$A:$A,Motor!$C:$C)+_xludf.XLOOKUP(_xludf.XLOOKUP(B1711,Inventory!$A:$A,Inventory!$D:$D),Frame!$A:$A,Frame!$C:$C)+#REF!,""))</f>
        <v/>
      </c>
      <c r="E1711" s="4">
        <v>45446</v>
      </c>
      <c r="F1711" s="1" t="s">
        <v>32</v>
      </c>
    </row>
    <row r="1712" spans="1:6" x14ac:dyDescent="0.25">
      <c r="A1712" s="1" t="s">
        <v>3434</v>
      </c>
      <c r="B1712" s="1" t="s">
        <v>3435</v>
      </c>
      <c r="C1712" s="3">
        <v>200</v>
      </c>
      <c r="D1712" s="3" t="str">
        <f ca="1">IF(B1712="","",IFERROR(_xludf.XLOOKUP(_xludf.XLOOKUP(B1712,Inventory!$A:$A,Inventory!$B:$B),Blades!$A:$A,Blades!$C:$C)+_xludf.XLOOKUP(_xludf.XLOOKUP(B1712,Inventory!$A:$A,Inventory!$C:$C),Motor!$A:$A,Motor!$C:$C)+_xludf.XLOOKUP(_xludf.XLOOKUP(B1712,Inventory!$A:$A,Inventory!$D:$D),Frame!$A:$A,Frame!$C:$C)+#REF!,""))</f>
        <v/>
      </c>
      <c r="E1712" s="4">
        <v>45447</v>
      </c>
      <c r="F1712" s="1" t="s">
        <v>32</v>
      </c>
    </row>
    <row r="1713" spans="1:6" x14ac:dyDescent="0.25">
      <c r="A1713" s="1" t="s">
        <v>3436</v>
      </c>
      <c r="B1713" s="1" t="s">
        <v>3437</v>
      </c>
      <c r="C1713" s="3">
        <v>200</v>
      </c>
      <c r="D1713" s="3" t="str">
        <f ca="1">IF(B1713="","",IFERROR(_xludf.XLOOKUP(_xludf.XLOOKUP(B1713,Inventory!$A:$A,Inventory!$B:$B),Blades!$A:$A,Blades!$C:$C)+_xludf.XLOOKUP(_xludf.XLOOKUP(B1713,Inventory!$A:$A,Inventory!$C:$C),Motor!$A:$A,Motor!$C:$C)+_xludf.XLOOKUP(_xludf.XLOOKUP(B1713,Inventory!$A:$A,Inventory!$D:$D),Frame!$A:$A,Frame!$C:$C)+#REF!,""))</f>
        <v/>
      </c>
      <c r="E1713" s="4">
        <v>45447</v>
      </c>
      <c r="F1713" s="1" t="s">
        <v>8</v>
      </c>
    </row>
    <row r="1714" spans="1:6" x14ac:dyDescent="0.25">
      <c r="A1714" s="1" t="s">
        <v>3438</v>
      </c>
      <c r="B1714" s="1" t="s">
        <v>3439</v>
      </c>
      <c r="C1714" s="3">
        <v>200</v>
      </c>
      <c r="D1714" s="3" t="str">
        <f ca="1">IF(B1714="","",IFERROR(_xludf.XLOOKUP(_xludf.XLOOKUP(B1714,Inventory!$A:$A,Inventory!$B:$B),Blades!$A:$A,Blades!$C:$C)+_xludf.XLOOKUP(_xludf.XLOOKUP(B1714,Inventory!$A:$A,Inventory!$C:$C),Motor!$A:$A,Motor!$C:$C)+_xludf.XLOOKUP(_xludf.XLOOKUP(B1714,Inventory!$A:$A,Inventory!$D:$D),Frame!$A:$A,Frame!$C:$C)+#REF!,""))</f>
        <v/>
      </c>
      <c r="E1714" s="4">
        <v>45447</v>
      </c>
      <c r="F1714" s="1" t="s">
        <v>11</v>
      </c>
    </row>
    <row r="1715" spans="1:6" x14ac:dyDescent="0.25">
      <c r="A1715" s="1" t="s">
        <v>3440</v>
      </c>
      <c r="B1715" s="1" t="s">
        <v>3441</v>
      </c>
      <c r="C1715" s="3">
        <v>200</v>
      </c>
      <c r="D1715" s="3" t="str">
        <f ca="1">IF(B1715="","",IFERROR(_xludf.XLOOKUP(_xludf.XLOOKUP(B1715,Inventory!$A:$A,Inventory!$B:$B),Blades!$A:$A,Blades!$C:$C)+_xludf.XLOOKUP(_xludf.XLOOKUP(B1715,Inventory!$A:$A,Inventory!$C:$C),Motor!$A:$A,Motor!$C:$C)+_xludf.XLOOKUP(_xludf.XLOOKUP(B1715,Inventory!$A:$A,Inventory!$D:$D),Frame!$A:$A,Frame!$C:$C)+#REF!,""))</f>
        <v/>
      </c>
      <c r="E1715" s="4">
        <v>45448</v>
      </c>
      <c r="F1715" s="1" t="s">
        <v>11</v>
      </c>
    </row>
    <row r="1716" spans="1:6" x14ac:dyDescent="0.25">
      <c r="A1716" s="1" t="s">
        <v>3442</v>
      </c>
      <c r="B1716" s="1" t="s">
        <v>3443</v>
      </c>
      <c r="C1716" s="3">
        <v>200</v>
      </c>
      <c r="D1716" s="3" t="str">
        <f ca="1">IF(B1716="","",IFERROR(_xludf.XLOOKUP(_xludf.XLOOKUP(B1716,Inventory!$A:$A,Inventory!$B:$B),Blades!$A:$A,Blades!$C:$C)+_xludf.XLOOKUP(_xludf.XLOOKUP(B1716,Inventory!$A:$A,Inventory!$C:$C),Motor!$A:$A,Motor!$C:$C)+_xludf.XLOOKUP(_xludf.XLOOKUP(B1716,Inventory!$A:$A,Inventory!$D:$D),Frame!$A:$A,Frame!$C:$C)+#REF!,""))</f>
        <v/>
      </c>
      <c r="E1716" s="4">
        <v>45448</v>
      </c>
      <c r="F1716" s="1" t="s">
        <v>8</v>
      </c>
    </row>
    <row r="1717" spans="1:6" x14ac:dyDescent="0.25">
      <c r="A1717" s="1" t="s">
        <v>3444</v>
      </c>
      <c r="B1717" s="1" t="s">
        <v>3445</v>
      </c>
      <c r="C1717" s="3">
        <v>200</v>
      </c>
      <c r="D1717" s="3" t="str">
        <f ca="1">IF(B1717="","",IFERROR(_xludf.XLOOKUP(_xludf.XLOOKUP(B1717,Inventory!$A:$A,Inventory!$B:$B),Blades!$A:$A,Blades!$C:$C)+_xludf.XLOOKUP(_xludf.XLOOKUP(B1717,Inventory!$A:$A,Inventory!$C:$C),Motor!$A:$A,Motor!$C:$C)+_xludf.XLOOKUP(_xludf.XLOOKUP(B1717,Inventory!$A:$A,Inventory!$D:$D),Frame!$A:$A,Frame!$C:$C)+#REF!,""))</f>
        <v/>
      </c>
      <c r="E1717" s="4">
        <v>45449</v>
      </c>
      <c r="F1717" s="1" t="s">
        <v>52</v>
      </c>
    </row>
    <row r="1718" spans="1:6" x14ac:dyDescent="0.25">
      <c r="A1718" s="1" t="s">
        <v>3446</v>
      </c>
      <c r="B1718" s="1" t="s">
        <v>3447</v>
      </c>
      <c r="C1718" s="3">
        <v>200</v>
      </c>
      <c r="D1718" s="3" t="str">
        <f ca="1">IF(B1718="","",IFERROR(_xludf.XLOOKUP(_xludf.XLOOKUP(B1718,Inventory!$A:$A,Inventory!$B:$B),Blades!$A:$A,Blades!$C:$C)+_xludf.XLOOKUP(_xludf.XLOOKUP(B1718,Inventory!$A:$A,Inventory!$C:$C),Motor!$A:$A,Motor!$C:$C)+_xludf.XLOOKUP(_xludf.XLOOKUP(B1718,Inventory!$A:$A,Inventory!$D:$D),Frame!$A:$A,Frame!$C:$C)+#REF!,""))</f>
        <v/>
      </c>
      <c r="E1718" s="4">
        <v>45450</v>
      </c>
      <c r="F1718" s="1" t="s">
        <v>25</v>
      </c>
    </row>
    <row r="1719" spans="1:6" x14ac:dyDescent="0.25">
      <c r="A1719" s="1" t="s">
        <v>3448</v>
      </c>
      <c r="B1719" s="1" t="s">
        <v>3449</v>
      </c>
      <c r="C1719" s="3">
        <v>200</v>
      </c>
      <c r="D1719" s="3" t="str">
        <f ca="1">IF(B1719="","",IFERROR(_xludf.XLOOKUP(_xludf.XLOOKUP(B1719,Inventory!$A:$A,Inventory!$B:$B),Blades!$A:$A,Blades!$C:$C)+_xludf.XLOOKUP(_xludf.XLOOKUP(B1719,Inventory!$A:$A,Inventory!$C:$C),Motor!$A:$A,Motor!$C:$C)+_xludf.XLOOKUP(_xludf.XLOOKUP(B1719,Inventory!$A:$A,Inventory!$D:$D),Frame!$A:$A,Frame!$C:$C)+#REF!,""))</f>
        <v/>
      </c>
      <c r="E1719" s="4">
        <v>45450</v>
      </c>
      <c r="F1719" s="1" t="s">
        <v>32</v>
      </c>
    </row>
    <row r="1720" spans="1:6" x14ac:dyDescent="0.25">
      <c r="A1720" s="1" t="s">
        <v>3450</v>
      </c>
      <c r="B1720" s="1" t="s">
        <v>3451</v>
      </c>
      <c r="C1720" s="3">
        <v>200</v>
      </c>
      <c r="D1720" s="3" t="str">
        <f ca="1">IF(B1720="","",IFERROR(_xludf.XLOOKUP(_xludf.XLOOKUP(B1720,Inventory!$A:$A,Inventory!$B:$B),Blades!$A:$A,Blades!$C:$C)+_xludf.XLOOKUP(_xludf.XLOOKUP(B1720,Inventory!$A:$A,Inventory!$C:$C),Motor!$A:$A,Motor!$C:$C)+_xludf.XLOOKUP(_xludf.XLOOKUP(B1720,Inventory!$A:$A,Inventory!$D:$D),Frame!$A:$A,Frame!$C:$C)+#REF!,""))</f>
        <v/>
      </c>
      <c r="E1720" s="4">
        <v>45451</v>
      </c>
      <c r="F1720" s="1" t="s">
        <v>63</v>
      </c>
    </row>
    <row r="1721" spans="1:6" x14ac:dyDescent="0.25">
      <c r="A1721" s="1" t="s">
        <v>3452</v>
      </c>
      <c r="B1721" s="1" t="s">
        <v>3453</v>
      </c>
      <c r="C1721" s="3">
        <v>200</v>
      </c>
      <c r="D1721" s="3" t="str">
        <f ca="1">IF(B1721="","",IFERROR(_xludf.XLOOKUP(_xludf.XLOOKUP(B1721,Inventory!$A:$A,Inventory!$B:$B),Blades!$A:$A,Blades!$C:$C)+_xludf.XLOOKUP(_xludf.XLOOKUP(B1721,Inventory!$A:$A,Inventory!$C:$C),Motor!$A:$A,Motor!$C:$C)+_xludf.XLOOKUP(_xludf.XLOOKUP(B1721,Inventory!$A:$A,Inventory!$D:$D),Frame!$A:$A,Frame!$C:$C)+#REF!,""))</f>
        <v/>
      </c>
      <c r="E1721" s="4">
        <v>45452</v>
      </c>
      <c r="F1721" s="1" t="s">
        <v>63</v>
      </c>
    </row>
    <row r="1722" spans="1:6" x14ac:dyDescent="0.25">
      <c r="A1722" s="1" t="s">
        <v>3454</v>
      </c>
      <c r="B1722" s="1" t="s">
        <v>3455</v>
      </c>
      <c r="C1722" s="3">
        <v>200</v>
      </c>
      <c r="D1722" s="3" t="str">
        <f ca="1">IF(B1722="","",IFERROR(_xludf.XLOOKUP(_xludf.XLOOKUP(B1722,Inventory!$A:$A,Inventory!$B:$B),Blades!$A:$A,Blades!$C:$C)+_xludf.XLOOKUP(_xludf.XLOOKUP(B1722,Inventory!$A:$A,Inventory!$C:$C),Motor!$A:$A,Motor!$C:$C)+_xludf.XLOOKUP(_xludf.XLOOKUP(B1722,Inventory!$A:$A,Inventory!$D:$D),Frame!$A:$A,Frame!$C:$C)+#REF!,""))</f>
        <v/>
      </c>
      <c r="E1722" s="4">
        <v>45453</v>
      </c>
      <c r="F1722" s="1" t="s">
        <v>49</v>
      </c>
    </row>
    <row r="1723" spans="1:6" x14ac:dyDescent="0.25">
      <c r="A1723" s="1" t="s">
        <v>3456</v>
      </c>
      <c r="B1723" s="1" t="s">
        <v>3457</v>
      </c>
      <c r="C1723" s="3">
        <v>200</v>
      </c>
      <c r="D1723" s="3" t="str">
        <f ca="1">IF(B1723="","",IFERROR(_xludf.XLOOKUP(_xludf.XLOOKUP(B1723,Inventory!$A:$A,Inventory!$B:$B),Blades!$A:$A,Blades!$C:$C)+_xludf.XLOOKUP(_xludf.XLOOKUP(B1723,Inventory!$A:$A,Inventory!$C:$C),Motor!$A:$A,Motor!$C:$C)+_xludf.XLOOKUP(_xludf.XLOOKUP(B1723,Inventory!$A:$A,Inventory!$D:$D),Frame!$A:$A,Frame!$C:$C)+#REF!,""))</f>
        <v/>
      </c>
      <c r="E1723" s="4">
        <v>45454</v>
      </c>
      <c r="F1723" s="1" t="s">
        <v>52</v>
      </c>
    </row>
    <row r="1724" spans="1:6" x14ac:dyDescent="0.25">
      <c r="A1724" s="1" t="s">
        <v>3458</v>
      </c>
      <c r="B1724" s="1" t="s">
        <v>3459</v>
      </c>
      <c r="C1724" s="3">
        <v>200</v>
      </c>
      <c r="D1724" s="3" t="str">
        <f ca="1">IF(B1724="","",IFERROR(_xludf.XLOOKUP(_xludf.XLOOKUP(B1724,Inventory!$A:$A,Inventory!$B:$B),Blades!$A:$A,Blades!$C:$C)+_xludf.XLOOKUP(_xludf.XLOOKUP(B1724,Inventory!$A:$A,Inventory!$C:$C),Motor!$A:$A,Motor!$C:$C)+_xludf.XLOOKUP(_xludf.XLOOKUP(B1724,Inventory!$A:$A,Inventory!$D:$D),Frame!$A:$A,Frame!$C:$C)+#REF!,""))</f>
        <v/>
      </c>
      <c r="E1724" s="4">
        <v>45454</v>
      </c>
      <c r="F1724" s="1" t="s">
        <v>25</v>
      </c>
    </row>
    <row r="1725" spans="1:6" x14ac:dyDescent="0.25">
      <c r="A1725" s="1" t="s">
        <v>3460</v>
      </c>
      <c r="B1725" s="1" t="s">
        <v>3461</v>
      </c>
      <c r="C1725" s="3">
        <v>200</v>
      </c>
      <c r="D1725" s="3" t="str">
        <f ca="1">IF(B1725="","",IFERROR(_xludf.XLOOKUP(_xludf.XLOOKUP(B1725,Inventory!$A:$A,Inventory!$B:$B),Blades!$A:$A,Blades!$C:$C)+_xludf.XLOOKUP(_xludf.XLOOKUP(B1725,Inventory!$A:$A,Inventory!$C:$C),Motor!$A:$A,Motor!$C:$C)+_xludf.XLOOKUP(_xludf.XLOOKUP(B1725,Inventory!$A:$A,Inventory!$D:$D),Frame!$A:$A,Frame!$C:$C)+#REF!,""))</f>
        <v/>
      </c>
      <c r="E1725" s="4">
        <v>45454</v>
      </c>
      <c r="F1725" s="1" t="s">
        <v>32</v>
      </c>
    </row>
    <row r="1726" spans="1:6" x14ac:dyDescent="0.25">
      <c r="A1726" s="1" t="s">
        <v>3462</v>
      </c>
      <c r="B1726" s="1" t="s">
        <v>3463</v>
      </c>
      <c r="C1726" s="3">
        <v>200</v>
      </c>
      <c r="D1726" s="3" t="str">
        <f ca="1">IF(B1726="","",IFERROR(_xludf.XLOOKUP(_xludf.XLOOKUP(B1726,Inventory!$A:$A,Inventory!$B:$B),Blades!$A:$A,Blades!$C:$C)+_xludf.XLOOKUP(_xludf.XLOOKUP(B1726,Inventory!$A:$A,Inventory!$C:$C),Motor!$A:$A,Motor!$C:$C)+_xludf.XLOOKUP(_xludf.XLOOKUP(B1726,Inventory!$A:$A,Inventory!$D:$D),Frame!$A:$A,Frame!$C:$C)+#REF!,""))</f>
        <v/>
      </c>
      <c r="E1726" s="4">
        <v>45455</v>
      </c>
      <c r="F1726" s="1" t="s">
        <v>32</v>
      </c>
    </row>
    <row r="1727" spans="1:6" x14ac:dyDescent="0.25">
      <c r="A1727" s="1" t="s">
        <v>3464</v>
      </c>
      <c r="B1727" s="1" t="s">
        <v>3465</v>
      </c>
      <c r="C1727" s="3">
        <v>200</v>
      </c>
      <c r="D1727" s="3" t="str">
        <f ca="1">IF(B1727="","",IFERROR(_xludf.XLOOKUP(_xludf.XLOOKUP(B1727,Inventory!$A:$A,Inventory!$B:$B),Blades!$A:$A,Blades!$C:$C)+_xludf.XLOOKUP(_xludf.XLOOKUP(B1727,Inventory!$A:$A,Inventory!$C:$C),Motor!$A:$A,Motor!$C:$C)+_xludf.XLOOKUP(_xludf.XLOOKUP(B1727,Inventory!$A:$A,Inventory!$D:$D),Frame!$A:$A,Frame!$C:$C)+#REF!,""))</f>
        <v/>
      </c>
      <c r="E1727" s="4">
        <v>45456</v>
      </c>
      <c r="F1727" s="1" t="s">
        <v>63</v>
      </c>
    </row>
    <row r="1728" spans="1:6" x14ac:dyDescent="0.25">
      <c r="A1728" s="1" t="s">
        <v>3466</v>
      </c>
      <c r="B1728" s="1" t="s">
        <v>3467</v>
      </c>
      <c r="C1728" s="3">
        <v>200</v>
      </c>
      <c r="D1728" s="3" t="str">
        <f ca="1">IF(B1728="","",IFERROR(_xludf.XLOOKUP(_xludf.XLOOKUP(B1728,Inventory!$A:$A,Inventory!$B:$B),Blades!$A:$A,Blades!$C:$C)+_xludf.XLOOKUP(_xludf.XLOOKUP(B1728,Inventory!$A:$A,Inventory!$C:$C),Motor!$A:$A,Motor!$C:$C)+_xludf.XLOOKUP(_xludf.XLOOKUP(B1728,Inventory!$A:$A,Inventory!$D:$D),Frame!$A:$A,Frame!$C:$C)+#REF!,""))</f>
        <v/>
      </c>
      <c r="E1728" s="4">
        <v>45456</v>
      </c>
      <c r="F1728" s="1" t="s">
        <v>11</v>
      </c>
    </row>
    <row r="1729" spans="1:6" x14ac:dyDescent="0.25">
      <c r="A1729" s="1" t="s">
        <v>3468</v>
      </c>
      <c r="B1729" s="1" t="s">
        <v>3469</v>
      </c>
      <c r="C1729" s="3">
        <v>200</v>
      </c>
      <c r="D1729" s="3" t="str">
        <f ca="1">IF(B1729="","",IFERROR(_xludf.XLOOKUP(_xludf.XLOOKUP(B1729,Inventory!$A:$A,Inventory!$B:$B),Blades!$A:$A,Blades!$C:$C)+_xludf.XLOOKUP(_xludf.XLOOKUP(B1729,Inventory!$A:$A,Inventory!$C:$C),Motor!$A:$A,Motor!$C:$C)+_xludf.XLOOKUP(_xludf.XLOOKUP(B1729,Inventory!$A:$A,Inventory!$D:$D),Frame!$A:$A,Frame!$C:$C)+#REF!,""))</f>
        <v/>
      </c>
      <c r="E1729" s="4">
        <v>45457</v>
      </c>
      <c r="F1729" s="1" t="s">
        <v>32</v>
      </c>
    </row>
    <row r="1730" spans="1:6" x14ac:dyDescent="0.25">
      <c r="A1730" s="1" t="s">
        <v>3470</v>
      </c>
      <c r="B1730" s="1" t="s">
        <v>3471</v>
      </c>
      <c r="C1730" s="3">
        <v>200</v>
      </c>
      <c r="D1730" s="3" t="str">
        <f ca="1">IF(B1730="","",IFERROR(_xludf.XLOOKUP(_xludf.XLOOKUP(B1730,Inventory!$A:$A,Inventory!$B:$B),Blades!$A:$A,Blades!$C:$C)+_xludf.XLOOKUP(_xludf.XLOOKUP(B1730,Inventory!$A:$A,Inventory!$C:$C),Motor!$A:$A,Motor!$C:$C)+_xludf.XLOOKUP(_xludf.XLOOKUP(B1730,Inventory!$A:$A,Inventory!$D:$D),Frame!$A:$A,Frame!$C:$C)+#REF!,""))</f>
        <v/>
      </c>
      <c r="E1730" s="4">
        <v>45457</v>
      </c>
      <c r="F1730" s="1" t="s">
        <v>52</v>
      </c>
    </row>
    <row r="1731" spans="1:6" x14ac:dyDescent="0.25">
      <c r="A1731" s="1" t="s">
        <v>3472</v>
      </c>
      <c r="B1731" s="1" t="s">
        <v>3473</v>
      </c>
      <c r="C1731" s="3">
        <v>200</v>
      </c>
      <c r="D1731" s="3" t="str">
        <f ca="1">IF(B1731="","",IFERROR(_xludf.XLOOKUP(_xludf.XLOOKUP(B1731,Inventory!$A:$A,Inventory!$B:$B),Blades!$A:$A,Blades!$C:$C)+_xludf.XLOOKUP(_xludf.XLOOKUP(B1731,Inventory!$A:$A,Inventory!$C:$C),Motor!$A:$A,Motor!$C:$C)+_xludf.XLOOKUP(_xludf.XLOOKUP(B1731,Inventory!$A:$A,Inventory!$D:$D),Frame!$A:$A,Frame!$C:$C)+#REF!,""))</f>
        <v/>
      </c>
      <c r="E1731" s="4">
        <v>45458</v>
      </c>
      <c r="F1731" s="1" t="s">
        <v>32</v>
      </c>
    </row>
    <row r="1732" spans="1:6" x14ac:dyDescent="0.25">
      <c r="A1732" s="1" t="s">
        <v>3474</v>
      </c>
      <c r="B1732" s="1" t="s">
        <v>3475</v>
      </c>
      <c r="C1732" s="3">
        <v>200</v>
      </c>
      <c r="D1732" s="3" t="str">
        <f ca="1">IF(B1732="","",IFERROR(_xludf.XLOOKUP(_xludf.XLOOKUP(B1732,Inventory!$A:$A,Inventory!$B:$B),Blades!$A:$A,Blades!$C:$C)+_xludf.XLOOKUP(_xludf.XLOOKUP(B1732,Inventory!$A:$A,Inventory!$C:$C),Motor!$A:$A,Motor!$C:$C)+_xludf.XLOOKUP(_xludf.XLOOKUP(B1732,Inventory!$A:$A,Inventory!$D:$D),Frame!$A:$A,Frame!$C:$C)+#REF!,""))</f>
        <v/>
      </c>
      <c r="E1732" s="4">
        <v>45458</v>
      </c>
      <c r="F1732" s="1" t="s">
        <v>20</v>
      </c>
    </row>
    <row r="1733" spans="1:6" x14ac:dyDescent="0.25">
      <c r="A1733" s="1" t="s">
        <v>3476</v>
      </c>
      <c r="B1733" s="1" t="s">
        <v>3477</v>
      </c>
      <c r="C1733" s="3">
        <v>200</v>
      </c>
      <c r="D1733" s="3" t="str">
        <f ca="1">IF(B1733="","",IFERROR(_xludf.XLOOKUP(_xludf.XLOOKUP(B1733,Inventory!$A:$A,Inventory!$B:$B),Blades!$A:$A,Blades!$C:$C)+_xludf.XLOOKUP(_xludf.XLOOKUP(B1733,Inventory!$A:$A,Inventory!$C:$C),Motor!$A:$A,Motor!$C:$C)+_xludf.XLOOKUP(_xludf.XLOOKUP(B1733,Inventory!$A:$A,Inventory!$D:$D),Frame!$A:$A,Frame!$C:$C)+#REF!,""))</f>
        <v/>
      </c>
      <c r="E1733" s="4">
        <v>45459</v>
      </c>
      <c r="F1733" s="1" t="s">
        <v>63</v>
      </c>
    </row>
    <row r="1734" spans="1:6" x14ac:dyDescent="0.25">
      <c r="A1734" s="1" t="s">
        <v>3478</v>
      </c>
      <c r="B1734" s="1" t="s">
        <v>3479</v>
      </c>
      <c r="C1734" s="3">
        <v>200</v>
      </c>
      <c r="D1734" s="3" t="str">
        <f ca="1">IF(B1734="","",IFERROR(_xludf.XLOOKUP(_xludf.XLOOKUP(B1734,Inventory!$A:$A,Inventory!$B:$B),Blades!$A:$A,Blades!$C:$C)+_xludf.XLOOKUP(_xludf.XLOOKUP(B1734,Inventory!$A:$A,Inventory!$C:$C),Motor!$A:$A,Motor!$C:$C)+_xludf.XLOOKUP(_xludf.XLOOKUP(B1734,Inventory!$A:$A,Inventory!$D:$D),Frame!$A:$A,Frame!$C:$C)+#REF!,""))</f>
        <v/>
      </c>
      <c r="E1734" s="4">
        <v>45460</v>
      </c>
      <c r="F1734" s="1" t="s">
        <v>11</v>
      </c>
    </row>
    <row r="1735" spans="1:6" x14ac:dyDescent="0.25">
      <c r="A1735" s="1" t="s">
        <v>3480</v>
      </c>
      <c r="B1735" s="1" t="s">
        <v>3481</v>
      </c>
      <c r="C1735" s="3">
        <v>200</v>
      </c>
      <c r="D1735" s="3" t="str">
        <f ca="1">IF(B1735="","",IFERROR(_xludf.XLOOKUP(_xludf.XLOOKUP(B1735,Inventory!$A:$A,Inventory!$B:$B),Blades!$A:$A,Blades!$C:$C)+_xludf.XLOOKUP(_xludf.XLOOKUP(B1735,Inventory!$A:$A,Inventory!$C:$C),Motor!$A:$A,Motor!$C:$C)+_xludf.XLOOKUP(_xludf.XLOOKUP(B1735,Inventory!$A:$A,Inventory!$D:$D),Frame!$A:$A,Frame!$C:$C)+#REF!,""))</f>
        <v/>
      </c>
      <c r="E1735" s="4">
        <v>45460</v>
      </c>
      <c r="F1735" s="1" t="s">
        <v>63</v>
      </c>
    </row>
    <row r="1736" spans="1:6" x14ac:dyDescent="0.25">
      <c r="A1736" s="1" t="s">
        <v>3482</v>
      </c>
      <c r="B1736" s="1" t="s">
        <v>3483</v>
      </c>
      <c r="C1736" s="3">
        <v>200</v>
      </c>
      <c r="D1736" s="3" t="str">
        <f ca="1">IF(B1736="","",IFERROR(_xludf.XLOOKUP(_xludf.XLOOKUP(B1736,Inventory!$A:$A,Inventory!$B:$B),Blades!$A:$A,Blades!$C:$C)+_xludf.XLOOKUP(_xludf.XLOOKUP(B1736,Inventory!$A:$A,Inventory!$C:$C),Motor!$A:$A,Motor!$C:$C)+_xludf.XLOOKUP(_xludf.XLOOKUP(B1736,Inventory!$A:$A,Inventory!$D:$D),Frame!$A:$A,Frame!$C:$C)+#REF!,""))</f>
        <v/>
      </c>
      <c r="E1736" s="4">
        <v>45462</v>
      </c>
      <c r="F1736" s="1" t="s">
        <v>11</v>
      </c>
    </row>
    <row r="1737" spans="1:6" x14ac:dyDescent="0.25">
      <c r="A1737" s="1" t="s">
        <v>3484</v>
      </c>
      <c r="B1737" s="1" t="s">
        <v>3485</v>
      </c>
      <c r="C1737" s="3">
        <v>200</v>
      </c>
      <c r="D1737" s="3" t="str">
        <f ca="1">IF(B1737="","",IFERROR(_xludf.XLOOKUP(_xludf.XLOOKUP(B1737,Inventory!$A:$A,Inventory!$B:$B),Blades!$A:$A,Blades!$C:$C)+_xludf.XLOOKUP(_xludf.XLOOKUP(B1737,Inventory!$A:$A,Inventory!$C:$C),Motor!$A:$A,Motor!$C:$C)+_xludf.XLOOKUP(_xludf.XLOOKUP(B1737,Inventory!$A:$A,Inventory!$D:$D),Frame!$A:$A,Frame!$C:$C)+#REF!,""))</f>
        <v/>
      </c>
      <c r="E1737" s="4">
        <v>45463</v>
      </c>
      <c r="F1737" s="1" t="s">
        <v>11</v>
      </c>
    </row>
    <row r="1738" spans="1:6" x14ac:dyDescent="0.25">
      <c r="A1738" s="1" t="s">
        <v>3486</v>
      </c>
      <c r="B1738" s="1" t="s">
        <v>3487</v>
      </c>
      <c r="C1738" s="3">
        <v>200</v>
      </c>
      <c r="D1738" s="3" t="str">
        <f ca="1">IF(B1738="","",IFERROR(_xludf.XLOOKUP(_xludf.XLOOKUP(B1738,Inventory!$A:$A,Inventory!$B:$B),Blades!$A:$A,Blades!$C:$C)+_xludf.XLOOKUP(_xludf.XLOOKUP(B1738,Inventory!$A:$A,Inventory!$C:$C),Motor!$A:$A,Motor!$C:$C)+_xludf.XLOOKUP(_xludf.XLOOKUP(B1738,Inventory!$A:$A,Inventory!$D:$D),Frame!$A:$A,Frame!$C:$C)+#REF!,""))</f>
        <v/>
      </c>
      <c r="E1738" s="4">
        <v>45463</v>
      </c>
      <c r="F1738" s="1" t="s">
        <v>63</v>
      </c>
    </row>
    <row r="1739" spans="1:6" x14ac:dyDescent="0.25">
      <c r="A1739" s="1" t="s">
        <v>3488</v>
      </c>
      <c r="B1739" s="1" t="s">
        <v>3489</v>
      </c>
      <c r="C1739" s="3">
        <v>200</v>
      </c>
      <c r="D1739" s="3" t="str">
        <f ca="1">IF(B1739="","",IFERROR(_xludf.XLOOKUP(_xludf.XLOOKUP(B1739,Inventory!$A:$A,Inventory!$B:$B),Blades!$A:$A,Blades!$C:$C)+_xludf.XLOOKUP(_xludf.XLOOKUP(B1739,Inventory!$A:$A,Inventory!$C:$C),Motor!$A:$A,Motor!$C:$C)+_xludf.XLOOKUP(_xludf.XLOOKUP(B1739,Inventory!$A:$A,Inventory!$D:$D),Frame!$A:$A,Frame!$C:$C)+#REF!,""))</f>
        <v/>
      </c>
      <c r="E1739" s="4">
        <v>45464</v>
      </c>
      <c r="F1739" s="1" t="s">
        <v>49</v>
      </c>
    </row>
    <row r="1740" spans="1:6" x14ac:dyDescent="0.25">
      <c r="A1740" s="1" t="s">
        <v>3490</v>
      </c>
      <c r="B1740" s="1" t="s">
        <v>3491</v>
      </c>
      <c r="C1740" s="3">
        <v>200</v>
      </c>
      <c r="D1740" s="3" t="str">
        <f ca="1">IF(B1740="","",IFERROR(_xludf.XLOOKUP(_xludf.XLOOKUP(B1740,Inventory!$A:$A,Inventory!$B:$B),Blades!$A:$A,Blades!$C:$C)+_xludf.XLOOKUP(_xludf.XLOOKUP(B1740,Inventory!$A:$A,Inventory!$C:$C),Motor!$A:$A,Motor!$C:$C)+_xludf.XLOOKUP(_xludf.XLOOKUP(B1740,Inventory!$A:$A,Inventory!$D:$D),Frame!$A:$A,Frame!$C:$C)+#REF!,""))</f>
        <v/>
      </c>
      <c r="E1740" s="4">
        <v>45465</v>
      </c>
      <c r="F1740" s="1" t="s">
        <v>11</v>
      </c>
    </row>
    <row r="1741" spans="1:6" x14ac:dyDescent="0.25">
      <c r="A1741" s="1" t="s">
        <v>3492</v>
      </c>
      <c r="B1741" s="1" t="s">
        <v>3493</v>
      </c>
      <c r="C1741" s="3">
        <v>200</v>
      </c>
      <c r="D1741" s="3" t="str">
        <f ca="1">IF(B1741="","",IFERROR(_xludf.XLOOKUP(_xludf.XLOOKUP(B1741,Inventory!$A:$A,Inventory!$B:$B),Blades!$A:$A,Blades!$C:$C)+_xludf.XLOOKUP(_xludf.XLOOKUP(B1741,Inventory!$A:$A,Inventory!$C:$C),Motor!$A:$A,Motor!$C:$C)+_xludf.XLOOKUP(_xludf.XLOOKUP(B1741,Inventory!$A:$A,Inventory!$D:$D),Frame!$A:$A,Frame!$C:$C)+#REF!,""))</f>
        <v/>
      </c>
      <c r="E1741" s="4">
        <v>45465</v>
      </c>
      <c r="F1741" s="1" t="s">
        <v>20</v>
      </c>
    </row>
    <row r="1742" spans="1:6" x14ac:dyDescent="0.25">
      <c r="A1742" s="1" t="s">
        <v>3494</v>
      </c>
      <c r="B1742" s="1" t="s">
        <v>3495</v>
      </c>
      <c r="C1742" s="3">
        <v>200</v>
      </c>
      <c r="D1742" s="3" t="str">
        <f ca="1">IF(B1742="","",IFERROR(_xludf.XLOOKUP(_xludf.XLOOKUP(B1742,Inventory!$A:$A,Inventory!$B:$B),Blades!$A:$A,Blades!$C:$C)+_xludf.XLOOKUP(_xludf.XLOOKUP(B1742,Inventory!$A:$A,Inventory!$C:$C),Motor!$A:$A,Motor!$C:$C)+_xludf.XLOOKUP(_xludf.XLOOKUP(B1742,Inventory!$A:$A,Inventory!$D:$D),Frame!$A:$A,Frame!$C:$C)+#REF!,""))</f>
        <v/>
      </c>
      <c r="E1742" s="4">
        <v>45466</v>
      </c>
      <c r="F1742" s="1" t="s">
        <v>20</v>
      </c>
    </row>
    <row r="1743" spans="1:6" x14ac:dyDescent="0.25">
      <c r="A1743" s="1" t="s">
        <v>3496</v>
      </c>
      <c r="B1743" s="1" t="s">
        <v>3497</v>
      </c>
      <c r="C1743" s="3">
        <v>200</v>
      </c>
      <c r="D1743" s="3" t="str">
        <f ca="1">IF(B1743="","",IFERROR(_xludf.XLOOKUP(_xludf.XLOOKUP(B1743,Inventory!$A:$A,Inventory!$B:$B),Blades!$A:$A,Blades!$C:$C)+_xludf.XLOOKUP(_xludf.XLOOKUP(B1743,Inventory!$A:$A,Inventory!$C:$C),Motor!$A:$A,Motor!$C:$C)+_xludf.XLOOKUP(_xludf.XLOOKUP(B1743,Inventory!$A:$A,Inventory!$D:$D),Frame!$A:$A,Frame!$C:$C)+#REF!,""))</f>
        <v/>
      </c>
      <c r="E1743" s="4">
        <v>45466</v>
      </c>
      <c r="F1743" s="1" t="s">
        <v>32</v>
      </c>
    </row>
    <row r="1744" spans="1:6" x14ac:dyDescent="0.25">
      <c r="A1744" s="1" t="s">
        <v>3498</v>
      </c>
      <c r="B1744" s="1" t="s">
        <v>3499</v>
      </c>
      <c r="C1744" s="3">
        <v>200</v>
      </c>
      <c r="D1744" s="3" t="str">
        <f ca="1">IF(B1744="","",IFERROR(_xludf.XLOOKUP(_xludf.XLOOKUP(B1744,Inventory!$A:$A,Inventory!$B:$B),Blades!$A:$A,Blades!$C:$C)+_xludf.XLOOKUP(_xludf.XLOOKUP(B1744,Inventory!$A:$A,Inventory!$C:$C),Motor!$A:$A,Motor!$C:$C)+_xludf.XLOOKUP(_xludf.XLOOKUP(B1744,Inventory!$A:$A,Inventory!$D:$D),Frame!$A:$A,Frame!$C:$C)+#REF!,""))</f>
        <v/>
      </c>
      <c r="E1744" s="4">
        <v>45466</v>
      </c>
      <c r="F1744" s="1" t="s">
        <v>63</v>
      </c>
    </row>
    <row r="1745" spans="1:6" x14ac:dyDescent="0.25">
      <c r="A1745" s="1" t="s">
        <v>3500</v>
      </c>
      <c r="B1745" s="1" t="s">
        <v>3501</v>
      </c>
      <c r="C1745" s="3">
        <v>200</v>
      </c>
      <c r="D1745" s="3" t="str">
        <f ca="1">IF(B1745="","",IFERROR(_xludf.XLOOKUP(_xludf.XLOOKUP(B1745,Inventory!$A:$A,Inventory!$B:$B),Blades!$A:$A,Blades!$C:$C)+_xludf.XLOOKUP(_xludf.XLOOKUP(B1745,Inventory!$A:$A,Inventory!$C:$C),Motor!$A:$A,Motor!$C:$C)+_xludf.XLOOKUP(_xludf.XLOOKUP(B1745,Inventory!$A:$A,Inventory!$D:$D),Frame!$A:$A,Frame!$C:$C)+#REF!,""))</f>
        <v/>
      </c>
      <c r="E1745" s="4">
        <v>45467</v>
      </c>
      <c r="F1745" s="1" t="s">
        <v>52</v>
      </c>
    </row>
    <row r="1746" spans="1:6" x14ac:dyDescent="0.25">
      <c r="A1746" s="1" t="s">
        <v>3502</v>
      </c>
      <c r="B1746" s="1" t="s">
        <v>3503</v>
      </c>
      <c r="C1746" s="3">
        <v>200</v>
      </c>
      <c r="D1746" s="3" t="str">
        <f ca="1">IF(B1746="","",IFERROR(_xludf.XLOOKUP(_xludf.XLOOKUP(B1746,Inventory!$A:$A,Inventory!$B:$B),Blades!$A:$A,Blades!$C:$C)+_xludf.XLOOKUP(_xludf.XLOOKUP(B1746,Inventory!$A:$A,Inventory!$C:$C),Motor!$A:$A,Motor!$C:$C)+_xludf.XLOOKUP(_xludf.XLOOKUP(B1746,Inventory!$A:$A,Inventory!$D:$D),Frame!$A:$A,Frame!$C:$C)+#REF!,""))</f>
        <v/>
      </c>
      <c r="E1746" s="4">
        <v>45470</v>
      </c>
      <c r="F1746" s="1" t="s">
        <v>8</v>
      </c>
    </row>
    <row r="1747" spans="1:6" x14ac:dyDescent="0.25">
      <c r="A1747" s="1" t="s">
        <v>3504</v>
      </c>
      <c r="B1747" s="1" t="s">
        <v>3505</v>
      </c>
      <c r="C1747" s="3">
        <v>200</v>
      </c>
      <c r="D1747" s="3" t="str">
        <f ca="1">IF(B1747="","",IFERROR(_xludf.XLOOKUP(_xludf.XLOOKUP(B1747,Inventory!$A:$A,Inventory!$B:$B),Blades!$A:$A,Blades!$C:$C)+_xludf.XLOOKUP(_xludf.XLOOKUP(B1747,Inventory!$A:$A,Inventory!$C:$C),Motor!$A:$A,Motor!$C:$C)+_xludf.XLOOKUP(_xludf.XLOOKUP(B1747,Inventory!$A:$A,Inventory!$D:$D),Frame!$A:$A,Frame!$C:$C)+#REF!,""))</f>
        <v/>
      </c>
      <c r="E1747" s="4">
        <v>45471</v>
      </c>
      <c r="F1747" s="1" t="s">
        <v>63</v>
      </c>
    </row>
    <row r="1748" spans="1:6" x14ac:dyDescent="0.25">
      <c r="A1748" s="1" t="s">
        <v>3506</v>
      </c>
      <c r="B1748" s="1" t="s">
        <v>3507</v>
      </c>
      <c r="C1748" s="3">
        <v>200</v>
      </c>
      <c r="D1748" s="3" t="str">
        <f ca="1">IF(B1748="","",IFERROR(_xludf.XLOOKUP(_xludf.XLOOKUP(B1748,Inventory!$A:$A,Inventory!$B:$B),Blades!$A:$A,Blades!$C:$C)+_xludf.XLOOKUP(_xludf.XLOOKUP(B1748,Inventory!$A:$A,Inventory!$C:$C),Motor!$A:$A,Motor!$C:$C)+_xludf.XLOOKUP(_xludf.XLOOKUP(B1748,Inventory!$A:$A,Inventory!$D:$D),Frame!$A:$A,Frame!$C:$C)+#REF!,""))</f>
        <v/>
      </c>
      <c r="E1748" s="4">
        <v>45471</v>
      </c>
      <c r="F1748" s="1" t="s">
        <v>52</v>
      </c>
    </row>
    <row r="1749" spans="1:6" x14ac:dyDescent="0.25">
      <c r="A1749" s="1" t="s">
        <v>3508</v>
      </c>
      <c r="B1749" s="1" t="s">
        <v>3509</v>
      </c>
      <c r="C1749" s="3">
        <v>200</v>
      </c>
      <c r="D1749" s="3" t="str">
        <f ca="1">IF(B1749="","",IFERROR(_xludf.XLOOKUP(_xludf.XLOOKUP(B1749,Inventory!$A:$A,Inventory!$B:$B),Blades!$A:$A,Blades!$C:$C)+_xludf.XLOOKUP(_xludf.XLOOKUP(B1749,Inventory!$A:$A,Inventory!$C:$C),Motor!$A:$A,Motor!$C:$C)+_xludf.XLOOKUP(_xludf.XLOOKUP(B1749,Inventory!$A:$A,Inventory!$D:$D),Frame!$A:$A,Frame!$C:$C)+#REF!,""))</f>
        <v/>
      </c>
      <c r="E1749" s="4">
        <v>45472</v>
      </c>
      <c r="F1749" s="1" t="s">
        <v>20</v>
      </c>
    </row>
    <row r="1750" spans="1:6" x14ac:dyDescent="0.25">
      <c r="A1750" s="1" t="s">
        <v>3510</v>
      </c>
      <c r="B1750" s="1" t="s">
        <v>3511</v>
      </c>
      <c r="C1750" s="3">
        <v>200</v>
      </c>
      <c r="D1750" s="3" t="str">
        <f ca="1">IF(B1750="","",IFERROR(_xludf.XLOOKUP(_xludf.XLOOKUP(B1750,Inventory!$A:$A,Inventory!$B:$B),Blades!$A:$A,Blades!$C:$C)+_xludf.XLOOKUP(_xludf.XLOOKUP(B1750,Inventory!$A:$A,Inventory!$C:$C),Motor!$A:$A,Motor!$C:$C)+_xludf.XLOOKUP(_xludf.XLOOKUP(B1750,Inventory!$A:$A,Inventory!$D:$D),Frame!$A:$A,Frame!$C:$C)+#REF!,""))</f>
        <v/>
      </c>
      <c r="E1750" s="4">
        <v>45473</v>
      </c>
      <c r="F1750" s="1" t="s">
        <v>11</v>
      </c>
    </row>
    <row r="1751" spans="1:6" x14ac:dyDescent="0.25">
      <c r="A1751" s="1" t="s">
        <v>3512</v>
      </c>
      <c r="B1751" s="1" t="s">
        <v>3513</v>
      </c>
      <c r="C1751" s="3">
        <v>200</v>
      </c>
      <c r="D1751" s="3" t="str">
        <f ca="1">IF(B1751="","",IFERROR(_xludf.XLOOKUP(_xludf.XLOOKUP(B1751,Inventory!$A:$A,Inventory!$B:$B),Blades!$A:$A,Blades!$C:$C)+_xludf.XLOOKUP(_xludf.XLOOKUP(B1751,Inventory!$A:$A,Inventory!$C:$C),Motor!$A:$A,Motor!$C:$C)+_xludf.XLOOKUP(_xludf.XLOOKUP(B1751,Inventory!$A:$A,Inventory!$D:$D),Frame!$A:$A,Frame!$C:$C)+#REF!,""))</f>
        <v/>
      </c>
      <c r="E1751" s="4">
        <v>45475</v>
      </c>
      <c r="F1751" s="1" t="s">
        <v>25</v>
      </c>
    </row>
    <row r="1752" spans="1:6" x14ac:dyDescent="0.25">
      <c r="A1752" s="1" t="s">
        <v>3514</v>
      </c>
      <c r="B1752" s="1" t="s">
        <v>3515</v>
      </c>
      <c r="C1752" s="3">
        <v>200</v>
      </c>
      <c r="D1752" s="3" t="str">
        <f ca="1">IF(B1752="","",IFERROR(_xludf.XLOOKUP(_xludf.XLOOKUP(B1752,Inventory!$A:$A,Inventory!$B:$B),Blades!$A:$A,Blades!$C:$C)+_xludf.XLOOKUP(_xludf.XLOOKUP(B1752,Inventory!$A:$A,Inventory!$C:$C),Motor!$A:$A,Motor!$C:$C)+_xludf.XLOOKUP(_xludf.XLOOKUP(B1752,Inventory!$A:$A,Inventory!$D:$D),Frame!$A:$A,Frame!$C:$C)+#REF!,""))</f>
        <v/>
      </c>
      <c r="E1752" s="4">
        <v>45475</v>
      </c>
      <c r="F1752" s="1" t="s">
        <v>25</v>
      </c>
    </row>
    <row r="1753" spans="1:6" x14ac:dyDescent="0.25">
      <c r="A1753" s="1" t="s">
        <v>3516</v>
      </c>
      <c r="B1753" s="1" t="s">
        <v>3517</v>
      </c>
      <c r="C1753" s="3">
        <v>200</v>
      </c>
      <c r="D1753" s="3" t="str">
        <f ca="1">IF(B1753="","",IFERROR(_xludf.XLOOKUP(_xludf.XLOOKUP(B1753,Inventory!$A:$A,Inventory!$B:$B),Blades!$A:$A,Blades!$C:$C)+_xludf.XLOOKUP(_xludf.XLOOKUP(B1753,Inventory!$A:$A,Inventory!$C:$C),Motor!$A:$A,Motor!$C:$C)+_xludf.XLOOKUP(_xludf.XLOOKUP(B1753,Inventory!$A:$A,Inventory!$D:$D),Frame!$A:$A,Frame!$C:$C)+#REF!,""))</f>
        <v/>
      </c>
      <c r="E1753" s="4">
        <v>45476</v>
      </c>
      <c r="F1753" s="1" t="s">
        <v>32</v>
      </c>
    </row>
    <row r="1754" spans="1:6" x14ac:dyDescent="0.25">
      <c r="A1754" s="1" t="s">
        <v>3518</v>
      </c>
      <c r="B1754" s="1" t="s">
        <v>3519</v>
      </c>
      <c r="C1754" s="3">
        <v>200</v>
      </c>
      <c r="D1754" s="3" t="str">
        <f ca="1">IF(B1754="","",IFERROR(_xludf.XLOOKUP(_xludf.XLOOKUP(B1754,Inventory!$A:$A,Inventory!$B:$B),Blades!$A:$A,Blades!$C:$C)+_xludf.XLOOKUP(_xludf.XLOOKUP(B1754,Inventory!$A:$A,Inventory!$C:$C),Motor!$A:$A,Motor!$C:$C)+_xludf.XLOOKUP(_xludf.XLOOKUP(B1754,Inventory!$A:$A,Inventory!$D:$D),Frame!$A:$A,Frame!$C:$C)+#REF!,""))</f>
        <v/>
      </c>
      <c r="E1754" s="4">
        <v>45477</v>
      </c>
      <c r="F1754" s="1" t="s">
        <v>11</v>
      </c>
    </row>
    <row r="1755" spans="1:6" x14ac:dyDescent="0.25">
      <c r="A1755" s="1" t="s">
        <v>3520</v>
      </c>
      <c r="B1755" s="1" t="s">
        <v>3521</v>
      </c>
      <c r="C1755" s="3">
        <v>200</v>
      </c>
      <c r="D1755" s="3" t="str">
        <f ca="1">IF(B1755="","",IFERROR(_xludf.XLOOKUP(_xludf.XLOOKUP(B1755,Inventory!$A:$A,Inventory!$B:$B),Blades!$A:$A,Blades!$C:$C)+_xludf.XLOOKUP(_xludf.XLOOKUP(B1755,Inventory!$A:$A,Inventory!$C:$C),Motor!$A:$A,Motor!$C:$C)+_xludf.XLOOKUP(_xludf.XLOOKUP(B1755,Inventory!$A:$A,Inventory!$D:$D),Frame!$A:$A,Frame!$C:$C)+#REF!,""))</f>
        <v/>
      </c>
      <c r="E1755" s="4">
        <v>45477</v>
      </c>
      <c r="F1755" s="1" t="s">
        <v>25</v>
      </c>
    </row>
    <row r="1756" spans="1:6" x14ac:dyDescent="0.25">
      <c r="A1756" s="1" t="s">
        <v>3522</v>
      </c>
      <c r="B1756" s="1" t="s">
        <v>3523</v>
      </c>
      <c r="C1756" s="3">
        <v>200</v>
      </c>
      <c r="D1756" s="3" t="str">
        <f ca="1">IF(B1756="","",IFERROR(_xludf.XLOOKUP(_xludf.XLOOKUP(B1756,Inventory!$A:$A,Inventory!$B:$B),Blades!$A:$A,Blades!$C:$C)+_xludf.XLOOKUP(_xludf.XLOOKUP(B1756,Inventory!$A:$A,Inventory!$C:$C),Motor!$A:$A,Motor!$C:$C)+_xludf.XLOOKUP(_xludf.XLOOKUP(B1756,Inventory!$A:$A,Inventory!$D:$D),Frame!$A:$A,Frame!$C:$C)+#REF!,""))</f>
        <v/>
      </c>
      <c r="E1756" s="4">
        <v>45481</v>
      </c>
      <c r="F1756" s="1" t="s">
        <v>52</v>
      </c>
    </row>
    <row r="1757" spans="1:6" x14ac:dyDescent="0.25">
      <c r="A1757" s="1" t="s">
        <v>3524</v>
      </c>
      <c r="B1757" s="1" t="s">
        <v>3525</v>
      </c>
      <c r="C1757" s="3">
        <v>200</v>
      </c>
      <c r="D1757" s="3" t="str">
        <f ca="1">IF(B1757="","",IFERROR(_xludf.XLOOKUP(_xludf.XLOOKUP(B1757,Inventory!$A:$A,Inventory!$B:$B),Blades!$A:$A,Blades!$C:$C)+_xludf.XLOOKUP(_xludf.XLOOKUP(B1757,Inventory!$A:$A,Inventory!$C:$C),Motor!$A:$A,Motor!$C:$C)+_xludf.XLOOKUP(_xludf.XLOOKUP(B1757,Inventory!$A:$A,Inventory!$D:$D),Frame!$A:$A,Frame!$C:$C)+#REF!,""))</f>
        <v/>
      </c>
      <c r="E1757" s="4">
        <v>45481</v>
      </c>
      <c r="F1757" s="1" t="s">
        <v>25</v>
      </c>
    </row>
    <row r="1758" spans="1:6" x14ac:dyDescent="0.25">
      <c r="A1758" s="1" t="s">
        <v>3526</v>
      </c>
      <c r="B1758" s="1" t="s">
        <v>3527</v>
      </c>
      <c r="C1758" s="3">
        <v>200</v>
      </c>
      <c r="D1758" s="3" t="str">
        <f ca="1">IF(B1758="","",IFERROR(_xludf.XLOOKUP(_xludf.XLOOKUP(B1758,Inventory!$A:$A,Inventory!$B:$B),Blades!$A:$A,Blades!$C:$C)+_xludf.XLOOKUP(_xludf.XLOOKUP(B1758,Inventory!$A:$A,Inventory!$C:$C),Motor!$A:$A,Motor!$C:$C)+_xludf.XLOOKUP(_xludf.XLOOKUP(B1758,Inventory!$A:$A,Inventory!$D:$D),Frame!$A:$A,Frame!$C:$C)+#REF!,""))</f>
        <v/>
      </c>
      <c r="E1758" s="4">
        <v>45481</v>
      </c>
      <c r="F1758" s="1" t="s">
        <v>52</v>
      </c>
    </row>
    <row r="1759" spans="1:6" x14ac:dyDescent="0.25">
      <c r="A1759" s="1" t="s">
        <v>3528</v>
      </c>
      <c r="B1759" s="1" t="s">
        <v>3529</v>
      </c>
      <c r="C1759" s="3">
        <v>200</v>
      </c>
      <c r="D1759" s="3" t="str">
        <f ca="1">IF(B1759="","",IFERROR(_xludf.XLOOKUP(_xludf.XLOOKUP(B1759,Inventory!$A:$A,Inventory!$B:$B),Blades!$A:$A,Blades!$C:$C)+_xludf.XLOOKUP(_xludf.XLOOKUP(B1759,Inventory!$A:$A,Inventory!$C:$C),Motor!$A:$A,Motor!$C:$C)+_xludf.XLOOKUP(_xludf.XLOOKUP(B1759,Inventory!$A:$A,Inventory!$D:$D),Frame!$A:$A,Frame!$C:$C)+#REF!,""))</f>
        <v/>
      </c>
      <c r="E1759" s="4">
        <v>45481</v>
      </c>
      <c r="F1759" s="1" t="s">
        <v>49</v>
      </c>
    </row>
    <row r="1760" spans="1:6" x14ac:dyDescent="0.25">
      <c r="A1760" s="1" t="s">
        <v>3530</v>
      </c>
      <c r="B1760" s="1" t="s">
        <v>3531</v>
      </c>
      <c r="C1760" s="3">
        <v>200</v>
      </c>
      <c r="D1760" s="3" t="str">
        <f ca="1">IF(B1760="","",IFERROR(_xludf.XLOOKUP(_xludf.XLOOKUP(B1760,Inventory!$A:$A,Inventory!$B:$B),Blades!$A:$A,Blades!$C:$C)+_xludf.XLOOKUP(_xludf.XLOOKUP(B1760,Inventory!$A:$A,Inventory!$C:$C),Motor!$A:$A,Motor!$C:$C)+_xludf.XLOOKUP(_xludf.XLOOKUP(B1760,Inventory!$A:$A,Inventory!$D:$D),Frame!$A:$A,Frame!$C:$C)+#REF!,""))</f>
        <v/>
      </c>
      <c r="E1760" s="4">
        <v>45482</v>
      </c>
      <c r="F1760" s="1" t="s">
        <v>49</v>
      </c>
    </row>
    <row r="1761" spans="1:6" x14ac:dyDescent="0.25">
      <c r="A1761" s="1" t="s">
        <v>3532</v>
      </c>
      <c r="B1761" s="1" t="s">
        <v>3533</v>
      </c>
      <c r="C1761" s="3">
        <v>200</v>
      </c>
      <c r="D1761" s="3" t="str">
        <f ca="1">IF(B1761="","",IFERROR(_xludf.XLOOKUP(_xludf.XLOOKUP(B1761,Inventory!$A:$A,Inventory!$B:$B),Blades!$A:$A,Blades!$C:$C)+_xludf.XLOOKUP(_xludf.XLOOKUP(B1761,Inventory!$A:$A,Inventory!$C:$C),Motor!$A:$A,Motor!$C:$C)+_xludf.XLOOKUP(_xludf.XLOOKUP(B1761,Inventory!$A:$A,Inventory!$D:$D),Frame!$A:$A,Frame!$C:$C)+#REF!,""))</f>
        <v/>
      </c>
      <c r="E1761" s="4">
        <v>45482</v>
      </c>
      <c r="F1761" s="1" t="s">
        <v>11</v>
      </c>
    </row>
    <row r="1762" spans="1:6" x14ac:dyDescent="0.25">
      <c r="A1762" s="1" t="s">
        <v>3534</v>
      </c>
      <c r="B1762" s="1" t="s">
        <v>3535</v>
      </c>
      <c r="C1762" s="3">
        <v>200</v>
      </c>
      <c r="D1762" s="3" t="str">
        <f ca="1">IF(B1762="","",IFERROR(_xludf.XLOOKUP(_xludf.XLOOKUP(B1762,Inventory!$A:$A,Inventory!$B:$B),Blades!$A:$A,Blades!$C:$C)+_xludf.XLOOKUP(_xludf.XLOOKUP(B1762,Inventory!$A:$A,Inventory!$C:$C),Motor!$A:$A,Motor!$C:$C)+_xludf.XLOOKUP(_xludf.XLOOKUP(B1762,Inventory!$A:$A,Inventory!$D:$D),Frame!$A:$A,Frame!$C:$C)+#REF!,""))</f>
        <v/>
      </c>
      <c r="E1762" s="4">
        <v>45483</v>
      </c>
      <c r="F1762" s="1" t="s">
        <v>25</v>
      </c>
    </row>
    <row r="1763" spans="1:6" x14ac:dyDescent="0.25">
      <c r="A1763" s="1" t="s">
        <v>3536</v>
      </c>
      <c r="B1763" s="1" t="s">
        <v>3537</v>
      </c>
      <c r="C1763" s="3">
        <v>200</v>
      </c>
      <c r="D1763" s="3" t="str">
        <f ca="1">IF(B1763="","",IFERROR(_xludf.XLOOKUP(_xludf.XLOOKUP(B1763,Inventory!$A:$A,Inventory!$B:$B),Blades!$A:$A,Blades!$C:$C)+_xludf.XLOOKUP(_xludf.XLOOKUP(B1763,Inventory!$A:$A,Inventory!$C:$C),Motor!$A:$A,Motor!$C:$C)+_xludf.XLOOKUP(_xludf.XLOOKUP(B1763,Inventory!$A:$A,Inventory!$D:$D),Frame!$A:$A,Frame!$C:$C)+#REF!,""))</f>
        <v/>
      </c>
      <c r="E1763" s="4">
        <v>45483</v>
      </c>
      <c r="F1763" s="1" t="s">
        <v>63</v>
      </c>
    </row>
    <row r="1764" spans="1:6" x14ac:dyDescent="0.25">
      <c r="A1764" s="1" t="s">
        <v>3538</v>
      </c>
      <c r="B1764" s="1" t="s">
        <v>3539</v>
      </c>
      <c r="C1764" s="3">
        <v>200</v>
      </c>
      <c r="D1764" s="3" t="str">
        <f ca="1">IF(B1764="","",IFERROR(_xludf.XLOOKUP(_xludf.XLOOKUP(B1764,Inventory!$A:$A,Inventory!$B:$B),Blades!$A:$A,Blades!$C:$C)+_xludf.XLOOKUP(_xludf.XLOOKUP(B1764,Inventory!$A:$A,Inventory!$C:$C),Motor!$A:$A,Motor!$C:$C)+_xludf.XLOOKUP(_xludf.XLOOKUP(B1764,Inventory!$A:$A,Inventory!$D:$D),Frame!$A:$A,Frame!$C:$C)+#REF!,""))</f>
        <v/>
      </c>
      <c r="E1764" s="4">
        <v>45484</v>
      </c>
      <c r="F1764" s="1" t="s">
        <v>25</v>
      </c>
    </row>
    <row r="1765" spans="1:6" x14ac:dyDescent="0.25">
      <c r="A1765" s="1" t="s">
        <v>3540</v>
      </c>
      <c r="B1765" s="1" t="s">
        <v>3541</v>
      </c>
      <c r="C1765" s="3">
        <v>200</v>
      </c>
      <c r="D1765" s="3" t="str">
        <f ca="1">IF(B1765="","",IFERROR(_xludf.XLOOKUP(_xludf.XLOOKUP(B1765,Inventory!$A:$A,Inventory!$B:$B),Blades!$A:$A,Blades!$C:$C)+_xludf.XLOOKUP(_xludf.XLOOKUP(B1765,Inventory!$A:$A,Inventory!$C:$C),Motor!$A:$A,Motor!$C:$C)+_xludf.XLOOKUP(_xludf.XLOOKUP(B1765,Inventory!$A:$A,Inventory!$D:$D),Frame!$A:$A,Frame!$C:$C)+#REF!,""))</f>
        <v/>
      </c>
      <c r="E1765" s="4">
        <v>45484</v>
      </c>
      <c r="F1765" s="1" t="s">
        <v>25</v>
      </c>
    </row>
    <row r="1766" spans="1:6" x14ac:dyDescent="0.25">
      <c r="A1766" s="1" t="s">
        <v>3542</v>
      </c>
      <c r="B1766" s="1" t="s">
        <v>3543</v>
      </c>
      <c r="C1766" s="3">
        <v>200</v>
      </c>
      <c r="D1766" s="3" t="str">
        <f ca="1">IF(B1766="","",IFERROR(_xludf.XLOOKUP(_xludf.XLOOKUP(B1766,Inventory!$A:$A,Inventory!$B:$B),Blades!$A:$A,Blades!$C:$C)+_xludf.XLOOKUP(_xludf.XLOOKUP(B1766,Inventory!$A:$A,Inventory!$C:$C),Motor!$A:$A,Motor!$C:$C)+_xludf.XLOOKUP(_xludf.XLOOKUP(B1766,Inventory!$A:$A,Inventory!$D:$D),Frame!$A:$A,Frame!$C:$C)+#REF!,""))</f>
        <v/>
      </c>
      <c r="E1766" s="4">
        <v>45485</v>
      </c>
      <c r="F1766" s="1" t="s">
        <v>49</v>
      </c>
    </row>
    <row r="1767" spans="1:6" x14ac:dyDescent="0.25">
      <c r="A1767" s="1" t="s">
        <v>3544</v>
      </c>
      <c r="B1767" s="1" t="s">
        <v>3545</v>
      </c>
      <c r="C1767" s="3">
        <v>200</v>
      </c>
      <c r="D1767" s="3" t="str">
        <f ca="1">IF(B1767="","",IFERROR(_xludf.XLOOKUP(_xludf.XLOOKUP(B1767,Inventory!$A:$A,Inventory!$B:$B),Blades!$A:$A,Blades!$C:$C)+_xludf.XLOOKUP(_xludf.XLOOKUP(B1767,Inventory!$A:$A,Inventory!$C:$C),Motor!$A:$A,Motor!$C:$C)+_xludf.XLOOKUP(_xludf.XLOOKUP(B1767,Inventory!$A:$A,Inventory!$D:$D),Frame!$A:$A,Frame!$C:$C)+#REF!,""))</f>
        <v/>
      </c>
      <c r="E1767" s="4">
        <v>45485</v>
      </c>
      <c r="F1767" s="1" t="s">
        <v>20</v>
      </c>
    </row>
    <row r="1768" spans="1:6" x14ac:dyDescent="0.25">
      <c r="A1768" s="1" t="s">
        <v>3546</v>
      </c>
      <c r="B1768" s="1" t="s">
        <v>3547</v>
      </c>
      <c r="C1768" s="3">
        <v>200</v>
      </c>
      <c r="D1768" s="3" t="str">
        <f ca="1">IF(B1768="","",IFERROR(_xludf.XLOOKUP(_xludf.XLOOKUP(B1768,Inventory!$A:$A,Inventory!$B:$B),Blades!$A:$A,Blades!$C:$C)+_xludf.XLOOKUP(_xludf.XLOOKUP(B1768,Inventory!$A:$A,Inventory!$C:$C),Motor!$A:$A,Motor!$C:$C)+_xludf.XLOOKUP(_xludf.XLOOKUP(B1768,Inventory!$A:$A,Inventory!$D:$D),Frame!$A:$A,Frame!$C:$C)+#REF!,""))</f>
        <v/>
      </c>
      <c r="E1768" s="4">
        <v>45485</v>
      </c>
      <c r="F1768" s="1" t="s">
        <v>11</v>
      </c>
    </row>
    <row r="1769" spans="1:6" x14ac:dyDescent="0.25">
      <c r="A1769" s="1" t="s">
        <v>3548</v>
      </c>
      <c r="B1769" s="1" t="s">
        <v>3549</v>
      </c>
      <c r="C1769" s="3">
        <v>200</v>
      </c>
      <c r="D1769" s="3" t="str">
        <f ca="1">IF(B1769="","",IFERROR(_xludf.XLOOKUP(_xludf.XLOOKUP(B1769,Inventory!$A:$A,Inventory!$B:$B),Blades!$A:$A,Blades!$C:$C)+_xludf.XLOOKUP(_xludf.XLOOKUP(B1769,Inventory!$A:$A,Inventory!$C:$C),Motor!$A:$A,Motor!$C:$C)+_xludf.XLOOKUP(_xludf.XLOOKUP(B1769,Inventory!$A:$A,Inventory!$D:$D),Frame!$A:$A,Frame!$C:$C)+#REF!,""))</f>
        <v/>
      </c>
      <c r="E1769" s="4">
        <v>45486</v>
      </c>
      <c r="F1769" s="1" t="s">
        <v>8</v>
      </c>
    </row>
    <row r="1770" spans="1:6" x14ac:dyDescent="0.25">
      <c r="A1770" s="1" t="s">
        <v>3550</v>
      </c>
      <c r="B1770" s="1" t="s">
        <v>3551</v>
      </c>
      <c r="C1770" s="3">
        <v>200</v>
      </c>
      <c r="D1770" s="3" t="str">
        <f ca="1">IF(B1770="","",IFERROR(_xludf.XLOOKUP(_xludf.XLOOKUP(B1770,Inventory!$A:$A,Inventory!$B:$B),Blades!$A:$A,Blades!$C:$C)+_xludf.XLOOKUP(_xludf.XLOOKUP(B1770,Inventory!$A:$A,Inventory!$C:$C),Motor!$A:$A,Motor!$C:$C)+_xludf.XLOOKUP(_xludf.XLOOKUP(B1770,Inventory!$A:$A,Inventory!$D:$D),Frame!$A:$A,Frame!$C:$C)+#REF!,""))</f>
        <v/>
      </c>
      <c r="E1770" s="4">
        <v>45487</v>
      </c>
      <c r="F1770" s="1" t="s">
        <v>8</v>
      </c>
    </row>
    <row r="1771" spans="1:6" x14ac:dyDescent="0.25">
      <c r="A1771" s="1" t="s">
        <v>3552</v>
      </c>
      <c r="B1771" s="1" t="s">
        <v>3553</v>
      </c>
      <c r="C1771" s="3">
        <v>200</v>
      </c>
      <c r="D1771" s="3" t="str">
        <f ca="1">IF(B1771="","",IFERROR(_xludf.XLOOKUP(_xludf.XLOOKUP(B1771,Inventory!$A:$A,Inventory!$B:$B),Blades!$A:$A,Blades!$C:$C)+_xludf.XLOOKUP(_xludf.XLOOKUP(B1771,Inventory!$A:$A,Inventory!$C:$C),Motor!$A:$A,Motor!$C:$C)+_xludf.XLOOKUP(_xludf.XLOOKUP(B1771,Inventory!$A:$A,Inventory!$D:$D),Frame!$A:$A,Frame!$C:$C)+#REF!,""))</f>
        <v/>
      </c>
      <c r="E1771" s="4">
        <v>45487</v>
      </c>
      <c r="F1771" s="1" t="s">
        <v>32</v>
      </c>
    </row>
    <row r="1772" spans="1:6" x14ac:dyDescent="0.25">
      <c r="A1772" s="1" t="s">
        <v>3554</v>
      </c>
      <c r="B1772" s="1" t="s">
        <v>3555</v>
      </c>
      <c r="C1772" s="3">
        <v>200</v>
      </c>
      <c r="D1772" s="3" t="str">
        <f ca="1">IF(B1772="","",IFERROR(_xludf.XLOOKUP(_xludf.XLOOKUP(B1772,Inventory!$A:$A,Inventory!$B:$B),Blades!$A:$A,Blades!$C:$C)+_xludf.XLOOKUP(_xludf.XLOOKUP(B1772,Inventory!$A:$A,Inventory!$C:$C),Motor!$A:$A,Motor!$C:$C)+_xludf.XLOOKUP(_xludf.XLOOKUP(B1772,Inventory!$A:$A,Inventory!$D:$D),Frame!$A:$A,Frame!$C:$C)+#REF!,""))</f>
        <v/>
      </c>
      <c r="E1772" s="4">
        <v>45489</v>
      </c>
      <c r="F1772" s="1" t="s">
        <v>8</v>
      </c>
    </row>
    <row r="1773" spans="1:6" x14ac:dyDescent="0.25">
      <c r="A1773" s="1" t="s">
        <v>3556</v>
      </c>
      <c r="B1773" s="1" t="s">
        <v>3557</v>
      </c>
      <c r="C1773" s="3">
        <v>200</v>
      </c>
      <c r="D1773" s="3" t="str">
        <f ca="1">IF(B1773="","",IFERROR(_xludf.XLOOKUP(_xludf.XLOOKUP(B1773,Inventory!$A:$A,Inventory!$B:$B),Blades!$A:$A,Blades!$C:$C)+_xludf.XLOOKUP(_xludf.XLOOKUP(B1773,Inventory!$A:$A,Inventory!$C:$C),Motor!$A:$A,Motor!$C:$C)+_xludf.XLOOKUP(_xludf.XLOOKUP(B1773,Inventory!$A:$A,Inventory!$D:$D),Frame!$A:$A,Frame!$C:$C)+#REF!,""))</f>
        <v/>
      </c>
      <c r="E1773" s="4">
        <v>45490</v>
      </c>
      <c r="F1773" s="1" t="s">
        <v>49</v>
      </c>
    </row>
    <row r="1774" spans="1:6" x14ac:dyDescent="0.25">
      <c r="A1774" s="1" t="s">
        <v>3558</v>
      </c>
      <c r="B1774" s="1" t="s">
        <v>3559</v>
      </c>
      <c r="C1774" s="3">
        <v>200</v>
      </c>
      <c r="D1774" s="3" t="str">
        <f ca="1">IF(B1774="","",IFERROR(_xludf.XLOOKUP(_xludf.XLOOKUP(B1774,Inventory!$A:$A,Inventory!$B:$B),Blades!$A:$A,Blades!$C:$C)+_xludf.XLOOKUP(_xludf.XLOOKUP(B1774,Inventory!$A:$A,Inventory!$C:$C),Motor!$A:$A,Motor!$C:$C)+_xludf.XLOOKUP(_xludf.XLOOKUP(B1774,Inventory!$A:$A,Inventory!$D:$D),Frame!$A:$A,Frame!$C:$C)+#REF!,""))</f>
        <v/>
      </c>
      <c r="E1774" s="4">
        <v>45490</v>
      </c>
      <c r="F1774" s="1" t="s">
        <v>63</v>
      </c>
    </row>
    <row r="1775" spans="1:6" x14ac:dyDescent="0.25">
      <c r="A1775" s="1" t="s">
        <v>3560</v>
      </c>
      <c r="B1775" s="1" t="s">
        <v>3561</v>
      </c>
      <c r="C1775" s="3">
        <v>200</v>
      </c>
      <c r="D1775" s="3" t="str">
        <f ca="1">IF(B1775="","",IFERROR(_xludf.XLOOKUP(_xludf.XLOOKUP(B1775,Inventory!$A:$A,Inventory!$B:$B),Blades!$A:$A,Blades!$C:$C)+_xludf.XLOOKUP(_xludf.XLOOKUP(B1775,Inventory!$A:$A,Inventory!$C:$C),Motor!$A:$A,Motor!$C:$C)+_xludf.XLOOKUP(_xludf.XLOOKUP(B1775,Inventory!$A:$A,Inventory!$D:$D),Frame!$A:$A,Frame!$C:$C)+#REF!,""))</f>
        <v/>
      </c>
      <c r="E1775" s="4">
        <v>45491</v>
      </c>
      <c r="F1775" s="1" t="s">
        <v>25</v>
      </c>
    </row>
    <row r="1776" spans="1:6" x14ac:dyDescent="0.25">
      <c r="A1776" s="1" t="s">
        <v>3562</v>
      </c>
      <c r="B1776" s="1" t="s">
        <v>3563</v>
      </c>
      <c r="C1776" s="3">
        <v>200</v>
      </c>
      <c r="D1776" s="3" t="str">
        <f ca="1">IF(B1776="","",IFERROR(_xludf.XLOOKUP(_xludf.XLOOKUP(B1776,Inventory!$A:$A,Inventory!$B:$B),Blades!$A:$A,Blades!$C:$C)+_xludf.XLOOKUP(_xludf.XLOOKUP(B1776,Inventory!$A:$A,Inventory!$C:$C),Motor!$A:$A,Motor!$C:$C)+_xludf.XLOOKUP(_xludf.XLOOKUP(B1776,Inventory!$A:$A,Inventory!$D:$D),Frame!$A:$A,Frame!$C:$C)+#REF!,""))</f>
        <v/>
      </c>
      <c r="E1776" s="4">
        <v>45492</v>
      </c>
      <c r="F1776" s="1" t="s">
        <v>63</v>
      </c>
    </row>
    <row r="1777" spans="1:6" x14ac:dyDescent="0.25">
      <c r="A1777" s="1" t="s">
        <v>3564</v>
      </c>
      <c r="B1777" s="1" t="s">
        <v>3565</v>
      </c>
      <c r="C1777" s="3">
        <v>200</v>
      </c>
      <c r="D1777" s="3" t="str">
        <f ca="1">IF(B1777="","",IFERROR(_xludf.XLOOKUP(_xludf.XLOOKUP(B1777,Inventory!$A:$A,Inventory!$B:$B),Blades!$A:$A,Blades!$C:$C)+_xludf.XLOOKUP(_xludf.XLOOKUP(B1777,Inventory!$A:$A,Inventory!$C:$C),Motor!$A:$A,Motor!$C:$C)+_xludf.XLOOKUP(_xludf.XLOOKUP(B1777,Inventory!$A:$A,Inventory!$D:$D),Frame!$A:$A,Frame!$C:$C)+#REF!,""))</f>
        <v/>
      </c>
      <c r="E1777" s="4">
        <v>45493</v>
      </c>
      <c r="F1777" s="1" t="s">
        <v>32</v>
      </c>
    </row>
    <row r="1778" spans="1:6" x14ac:dyDescent="0.25">
      <c r="A1778" s="1" t="s">
        <v>3566</v>
      </c>
      <c r="B1778" s="1" t="s">
        <v>3567</v>
      </c>
      <c r="C1778" s="3">
        <v>200</v>
      </c>
      <c r="D1778" s="3" t="str">
        <f ca="1">IF(B1778="","",IFERROR(_xludf.XLOOKUP(_xludf.XLOOKUP(B1778,Inventory!$A:$A,Inventory!$B:$B),Blades!$A:$A,Blades!$C:$C)+_xludf.XLOOKUP(_xludf.XLOOKUP(B1778,Inventory!$A:$A,Inventory!$C:$C),Motor!$A:$A,Motor!$C:$C)+_xludf.XLOOKUP(_xludf.XLOOKUP(B1778,Inventory!$A:$A,Inventory!$D:$D),Frame!$A:$A,Frame!$C:$C)+#REF!,""))</f>
        <v/>
      </c>
      <c r="E1778" s="4">
        <v>45494</v>
      </c>
      <c r="F1778" s="1" t="s">
        <v>20</v>
      </c>
    </row>
    <row r="1779" spans="1:6" x14ac:dyDescent="0.25">
      <c r="A1779" s="1" t="s">
        <v>3568</v>
      </c>
      <c r="B1779" s="1" t="s">
        <v>3569</v>
      </c>
      <c r="C1779" s="3">
        <v>200</v>
      </c>
      <c r="D1779" s="3" t="str">
        <f ca="1">IF(B1779="","",IFERROR(_xludf.XLOOKUP(_xludf.XLOOKUP(B1779,Inventory!$A:$A,Inventory!$B:$B),Blades!$A:$A,Blades!$C:$C)+_xludf.XLOOKUP(_xludf.XLOOKUP(B1779,Inventory!$A:$A,Inventory!$C:$C),Motor!$A:$A,Motor!$C:$C)+_xludf.XLOOKUP(_xludf.XLOOKUP(B1779,Inventory!$A:$A,Inventory!$D:$D),Frame!$A:$A,Frame!$C:$C)+#REF!,""))</f>
        <v/>
      </c>
      <c r="E1779" s="4">
        <v>45494</v>
      </c>
      <c r="F1779" s="1" t="s">
        <v>32</v>
      </c>
    </row>
    <row r="1780" spans="1:6" x14ac:dyDescent="0.25">
      <c r="A1780" s="1" t="s">
        <v>3570</v>
      </c>
      <c r="B1780" s="1" t="s">
        <v>3571</v>
      </c>
      <c r="C1780" s="3">
        <v>200</v>
      </c>
      <c r="D1780" s="3" t="str">
        <f ca="1">IF(B1780="","",IFERROR(_xludf.XLOOKUP(_xludf.XLOOKUP(B1780,Inventory!$A:$A,Inventory!$B:$B),Blades!$A:$A,Blades!$C:$C)+_xludf.XLOOKUP(_xludf.XLOOKUP(B1780,Inventory!$A:$A,Inventory!$C:$C),Motor!$A:$A,Motor!$C:$C)+_xludf.XLOOKUP(_xludf.XLOOKUP(B1780,Inventory!$A:$A,Inventory!$D:$D),Frame!$A:$A,Frame!$C:$C)+#REF!,""))</f>
        <v/>
      </c>
      <c r="E1780" s="4">
        <v>45494</v>
      </c>
      <c r="F1780" s="1" t="s">
        <v>52</v>
      </c>
    </row>
    <row r="1781" spans="1:6" x14ac:dyDescent="0.25">
      <c r="A1781" s="1" t="s">
        <v>3572</v>
      </c>
      <c r="B1781" s="1" t="s">
        <v>3573</v>
      </c>
      <c r="C1781" s="3">
        <v>200</v>
      </c>
      <c r="D1781" s="3" t="str">
        <f ca="1">IF(B1781="","",IFERROR(_xludf.XLOOKUP(_xludf.XLOOKUP(B1781,Inventory!$A:$A,Inventory!$B:$B),Blades!$A:$A,Blades!$C:$C)+_xludf.XLOOKUP(_xludf.XLOOKUP(B1781,Inventory!$A:$A,Inventory!$C:$C),Motor!$A:$A,Motor!$C:$C)+_xludf.XLOOKUP(_xludf.XLOOKUP(B1781,Inventory!$A:$A,Inventory!$D:$D),Frame!$A:$A,Frame!$C:$C)+#REF!,""))</f>
        <v/>
      </c>
      <c r="E1781" s="4">
        <v>45494</v>
      </c>
      <c r="F1781" s="1" t="s">
        <v>25</v>
      </c>
    </row>
    <row r="1782" spans="1:6" x14ac:dyDescent="0.25">
      <c r="A1782" s="1" t="s">
        <v>3574</v>
      </c>
      <c r="B1782" s="1" t="s">
        <v>3575</v>
      </c>
      <c r="C1782" s="3">
        <v>200</v>
      </c>
      <c r="D1782" s="3" t="str">
        <f ca="1">IF(B1782="","",IFERROR(_xludf.XLOOKUP(_xludf.XLOOKUP(B1782,Inventory!$A:$A,Inventory!$B:$B),Blades!$A:$A,Blades!$C:$C)+_xludf.XLOOKUP(_xludf.XLOOKUP(B1782,Inventory!$A:$A,Inventory!$C:$C),Motor!$A:$A,Motor!$C:$C)+_xludf.XLOOKUP(_xludf.XLOOKUP(B1782,Inventory!$A:$A,Inventory!$D:$D),Frame!$A:$A,Frame!$C:$C)+#REF!,""))</f>
        <v/>
      </c>
      <c r="E1782" s="4">
        <v>45497</v>
      </c>
      <c r="F1782" s="1" t="s">
        <v>20</v>
      </c>
    </row>
    <row r="1783" spans="1:6" x14ac:dyDescent="0.25">
      <c r="A1783" s="1" t="s">
        <v>3576</v>
      </c>
      <c r="B1783" s="1" t="s">
        <v>3577</v>
      </c>
      <c r="C1783" s="3">
        <v>200</v>
      </c>
      <c r="D1783" s="3" t="str">
        <f ca="1">IF(B1783="","",IFERROR(_xludf.XLOOKUP(_xludf.XLOOKUP(B1783,Inventory!$A:$A,Inventory!$B:$B),Blades!$A:$A,Blades!$C:$C)+_xludf.XLOOKUP(_xludf.XLOOKUP(B1783,Inventory!$A:$A,Inventory!$C:$C),Motor!$A:$A,Motor!$C:$C)+_xludf.XLOOKUP(_xludf.XLOOKUP(B1783,Inventory!$A:$A,Inventory!$D:$D),Frame!$A:$A,Frame!$C:$C)+#REF!,""))</f>
        <v/>
      </c>
      <c r="E1783" s="4">
        <v>45497</v>
      </c>
      <c r="F1783" s="1" t="s">
        <v>52</v>
      </c>
    </row>
    <row r="1784" spans="1:6" x14ac:dyDescent="0.25">
      <c r="A1784" s="1" t="s">
        <v>3578</v>
      </c>
      <c r="B1784" s="1" t="s">
        <v>3579</v>
      </c>
      <c r="C1784" s="3">
        <v>200</v>
      </c>
      <c r="D1784" s="3" t="str">
        <f ca="1">IF(B1784="","",IFERROR(_xludf.XLOOKUP(_xludf.XLOOKUP(B1784,Inventory!$A:$A,Inventory!$B:$B),Blades!$A:$A,Blades!$C:$C)+_xludf.XLOOKUP(_xludf.XLOOKUP(B1784,Inventory!$A:$A,Inventory!$C:$C),Motor!$A:$A,Motor!$C:$C)+_xludf.XLOOKUP(_xludf.XLOOKUP(B1784,Inventory!$A:$A,Inventory!$D:$D),Frame!$A:$A,Frame!$C:$C)+#REF!,""))</f>
        <v/>
      </c>
      <c r="E1784" s="4">
        <v>45498</v>
      </c>
      <c r="F1784" s="1" t="s">
        <v>52</v>
      </c>
    </row>
    <row r="1785" spans="1:6" x14ac:dyDescent="0.25">
      <c r="A1785" s="1" t="s">
        <v>3580</v>
      </c>
      <c r="B1785" s="1" t="s">
        <v>3581</v>
      </c>
      <c r="C1785" s="3">
        <v>200</v>
      </c>
      <c r="D1785" s="3" t="str">
        <f ca="1">IF(B1785="","",IFERROR(_xludf.XLOOKUP(_xludf.XLOOKUP(B1785,Inventory!$A:$A,Inventory!$B:$B),Blades!$A:$A,Blades!$C:$C)+_xludf.XLOOKUP(_xludf.XLOOKUP(B1785,Inventory!$A:$A,Inventory!$C:$C),Motor!$A:$A,Motor!$C:$C)+_xludf.XLOOKUP(_xludf.XLOOKUP(B1785,Inventory!$A:$A,Inventory!$D:$D),Frame!$A:$A,Frame!$C:$C)+#REF!,""))</f>
        <v/>
      </c>
      <c r="E1785" s="4">
        <v>45500</v>
      </c>
      <c r="F1785" s="1" t="s">
        <v>11</v>
      </c>
    </row>
    <row r="1786" spans="1:6" x14ac:dyDescent="0.25">
      <c r="A1786" s="1" t="s">
        <v>3582</v>
      </c>
      <c r="B1786" s="1" t="s">
        <v>3583</v>
      </c>
      <c r="C1786" s="3">
        <v>200</v>
      </c>
      <c r="D1786" s="3" t="str">
        <f ca="1">IF(B1786="","",IFERROR(_xludf.XLOOKUP(_xludf.XLOOKUP(B1786,Inventory!$A:$A,Inventory!$B:$B),Blades!$A:$A,Blades!$C:$C)+_xludf.XLOOKUP(_xludf.XLOOKUP(B1786,Inventory!$A:$A,Inventory!$C:$C),Motor!$A:$A,Motor!$C:$C)+_xludf.XLOOKUP(_xludf.XLOOKUP(B1786,Inventory!$A:$A,Inventory!$D:$D),Frame!$A:$A,Frame!$C:$C)+#REF!,""))</f>
        <v/>
      </c>
      <c r="E1786" s="4">
        <v>45500</v>
      </c>
      <c r="F1786" s="1" t="s">
        <v>32</v>
      </c>
    </row>
    <row r="1787" spans="1:6" x14ac:dyDescent="0.25">
      <c r="A1787" s="1" t="s">
        <v>3584</v>
      </c>
      <c r="B1787" s="1" t="s">
        <v>3585</v>
      </c>
      <c r="C1787" s="3">
        <v>200</v>
      </c>
      <c r="D1787" s="3" t="str">
        <f ca="1">IF(B1787="","",IFERROR(_xludf.XLOOKUP(_xludf.XLOOKUP(B1787,Inventory!$A:$A,Inventory!$B:$B),Blades!$A:$A,Blades!$C:$C)+_xludf.XLOOKUP(_xludf.XLOOKUP(B1787,Inventory!$A:$A,Inventory!$C:$C),Motor!$A:$A,Motor!$C:$C)+_xludf.XLOOKUP(_xludf.XLOOKUP(B1787,Inventory!$A:$A,Inventory!$D:$D),Frame!$A:$A,Frame!$C:$C)+#REF!,""))</f>
        <v/>
      </c>
      <c r="E1787" s="4">
        <v>45500</v>
      </c>
      <c r="F1787" s="1" t="s">
        <v>52</v>
      </c>
    </row>
    <row r="1788" spans="1:6" x14ac:dyDescent="0.25">
      <c r="A1788" s="1" t="s">
        <v>3586</v>
      </c>
      <c r="B1788" s="1" t="s">
        <v>3587</v>
      </c>
      <c r="C1788" s="3">
        <v>200</v>
      </c>
      <c r="D1788" s="3" t="str">
        <f ca="1">IF(B1788="","",IFERROR(_xludf.XLOOKUP(_xludf.XLOOKUP(B1788,Inventory!$A:$A,Inventory!$B:$B),Blades!$A:$A,Blades!$C:$C)+_xludf.XLOOKUP(_xludf.XLOOKUP(B1788,Inventory!$A:$A,Inventory!$C:$C),Motor!$A:$A,Motor!$C:$C)+_xludf.XLOOKUP(_xludf.XLOOKUP(B1788,Inventory!$A:$A,Inventory!$D:$D),Frame!$A:$A,Frame!$C:$C)+#REF!,""))</f>
        <v/>
      </c>
      <c r="E1788" s="4">
        <v>45500</v>
      </c>
      <c r="F1788" s="1" t="s">
        <v>11</v>
      </c>
    </row>
    <row r="1789" spans="1:6" x14ac:dyDescent="0.25">
      <c r="A1789" s="1" t="s">
        <v>3588</v>
      </c>
      <c r="B1789" s="1" t="s">
        <v>3589</v>
      </c>
      <c r="C1789" s="3">
        <v>200</v>
      </c>
      <c r="D1789" s="3" t="str">
        <f ca="1">IF(B1789="","",IFERROR(_xludf.XLOOKUP(_xludf.XLOOKUP(B1789,Inventory!$A:$A,Inventory!$B:$B),Blades!$A:$A,Blades!$C:$C)+_xludf.XLOOKUP(_xludf.XLOOKUP(B1789,Inventory!$A:$A,Inventory!$C:$C),Motor!$A:$A,Motor!$C:$C)+_xludf.XLOOKUP(_xludf.XLOOKUP(B1789,Inventory!$A:$A,Inventory!$D:$D),Frame!$A:$A,Frame!$C:$C)+#REF!,""))</f>
        <v/>
      </c>
      <c r="E1789" s="4">
        <v>45500</v>
      </c>
      <c r="F1789" s="1" t="s">
        <v>52</v>
      </c>
    </row>
    <row r="1790" spans="1:6" x14ac:dyDescent="0.25">
      <c r="A1790" s="1" t="s">
        <v>3590</v>
      </c>
      <c r="B1790" s="1" t="s">
        <v>3591</v>
      </c>
      <c r="C1790" s="3">
        <v>200</v>
      </c>
      <c r="D1790" s="3" t="str">
        <f ca="1">IF(B1790="","",IFERROR(_xludf.XLOOKUP(_xludf.XLOOKUP(B1790,Inventory!$A:$A,Inventory!$B:$B),Blades!$A:$A,Blades!$C:$C)+_xludf.XLOOKUP(_xludf.XLOOKUP(B1790,Inventory!$A:$A,Inventory!$C:$C),Motor!$A:$A,Motor!$C:$C)+_xludf.XLOOKUP(_xludf.XLOOKUP(B1790,Inventory!$A:$A,Inventory!$D:$D),Frame!$A:$A,Frame!$C:$C)+#REF!,""))</f>
        <v/>
      </c>
      <c r="E1790" s="4">
        <v>45501</v>
      </c>
      <c r="F1790" s="1" t="s">
        <v>20</v>
      </c>
    </row>
    <row r="1791" spans="1:6" x14ac:dyDescent="0.25">
      <c r="A1791" s="1" t="s">
        <v>3592</v>
      </c>
      <c r="B1791" s="1" t="s">
        <v>3593</v>
      </c>
      <c r="C1791" s="3">
        <v>200</v>
      </c>
      <c r="D1791" s="3" t="str">
        <f ca="1">IF(B1791="","",IFERROR(_xludf.XLOOKUP(_xludf.XLOOKUP(B1791,Inventory!$A:$A,Inventory!$B:$B),Blades!$A:$A,Blades!$C:$C)+_xludf.XLOOKUP(_xludf.XLOOKUP(B1791,Inventory!$A:$A,Inventory!$C:$C),Motor!$A:$A,Motor!$C:$C)+_xludf.XLOOKUP(_xludf.XLOOKUP(B1791,Inventory!$A:$A,Inventory!$D:$D),Frame!$A:$A,Frame!$C:$C)+#REF!,""))</f>
        <v/>
      </c>
      <c r="E1791" s="4">
        <v>45501</v>
      </c>
      <c r="F1791" s="1" t="s">
        <v>63</v>
      </c>
    </row>
    <row r="1792" spans="1:6" x14ac:dyDescent="0.25">
      <c r="A1792" s="1" t="s">
        <v>3594</v>
      </c>
      <c r="B1792" s="1" t="s">
        <v>3595</v>
      </c>
      <c r="C1792" s="3">
        <v>200</v>
      </c>
      <c r="D1792" s="3" t="str">
        <f ca="1">IF(B1792="","",IFERROR(_xludf.XLOOKUP(_xludf.XLOOKUP(B1792,Inventory!$A:$A,Inventory!$B:$B),Blades!$A:$A,Blades!$C:$C)+_xludf.XLOOKUP(_xludf.XLOOKUP(B1792,Inventory!$A:$A,Inventory!$C:$C),Motor!$A:$A,Motor!$C:$C)+_xludf.XLOOKUP(_xludf.XLOOKUP(B1792,Inventory!$A:$A,Inventory!$D:$D),Frame!$A:$A,Frame!$C:$C)+#REF!,""))</f>
        <v/>
      </c>
      <c r="E1792" s="4">
        <v>45502</v>
      </c>
      <c r="F1792" s="1" t="s">
        <v>25</v>
      </c>
    </row>
    <row r="1793" spans="1:6" x14ac:dyDescent="0.25">
      <c r="A1793" s="1" t="s">
        <v>3596</v>
      </c>
      <c r="B1793" s="1" t="s">
        <v>3597</v>
      </c>
      <c r="C1793" s="3">
        <v>200</v>
      </c>
      <c r="D1793" s="3" t="str">
        <f ca="1">IF(B1793="","",IFERROR(_xludf.XLOOKUP(_xludf.XLOOKUP(B1793,Inventory!$A:$A,Inventory!$B:$B),Blades!$A:$A,Blades!$C:$C)+_xludf.XLOOKUP(_xludf.XLOOKUP(B1793,Inventory!$A:$A,Inventory!$C:$C),Motor!$A:$A,Motor!$C:$C)+_xludf.XLOOKUP(_xludf.XLOOKUP(B1793,Inventory!$A:$A,Inventory!$D:$D),Frame!$A:$A,Frame!$C:$C)+#REF!,""))</f>
        <v/>
      </c>
      <c r="E1793" s="4">
        <v>45502</v>
      </c>
      <c r="F1793" s="1" t="s">
        <v>49</v>
      </c>
    </row>
    <row r="1794" spans="1:6" x14ac:dyDescent="0.25">
      <c r="A1794" s="1" t="s">
        <v>3598</v>
      </c>
      <c r="B1794" s="1" t="s">
        <v>3599</v>
      </c>
      <c r="C1794" s="3">
        <v>200</v>
      </c>
      <c r="D1794" s="3" t="str">
        <f ca="1">IF(B1794="","",IFERROR(_xludf.XLOOKUP(_xludf.XLOOKUP(B1794,Inventory!$A:$A,Inventory!$B:$B),Blades!$A:$A,Blades!$C:$C)+_xludf.XLOOKUP(_xludf.XLOOKUP(B1794,Inventory!$A:$A,Inventory!$C:$C),Motor!$A:$A,Motor!$C:$C)+_xludf.XLOOKUP(_xludf.XLOOKUP(B1794,Inventory!$A:$A,Inventory!$D:$D),Frame!$A:$A,Frame!$C:$C)+#REF!,""))</f>
        <v/>
      </c>
      <c r="E1794" s="4">
        <v>45503</v>
      </c>
      <c r="F1794" s="1" t="s">
        <v>11</v>
      </c>
    </row>
    <row r="1795" spans="1:6" x14ac:dyDescent="0.25">
      <c r="A1795" s="1" t="s">
        <v>3600</v>
      </c>
      <c r="B1795" s="1" t="s">
        <v>3601</v>
      </c>
      <c r="C1795" s="3">
        <v>200</v>
      </c>
      <c r="D1795" s="3" t="str">
        <f ca="1">IF(B1795="","",IFERROR(_xludf.XLOOKUP(_xludf.XLOOKUP(B1795,Inventory!$A:$A,Inventory!$B:$B),Blades!$A:$A,Blades!$C:$C)+_xludf.XLOOKUP(_xludf.XLOOKUP(B1795,Inventory!$A:$A,Inventory!$C:$C),Motor!$A:$A,Motor!$C:$C)+_xludf.XLOOKUP(_xludf.XLOOKUP(B1795,Inventory!$A:$A,Inventory!$D:$D),Frame!$A:$A,Frame!$C:$C)+#REF!,""))</f>
        <v/>
      </c>
      <c r="E1795" s="4">
        <v>45503</v>
      </c>
      <c r="F1795" s="1" t="s">
        <v>49</v>
      </c>
    </row>
    <row r="1796" spans="1:6" x14ac:dyDescent="0.25">
      <c r="A1796" s="1" t="s">
        <v>3602</v>
      </c>
      <c r="B1796" s="1" t="s">
        <v>3603</v>
      </c>
      <c r="C1796" s="3">
        <v>200</v>
      </c>
      <c r="D1796" s="3" t="str">
        <f ca="1">IF(B1796="","",IFERROR(_xludf.XLOOKUP(_xludf.XLOOKUP(B1796,Inventory!$A:$A,Inventory!$B:$B),Blades!$A:$A,Blades!$C:$C)+_xludf.XLOOKUP(_xludf.XLOOKUP(B1796,Inventory!$A:$A,Inventory!$C:$C),Motor!$A:$A,Motor!$C:$C)+_xludf.XLOOKUP(_xludf.XLOOKUP(B1796,Inventory!$A:$A,Inventory!$D:$D),Frame!$A:$A,Frame!$C:$C)+#REF!,""))</f>
        <v/>
      </c>
      <c r="E1796" s="4">
        <v>45504</v>
      </c>
      <c r="F1796" s="1" t="s">
        <v>32</v>
      </c>
    </row>
    <row r="1797" spans="1:6" x14ac:dyDescent="0.25">
      <c r="A1797" s="1" t="s">
        <v>3604</v>
      </c>
      <c r="B1797" s="1" t="s">
        <v>3605</v>
      </c>
      <c r="C1797" s="3">
        <v>200</v>
      </c>
      <c r="D1797" s="3" t="str">
        <f ca="1">IF(B1797="","",IFERROR(_xludf.XLOOKUP(_xludf.XLOOKUP(B1797,Inventory!$A:$A,Inventory!$B:$B),Blades!$A:$A,Blades!$C:$C)+_xludf.XLOOKUP(_xludf.XLOOKUP(B1797,Inventory!$A:$A,Inventory!$C:$C),Motor!$A:$A,Motor!$C:$C)+_xludf.XLOOKUP(_xludf.XLOOKUP(B1797,Inventory!$A:$A,Inventory!$D:$D),Frame!$A:$A,Frame!$C:$C)+#REF!,""))</f>
        <v/>
      </c>
      <c r="E1797" s="4">
        <v>45505</v>
      </c>
      <c r="F1797" s="1" t="s">
        <v>49</v>
      </c>
    </row>
    <row r="1798" spans="1:6" x14ac:dyDescent="0.25">
      <c r="A1798" s="1" t="s">
        <v>3606</v>
      </c>
      <c r="B1798" s="1" t="s">
        <v>3607</v>
      </c>
      <c r="C1798" s="3">
        <v>200</v>
      </c>
      <c r="D1798" s="3" t="str">
        <f ca="1">IF(B1798="","",IFERROR(_xludf.XLOOKUP(_xludf.XLOOKUP(B1798,Inventory!$A:$A,Inventory!$B:$B),Blades!$A:$A,Blades!$C:$C)+_xludf.XLOOKUP(_xludf.XLOOKUP(B1798,Inventory!$A:$A,Inventory!$C:$C),Motor!$A:$A,Motor!$C:$C)+_xludf.XLOOKUP(_xludf.XLOOKUP(B1798,Inventory!$A:$A,Inventory!$D:$D),Frame!$A:$A,Frame!$C:$C)+#REF!,""))</f>
        <v/>
      </c>
      <c r="E1798" s="4">
        <v>45505</v>
      </c>
      <c r="F1798" s="1" t="s">
        <v>11</v>
      </c>
    </row>
    <row r="1799" spans="1:6" x14ac:dyDescent="0.25">
      <c r="A1799" s="1" t="s">
        <v>3608</v>
      </c>
      <c r="B1799" s="1" t="s">
        <v>3609</v>
      </c>
      <c r="C1799" s="3">
        <v>200</v>
      </c>
      <c r="D1799" s="3" t="str">
        <f ca="1">IF(B1799="","",IFERROR(_xludf.XLOOKUP(_xludf.XLOOKUP(B1799,Inventory!$A:$A,Inventory!$B:$B),Blades!$A:$A,Blades!$C:$C)+_xludf.XLOOKUP(_xludf.XLOOKUP(B1799,Inventory!$A:$A,Inventory!$C:$C),Motor!$A:$A,Motor!$C:$C)+_xludf.XLOOKUP(_xludf.XLOOKUP(B1799,Inventory!$A:$A,Inventory!$D:$D),Frame!$A:$A,Frame!$C:$C)+#REF!,""))</f>
        <v/>
      </c>
      <c r="E1799" s="4">
        <v>45507</v>
      </c>
      <c r="F1799" s="1" t="s">
        <v>11</v>
      </c>
    </row>
    <row r="1800" spans="1:6" x14ac:dyDescent="0.25">
      <c r="A1800" s="1" t="s">
        <v>3610</v>
      </c>
      <c r="B1800" s="1" t="s">
        <v>3611</v>
      </c>
      <c r="C1800" s="3">
        <v>200</v>
      </c>
      <c r="D1800" s="3" t="str">
        <f ca="1">IF(B1800="","",IFERROR(_xludf.XLOOKUP(_xludf.XLOOKUP(B1800,Inventory!$A:$A,Inventory!$B:$B),Blades!$A:$A,Blades!$C:$C)+_xludf.XLOOKUP(_xludf.XLOOKUP(B1800,Inventory!$A:$A,Inventory!$C:$C),Motor!$A:$A,Motor!$C:$C)+_xludf.XLOOKUP(_xludf.XLOOKUP(B1800,Inventory!$A:$A,Inventory!$D:$D),Frame!$A:$A,Frame!$C:$C)+#REF!,""))</f>
        <v/>
      </c>
      <c r="E1800" s="4">
        <v>45507</v>
      </c>
      <c r="F1800" s="1" t="s">
        <v>52</v>
      </c>
    </row>
    <row r="1801" spans="1:6" x14ac:dyDescent="0.25">
      <c r="A1801" s="1" t="s">
        <v>3612</v>
      </c>
      <c r="B1801" s="1" t="s">
        <v>3613</v>
      </c>
      <c r="C1801" s="3">
        <v>200</v>
      </c>
      <c r="D1801" s="3" t="str">
        <f ca="1">IF(B1801="","",IFERROR(_xludf.XLOOKUP(_xludf.XLOOKUP(B1801,Inventory!$A:$A,Inventory!$B:$B),Blades!$A:$A,Blades!$C:$C)+_xludf.XLOOKUP(_xludf.XLOOKUP(B1801,Inventory!$A:$A,Inventory!$C:$C),Motor!$A:$A,Motor!$C:$C)+_xludf.XLOOKUP(_xludf.XLOOKUP(B1801,Inventory!$A:$A,Inventory!$D:$D),Frame!$A:$A,Frame!$C:$C)+#REF!,""))</f>
        <v/>
      </c>
      <c r="E1801" s="4">
        <v>45508</v>
      </c>
      <c r="F1801" s="1" t="s">
        <v>49</v>
      </c>
    </row>
    <row r="1802" spans="1:6" x14ac:dyDescent="0.25">
      <c r="A1802" s="1" t="s">
        <v>3614</v>
      </c>
      <c r="B1802" s="1" t="s">
        <v>3615</v>
      </c>
      <c r="C1802" s="3">
        <v>200</v>
      </c>
      <c r="D1802" s="3" t="str">
        <f ca="1">IF(B1802="","",IFERROR(_xludf.XLOOKUP(_xludf.XLOOKUP(B1802,Inventory!$A:$A,Inventory!$B:$B),Blades!$A:$A,Blades!$C:$C)+_xludf.XLOOKUP(_xludf.XLOOKUP(B1802,Inventory!$A:$A,Inventory!$C:$C),Motor!$A:$A,Motor!$C:$C)+_xludf.XLOOKUP(_xludf.XLOOKUP(B1802,Inventory!$A:$A,Inventory!$D:$D),Frame!$A:$A,Frame!$C:$C)+#REF!,""))</f>
        <v/>
      </c>
      <c r="E1802" s="4">
        <v>45508</v>
      </c>
      <c r="F1802" s="1" t="s">
        <v>32</v>
      </c>
    </row>
    <row r="1803" spans="1:6" x14ac:dyDescent="0.25">
      <c r="A1803" s="1" t="s">
        <v>3616</v>
      </c>
      <c r="B1803" s="1" t="s">
        <v>3617</v>
      </c>
      <c r="C1803" s="3">
        <v>200</v>
      </c>
      <c r="D1803" s="3" t="str">
        <f ca="1">IF(B1803="","",IFERROR(_xludf.XLOOKUP(_xludf.XLOOKUP(B1803,Inventory!$A:$A,Inventory!$B:$B),Blades!$A:$A,Blades!$C:$C)+_xludf.XLOOKUP(_xludf.XLOOKUP(B1803,Inventory!$A:$A,Inventory!$C:$C),Motor!$A:$A,Motor!$C:$C)+_xludf.XLOOKUP(_xludf.XLOOKUP(B1803,Inventory!$A:$A,Inventory!$D:$D),Frame!$A:$A,Frame!$C:$C)+#REF!,""))</f>
        <v/>
      </c>
      <c r="E1803" s="4">
        <v>45508</v>
      </c>
      <c r="F1803" s="1" t="s">
        <v>63</v>
      </c>
    </row>
    <row r="1804" spans="1:6" x14ac:dyDescent="0.25">
      <c r="A1804" s="1" t="s">
        <v>3618</v>
      </c>
      <c r="B1804" s="1" t="s">
        <v>3619</v>
      </c>
      <c r="C1804" s="3">
        <v>200</v>
      </c>
      <c r="D1804" s="3" t="str">
        <f ca="1">IF(B1804="","",IFERROR(_xludf.XLOOKUP(_xludf.XLOOKUP(B1804,Inventory!$A:$A,Inventory!$B:$B),Blades!$A:$A,Blades!$C:$C)+_xludf.XLOOKUP(_xludf.XLOOKUP(B1804,Inventory!$A:$A,Inventory!$C:$C),Motor!$A:$A,Motor!$C:$C)+_xludf.XLOOKUP(_xludf.XLOOKUP(B1804,Inventory!$A:$A,Inventory!$D:$D),Frame!$A:$A,Frame!$C:$C)+#REF!,""))</f>
        <v/>
      </c>
      <c r="E1804" s="4">
        <v>45509</v>
      </c>
      <c r="F1804" s="1" t="s">
        <v>49</v>
      </c>
    </row>
    <row r="1805" spans="1:6" x14ac:dyDescent="0.25">
      <c r="A1805" s="1" t="s">
        <v>3620</v>
      </c>
      <c r="B1805" s="1" t="s">
        <v>3621</v>
      </c>
      <c r="C1805" s="3">
        <v>200</v>
      </c>
      <c r="D1805" s="3" t="str">
        <f ca="1">IF(B1805="","",IFERROR(_xludf.XLOOKUP(_xludf.XLOOKUP(B1805,Inventory!$A:$A,Inventory!$B:$B),Blades!$A:$A,Blades!$C:$C)+_xludf.XLOOKUP(_xludf.XLOOKUP(B1805,Inventory!$A:$A,Inventory!$C:$C),Motor!$A:$A,Motor!$C:$C)+_xludf.XLOOKUP(_xludf.XLOOKUP(B1805,Inventory!$A:$A,Inventory!$D:$D),Frame!$A:$A,Frame!$C:$C)+#REF!,""))</f>
        <v/>
      </c>
      <c r="E1805" s="4">
        <v>45509</v>
      </c>
      <c r="F1805" s="1" t="s">
        <v>20</v>
      </c>
    </row>
    <row r="1806" spans="1:6" x14ac:dyDescent="0.25">
      <c r="A1806" s="1" t="s">
        <v>3622</v>
      </c>
      <c r="B1806" s="1" t="s">
        <v>3623</v>
      </c>
      <c r="C1806" s="3">
        <v>200</v>
      </c>
      <c r="D1806" s="3" t="str">
        <f ca="1">IF(B1806="","",IFERROR(_xludf.XLOOKUP(_xludf.XLOOKUP(B1806,Inventory!$A:$A,Inventory!$B:$B),Blades!$A:$A,Blades!$C:$C)+_xludf.XLOOKUP(_xludf.XLOOKUP(B1806,Inventory!$A:$A,Inventory!$C:$C),Motor!$A:$A,Motor!$C:$C)+_xludf.XLOOKUP(_xludf.XLOOKUP(B1806,Inventory!$A:$A,Inventory!$D:$D),Frame!$A:$A,Frame!$C:$C)+#REF!,""))</f>
        <v/>
      </c>
      <c r="E1806" s="4">
        <v>45510</v>
      </c>
      <c r="F1806" s="1" t="s">
        <v>25</v>
      </c>
    </row>
    <row r="1807" spans="1:6" x14ac:dyDescent="0.25">
      <c r="A1807" s="1" t="s">
        <v>3624</v>
      </c>
      <c r="B1807" s="1" t="s">
        <v>3625</v>
      </c>
      <c r="C1807" s="3">
        <v>200</v>
      </c>
      <c r="D1807" s="3" t="str">
        <f ca="1">IF(B1807="","",IFERROR(_xludf.XLOOKUP(_xludf.XLOOKUP(B1807,Inventory!$A:$A,Inventory!$B:$B),Blades!$A:$A,Blades!$C:$C)+_xludf.XLOOKUP(_xludf.XLOOKUP(B1807,Inventory!$A:$A,Inventory!$C:$C),Motor!$A:$A,Motor!$C:$C)+_xludf.XLOOKUP(_xludf.XLOOKUP(B1807,Inventory!$A:$A,Inventory!$D:$D),Frame!$A:$A,Frame!$C:$C)+#REF!,""))</f>
        <v/>
      </c>
      <c r="E1807" s="4">
        <v>45513</v>
      </c>
      <c r="F1807" s="1" t="s">
        <v>63</v>
      </c>
    </row>
    <row r="1808" spans="1:6" x14ac:dyDescent="0.25">
      <c r="A1808" s="1" t="s">
        <v>3626</v>
      </c>
      <c r="B1808" s="1" t="s">
        <v>3627</v>
      </c>
      <c r="C1808" s="3">
        <v>200</v>
      </c>
      <c r="D1808" s="3" t="str">
        <f ca="1">IF(B1808="","",IFERROR(_xludf.XLOOKUP(_xludf.XLOOKUP(B1808,Inventory!$A:$A,Inventory!$B:$B),Blades!$A:$A,Blades!$C:$C)+_xludf.XLOOKUP(_xludf.XLOOKUP(B1808,Inventory!$A:$A,Inventory!$C:$C),Motor!$A:$A,Motor!$C:$C)+_xludf.XLOOKUP(_xludf.XLOOKUP(B1808,Inventory!$A:$A,Inventory!$D:$D),Frame!$A:$A,Frame!$C:$C)+#REF!,""))</f>
        <v/>
      </c>
      <c r="E1808" s="4">
        <v>45513</v>
      </c>
      <c r="F1808" s="1" t="s">
        <v>52</v>
      </c>
    </row>
    <row r="1809" spans="1:6" x14ac:dyDescent="0.25">
      <c r="A1809" s="1" t="s">
        <v>3628</v>
      </c>
      <c r="B1809" s="1" t="s">
        <v>3629</v>
      </c>
      <c r="C1809" s="3">
        <v>200</v>
      </c>
      <c r="D1809" s="3" t="str">
        <f ca="1">IF(B1809="","",IFERROR(_xludf.XLOOKUP(_xludf.XLOOKUP(B1809,Inventory!$A:$A,Inventory!$B:$B),Blades!$A:$A,Blades!$C:$C)+_xludf.XLOOKUP(_xludf.XLOOKUP(B1809,Inventory!$A:$A,Inventory!$C:$C),Motor!$A:$A,Motor!$C:$C)+_xludf.XLOOKUP(_xludf.XLOOKUP(B1809,Inventory!$A:$A,Inventory!$D:$D),Frame!$A:$A,Frame!$C:$C)+#REF!,""))</f>
        <v/>
      </c>
      <c r="E1809" s="4">
        <v>45513</v>
      </c>
      <c r="F1809" s="1" t="s">
        <v>11</v>
      </c>
    </row>
    <row r="1810" spans="1:6" x14ac:dyDescent="0.25">
      <c r="A1810" s="1" t="s">
        <v>3630</v>
      </c>
      <c r="B1810" s="1" t="s">
        <v>3631</v>
      </c>
      <c r="C1810" s="3">
        <v>200</v>
      </c>
      <c r="D1810" s="3" t="str">
        <f ca="1">IF(B1810="","",IFERROR(_xludf.XLOOKUP(_xludf.XLOOKUP(B1810,Inventory!$A:$A,Inventory!$B:$B),Blades!$A:$A,Blades!$C:$C)+_xludf.XLOOKUP(_xludf.XLOOKUP(B1810,Inventory!$A:$A,Inventory!$C:$C),Motor!$A:$A,Motor!$C:$C)+_xludf.XLOOKUP(_xludf.XLOOKUP(B1810,Inventory!$A:$A,Inventory!$D:$D),Frame!$A:$A,Frame!$C:$C)+#REF!,""))</f>
        <v/>
      </c>
      <c r="E1810" s="4">
        <v>45513</v>
      </c>
      <c r="F1810" s="1" t="s">
        <v>20</v>
      </c>
    </row>
    <row r="1811" spans="1:6" x14ac:dyDescent="0.25">
      <c r="A1811" s="1" t="s">
        <v>3632</v>
      </c>
      <c r="B1811" s="1" t="s">
        <v>3633</v>
      </c>
      <c r="C1811" s="3">
        <v>200</v>
      </c>
      <c r="D1811" s="3" t="str">
        <f ca="1">IF(B1811="","",IFERROR(_xludf.XLOOKUP(_xludf.XLOOKUP(B1811,Inventory!$A:$A,Inventory!$B:$B),Blades!$A:$A,Blades!$C:$C)+_xludf.XLOOKUP(_xludf.XLOOKUP(B1811,Inventory!$A:$A,Inventory!$C:$C),Motor!$A:$A,Motor!$C:$C)+_xludf.XLOOKUP(_xludf.XLOOKUP(B1811,Inventory!$A:$A,Inventory!$D:$D),Frame!$A:$A,Frame!$C:$C)+#REF!,""))</f>
        <v/>
      </c>
      <c r="E1811" s="4">
        <v>45515</v>
      </c>
      <c r="F1811" s="1" t="s">
        <v>32</v>
      </c>
    </row>
    <row r="1812" spans="1:6" x14ac:dyDescent="0.25">
      <c r="A1812" s="1" t="s">
        <v>3634</v>
      </c>
      <c r="B1812" s="1" t="s">
        <v>3635</v>
      </c>
      <c r="C1812" s="3">
        <v>200</v>
      </c>
      <c r="D1812" s="3" t="str">
        <f ca="1">IF(B1812="","",IFERROR(_xludf.XLOOKUP(_xludf.XLOOKUP(B1812,Inventory!$A:$A,Inventory!$B:$B),Blades!$A:$A,Blades!$C:$C)+_xludf.XLOOKUP(_xludf.XLOOKUP(B1812,Inventory!$A:$A,Inventory!$C:$C),Motor!$A:$A,Motor!$C:$C)+_xludf.XLOOKUP(_xludf.XLOOKUP(B1812,Inventory!$A:$A,Inventory!$D:$D),Frame!$A:$A,Frame!$C:$C)+#REF!,""))</f>
        <v/>
      </c>
      <c r="E1812" s="4">
        <v>45516</v>
      </c>
      <c r="F1812" s="1" t="s">
        <v>8</v>
      </c>
    </row>
    <row r="1813" spans="1:6" x14ac:dyDescent="0.25">
      <c r="A1813" s="1" t="s">
        <v>3636</v>
      </c>
      <c r="B1813" s="1" t="s">
        <v>3637</v>
      </c>
      <c r="C1813" s="3">
        <v>200</v>
      </c>
      <c r="D1813" s="3" t="str">
        <f ca="1">IF(B1813="","",IFERROR(_xludf.XLOOKUP(_xludf.XLOOKUP(B1813,Inventory!$A:$A,Inventory!$B:$B),Blades!$A:$A,Blades!$C:$C)+_xludf.XLOOKUP(_xludf.XLOOKUP(B1813,Inventory!$A:$A,Inventory!$C:$C),Motor!$A:$A,Motor!$C:$C)+_xludf.XLOOKUP(_xludf.XLOOKUP(B1813,Inventory!$A:$A,Inventory!$D:$D),Frame!$A:$A,Frame!$C:$C)+#REF!,""))</f>
        <v/>
      </c>
      <c r="E1813" s="4">
        <v>45517</v>
      </c>
      <c r="F1813" s="1" t="s">
        <v>52</v>
      </c>
    </row>
    <row r="1814" spans="1:6" x14ac:dyDescent="0.25">
      <c r="A1814" s="1" t="s">
        <v>3638</v>
      </c>
      <c r="B1814" s="1" t="s">
        <v>3639</v>
      </c>
      <c r="C1814" s="3">
        <v>200</v>
      </c>
      <c r="D1814" s="3" t="str">
        <f ca="1">IF(B1814="","",IFERROR(_xludf.XLOOKUP(_xludf.XLOOKUP(B1814,Inventory!$A:$A,Inventory!$B:$B),Blades!$A:$A,Blades!$C:$C)+_xludf.XLOOKUP(_xludf.XLOOKUP(B1814,Inventory!$A:$A,Inventory!$C:$C),Motor!$A:$A,Motor!$C:$C)+_xludf.XLOOKUP(_xludf.XLOOKUP(B1814,Inventory!$A:$A,Inventory!$D:$D),Frame!$A:$A,Frame!$C:$C)+#REF!,""))</f>
        <v/>
      </c>
      <c r="E1814" s="4">
        <v>45518</v>
      </c>
      <c r="F1814" s="1" t="s">
        <v>52</v>
      </c>
    </row>
    <row r="1815" spans="1:6" x14ac:dyDescent="0.25">
      <c r="A1815" s="1" t="s">
        <v>3640</v>
      </c>
      <c r="B1815" s="1" t="s">
        <v>3641</v>
      </c>
      <c r="C1815" s="3">
        <v>200</v>
      </c>
      <c r="D1815" s="3" t="str">
        <f ca="1">IF(B1815="","",IFERROR(_xludf.XLOOKUP(_xludf.XLOOKUP(B1815,Inventory!$A:$A,Inventory!$B:$B),Blades!$A:$A,Blades!$C:$C)+_xludf.XLOOKUP(_xludf.XLOOKUP(B1815,Inventory!$A:$A,Inventory!$C:$C),Motor!$A:$A,Motor!$C:$C)+_xludf.XLOOKUP(_xludf.XLOOKUP(B1815,Inventory!$A:$A,Inventory!$D:$D),Frame!$A:$A,Frame!$C:$C)+#REF!,""))</f>
        <v/>
      </c>
      <c r="E1815" s="4">
        <v>45518</v>
      </c>
      <c r="F1815" s="1" t="s">
        <v>32</v>
      </c>
    </row>
    <row r="1816" spans="1:6" x14ac:dyDescent="0.25">
      <c r="A1816" s="1" t="s">
        <v>3642</v>
      </c>
      <c r="B1816" s="1" t="s">
        <v>3643</v>
      </c>
      <c r="C1816" s="3">
        <v>200</v>
      </c>
      <c r="D1816" s="3" t="str">
        <f ca="1">IF(B1816="","",IFERROR(_xludf.XLOOKUP(_xludf.XLOOKUP(B1816,Inventory!$A:$A,Inventory!$B:$B),Blades!$A:$A,Blades!$C:$C)+_xludf.XLOOKUP(_xludf.XLOOKUP(B1816,Inventory!$A:$A,Inventory!$C:$C),Motor!$A:$A,Motor!$C:$C)+_xludf.XLOOKUP(_xludf.XLOOKUP(B1816,Inventory!$A:$A,Inventory!$D:$D),Frame!$A:$A,Frame!$C:$C)+#REF!,""))</f>
        <v/>
      </c>
      <c r="E1816" s="4">
        <v>45519</v>
      </c>
      <c r="F1816" s="1" t="s">
        <v>25</v>
      </c>
    </row>
    <row r="1817" spans="1:6" x14ac:dyDescent="0.25">
      <c r="A1817" s="1" t="s">
        <v>3644</v>
      </c>
      <c r="B1817" s="1" t="s">
        <v>3645</v>
      </c>
      <c r="C1817" s="3">
        <v>200</v>
      </c>
      <c r="D1817" s="3" t="str">
        <f ca="1">IF(B1817="","",IFERROR(_xludf.XLOOKUP(_xludf.XLOOKUP(B1817,Inventory!$A:$A,Inventory!$B:$B),Blades!$A:$A,Blades!$C:$C)+_xludf.XLOOKUP(_xludf.XLOOKUP(B1817,Inventory!$A:$A,Inventory!$C:$C),Motor!$A:$A,Motor!$C:$C)+_xludf.XLOOKUP(_xludf.XLOOKUP(B1817,Inventory!$A:$A,Inventory!$D:$D),Frame!$A:$A,Frame!$C:$C)+#REF!,""))</f>
        <v/>
      </c>
      <c r="E1817" s="4">
        <v>45519</v>
      </c>
      <c r="F1817" s="1" t="s">
        <v>11</v>
      </c>
    </row>
    <row r="1818" spans="1:6" x14ac:dyDescent="0.25">
      <c r="A1818" s="1" t="s">
        <v>3646</v>
      </c>
      <c r="B1818" s="1" t="s">
        <v>3647</v>
      </c>
      <c r="C1818" s="3">
        <v>200</v>
      </c>
      <c r="D1818" s="3" t="str">
        <f ca="1">IF(B1818="","",IFERROR(_xludf.XLOOKUP(_xludf.XLOOKUP(B1818,Inventory!$A:$A,Inventory!$B:$B),Blades!$A:$A,Blades!$C:$C)+_xludf.XLOOKUP(_xludf.XLOOKUP(B1818,Inventory!$A:$A,Inventory!$C:$C),Motor!$A:$A,Motor!$C:$C)+_xludf.XLOOKUP(_xludf.XLOOKUP(B1818,Inventory!$A:$A,Inventory!$D:$D),Frame!$A:$A,Frame!$C:$C)+#REF!,""))</f>
        <v/>
      </c>
      <c r="E1818" s="4">
        <v>45519</v>
      </c>
      <c r="F1818" s="1" t="s">
        <v>49</v>
      </c>
    </row>
    <row r="1819" spans="1:6" x14ac:dyDescent="0.25">
      <c r="A1819" s="1" t="s">
        <v>3648</v>
      </c>
      <c r="B1819" s="1" t="s">
        <v>3649</v>
      </c>
      <c r="C1819" s="3">
        <v>200</v>
      </c>
      <c r="D1819" s="3" t="str">
        <f ca="1">IF(B1819="","",IFERROR(_xludf.XLOOKUP(_xludf.XLOOKUP(B1819,Inventory!$A:$A,Inventory!$B:$B),Blades!$A:$A,Blades!$C:$C)+_xludf.XLOOKUP(_xludf.XLOOKUP(B1819,Inventory!$A:$A,Inventory!$C:$C),Motor!$A:$A,Motor!$C:$C)+_xludf.XLOOKUP(_xludf.XLOOKUP(B1819,Inventory!$A:$A,Inventory!$D:$D),Frame!$A:$A,Frame!$C:$C)+#REF!,""))</f>
        <v/>
      </c>
      <c r="E1819" s="4">
        <v>45520</v>
      </c>
      <c r="F1819" s="1" t="s">
        <v>63</v>
      </c>
    </row>
    <row r="1820" spans="1:6" x14ac:dyDescent="0.25">
      <c r="A1820" s="1" t="s">
        <v>3650</v>
      </c>
      <c r="B1820" s="1" t="s">
        <v>3651</v>
      </c>
      <c r="C1820" s="3">
        <v>200</v>
      </c>
      <c r="D1820" s="3" t="str">
        <f ca="1">IF(B1820="","",IFERROR(_xludf.XLOOKUP(_xludf.XLOOKUP(B1820,Inventory!$A:$A,Inventory!$B:$B),Blades!$A:$A,Blades!$C:$C)+_xludf.XLOOKUP(_xludf.XLOOKUP(B1820,Inventory!$A:$A,Inventory!$C:$C),Motor!$A:$A,Motor!$C:$C)+_xludf.XLOOKUP(_xludf.XLOOKUP(B1820,Inventory!$A:$A,Inventory!$D:$D),Frame!$A:$A,Frame!$C:$C)+#REF!,""))</f>
        <v/>
      </c>
      <c r="E1820" s="4">
        <v>45520</v>
      </c>
      <c r="F1820" s="1" t="s">
        <v>49</v>
      </c>
    </row>
    <row r="1821" spans="1:6" x14ac:dyDescent="0.25">
      <c r="A1821" s="1" t="s">
        <v>3652</v>
      </c>
      <c r="B1821" s="1" t="s">
        <v>3653</v>
      </c>
      <c r="C1821" s="3">
        <v>200</v>
      </c>
      <c r="D1821" s="3" t="str">
        <f ca="1">IF(B1821="","",IFERROR(_xludf.XLOOKUP(_xludf.XLOOKUP(B1821,Inventory!$A:$A,Inventory!$B:$B),Blades!$A:$A,Blades!$C:$C)+_xludf.XLOOKUP(_xludf.XLOOKUP(B1821,Inventory!$A:$A,Inventory!$C:$C),Motor!$A:$A,Motor!$C:$C)+_xludf.XLOOKUP(_xludf.XLOOKUP(B1821,Inventory!$A:$A,Inventory!$D:$D),Frame!$A:$A,Frame!$C:$C)+#REF!,""))</f>
        <v/>
      </c>
      <c r="E1821" s="4">
        <v>45520</v>
      </c>
      <c r="F1821" s="1" t="s">
        <v>49</v>
      </c>
    </row>
    <row r="1822" spans="1:6" x14ac:dyDescent="0.25">
      <c r="A1822" s="1" t="s">
        <v>3654</v>
      </c>
      <c r="B1822" s="1" t="s">
        <v>3655</v>
      </c>
      <c r="C1822" s="3">
        <v>200</v>
      </c>
      <c r="D1822" s="3" t="str">
        <f ca="1">IF(B1822="","",IFERROR(_xludf.XLOOKUP(_xludf.XLOOKUP(B1822,Inventory!$A:$A,Inventory!$B:$B),Blades!$A:$A,Blades!$C:$C)+_xludf.XLOOKUP(_xludf.XLOOKUP(B1822,Inventory!$A:$A,Inventory!$C:$C),Motor!$A:$A,Motor!$C:$C)+_xludf.XLOOKUP(_xludf.XLOOKUP(B1822,Inventory!$A:$A,Inventory!$D:$D),Frame!$A:$A,Frame!$C:$C)+#REF!,""))</f>
        <v/>
      </c>
      <c r="E1822" s="4">
        <v>45521</v>
      </c>
      <c r="F1822" s="1" t="s">
        <v>25</v>
      </c>
    </row>
    <row r="1823" spans="1:6" x14ac:dyDescent="0.25">
      <c r="A1823" s="1" t="s">
        <v>3656</v>
      </c>
      <c r="B1823" s="1" t="s">
        <v>3657</v>
      </c>
      <c r="C1823" s="3">
        <v>200</v>
      </c>
      <c r="D1823" s="3" t="str">
        <f ca="1">IF(B1823="","",IFERROR(_xludf.XLOOKUP(_xludf.XLOOKUP(B1823,Inventory!$A:$A,Inventory!$B:$B),Blades!$A:$A,Blades!$C:$C)+_xludf.XLOOKUP(_xludf.XLOOKUP(B1823,Inventory!$A:$A,Inventory!$C:$C),Motor!$A:$A,Motor!$C:$C)+_xludf.XLOOKUP(_xludf.XLOOKUP(B1823,Inventory!$A:$A,Inventory!$D:$D),Frame!$A:$A,Frame!$C:$C)+#REF!,""))</f>
        <v/>
      </c>
      <c r="E1823" s="4">
        <v>45521</v>
      </c>
      <c r="F1823" s="1" t="s">
        <v>11</v>
      </c>
    </row>
    <row r="1824" spans="1:6" x14ac:dyDescent="0.25">
      <c r="A1824" s="1" t="s">
        <v>3658</v>
      </c>
      <c r="B1824" s="1" t="s">
        <v>3659</v>
      </c>
      <c r="C1824" s="3">
        <v>200</v>
      </c>
      <c r="D1824" s="3" t="str">
        <f ca="1">IF(B1824="","",IFERROR(_xludf.XLOOKUP(_xludf.XLOOKUP(B1824,Inventory!$A:$A,Inventory!$B:$B),Blades!$A:$A,Blades!$C:$C)+_xludf.XLOOKUP(_xludf.XLOOKUP(B1824,Inventory!$A:$A,Inventory!$C:$C),Motor!$A:$A,Motor!$C:$C)+_xludf.XLOOKUP(_xludf.XLOOKUP(B1824,Inventory!$A:$A,Inventory!$D:$D),Frame!$A:$A,Frame!$C:$C)+#REF!,""))</f>
        <v/>
      </c>
      <c r="E1824" s="4">
        <v>45521</v>
      </c>
      <c r="F1824" s="1" t="s">
        <v>63</v>
      </c>
    </row>
    <row r="1825" spans="1:6" x14ac:dyDescent="0.25">
      <c r="A1825" s="1" t="s">
        <v>3660</v>
      </c>
      <c r="B1825" s="1" t="s">
        <v>3661</v>
      </c>
      <c r="C1825" s="3">
        <v>200</v>
      </c>
      <c r="D1825" s="3" t="str">
        <f ca="1">IF(B1825="","",IFERROR(_xludf.XLOOKUP(_xludf.XLOOKUP(B1825,Inventory!$A:$A,Inventory!$B:$B),Blades!$A:$A,Blades!$C:$C)+_xludf.XLOOKUP(_xludf.XLOOKUP(B1825,Inventory!$A:$A,Inventory!$C:$C),Motor!$A:$A,Motor!$C:$C)+_xludf.XLOOKUP(_xludf.XLOOKUP(B1825,Inventory!$A:$A,Inventory!$D:$D),Frame!$A:$A,Frame!$C:$C)+#REF!,""))</f>
        <v/>
      </c>
      <c r="E1825" s="4">
        <v>45522</v>
      </c>
      <c r="F1825" s="1" t="s">
        <v>8</v>
      </c>
    </row>
    <row r="1826" spans="1:6" x14ac:dyDescent="0.25">
      <c r="A1826" s="1" t="s">
        <v>3662</v>
      </c>
      <c r="B1826" s="1" t="s">
        <v>3663</v>
      </c>
      <c r="C1826" s="3">
        <v>200</v>
      </c>
      <c r="D1826" s="3" t="str">
        <f ca="1">IF(B1826="","",IFERROR(_xludf.XLOOKUP(_xludf.XLOOKUP(B1826,Inventory!$A:$A,Inventory!$B:$B),Blades!$A:$A,Blades!$C:$C)+_xludf.XLOOKUP(_xludf.XLOOKUP(B1826,Inventory!$A:$A,Inventory!$C:$C),Motor!$A:$A,Motor!$C:$C)+_xludf.XLOOKUP(_xludf.XLOOKUP(B1826,Inventory!$A:$A,Inventory!$D:$D),Frame!$A:$A,Frame!$C:$C)+#REF!,""))</f>
        <v/>
      </c>
      <c r="E1826" s="4">
        <v>45523</v>
      </c>
      <c r="F1826" s="1" t="s">
        <v>20</v>
      </c>
    </row>
    <row r="1827" spans="1:6" x14ac:dyDescent="0.25">
      <c r="A1827" s="1" t="s">
        <v>3664</v>
      </c>
      <c r="B1827" s="1" t="s">
        <v>3665</v>
      </c>
      <c r="C1827" s="3">
        <v>200</v>
      </c>
      <c r="D1827" s="3" t="str">
        <f ca="1">IF(B1827="","",IFERROR(_xludf.XLOOKUP(_xludf.XLOOKUP(B1827,Inventory!$A:$A,Inventory!$B:$B),Blades!$A:$A,Blades!$C:$C)+_xludf.XLOOKUP(_xludf.XLOOKUP(B1827,Inventory!$A:$A,Inventory!$C:$C),Motor!$A:$A,Motor!$C:$C)+_xludf.XLOOKUP(_xludf.XLOOKUP(B1827,Inventory!$A:$A,Inventory!$D:$D),Frame!$A:$A,Frame!$C:$C)+#REF!,""))</f>
        <v/>
      </c>
      <c r="E1827" s="4">
        <v>45523</v>
      </c>
      <c r="F1827" s="1" t="s">
        <v>49</v>
      </c>
    </row>
    <row r="1828" spans="1:6" x14ac:dyDescent="0.25">
      <c r="A1828" s="1" t="s">
        <v>3666</v>
      </c>
      <c r="B1828" s="1" t="s">
        <v>3667</v>
      </c>
      <c r="C1828" s="3">
        <v>200</v>
      </c>
      <c r="D1828" s="3" t="str">
        <f ca="1">IF(B1828="","",IFERROR(_xludf.XLOOKUP(_xludf.XLOOKUP(B1828,Inventory!$A:$A,Inventory!$B:$B),Blades!$A:$A,Blades!$C:$C)+_xludf.XLOOKUP(_xludf.XLOOKUP(B1828,Inventory!$A:$A,Inventory!$C:$C),Motor!$A:$A,Motor!$C:$C)+_xludf.XLOOKUP(_xludf.XLOOKUP(B1828,Inventory!$A:$A,Inventory!$D:$D),Frame!$A:$A,Frame!$C:$C)+#REF!,""))</f>
        <v/>
      </c>
      <c r="E1828" s="4">
        <v>45523</v>
      </c>
      <c r="F1828" s="1" t="s">
        <v>8</v>
      </c>
    </row>
    <row r="1829" spans="1:6" x14ac:dyDescent="0.25">
      <c r="A1829" s="1" t="s">
        <v>3668</v>
      </c>
      <c r="B1829" s="1" t="s">
        <v>3669</v>
      </c>
      <c r="C1829" s="3">
        <v>200</v>
      </c>
      <c r="D1829" s="3" t="str">
        <f ca="1">IF(B1829="","",IFERROR(_xludf.XLOOKUP(_xludf.XLOOKUP(B1829,Inventory!$A:$A,Inventory!$B:$B),Blades!$A:$A,Blades!$C:$C)+_xludf.XLOOKUP(_xludf.XLOOKUP(B1829,Inventory!$A:$A,Inventory!$C:$C),Motor!$A:$A,Motor!$C:$C)+_xludf.XLOOKUP(_xludf.XLOOKUP(B1829,Inventory!$A:$A,Inventory!$D:$D),Frame!$A:$A,Frame!$C:$C)+#REF!,""))</f>
        <v/>
      </c>
      <c r="E1829" s="4">
        <v>45524</v>
      </c>
      <c r="F1829" s="1" t="s">
        <v>8</v>
      </c>
    </row>
    <row r="1830" spans="1:6" x14ac:dyDescent="0.25">
      <c r="A1830" s="1" t="s">
        <v>3670</v>
      </c>
      <c r="B1830" s="1" t="s">
        <v>3671</v>
      </c>
      <c r="C1830" s="3">
        <v>200</v>
      </c>
      <c r="D1830" s="3" t="str">
        <f ca="1">IF(B1830="","",IFERROR(_xludf.XLOOKUP(_xludf.XLOOKUP(B1830,Inventory!$A:$A,Inventory!$B:$B),Blades!$A:$A,Blades!$C:$C)+_xludf.XLOOKUP(_xludf.XLOOKUP(B1830,Inventory!$A:$A,Inventory!$C:$C),Motor!$A:$A,Motor!$C:$C)+_xludf.XLOOKUP(_xludf.XLOOKUP(B1830,Inventory!$A:$A,Inventory!$D:$D),Frame!$A:$A,Frame!$C:$C)+#REF!,""))</f>
        <v/>
      </c>
      <c r="E1830" s="4">
        <v>45524</v>
      </c>
      <c r="F1830" s="1" t="s">
        <v>63</v>
      </c>
    </row>
    <row r="1831" spans="1:6" x14ac:dyDescent="0.25">
      <c r="A1831" s="1" t="s">
        <v>3672</v>
      </c>
      <c r="B1831" s="1" t="s">
        <v>3673</v>
      </c>
      <c r="C1831" s="3">
        <v>200</v>
      </c>
      <c r="D1831" s="3" t="str">
        <f ca="1">IF(B1831="","",IFERROR(_xludf.XLOOKUP(_xludf.XLOOKUP(B1831,Inventory!$A:$A,Inventory!$B:$B),Blades!$A:$A,Blades!$C:$C)+_xludf.XLOOKUP(_xludf.XLOOKUP(B1831,Inventory!$A:$A,Inventory!$C:$C),Motor!$A:$A,Motor!$C:$C)+_xludf.XLOOKUP(_xludf.XLOOKUP(B1831,Inventory!$A:$A,Inventory!$D:$D),Frame!$A:$A,Frame!$C:$C)+#REF!,""))</f>
        <v/>
      </c>
      <c r="E1831" s="4">
        <v>45524</v>
      </c>
      <c r="F1831" s="1" t="s">
        <v>52</v>
      </c>
    </row>
    <row r="1832" spans="1:6" x14ac:dyDescent="0.25">
      <c r="A1832" s="1" t="s">
        <v>3674</v>
      </c>
      <c r="B1832" s="1" t="s">
        <v>3675</v>
      </c>
      <c r="C1832" s="3">
        <v>200</v>
      </c>
      <c r="D1832" s="3" t="str">
        <f ca="1">IF(B1832="","",IFERROR(_xludf.XLOOKUP(_xludf.XLOOKUP(B1832,Inventory!$A:$A,Inventory!$B:$B),Blades!$A:$A,Blades!$C:$C)+_xludf.XLOOKUP(_xludf.XLOOKUP(B1832,Inventory!$A:$A,Inventory!$C:$C),Motor!$A:$A,Motor!$C:$C)+_xludf.XLOOKUP(_xludf.XLOOKUP(B1832,Inventory!$A:$A,Inventory!$D:$D),Frame!$A:$A,Frame!$C:$C)+#REF!,""))</f>
        <v/>
      </c>
      <c r="E1832" s="4">
        <v>45525</v>
      </c>
      <c r="F1832" s="1" t="s">
        <v>20</v>
      </c>
    </row>
    <row r="1833" spans="1:6" x14ac:dyDescent="0.25">
      <c r="A1833" s="1" t="s">
        <v>3676</v>
      </c>
      <c r="B1833" s="1" t="s">
        <v>3677</v>
      </c>
      <c r="C1833" s="3">
        <v>200</v>
      </c>
      <c r="D1833" s="3" t="str">
        <f ca="1">IF(B1833="","",IFERROR(_xludf.XLOOKUP(_xludf.XLOOKUP(B1833,Inventory!$A:$A,Inventory!$B:$B),Blades!$A:$A,Blades!$C:$C)+_xludf.XLOOKUP(_xludf.XLOOKUP(B1833,Inventory!$A:$A,Inventory!$C:$C),Motor!$A:$A,Motor!$C:$C)+_xludf.XLOOKUP(_xludf.XLOOKUP(B1833,Inventory!$A:$A,Inventory!$D:$D),Frame!$A:$A,Frame!$C:$C)+#REF!,""))</f>
        <v/>
      </c>
      <c r="E1833" s="4">
        <v>45526</v>
      </c>
      <c r="F1833" s="1" t="s">
        <v>25</v>
      </c>
    </row>
    <row r="1834" spans="1:6" x14ac:dyDescent="0.25">
      <c r="A1834" s="1" t="s">
        <v>3678</v>
      </c>
      <c r="B1834" s="1" t="s">
        <v>3679</v>
      </c>
      <c r="C1834" s="3">
        <v>200</v>
      </c>
      <c r="D1834" s="3" t="str">
        <f ca="1">IF(B1834="","",IFERROR(_xludf.XLOOKUP(_xludf.XLOOKUP(B1834,Inventory!$A:$A,Inventory!$B:$B),Blades!$A:$A,Blades!$C:$C)+_xludf.XLOOKUP(_xludf.XLOOKUP(B1834,Inventory!$A:$A,Inventory!$C:$C),Motor!$A:$A,Motor!$C:$C)+_xludf.XLOOKUP(_xludf.XLOOKUP(B1834,Inventory!$A:$A,Inventory!$D:$D),Frame!$A:$A,Frame!$C:$C)+#REF!,""))</f>
        <v/>
      </c>
      <c r="E1834" s="4">
        <v>45527</v>
      </c>
      <c r="F1834" s="1" t="s">
        <v>25</v>
      </c>
    </row>
    <row r="1835" spans="1:6" x14ac:dyDescent="0.25">
      <c r="A1835" s="1" t="s">
        <v>3680</v>
      </c>
      <c r="B1835" s="1" t="s">
        <v>3681</v>
      </c>
      <c r="C1835" s="3">
        <v>200</v>
      </c>
      <c r="D1835" s="3" t="str">
        <f ca="1">IF(B1835="","",IFERROR(_xludf.XLOOKUP(_xludf.XLOOKUP(B1835,Inventory!$A:$A,Inventory!$B:$B),Blades!$A:$A,Blades!$C:$C)+_xludf.XLOOKUP(_xludf.XLOOKUP(B1835,Inventory!$A:$A,Inventory!$C:$C),Motor!$A:$A,Motor!$C:$C)+_xludf.XLOOKUP(_xludf.XLOOKUP(B1835,Inventory!$A:$A,Inventory!$D:$D),Frame!$A:$A,Frame!$C:$C)+#REF!,""))</f>
        <v/>
      </c>
      <c r="E1835" s="4">
        <v>45527</v>
      </c>
      <c r="F1835" s="1" t="s">
        <v>52</v>
      </c>
    </row>
    <row r="1836" spans="1:6" x14ac:dyDescent="0.25">
      <c r="A1836" s="1" t="s">
        <v>3682</v>
      </c>
      <c r="B1836" s="1" t="s">
        <v>3683</v>
      </c>
      <c r="C1836" s="3">
        <v>200</v>
      </c>
      <c r="D1836" s="3" t="str">
        <f ca="1">IF(B1836="","",IFERROR(_xludf.XLOOKUP(_xludf.XLOOKUP(B1836,Inventory!$A:$A,Inventory!$B:$B),Blades!$A:$A,Blades!$C:$C)+_xludf.XLOOKUP(_xludf.XLOOKUP(B1836,Inventory!$A:$A,Inventory!$C:$C),Motor!$A:$A,Motor!$C:$C)+_xludf.XLOOKUP(_xludf.XLOOKUP(B1836,Inventory!$A:$A,Inventory!$D:$D),Frame!$A:$A,Frame!$C:$C)+#REF!,""))</f>
        <v/>
      </c>
      <c r="E1836" s="4">
        <v>45528</v>
      </c>
      <c r="F1836" s="1" t="s">
        <v>25</v>
      </c>
    </row>
    <row r="1837" spans="1:6" x14ac:dyDescent="0.25">
      <c r="A1837" s="1" t="s">
        <v>3684</v>
      </c>
      <c r="B1837" s="1" t="s">
        <v>3685</v>
      </c>
      <c r="C1837" s="3">
        <v>200</v>
      </c>
      <c r="D1837" s="3" t="str">
        <f ca="1">IF(B1837="","",IFERROR(_xludf.XLOOKUP(_xludf.XLOOKUP(B1837,Inventory!$A:$A,Inventory!$B:$B),Blades!$A:$A,Blades!$C:$C)+_xludf.XLOOKUP(_xludf.XLOOKUP(B1837,Inventory!$A:$A,Inventory!$C:$C),Motor!$A:$A,Motor!$C:$C)+_xludf.XLOOKUP(_xludf.XLOOKUP(B1837,Inventory!$A:$A,Inventory!$D:$D),Frame!$A:$A,Frame!$C:$C)+#REF!,""))</f>
        <v/>
      </c>
      <c r="E1837" s="4">
        <v>45529</v>
      </c>
      <c r="F1837" s="1" t="s">
        <v>49</v>
      </c>
    </row>
    <row r="1838" spans="1:6" x14ac:dyDescent="0.25">
      <c r="A1838" s="1" t="s">
        <v>3686</v>
      </c>
      <c r="B1838" s="1" t="s">
        <v>3687</v>
      </c>
      <c r="C1838" s="3">
        <v>200</v>
      </c>
      <c r="D1838" s="3" t="str">
        <f ca="1">IF(B1838="","",IFERROR(_xludf.XLOOKUP(_xludf.XLOOKUP(B1838,Inventory!$A:$A,Inventory!$B:$B),Blades!$A:$A,Blades!$C:$C)+_xludf.XLOOKUP(_xludf.XLOOKUP(B1838,Inventory!$A:$A,Inventory!$C:$C),Motor!$A:$A,Motor!$C:$C)+_xludf.XLOOKUP(_xludf.XLOOKUP(B1838,Inventory!$A:$A,Inventory!$D:$D),Frame!$A:$A,Frame!$C:$C)+#REF!,""))</f>
        <v/>
      </c>
      <c r="E1838" s="4">
        <v>45529</v>
      </c>
      <c r="F1838" s="1" t="s">
        <v>8</v>
      </c>
    </row>
    <row r="1839" spans="1:6" x14ac:dyDescent="0.25">
      <c r="A1839" s="1" t="s">
        <v>3688</v>
      </c>
      <c r="B1839" s="1" t="s">
        <v>3689</v>
      </c>
      <c r="C1839" s="3">
        <v>200</v>
      </c>
      <c r="D1839" s="3" t="str">
        <f ca="1">IF(B1839="","",IFERROR(_xludf.XLOOKUP(_xludf.XLOOKUP(B1839,Inventory!$A:$A,Inventory!$B:$B),Blades!$A:$A,Blades!$C:$C)+_xludf.XLOOKUP(_xludf.XLOOKUP(B1839,Inventory!$A:$A,Inventory!$C:$C),Motor!$A:$A,Motor!$C:$C)+_xludf.XLOOKUP(_xludf.XLOOKUP(B1839,Inventory!$A:$A,Inventory!$D:$D),Frame!$A:$A,Frame!$C:$C)+#REF!,""))</f>
        <v/>
      </c>
      <c r="E1839" s="4">
        <v>45530</v>
      </c>
      <c r="F1839" s="1" t="s">
        <v>52</v>
      </c>
    </row>
    <row r="1840" spans="1:6" x14ac:dyDescent="0.25">
      <c r="A1840" s="1" t="s">
        <v>3690</v>
      </c>
      <c r="B1840" s="1" t="s">
        <v>3691</v>
      </c>
      <c r="C1840" s="3">
        <v>200</v>
      </c>
      <c r="D1840" s="3" t="str">
        <f ca="1">IF(B1840="","",IFERROR(_xludf.XLOOKUP(_xludf.XLOOKUP(B1840,Inventory!$A:$A,Inventory!$B:$B),Blades!$A:$A,Blades!$C:$C)+_xludf.XLOOKUP(_xludf.XLOOKUP(B1840,Inventory!$A:$A,Inventory!$C:$C),Motor!$A:$A,Motor!$C:$C)+_xludf.XLOOKUP(_xludf.XLOOKUP(B1840,Inventory!$A:$A,Inventory!$D:$D),Frame!$A:$A,Frame!$C:$C)+#REF!,""))</f>
        <v/>
      </c>
      <c r="E1840" s="4">
        <v>45534</v>
      </c>
      <c r="F1840" s="1" t="s">
        <v>11</v>
      </c>
    </row>
    <row r="1841" spans="1:6" x14ac:dyDescent="0.25">
      <c r="A1841" s="1" t="s">
        <v>3692</v>
      </c>
      <c r="B1841" s="1" t="s">
        <v>3693</v>
      </c>
      <c r="C1841" s="3">
        <v>200</v>
      </c>
      <c r="D1841" s="3" t="str">
        <f ca="1">IF(B1841="","",IFERROR(_xludf.XLOOKUP(_xludf.XLOOKUP(B1841,Inventory!$A:$A,Inventory!$B:$B),Blades!$A:$A,Blades!$C:$C)+_xludf.XLOOKUP(_xludf.XLOOKUP(B1841,Inventory!$A:$A,Inventory!$C:$C),Motor!$A:$A,Motor!$C:$C)+_xludf.XLOOKUP(_xludf.XLOOKUP(B1841,Inventory!$A:$A,Inventory!$D:$D),Frame!$A:$A,Frame!$C:$C)+#REF!,""))</f>
        <v/>
      </c>
      <c r="E1841" s="4">
        <v>45534</v>
      </c>
      <c r="F1841" s="1" t="s">
        <v>11</v>
      </c>
    </row>
    <row r="1842" spans="1:6" x14ac:dyDescent="0.25">
      <c r="A1842" s="1" t="s">
        <v>3694</v>
      </c>
      <c r="B1842" s="1" t="s">
        <v>3695</v>
      </c>
      <c r="C1842" s="3">
        <v>200</v>
      </c>
      <c r="D1842" s="3" t="str">
        <f ca="1">IF(B1842="","",IFERROR(_xludf.XLOOKUP(_xludf.XLOOKUP(B1842,Inventory!$A:$A,Inventory!$B:$B),Blades!$A:$A,Blades!$C:$C)+_xludf.XLOOKUP(_xludf.XLOOKUP(B1842,Inventory!$A:$A,Inventory!$C:$C),Motor!$A:$A,Motor!$C:$C)+_xludf.XLOOKUP(_xludf.XLOOKUP(B1842,Inventory!$A:$A,Inventory!$D:$D),Frame!$A:$A,Frame!$C:$C)+#REF!,""))</f>
        <v/>
      </c>
      <c r="E1842" s="4">
        <v>45535</v>
      </c>
      <c r="F1842" s="1" t="s">
        <v>52</v>
      </c>
    </row>
    <row r="1843" spans="1:6" x14ac:dyDescent="0.25">
      <c r="A1843" s="1" t="s">
        <v>3696</v>
      </c>
      <c r="B1843" s="1" t="s">
        <v>3697</v>
      </c>
      <c r="C1843" s="3">
        <v>200</v>
      </c>
      <c r="D1843" s="3" t="str">
        <f ca="1">IF(B1843="","",IFERROR(_xludf.XLOOKUP(_xludf.XLOOKUP(B1843,Inventory!$A:$A,Inventory!$B:$B),Blades!$A:$A,Blades!$C:$C)+_xludf.XLOOKUP(_xludf.XLOOKUP(B1843,Inventory!$A:$A,Inventory!$C:$C),Motor!$A:$A,Motor!$C:$C)+_xludf.XLOOKUP(_xludf.XLOOKUP(B1843,Inventory!$A:$A,Inventory!$D:$D),Frame!$A:$A,Frame!$C:$C)+#REF!,""))</f>
        <v/>
      </c>
      <c r="E1843" s="4">
        <v>45535</v>
      </c>
      <c r="F1843" s="1" t="s">
        <v>63</v>
      </c>
    </row>
    <row r="1844" spans="1:6" x14ac:dyDescent="0.25">
      <c r="A1844" s="1" t="s">
        <v>3698</v>
      </c>
      <c r="B1844" s="1" t="s">
        <v>3699</v>
      </c>
      <c r="C1844" s="3">
        <v>200</v>
      </c>
      <c r="D1844" s="3" t="str">
        <f ca="1">IF(B1844="","",IFERROR(_xludf.XLOOKUP(_xludf.XLOOKUP(B1844,Inventory!$A:$A,Inventory!$B:$B),Blades!$A:$A,Blades!$C:$C)+_xludf.XLOOKUP(_xludf.XLOOKUP(B1844,Inventory!$A:$A,Inventory!$C:$C),Motor!$A:$A,Motor!$C:$C)+_xludf.XLOOKUP(_xludf.XLOOKUP(B1844,Inventory!$A:$A,Inventory!$D:$D),Frame!$A:$A,Frame!$C:$C)+#REF!,""))</f>
        <v/>
      </c>
      <c r="E1844" s="4">
        <v>45535</v>
      </c>
      <c r="F1844" s="1" t="s">
        <v>11</v>
      </c>
    </row>
    <row r="1845" spans="1:6" x14ac:dyDescent="0.25">
      <c r="A1845" s="1" t="s">
        <v>3700</v>
      </c>
      <c r="B1845" s="1" t="s">
        <v>3701</v>
      </c>
      <c r="C1845" s="3">
        <v>200</v>
      </c>
      <c r="D1845" s="3" t="str">
        <f ca="1">IF(B1845="","",IFERROR(_xludf.XLOOKUP(_xludf.XLOOKUP(B1845,Inventory!$A:$A,Inventory!$B:$B),Blades!$A:$A,Blades!$C:$C)+_xludf.XLOOKUP(_xludf.XLOOKUP(B1845,Inventory!$A:$A,Inventory!$C:$C),Motor!$A:$A,Motor!$C:$C)+_xludf.XLOOKUP(_xludf.XLOOKUP(B1845,Inventory!$A:$A,Inventory!$D:$D),Frame!$A:$A,Frame!$C:$C)+#REF!,""))</f>
        <v/>
      </c>
      <c r="E1845" s="4">
        <v>45535</v>
      </c>
      <c r="F1845" s="1" t="s">
        <v>63</v>
      </c>
    </row>
    <row r="1846" spans="1:6" x14ac:dyDescent="0.25">
      <c r="A1846" s="1" t="s">
        <v>3702</v>
      </c>
      <c r="B1846" s="1" t="s">
        <v>3703</v>
      </c>
      <c r="C1846" s="3">
        <v>200</v>
      </c>
      <c r="D1846" s="3" t="str">
        <f ca="1">IF(B1846="","",IFERROR(_xludf.XLOOKUP(_xludf.XLOOKUP(B1846,Inventory!$A:$A,Inventory!$B:$B),Blades!$A:$A,Blades!$C:$C)+_xludf.XLOOKUP(_xludf.XLOOKUP(B1846,Inventory!$A:$A,Inventory!$C:$C),Motor!$A:$A,Motor!$C:$C)+_xludf.XLOOKUP(_xludf.XLOOKUP(B1846,Inventory!$A:$A,Inventory!$D:$D),Frame!$A:$A,Frame!$C:$C)+#REF!,""))</f>
        <v/>
      </c>
      <c r="E1846" s="4">
        <v>45537</v>
      </c>
      <c r="F1846" s="1" t="s">
        <v>11</v>
      </c>
    </row>
    <row r="1847" spans="1:6" x14ac:dyDescent="0.25">
      <c r="A1847" s="1" t="s">
        <v>3704</v>
      </c>
      <c r="B1847" s="1" t="s">
        <v>3705</v>
      </c>
      <c r="C1847" s="3">
        <v>200</v>
      </c>
      <c r="D1847" s="3" t="str">
        <f ca="1">IF(B1847="","",IFERROR(_xludf.XLOOKUP(_xludf.XLOOKUP(B1847,Inventory!$A:$A,Inventory!$B:$B),Blades!$A:$A,Blades!$C:$C)+_xludf.XLOOKUP(_xludf.XLOOKUP(B1847,Inventory!$A:$A,Inventory!$C:$C),Motor!$A:$A,Motor!$C:$C)+_xludf.XLOOKUP(_xludf.XLOOKUP(B1847,Inventory!$A:$A,Inventory!$D:$D),Frame!$A:$A,Frame!$C:$C)+#REF!,""))</f>
        <v/>
      </c>
      <c r="E1847" s="4">
        <v>45538</v>
      </c>
      <c r="F1847" s="1" t="s">
        <v>49</v>
      </c>
    </row>
    <row r="1848" spans="1:6" x14ac:dyDescent="0.25">
      <c r="A1848" s="1" t="s">
        <v>3706</v>
      </c>
      <c r="B1848" s="1" t="s">
        <v>3707</v>
      </c>
      <c r="C1848" s="3">
        <v>200</v>
      </c>
      <c r="D1848" s="3" t="str">
        <f ca="1">IF(B1848="","",IFERROR(_xludf.XLOOKUP(_xludf.XLOOKUP(B1848,Inventory!$A:$A,Inventory!$B:$B),Blades!$A:$A,Blades!$C:$C)+_xludf.XLOOKUP(_xludf.XLOOKUP(B1848,Inventory!$A:$A,Inventory!$C:$C),Motor!$A:$A,Motor!$C:$C)+_xludf.XLOOKUP(_xludf.XLOOKUP(B1848,Inventory!$A:$A,Inventory!$D:$D),Frame!$A:$A,Frame!$C:$C)+#REF!,""))</f>
        <v/>
      </c>
      <c r="E1848" s="4">
        <v>45538</v>
      </c>
      <c r="F1848" s="1" t="s">
        <v>63</v>
      </c>
    </row>
    <row r="1849" spans="1:6" x14ac:dyDescent="0.25">
      <c r="A1849" s="1" t="s">
        <v>3708</v>
      </c>
      <c r="B1849" s="1" t="s">
        <v>3709</v>
      </c>
      <c r="C1849" s="3">
        <v>200</v>
      </c>
      <c r="D1849" s="3" t="str">
        <f ca="1">IF(B1849="","",IFERROR(_xludf.XLOOKUP(_xludf.XLOOKUP(B1849,Inventory!$A:$A,Inventory!$B:$B),Blades!$A:$A,Blades!$C:$C)+_xludf.XLOOKUP(_xludf.XLOOKUP(B1849,Inventory!$A:$A,Inventory!$C:$C),Motor!$A:$A,Motor!$C:$C)+_xludf.XLOOKUP(_xludf.XLOOKUP(B1849,Inventory!$A:$A,Inventory!$D:$D),Frame!$A:$A,Frame!$C:$C)+#REF!,""))</f>
        <v/>
      </c>
      <c r="E1849" s="4">
        <v>45539</v>
      </c>
      <c r="F1849" s="1" t="s">
        <v>63</v>
      </c>
    </row>
    <row r="1850" spans="1:6" x14ac:dyDescent="0.25">
      <c r="A1850" s="1" t="s">
        <v>3710</v>
      </c>
      <c r="B1850" s="1" t="s">
        <v>3711</v>
      </c>
      <c r="C1850" s="3">
        <v>200</v>
      </c>
      <c r="D1850" s="3" t="str">
        <f ca="1">IF(B1850="","",IFERROR(_xludf.XLOOKUP(_xludf.XLOOKUP(B1850,Inventory!$A:$A,Inventory!$B:$B),Blades!$A:$A,Blades!$C:$C)+_xludf.XLOOKUP(_xludf.XLOOKUP(B1850,Inventory!$A:$A,Inventory!$C:$C),Motor!$A:$A,Motor!$C:$C)+_xludf.XLOOKUP(_xludf.XLOOKUP(B1850,Inventory!$A:$A,Inventory!$D:$D),Frame!$A:$A,Frame!$C:$C)+#REF!,""))</f>
        <v/>
      </c>
      <c r="E1850" s="4">
        <v>45540</v>
      </c>
      <c r="F1850" s="1" t="s">
        <v>11</v>
      </c>
    </row>
    <row r="1851" spans="1:6" x14ac:dyDescent="0.25">
      <c r="A1851" s="1" t="s">
        <v>3712</v>
      </c>
      <c r="B1851" s="1" t="s">
        <v>3713</v>
      </c>
      <c r="C1851" s="3">
        <v>200</v>
      </c>
      <c r="D1851" s="3" t="str">
        <f ca="1">IF(B1851="","",IFERROR(_xludf.XLOOKUP(_xludf.XLOOKUP(B1851,Inventory!$A:$A,Inventory!$B:$B),Blades!$A:$A,Blades!$C:$C)+_xludf.XLOOKUP(_xludf.XLOOKUP(B1851,Inventory!$A:$A,Inventory!$C:$C),Motor!$A:$A,Motor!$C:$C)+_xludf.XLOOKUP(_xludf.XLOOKUP(B1851,Inventory!$A:$A,Inventory!$D:$D),Frame!$A:$A,Frame!$C:$C)+#REF!,""))</f>
        <v/>
      </c>
      <c r="E1851" s="4">
        <v>45540</v>
      </c>
      <c r="F1851" s="1" t="s">
        <v>32</v>
      </c>
    </row>
    <row r="1852" spans="1:6" x14ac:dyDescent="0.25">
      <c r="A1852" s="1" t="s">
        <v>3714</v>
      </c>
      <c r="B1852" s="1" t="s">
        <v>3715</v>
      </c>
      <c r="C1852" s="3">
        <v>200</v>
      </c>
      <c r="D1852" s="3" t="str">
        <f ca="1">IF(B1852="","",IFERROR(_xludf.XLOOKUP(_xludf.XLOOKUP(B1852,Inventory!$A:$A,Inventory!$B:$B),Blades!$A:$A,Blades!$C:$C)+_xludf.XLOOKUP(_xludf.XLOOKUP(B1852,Inventory!$A:$A,Inventory!$C:$C),Motor!$A:$A,Motor!$C:$C)+_xludf.XLOOKUP(_xludf.XLOOKUP(B1852,Inventory!$A:$A,Inventory!$D:$D),Frame!$A:$A,Frame!$C:$C)+#REF!,""))</f>
        <v/>
      </c>
      <c r="E1852" s="4">
        <v>45542</v>
      </c>
      <c r="F1852" s="1" t="s">
        <v>8</v>
      </c>
    </row>
    <row r="1853" spans="1:6" x14ac:dyDescent="0.25">
      <c r="A1853" s="1" t="s">
        <v>3716</v>
      </c>
      <c r="B1853" s="1" t="s">
        <v>3717</v>
      </c>
      <c r="C1853" s="3">
        <v>200</v>
      </c>
      <c r="D1853" s="3" t="str">
        <f ca="1">IF(B1853="","",IFERROR(_xludf.XLOOKUP(_xludf.XLOOKUP(B1853,Inventory!$A:$A,Inventory!$B:$B),Blades!$A:$A,Blades!$C:$C)+_xludf.XLOOKUP(_xludf.XLOOKUP(B1853,Inventory!$A:$A,Inventory!$C:$C),Motor!$A:$A,Motor!$C:$C)+_xludf.XLOOKUP(_xludf.XLOOKUP(B1853,Inventory!$A:$A,Inventory!$D:$D),Frame!$A:$A,Frame!$C:$C)+#REF!,""))</f>
        <v/>
      </c>
      <c r="E1853" s="4">
        <v>45542</v>
      </c>
      <c r="F1853" s="1" t="s">
        <v>63</v>
      </c>
    </row>
    <row r="1854" spans="1:6" x14ac:dyDescent="0.25">
      <c r="A1854" s="1" t="s">
        <v>3718</v>
      </c>
      <c r="B1854" s="1" t="s">
        <v>3719</v>
      </c>
      <c r="C1854" s="3">
        <v>200</v>
      </c>
      <c r="D1854" s="3" t="str">
        <f ca="1">IF(B1854="","",IFERROR(_xludf.XLOOKUP(_xludf.XLOOKUP(B1854,Inventory!$A:$A,Inventory!$B:$B),Blades!$A:$A,Blades!$C:$C)+_xludf.XLOOKUP(_xludf.XLOOKUP(B1854,Inventory!$A:$A,Inventory!$C:$C),Motor!$A:$A,Motor!$C:$C)+_xludf.XLOOKUP(_xludf.XLOOKUP(B1854,Inventory!$A:$A,Inventory!$D:$D),Frame!$A:$A,Frame!$C:$C)+#REF!,""))</f>
        <v/>
      </c>
      <c r="E1854" s="4">
        <v>45542</v>
      </c>
      <c r="F1854" s="1" t="s">
        <v>20</v>
      </c>
    </row>
    <row r="1855" spans="1:6" x14ac:dyDescent="0.25">
      <c r="A1855" s="1" t="s">
        <v>3720</v>
      </c>
      <c r="B1855" s="1" t="s">
        <v>3721</v>
      </c>
      <c r="C1855" s="3">
        <v>200</v>
      </c>
      <c r="D1855" s="3" t="str">
        <f ca="1">IF(B1855="","",IFERROR(_xludf.XLOOKUP(_xludf.XLOOKUP(B1855,Inventory!$A:$A,Inventory!$B:$B),Blades!$A:$A,Blades!$C:$C)+_xludf.XLOOKUP(_xludf.XLOOKUP(B1855,Inventory!$A:$A,Inventory!$C:$C),Motor!$A:$A,Motor!$C:$C)+_xludf.XLOOKUP(_xludf.XLOOKUP(B1855,Inventory!$A:$A,Inventory!$D:$D),Frame!$A:$A,Frame!$C:$C)+#REF!,""))</f>
        <v/>
      </c>
      <c r="E1855" s="4">
        <v>45543</v>
      </c>
      <c r="F1855" s="1" t="s">
        <v>20</v>
      </c>
    </row>
    <row r="1856" spans="1:6" x14ac:dyDescent="0.25">
      <c r="A1856" s="1" t="s">
        <v>3722</v>
      </c>
      <c r="B1856" s="1" t="s">
        <v>3723</v>
      </c>
      <c r="C1856" s="3">
        <v>200</v>
      </c>
      <c r="D1856" s="3" t="str">
        <f ca="1">IF(B1856="","",IFERROR(_xludf.XLOOKUP(_xludf.XLOOKUP(B1856,Inventory!$A:$A,Inventory!$B:$B),Blades!$A:$A,Blades!$C:$C)+_xludf.XLOOKUP(_xludf.XLOOKUP(B1856,Inventory!$A:$A,Inventory!$C:$C),Motor!$A:$A,Motor!$C:$C)+_xludf.XLOOKUP(_xludf.XLOOKUP(B1856,Inventory!$A:$A,Inventory!$D:$D),Frame!$A:$A,Frame!$C:$C)+#REF!,""))</f>
        <v/>
      </c>
      <c r="E1856" s="4">
        <v>45544</v>
      </c>
      <c r="F1856" s="1" t="s">
        <v>52</v>
      </c>
    </row>
    <row r="1857" spans="1:6" x14ac:dyDescent="0.25">
      <c r="A1857" s="1" t="s">
        <v>3724</v>
      </c>
      <c r="B1857" s="1" t="s">
        <v>3725</v>
      </c>
      <c r="C1857" s="3">
        <v>200</v>
      </c>
      <c r="D1857" s="3" t="str">
        <f ca="1">IF(B1857="","",IFERROR(_xludf.XLOOKUP(_xludf.XLOOKUP(B1857,Inventory!$A:$A,Inventory!$B:$B),Blades!$A:$A,Blades!$C:$C)+_xludf.XLOOKUP(_xludf.XLOOKUP(B1857,Inventory!$A:$A,Inventory!$C:$C),Motor!$A:$A,Motor!$C:$C)+_xludf.XLOOKUP(_xludf.XLOOKUP(B1857,Inventory!$A:$A,Inventory!$D:$D),Frame!$A:$A,Frame!$C:$C)+#REF!,""))</f>
        <v/>
      </c>
      <c r="E1857" s="4">
        <v>45544</v>
      </c>
      <c r="F1857" s="1" t="s">
        <v>8</v>
      </c>
    </row>
    <row r="1858" spans="1:6" x14ac:dyDescent="0.25">
      <c r="A1858" s="1" t="s">
        <v>3726</v>
      </c>
      <c r="B1858" s="1" t="s">
        <v>3727</v>
      </c>
      <c r="C1858" s="3">
        <v>200</v>
      </c>
      <c r="D1858" s="3" t="str">
        <f ca="1">IF(B1858="","",IFERROR(_xludf.XLOOKUP(_xludf.XLOOKUP(B1858,Inventory!$A:$A,Inventory!$B:$B),Blades!$A:$A,Blades!$C:$C)+_xludf.XLOOKUP(_xludf.XLOOKUP(B1858,Inventory!$A:$A,Inventory!$C:$C),Motor!$A:$A,Motor!$C:$C)+_xludf.XLOOKUP(_xludf.XLOOKUP(B1858,Inventory!$A:$A,Inventory!$D:$D),Frame!$A:$A,Frame!$C:$C)+#REF!,""))</f>
        <v/>
      </c>
      <c r="E1858" s="4">
        <v>45544</v>
      </c>
      <c r="F1858" s="1" t="s">
        <v>20</v>
      </c>
    </row>
    <row r="1859" spans="1:6" x14ac:dyDescent="0.25">
      <c r="A1859" s="1" t="s">
        <v>3728</v>
      </c>
      <c r="B1859" s="1" t="s">
        <v>3729</v>
      </c>
      <c r="C1859" s="3">
        <v>200</v>
      </c>
      <c r="D1859" s="3" t="str">
        <f ca="1">IF(B1859="","",IFERROR(_xludf.XLOOKUP(_xludf.XLOOKUP(B1859,Inventory!$A:$A,Inventory!$B:$B),Blades!$A:$A,Blades!$C:$C)+_xludf.XLOOKUP(_xludf.XLOOKUP(B1859,Inventory!$A:$A,Inventory!$C:$C),Motor!$A:$A,Motor!$C:$C)+_xludf.XLOOKUP(_xludf.XLOOKUP(B1859,Inventory!$A:$A,Inventory!$D:$D),Frame!$A:$A,Frame!$C:$C)+#REF!,""))</f>
        <v/>
      </c>
      <c r="E1859" s="4">
        <v>45544</v>
      </c>
      <c r="F1859" s="1" t="s">
        <v>52</v>
      </c>
    </row>
    <row r="1860" spans="1:6" x14ac:dyDescent="0.25">
      <c r="A1860" s="1" t="s">
        <v>3730</v>
      </c>
      <c r="B1860" s="1" t="s">
        <v>3731</v>
      </c>
      <c r="C1860" s="3">
        <v>200</v>
      </c>
      <c r="D1860" s="3" t="str">
        <f ca="1">IF(B1860="","",IFERROR(_xludf.XLOOKUP(_xludf.XLOOKUP(B1860,Inventory!$A:$A,Inventory!$B:$B),Blades!$A:$A,Blades!$C:$C)+_xludf.XLOOKUP(_xludf.XLOOKUP(B1860,Inventory!$A:$A,Inventory!$C:$C),Motor!$A:$A,Motor!$C:$C)+_xludf.XLOOKUP(_xludf.XLOOKUP(B1860,Inventory!$A:$A,Inventory!$D:$D),Frame!$A:$A,Frame!$C:$C)+#REF!,""))</f>
        <v/>
      </c>
      <c r="E1860" s="4">
        <v>45545</v>
      </c>
      <c r="F1860" s="1" t="s">
        <v>25</v>
      </c>
    </row>
    <row r="1861" spans="1:6" x14ac:dyDescent="0.25">
      <c r="A1861" s="1" t="s">
        <v>3732</v>
      </c>
      <c r="B1861" s="1" t="s">
        <v>3733</v>
      </c>
      <c r="C1861" s="3">
        <v>200</v>
      </c>
      <c r="D1861" s="3" t="str">
        <f ca="1">IF(B1861="","",IFERROR(_xludf.XLOOKUP(_xludf.XLOOKUP(B1861,Inventory!$A:$A,Inventory!$B:$B),Blades!$A:$A,Blades!$C:$C)+_xludf.XLOOKUP(_xludf.XLOOKUP(B1861,Inventory!$A:$A,Inventory!$C:$C),Motor!$A:$A,Motor!$C:$C)+_xludf.XLOOKUP(_xludf.XLOOKUP(B1861,Inventory!$A:$A,Inventory!$D:$D),Frame!$A:$A,Frame!$C:$C)+#REF!,""))</f>
        <v/>
      </c>
      <c r="E1861" s="4">
        <v>45547</v>
      </c>
      <c r="F1861" s="1" t="s">
        <v>11</v>
      </c>
    </row>
    <row r="1862" spans="1:6" x14ac:dyDescent="0.25">
      <c r="A1862" s="1" t="s">
        <v>3734</v>
      </c>
      <c r="B1862" s="1" t="s">
        <v>3735</v>
      </c>
      <c r="C1862" s="3">
        <v>200</v>
      </c>
      <c r="D1862" s="3" t="str">
        <f ca="1">IF(B1862="","",IFERROR(_xludf.XLOOKUP(_xludf.XLOOKUP(B1862,Inventory!$A:$A,Inventory!$B:$B),Blades!$A:$A,Blades!$C:$C)+_xludf.XLOOKUP(_xludf.XLOOKUP(B1862,Inventory!$A:$A,Inventory!$C:$C),Motor!$A:$A,Motor!$C:$C)+_xludf.XLOOKUP(_xludf.XLOOKUP(B1862,Inventory!$A:$A,Inventory!$D:$D),Frame!$A:$A,Frame!$C:$C)+#REF!,""))</f>
        <v/>
      </c>
      <c r="E1862" s="4">
        <v>45548</v>
      </c>
      <c r="F1862" s="1" t="s">
        <v>32</v>
      </c>
    </row>
    <row r="1863" spans="1:6" x14ac:dyDescent="0.25">
      <c r="A1863" s="1" t="s">
        <v>3736</v>
      </c>
      <c r="B1863" s="1" t="s">
        <v>3737</v>
      </c>
      <c r="C1863" s="3">
        <v>200</v>
      </c>
      <c r="D1863" s="3" t="str">
        <f ca="1">IF(B1863="","",IFERROR(_xludf.XLOOKUP(_xludf.XLOOKUP(B1863,Inventory!$A:$A,Inventory!$B:$B),Blades!$A:$A,Blades!$C:$C)+_xludf.XLOOKUP(_xludf.XLOOKUP(B1863,Inventory!$A:$A,Inventory!$C:$C),Motor!$A:$A,Motor!$C:$C)+_xludf.XLOOKUP(_xludf.XLOOKUP(B1863,Inventory!$A:$A,Inventory!$D:$D),Frame!$A:$A,Frame!$C:$C)+#REF!,""))</f>
        <v/>
      </c>
      <c r="E1863" s="4">
        <v>45548</v>
      </c>
      <c r="F1863" s="1" t="s">
        <v>20</v>
      </c>
    </row>
    <row r="1864" spans="1:6" x14ac:dyDescent="0.25">
      <c r="A1864" s="1" t="s">
        <v>3738</v>
      </c>
      <c r="B1864" s="1" t="s">
        <v>3739</v>
      </c>
      <c r="C1864" s="3">
        <v>200</v>
      </c>
      <c r="D1864" s="3" t="str">
        <f ca="1">IF(B1864="","",IFERROR(_xludf.XLOOKUP(_xludf.XLOOKUP(B1864,Inventory!$A:$A,Inventory!$B:$B),Blades!$A:$A,Blades!$C:$C)+_xludf.XLOOKUP(_xludf.XLOOKUP(B1864,Inventory!$A:$A,Inventory!$C:$C),Motor!$A:$A,Motor!$C:$C)+_xludf.XLOOKUP(_xludf.XLOOKUP(B1864,Inventory!$A:$A,Inventory!$D:$D),Frame!$A:$A,Frame!$C:$C)+#REF!,""))</f>
        <v/>
      </c>
      <c r="E1864" s="4">
        <v>45549</v>
      </c>
      <c r="F1864" s="1" t="s">
        <v>32</v>
      </c>
    </row>
    <row r="1865" spans="1:6" x14ac:dyDescent="0.25">
      <c r="A1865" s="1" t="s">
        <v>3740</v>
      </c>
      <c r="B1865" s="1" t="s">
        <v>3741</v>
      </c>
      <c r="C1865" s="3">
        <v>200</v>
      </c>
      <c r="D1865" s="3" t="str">
        <f ca="1">IF(B1865="","",IFERROR(_xludf.XLOOKUP(_xludf.XLOOKUP(B1865,Inventory!$A:$A,Inventory!$B:$B),Blades!$A:$A,Blades!$C:$C)+_xludf.XLOOKUP(_xludf.XLOOKUP(B1865,Inventory!$A:$A,Inventory!$C:$C),Motor!$A:$A,Motor!$C:$C)+_xludf.XLOOKUP(_xludf.XLOOKUP(B1865,Inventory!$A:$A,Inventory!$D:$D),Frame!$A:$A,Frame!$C:$C)+#REF!,""))</f>
        <v/>
      </c>
      <c r="E1865" s="4">
        <v>45550</v>
      </c>
      <c r="F1865" s="1" t="s">
        <v>25</v>
      </c>
    </row>
    <row r="1866" spans="1:6" x14ac:dyDescent="0.25">
      <c r="A1866" s="1" t="s">
        <v>3742</v>
      </c>
      <c r="B1866" s="1" t="s">
        <v>3743</v>
      </c>
      <c r="C1866" s="3">
        <v>200</v>
      </c>
      <c r="D1866" s="3" t="str">
        <f ca="1">IF(B1866="","",IFERROR(_xludf.XLOOKUP(_xludf.XLOOKUP(B1866,Inventory!$A:$A,Inventory!$B:$B),Blades!$A:$A,Blades!$C:$C)+_xludf.XLOOKUP(_xludf.XLOOKUP(B1866,Inventory!$A:$A,Inventory!$C:$C),Motor!$A:$A,Motor!$C:$C)+_xludf.XLOOKUP(_xludf.XLOOKUP(B1866,Inventory!$A:$A,Inventory!$D:$D),Frame!$A:$A,Frame!$C:$C)+#REF!,""))</f>
        <v/>
      </c>
      <c r="E1866" s="4">
        <v>45550</v>
      </c>
      <c r="F1866" s="1" t="s">
        <v>11</v>
      </c>
    </row>
    <row r="1867" spans="1:6" x14ac:dyDescent="0.25">
      <c r="A1867" s="1" t="s">
        <v>3744</v>
      </c>
      <c r="B1867" s="1" t="s">
        <v>3745</v>
      </c>
      <c r="C1867" s="3">
        <v>200</v>
      </c>
      <c r="D1867" s="3" t="str">
        <f ca="1">IF(B1867="","",IFERROR(_xludf.XLOOKUP(_xludf.XLOOKUP(B1867,Inventory!$A:$A,Inventory!$B:$B),Blades!$A:$A,Blades!$C:$C)+_xludf.XLOOKUP(_xludf.XLOOKUP(B1867,Inventory!$A:$A,Inventory!$C:$C),Motor!$A:$A,Motor!$C:$C)+_xludf.XLOOKUP(_xludf.XLOOKUP(B1867,Inventory!$A:$A,Inventory!$D:$D),Frame!$A:$A,Frame!$C:$C)+#REF!,""))</f>
        <v/>
      </c>
      <c r="E1867" s="4">
        <v>45550</v>
      </c>
      <c r="F1867" s="1" t="s">
        <v>32</v>
      </c>
    </row>
    <row r="1868" spans="1:6" x14ac:dyDescent="0.25">
      <c r="A1868" s="1" t="s">
        <v>3746</v>
      </c>
      <c r="B1868" s="1" t="s">
        <v>3747</v>
      </c>
      <c r="C1868" s="3">
        <v>200</v>
      </c>
      <c r="D1868" s="3" t="str">
        <f ca="1">IF(B1868="","",IFERROR(_xludf.XLOOKUP(_xludf.XLOOKUP(B1868,Inventory!$A:$A,Inventory!$B:$B),Blades!$A:$A,Blades!$C:$C)+_xludf.XLOOKUP(_xludf.XLOOKUP(B1868,Inventory!$A:$A,Inventory!$C:$C),Motor!$A:$A,Motor!$C:$C)+_xludf.XLOOKUP(_xludf.XLOOKUP(B1868,Inventory!$A:$A,Inventory!$D:$D),Frame!$A:$A,Frame!$C:$C)+#REF!,""))</f>
        <v/>
      </c>
      <c r="E1868" s="4">
        <v>45550</v>
      </c>
      <c r="F1868" s="1" t="s">
        <v>11</v>
      </c>
    </row>
    <row r="1869" spans="1:6" x14ac:dyDescent="0.25">
      <c r="A1869" s="1" t="s">
        <v>3748</v>
      </c>
      <c r="B1869" s="1" t="s">
        <v>3749</v>
      </c>
      <c r="C1869" s="3">
        <v>200</v>
      </c>
      <c r="D1869" s="3" t="str">
        <f ca="1">IF(B1869="","",IFERROR(_xludf.XLOOKUP(_xludf.XLOOKUP(B1869,Inventory!$A:$A,Inventory!$B:$B),Blades!$A:$A,Blades!$C:$C)+_xludf.XLOOKUP(_xludf.XLOOKUP(B1869,Inventory!$A:$A,Inventory!$C:$C),Motor!$A:$A,Motor!$C:$C)+_xludf.XLOOKUP(_xludf.XLOOKUP(B1869,Inventory!$A:$A,Inventory!$D:$D),Frame!$A:$A,Frame!$C:$C)+#REF!,""))</f>
        <v/>
      </c>
      <c r="E1869" s="4">
        <v>45550</v>
      </c>
      <c r="F1869" s="1" t="s">
        <v>32</v>
      </c>
    </row>
    <row r="1870" spans="1:6" x14ac:dyDescent="0.25">
      <c r="A1870" s="1" t="s">
        <v>3750</v>
      </c>
      <c r="B1870" s="1" t="s">
        <v>3751</v>
      </c>
      <c r="C1870" s="3">
        <v>200</v>
      </c>
      <c r="D1870" s="3" t="str">
        <f ca="1">IF(B1870="","",IFERROR(_xludf.XLOOKUP(_xludf.XLOOKUP(B1870,Inventory!$A:$A,Inventory!$B:$B),Blades!$A:$A,Blades!$C:$C)+_xludf.XLOOKUP(_xludf.XLOOKUP(B1870,Inventory!$A:$A,Inventory!$C:$C),Motor!$A:$A,Motor!$C:$C)+_xludf.XLOOKUP(_xludf.XLOOKUP(B1870,Inventory!$A:$A,Inventory!$D:$D),Frame!$A:$A,Frame!$C:$C)+#REF!,""))</f>
        <v/>
      </c>
      <c r="E1870" s="4">
        <v>45551</v>
      </c>
      <c r="F1870" s="1" t="s">
        <v>63</v>
      </c>
    </row>
    <row r="1871" spans="1:6" x14ac:dyDescent="0.25">
      <c r="A1871" s="1" t="s">
        <v>3752</v>
      </c>
      <c r="B1871" s="1" t="s">
        <v>3753</v>
      </c>
      <c r="C1871" s="3">
        <v>200</v>
      </c>
      <c r="D1871" s="3" t="str">
        <f ca="1">IF(B1871="","",IFERROR(_xludf.XLOOKUP(_xludf.XLOOKUP(B1871,Inventory!$A:$A,Inventory!$B:$B),Blades!$A:$A,Blades!$C:$C)+_xludf.XLOOKUP(_xludf.XLOOKUP(B1871,Inventory!$A:$A,Inventory!$C:$C),Motor!$A:$A,Motor!$C:$C)+_xludf.XLOOKUP(_xludf.XLOOKUP(B1871,Inventory!$A:$A,Inventory!$D:$D),Frame!$A:$A,Frame!$C:$C)+#REF!,""))</f>
        <v/>
      </c>
      <c r="E1871" s="4">
        <v>45552</v>
      </c>
      <c r="F1871" s="1" t="s">
        <v>25</v>
      </c>
    </row>
    <row r="1872" spans="1:6" x14ac:dyDescent="0.25">
      <c r="A1872" s="1" t="s">
        <v>3754</v>
      </c>
      <c r="B1872" s="1" t="s">
        <v>3755</v>
      </c>
      <c r="C1872" s="3">
        <v>200</v>
      </c>
      <c r="D1872" s="3" t="str">
        <f ca="1">IF(B1872="","",IFERROR(_xludf.XLOOKUP(_xludf.XLOOKUP(B1872,Inventory!$A:$A,Inventory!$B:$B),Blades!$A:$A,Blades!$C:$C)+_xludf.XLOOKUP(_xludf.XLOOKUP(B1872,Inventory!$A:$A,Inventory!$C:$C),Motor!$A:$A,Motor!$C:$C)+_xludf.XLOOKUP(_xludf.XLOOKUP(B1872,Inventory!$A:$A,Inventory!$D:$D),Frame!$A:$A,Frame!$C:$C)+#REF!,""))</f>
        <v/>
      </c>
      <c r="E1872" s="4">
        <v>45553</v>
      </c>
      <c r="F1872" s="1" t="s">
        <v>25</v>
      </c>
    </row>
    <row r="1873" spans="1:6" x14ac:dyDescent="0.25">
      <c r="A1873" s="1" t="s">
        <v>3756</v>
      </c>
      <c r="B1873" s="1" t="s">
        <v>3757</v>
      </c>
      <c r="C1873" s="3">
        <v>200</v>
      </c>
      <c r="D1873" s="3" t="str">
        <f ca="1">IF(B1873="","",IFERROR(_xludf.XLOOKUP(_xludf.XLOOKUP(B1873,Inventory!$A:$A,Inventory!$B:$B),Blades!$A:$A,Blades!$C:$C)+_xludf.XLOOKUP(_xludf.XLOOKUP(B1873,Inventory!$A:$A,Inventory!$C:$C),Motor!$A:$A,Motor!$C:$C)+_xludf.XLOOKUP(_xludf.XLOOKUP(B1873,Inventory!$A:$A,Inventory!$D:$D),Frame!$A:$A,Frame!$C:$C)+#REF!,""))</f>
        <v/>
      </c>
      <c r="E1873" s="4">
        <v>45554</v>
      </c>
      <c r="F1873" s="1" t="s">
        <v>20</v>
      </c>
    </row>
    <row r="1874" spans="1:6" x14ac:dyDescent="0.25">
      <c r="A1874" s="1" t="s">
        <v>3758</v>
      </c>
      <c r="B1874" s="1" t="s">
        <v>3759</v>
      </c>
      <c r="C1874" s="3">
        <v>200</v>
      </c>
      <c r="D1874" s="3" t="str">
        <f ca="1">IF(B1874="","",IFERROR(_xludf.XLOOKUP(_xludf.XLOOKUP(B1874,Inventory!$A:$A,Inventory!$B:$B),Blades!$A:$A,Blades!$C:$C)+_xludf.XLOOKUP(_xludf.XLOOKUP(B1874,Inventory!$A:$A,Inventory!$C:$C),Motor!$A:$A,Motor!$C:$C)+_xludf.XLOOKUP(_xludf.XLOOKUP(B1874,Inventory!$A:$A,Inventory!$D:$D),Frame!$A:$A,Frame!$C:$C)+#REF!,""))</f>
        <v/>
      </c>
      <c r="E1874" s="4">
        <v>45556</v>
      </c>
      <c r="F1874" s="1" t="s">
        <v>63</v>
      </c>
    </row>
    <row r="1875" spans="1:6" x14ac:dyDescent="0.25">
      <c r="A1875" s="1" t="s">
        <v>3760</v>
      </c>
      <c r="B1875" s="1" t="s">
        <v>3761</v>
      </c>
      <c r="C1875" s="3">
        <v>200</v>
      </c>
      <c r="D1875" s="3" t="str">
        <f ca="1">IF(B1875="","",IFERROR(_xludf.XLOOKUP(_xludf.XLOOKUP(B1875,Inventory!$A:$A,Inventory!$B:$B),Blades!$A:$A,Blades!$C:$C)+_xludf.XLOOKUP(_xludf.XLOOKUP(B1875,Inventory!$A:$A,Inventory!$C:$C),Motor!$A:$A,Motor!$C:$C)+_xludf.XLOOKUP(_xludf.XLOOKUP(B1875,Inventory!$A:$A,Inventory!$D:$D),Frame!$A:$A,Frame!$C:$C)+#REF!,""))</f>
        <v/>
      </c>
      <c r="E1875" s="4">
        <v>45556</v>
      </c>
      <c r="F1875" s="1" t="s">
        <v>20</v>
      </c>
    </row>
    <row r="1876" spans="1:6" x14ac:dyDescent="0.25">
      <c r="A1876" s="1" t="s">
        <v>3762</v>
      </c>
      <c r="B1876" s="1" t="s">
        <v>3763</v>
      </c>
      <c r="C1876" s="3">
        <v>200</v>
      </c>
      <c r="D1876" s="3" t="str">
        <f ca="1">IF(B1876="","",IFERROR(_xludf.XLOOKUP(_xludf.XLOOKUP(B1876,Inventory!$A:$A,Inventory!$B:$B),Blades!$A:$A,Blades!$C:$C)+_xludf.XLOOKUP(_xludf.XLOOKUP(B1876,Inventory!$A:$A,Inventory!$C:$C),Motor!$A:$A,Motor!$C:$C)+_xludf.XLOOKUP(_xludf.XLOOKUP(B1876,Inventory!$A:$A,Inventory!$D:$D),Frame!$A:$A,Frame!$C:$C)+#REF!,""))</f>
        <v/>
      </c>
      <c r="E1876" s="4">
        <v>45557</v>
      </c>
      <c r="F1876" s="1" t="s">
        <v>20</v>
      </c>
    </row>
    <row r="1877" spans="1:6" x14ac:dyDescent="0.25">
      <c r="A1877" s="1" t="s">
        <v>3764</v>
      </c>
      <c r="B1877" s="1" t="s">
        <v>3765</v>
      </c>
      <c r="C1877" s="3">
        <v>200</v>
      </c>
      <c r="D1877" s="3" t="str">
        <f ca="1">IF(B1877="","",IFERROR(_xludf.XLOOKUP(_xludf.XLOOKUP(B1877,Inventory!$A:$A,Inventory!$B:$B),Blades!$A:$A,Blades!$C:$C)+_xludf.XLOOKUP(_xludf.XLOOKUP(B1877,Inventory!$A:$A,Inventory!$C:$C),Motor!$A:$A,Motor!$C:$C)+_xludf.XLOOKUP(_xludf.XLOOKUP(B1877,Inventory!$A:$A,Inventory!$D:$D),Frame!$A:$A,Frame!$C:$C)+#REF!,""))</f>
        <v/>
      </c>
      <c r="E1877" s="4">
        <v>45557</v>
      </c>
      <c r="F1877" s="1" t="s">
        <v>25</v>
      </c>
    </row>
    <row r="1878" spans="1:6" x14ac:dyDescent="0.25">
      <c r="A1878" s="1" t="s">
        <v>3766</v>
      </c>
      <c r="B1878" s="1" t="s">
        <v>3767</v>
      </c>
      <c r="C1878" s="3">
        <v>200</v>
      </c>
      <c r="D1878" s="3" t="str">
        <f ca="1">IF(B1878="","",IFERROR(_xludf.XLOOKUP(_xludf.XLOOKUP(B1878,Inventory!$A:$A,Inventory!$B:$B),Blades!$A:$A,Blades!$C:$C)+_xludf.XLOOKUP(_xludf.XLOOKUP(B1878,Inventory!$A:$A,Inventory!$C:$C),Motor!$A:$A,Motor!$C:$C)+_xludf.XLOOKUP(_xludf.XLOOKUP(B1878,Inventory!$A:$A,Inventory!$D:$D),Frame!$A:$A,Frame!$C:$C)+#REF!,""))</f>
        <v/>
      </c>
      <c r="E1878" s="4">
        <v>45558</v>
      </c>
      <c r="F1878" s="1" t="s">
        <v>11</v>
      </c>
    </row>
    <row r="1879" spans="1:6" x14ac:dyDescent="0.25">
      <c r="A1879" s="1" t="s">
        <v>3768</v>
      </c>
      <c r="B1879" s="1" t="s">
        <v>3769</v>
      </c>
      <c r="C1879" s="3">
        <v>200</v>
      </c>
      <c r="D1879" s="3" t="str">
        <f ca="1">IF(B1879="","",IFERROR(_xludf.XLOOKUP(_xludf.XLOOKUP(B1879,Inventory!$A:$A,Inventory!$B:$B),Blades!$A:$A,Blades!$C:$C)+_xludf.XLOOKUP(_xludf.XLOOKUP(B1879,Inventory!$A:$A,Inventory!$C:$C),Motor!$A:$A,Motor!$C:$C)+_xludf.XLOOKUP(_xludf.XLOOKUP(B1879,Inventory!$A:$A,Inventory!$D:$D),Frame!$A:$A,Frame!$C:$C)+#REF!,""))</f>
        <v/>
      </c>
      <c r="E1879" s="4">
        <v>45558</v>
      </c>
      <c r="F1879" s="1" t="s">
        <v>20</v>
      </c>
    </row>
    <row r="1880" spans="1:6" x14ac:dyDescent="0.25">
      <c r="A1880" s="1" t="s">
        <v>3770</v>
      </c>
      <c r="B1880" s="1" t="s">
        <v>3771</v>
      </c>
      <c r="C1880" s="3">
        <v>200</v>
      </c>
      <c r="D1880" s="3" t="str">
        <f ca="1">IF(B1880="","",IFERROR(_xludf.XLOOKUP(_xludf.XLOOKUP(B1880,Inventory!$A:$A,Inventory!$B:$B),Blades!$A:$A,Blades!$C:$C)+_xludf.XLOOKUP(_xludf.XLOOKUP(B1880,Inventory!$A:$A,Inventory!$C:$C),Motor!$A:$A,Motor!$C:$C)+_xludf.XLOOKUP(_xludf.XLOOKUP(B1880,Inventory!$A:$A,Inventory!$D:$D),Frame!$A:$A,Frame!$C:$C)+#REF!,""))</f>
        <v/>
      </c>
      <c r="E1880" s="4">
        <v>45559</v>
      </c>
      <c r="F1880" s="1" t="s">
        <v>20</v>
      </c>
    </row>
    <row r="1881" spans="1:6" x14ac:dyDescent="0.25">
      <c r="A1881" s="1" t="s">
        <v>3772</v>
      </c>
      <c r="B1881" s="1" t="s">
        <v>3773</v>
      </c>
      <c r="C1881" s="3">
        <v>200</v>
      </c>
      <c r="D1881" s="3" t="str">
        <f ca="1">IF(B1881="","",IFERROR(_xludf.XLOOKUP(_xludf.XLOOKUP(B1881,Inventory!$A:$A,Inventory!$B:$B),Blades!$A:$A,Blades!$C:$C)+_xludf.XLOOKUP(_xludf.XLOOKUP(B1881,Inventory!$A:$A,Inventory!$C:$C),Motor!$A:$A,Motor!$C:$C)+_xludf.XLOOKUP(_xludf.XLOOKUP(B1881,Inventory!$A:$A,Inventory!$D:$D),Frame!$A:$A,Frame!$C:$C)+#REF!,""))</f>
        <v/>
      </c>
      <c r="E1881" s="4">
        <v>45559</v>
      </c>
      <c r="F1881" s="1" t="s">
        <v>49</v>
      </c>
    </row>
    <row r="1882" spans="1:6" x14ac:dyDescent="0.25">
      <c r="A1882" s="1" t="s">
        <v>3774</v>
      </c>
      <c r="B1882" s="1" t="s">
        <v>3775</v>
      </c>
      <c r="C1882" s="3">
        <v>200</v>
      </c>
      <c r="D1882" s="3" t="str">
        <f ca="1">IF(B1882="","",IFERROR(_xludf.XLOOKUP(_xludf.XLOOKUP(B1882,Inventory!$A:$A,Inventory!$B:$B),Blades!$A:$A,Blades!$C:$C)+_xludf.XLOOKUP(_xludf.XLOOKUP(B1882,Inventory!$A:$A,Inventory!$C:$C),Motor!$A:$A,Motor!$C:$C)+_xludf.XLOOKUP(_xludf.XLOOKUP(B1882,Inventory!$A:$A,Inventory!$D:$D),Frame!$A:$A,Frame!$C:$C)+#REF!,""))</f>
        <v/>
      </c>
      <c r="E1882" s="4">
        <v>45559</v>
      </c>
      <c r="F1882" s="1" t="s">
        <v>11</v>
      </c>
    </row>
    <row r="1883" spans="1:6" x14ac:dyDescent="0.25">
      <c r="A1883" s="1" t="s">
        <v>3776</v>
      </c>
      <c r="B1883" s="1" t="s">
        <v>3777</v>
      </c>
      <c r="C1883" s="3">
        <v>200</v>
      </c>
      <c r="D1883" s="3" t="str">
        <f ca="1">IF(B1883="","",IFERROR(_xludf.XLOOKUP(_xludf.XLOOKUP(B1883,Inventory!$A:$A,Inventory!$B:$B),Blades!$A:$A,Blades!$C:$C)+_xludf.XLOOKUP(_xludf.XLOOKUP(B1883,Inventory!$A:$A,Inventory!$C:$C),Motor!$A:$A,Motor!$C:$C)+_xludf.XLOOKUP(_xludf.XLOOKUP(B1883,Inventory!$A:$A,Inventory!$D:$D),Frame!$A:$A,Frame!$C:$C)+#REF!,""))</f>
        <v/>
      </c>
      <c r="E1883" s="4">
        <v>45561</v>
      </c>
      <c r="F1883" s="1" t="s">
        <v>52</v>
      </c>
    </row>
    <row r="1884" spans="1:6" x14ac:dyDescent="0.25">
      <c r="A1884" s="1" t="s">
        <v>3778</v>
      </c>
      <c r="B1884" s="1" t="s">
        <v>3779</v>
      </c>
      <c r="C1884" s="3">
        <v>200</v>
      </c>
      <c r="D1884" s="3" t="str">
        <f ca="1">IF(B1884="","",IFERROR(_xludf.XLOOKUP(_xludf.XLOOKUP(B1884,Inventory!$A:$A,Inventory!$B:$B),Blades!$A:$A,Blades!$C:$C)+_xludf.XLOOKUP(_xludf.XLOOKUP(B1884,Inventory!$A:$A,Inventory!$C:$C),Motor!$A:$A,Motor!$C:$C)+_xludf.XLOOKUP(_xludf.XLOOKUP(B1884,Inventory!$A:$A,Inventory!$D:$D),Frame!$A:$A,Frame!$C:$C)+#REF!,""))</f>
        <v/>
      </c>
      <c r="E1884" s="4">
        <v>45562</v>
      </c>
      <c r="F1884" s="1" t="s">
        <v>63</v>
      </c>
    </row>
    <row r="1885" spans="1:6" x14ac:dyDescent="0.25">
      <c r="A1885" s="1" t="s">
        <v>3780</v>
      </c>
      <c r="B1885" s="1" t="s">
        <v>3781</v>
      </c>
      <c r="C1885" s="3">
        <v>200</v>
      </c>
      <c r="D1885" s="3" t="str">
        <f ca="1">IF(B1885="","",IFERROR(_xludf.XLOOKUP(_xludf.XLOOKUP(B1885,Inventory!$A:$A,Inventory!$B:$B),Blades!$A:$A,Blades!$C:$C)+_xludf.XLOOKUP(_xludf.XLOOKUP(B1885,Inventory!$A:$A,Inventory!$C:$C),Motor!$A:$A,Motor!$C:$C)+_xludf.XLOOKUP(_xludf.XLOOKUP(B1885,Inventory!$A:$A,Inventory!$D:$D),Frame!$A:$A,Frame!$C:$C)+#REF!,""))</f>
        <v/>
      </c>
      <c r="E1885" s="4">
        <v>45562</v>
      </c>
      <c r="F1885" s="1" t="s">
        <v>8</v>
      </c>
    </row>
    <row r="1886" spans="1:6" x14ac:dyDescent="0.25">
      <c r="A1886" s="1" t="s">
        <v>3782</v>
      </c>
      <c r="B1886" s="1" t="s">
        <v>3783</v>
      </c>
      <c r="C1886" s="3">
        <v>200</v>
      </c>
      <c r="D1886" s="3" t="str">
        <f ca="1">IF(B1886="","",IFERROR(_xludf.XLOOKUP(_xludf.XLOOKUP(B1886,Inventory!$A:$A,Inventory!$B:$B),Blades!$A:$A,Blades!$C:$C)+_xludf.XLOOKUP(_xludf.XLOOKUP(B1886,Inventory!$A:$A,Inventory!$C:$C),Motor!$A:$A,Motor!$C:$C)+_xludf.XLOOKUP(_xludf.XLOOKUP(B1886,Inventory!$A:$A,Inventory!$D:$D),Frame!$A:$A,Frame!$C:$C)+#REF!,""))</f>
        <v/>
      </c>
      <c r="E1886" s="4">
        <v>45564</v>
      </c>
      <c r="F1886" s="1" t="s">
        <v>25</v>
      </c>
    </row>
    <row r="1887" spans="1:6" x14ac:dyDescent="0.25">
      <c r="A1887" s="1" t="s">
        <v>3784</v>
      </c>
      <c r="B1887" s="1" t="s">
        <v>3785</v>
      </c>
      <c r="C1887" s="3">
        <v>200</v>
      </c>
      <c r="D1887" s="3" t="str">
        <f ca="1">IF(B1887="","",IFERROR(_xludf.XLOOKUP(_xludf.XLOOKUP(B1887,Inventory!$A:$A,Inventory!$B:$B),Blades!$A:$A,Blades!$C:$C)+_xludf.XLOOKUP(_xludf.XLOOKUP(B1887,Inventory!$A:$A,Inventory!$C:$C),Motor!$A:$A,Motor!$C:$C)+_xludf.XLOOKUP(_xludf.XLOOKUP(B1887,Inventory!$A:$A,Inventory!$D:$D),Frame!$A:$A,Frame!$C:$C)+#REF!,""))</f>
        <v/>
      </c>
      <c r="E1887" s="4">
        <v>45564</v>
      </c>
      <c r="F1887" s="1" t="s">
        <v>52</v>
      </c>
    </row>
    <row r="1888" spans="1:6" x14ac:dyDescent="0.25">
      <c r="A1888" s="1" t="s">
        <v>3786</v>
      </c>
      <c r="B1888" s="1" t="s">
        <v>3787</v>
      </c>
      <c r="C1888" s="3">
        <v>200</v>
      </c>
      <c r="D1888" s="3" t="str">
        <f ca="1">IF(B1888="","",IFERROR(_xludf.XLOOKUP(_xludf.XLOOKUP(B1888,Inventory!$A:$A,Inventory!$B:$B),Blades!$A:$A,Blades!$C:$C)+_xludf.XLOOKUP(_xludf.XLOOKUP(B1888,Inventory!$A:$A,Inventory!$C:$C),Motor!$A:$A,Motor!$C:$C)+_xludf.XLOOKUP(_xludf.XLOOKUP(B1888,Inventory!$A:$A,Inventory!$D:$D),Frame!$A:$A,Frame!$C:$C)+#REF!,""))</f>
        <v/>
      </c>
      <c r="E1888" s="4">
        <v>45564</v>
      </c>
      <c r="F1888" s="1" t="s">
        <v>32</v>
      </c>
    </row>
    <row r="1889" spans="1:6" x14ac:dyDescent="0.25">
      <c r="A1889" s="1" t="s">
        <v>3788</v>
      </c>
      <c r="B1889" s="1" t="s">
        <v>3789</v>
      </c>
      <c r="C1889" s="3">
        <v>200</v>
      </c>
      <c r="D1889" s="3" t="str">
        <f ca="1">IF(B1889="","",IFERROR(_xludf.XLOOKUP(_xludf.XLOOKUP(B1889,Inventory!$A:$A,Inventory!$B:$B),Blades!$A:$A,Blades!$C:$C)+_xludf.XLOOKUP(_xludf.XLOOKUP(B1889,Inventory!$A:$A,Inventory!$C:$C),Motor!$A:$A,Motor!$C:$C)+_xludf.XLOOKUP(_xludf.XLOOKUP(B1889,Inventory!$A:$A,Inventory!$D:$D),Frame!$A:$A,Frame!$C:$C)+#REF!,""))</f>
        <v/>
      </c>
      <c r="E1889" s="4">
        <v>45565</v>
      </c>
      <c r="F1889" s="1" t="s">
        <v>11</v>
      </c>
    </row>
    <row r="1890" spans="1:6" x14ac:dyDescent="0.25">
      <c r="A1890" s="1" t="s">
        <v>3790</v>
      </c>
      <c r="B1890" s="1" t="s">
        <v>3791</v>
      </c>
      <c r="C1890" s="3">
        <v>200</v>
      </c>
      <c r="D1890" s="3" t="str">
        <f ca="1">IF(B1890="","",IFERROR(_xludf.XLOOKUP(_xludf.XLOOKUP(B1890,Inventory!$A:$A,Inventory!$B:$B),Blades!$A:$A,Blades!$C:$C)+_xludf.XLOOKUP(_xludf.XLOOKUP(B1890,Inventory!$A:$A,Inventory!$C:$C),Motor!$A:$A,Motor!$C:$C)+_xludf.XLOOKUP(_xludf.XLOOKUP(B1890,Inventory!$A:$A,Inventory!$D:$D),Frame!$A:$A,Frame!$C:$C)+#REF!,""))</f>
        <v/>
      </c>
      <c r="E1890" s="4">
        <v>45565</v>
      </c>
      <c r="F1890" s="1" t="s">
        <v>20</v>
      </c>
    </row>
    <row r="1891" spans="1:6" x14ac:dyDescent="0.25">
      <c r="A1891" s="1" t="s">
        <v>3792</v>
      </c>
      <c r="B1891" s="1" t="s">
        <v>3793</v>
      </c>
      <c r="C1891" s="3">
        <v>200</v>
      </c>
      <c r="D1891" s="3" t="str">
        <f ca="1">IF(B1891="","",IFERROR(_xludf.XLOOKUP(_xludf.XLOOKUP(B1891,Inventory!$A:$A,Inventory!$B:$B),Blades!$A:$A,Blades!$C:$C)+_xludf.XLOOKUP(_xludf.XLOOKUP(B1891,Inventory!$A:$A,Inventory!$C:$C),Motor!$A:$A,Motor!$C:$C)+_xludf.XLOOKUP(_xludf.XLOOKUP(B1891,Inventory!$A:$A,Inventory!$D:$D),Frame!$A:$A,Frame!$C:$C)+#REF!,""))</f>
        <v/>
      </c>
      <c r="E1891" s="4">
        <v>45565</v>
      </c>
      <c r="F1891" s="1" t="s">
        <v>32</v>
      </c>
    </row>
    <row r="1892" spans="1:6" x14ac:dyDescent="0.25">
      <c r="A1892" s="1" t="s">
        <v>3794</v>
      </c>
      <c r="B1892" s="1" t="s">
        <v>3795</v>
      </c>
      <c r="C1892" s="3">
        <v>200</v>
      </c>
      <c r="D1892" s="3" t="str">
        <f ca="1">IF(B1892="","",IFERROR(_xludf.XLOOKUP(_xludf.XLOOKUP(B1892,Inventory!$A:$A,Inventory!$B:$B),Blades!$A:$A,Blades!$C:$C)+_xludf.XLOOKUP(_xludf.XLOOKUP(B1892,Inventory!$A:$A,Inventory!$C:$C),Motor!$A:$A,Motor!$C:$C)+_xludf.XLOOKUP(_xludf.XLOOKUP(B1892,Inventory!$A:$A,Inventory!$D:$D),Frame!$A:$A,Frame!$C:$C)+#REF!,""))</f>
        <v/>
      </c>
      <c r="E1892" s="4">
        <v>45567</v>
      </c>
      <c r="F1892" s="1" t="s">
        <v>11</v>
      </c>
    </row>
    <row r="1893" spans="1:6" x14ac:dyDescent="0.25">
      <c r="A1893" s="1" t="s">
        <v>3796</v>
      </c>
      <c r="B1893" s="1" t="s">
        <v>3797</v>
      </c>
      <c r="C1893" s="3">
        <v>200</v>
      </c>
      <c r="D1893" s="3" t="str">
        <f ca="1">IF(B1893="","",IFERROR(_xludf.XLOOKUP(_xludf.XLOOKUP(B1893,Inventory!$A:$A,Inventory!$B:$B),Blades!$A:$A,Blades!$C:$C)+_xludf.XLOOKUP(_xludf.XLOOKUP(B1893,Inventory!$A:$A,Inventory!$C:$C),Motor!$A:$A,Motor!$C:$C)+_xludf.XLOOKUP(_xludf.XLOOKUP(B1893,Inventory!$A:$A,Inventory!$D:$D),Frame!$A:$A,Frame!$C:$C)+#REF!,""))</f>
        <v/>
      </c>
      <c r="E1893" s="4">
        <v>45567</v>
      </c>
      <c r="F1893" s="1" t="s">
        <v>32</v>
      </c>
    </row>
    <row r="1894" spans="1:6" x14ac:dyDescent="0.25">
      <c r="A1894" s="1" t="s">
        <v>3798</v>
      </c>
      <c r="B1894" s="1" t="s">
        <v>3799</v>
      </c>
      <c r="C1894" s="3">
        <v>200</v>
      </c>
      <c r="D1894" s="3" t="str">
        <f ca="1">IF(B1894="","",IFERROR(_xludf.XLOOKUP(_xludf.XLOOKUP(B1894,Inventory!$A:$A,Inventory!$B:$B),Blades!$A:$A,Blades!$C:$C)+_xludf.XLOOKUP(_xludf.XLOOKUP(B1894,Inventory!$A:$A,Inventory!$C:$C),Motor!$A:$A,Motor!$C:$C)+_xludf.XLOOKUP(_xludf.XLOOKUP(B1894,Inventory!$A:$A,Inventory!$D:$D),Frame!$A:$A,Frame!$C:$C)+#REF!,""))</f>
        <v/>
      </c>
      <c r="E1894" s="4">
        <v>45567</v>
      </c>
      <c r="F1894" s="1" t="s">
        <v>49</v>
      </c>
    </row>
    <row r="1895" spans="1:6" x14ac:dyDescent="0.25">
      <c r="A1895" s="1" t="s">
        <v>3800</v>
      </c>
      <c r="B1895" s="1" t="s">
        <v>3801</v>
      </c>
      <c r="C1895" s="3">
        <v>200</v>
      </c>
      <c r="D1895" s="3" t="str">
        <f ca="1">IF(B1895="","",IFERROR(_xludf.XLOOKUP(_xludf.XLOOKUP(B1895,Inventory!$A:$A,Inventory!$B:$B),Blades!$A:$A,Blades!$C:$C)+_xludf.XLOOKUP(_xludf.XLOOKUP(B1895,Inventory!$A:$A,Inventory!$C:$C),Motor!$A:$A,Motor!$C:$C)+_xludf.XLOOKUP(_xludf.XLOOKUP(B1895,Inventory!$A:$A,Inventory!$D:$D),Frame!$A:$A,Frame!$C:$C)+#REF!,""))</f>
        <v/>
      </c>
      <c r="E1895" s="4">
        <v>45568</v>
      </c>
      <c r="F1895" s="1" t="s">
        <v>20</v>
      </c>
    </row>
    <row r="1896" spans="1:6" x14ac:dyDescent="0.25">
      <c r="A1896" s="1" t="s">
        <v>3802</v>
      </c>
      <c r="B1896" s="1" t="s">
        <v>3803</v>
      </c>
      <c r="C1896" s="3">
        <v>200</v>
      </c>
      <c r="D1896" s="3" t="str">
        <f ca="1">IF(B1896="","",IFERROR(_xludf.XLOOKUP(_xludf.XLOOKUP(B1896,Inventory!$A:$A,Inventory!$B:$B),Blades!$A:$A,Blades!$C:$C)+_xludf.XLOOKUP(_xludf.XLOOKUP(B1896,Inventory!$A:$A,Inventory!$C:$C),Motor!$A:$A,Motor!$C:$C)+_xludf.XLOOKUP(_xludf.XLOOKUP(B1896,Inventory!$A:$A,Inventory!$D:$D),Frame!$A:$A,Frame!$C:$C)+#REF!,""))</f>
        <v/>
      </c>
      <c r="E1896" s="4">
        <v>45568</v>
      </c>
      <c r="F1896" s="1" t="s">
        <v>52</v>
      </c>
    </row>
    <row r="1897" spans="1:6" x14ac:dyDescent="0.25">
      <c r="A1897" s="1" t="s">
        <v>3804</v>
      </c>
      <c r="B1897" s="1" t="s">
        <v>3805</v>
      </c>
      <c r="C1897" s="3">
        <v>200</v>
      </c>
      <c r="D1897" s="3" t="str">
        <f ca="1">IF(B1897="","",IFERROR(_xludf.XLOOKUP(_xludf.XLOOKUP(B1897,Inventory!$A:$A,Inventory!$B:$B),Blades!$A:$A,Blades!$C:$C)+_xludf.XLOOKUP(_xludf.XLOOKUP(B1897,Inventory!$A:$A,Inventory!$C:$C),Motor!$A:$A,Motor!$C:$C)+_xludf.XLOOKUP(_xludf.XLOOKUP(B1897,Inventory!$A:$A,Inventory!$D:$D),Frame!$A:$A,Frame!$C:$C)+#REF!,""))</f>
        <v/>
      </c>
      <c r="E1897" s="4">
        <v>45569</v>
      </c>
      <c r="F1897" s="1" t="s">
        <v>32</v>
      </c>
    </row>
    <row r="1898" spans="1:6" x14ac:dyDescent="0.25">
      <c r="A1898" s="1" t="s">
        <v>3806</v>
      </c>
      <c r="B1898" s="1" t="s">
        <v>3807</v>
      </c>
      <c r="C1898" s="3">
        <v>200</v>
      </c>
      <c r="D1898" s="3" t="str">
        <f ca="1">IF(B1898="","",IFERROR(_xludf.XLOOKUP(_xludf.XLOOKUP(B1898,Inventory!$A:$A,Inventory!$B:$B),Blades!$A:$A,Blades!$C:$C)+_xludf.XLOOKUP(_xludf.XLOOKUP(B1898,Inventory!$A:$A,Inventory!$C:$C),Motor!$A:$A,Motor!$C:$C)+_xludf.XLOOKUP(_xludf.XLOOKUP(B1898,Inventory!$A:$A,Inventory!$D:$D),Frame!$A:$A,Frame!$C:$C)+#REF!,""))</f>
        <v/>
      </c>
      <c r="E1898" s="4">
        <v>45569</v>
      </c>
      <c r="F1898" s="1" t="s">
        <v>25</v>
      </c>
    </row>
    <row r="1899" spans="1:6" x14ac:dyDescent="0.25">
      <c r="A1899" s="1" t="s">
        <v>3808</v>
      </c>
      <c r="B1899" s="1" t="s">
        <v>3809</v>
      </c>
      <c r="C1899" s="3">
        <v>200</v>
      </c>
      <c r="D1899" s="3" t="str">
        <f ca="1">IF(B1899="","",IFERROR(_xludf.XLOOKUP(_xludf.XLOOKUP(B1899,Inventory!$A:$A,Inventory!$B:$B),Blades!$A:$A,Blades!$C:$C)+_xludf.XLOOKUP(_xludf.XLOOKUP(B1899,Inventory!$A:$A,Inventory!$C:$C),Motor!$A:$A,Motor!$C:$C)+_xludf.XLOOKUP(_xludf.XLOOKUP(B1899,Inventory!$A:$A,Inventory!$D:$D),Frame!$A:$A,Frame!$C:$C)+#REF!,""))</f>
        <v/>
      </c>
      <c r="E1899" s="4">
        <v>45572</v>
      </c>
      <c r="F1899" s="1" t="s">
        <v>11</v>
      </c>
    </row>
    <row r="1900" spans="1:6" x14ac:dyDescent="0.25">
      <c r="A1900" s="1" t="s">
        <v>3810</v>
      </c>
      <c r="B1900" s="1" t="s">
        <v>3811</v>
      </c>
      <c r="C1900" s="3">
        <v>200</v>
      </c>
      <c r="D1900" s="3" t="str">
        <f ca="1">IF(B1900="","",IFERROR(_xludf.XLOOKUP(_xludf.XLOOKUP(B1900,Inventory!$A:$A,Inventory!$B:$B),Blades!$A:$A,Blades!$C:$C)+_xludf.XLOOKUP(_xludf.XLOOKUP(B1900,Inventory!$A:$A,Inventory!$C:$C),Motor!$A:$A,Motor!$C:$C)+_xludf.XLOOKUP(_xludf.XLOOKUP(B1900,Inventory!$A:$A,Inventory!$D:$D),Frame!$A:$A,Frame!$C:$C)+#REF!,""))</f>
        <v/>
      </c>
      <c r="E1900" s="4">
        <v>45574</v>
      </c>
      <c r="F1900" s="1" t="s">
        <v>63</v>
      </c>
    </row>
    <row r="1901" spans="1:6" x14ac:dyDescent="0.25">
      <c r="A1901" s="1" t="s">
        <v>3812</v>
      </c>
      <c r="B1901" s="1" t="s">
        <v>3813</v>
      </c>
      <c r="C1901" s="3">
        <v>200</v>
      </c>
      <c r="D1901" s="3" t="str">
        <f ca="1">IF(B1901="","",IFERROR(_xludf.XLOOKUP(_xludf.XLOOKUP(B1901,Inventory!$A:$A,Inventory!$B:$B),Blades!$A:$A,Blades!$C:$C)+_xludf.XLOOKUP(_xludf.XLOOKUP(B1901,Inventory!$A:$A,Inventory!$C:$C),Motor!$A:$A,Motor!$C:$C)+_xludf.XLOOKUP(_xludf.XLOOKUP(B1901,Inventory!$A:$A,Inventory!$D:$D),Frame!$A:$A,Frame!$C:$C)+#REF!,""))</f>
        <v/>
      </c>
      <c r="E1901" s="4">
        <v>45575</v>
      </c>
      <c r="F1901" s="1" t="s">
        <v>11</v>
      </c>
    </row>
    <row r="1902" spans="1:6" x14ac:dyDescent="0.25">
      <c r="A1902" s="1" t="s">
        <v>3814</v>
      </c>
      <c r="B1902" s="1" t="s">
        <v>3815</v>
      </c>
      <c r="C1902" s="3">
        <v>200</v>
      </c>
      <c r="D1902" s="3" t="str">
        <f ca="1">IF(B1902="","",IFERROR(_xludf.XLOOKUP(_xludf.XLOOKUP(B1902,Inventory!$A:$A,Inventory!$B:$B),Blades!$A:$A,Blades!$C:$C)+_xludf.XLOOKUP(_xludf.XLOOKUP(B1902,Inventory!$A:$A,Inventory!$C:$C),Motor!$A:$A,Motor!$C:$C)+_xludf.XLOOKUP(_xludf.XLOOKUP(B1902,Inventory!$A:$A,Inventory!$D:$D),Frame!$A:$A,Frame!$C:$C)+#REF!,""))</f>
        <v/>
      </c>
      <c r="E1902" s="4">
        <v>45575</v>
      </c>
      <c r="F1902" s="1" t="s">
        <v>8</v>
      </c>
    </row>
    <row r="1903" spans="1:6" x14ac:dyDescent="0.25">
      <c r="A1903" s="1" t="s">
        <v>3816</v>
      </c>
      <c r="B1903" s="1" t="s">
        <v>3817</v>
      </c>
      <c r="C1903" s="3">
        <v>200</v>
      </c>
      <c r="D1903" s="3" t="str">
        <f ca="1">IF(B1903="","",IFERROR(_xludf.XLOOKUP(_xludf.XLOOKUP(B1903,Inventory!$A:$A,Inventory!$B:$B),Blades!$A:$A,Blades!$C:$C)+_xludf.XLOOKUP(_xludf.XLOOKUP(B1903,Inventory!$A:$A,Inventory!$C:$C),Motor!$A:$A,Motor!$C:$C)+_xludf.XLOOKUP(_xludf.XLOOKUP(B1903,Inventory!$A:$A,Inventory!$D:$D),Frame!$A:$A,Frame!$C:$C)+#REF!,""))</f>
        <v/>
      </c>
      <c r="E1903" s="4">
        <v>45576</v>
      </c>
      <c r="F1903" s="1" t="s">
        <v>32</v>
      </c>
    </row>
    <row r="1904" spans="1:6" x14ac:dyDescent="0.25">
      <c r="A1904" s="1" t="s">
        <v>3818</v>
      </c>
      <c r="B1904" s="1" t="s">
        <v>3819</v>
      </c>
      <c r="C1904" s="3">
        <v>200</v>
      </c>
      <c r="D1904" s="3" t="str">
        <f ca="1">IF(B1904="","",IFERROR(_xludf.XLOOKUP(_xludf.XLOOKUP(B1904,Inventory!$A:$A,Inventory!$B:$B),Blades!$A:$A,Blades!$C:$C)+_xludf.XLOOKUP(_xludf.XLOOKUP(B1904,Inventory!$A:$A,Inventory!$C:$C),Motor!$A:$A,Motor!$C:$C)+_xludf.XLOOKUP(_xludf.XLOOKUP(B1904,Inventory!$A:$A,Inventory!$D:$D),Frame!$A:$A,Frame!$C:$C)+#REF!,""))</f>
        <v/>
      </c>
      <c r="E1904" s="4">
        <v>45576</v>
      </c>
      <c r="F1904" s="1" t="s">
        <v>49</v>
      </c>
    </row>
    <row r="1905" spans="1:6" x14ac:dyDescent="0.25">
      <c r="A1905" s="1" t="s">
        <v>3820</v>
      </c>
      <c r="B1905" s="1" t="s">
        <v>3821</v>
      </c>
      <c r="C1905" s="3">
        <v>200</v>
      </c>
      <c r="D1905" s="3" t="str">
        <f ca="1">IF(B1905="","",IFERROR(_xludf.XLOOKUP(_xludf.XLOOKUP(B1905,Inventory!$A:$A,Inventory!$B:$B),Blades!$A:$A,Blades!$C:$C)+_xludf.XLOOKUP(_xludf.XLOOKUP(B1905,Inventory!$A:$A,Inventory!$C:$C),Motor!$A:$A,Motor!$C:$C)+_xludf.XLOOKUP(_xludf.XLOOKUP(B1905,Inventory!$A:$A,Inventory!$D:$D),Frame!$A:$A,Frame!$C:$C)+#REF!,""))</f>
        <v/>
      </c>
      <c r="E1905" s="4">
        <v>45576</v>
      </c>
      <c r="F1905" s="1" t="s">
        <v>32</v>
      </c>
    </row>
    <row r="1906" spans="1:6" x14ac:dyDescent="0.25">
      <c r="A1906" s="1" t="s">
        <v>3822</v>
      </c>
      <c r="B1906" s="1" t="s">
        <v>3823</v>
      </c>
      <c r="C1906" s="3">
        <v>200</v>
      </c>
      <c r="D1906" s="3" t="str">
        <f ca="1">IF(B1906="","",IFERROR(_xludf.XLOOKUP(_xludf.XLOOKUP(B1906,Inventory!$A:$A,Inventory!$B:$B),Blades!$A:$A,Blades!$C:$C)+_xludf.XLOOKUP(_xludf.XLOOKUP(B1906,Inventory!$A:$A,Inventory!$C:$C),Motor!$A:$A,Motor!$C:$C)+_xludf.XLOOKUP(_xludf.XLOOKUP(B1906,Inventory!$A:$A,Inventory!$D:$D),Frame!$A:$A,Frame!$C:$C)+#REF!,""))</f>
        <v/>
      </c>
      <c r="E1906" s="4">
        <v>45576</v>
      </c>
      <c r="F1906" s="1" t="s">
        <v>49</v>
      </c>
    </row>
    <row r="1907" spans="1:6" x14ac:dyDescent="0.25">
      <c r="A1907" s="1" t="s">
        <v>3824</v>
      </c>
      <c r="B1907" s="1" t="s">
        <v>3825</v>
      </c>
      <c r="C1907" s="3">
        <v>200</v>
      </c>
      <c r="D1907" s="3" t="str">
        <f ca="1">IF(B1907="","",IFERROR(_xludf.XLOOKUP(_xludf.XLOOKUP(B1907,Inventory!$A:$A,Inventory!$B:$B),Blades!$A:$A,Blades!$C:$C)+_xludf.XLOOKUP(_xludf.XLOOKUP(B1907,Inventory!$A:$A,Inventory!$C:$C),Motor!$A:$A,Motor!$C:$C)+_xludf.XLOOKUP(_xludf.XLOOKUP(B1907,Inventory!$A:$A,Inventory!$D:$D),Frame!$A:$A,Frame!$C:$C)+#REF!,""))</f>
        <v/>
      </c>
      <c r="E1907" s="4">
        <v>45578</v>
      </c>
      <c r="F1907" s="1" t="s">
        <v>63</v>
      </c>
    </row>
    <row r="1908" spans="1:6" x14ac:dyDescent="0.25">
      <c r="A1908" s="1" t="s">
        <v>3826</v>
      </c>
      <c r="B1908" s="1" t="s">
        <v>3827</v>
      </c>
      <c r="C1908" s="3">
        <v>200</v>
      </c>
      <c r="D1908" s="3" t="str">
        <f ca="1">IF(B1908="","",IFERROR(_xludf.XLOOKUP(_xludf.XLOOKUP(B1908,Inventory!$A:$A,Inventory!$B:$B),Blades!$A:$A,Blades!$C:$C)+_xludf.XLOOKUP(_xludf.XLOOKUP(B1908,Inventory!$A:$A,Inventory!$C:$C),Motor!$A:$A,Motor!$C:$C)+_xludf.XLOOKUP(_xludf.XLOOKUP(B1908,Inventory!$A:$A,Inventory!$D:$D),Frame!$A:$A,Frame!$C:$C)+#REF!,""))</f>
        <v/>
      </c>
      <c r="E1908" s="4">
        <v>45578</v>
      </c>
      <c r="F1908" s="1" t="s">
        <v>25</v>
      </c>
    </row>
    <row r="1909" spans="1:6" x14ac:dyDescent="0.25">
      <c r="A1909" s="1" t="s">
        <v>3828</v>
      </c>
      <c r="B1909" s="1" t="s">
        <v>3829</v>
      </c>
      <c r="C1909" s="3">
        <v>200</v>
      </c>
      <c r="D1909" s="3" t="str">
        <f ca="1">IF(B1909="","",IFERROR(_xludf.XLOOKUP(_xludf.XLOOKUP(B1909,Inventory!$A:$A,Inventory!$B:$B),Blades!$A:$A,Blades!$C:$C)+_xludf.XLOOKUP(_xludf.XLOOKUP(B1909,Inventory!$A:$A,Inventory!$C:$C),Motor!$A:$A,Motor!$C:$C)+_xludf.XLOOKUP(_xludf.XLOOKUP(B1909,Inventory!$A:$A,Inventory!$D:$D),Frame!$A:$A,Frame!$C:$C)+#REF!,""))</f>
        <v/>
      </c>
      <c r="E1909" s="4">
        <v>45578</v>
      </c>
      <c r="F1909" s="1" t="s">
        <v>25</v>
      </c>
    </row>
    <row r="1910" spans="1:6" x14ac:dyDescent="0.25">
      <c r="A1910" s="1" t="s">
        <v>3830</v>
      </c>
      <c r="B1910" s="1" t="s">
        <v>3831</v>
      </c>
      <c r="C1910" s="3">
        <v>200</v>
      </c>
      <c r="D1910" s="3" t="str">
        <f ca="1">IF(B1910="","",IFERROR(_xludf.XLOOKUP(_xludf.XLOOKUP(B1910,Inventory!$A:$A,Inventory!$B:$B),Blades!$A:$A,Blades!$C:$C)+_xludf.XLOOKUP(_xludf.XLOOKUP(B1910,Inventory!$A:$A,Inventory!$C:$C),Motor!$A:$A,Motor!$C:$C)+_xludf.XLOOKUP(_xludf.XLOOKUP(B1910,Inventory!$A:$A,Inventory!$D:$D),Frame!$A:$A,Frame!$C:$C)+#REF!,""))</f>
        <v/>
      </c>
      <c r="E1910" s="4">
        <v>45578</v>
      </c>
      <c r="F1910" s="1" t="s">
        <v>20</v>
      </c>
    </row>
    <row r="1911" spans="1:6" x14ac:dyDescent="0.25">
      <c r="A1911" s="1" t="s">
        <v>3832</v>
      </c>
      <c r="B1911" s="1" t="s">
        <v>3833</v>
      </c>
      <c r="C1911" s="3">
        <v>200</v>
      </c>
      <c r="D1911" s="3" t="str">
        <f ca="1">IF(B1911="","",IFERROR(_xludf.XLOOKUP(_xludf.XLOOKUP(B1911,Inventory!$A:$A,Inventory!$B:$B),Blades!$A:$A,Blades!$C:$C)+_xludf.XLOOKUP(_xludf.XLOOKUP(B1911,Inventory!$A:$A,Inventory!$C:$C),Motor!$A:$A,Motor!$C:$C)+_xludf.XLOOKUP(_xludf.XLOOKUP(B1911,Inventory!$A:$A,Inventory!$D:$D),Frame!$A:$A,Frame!$C:$C)+#REF!,""))</f>
        <v/>
      </c>
      <c r="E1911" s="4">
        <v>45578</v>
      </c>
      <c r="F1911" s="1" t="s">
        <v>11</v>
      </c>
    </row>
    <row r="1912" spans="1:6" x14ac:dyDescent="0.25">
      <c r="A1912" s="1" t="s">
        <v>3834</v>
      </c>
      <c r="B1912" s="1" t="s">
        <v>3835</v>
      </c>
      <c r="C1912" s="3">
        <v>200</v>
      </c>
      <c r="D1912" s="3" t="str">
        <f ca="1">IF(B1912="","",IFERROR(_xludf.XLOOKUP(_xludf.XLOOKUP(B1912,Inventory!$A:$A,Inventory!$B:$B),Blades!$A:$A,Blades!$C:$C)+_xludf.XLOOKUP(_xludf.XLOOKUP(B1912,Inventory!$A:$A,Inventory!$C:$C),Motor!$A:$A,Motor!$C:$C)+_xludf.XLOOKUP(_xludf.XLOOKUP(B1912,Inventory!$A:$A,Inventory!$D:$D),Frame!$A:$A,Frame!$C:$C)+#REF!,""))</f>
        <v/>
      </c>
      <c r="E1912" s="4">
        <v>45579</v>
      </c>
      <c r="F1912" s="1" t="s">
        <v>8</v>
      </c>
    </row>
    <row r="1913" spans="1:6" x14ac:dyDescent="0.25">
      <c r="A1913" s="1" t="s">
        <v>3836</v>
      </c>
      <c r="B1913" s="1" t="s">
        <v>3837</v>
      </c>
      <c r="C1913" s="3">
        <v>200</v>
      </c>
      <c r="D1913" s="3" t="str">
        <f ca="1">IF(B1913="","",IFERROR(_xludf.XLOOKUP(_xludf.XLOOKUP(B1913,Inventory!$A:$A,Inventory!$B:$B),Blades!$A:$A,Blades!$C:$C)+_xludf.XLOOKUP(_xludf.XLOOKUP(B1913,Inventory!$A:$A,Inventory!$C:$C),Motor!$A:$A,Motor!$C:$C)+_xludf.XLOOKUP(_xludf.XLOOKUP(B1913,Inventory!$A:$A,Inventory!$D:$D),Frame!$A:$A,Frame!$C:$C)+#REF!,""))</f>
        <v/>
      </c>
      <c r="E1913" s="4">
        <v>45580</v>
      </c>
      <c r="F1913" s="1" t="s">
        <v>20</v>
      </c>
    </row>
    <row r="1914" spans="1:6" x14ac:dyDescent="0.25">
      <c r="A1914" s="1" t="s">
        <v>3838</v>
      </c>
      <c r="B1914" s="1" t="s">
        <v>3839</v>
      </c>
      <c r="C1914" s="3">
        <v>200</v>
      </c>
      <c r="D1914" s="3" t="str">
        <f ca="1">IF(B1914="","",IFERROR(_xludf.XLOOKUP(_xludf.XLOOKUP(B1914,Inventory!$A:$A,Inventory!$B:$B),Blades!$A:$A,Blades!$C:$C)+_xludf.XLOOKUP(_xludf.XLOOKUP(B1914,Inventory!$A:$A,Inventory!$C:$C),Motor!$A:$A,Motor!$C:$C)+_xludf.XLOOKUP(_xludf.XLOOKUP(B1914,Inventory!$A:$A,Inventory!$D:$D),Frame!$A:$A,Frame!$C:$C)+#REF!,""))</f>
        <v/>
      </c>
      <c r="E1914" s="4">
        <v>45581</v>
      </c>
      <c r="F1914" s="1" t="s">
        <v>49</v>
      </c>
    </row>
    <row r="1915" spans="1:6" x14ac:dyDescent="0.25">
      <c r="A1915" s="1" t="s">
        <v>3840</v>
      </c>
      <c r="B1915" s="1" t="s">
        <v>3841</v>
      </c>
      <c r="C1915" s="3">
        <v>200</v>
      </c>
      <c r="D1915" s="3" t="str">
        <f ca="1">IF(B1915="","",IFERROR(_xludf.XLOOKUP(_xludf.XLOOKUP(B1915,Inventory!$A:$A,Inventory!$B:$B),Blades!$A:$A,Blades!$C:$C)+_xludf.XLOOKUP(_xludf.XLOOKUP(B1915,Inventory!$A:$A,Inventory!$C:$C),Motor!$A:$A,Motor!$C:$C)+_xludf.XLOOKUP(_xludf.XLOOKUP(B1915,Inventory!$A:$A,Inventory!$D:$D),Frame!$A:$A,Frame!$C:$C)+#REF!,""))</f>
        <v/>
      </c>
      <c r="E1915" s="4">
        <v>45581</v>
      </c>
      <c r="F1915" s="1" t="s">
        <v>8</v>
      </c>
    </row>
    <row r="1916" spans="1:6" x14ac:dyDescent="0.25">
      <c r="A1916" s="1" t="s">
        <v>3842</v>
      </c>
      <c r="B1916" s="1" t="s">
        <v>3843</v>
      </c>
      <c r="C1916" s="3">
        <v>200</v>
      </c>
      <c r="D1916" s="3" t="str">
        <f ca="1">IF(B1916="","",IFERROR(_xludf.XLOOKUP(_xludf.XLOOKUP(B1916,Inventory!$A:$A,Inventory!$B:$B),Blades!$A:$A,Blades!$C:$C)+_xludf.XLOOKUP(_xludf.XLOOKUP(B1916,Inventory!$A:$A,Inventory!$C:$C),Motor!$A:$A,Motor!$C:$C)+_xludf.XLOOKUP(_xludf.XLOOKUP(B1916,Inventory!$A:$A,Inventory!$D:$D),Frame!$A:$A,Frame!$C:$C)+#REF!,""))</f>
        <v/>
      </c>
      <c r="E1916" s="4">
        <v>45581</v>
      </c>
      <c r="F1916" s="1" t="s">
        <v>8</v>
      </c>
    </row>
    <row r="1917" spans="1:6" x14ac:dyDescent="0.25">
      <c r="A1917" s="1" t="s">
        <v>3844</v>
      </c>
      <c r="B1917" s="1" t="s">
        <v>3845</v>
      </c>
      <c r="C1917" s="3">
        <v>200</v>
      </c>
      <c r="D1917" s="3" t="str">
        <f ca="1">IF(B1917="","",IFERROR(_xludf.XLOOKUP(_xludf.XLOOKUP(B1917,Inventory!$A:$A,Inventory!$B:$B),Blades!$A:$A,Blades!$C:$C)+_xludf.XLOOKUP(_xludf.XLOOKUP(B1917,Inventory!$A:$A,Inventory!$C:$C),Motor!$A:$A,Motor!$C:$C)+_xludf.XLOOKUP(_xludf.XLOOKUP(B1917,Inventory!$A:$A,Inventory!$D:$D),Frame!$A:$A,Frame!$C:$C)+#REF!,""))</f>
        <v/>
      </c>
      <c r="E1917" s="4">
        <v>45581</v>
      </c>
      <c r="F1917" s="1" t="s">
        <v>20</v>
      </c>
    </row>
    <row r="1918" spans="1:6" x14ac:dyDescent="0.25">
      <c r="A1918" s="1" t="s">
        <v>3846</v>
      </c>
      <c r="B1918" s="1" t="s">
        <v>3847</v>
      </c>
      <c r="C1918" s="3">
        <v>200</v>
      </c>
      <c r="D1918" s="3" t="str">
        <f ca="1">IF(B1918="","",IFERROR(_xludf.XLOOKUP(_xludf.XLOOKUP(B1918,Inventory!$A:$A,Inventory!$B:$B),Blades!$A:$A,Blades!$C:$C)+_xludf.XLOOKUP(_xludf.XLOOKUP(B1918,Inventory!$A:$A,Inventory!$C:$C),Motor!$A:$A,Motor!$C:$C)+_xludf.XLOOKUP(_xludf.XLOOKUP(B1918,Inventory!$A:$A,Inventory!$D:$D),Frame!$A:$A,Frame!$C:$C)+#REF!,""))</f>
        <v/>
      </c>
      <c r="E1918" s="4">
        <v>45582</v>
      </c>
      <c r="F1918" s="1" t="s">
        <v>8</v>
      </c>
    </row>
    <row r="1919" spans="1:6" x14ac:dyDescent="0.25">
      <c r="A1919" s="1" t="s">
        <v>3848</v>
      </c>
      <c r="B1919" s="1" t="s">
        <v>3849</v>
      </c>
      <c r="C1919" s="3">
        <v>200</v>
      </c>
      <c r="D1919" s="3" t="str">
        <f ca="1">IF(B1919="","",IFERROR(_xludf.XLOOKUP(_xludf.XLOOKUP(B1919,Inventory!$A:$A,Inventory!$B:$B),Blades!$A:$A,Blades!$C:$C)+_xludf.XLOOKUP(_xludf.XLOOKUP(B1919,Inventory!$A:$A,Inventory!$C:$C),Motor!$A:$A,Motor!$C:$C)+_xludf.XLOOKUP(_xludf.XLOOKUP(B1919,Inventory!$A:$A,Inventory!$D:$D),Frame!$A:$A,Frame!$C:$C)+#REF!,""))</f>
        <v/>
      </c>
      <c r="E1919" s="4">
        <v>45583</v>
      </c>
      <c r="F1919" s="1" t="s">
        <v>20</v>
      </c>
    </row>
    <row r="1920" spans="1:6" x14ac:dyDescent="0.25">
      <c r="A1920" s="1" t="s">
        <v>3850</v>
      </c>
      <c r="B1920" s="1" t="s">
        <v>3851</v>
      </c>
      <c r="C1920" s="3">
        <v>200</v>
      </c>
      <c r="D1920" s="3" t="str">
        <f ca="1">IF(B1920="","",IFERROR(_xludf.XLOOKUP(_xludf.XLOOKUP(B1920,Inventory!$A:$A,Inventory!$B:$B),Blades!$A:$A,Blades!$C:$C)+_xludf.XLOOKUP(_xludf.XLOOKUP(B1920,Inventory!$A:$A,Inventory!$C:$C),Motor!$A:$A,Motor!$C:$C)+_xludf.XLOOKUP(_xludf.XLOOKUP(B1920,Inventory!$A:$A,Inventory!$D:$D),Frame!$A:$A,Frame!$C:$C)+#REF!,""))</f>
        <v/>
      </c>
      <c r="E1920" s="4">
        <v>45583</v>
      </c>
      <c r="F1920" s="1" t="s">
        <v>11</v>
      </c>
    </row>
    <row r="1921" spans="1:6" x14ac:dyDescent="0.25">
      <c r="A1921" s="1" t="s">
        <v>3852</v>
      </c>
      <c r="B1921" s="1" t="s">
        <v>3853</v>
      </c>
      <c r="C1921" s="3">
        <v>200</v>
      </c>
      <c r="D1921" s="3" t="str">
        <f ca="1">IF(B1921="","",IFERROR(_xludf.XLOOKUP(_xludf.XLOOKUP(B1921,Inventory!$A:$A,Inventory!$B:$B),Blades!$A:$A,Blades!$C:$C)+_xludf.XLOOKUP(_xludf.XLOOKUP(B1921,Inventory!$A:$A,Inventory!$C:$C),Motor!$A:$A,Motor!$C:$C)+_xludf.XLOOKUP(_xludf.XLOOKUP(B1921,Inventory!$A:$A,Inventory!$D:$D),Frame!$A:$A,Frame!$C:$C)+#REF!,""))</f>
        <v/>
      </c>
      <c r="E1921" s="4">
        <v>45583</v>
      </c>
      <c r="F1921" s="1" t="s">
        <v>8</v>
      </c>
    </row>
    <row r="1922" spans="1:6" x14ac:dyDescent="0.25">
      <c r="A1922" s="1" t="s">
        <v>3854</v>
      </c>
      <c r="B1922" s="1" t="s">
        <v>3855</v>
      </c>
      <c r="C1922" s="3">
        <v>200</v>
      </c>
      <c r="D1922" s="3" t="str">
        <f ca="1">IF(B1922="","",IFERROR(_xludf.XLOOKUP(_xludf.XLOOKUP(B1922,Inventory!$A:$A,Inventory!$B:$B),Blades!$A:$A,Blades!$C:$C)+_xludf.XLOOKUP(_xludf.XLOOKUP(B1922,Inventory!$A:$A,Inventory!$C:$C),Motor!$A:$A,Motor!$C:$C)+_xludf.XLOOKUP(_xludf.XLOOKUP(B1922,Inventory!$A:$A,Inventory!$D:$D),Frame!$A:$A,Frame!$C:$C)+#REF!,""))</f>
        <v/>
      </c>
      <c r="E1922" s="4">
        <v>45584</v>
      </c>
      <c r="F1922" s="1" t="s">
        <v>63</v>
      </c>
    </row>
    <row r="1923" spans="1:6" x14ac:dyDescent="0.25">
      <c r="A1923" s="1" t="s">
        <v>3856</v>
      </c>
      <c r="B1923" s="1" t="s">
        <v>3857</v>
      </c>
      <c r="C1923" s="3">
        <v>200</v>
      </c>
      <c r="D1923" s="3" t="str">
        <f ca="1">IF(B1923="","",IFERROR(_xludf.XLOOKUP(_xludf.XLOOKUP(B1923,Inventory!$A:$A,Inventory!$B:$B),Blades!$A:$A,Blades!$C:$C)+_xludf.XLOOKUP(_xludf.XLOOKUP(B1923,Inventory!$A:$A,Inventory!$C:$C),Motor!$A:$A,Motor!$C:$C)+_xludf.XLOOKUP(_xludf.XLOOKUP(B1923,Inventory!$A:$A,Inventory!$D:$D),Frame!$A:$A,Frame!$C:$C)+#REF!,""))</f>
        <v/>
      </c>
      <c r="E1923" s="4">
        <v>45584</v>
      </c>
      <c r="F1923" s="1" t="s">
        <v>20</v>
      </c>
    </row>
    <row r="1924" spans="1:6" x14ac:dyDescent="0.25">
      <c r="A1924" s="1" t="s">
        <v>3858</v>
      </c>
      <c r="B1924" s="1" t="s">
        <v>3859</v>
      </c>
      <c r="C1924" s="3">
        <v>200</v>
      </c>
      <c r="D1924" s="3" t="str">
        <f ca="1">IF(B1924="","",IFERROR(_xludf.XLOOKUP(_xludf.XLOOKUP(B1924,Inventory!$A:$A,Inventory!$B:$B),Blades!$A:$A,Blades!$C:$C)+_xludf.XLOOKUP(_xludf.XLOOKUP(B1924,Inventory!$A:$A,Inventory!$C:$C),Motor!$A:$A,Motor!$C:$C)+_xludf.XLOOKUP(_xludf.XLOOKUP(B1924,Inventory!$A:$A,Inventory!$D:$D),Frame!$A:$A,Frame!$C:$C)+#REF!,""))</f>
        <v/>
      </c>
      <c r="E1924" s="4">
        <v>45584</v>
      </c>
      <c r="F1924" s="1" t="s">
        <v>49</v>
      </c>
    </row>
    <row r="1925" spans="1:6" x14ac:dyDescent="0.25">
      <c r="A1925" s="1" t="s">
        <v>3860</v>
      </c>
      <c r="B1925" s="1" t="s">
        <v>3861</v>
      </c>
      <c r="C1925" s="3">
        <v>200</v>
      </c>
      <c r="D1925" s="3" t="str">
        <f ca="1">IF(B1925="","",IFERROR(_xludf.XLOOKUP(_xludf.XLOOKUP(B1925,Inventory!$A:$A,Inventory!$B:$B),Blades!$A:$A,Blades!$C:$C)+_xludf.XLOOKUP(_xludf.XLOOKUP(B1925,Inventory!$A:$A,Inventory!$C:$C),Motor!$A:$A,Motor!$C:$C)+_xludf.XLOOKUP(_xludf.XLOOKUP(B1925,Inventory!$A:$A,Inventory!$D:$D),Frame!$A:$A,Frame!$C:$C)+#REF!,""))</f>
        <v/>
      </c>
      <c r="E1925" s="4">
        <v>45585</v>
      </c>
      <c r="F1925" s="1" t="s">
        <v>32</v>
      </c>
    </row>
    <row r="1926" spans="1:6" x14ac:dyDescent="0.25">
      <c r="A1926" s="1" t="s">
        <v>3862</v>
      </c>
      <c r="B1926" s="1" t="s">
        <v>3863</v>
      </c>
      <c r="C1926" s="3">
        <v>200</v>
      </c>
      <c r="D1926" s="3" t="str">
        <f ca="1">IF(B1926="","",IFERROR(_xludf.XLOOKUP(_xludf.XLOOKUP(B1926,Inventory!$A:$A,Inventory!$B:$B),Blades!$A:$A,Blades!$C:$C)+_xludf.XLOOKUP(_xludf.XLOOKUP(B1926,Inventory!$A:$A,Inventory!$C:$C),Motor!$A:$A,Motor!$C:$C)+_xludf.XLOOKUP(_xludf.XLOOKUP(B1926,Inventory!$A:$A,Inventory!$D:$D),Frame!$A:$A,Frame!$C:$C)+#REF!,""))</f>
        <v/>
      </c>
      <c r="E1926" s="4">
        <v>45585</v>
      </c>
      <c r="F1926" s="1" t="s">
        <v>20</v>
      </c>
    </row>
    <row r="1927" spans="1:6" x14ac:dyDescent="0.25">
      <c r="A1927" s="1" t="s">
        <v>3864</v>
      </c>
      <c r="B1927" s="1" t="s">
        <v>3865</v>
      </c>
      <c r="C1927" s="3">
        <v>200</v>
      </c>
      <c r="D1927" s="3" t="str">
        <f ca="1">IF(B1927="","",IFERROR(_xludf.XLOOKUP(_xludf.XLOOKUP(B1927,Inventory!$A:$A,Inventory!$B:$B),Blades!$A:$A,Blades!$C:$C)+_xludf.XLOOKUP(_xludf.XLOOKUP(B1927,Inventory!$A:$A,Inventory!$C:$C),Motor!$A:$A,Motor!$C:$C)+_xludf.XLOOKUP(_xludf.XLOOKUP(B1927,Inventory!$A:$A,Inventory!$D:$D),Frame!$A:$A,Frame!$C:$C)+#REF!,""))</f>
        <v/>
      </c>
      <c r="E1927" s="4">
        <v>45585</v>
      </c>
      <c r="F1927" s="1" t="s">
        <v>52</v>
      </c>
    </row>
    <row r="1928" spans="1:6" x14ac:dyDescent="0.25">
      <c r="A1928" s="1" t="s">
        <v>3866</v>
      </c>
      <c r="B1928" s="1" t="s">
        <v>3867</v>
      </c>
      <c r="C1928" s="3">
        <v>200</v>
      </c>
      <c r="D1928" s="3" t="str">
        <f ca="1">IF(B1928="","",IFERROR(_xludf.XLOOKUP(_xludf.XLOOKUP(B1928,Inventory!$A:$A,Inventory!$B:$B),Blades!$A:$A,Blades!$C:$C)+_xludf.XLOOKUP(_xludf.XLOOKUP(B1928,Inventory!$A:$A,Inventory!$C:$C),Motor!$A:$A,Motor!$C:$C)+_xludf.XLOOKUP(_xludf.XLOOKUP(B1928,Inventory!$A:$A,Inventory!$D:$D),Frame!$A:$A,Frame!$C:$C)+#REF!,""))</f>
        <v/>
      </c>
      <c r="E1928" s="4">
        <v>45587</v>
      </c>
      <c r="F1928" s="1" t="s">
        <v>49</v>
      </c>
    </row>
    <row r="1929" spans="1:6" x14ac:dyDescent="0.25">
      <c r="A1929" s="1" t="s">
        <v>3868</v>
      </c>
      <c r="B1929" s="1" t="s">
        <v>3869</v>
      </c>
      <c r="C1929" s="3">
        <v>200</v>
      </c>
      <c r="D1929" s="3" t="str">
        <f ca="1">IF(B1929="","",IFERROR(_xludf.XLOOKUP(_xludf.XLOOKUP(B1929,Inventory!$A:$A,Inventory!$B:$B),Blades!$A:$A,Blades!$C:$C)+_xludf.XLOOKUP(_xludf.XLOOKUP(B1929,Inventory!$A:$A,Inventory!$C:$C),Motor!$A:$A,Motor!$C:$C)+_xludf.XLOOKUP(_xludf.XLOOKUP(B1929,Inventory!$A:$A,Inventory!$D:$D),Frame!$A:$A,Frame!$C:$C)+#REF!,""))</f>
        <v/>
      </c>
      <c r="E1929" s="4">
        <v>45588</v>
      </c>
      <c r="F1929" s="1" t="s">
        <v>49</v>
      </c>
    </row>
    <row r="1930" spans="1:6" x14ac:dyDescent="0.25">
      <c r="A1930" s="1" t="s">
        <v>3870</v>
      </c>
      <c r="B1930" s="1" t="s">
        <v>3871</v>
      </c>
      <c r="C1930" s="3">
        <v>200</v>
      </c>
      <c r="D1930" s="3" t="str">
        <f ca="1">IF(B1930="","",IFERROR(_xludf.XLOOKUP(_xludf.XLOOKUP(B1930,Inventory!$A:$A,Inventory!$B:$B),Blades!$A:$A,Blades!$C:$C)+_xludf.XLOOKUP(_xludf.XLOOKUP(B1930,Inventory!$A:$A,Inventory!$C:$C),Motor!$A:$A,Motor!$C:$C)+_xludf.XLOOKUP(_xludf.XLOOKUP(B1930,Inventory!$A:$A,Inventory!$D:$D),Frame!$A:$A,Frame!$C:$C)+#REF!,""))</f>
        <v/>
      </c>
      <c r="E1930" s="4">
        <v>45588</v>
      </c>
      <c r="F1930" s="1" t="s">
        <v>8</v>
      </c>
    </row>
    <row r="1931" spans="1:6" x14ac:dyDescent="0.25">
      <c r="A1931" s="1" t="s">
        <v>3872</v>
      </c>
      <c r="B1931" s="1" t="s">
        <v>3873</v>
      </c>
      <c r="C1931" s="3">
        <v>200</v>
      </c>
      <c r="D1931" s="3" t="str">
        <f ca="1">IF(B1931="","",IFERROR(_xludf.XLOOKUP(_xludf.XLOOKUP(B1931,Inventory!$A:$A,Inventory!$B:$B),Blades!$A:$A,Blades!$C:$C)+_xludf.XLOOKUP(_xludf.XLOOKUP(B1931,Inventory!$A:$A,Inventory!$C:$C),Motor!$A:$A,Motor!$C:$C)+_xludf.XLOOKUP(_xludf.XLOOKUP(B1931,Inventory!$A:$A,Inventory!$D:$D),Frame!$A:$A,Frame!$C:$C)+#REF!,""))</f>
        <v/>
      </c>
      <c r="E1931" s="4">
        <v>45589</v>
      </c>
      <c r="F1931" s="1" t="s">
        <v>20</v>
      </c>
    </row>
    <row r="1932" spans="1:6" x14ac:dyDescent="0.25">
      <c r="A1932" s="1" t="s">
        <v>3874</v>
      </c>
      <c r="B1932" s="1" t="s">
        <v>3875</v>
      </c>
      <c r="C1932" s="3">
        <v>200</v>
      </c>
      <c r="D1932" s="3" t="str">
        <f ca="1">IF(B1932="","",IFERROR(_xludf.XLOOKUP(_xludf.XLOOKUP(B1932,Inventory!$A:$A,Inventory!$B:$B),Blades!$A:$A,Blades!$C:$C)+_xludf.XLOOKUP(_xludf.XLOOKUP(B1932,Inventory!$A:$A,Inventory!$C:$C),Motor!$A:$A,Motor!$C:$C)+_xludf.XLOOKUP(_xludf.XLOOKUP(B1932,Inventory!$A:$A,Inventory!$D:$D),Frame!$A:$A,Frame!$C:$C)+#REF!,""))</f>
        <v/>
      </c>
      <c r="E1932" s="4">
        <v>45590</v>
      </c>
      <c r="F1932" s="1" t="s">
        <v>32</v>
      </c>
    </row>
    <row r="1933" spans="1:6" x14ac:dyDescent="0.25">
      <c r="A1933" s="1" t="s">
        <v>3876</v>
      </c>
      <c r="B1933" s="1" t="s">
        <v>3877</v>
      </c>
      <c r="C1933" s="3">
        <v>200</v>
      </c>
      <c r="D1933" s="3" t="str">
        <f ca="1">IF(B1933="","",IFERROR(_xludf.XLOOKUP(_xludf.XLOOKUP(B1933,Inventory!$A:$A,Inventory!$B:$B),Blades!$A:$A,Blades!$C:$C)+_xludf.XLOOKUP(_xludf.XLOOKUP(B1933,Inventory!$A:$A,Inventory!$C:$C),Motor!$A:$A,Motor!$C:$C)+_xludf.XLOOKUP(_xludf.XLOOKUP(B1933,Inventory!$A:$A,Inventory!$D:$D),Frame!$A:$A,Frame!$C:$C)+#REF!,""))</f>
        <v/>
      </c>
      <c r="E1933" s="4">
        <v>45591</v>
      </c>
      <c r="F1933" s="1" t="s">
        <v>25</v>
      </c>
    </row>
    <row r="1934" spans="1:6" x14ac:dyDescent="0.25">
      <c r="A1934" s="1" t="s">
        <v>3878</v>
      </c>
      <c r="B1934" s="1" t="s">
        <v>3879</v>
      </c>
      <c r="C1934" s="3">
        <v>200</v>
      </c>
      <c r="D1934" s="3" t="str">
        <f ca="1">IF(B1934="","",IFERROR(_xludf.XLOOKUP(_xludf.XLOOKUP(B1934,Inventory!$A:$A,Inventory!$B:$B),Blades!$A:$A,Blades!$C:$C)+_xludf.XLOOKUP(_xludf.XLOOKUP(B1934,Inventory!$A:$A,Inventory!$C:$C),Motor!$A:$A,Motor!$C:$C)+_xludf.XLOOKUP(_xludf.XLOOKUP(B1934,Inventory!$A:$A,Inventory!$D:$D),Frame!$A:$A,Frame!$C:$C)+#REF!,""))</f>
        <v/>
      </c>
      <c r="E1934" s="4">
        <v>45591</v>
      </c>
      <c r="F1934" s="1" t="s">
        <v>32</v>
      </c>
    </row>
    <row r="1935" spans="1:6" x14ac:dyDescent="0.25">
      <c r="A1935" s="1" t="s">
        <v>3880</v>
      </c>
      <c r="B1935" s="1" t="s">
        <v>3881</v>
      </c>
      <c r="C1935" s="3">
        <v>200</v>
      </c>
      <c r="D1935" s="3" t="str">
        <f ca="1">IF(B1935="","",IFERROR(_xludf.XLOOKUP(_xludf.XLOOKUP(B1935,Inventory!$A:$A,Inventory!$B:$B),Blades!$A:$A,Blades!$C:$C)+_xludf.XLOOKUP(_xludf.XLOOKUP(B1935,Inventory!$A:$A,Inventory!$C:$C),Motor!$A:$A,Motor!$C:$C)+_xludf.XLOOKUP(_xludf.XLOOKUP(B1935,Inventory!$A:$A,Inventory!$D:$D),Frame!$A:$A,Frame!$C:$C)+#REF!,""))</f>
        <v/>
      </c>
      <c r="E1935" s="4">
        <v>45592</v>
      </c>
      <c r="F1935" s="1" t="s">
        <v>52</v>
      </c>
    </row>
    <row r="1936" spans="1:6" x14ac:dyDescent="0.25">
      <c r="A1936" s="1" t="s">
        <v>3882</v>
      </c>
      <c r="B1936" s="1" t="s">
        <v>3883</v>
      </c>
      <c r="C1936" s="3">
        <v>200</v>
      </c>
      <c r="D1936" s="3" t="str">
        <f ca="1">IF(B1936="","",IFERROR(_xludf.XLOOKUP(_xludf.XLOOKUP(B1936,Inventory!$A:$A,Inventory!$B:$B),Blades!$A:$A,Blades!$C:$C)+_xludf.XLOOKUP(_xludf.XLOOKUP(B1936,Inventory!$A:$A,Inventory!$C:$C),Motor!$A:$A,Motor!$C:$C)+_xludf.XLOOKUP(_xludf.XLOOKUP(B1936,Inventory!$A:$A,Inventory!$D:$D),Frame!$A:$A,Frame!$C:$C)+#REF!,""))</f>
        <v/>
      </c>
      <c r="E1936" s="4">
        <v>45592</v>
      </c>
      <c r="F1936" s="1" t="s">
        <v>49</v>
      </c>
    </row>
    <row r="1937" spans="1:6" x14ac:dyDescent="0.25">
      <c r="A1937" s="1" t="s">
        <v>3884</v>
      </c>
      <c r="B1937" s="1" t="s">
        <v>3885</v>
      </c>
      <c r="C1937" s="3">
        <v>200</v>
      </c>
      <c r="D1937" s="3" t="str">
        <f ca="1">IF(B1937="","",IFERROR(_xludf.XLOOKUP(_xludf.XLOOKUP(B1937,Inventory!$A:$A,Inventory!$B:$B),Blades!$A:$A,Blades!$C:$C)+_xludf.XLOOKUP(_xludf.XLOOKUP(B1937,Inventory!$A:$A,Inventory!$C:$C),Motor!$A:$A,Motor!$C:$C)+_xludf.XLOOKUP(_xludf.XLOOKUP(B1937,Inventory!$A:$A,Inventory!$D:$D),Frame!$A:$A,Frame!$C:$C)+#REF!,""))</f>
        <v/>
      </c>
      <c r="E1937" s="4">
        <v>45593</v>
      </c>
      <c r="F1937" s="1" t="s">
        <v>11</v>
      </c>
    </row>
    <row r="1938" spans="1:6" x14ac:dyDescent="0.25">
      <c r="A1938" s="1" t="s">
        <v>3886</v>
      </c>
      <c r="B1938" s="1" t="s">
        <v>3887</v>
      </c>
      <c r="C1938" s="3">
        <v>200</v>
      </c>
      <c r="D1938" s="3" t="str">
        <f ca="1">IF(B1938="","",IFERROR(_xludf.XLOOKUP(_xludf.XLOOKUP(B1938,Inventory!$A:$A,Inventory!$B:$B),Blades!$A:$A,Blades!$C:$C)+_xludf.XLOOKUP(_xludf.XLOOKUP(B1938,Inventory!$A:$A,Inventory!$C:$C),Motor!$A:$A,Motor!$C:$C)+_xludf.XLOOKUP(_xludf.XLOOKUP(B1938,Inventory!$A:$A,Inventory!$D:$D),Frame!$A:$A,Frame!$C:$C)+#REF!,""))</f>
        <v/>
      </c>
      <c r="E1938" s="4">
        <v>45593</v>
      </c>
      <c r="F1938" s="1" t="s">
        <v>20</v>
      </c>
    </row>
    <row r="1939" spans="1:6" x14ac:dyDescent="0.25">
      <c r="A1939" s="1" t="s">
        <v>3888</v>
      </c>
      <c r="B1939" s="1" t="s">
        <v>3889</v>
      </c>
      <c r="C1939" s="3">
        <v>200</v>
      </c>
      <c r="D1939" s="3" t="str">
        <f ca="1">IF(B1939="","",IFERROR(_xludf.XLOOKUP(_xludf.XLOOKUP(B1939,Inventory!$A:$A,Inventory!$B:$B),Blades!$A:$A,Blades!$C:$C)+_xludf.XLOOKUP(_xludf.XLOOKUP(B1939,Inventory!$A:$A,Inventory!$C:$C),Motor!$A:$A,Motor!$C:$C)+_xludf.XLOOKUP(_xludf.XLOOKUP(B1939,Inventory!$A:$A,Inventory!$D:$D),Frame!$A:$A,Frame!$C:$C)+#REF!,""))</f>
        <v/>
      </c>
      <c r="E1939" s="4">
        <v>45593</v>
      </c>
      <c r="F1939" s="1" t="s">
        <v>49</v>
      </c>
    </row>
    <row r="1940" spans="1:6" x14ac:dyDescent="0.25">
      <c r="A1940" s="1" t="s">
        <v>3890</v>
      </c>
      <c r="B1940" s="1" t="s">
        <v>3891</v>
      </c>
      <c r="C1940" s="3">
        <v>200</v>
      </c>
      <c r="D1940" s="3" t="str">
        <f ca="1">IF(B1940="","",IFERROR(_xludf.XLOOKUP(_xludf.XLOOKUP(B1940,Inventory!$A:$A,Inventory!$B:$B),Blades!$A:$A,Blades!$C:$C)+_xludf.XLOOKUP(_xludf.XLOOKUP(B1940,Inventory!$A:$A,Inventory!$C:$C),Motor!$A:$A,Motor!$C:$C)+_xludf.XLOOKUP(_xludf.XLOOKUP(B1940,Inventory!$A:$A,Inventory!$D:$D),Frame!$A:$A,Frame!$C:$C)+#REF!,""))</f>
        <v/>
      </c>
      <c r="E1940" s="4">
        <v>45593</v>
      </c>
      <c r="F1940" s="1" t="s">
        <v>32</v>
      </c>
    </row>
    <row r="1941" spans="1:6" x14ac:dyDescent="0.25">
      <c r="A1941" s="1" t="s">
        <v>3892</v>
      </c>
      <c r="B1941" s="1" t="s">
        <v>3893</v>
      </c>
      <c r="C1941" s="3">
        <v>200</v>
      </c>
      <c r="D1941" s="3" t="str">
        <f ca="1">IF(B1941="","",IFERROR(_xludf.XLOOKUP(_xludf.XLOOKUP(B1941,Inventory!$A:$A,Inventory!$B:$B),Blades!$A:$A,Blades!$C:$C)+_xludf.XLOOKUP(_xludf.XLOOKUP(B1941,Inventory!$A:$A,Inventory!$C:$C),Motor!$A:$A,Motor!$C:$C)+_xludf.XLOOKUP(_xludf.XLOOKUP(B1941,Inventory!$A:$A,Inventory!$D:$D),Frame!$A:$A,Frame!$C:$C)+#REF!,""))</f>
        <v/>
      </c>
      <c r="E1941" s="4">
        <v>45595</v>
      </c>
      <c r="F1941" s="1" t="s">
        <v>63</v>
      </c>
    </row>
    <row r="1942" spans="1:6" x14ac:dyDescent="0.25">
      <c r="A1942" s="1" t="s">
        <v>3894</v>
      </c>
      <c r="B1942" s="1" t="s">
        <v>3895</v>
      </c>
      <c r="C1942" s="3">
        <v>200</v>
      </c>
      <c r="D1942" s="3" t="str">
        <f ca="1">IF(B1942="","",IFERROR(_xludf.XLOOKUP(_xludf.XLOOKUP(B1942,Inventory!$A:$A,Inventory!$B:$B),Blades!$A:$A,Blades!$C:$C)+_xludf.XLOOKUP(_xludf.XLOOKUP(B1942,Inventory!$A:$A,Inventory!$C:$C),Motor!$A:$A,Motor!$C:$C)+_xludf.XLOOKUP(_xludf.XLOOKUP(B1942,Inventory!$A:$A,Inventory!$D:$D),Frame!$A:$A,Frame!$C:$C)+#REF!,""))</f>
        <v/>
      </c>
      <c r="E1942" s="4">
        <v>45596</v>
      </c>
      <c r="F1942" s="1" t="s">
        <v>63</v>
      </c>
    </row>
    <row r="1943" spans="1:6" x14ac:dyDescent="0.25">
      <c r="A1943" s="1" t="s">
        <v>3896</v>
      </c>
      <c r="B1943" s="1" t="s">
        <v>3897</v>
      </c>
      <c r="C1943" s="3">
        <v>200</v>
      </c>
      <c r="D1943" s="3" t="str">
        <f ca="1">IF(B1943="","",IFERROR(_xludf.XLOOKUP(_xludf.XLOOKUP(B1943,Inventory!$A:$A,Inventory!$B:$B),Blades!$A:$A,Blades!$C:$C)+_xludf.XLOOKUP(_xludf.XLOOKUP(B1943,Inventory!$A:$A,Inventory!$C:$C),Motor!$A:$A,Motor!$C:$C)+_xludf.XLOOKUP(_xludf.XLOOKUP(B1943,Inventory!$A:$A,Inventory!$D:$D),Frame!$A:$A,Frame!$C:$C)+#REF!,""))</f>
        <v/>
      </c>
      <c r="E1943" s="4">
        <v>45597</v>
      </c>
      <c r="F1943" s="1" t="s">
        <v>11</v>
      </c>
    </row>
    <row r="1944" spans="1:6" x14ac:dyDescent="0.25">
      <c r="A1944" s="1" t="s">
        <v>3898</v>
      </c>
      <c r="B1944" s="1" t="s">
        <v>3899</v>
      </c>
      <c r="C1944" s="3">
        <v>200</v>
      </c>
      <c r="D1944" s="3" t="str">
        <f ca="1">IF(B1944="","",IFERROR(_xludf.XLOOKUP(_xludf.XLOOKUP(B1944,Inventory!$A:$A,Inventory!$B:$B),Blades!$A:$A,Blades!$C:$C)+_xludf.XLOOKUP(_xludf.XLOOKUP(B1944,Inventory!$A:$A,Inventory!$C:$C),Motor!$A:$A,Motor!$C:$C)+_xludf.XLOOKUP(_xludf.XLOOKUP(B1944,Inventory!$A:$A,Inventory!$D:$D),Frame!$A:$A,Frame!$C:$C)+#REF!,""))</f>
        <v/>
      </c>
      <c r="E1944" s="4">
        <v>45598</v>
      </c>
      <c r="F1944" s="1" t="s">
        <v>25</v>
      </c>
    </row>
    <row r="1945" spans="1:6" x14ac:dyDescent="0.25">
      <c r="A1945" s="1" t="s">
        <v>3900</v>
      </c>
      <c r="B1945" s="1" t="s">
        <v>3901</v>
      </c>
      <c r="C1945" s="3">
        <v>200</v>
      </c>
      <c r="D1945" s="3" t="str">
        <f ca="1">IF(B1945="","",IFERROR(_xludf.XLOOKUP(_xludf.XLOOKUP(B1945,Inventory!$A:$A,Inventory!$B:$B),Blades!$A:$A,Blades!$C:$C)+_xludf.XLOOKUP(_xludf.XLOOKUP(B1945,Inventory!$A:$A,Inventory!$C:$C),Motor!$A:$A,Motor!$C:$C)+_xludf.XLOOKUP(_xludf.XLOOKUP(B1945,Inventory!$A:$A,Inventory!$D:$D),Frame!$A:$A,Frame!$C:$C)+#REF!,""))</f>
        <v/>
      </c>
      <c r="E1945" s="4">
        <v>45598</v>
      </c>
      <c r="F1945" s="1" t="s">
        <v>11</v>
      </c>
    </row>
    <row r="1946" spans="1:6" x14ac:dyDescent="0.25">
      <c r="A1946" s="1" t="s">
        <v>3902</v>
      </c>
      <c r="B1946" s="1" t="s">
        <v>3903</v>
      </c>
      <c r="C1946" s="3">
        <v>200</v>
      </c>
      <c r="D1946" s="3" t="str">
        <f ca="1">IF(B1946="","",IFERROR(_xludf.XLOOKUP(_xludf.XLOOKUP(B1946,Inventory!$A:$A,Inventory!$B:$B),Blades!$A:$A,Blades!$C:$C)+_xludf.XLOOKUP(_xludf.XLOOKUP(B1946,Inventory!$A:$A,Inventory!$C:$C),Motor!$A:$A,Motor!$C:$C)+_xludf.XLOOKUP(_xludf.XLOOKUP(B1946,Inventory!$A:$A,Inventory!$D:$D),Frame!$A:$A,Frame!$C:$C)+#REF!,""))</f>
        <v/>
      </c>
      <c r="E1946" s="4">
        <v>45598</v>
      </c>
      <c r="F1946" s="1" t="s">
        <v>63</v>
      </c>
    </row>
    <row r="1947" spans="1:6" x14ac:dyDescent="0.25">
      <c r="A1947" s="1" t="s">
        <v>3904</v>
      </c>
      <c r="B1947" s="1" t="s">
        <v>3905</v>
      </c>
      <c r="C1947" s="3">
        <v>200</v>
      </c>
      <c r="D1947" s="3" t="str">
        <f ca="1">IF(B1947="","",IFERROR(_xludf.XLOOKUP(_xludf.XLOOKUP(B1947,Inventory!$A:$A,Inventory!$B:$B),Blades!$A:$A,Blades!$C:$C)+_xludf.XLOOKUP(_xludf.XLOOKUP(B1947,Inventory!$A:$A,Inventory!$C:$C),Motor!$A:$A,Motor!$C:$C)+_xludf.XLOOKUP(_xludf.XLOOKUP(B1947,Inventory!$A:$A,Inventory!$D:$D),Frame!$A:$A,Frame!$C:$C)+#REF!,""))</f>
        <v/>
      </c>
      <c r="E1947" s="4">
        <v>45599</v>
      </c>
      <c r="F1947" s="1" t="s">
        <v>20</v>
      </c>
    </row>
    <row r="1948" spans="1:6" x14ac:dyDescent="0.25">
      <c r="A1948" s="1" t="s">
        <v>3906</v>
      </c>
      <c r="B1948" s="1" t="s">
        <v>3907</v>
      </c>
      <c r="C1948" s="3">
        <v>200</v>
      </c>
      <c r="D1948" s="3" t="str">
        <f ca="1">IF(B1948="","",IFERROR(_xludf.XLOOKUP(_xludf.XLOOKUP(B1948,Inventory!$A:$A,Inventory!$B:$B),Blades!$A:$A,Blades!$C:$C)+_xludf.XLOOKUP(_xludf.XLOOKUP(B1948,Inventory!$A:$A,Inventory!$C:$C),Motor!$A:$A,Motor!$C:$C)+_xludf.XLOOKUP(_xludf.XLOOKUP(B1948,Inventory!$A:$A,Inventory!$D:$D),Frame!$A:$A,Frame!$C:$C)+#REF!,""))</f>
        <v/>
      </c>
      <c r="E1948" s="4">
        <v>45599</v>
      </c>
      <c r="F1948" s="1" t="s">
        <v>49</v>
      </c>
    </row>
    <row r="1949" spans="1:6" x14ac:dyDescent="0.25">
      <c r="A1949" s="1" t="s">
        <v>3908</v>
      </c>
      <c r="B1949" s="1" t="s">
        <v>3909</v>
      </c>
      <c r="C1949" s="3">
        <v>200</v>
      </c>
      <c r="D1949" s="3" t="str">
        <f ca="1">IF(B1949="","",IFERROR(_xludf.XLOOKUP(_xludf.XLOOKUP(B1949,Inventory!$A:$A,Inventory!$B:$B),Blades!$A:$A,Blades!$C:$C)+_xludf.XLOOKUP(_xludf.XLOOKUP(B1949,Inventory!$A:$A,Inventory!$C:$C),Motor!$A:$A,Motor!$C:$C)+_xludf.XLOOKUP(_xludf.XLOOKUP(B1949,Inventory!$A:$A,Inventory!$D:$D),Frame!$A:$A,Frame!$C:$C)+#REF!,""))</f>
        <v/>
      </c>
      <c r="E1949" s="4">
        <v>45600</v>
      </c>
      <c r="F1949" s="1" t="s">
        <v>20</v>
      </c>
    </row>
    <row r="1950" spans="1:6" x14ac:dyDescent="0.25">
      <c r="A1950" s="1" t="s">
        <v>3910</v>
      </c>
      <c r="B1950" s="1" t="s">
        <v>3911</v>
      </c>
      <c r="C1950" s="3">
        <v>200</v>
      </c>
      <c r="D1950" s="3" t="str">
        <f ca="1">IF(B1950="","",IFERROR(_xludf.XLOOKUP(_xludf.XLOOKUP(B1950,Inventory!$A:$A,Inventory!$B:$B),Blades!$A:$A,Blades!$C:$C)+_xludf.XLOOKUP(_xludf.XLOOKUP(B1950,Inventory!$A:$A,Inventory!$C:$C),Motor!$A:$A,Motor!$C:$C)+_xludf.XLOOKUP(_xludf.XLOOKUP(B1950,Inventory!$A:$A,Inventory!$D:$D),Frame!$A:$A,Frame!$C:$C)+#REF!,""))</f>
        <v/>
      </c>
      <c r="E1950" s="4">
        <v>45600</v>
      </c>
      <c r="F1950" s="1" t="s">
        <v>63</v>
      </c>
    </row>
    <row r="1951" spans="1:6" x14ac:dyDescent="0.25">
      <c r="A1951" s="1" t="s">
        <v>3912</v>
      </c>
      <c r="B1951" s="1" t="s">
        <v>3913</v>
      </c>
      <c r="C1951" s="3">
        <v>200</v>
      </c>
      <c r="D1951" s="3" t="str">
        <f ca="1">IF(B1951="","",IFERROR(_xludf.XLOOKUP(_xludf.XLOOKUP(B1951,Inventory!$A:$A,Inventory!$B:$B),Blades!$A:$A,Blades!$C:$C)+_xludf.XLOOKUP(_xludf.XLOOKUP(B1951,Inventory!$A:$A,Inventory!$C:$C),Motor!$A:$A,Motor!$C:$C)+_xludf.XLOOKUP(_xludf.XLOOKUP(B1951,Inventory!$A:$A,Inventory!$D:$D),Frame!$A:$A,Frame!$C:$C)+#REF!,""))</f>
        <v/>
      </c>
      <c r="E1951" s="4">
        <v>45602</v>
      </c>
      <c r="F1951" s="1" t="s">
        <v>20</v>
      </c>
    </row>
    <row r="1952" spans="1:6" x14ac:dyDescent="0.25">
      <c r="A1952" s="1" t="s">
        <v>3914</v>
      </c>
      <c r="B1952" s="1" t="s">
        <v>3915</v>
      </c>
      <c r="C1952" s="3">
        <v>200</v>
      </c>
      <c r="D1952" s="3" t="str">
        <f ca="1">IF(B1952="","",IFERROR(_xludf.XLOOKUP(_xludf.XLOOKUP(B1952,Inventory!$A:$A,Inventory!$B:$B),Blades!$A:$A,Blades!$C:$C)+_xludf.XLOOKUP(_xludf.XLOOKUP(B1952,Inventory!$A:$A,Inventory!$C:$C),Motor!$A:$A,Motor!$C:$C)+_xludf.XLOOKUP(_xludf.XLOOKUP(B1952,Inventory!$A:$A,Inventory!$D:$D),Frame!$A:$A,Frame!$C:$C)+#REF!,""))</f>
        <v/>
      </c>
      <c r="E1952" s="4">
        <v>45602</v>
      </c>
      <c r="F1952" s="1" t="s">
        <v>25</v>
      </c>
    </row>
    <row r="1953" spans="1:6" x14ac:dyDescent="0.25">
      <c r="A1953" s="1" t="s">
        <v>3916</v>
      </c>
      <c r="B1953" s="1" t="s">
        <v>3917</v>
      </c>
      <c r="C1953" s="3">
        <v>200</v>
      </c>
      <c r="D1953" s="3" t="str">
        <f ca="1">IF(B1953="","",IFERROR(_xludf.XLOOKUP(_xludf.XLOOKUP(B1953,Inventory!$A:$A,Inventory!$B:$B),Blades!$A:$A,Blades!$C:$C)+_xludf.XLOOKUP(_xludf.XLOOKUP(B1953,Inventory!$A:$A,Inventory!$C:$C),Motor!$A:$A,Motor!$C:$C)+_xludf.XLOOKUP(_xludf.XLOOKUP(B1953,Inventory!$A:$A,Inventory!$D:$D),Frame!$A:$A,Frame!$C:$C)+#REF!,""))</f>
        <v/>
      </c>
      <c r="E1953" s="4">
        <v>45602</v>
      </c>
      <c r="F1953" s="1" t="s">
        <v>49</v>
      </c>
    </row>
    <row r="1954" spans="1:6" x14ac:dyDescent="0.25">
      <c r="A1954" s="1" t="s">
        <v>3918</v>
      </c>
      <c r="B1954" s="1" t="s">
        <v>3919</v>
      </c>
      <c r="C1954" s="3">
        <v>200</v>
      </c>
      <c r="D1954" s="3" t="str">
        <f ca="1">IF(B1954="","",IFERROR(_xludf.XLOOKUP(_xludf.XLOOKUP(B1954,Inventory!$A:$A,Inventory!$B:$B),Blades!$A:$A,Blades!$C:$C)+_xludf.XLOOKUP(_xludf.XLOOKUP(B1954,Inventory!$A:$A,Inventory!$C:$C),Motor!$A:$A,Motor!$C:$C)+_xludf.XLOOKUP(_xludf.XLOOKUP(B1954,Inventory!$A:$A,Inventory!$D:$D),Frame!$A:$A,Frame!$C:$C)+#REF!,""))</f>
        <v/>
      </c>
      <c r="E1954" s="4">
        <v>45603</v>
      </c>
      <c r="F1954" s="1" t="s">
        <v>52</v>
      </c>
    </row>
    <row r="1955" spans="1:6" x14ac:dyDescent="0.25">
      <c r="A1955" s="1" t="s">
        <v>3920</v>
      </c>
      <c r="B1955" s="1" t="s">
        <v>3921</v>
      </c>
      <c r="C1955" s="3">
        <v>200</v>
      </c>
      <c r="D1955" s="3" t="str">
        <f ca="1">IF(B1955="","",IFERROR(_xludf.XLOOKUP(_xludf.XLOOKUP(B1955,Inventory!$A:$A,Inventory!$B:$B),Blades!$A:$A,Blades!$C:$C)+_xludf.XLOOKUP(_xludf.XLOOKUP(B1955,Inventory!$A:$A,Inventory!$C:$C),Motor!$A:$A,Motor!$C:$C)+_xludf.XLOOKUP(_xludf.XLOOKUP(B1955,Inventory!$A:$A,Inventory!$D:$D),Frame!$A:$A,Frame!$C:$C)+#REF!,""))</f>
        <v/>
      </c>
      <c r="E1955" s="4">
        <v>45604</v>
      </c>
      <c r="F1955" s="1" t="s">
        <v>20</v>
      </c>
    </row>
    <row r="1956" spans="1:6" x14ac:dyDescent="0.25">
      <c r="A1956" s="1" t="s">
        <v>3922</v>
      </c>
      <c r="B1956" s="1" t="s">
        <v>3923</v>
      </c>
      <c r="C1956" s="3">
        <v>200</v>
      </c>
      <c r="D1956" s="3" t="str">
        <f ca="1">IF(B1956="","",IFERROR(_xludf.XLOOKUP(_xludf.XLOOKUP(B1956,Inventory!$A:$A,Inventory!$B:$B),Blades!$A:$A,Blades!$C:$C)+_xludf.XLOOKUP(_xludf.XLOOKUP(B1956,Inventory!$A:$A,Inventory!$C:$C),Motor!$A:$A,Motor!$C:$C)+_xludf.XLOOKUP(_xludf.XLOOKUP(B1956,Inventory!$A:$A,Inventory!$D:$D),Frame!$A:$A,Frame!$C:$C)+#REF!,""))</f>
        <v/>
      </c>
      <c r="E1956" s="4">
        <v>45604</v>
      </c>
      <c r="F1956" s="1" t="s">
        <v>32</v>
      </c>
    </row>
    <row r="1957" spans="1:6" x14ac:dyDescent="0.25">
      <c r="A1957" s="1" t="s">
        <v>3924</v>
      </c>
      <c r="B1957" s="1" t="s">
        <v>3925</v>
      </c>
      <c r="C1957" s="3">
        <v>200</v>
      </c>
      <c r="D1957" s="3" t="str">
        <f ca="1">IF(B1957="","",IFERROR(_xludf.XLOOKUP(_xludf.XLOOKUP(B1957,Inventory!$A:$A,Inventory!$B:$B),Blades!$A:$A,Blades!$C:$C)+_xludf.XLOOKUP(_xludf.XLOOKUP(B1957,Inventory!$A:$A,Inventory!$C:$C),Motor!$A:$A,Motor!$C:$C)+_xludf.XLOOKUP(_xludf.XLOOKUP(B1957,Inventory!$A:$A,Inventory!$D:$D),Frame!$A:$A,Frame!$C:$C)+#REF!,""))</f>
        <v/>
      </c>
      <c r="E1957" s="4">
        <v>45606</v>
      </c>
      <c r="F1957" s="1" t="s">
        <v>20</v>
      </c>
    </row>
    <row r="1958" spans="1:6" x14ac:dyDescent="0.25">
      <c r="A1958" s="1" t="s">
        <v>3926</v>
      </c>
      <c r="B1958" s="1" t="s">
        <v>3927</v>
      </c>
      <c r="C1958" s="3">
        <v>200</v>
      </c>
      <c r="D1958" s="3" t="str">
        <f ca="1">IF(B1958="","",IFERROR(_xludf.XLOOKUP(_xludf.XLOOKUP(B1958,Inventory!$A:$A,Inventory!$B:$B),Blades!$A:$A,Blades!$C:$C)+_xludf.XLOOKUP(_xludf.XLOOKUP(B1958,Inventory!$A:$A,Inventory!$C:$C),Motor!$A:$A,Motor!$C:$C)+_xludf.XLOOKUP(_xludf.XLOOKUP(B1958,Inventory!$A:$A,Inventory!$D:$D),Frame!$A:$A,Frame!$C:$C)+#REF!,""))</f>
        <v/>
      </c>
      <c r="E1958" s="4">
        <v>45606</v>
      </c>
      <c r="F1958" s="1" t="s">
        <v>11</v>
      </c>
    </row>
    <row r="1959" spans="1:6" x14ac:dyDescent="0.25">
      <c r="A1959" s="1" t="s">
        <v>3928</v>
      </c>
      <c r="B1959" s="1" t="s">
        <v>3929</v>
      </c>
      <c r="C1959" s="3">
        <v>200</v>
      </c>
      <c r="D1959" s="3" t="str">
        <f ca="1">IF(B1959="","",IFERROR(_xludf.XLOOKUP(_xludf.XLOOKUP(B1959,Inventory!$A:$A,Inventory!$B:$B),Blades!$A:$A,Blades!$C:$C)+_xludf.XLOOKUP(_xludf.XLOOKUP(B1959,Inventory!$A:$A,Inventory!$C:$C),Motor!$A:$A,Motor!$C:$C)+_xludf.XLOOKUP(_xludf.XLOOKUP(B1959,Inventory!$A:$A,Inventory!$D:$D),Frame!$A:$A,Frame!$C:$C)+#REF!,""))</f>
        <v/>
      </c>
      <c r="E1959" s="4">
        <v>45606</v>
      </c>
      <c r="F1959" s="1" t="s">
        <v>20</v>
      </c>
    </row>
    <row r="1960" spans="1:6" x14ac:dyDescent="0.25">
      <c r="A1960" s="1" t="s">
        <v>3930</v>
      </c>
      <c r="B1960" s="1" t="s">
        <v>3931</v>
      </c>
      <c r="C1960" s="3">
        <v>200</v>
      </c>
      <c r="D1960" s="3" t="str">
        <f ca="1">IF(B1960="","",IFERROR(_xludf.XLOOKUP(_xludf.XLOOKUP(B1960,Inventory!$A:$A,Inventory!$B:$B),Blades!$A:$A,Blades!$C:$C)+_xludf.XLOOKUP(_xludf.XLOOKUP(B1960,Inventory!$A:$A,Inventory!$C:$C),Motor!$A:$A,Motor!$C:$C)+_xludf.XLOOKUP(_xludf.XLOOKUP(B1960,Inventory!$A:$A,Inventory!$D:$D),Frame!$A:$A,Frame!$C:$C)+#REF!,""))</f>
        <v/>
      </c>
      <c r="E1960" s="4">
        <v>45608</v>
      </c>
      <c r="F1960" s="1" t="s">
        <v>32</v>
      </c>
    </row>
    <row r="1961" spans="1:6" x14ac:dyDescent="0.25">
      <c r="A1961" s="1" t="s">
        <v>3932</v>
      </c>
      <c r="B1961" s="1" t="s">
        <v>3933</v>
      </c>
      <c r="C1961" s="3">
        <v>200</v>
      </c>
      <c r="D1961" s="3" t="str">
        <f ca="1">IF(B1961="","",IFERROR(_xludf.XLOOKUP(_xludf.XLOOKUP(B1961,Inventory!$A:$A,Inventory!$B:$B),Blades!$A:$A,Blades!$C:$C)+_xludf.XLOOKUP(_xludf.XLOOKUP(B1961,Inventory!$A:$A,Inventory!$C:$C),Motor!$A:$A,Motor!$C:$C)+_xludf.XLOOKUP(_xludf.XLOOKUP(B1961,Inventory!$A:$A,Inventory!$D:$D),Frame!$A:$A,Frame!$C:$C)+#REF!,""))</f>
        <v/>
      </c>
      <c r="E1961" s="4">
        <v>45608</v>
      </c>
      <c r="F1961" s="1" t="s">
        <v>20</v>
      </c>
    </row>
    <row r="1962" spans="1:6" x14ac:dyDescent="0.25">
      <c r="A1962" s="1" t="s">
        <v>3934</v>
      </c>
      <c r="B1962" s="1" t="s">
        <v>3935</v>
      </c>
      <c r="C1962" s="3">
        <v>200</v>
      </c>
      <c r="D1962" s="3" t="str">
        <f ca="1">IF(B1962="","",IFERROR(_xludf.XLOOKUP(_xludf.XLOOKUP(B1962,Inventory!$A:$A,Inventory!$B:$B),Blades!$A:$A,Blades!$C:$C)+_xludf.XLOOKUP(_xludf.XLOOKUP(B1962,Inventory!$A:$A,Inventory!$C:$C),Motor!$A:$A,Motor!$C:$C)+_xludf.XLOOKUP(_xludf.XLOOKUP(B1962,Inventory!$A:$A,Inventory!$D:$D),Frame!$A:$A,Frame!$C:$C)+#REF!,""))</f>
        <v/>
      </c>
      <c r="E1962" s="4">
        <v>45609</v>
      </c>
      <c r="F1962" s="1" t="s">
        <v>11</v>
      </c>
    </row>
    <row r="1963" spans="1:6" x14ac:dyDescent="0.25">
      <c r="A1963" s="1" t="s">
        <v>3936</v>
      </c>
      <c r="B1963" s="1" t="s">
        <v>3937</v>
      </c>
      <c r="C1963" s="3">
        <v>200</v>
      </c>
      <c r="D1963" s="3" t="str">
        <f ca="1">IF(B1963="","",IFERROR(_xludf.XLOOKUP(_xludf.XLOOKUP(B1963,Inventory!$A:$A,Inventory!$B:$B),Blades!$A:$A,Blades!$C:$C)+_xludf.XLOOKUP(_xludf.XLOOKUP(B1963,Inventory!$A:$A,Inventory!$C:$C),Motor!$A:$A,Motor!$C:$C)+_xludf.XLOOKUP(_xludf.XLOOKUP(B1963,Inventory!$A:$A,Inventory!$D:$D),Frame!$A:$A,Frame!$C:$C)+#REF!,""))</f>
        <v/>
      </c>
      <c r="E1963" s="4">
        <v>45609</v>
      </c>
      <c r="F1963" s="1" t="s">
        <v>8</v>
      </c>
    </row>
    <row r="1964" spans="1:6" x14ac:dyDescent="0.25">
      <c r="A1964" s="1" t="s">
        <v>3938</v>
      </c>
      <c r="B1964" s="1" t="s">
        <v>3939</v>
      </c>
      <c r="C1964" s="3">
        <v>200</v>
      </c>
      <c r="D1964" s="3" t="str">
        <f ca="1">IF(B1964="","",IFERROR(_xludf.XLOOKUP(_xludf.XLOOKUP(B1964,Inventory!$A:$A,Inventory!$B:$B),Blades!$A:$A,Blades!$C:$C)+_xludf.XLOOKUP(_xludf.XLOOKUP(B1964,Inventory!$A:$A,Inventory!$C:$C),Motor!$A:$A,Motor!$C:$C)+_xludf.XLOOKUP(_xludf.XLOOKUP(B1964,Inventory!$A:$A,Inventory!$D:$D),Frame!$A:$A,Frame!$C:$C)+#REF!,""))</f>
        <v/>
      </c>
      <c r="E1964" s="4">
        <v>45611</v>
      </c>
      <c r="F1964" s="1" t="s">
        <v>52</v>
      </c>
    </row>
    <row r="1965" spans="1:6" x14ac:dyDescent="0.25">
      <c r="A1965" s="1" t="s">
        <v>3940</v>
      </c>
      <c r="B1965" s="1" t="s">
        <v>3941</v>
      </c>
      <c r="C1965" s="3">
        <v>200</v>
      </c>
      <c r="D1965" s="3" t="str">
        <f ca="1">IF(B1965="","",IFERROR(_xludf.XLOOKUP(_xludf.XLOOKUP(B1965,Inventory!$A:$A,Inventory!$B:$B),Blades!$A:$A,Blades!$C:$C)+_xludf.XLOOKUP(_xludf.XLOOKUP(B1965,Inventory!$A:$A,Inventory!$C:$C),Motor!$A:$A,Motor!$C:$C)+_xludf.XLOOKUP(_xludf.XLOOKUP(B1965,Inventory!$A:$A,Inventory!$D:$D),Frame!$A:$A,Frame!$C:$C)+#REF!,""))</f>
        <v/>
      </c>
      <c r="E1965" s="4">
        <v>45611</v>
      </c>
      <c r="F1965" s="1" t="s">
        <v>20</v>
      </c>
    </row>
    <row r="1966" spans="1:6" x14ac:dyDescent="0.25">
      <c r="A1966" s="1" t="s">
        <v>3942</v>
      </c>
      <c r="B1966" s="1" t="s">
        <v>3943</v>
      </c>
      <c r="C1966" s="3">
        <v>200</v>
      </c>
      <c r="D1966" s="3" t="str">
        <f ca="1">IF(B1966="","",IFERROR(_xludf.XLOOKUP(_xludf.XLOOKUP(B1966,Inventory!$A:$A,Inventory!$B:$B),Blades!$A:$A,Blades!$C:$C)+_xludf.XLOOKUP(_xludf.XLOOKUP(B1966,Inventory!$A:$A,Inventory!$C:$C),Motor!$A:$A,Motor!$C:$C)+_xludf.XLOOKUP(_xludf.XLOOKUP(B1966,Inventory!$A:$A,Inventory!$D:$D),Frame!$A:$A,Frame!$C:$C)+#REF!,""))</f>
        <v/>
      </c>
      <c r="E1966" s="4">
        <v>45612</v>
      </c>
      <c r="F1966" s="1" t="s">
        <v>32</v>
      </c>
    </row>
    <row r="1967" spans="1:6" x14ac:dyDescent="0.25">
      <c r="A1967" s="1" t="s">
        <v>3944</v>
      </c>
      <c r="B1967" s="1" t="s">
        <v>3945</v>
      </c>
      <c r="C1967" s="3">
        <v>200</v>
      </c>
      <c r="D1967" s="3" t="str">
        <f ca="1">IF(B1967="","",IFERROR(_xludf.XLOOKUP(_xludf.XLOOKUP(B1967,Inventory!$A:$A,Inventory!$B:$B),Blades!$A:$A,Blades!$C:$C)+_xludf.XLOOKUP(_xludf.XLOOKUP(B1967,Inventory!$A:$A,Inventory!$C:$C),Motor!$A:$A,Motor!$C:$C)+_xludf.XLOOKUP(_xludf.XLOOKUP(B1967,Inventory!$A:$A,Inventory!$D:$D),Frame!$A:$A,Frame!$C:$C)+#REF!,""))</f>
        <v/>
      </c>
      <c r="E1967" s="4">
        <v>45612</v>
      </c>
      <c r="F1967" s="1" t="s">
        <v>11</v>
      </c>
    </row>
    <row r="1968" spans="1:6" x14ac:dyDescent="0.25">
      <c r="A1968" s="1" t="s">
        <v>3946</v>
      </c>
      <c r="B1968" s="1" t="s">
        <v>3947</v>
      </c>
      <c r="C1968" s="3">
        <v>200</v>
      </c>
      <c r="D1968" s="3" t="str">
        <f ca="1">IF(B1968="","",IFERROR(_xludf.XLOOKUP(_xludf.XLOOKUP(B1968,Inventory!$A:$A,Inventory!$B:$B),Blades!$A:$A,Blades!$C:$C)+_xludf.XLOOKUP(_xludf.XLOOKUP(B1968,Inventory!$A:$A,Inventory!$C:$C),Motor!$A:$A,Motor!$C:$C)+_xludf.XLOOKUP(_xludf.XLOOKUP(B1968,Inventory!$A:$A,Inventory!$D:$D),Frame!$A:$A,Frame!$C:$C)+#REF!,""))</f>
        <v/>
      </c>
      <c r="E1968" s="4">
        <v>45612</v>
      </c>
      <c r="F1968" s="1" t="s">
        <v>32</v>
      </c>
    </row>
    <row r="1969" spans="1:6" x14ac:dyDescent="0.25">
      <c r="A1969" s="1" t="s">
        <v>3948</v>
      </c>
      <c r="B1969" s="1" t="s">
        <v>3949</v>
      </c>
      <c r="C1969" s="3">
        <v>200</v>
      </c>
      <c r="D1969" s="3" t="str">
        <f ca="1">IF(B1969="","",IFERROR(_xludf.XLOOKUP(_xludf.XLOOKUP(B1969,Inventory!$A:$A,Inventory!$B:$B),Blades!$A:$A,Blades!$C:$C)+_xludf.XLOOKUP(_xludf.XLOOKUP(B1969,Inventory!$A:$A,Inventory!$C:$C),Motor!$A:$A,Motor!$C:$C)+_xludf.XLOOKUP(_xludf.XLOOKUP(B1969,Inventory!$A:$A,Inventory!$D:$D),Frame!$A:$A,Frame!$C:$C)+#REF!,""))</f>
        <v/>
      </c>
      <c r="E1969" s="4">
        <v>45612</v>
      </c>
      <c r="F1969" s="1" t="s">
        <v>8</v>
      </c>
    </row>
    <row r="1970" spans="1:6" x14ac:dyDescent="0.25">
      <c r="A1970" s="1" t="s">
        <v>3950</v>
      </c>
      <c r="B1970" s="1" t="s">
        <v>3951</v>
      </c>
      <c r="C1970" s="3">
        <v>200</v>
      </c>
      <c r="D1970" s="3" t="str">
        <f ca="1">IF(B1970="","",IFERROR(_xludf.XLOOKUP(_xludf.XLOOKUP(B1970,Inventory!$A:$A,Inventory!$B:$B),Blades!$A:$A,Blades!$C:$C)+_xludf.XLOOKUP(_xludf.XLOOKUP(B1970,Inventory!$A:$A,Inventory!$C:$C),Motor!$A:$A,Motor!$C:$C)+_xludf.XLOOKUP(_xludf.XLOOKUP(B1970,Inventory!$A:$A,Inventory!$D:$D),Frame!$A:$A,Frame!$C:$C)+#REF!,""))</f>
        <v/>
      </c>
      <c r="E1970" s="4">
        <v>45612</v>
      </c>
      <c r="F1970" s="1" t="s">
        <v>11</v>
      </c>
    </row>
    <row r="1971" spans="1:6" x14ac:dyDescent="0.25">
      <c r="A1971" s="1" t="s">
        <v>3952</v>
      </c>
      <c r="B1971" s="1" t="s">
        <v>3953</v>
      </c>
      <c r="C1971" s="3">
        <v>200</v>
      </c>
      <c r="D1971" s="3" t="str">
        <f ca="1">IF(B1971="","",IFERROR(_xludf.XLOOKUP(_xludf.XLOOKUP(B1971,Inventory!$A:$A,Inventory!$B:$B),Blades!$A:$A,Blades!$C:$C)+_xludf.XLOOKUP(_xludf.XLOOKUP(B1971,Inventory!$A:$A,Inventory!$C:$C),Motor!$A:$A,Motor!$C:$C)+_xludf.XLOOKUP(_xludf.XLOOKUP(B1971,Inventory!$A:$A,Inventory!$D:$D),Frame!$A:$A,Frame!$C:$C)+#REF!,""))</f>
        <v/>
      </c>
      <c r="E1971" s="4">
        <v>45612</v>
      </c>
      <c r="F1971" s="1" t="s">
        <v>11</v>
      </c>
    </row>
    <row r="1972" spans="1:6" x14ac:dyDescent="0.25">
      <c r="A1972" s="1" t="s">
        <v>3954</v>
      </c>
      <c r="B1972" s="1" t="s">
        <v>3955</v>
      </c>
      <c r="C1972" s="3">
        <v>200</v>
      </c>
      <c r="D1972" s="3" t="str">
        <f ca="1">IF(B1972="","",IFERROR(_xludf.XLOOKUP(_xludf.XLOOKUP(B1972,Inventory!$A:$A,Inventory!$B:$B),Blades!$A:$A,Blades!$C:$C)+_xludf.XLOOKUP(_xludf.XLOOKUP(B1972,Inventory!$A:$A,Inventory!$C:$C),Motor!$A:$A,Motor!$C:$C)+_xludf.XLOOKUP(_xludf.XLOOKUP(B1972,Inventory!$A:$A,Inventory!$D:$D),Frame!$A:$A,Frame!$C:$C)+#REF!,""))</f>
        <v/>
      </c>
      <c r="E1972" s="4">
        <v>45613</v>
      </c>
      <c r="F1972" s="1" t="s">
        <v>8</v>
      </c>
    </row>
    <row r="1973" spans="1:6" x14ac:dyDescent="0.25">
      <c r="A1973" s="1" t="s">
        <v>3956</v>
      </c>
      <c r="B1973" s="1" t="s">
        <v>3957</v>
      </c>
      <c r="C1973" s="3">
        <v>200</v>
      </c>
      <c r="D1973" s="3" t="str">
        <f ca="1">IF(B1973="","",IFERROR(_xludf.XLOOKUP(_xludf.XLOOKUP(B1973,Inventory!$A:$A,Inventory!$B:$B),Blades!$A:$A,Blades!$C:$C)+_xludf.XLOOKUP(_xludf.XLOOKUP(B1973,Inventory!$A:$A,Inventory!$C:$C),Motor!$A:$A,Motor!$C:$C)+_xludf.XLOOKUP(_xludf.XLOOKUP(B1973,Inventory!$A:$A,Inventory!$D:$D),Frame!$A:$A,Frame!$C:$C)+#REF!,""))</f>
        <v/>
      </c>
      <c r="E1973" s="4">
        <v>45613</v>
      </c>
      <c r="F1973" s="1" t="s">
        <v>32</v>
      </c>
    </row>
    <row r="1974" spans="1:6" x14ac:dyDescent="0.25">
      <c r="A1974" s="1" t="s">
        <v>3958</v>
      </c>
      <c r="B1974" s="1" t="s">
        <v>3959</v>
      </c>
      <c r="C1974" s="3">
        <v>200</v>
      </c>
      <c r="D1974" s="3" t="str">
        <f ca="1">IF(B1974="","",IFERROR(_xludf.XLOOKUP(_xludf.XLOOKUP(B1974,Inventory!$A:$A,Inventory!$B:$B),Blades!$A:$A,Blades!$C:$C)+_xludf.XLOOKUP(_xludf.XLOOKUP(B1974,Inventory!$A:$A,Inventory!$C:$C),Motor!$A:$A,Motor!$C:$C)+_xludf.XLOOKUP(_xludf.XLOOKUP(B1974,Inventory!$A:$A,Inventory!$D:$D),Frame!$A:$A,Frame!$C:$C)+#REF!,""))</f>
        <v/>
      </c>
      <c r="E1974" s="4">
        <v>45614</v>
      </c>
      <c r="F1974" s="1" t="s">
        <v>11</v>
      </c>
    </row>
    <row r="1975" spans="1:6" x14ac:dyDescent="0.25">
      <c r="A1975" s="1" t="s">
        <v>3960</v>
      </c>
      <c r="B1975" s="1" t="s">
        <v>3961</v>
      </c>
      <c r="C1975" s="3">
        <v>200</v>
      </c>
      <c r="D1975" s="3" t="str">
        <f ca="1">IF(B1975="","",IFERROR(_xludf.XLOOKUP(_xludf.XLOOKUP(B1975,Inventory!$A:$A,Inventory!$B:$B),Blades!$A:$A,Blades!$C:$C)+_xludf.XLOOKUP(_xludf.XLOOKUP(B1975,Inventory!$A:$A,Inventory!$C:$C),Motor!$A:$A,Motor!$C:$C)+_xludf.XLOOKUP(_xludf.XLOOKUP(B1975,Inventory!$A:$A,Inventory!$D:$D),Frame!$A:$A,Frame!$C:$C)+#REF!,""))</f>
        <v/>
      </c>
      <c r="E1975" s="4">
        <v>45615</v>
      </c>
      <c r="F1975" s="1" t="s">
        <v>25</v>
      </c>
    </row>
    <row r="1976" spans="1:6" x14ac:dyDescent="0.25">
      <c r="A1976" s="1" t="s">
        <v>3962</v>
      </c>
      <c r="B1976" s="1" t="s">
        <v>3963</v>
      </c>
      <c r="C1976" s="3">
        <v>200</v>
      </c>
      <c r="D1976" s="3" t="str">
        <f ca="1">IF(B1976="","",IFERROR(_xludf.XLOOKUP(_xludf.XLOOKUP(B1976,Inventory!$A:$A,Inventory!$B:$B),Blades!$A:$A,Blades!$C:$C)+_xludf.XLOOKUP(_xludf.XLOOKUP(B1976,Inventory!$A:$A,Inventory!$C:$C),Motor!$A:$A,Motor!$C:$C)+_xludf.XLOOKUP(_xludf.XLOOKUP(B1976,Inventory!$A:$A,Inventory!$D:$D),Frame!$A:$A,Frame!$C:$C)+#REF!,""))</f>
        <v/>
      </c>
      <c r="E1976" s="4">
        <v>45616</v>
      </c>
      <c r="F1976" s="1" t="s">
        <v>52</v>
      </c>
    </row>
    <row r="1977" spans="1:6" x14ac:dyDescent="0.25">
      <c r="A1977" s="1" t="s">
        <v>3964</v>
      </c>
      <c r="B1977" s="1" t="s">
        <v>3965</v>
      </c>
      <c r="C1977" s="3">
        <v>200</v>
      </c>
      <c r="D1977" s="3" t="str">
        <f ca="1">IF(B1977="","",IFERROR(_xludf.XLOOKUP(_xludf.XLOOKUP(B1977,Inventory!$A:$A,Inventory!$B:$B),Blades!$A:$A,Blades!$C:$C)+_xludf.XLOOKUP(_xludf.XLOOKUP(B1977,Inventory!$A:$A,Inventory!$C:$C),Motor!$A:$A,Motor!$C:$C)+_xludf.XLOOKUP(_xludf.XLOOKUP(B1977,Inventory!$A:$A,Inventory!$D:$D),Frame!$A:$A,Frame!$C:$C)+#REF!,""))</f>
        <v/>
      </c>
      <c r="E1977" s="4">
        <v>45617</v>
      </c>
      <c r="F1977" s="1" t="s">
        <v>32</v>
      </c>
    </row>
    <row r="1978" spans="1:6" x14ac:dyDescent="0.25">
      <c r="A1978" s="1" t="s">
        <v>3966</v>
      </c>
      <c r="B1978" s="1" t="s">
        <v>3967</v>
      </c>
      <c r="C1978" s="3">
        <v>200</v>
      </c>
      <c r="D1978" s="3" t="str">
        <f ca="1">IF(B1978="","",IFERROR(_xludf.XLOOKUP(_xludf.XLOOKUP(B1978,Inventory!$A:$A,Inventory!$B:$B),Blades!$A:$A,Blades!$C:$C)+_xludf.XLOOKUP(_xludf.XLOOKUP(B1978,Inventory!$A:$A,Inventory!$C:$C),Motor!$A:$A,Motor!$C:$C)+_xludf.XLOOKUP(_xludf.XLOOKUP(B1978,Inventory!$A:$A,Inventory!$D:$D),Frame!$A:$A,Frame!$C:$C)+#REF!,""))</f>
        <v/>
      </c>
      <c r="E1978" s="4">
        <v>45617</v>
      </c>
      <c r="F1978" s="1" t="s">
        <v>25</v>
      </c>
    </row>
    <row r="1979" spans="1:6" x14ac:dyDescent="0.25">
      <c r="A1979" s="1" t="s">
        <v>3968</v>
      </c>
      <c r="B1979" s="1" t="s">
        <v>3969</v>
      </c>
      <c r="C1979" s="3">
        <v>200</v>
      </c>
      <c r="D1979" s="3" t="str">
        <f ca="1">IF(B1979="","",IFERROR(_xludf.XLOOKUP(_xludf.XLOOKUP(B1979,Inventory!$A:$A,Inventory!$B:$B),Blades!$A:$A,Blades!$C:$C)+_xludf.XLOOKUP(_xludf.XLOOKUP(B1979,Inventory!$A:$A,Inventory!$C:$C),Motor!$A:$A,Motor!$C:$C)+_xludf.XLOOKUP(_xludf.XLOOKUP(B1979,Inventory!$A:$A,Inventory!$D:$D),Frame!$A:$A,Frame!$C:$C)+#REF!,""))</f>
        <v/>
      </c>
      <c r="E1979" s="4">
        <v>45617</v>
      </c>
      <c r="F1979" s="1" t="s">
        <v>32</v>
      </c>
    </row>
    <row r="1980" spans="1:6" x14ac:dyDescent="0.25">
      <c r="A1980" s="1" t="s">
        <v>3970</v>
      </c>
      <c r="B1980" s="1" t="s">
        <v>3971</v>
      </c>
      <c r="C1980" s="3">
        <v>200</v>
      </c>
      <c r="D1980" s="3" t="str">
        <f ca="1">IF(B1980="","",IFERROR(_xludf.XLOOKUP(_xludf.XLOOKUP(B1980,Inventory!$A:$A,Inventory!$B:$B),Blades!$A:$A,Blades!$C:$C)+_xludf.XLOOKUP(_xludf.XLOOKUP(B1980,Inventory!$A:$A,Inventory!$C:$C),Motor!$A:$A,Motor!$C:$C)+_xludf.XLOOKUP(_xludf.XLOOKUP(B1980,Inventory!$A:$A,Inventory!$D:$D),Frame!$A:$A,Frame!$C:$C)+#REF!,""))</f>
        <v/>
      </c>
      <c r="E1980" s="4">
        <v>45617</v>
      </c>
      <c r="F1980" s="1" t="s">
        <v>49</v>
      </c>
    </row>
    <row r="1981" spans="1:6" x14ac:dyDescent="0.25">
      <c r="A1981" s="1" t="s">
        <v>3972</v>
      </c>
      <c r="B1981" s="1" t="s">
        <v>3973</v>
      </c>
      <c r="C1981" s="3">
        <v>200</v>
      </c>
      <c r="D1981" s="3" t="str">
        <f ca="1">IF(B1981="","",IFERROR(_xludf.XLOOKUP(_xludf.XLOOKUP(B1981,Inventory!$A:$A,Inventory!$B:$B),Blades!$A:$A,Blades!$C:$C)+_xludf.XLOOKUP(_xludf.XLOOKUP(B1981,Inventory!$A:$A,Inventory!$C:$C),Motor!$A:$A,Motor!$C:$C)+_xludf.XLOOKUP(_xludf.XLOOKUP(B1981,Inventory!$A:$A,Inventory!$D:$D),Frame!$A:$A,Frame!$C:$C)+#REF!,""))</f>
        <v/>
      </c>
      <c r="E1981" s="4">
        <v>45618</v>
      </c>
      <c r="F1981" s="1" t="s">
        <v>8</v>
      </c>
    </row>
    <row r="1982" spans="1:6" x14ac:dyDescent="0.25">
      <c r="A1982" s="1" t="s">
        <v>3974</v>
      </c>
      <c r="B1982" s="1" t="s">
        <v>3975</v>
      </c>
      <c r="C1982" s="3">
        <v>200</v>
      </c>
      <c r="D1982" s="3" t="str">
        <f ca="1">IF(B1982="","",IFERROR(_xludf.XLOOKUP(_xludf.XLOOKUP(B1982,Inventory!$A:$A,Inventory!$B:$B),Blades!$A:$A,Blades!$C:$C)+_xludf.XLOOKUP(_xludf.XLOOKUP(B1982,Inventory!$A:$A,Inventory!$C:$C),Motor!$A:$A,Motor!$C:$C)+_xludf.XLOOKUP(_xludf.XLOOKUP(B1982,Inventory!$A:$A,Inventory!$D:$D),Frame!$A:$A,Frame!$C:$C)+#REF!,""))</f>
        <v/>
      </c>
      <c r="E1982" s="4">
        <v>45620</v>
      </c>
      <c r="F1982" s="1" t="s">
        <v>63</v>
      </c>
    </row>
    <row r="1983" spans="1:6" x14ac:dyDescent="0.25">
      <c r="A1983" s="1" t="s">
        <v>3976</v>
      </c>
      <c r="B1983" s="1" t="s">
        <v>3977</v>
      </c>
      <c r="C1983" s="3">
        <v>200</v>
      </c>
      <c r="D1983" s="3" t="str">
        <f ca="1">IF(B1983="","",IFERROR(_xludf.XLOOKUP(_xludf.XLOOKUP(B1983,Inventory!$A:$A,Inventory!$B:$B),Blades!$A:$A,Blades!$C:$C)+_xludf.XLOOKUP(_xludf.XLOOKUP(B1983,Inventory!$A:$A,Inventory!$C:$C),Motor!$A:$A,Motor!$C:$C)+_xludf.XLOOKUP(_xludf.XLOOKUP(B1983,Inventory!$A:$A,Inventory!$D:$D),Frame!$A:$A,Frame!$C:$C)+#REF!,""))</f>
        <v/>
      </c>
      <c r="E1983" s="4">
        <v>45621</v>
      </c>
      <c r="F1983" s="1" t="s">
        <v>63</v>
      </c>
    </row>
    <row r="1984" spans="1:6" x14ac:dyDescent="0.25">
      <c r="A1984" s="1" t="s">
        <v>3978</v>
      </c>
      <c r="B1984" s="1" t="s">
        <v>3979</v>
      </c>
      <c r="C1984" s="3">
        <v>200</v>
      </c>
      <c r="D1984" s="3" t="str">
        <f ca="1">IF(B1984="","",IFERROR(_xludf.XLOOKUP(_xludf.XLOOKUP(B1984,Inventory!$A:$A,Inventory!$B:$B),Blades!$A:$A,Blades!$C:$C)+_xludf.XLOOKUP(_xludf.XLOOKUP(B1984,Inventory!$A:$A,Inventory!$C:$C),Motor!$A:$A,Motor!$C:$C)+_xludf.XLOOKUP(_xludf.XLOOKUP(B1984,Inventory!$A:$A,Inventory!$D:$D),Frame!$A:$A,Frame!$C:$C)+#REF!,""))</f>
        <v/>
      </c>
      <c r="E1984" s="4">
        <v>45622</v>
      </c>
      <c r="F1984" s="1" t="s">
        <v>63</v>
      </c>
    </row>
    <row r="1985" spans="1:6" x14ac:dyDescent="0.25">
      <c r="A1985" s="1" t="s">
        <v>3980</v>
      </c>
      <c r="B1985" s="1" t="s">
        <v>3981</v>
      </c>
      <c r="C1985" s="3">
        <v>200</v>
      </c>
      <c r="D1985" s="3" t="str">
        <f ca="1">IF(B1985="","",IFERROR(_xludf.XLOOKUP(_xludf.XLOOKUP(B1985,Inventory!$A:$A,Inventory!$B:$B),Blades!$A:$A,Blades!$C:$C)+_xludf.XLOOKUP(_xludf.XLOOKUP(B1985,Inventory!$A:$A,Inventory!$C:$C),Motor!$A:$A,Motor!$C:$C)+_xludf.XLOOKUP(_xludf.XLOOKUP(B1985,Inventory!$A:$A,Inventory!$D:$D),Frame!$A:$A,Frame!$C:$C)+#REF!,""))</f>
        <v/>
      </c>
      <c r="E1985" s="4">
        <v>45622</v>
      </c>
      <c r="F1985" s="1" t="s">
        <v>20</v>
      </c>
    </row>
    <row r="1986" spans="1:6" x14ac:dyDescent="0.25">
      <c r="A1986" s="1" t="s">
        <v>3982</v>
      </c>
      <c r="B1986" s="1" t="s">
        <v>3983</v>
      </c>
      <c r="C1986" s="3">
        <v>200</v>
      </c>
      <c r="D1986" s="3" t="str">
        <f ca="1">IF(B1986="","",IFERROR(_xludf.XLOOKUP(_xludf.XLOOKUP(B1986,Inventory!$A:$A,Inventory!$B:$B),Blades!$A:$A,Blades!$C:$C)+_xludf.XLOOKUP(_xludf.XLOOKUP(B1986,Inventory!$A:$A,Inventory!$C:$C),Motor!$A:$A,Motor!$C:$C)+_xludf.XLOOKUP(_xludf.XLOOKUP(B1986,Inventory!$A:$A,Inventory!$D:$D),Frame!$A:$A,Frame!$C:$C)+#REF!,""))</f>
        <v/>
      </c>
      <c r="E1986" s="4">
        <v>45622</v>
      </c>
      <c r="F1986" s="1" t="s">
        <v>49</v>
      </c>
    </row>
    <row r="1987" spans="1:6" x14ac:dyDescent="0.25">
      <c r="A1987" s="1" t="s">
        <v>3984</v>
      </c>
      <c r="B1987" s="1" t="s">
        <v>3985</v>
      </c>
      <c r="C1987" s="3">
        <v>200</v>
      </c>
      <c r="D1987" s="3" t="str">
        <f ca="1">IF(B1987="","",IFERROR(_xludf.XLOOKUP(_xludf.XLOOKUP(B1987,Inventory!$A:$A,Inventory!$B:$B),Blades!$A:$A,Blades!$C:$C)+_xludf.XLOOKUP(_xludf.XLOOKUP(B1987,Inventory!$A:$A,Inventory!$C:$C),Motor!$A:$A,Motor!$C:$C)+_xludf.XLOOKUP(_xludf.XLOOKUP(B1987,Inventory!$A:$A,Inventory!$D:$D),Frame!$A:$A,Frame!$C:$C)+#REF!,""))</f>
        <v/>
      </c>
      <c r="E1987" s="4">
        <v>45624</v>
      </c>
      <c r="F1987" s="1" t="s">
        <v>49</v>
      </c>
    </row>
    <row r="1988" spans="1:6" x14ac:dyDescent="0.25">
      <c r="A1988" s="1" t="s">
        <v>3986</v>
      </c>
      <c r="B1988" s="1" t="s">
        <v>3987</v>
      </c>
      <c r="C1988" s="3">
        <v>200</v>
      </c>
      <c r="D1988" s="3" t="str">
        <f ca="1">IF(B1988="","",IFERROR(_xludf.XLOOKUP(_xludf.XLOOKUP(B1988,Inventory!$A:$A,Inventory!$B:$B),Blades!$A:$A,Blades!$C:$C)+_xludf.XLOOKUP(_xludf.XLOOKUP(B1988,Inventory!$A:$A,Inventory!$C:$C),Motor!$A:$A,Motor!$C:$C)+_xludf.XLOOKUP(_xludf.XLOOKUP(B1988,Inventory!$A:$A,Inventory!$D:$D),Frame!$A:$A,Frame!$C:$C)+#REF!,""))</f>
        <v/>
      </c>
      <c r="E1988" s="4">
        <v>45624</v>
      </c>
      <c r="F1988" s="1" t="s">
        <v>32</v>
      </c>
    </row>
    <row r="1989" spans="1:6" x14ac:dyDescent="0.25">
      <c r="A1989" s="1" t="s">
        <v>3988</v>
      </c>
      <c r="B1989" s="1" t="s">
        <v>3989</v>
      </c>
      <c r="C1989" s="3">
        <v>200</v>
      </c>
      <c r="D1989" s="3" t="str">
        <f ca="1">IF(B1989="","",IFERROR(_xludf.XLOOKUP(_xludf.XLOOKUP(B1989,Inventory!$A:$A,Inventory!$B:$B),Blades!$A:$A,Blades!$C:$C)+_xludf.XLOOKUP(_xludf.XLOOKUP(B1989,Inventory!$A:$A,Inventory!$C:$C),Motor!$A:$A,Motor!$C:$C)+_xludf.XLOOKUP(_xludf.XLOOKUP(B1989,Inventory!$A:$A,Inventory!$D:$D),Frame!$A:$A,Frame!$C:$C)+#REF!,""))</f>
        <v/>
      </c>
      <c r="E1989" s="4">
        <v>45625</v>
      </c>
      <c r="F1989" s="1" t="s">
        <v>20</v>
      </c>
    </row>
    <row r="1990" spans="1:6" x14ac:dyDescent="0.25">
      <c r="A1990" s="1" t="s">
        <v>3990</v>
      </c>
      <c r="B1990" s="1" t="s">
        <v>3991</v>
      </c>
      <c r="C1990" s="3">
        <v>200</v>
      </c>
      <c r="D1990" s="3" t="str">
        <f ca="1">IF(B1990="","",IFERROR(_xludf.XLOOKUP(_xludf.XLOOKUP(B1990,Inventory!$A:$A,Inventory!$B:$B),Blades!$A:$A,Blades!$C:$C)+_xludf.XLOOKUP(_xludf.XLOOKUP(B1990,Inventory!$A:$A,Inventory!$C:$C),Motor!$A:$A,Motor!$C:$C)+_xludf.XLOOKUP(_xludf.XLOOKUP(B1990,Inventory!$A:$A,Inventory!$D:$D),Frame!$A:$A,Frame!$C:$C)+#REF!,""))</f>
        <v/>
      </c>
      <c r="E1990" s="4">
        <v>45625</v>
      </c>
      <c r="F1990" s="1" t="s">
        <v>49</v>
      </c>
    </row>
    <row r="1991" spans="1:6" x14ac:dyDescent="0.25">
      <c r="A1991" s="1" t="s">
        <v>3992</v>
      </c>
      <c r="B1991" s="1" t="s">
        <v>3993</v>
      </c>
      <c r="C1991" s="3">
        <v>200</v>
      </c>
      <c r="D1991" s="3" t="str">
        <f ca="1">IF(B1991="","",IFERROR(_xludf.XLOOKUP(_xludf.XLOOKUP(B1991,Inventory!$A:$A,Inventory!$B:$B),Blades!$A:$A,Blades!$C:$C)+_xludf.XLOOKUP(_xludf.XLOOKUP(B1991,Inventory!$A:$A,Inventory!$C:$C),Motor!$A:$A,Motor!$C:$C)+_xludf.XLOOKUP(_xludf.XLOOKUP(B1991,Inventory!$A:$A,Inventory!$D:$D),Frame!$A:$A,Frame!$C:$C)+#REF!,""))</f>
        <v/>
      </c>
      <c r="E1991" s="4">
        <v>45625</v>
      </c>
      <c r="F1991" s="1" t="s">
        <v>20</v>
      </c>
    </row>
    <row r="1992" spans="1:6" x14ac:dyDescent="0.25">
      <c r="A1992" s="1" t="s">
        <v>3994</v>
      </c>
      <c r="B1992" s="1" t="s">
        <v>3995</v>
      </c>
      <c r="C1992" s="3">
        <v>200</v>
      </c>
      <c r="D1992" s="3" t="str">
        <f ca="1">IF(B1992="","",IFERROR(_xludf.XLOOKUP(_xludf.XLOOKUP(B1992,Inventory!$A:$A,Inventory!$B:$B),Blades!$A:$A,Blades!$C:$C)+_xludf.XLOOKUP(_xludf.XLOOKUP(B1992,Inventory!$A:$A,Inventory!$C:$C),Motor!$A:$A,Motor!$C:$C)+_xludf.XLOOKUP(_xludf.XLOOKUP(B1992,Inventory!$A:$A,Inventory!$D:$D),Frame!$A:$A,Frame!$C:$C)+#REF!,""))</f>
        <v/>
      </c>
      <c r="E1992" s="4">
        <v>45626</v>
      </c>
      <c r="F1992" s="1" t="s">
        <v>49</v>
      </c>
    </row>
    <row r="1993" spans="1:6" x14ac:dyDescent="0.25">
      <c r="A1993" s="1" t="s">
        <v>3996</v>
      </c>
      <c r="B1993" s="1" t="s">
        <v>3997</v>
      </c>
      <c r="C1993" s="3">
        <v>200</v>
      </c>
      <c r="D1993" s="3" t="str">
        <f ca="1">IF(B1993="","",IFERROR(_xludf.XLOOKUP(_xludf.XLOOKUP(B1993,Inventory!$A:$A,Inventory!$B:$B),Blades!$A:$A,Blades!$C:$C)+_xludf.XLOOKUP(_xludf.XLOOKUP(B1993,Inventory!$A:$A,Inventory!$C:$C),Motor!$A:$A,Motor!$C:$C)+_xludf.XLOOKUP(_xludf.XLOOKUP(B1993,Inventory!$A:$A,Inventory!$D:$D),Frame!$A:$A,Frame!$C:$C)+#REF!,""))</f>
        <v/>
      </c>
      <c r="E1993" s="4">
        <v>45629</v>
      </c>
      <c r="F1993" s="1" t="s">
        <v>49</v>
      </c>
    </row>
    <row r="1994" spans="1:6" x14ac:dyDescent="0.25">
      <c r="A1994" s="1" t="s">
        <v>3998</v>
      </c>
      <c r="B1994" s="1" t="s">
        <v>3999</v>
      </c>
      <c r="C1994" s="3">
        <v>200</v>
      </c>
      <c r="D1994" s="3" t="str">
        <f ca="1">IF(B1994="","",IFERROR(_xludf.XLOOKUP(_xludf.XLOOKUP(B1994,Inventory!$A:$A,Inventory!$B:$B),Blades!$A:$A,Blades!$C:$C)+_xludf.XLOOKUP(_xludf.XLOOKUP(B1994,Inventory!$A:$A,Inventory!$C:$C),Motor!$A:$A,Motor!$C:$C)+_xludf.XLOOKUP(_xludf.XLOOKUP(B1994,Inventory!$A:$A,Inventory!$D:$D),Frame!$A:$A,Frame!$C:$C)+#REF!,""))</f>
        <v/>
      </c>
      <c r="E1994" s="4">
        <v>45629</v>
      </c>
      <c r="F1994" s="1" t="s">
        <v>49</v>
      </c>
    </row>
    <row r="1995" spans="1:6" x14ac:dyDescent="0.25">
      <c r="A1995" s="1" t="s">
        <v>4000</v>
      </c>
      <c r="B1995" s="1" t="s">
        <v>4001</v>
      </c>
      <c r="C1995" s="3">
        <v>200</v>
      </c>
      <c r="D1995" s="3" t="str">
        <f ca="1">IF(B1995="","",IFERROR(_xludf.XLOOKUP(_xludf.XLOOKUP(B1995,Inventory!$A:$A,Inventory!$B:$B),Blades!$A:$A,Blades!$C:$C)+_xludf.XLOOKUP(_xludf.XLOOKUP(B1995,Inventory!$A:$A,Inventory!$C:$C),Motor!$A:$A,Motor!$C:$C)+_xludf.XLOOKUP(_xludf.XLOOKUP(B1995,Inventory!$A:$A,Inventory!$D:$D),Frame!$A:$A,Frame!$C:$C)+#REF!,""))</f>
        <v/>
      </c>
      <c r="E1995" s="4">
        <v>45631</v>
      </c>
      <c r="F1995" s="1" t="s">
        <v>52</v>
      </c>
    </row>
    <row r="1996" spans="1:6" x14ac:dyDescent="0.25">
      <c r="A1996" s="1" t="s">
        <v>4002</v>
      </c>
      <c r="B1996" s="1" t="s">
        <v>4003</v>
      </c>
      <c r="C1996" s="3">
        <v>200</v>
      </c>
      <c r="D1996" s="3" t="str">
        <f ca="1">IF(B1996="","",IFERROR(_xludf.XLOOKUP(_xludf.XLOOKUP(B1996,Inventory!$A:$A,Inventory!$B:$B),Blades!$A:$A,Blades!$C:$C)+_xludf.XLOOKUP(_xludf.XLOOKUP(B1996,Inventory!$A:$A,Inventory!$C:$C),Motor!$A:$A,Motor!$C:$C)+_xludf.XLOOKUP(_xludf.XLOOKUP(B1996,Inventory!$A:$A,Inventory!$D:$D),Frame!$A:$A,Frame!$C:$C)+#REF!,""))</f>
        <v/>
      </c>
      <c r="E1996" s="4">
        <v>45632</v>
      </c>
      <c r="F1996" s="1" t="s">
        <v>11</v>
      </c>
    </row>
    <row r="1997" spans="1:6" x14ac:dyDescent="0.25">
      <c r="A1997" s="1" t="s">
        <v>4004</v>
      </c>
      <c r="B1997" s="1" t="s">
        <v>4005</v>
      </c>
      <c r="C1997" s="3">
        <v>200</v>
      </c>
      <c r="D1997" s="3" t="str">
        <f ca="1">IF(B1997="","",IFERROR(_xludf.XLOOKUP(_xludf.XLOOKUP(B1997,Inventory!$A:$A,Inventory!$B:$B),Blades!$A:$A,Blades!$C:$C)+_xludf.XLOOKUP(_xludf.XLOOKUP(B1997,Inventory!$A:$A,Inventory!$C:$C),Motor!$A:$A,Motor!$C:$C)+_xludf.XLOOKUP(_xludf.XLOOKUP(B1997,Inventory!$A:$A,Inventory!$D:$D),Frame!$A:$A,Frame!$C:$C)+#REF!,""))</f>
        <v/>
      </c>
      <c r="E1997" s="4">
        <v>45632</v>
      </c>
      <c r="F1997" s="1" t="s">
        <v>20</v>
      </c>
    </row>
    <row r="1998" spans="1:6" x14ac:dyDescent="0.25">
      <c r="A1998" s="1" t="s">
        <v>4006</v>
      </c>
      <c r="B1998" s="1" t="s">
        <v>4007</v>
      </c>
      <c r="C1998" s="3">
        <v>200</v>
      </c>
      <c r="D1998" s="3" t="str">
        <f ca="1">IF(B1998="","",IFERROR(_xludf.XLOOKUP(_xludf.XLOOKUP(B1998,Inventory!$A:$A,Inventory!$B:$B),Blades!$A:$A,Blades!$C:$C)+_xludf.XLOOKUP(_xludf.XLOOKUP(B1998,Inventory!$A:$A,Inventory!$C:$C),Motor!$A:$A,Motor!$C:$C)+_xludf.XLOOKUP(_xludf.XLOOKUP(B1998,Inventory!$A:$A,Inventory!$D:$D),Frame!$A:$A,Frame!$C:$C)+#REF!,""))</f>
        <v/>
      </c>
      <c r="E1998" s="4">
        <v>45633</v>
      </c>
      <c r="F1998" s="1" t="s">
        <v>8</v>
      </c>
    </row>
    <row r="1999" spans="1:6" x14ac:dyDescent="0.25">
      <c r="A1999" s="1" t="s">
        <v>4008</v>
      </c>
      <c r="B1999" s="1" t="s">
        <v>4009</v>
      </c>
      <c r="C1999" s="3">
        <v>200</v>
      </c>
      <c r="D1999" s="3" t="str">
        <f ca="1">IF(B1999="","",IFERROR(_xludf.XLOOKUP(_xludf.XLOOKUP(B1999,Inventory!$A:$A,Inventory!$B:$B),Blades!$A:$A,Blades!$C:$C)+_xludf.XLOOKUP(_xludf.XLOOKUP(B1999,Inventory!$A:$A,Inventory!$C:$C),Motor!$A:$A,Motor!$C:$C)+_xludf.XLOOKUP(_xludf.XLOOKUP(B1999,Inventory!$A:$A,Inventory!$D:$D),Frame!$A:$A,Frame!$C:$C)+#REF!,""))</f>
        <v/>
      </c>
      <c r="E1999" s="4">
        <v>45633</v>
      </c>
      <c r="F1999" s="1" t="s">
        <v>11</v>
      </c>
    </row>
    <row r="2000" spans="1:6" x14ac:dyDescent="0.25">
      <c r="A2000" s="1" t="s">
        <v>4010</v>
      </c>
      <c r="B2000" s="1" t="s">
        <v>4011</v>
      </c>
      <c r="C2000" s="3">
        <v>200</v>
      </c>
      <c r="D2000" s="3" t="str">
        <f ca="1">IF(B2000="","",IFERROR(_xludf.XLOOKUP(_xludf.XLOOKUP(B2000,Inventory!$A:$A,Inventory!$B:$B),Blades!$A:$A,Blades!$C:$C)+_xludf.XLOOKUP(_xludf.XLOOKUP(B2000,Inventory!$A:$A,Inventory!$C:$C),Motor!$A:$A,Motor!$C:$C)+_xludf.XLOOKUP(_xludf.XLOOKUP(B2000,Inventory!$A:$A,Inventory!$D:$D),Frame!$A:$A,Frame!$C:$C)+#REF!,""))</f>
        <v/>
      </c>
      <c r="E2000" s="4">
        <v>45635</v>
      </c>
      <c r="F2000" s="1" t="s">
        <v>52</v>
      </c>
    </row>
    <row r="2001" spans="1:6" x14ac:dyDescent="0.25">
      <c r="A2001" s="1" t="s">
        <v>4012</v>
      </c>
      <c r="B2001" s="1" t="s">
        <v>4013</v>
      </c>
      <c r="C2001" s="3">
        <v>200</v>
      </c>
      <c r="D2001" s="3" t="str">
        <f ca="1">IF(B2001="","",IFERROR(_xludf.XLOOKUP(_xludf.XLOOKUP(B2001,Inventory!$A:$A,Inventory!$B:$B),Blades!$A:$A,Blades!$C:$C)+_xludf.XLOOKUP(_xludf.XLOOKUP(B2001,Inventory!$A:$A,Inventory!$C:$C),Motor!$A:$A,Motor!$C:$C)+_xludf.XLOOKUP(_xludf.XLOOKUP(B2001,Inventory!$A:$A,Inventory!$D:$D),Frame!$A:$A,Frame!$C:$C)+#REF!,""))</f>
        <v/>
      </c>
      <c r="E2001" s="4">
        <v>45635</v>
      </c>
      <c r="F2001" s="1" t="s">
        <v>25</v>
      </c>
    </row>
    <row r="2002" spans="1:6" x14ac:dyDescent="0.25">
      <c r="A2002" s="1" t="s">
        <v>4014</v>
      </c>
      <c r="B2002" s="1" t="s">
        <v>4015</v>
      </c>
      <c r="C2002" s="3">
        <v>200</v>
      </c>
      <c r="D2002" s="3" t="str">
        <f ca="1">IF(B2002="","",IFERROR(_xludf.XLOOKUP(_xludf.XLOOKUP(B2002,Inventory!$A:$A,Inventory!$B:$B),Blades!$A:$A,Blades!$C:$C)+_xludf.XLOOKUP(_xludf.XLOOKUP(B2002,Inventory!$A:$A,Inventory!$C:$C),Motor!$A:$A,Motor!$C:$C)+_xludf.XLOOKUP(_xludf.XLOOKUP(B2002,Inventory!$A:$A,Inventory!$D:$D),Frame!$A:$A,Frame!$C:$C)+#REF!,""))</f>
        <v/>
      </c>
      <c r="E2002" s="4">
        <v>45636</v>
      </c>
      <c r="F2002" s="1" t="s">
        <v>20</v>
      </c>
    </row>
    <row r="2003" spans="1:6" x14ac:dyDescent="0.25">
      <c r="A2003" s="1" t="s">
        <v>4016</v>
      </c>
      <c r="B2003" s="1" t="s">
        <v>4017</v>
      </c>
      <c r="C2003" s="3">
        <v>200</v>
      </c>
      <c r="D2003" s="3" t="str">
        <f ca="1">IF(B2003="","",IFERROR(_xludf.XLOOKUP(_xludf.XLOOKUP(B2003,Inventory!$A:$A,Inventory!$B:$B),Blades!$A:$A,Blades!$C:$C)+_xludf.XLOOKUP(_xludf.XLOOKUP(B2003,Inventory!$A:$A,Inventory!$C:$C),Motor!$A:$A,Motor!$C:$C)+_xludf.XLOOKUP(_xludf.XLOOKUP(B2003,Inventory!$A:$A,Inventory!$D:$D),Frame!$A:$A,Frame!$C:$C)+#REF!,""))</f>
        <v/>
      </c>
      <c r="E2003" s="4">
        <v>45636</v>
      </c>
      <c r="F2003" s="1" t="s">
        <v>49</v>
      </c>
    </row>
    <row r="2004" spans="1:6" x14ac:dyDescent="0.25">
      <c r="A2004" s="1" t="s">
        <v>4018</v>
      </c>
      <c r="B2004" s="1" t="s">
        <v>4019</v>
      </c>
      <c r="C2004" s="3">
        <v>200</v>
      </c>
      <c r="D2004" s="3" t="str">
        <f ca="1">IF(B2004="","",IFERROR(_xludf.XLOOKUP(_xludf.XLOOKUP(B2004,Inventory!$A:$A,Inventory!$B:$B),Blades!$A:$A,Blades!$C:$C)+_xludf.XLOOKUP(_xludf.XLOOKUP(B2004,Inventory!$A:$A,Inventory!$C:$C),Motor!$A:$A,Motor!$C:$C)+_xludf.XLOOKUP(_xludf.XLOOKUP(B2004,Inventory!$A:$A,Inventory!$D:$D),Frame!$A:$A,Frame!$C:$C)+#REF!,""))</f>
        <v/>
      </c>
      <c r="E2004" s="4">
        <v>45636</v>
      </c>
      <c r="F2004" s="1" t="s">
        <v>20</v>
      </c>
    </row>
    <row r="2005" spans="1:6" x14ac:dyDescent="0.25">
      <c r="A2005" s="1" t="s">
        <v>4020</v>
      </c>
      <c r="B2005" s="1" t="s">
        <v>4021</v>
      </c>
      <c r="C2005" s="3">
        <v>200</v>
      </c>
      <c r="D2005" s="3" t="str">
        <f ca="1">IF(B2005="","",IFERROR(_xludf.XLOOKUP(_xludf.XLOOKUP(B2005,Inventory!$A:$A,Inventory!$B:$B),Blades!$A:$A,Blades!$C:$C)+_xludf.XLOOKUP(_xludf.XLOOKUP(B2005,Inventory!$A:$A,Inventory!$C:$C),Motor!$A:$A,Motor!$C:$C)+_xludf.XLOOKUP(_xludf.XLOOKUP(B2005,Inventory!$A:$A,Inventory!$D:$D),Frame!$A:$A,Frame!$C:$C)+#REF!,""))</f>
        <v/>
      </c>
      <c r="E2005" s="4">
        <v>45636</v>
      </c>
      <c r="F2005" s="1" t="s">
        <v>20</v>
      </c>
    </row>
    <row r="2006" spans="1:6" x14ac:dyDescent="0.25">
      <c r="A2006" s="1" t="s">
        <v>4022</v>
      </c>
      <c r="B2006" s="1" t="s">
        <v>4023</v>
      </c>
      <c r="C2006" s="3">
        <v>200</v>
      </c>
      <c r="D2006" s="3" t="str">
        <f ca="1">IF(B2006="","",IFERROR(_xludf.XLOOKUP(_xludf.XLOOKUP(B2006,Inventory!$A:$A,Inventory!$B:$B),Blades!$A:$A,Blades!$C:$C)+_xludf.XLOOKUP(_xludf.XLOOKUP(B2006,Inventory!$A:$A,Inventory!$C:$C),Motor!$A:$A,Motor!$C:$C)+_xludf.XLOOKUP(_xludf.XLOOKUP(B2006,Inventory!$A:$A,Inventory!$D:$D),Frame!$A:$A,Frame!$C:$C)+#REF!,""))</f>
        <v/>
      </c>
      <c r="E2006" s="4">
        <v>45636</v>
      </c>
      <c r="F2006" s="1" t="s">
        <v>25</v>
      </c>
    </row>
    <row r="2007" spans="1:6" x14ac:dyDescent="0.25">
      <c r="A2007" s="1" t="s">
        <v>4024</v>
      </c>
      <c r="B2007" s="1" t="s">
        <v>4025</v>
      </c>
      <c r="C2007" s="3">
        <v>200</v>
      </c>
      <c r="D2007" s="3" t="str">
        <f ca="1">IF(B2007="","",IFERROR(_xludf.XLOOKUP(_xludf.XLOOKUP(B2007,Inventory!$A:$A,Inventory!$B:$B),Blades!$A:$A,Blades!$C:$C)+_xludf.XLOOKUP(_xludf.XLOOKUP(B2007,Inventory!$A:$A,Inventory!$C:$C),Motor!$A:$A,Motor!$C:$C)+_xludf.XLOOKUP(_xludf.XLOOKUP(B2007,Inventory!$A:$A,Inventory!$D:$D),Frame!$A:$A,Frame!$C:$C)+#REF!,""))</f>
        <v/>
      </c>
      <c r="E2007" s="4">
        <v>45637</v>
      </c>
      <c r="F2007" s="1" t="s">
        <v>11</v>
      </c>
    </row>
    <row r="2008" spans="1:6" x14ac:dyDescent="0.25">
      <c r="A2008" s="1" t="s">
        <v>4026</v>
      </c>
      <c r="B2008" s="1" t="s">
        <v>4027</v>
      </c>
      <c r="C2008" s="3">
        <v>200</v>
      </c>
      <c r="D2008" s="3" t="str">
        <f ca="1">IF(B2008="","",IFERROR(_xludf.XLOOKUP(_xludf.XLOOKUP(B2008,Inventory!$A:$A,Inventory!$B:$B),Blades!$A:$A,Blades!$C:$C)+_xludf.XLOOKUP(_xludf.XLOOKUP(B2008,Inventory!$A:$A,Inventory!$C:$C),Motor!$A:$A,Motor!$C:$C)+_xludf.XLOOKUP(_xludf.XLOOKUP(B2008,Inventory!$A:$A,Inventory!$D:$D),Frame!$A:$A,Frame!$C:$C)+#REF!,""))</f>
        <v/>
      </c>
      <c r="E2008" s="4">
        <v>45638</v>
      </c>
      <c r="F2008" s="1" t="s">
        <v>52</v>
      </c>
    </row>
    <row r="2009" spans="1:6" x14ac:dyDescent="0.25">
      <c r="A2009" s="1" t="s">
        <v>4028</v>
      </c>
      <c r="B2009" s="1" t="s">
        <v>4029</v>
      </c>
      <c r="C2009" s="3">
        <v>200</v>
      </c>
      <c r="D2009" s="3" t="str">
        <f ca="1">IF(B2009="","",IFERROR(_xludf.XLOOKUP(_xludf.XLOOKUP(B2009,Inventory!$A:$A,Inventory!$B:$B),Blades!$A:$A,Blades!$C:$C)+_xludf.XLOOKUP(_xludf.XLOOKUP(B2009,Inventory!$A:$A,Inventory!$C:$C),Motor!$A:$A,Motor!$C:$C)+_xludf.XLOOKUP(_xludf.XLOOKUP(B2009,Inventory!$A:$A,Inventory!$D:$D),Frame!$A:$A,Frame!$C:$C)+#REF!,""))</f>
        <v/>
      </c>
      <c r="E2009" s="4">
        <v>45638</v>
      </c>
      <c r="F2009" s="1" t="s">
        <v>49</v>
      </c>
    </row>
    <row r="2010" spans="1:6" x14ac:dyDescent="0.25">
      <c r="A2010" s="1" t="s">
        <v>4030</v>
      </c>
      <c r="B2010" s="1" t="s">
        <v>4031</v>
      </c>
      <c r="C2010" s="3">
        <v>200</v>
      </c>
      <c r="D2010" s="3" t="str">
        <f ca="1">IF(B2010="","",IFERROR(_xludf.XLOOKUP(_xludf.XLOOKUP(B2010,Inventory!$A:$A,Inventory!$B:$B),Blades!$A:$A,Blades!$C:$C)+_xludf.XLOOKUP(_xludf.XLOOKUP(B2010,Inventory!$A:$A,Inventory!$C:$C),Motor!$A:$A,Motor!$C:$C)+_xludf.XLOOKUP(_xludf.XLOOKUP(B2010,Inventory!$A:$A,Inventory!$D:$D),Frame!$A:$A,Frame!$C:$C)+#REF!,""))</f>
        <v/>
      </c>
      <c r="E2010" s="4">
        <v>45639</v>
      </c>
      <c r="F2010" s="1" t="s">
        <v>11</v>
      </c>
    </row>
    <row r="2011" spans="1:6" x14ac:dyDescent="0.25">
      <c r="A2011" s="1" t="s">
        <v>4032</v>
      </c>
      <c r="B2011" s="1" t="s">
        <v>4033</v>
      </c>
      <c r="C2011" s="3">
        <v>200</v>
      </c>
      <c r="D2011" s="3" t="str">
        <f ca="1">IF(B2011="","",IFERROR(_xludf.XLOOKUP(_xludf.XLOOKUP(B2011,Inventory!$A:$A,Inventory!$B:$B),Blades!$A:$A,Blades!$C:$C)+_xludf.XLOOKUP(_xludf.XLOOKUP(B2011,Inventory!$A:$A,Inventory!$C:$C),Motor!$A:$A,Motor!$C:$C)+_xludf.XLOOKUP(_xludf.XLOOKUP(B2011,Inventory!$A:$A,Inventory!$D:$D),Frame!$A:$A,Frame!$C:$C)+#REF!,""))</f>
        <v/>
      </c>
      <c r="E2011" s="4">
        <v>45639</v>
      </c>
      <c r="F2011" s="1" t="s">
        <v>25</v>
      </c>
    </row>
    <row r="2012" spans="1:6" x14ac:dyDescent="0.25">
      <c r="A2012" s="1" t="s">
        <v>4034</v>
      </c>
      <c r="B2012" s="1" t="s">
        <v>4035</v>
      </c>
      <c r="C2012" s="3">
        <v>200</v>
      </c>
      <c r="D2012" s="3" t="str">
        <f ca="1">IF(B2012="","",IFERROR(_xludf.XLOOKUP(_xludf.XLOOKUP(B2012,Inventory!$A:$A,Inventory!$B:$B),Blades!$A:$A,Blades!$C:$C)+_xludf.XLOOKUP(_xludf.XLOOKUP(B2012,Inventory!$A:$A,Inventory!$C:$C),Motor!$A:$A,Motor!$C:$C)+_xludf.XLOOKUP(_xludf.XLOOKUP(B2012,Inventory!$A:$A,Inventory!$D:$D),Frame!$A:$A,Frame!$C:$C)+#REF!,""))</f>
        <v/>
      </c>
      <c r="E2012" s="4">
        <v>45639</v>
      </c>
      <c r="F2012" s="1" t="s">
        <v>25</v>
      </c>
    </row>
    <row r="2013" spans="1:6" x14ac:dyDescent="0.25">
      <c r="A2013" s="1" t="s">
        <v>4036</v>
      </c>
      <c r="B2013" s="1" t="s">
        <v>4037</v>
      </c>
      <c r="C2013" s="3">
        <v>200</v>
      </c>
      <c r="D2013" s="3" t="str">
        <f ca="1">IF(B2013="","",IFERROR(_xludf.XLOOKUP(_xludf.XLOOKUP(B2013,Inventory!$A:$A,Inventory!$B:$B),Blades!$A:$A,Blades!$C:$C)+_xludf.XLOOKUP(_xludf.XLOOKUP(B2013,Inventory!$A:$A,Inventory!$C:$C),Motor!$A:$A,Motor!$C:$C)+_xludf.XLOOKUP(_xludf.XLOOKUP(B2013,Inventory!$A:$A,Inventory!$D:$D),Frame!$A:$A,Frame!$C:$C)+#REF!,""))</f>
        <v/>
      </c>
      <c r="E2013" s="4">
        <v>45640</v>
      </c>
      <c r="F2013" s="1" t="s">
        <v>49</v>
      </c>
    </row>
    <row r="2014" spans="1:6" x14ac:dyDescent="0.25">
      <c r="A2014" s="1" t="s">
        <v>4038</v>
      </c>
      <c r="B2014" s="1" t="s">
        <v>4039</v>
      </c>
      <c r="C2014" s="3">
        <v>200</v>
      </c>
      <c r="D2014" s="3" t="str">
        <f ca="1">IF(B2014="","",IFERROR(_xludf.XLOOKUP(_xludf.XLOOKUP(B2014,Inventory!$A:$A,Inventory!$B:$B),Blades!$A:$A,Blades!$C:$C)+_xludf.XLOOKUP(_xludf.XLOOKUP(B2014,Inventory!$A:$A,Inventory!$C:$C),Motor!$A:$A,Motor!$C:$C)+_xludf.XLOOKUP(_xludf.XLOOKUP(B2014,Inventory!$A:$A,Inventory!$D:$D),Frame!$A:$A,Frame!$C:$C)+#REF!,""))</f>
        <v/>
      </c>
      <c r="E2014" s="4">
        <v>45640</v>
      </c>
      <c r="F2014" s="1" t="s">
        <v>32</v>
      </c>
    </row>
    <row r="2015" spans="1:6" x14ac:dyDescent="0.25">
      <c r="A2015" s="1" t="s">
        <v>4040</v>
      </c>
      <c r="B2015" s="1" t="s">
        <v>4041</v>
      </c>
      <c r="C2015" s="3">
        <v>200</v>
      </c>
      <c r="D2015" s="3" t="str">
        <f ca="1">IF(B2015="","",IFERROR(_xludf.XLOOKUP(_xludf.XLOOKUP(B2015,Inventory!$A:$A,Inventory!$B:$B),Blades!$A:$A,Blades!$C:$C)+_xludf.XLOOKUP(_xludf.XLOOKUP(B2015,Inventory!$A:$A,Inventory!$C:$C),Motor!$A:$A,Motor!$C:$C)+_xludf.XLOOKUP(_xludf.XLOOKUP(B2015,Inventory!$A:$A,Inventory!$D:$D),Frame!$A:$A,Frame!$C:$C)+#REF!,""))</f>
        <v/>
      </c>
      <c r="E2015" s="4">
        <v>45640</v>
      </c>
      <c r="F2015" s="1" t="s">
        <v>49</v>
      </c>
    </row>
    <row r="2016" spans="1:6" x14ac:dyDescent="0.25">
      <c r="A2016" s="1" t="s">
        <v>4042</v>
      </c>
      <c r="B2016" s="1" t="s">
        <v>4043</v>
      </c>
      <c r="C2016" s="3">
        <v>200</v>
      </c>
      <c r="D2016" s="3" t="str">
        <f ca="1">IF(B2016="","",IFERROR(_xludf.XLOOKUP(_xludf.XLOOKUP(B2016,Inventory!$A:$A,Inventory!$B:$B),Blades!$A:$A,Blades!$C:$C)+_xludf.XLOOKUP(_xludf.XLOOKUP(B2016,Inventory!$A:$A,Inventory!$C:$C),Motor!$A:$A,Motor!$C:$C)+_xludf.XLOOKUP(_xludf.XLOOKUP(B2016,Inventory!$A:$A,Inventory!$D:$D),Frame!$A:$A,Frame!$C:$C)+#REF!,""))</f>
        <v/>
      </c>
      <c r="E2016" s="4">
        <v>45640</v>
      </c>
      <c r="F2016" s="1" t="s">
        <v>20</v>
      </c>
    </row>
    <row r="2017" spans="1:6" x14ac:dyDescent="0.25">
      <c r="A2017" s="1" t="s">
        <v>4044</v>
      </c>
      <c r="B2017" s="1" t="s">
        <v>4045</v>
      </c>
      <c r="C2017" s="3">
        <v>200</v>
      </c>
      <c r="D2017" s="3" t="str">
        <f ca="1">IF(B2017="","",IFERROR(_xludf.XLOOKUP(_xludf.XLOOKUP(B2017,Inventory!$A:$A,Inventory!$B:$B),Blades!$A:$A,Blades!$C:$C)+_xludf.XLOOKUP(_xludf.XLOOKUP(B2017,Inventory!$A:$A,Inventory!$C:$C),Motor!$A:$A,Motor!$C:$C)+_xludf.XLOOKUP(_xludf.XLOOKUP(B2017,Inventory!$A:$A,Inventory!$D:$D),Frame!$A:$A,Frame!$C:$C)+#REF!,""))</f>
        <v/>
      </c>
      <c r="E2017" s="4">
        <v>45641</v>
      </c>
      <c r="F2017" s="1" t="s">
        <v>52</v>
      </c>
    </row>
    <row r="2018" spans="1:6" x14ac:dyDescent="0.25">
      <c r="A2018" s="1" t="s">
        <v>4046</v>
      </c>
      <c r="B2018" s="1" t="s">
        <v>4047</v>
      </c>
      <c r="C2018" s="3">
        <v>200</v>
      </c>
      <c r="D2018" s="3" t="str">
        <f ca="1">IF(B2018="","",IFERROR(_xludf.XLOOKUP(_xludf.XLOOKUP(B2018,Inventory!$A:$A,Inventory!$B:$B),Blades!$A:$A,Blades!$C:$C)+_xludf.XLOOKUP(_xludf.XLOOKUP(B2018,Inventory!$A:$A,Inventory!$C:$C),Motor!$A:$A,Motor!$C:$C)+_xludf.XLOOKUP(_xludf.XLOOKUP(B2018,Inventory!$A:$A,Inventory!$D:$D),Frame!$A:$A,Frame!$C:$C)+#REF!,""))</f>
        <v/>
      </c>
      <c r="E2018" s="4">
        <v>45641</v>
      </c>
      <c r="F2018" s="1" t="s">
        <v>49</v>
      </c>
    </row>
    <row r="2019" spans="1:6" x14ac:dyDescent="0.25">
      <c r="A2019" s="1" t="s">
        <v>4048</v>
      </c>
      <c r="B2019" s="1" t="s">
        <v>4049</v>
      </c>
      <c r="C2019" s="3">
        <v>200</v>
      </c>
      <c r="D2019" s="3" t="str">
        <f ca="1">IF(B2019="","",IFERROR(_xludf.XLOOKUP(_xludf.XLOOKUP(B2019,Inventory!$A:$A,Inventory!$B:$B),Blades!$A:$A,Blades!$C:$C)+_xludf.XLOOKUP(_xludf.XLOOKUP(B2019,Inventory!$A:$A,Inventory!$C:$C),Motor!$A:$A,Motor!$C:$C)+_xludf.XLOOKUP(_xludf.XLOOKUP(B2019,Inventory!$A:$A,Inventory!$D:$D),Frame!$A:$A,Frame!$C:$C)+#REF!,""))</f>
        <v/>
      </c>
      <c r="E2019" s="4">
        <v>45644</v>
      </c>
      <c r="F2019" s="1" t="s">
        <v>63</v>
      </c>
    </row>
    <row r="2020" spans="1:6" x14ac:dyDescent="0.25">
      <c r="A2020" s="1" t="s">
        <v>4050</v>
      </c>
      <c r="B2020" s="1" t="s">
        <v>4051</v>
      </c>
      <c r="C2020" s="3">
        <v>200</v>
      </c>
      <c r="D2020" s="3" t="str">
        <f ca="1">IF(B2020="","",IFERROR(_xludf.XLOOKUP(_xludf.XLOOKUP(B2020,Inventory!$A:$A,Inventory!$B:$B),Blades!$A:$A,Blades!$C:$C)+_xludf.XLOOKUP(_xludf.XLOOKUP(B2020,Inventory!$A:$A,Inventory!$C:$C),Motor!$A:$A,Motor!$C:$C)+_xludf.XLOOKUP(_xludf.XLOOKUP(B2020,Inventory!$A:$A,Inventory!$D:$D),Frame!$A:$A,Frame!$C:$C)+#REF!,""))</f>
        <v/>
      </c>
      <c r="E2020" s="4">
        <v>45645</v>
      </c>
      <c r="F2020" s="1" t="s">
        <v>52</v>
      </c>
    </row>
    <row r="2021" spans="1:6" x14ac:dyDescent="0.25">
      <c r="A2021" s="1" t="s">
        <v>4052</v>
      </c>
      <c r="B2021" s="1" t="s">
        <v>4053</v>
      </c>
      <c r="C2021" s="3">
        <v>200</v>
      </c>
      <c r="D2021" s="3" t="str">
        <f ca="1">IF(B2021="","",IFERROR(_xludf.XLOOKUP(_xludf.XLOOKUP(B2021,Inventory!$A:$A,Inventory!$B:$B),Blades!$A:$A,Blades!$C:$C)+_xludf.XLOOKUP(_xludf.XLOOKUP(B2021,Inventory!$A:$A,Inventory!$C:$C),Motor!$A:$A,Motor!$C:$C)+_xludf.XLOOKUP(_xludf.XLOOKUP(B2021,Inventory!$A:$A,Inventory!$D:$D),Frame!$A:$A,Frame!$C:$C)+#REF!,""))</f>
        <v/>
      </c>
      <c r="E2021" s="4">
        <v>45646</v>
      </c>
      <c r="F2021" s="1" t="s">
        <v>11</v>
      </c>
    </row>
    <row r="2022" spans="1:6" x14ac:dyDescent="0.25">
      <c r="A2022" s="1" t="s">
        <v>4054</v>
      </c>
      <c r="B2022" s="1" t="s">
        <v>4055</v>
      </c>
      <c r="C2022" s="3">
        <v>200</v>
      </c>
      <c r="D2022" s="3" t="str">
        <f ca="1">IF(B2022="","",IFERROR(_xludf.XLOOKUP(_xludf.XLOOKUP(B2022,Inventory!$A:$A,Inventory!$B:$B),Blades!$A:$A,Blades!$C:$C)+_xludf.XLOOKUP(_xludf.XLOOKUP(B2022,Inventory!$A:$A,Inventory!$C:$C),Motor!$A:$A,Motor!$C:$C)+_xludf.XLOOKUP(_xludf.XLOOKUP(B2022,Inventory!$A:$A,Inventory!$D:$D),Frame!$A:$A,Frame!$C:$C)+#REF!,""))</f>
        <v/>
      </c>
      <c r="E2022" s="4">
        <v>45646</v>
      </c>
      <c r="F2022" s="1" t="s">
        <v>52</v>
      </c>
    </row>
    <row r="2023" spans="1:6" x14ac:dyDescent="0.25">
      <c r="A2023" s="1" t="s">
        <v>4056</v>
      </c>
      <c r="B2023" s="1" t="s">
        <v>4057</v>
      </c>
      <c r="C2023" s="3">
        <v>200</v>
      </c>
      <c r="D2023" s="3" t="str">
        <f ca="1">IF(B2023="","",IFERROR(_xludf.XLOOKUP(_xludf.XLOOKUP(B2023,Inventory!$A:$A,Inventory!$B:$B),Blades!$A:$A,Blades!$C:$C)+_xludf.XLOOKUP(_xludf.XLOOKUP(B2023,Inventory!$A:$A,Inventory!$C:$C),Motor!$A:$A,Motor!$C:$C)+_xludf.XLOOKUP(_xludf.XLOOKUP(B2023,Inventory!$A:$A,Inventory!$D:$D),Frame!$A:$A,Frame!$C:$C)+#REF!,""))</f>
        <v/>
      </c>
      <c r="E2023" s="4">
        <v>45647</v>
      </c>
      <c r="F2023" s="1" t="s">
        <v>49</v>
      </c>
    </row>
    <row r="2024" spans="1:6" x14ac:dyDescent="0.25">
      <c r="A2024" s="1" t="s">
        <v>4058</v>
      </c>
      <c r="B2024" s="1" t="s">
        <v>4059</v>
      </c>
      <c r="C2024" s="3">
        <v>200</v>
      </c>
      <c r="D2024" s="3" t="str">
        <f ca="1">IF(B2024="","",IFERROR(_xludf.XLOOKUP(_xludf.XLOOKUP(B2024,Inventory!$A:$A,Inventory!$B:$B),Blades!$A:$A,Blades!$C:$C)+_xludf.XLOOKUP(_xludf.XLOOKUP(B2024,Inventory!$A:$A,Inventory!$C:$C),Motor!$A:$A,Motor!$C:$C)+_xludf.XLOOKUP(_xludf.XLOOKUP(B2024,Inventory!$A:$A,Inventory!$D:$D),Frame!$A:$A,Frame!$C:$C)+#REF!,""))</f>
        <v/>
      </c>
      <c r="E2024" s="4">
        <v>45647</v>
      </c>
      <c r="F2024" s="1" t="s">
        <v>49</v>
      </c>
    </row>
    <row r="2025" spans="1:6" x14ac:dyDescent="0.25">
      <c r="A2025" s="1" t="s">
        <v>4060</v>
      </c>
      <c r="B2025" s="1" t="s">
        <v>4061</v>
      </c>
      <c r="C2025" s="3">
        <v>200</v>
      </c>
      <c r="D2025" s="3" t="str">
        <f ca="1">IF(B2025="","",IFERROR(_xludf.XLOOKUP(_xludf.XLOOKUP(B2025,Inventory!$A:$A,Inventory!$B:$B),Blades!$A:$A,Blades!$C:$C)+_xludf.XLOOKUP(_xludf.XLOOKUP(B2025,Inventory!$A:$A,Inventory!$C:$C),Motor!$A:$A,Motor!$C:$C)+_xludf.XLOOKUP(_xludf.XLOOKUP(B2025,Inventory!$A:$A,Inventory!$D:$D),Frame!$A:$A,Frame!$C:$C)+#REF!,""))</f>
        <v/>
      </c>
      <c r="E2025" s="4">
        <v>45648</v>
      </c>
      <c r="F2025" s="1" t="s">
        <v>32</v>
      </c>
    </row>
    <row r="2026" spans="1:6" x14ac:dyDescent="0.25">
      <c r="A2026" s="1" t="s">
        <v>4062</v>
      </c>
      <c r="B2026" s="1" t="s">
        <v>4063</v>
      </c>
      <c r="C2026" s="3">
        <v>200</v>
      </c>
      <c r="D2026" s="3" t="str">
        <f ca="1">IF(B2026="","",IFERROR(_xludf.XLOOKUP(_xludf.XLOOKUP(B2026,Inventory!$A:$A,Inventory!$B:$B),Blades!$A:$A,Blades!$C:$C)+_xludf.XLOOKUP(_xludf.XLOOKUP(B2026,Inventory!$A:$A,Inventory!$C:$C),Motor!$A:$A,Motor!$C:$C)+_xludf.XLOOKUP(_xludf.XLOOKUP(B2026,Inventory!$A:$A,Inventory!$D:$D),Frame!$A:$A,Frame!$C:$C)+#REF!,""))</f>
        <v/>
      </c>
      <c r="E2026" s="4">
        <v>45648</v>
      </c>
      <c r="F2026" s="1" t="s">
        <v>49</v>
      </c>
    </row>
    <row r="2027" spans="1:6" x14ac:dyDescent="0.25">
      <c r="A2027" s="1" t="s">
        <v>4064</v>
      </c>
      <c r="B2027" s="1" t="s">
        <v>4065</v>
      </c>
      <c r="C2027" s="3">
        <v>200</v>
      </c>
      <c r="D2027" s="3" t="str">
        <f ca="1">IF(B2027="","",IFERROR(_xludf.XLOOKUP(_xludf.XLOOKUP(B2027,Inventory!$A:$A,Inventory!$B:$B),Blades!$A:$A,Blades!$C:$C)+_xludf.XLOOKUP(_xludf.XLOOKUP(B2027,Inventory!$A:$A,Inventory!$C:$C),Motor!$A:$A,Motor!$C:$C)+_xludf.XLOOKUP(_xludf.XLOOKUP(B2027,Inventory!$A:$A,Inventory!$D:$D),Frame!$A:$A,Frame!$C:$C)+#REF!,""))</f>
        <v/>
      </c>
      <c r="E2027" s="4">
        <v>45649</v>
      </c>
      <c r="F2027" s="1" t="s">
        <v>52</v>
      </c>
    </row>
    <row r="2028" spans="1:6" x14ac:dyDescent="0.25">
      <c r="A2028" s="1" t="s">
        <v>4066</v>
      </c>
      <c r="B2028" s="1" t="s">
        <v>4067</v>
      </c>
      <c r="C2028" s="3">
        <v>200</v>
      </c>
      <c r="D2028" s="3" t="str">
        <f ca="1">IF(B2028="","",IFERROR(_xludf.XLOOKUP(_xludf.XLOOKUP(B2028,Inventory!$A:$A,Inventory!$B:$B),Blades!$A:$A,Blades!$C:$C)+_xludf.XLOOKUP(_xludf.XLOOKUP(B2028,Inventory!$A:$A,Inventory!$C:$C),Motor!$A:$A,Motor!$C:$C)+_xludf.XLOOKUP(_xludf.XLOOKUP(B2028,Inventory!$A:$A,Inventory!$D:$D),Frame!$A:$A,Frame!$C:$C)+#REF!,""))</f>
        <v/>
      </c>
      <c r="E2028" s="4">
        <v>45652</v>
      </c>
      <c r="F2028" s="1" t="s">
        <v>32</v>
      </c>
    </row>
    <row r="2029" spans="1:6" x14ac:dyDescent="0.25">
      <c r="A2029" s="1" t="s">
        <v>4068</v>
      </c>
      <c r="B2029" s="1" t="s">
        <v>4069</v>
      </c>
      <c r="C2029" s="3">
        <v>200</v>
      </c>
      <c r="D2029" s="3" t="str">
        <f ca="1">IF(B2029="","",IFERROR(_xludf.XLOOKUP(_xludf.XLOOKUP(B2029,Inventory!$A:$A,Inventory!$B:$B),Blades!$A:$A,Blades!$C:$C)+_xludf.XLOOKUP(_xludf.XLOOKUP(B2029,Inventory!$A:$A,Inventory!$C:$C),Motor!$A:$A,Motor!$C:$C)+_xludf.XLOOKUP(_xludf.XLOOKUP(B2029,Inventory!$A:$A,Inventory!$D:$D),Frame!$A:$A,Frame!$C:$C)+#REF!,""))</f>
        <v/>
      </c>
      <c r="E2029" s="4">
        <v>45652</v>
      </c>
      <c r="F2029" s="1" t="s">
        <v>11</v>
      </c>
    </row>
    <row r="2030" spans="1:6" x14ac:dyDescent="0.25">
      <c r="A2030" s="1" t="s">
        <v>4070</v>
      </c>
      <c r="B2030" s="1" t="s">
        <v>4071</v>
      </c>
      <c r="C2030" s="3">
        <v>200</v>
      </c>
      <c r="D2030" s="3" t="str">
        <f ca="1">IF(B2030="","",IFERROR(_xludf.XLOOKUP(_xludf.XLOOKUP(B2030,Inventory!$A:$A,Inventory!$B:$B),Blades!$A:$A,Blades!$C:$C)+_xludf.XLOOKUP(_xludf.XLOOKUP(B2030,Inventory!$A:$A,Inventory!$C:$C),Motor!$A:$A,Motor!$C:$C)+_xludf.XLOOKUP(_xludf.XLOOKUP(B2030,Inventory!$A:$A,Inventory!$D:$D),Frame!$A:$A,Frame!$C:$C)+#REF!,""))</f>
        <v/>
      </c>
      <c r="E2030" s="4">
        <v>45652</v>
      </c>
      <c r="F2030" s="1" t="s">
        <v>52</v>
      </c>
    </row>
    <row r="2031" spans="1:6" x14ac:dyDescent="0.25">
      <c r="A2031" s="1" t="s">
        <v>4072</v>
      </c>
      <c r="B2031" s="1" t="s">
        <v>4073</v>
      </c>
      <c r="C2031" s="3">
        <v>200</v>
      </c>
      <c r="D2031" s="3" t="str">
        <f ca="1">IF(B2031="","",IFERROR(_xludf.XLOOKUP(_xludf.XLOOKUP(B2031,Inventory!$A:$A,Inventory!$B:$B),Blades!$A:$A,Blades!$C:$C)+_xludf.XLOOKUP(_xludf.XLOOKUP(B2031,Inventory!$A:$A,Inventory!$C:$C),Motor!$A:$A,Motor!$C:$C)+_xludf.XLOOKUP(_xludf.XLOOKUP(B2031,Inventory!$A:$A,Inventory!$D:$D),Frame!$A:$A,Frame!$C:$C)+#REF!,""))</f>
        <v/>
      </c>
      <c r="E2031" s="4">
        <v>45653</v>
      </c>
      <c r="F2031" s="1" t="s">
        <v>8</v>
      </c>
    </row>
    <row r="2032" spans="1:6" x14ac:dyDescent="0.25">
      <c r="A2032" s="1" t="s">
        <v>4074</v>
      </c>
      <c r="B2032" s="1" t="s">
        <v>4075</v>
      </c>
      <c r="C2032" s="3">
        <v>200</v>
      </c>
      <c r="D2032" s="3" t="str">
        <f ca="1">IF(B2032="","",IFERROR(_xludf.XLOOKUP(_xludf.XLOOKUP(B2032,Inventory!$A:$A,Inventory!$B:$B),Blades!$A:$A,Blades!$C:$C)+_xludf.XLOOKUP(_xludf.XLOOKUP(B2032,Inventory!$A:$A,Inventory!$C:$C),Motor!$A:$A,Motor!$C:$C)+_xludf.XLOOKUP(_xludf.XLOOKUP(B2032,Inventory!$A:$A,Inventory!$D:$D),Frame!$A:$A,Frame!$C:$C)+#REF!,""))</f>
        <v/>
      </c>
      <c r="E2032" s="4">
        <v>45653</v>
      </c>
      <c r="F2032" s="1" t="s">
        <v>11</v>
      </c>
    </row>
    <row r="2033" spans="1:6" x14ac:dyDescent="0.25">
      <c r="A2033" s="1" t="s">
        <v>4076</v>
      </c>
      <c r="B2033" s="1" t="s">
        <v>4077</v>
      </c>
      <c r="C2033" s="3">
        <v>200</v>
      </c>
      <c r="D2033" s="3" t="str">
        <f ca="1">IF(B2033="","",IFERROR(_xludf.XLOOKUP(_xludf.XLOOKUP(B2033,Inventory!$A:$A,Inventory!$B:$B),Blades!$A:$A,Blades!$C:$C)+_xludf.XLOOKUP(_xludf.XLOOKUP(B2033,Inventory!$A:$A,Inventory!$C:$C),Motor!$A:$A,Motor!$C:$C)+_xludf.XLOOKUP(_xludf.XLOOKUP(B2033,Inventory!$A:$A,Inventory!$D:$D),Frame!$A:$A,Frame!$C:$C)+#REF!,""))</f>
        <v/>
      </c>
      <c r="E2033" s="4">
        <v>45654</v>
      </c>
      <c r="F2033" s="1" t="s">
        <v>20</v>
      </c>
    </row>
    <row r="2034" spans="1:6" x14ac:dyDescent="0.25">
      <c r="A2034" s="1" t="s">
        <v>4078</v>
      </c>
      <c r="B2034" s="1" t="s">
        <v>4079</v>
      </c>
      <c r="C2034" s="3">
        <v>200</v>
      </c>
      <c r="D2034" s="3" t="str">
        <f ca="1">IF(B2034="","",IFERROR(_xludf.XLOOKUP(_xludf.XLOOKUP(B2034,Inventory!$A:$A,Inventory!$B:$B),Blades!$A:$A,Blades!$C:$C)+_xludf.XLOOKUP(_xludf.XLOOKUP(B2034,Inventory!$A:$A,Inventory!$C:$C),Motor!$A:$A,Motor!$C:$C)+_xludf.XLOOKUP(_xludf.XLOOKUP(B2034,Inventory!$A:$A,Inventory!$D:$D),Frame!$A:$A,Frame!$C:$C)+#REF!,""))</f>
        <v/>
      </c>
      <c r="E2034" s="4">
        <v>45654</v>
      </c>
      <c r="F2034" s="1" t="s">
        <v>11</v>
      </c>
    </row>
    <row r="2035" spans="1:6" x14ac:dyDescent="0.25">
      <c r="A2035" s="1" t="s">
        <v>4080</v>
      </c>
      <c r="B2035" s="1" t="s">
        <v>4081</v>
      </c>
      <c r="C2035" s="3">
        <v>200</v>
      </c>
      <c r="D2035" s="3" t="str">
        <f ca="1">IF(B2035="","",IFERROR(_xludf.XLOOKUP(_xludf.XLOOKUP(B2035,Inventory!$A:$A,Inventory!$B:$B),Blades!$A:$A,Blades!$C:$C)+_xludf.XLOOKUP(_xludf.XLOOKUP(B2035,Inventory!$A:$A,Inventory!$C:$C),Motor!$A:$A,Motor!$C:$C)+_xludf.XLOOKUP(_xludf.XLOOKUP(B2035,Inventory!$A:$A,Inventory!$D:$D),Frame!$A:$A,Frame!$C:$C)+#REF!,""))</f>
        <v/>
      </c>
      <c r="E2035" s="4">
        <v>45654</v>
      </c>
      <c r="F2035" s="1" t="s">
        <v>52</v>
      </c>
    </row>
    <row r="2036" spans="1:6" x14ac:dyDescent="0.25">
      <c r="A2036" s="1" t="s">
        <v>4082</v>
      </c>
      <c r="B2036" s="1" t="s">
        <v>4083</v>
      </c>
      <c r="C2036" s="3">
        <v>200</v>
      </c>
      <c r="D2036" s="3" t="str">
        <f ca="1">IF(B2036="","",IFERROR(_xludf.XLOOKUP(_xludf.XLOOKUP(B2036,Inventory!$A:$A,Inventory!$B:$B),Blades!$A:$A,Blades!$C:$C)+_xludf.XLOOKUP(_xludf.XLOOKUP(B2036,Inventory!$A:$A,Inventory!$C:$C),Motor!$A:$A,Motor!$C:$C)+_xludf.XLOOKUP(_xludf.XLOOKUP(B2036,Inventory!$A:$A,Inventory!$D:$D),Frame!$A:$A,Frame!$C:$C)+#REF!,""))</f>
        <v/>
      </c>
      <c r="E2036" s="4">
        <v>45655</v>
      </c>
      <c r="F2036" s="1" t="s">
        <v>8</v>
      </c>
    </row>
    <row r="2037" spans="1:6" x14ac:dyDescent="0.25">
      <c r="A2037" s="1" t="s">
        <v>4084</v>
      </c>
      <c r="B2037" s="1" t="s">
        <v>4085</v>
      </c>
      <c r="C2037" s="3">
        <v>200</v>
      </c>
      <c r="D2037" s="3" t="str">
        <f ca="1">IF(B2037="","",IFERROR(_xludf.XLOOKUP(_xludf.XLOOKUP(B2037,Inventory!$A:$A,Inventory!$B:$B),Blades!$A:$A,Blades!$C:$C)+_xludf.XLOOKUP(_xludf.XLOOKUP(B2037,Inventory!$A:$A,Inventory!$C:$C),Motor!$A:$A,Motor!$C:$C)+_xludf.XLOOKUP(_xludf.XLOOKUP(B2037,Inventory!$A:$A,Inventory!$D:$D),Frame!$A:$A,Frame!$C:$C)+#REF!,""))</f>
        <v/>
      </c>
      <c r="E2037" s="4">
        <v>45656</v>
      </c>
      <c r="F2037" s="1" t="s">
        <v>52</v>
      </c>
    </row>
    <row r="2038" spans="1:6" x14ac:dyDescent="0.25">
      <c r="A2038" s="1" t="s">
        <v>4086</v>
      </c>
      <c r="B2038" s="1" t="s">
        <v>4087</v>
      </c>
      <c r="C2038" s="3">
        <v>200</v>
      </c>
      <c r="D2038" s="3" t="str">
        <f ca="1">IF(B2038="","",IFERROR(_xludf.XLOOKUP(_xludf.XLOOKUP(B2038,Inventory!$A:$A,Inventory!$B:$B),Blades!$A:$A,Blades!$C:$C)+_xludf.XLOOKUP(_xludf.XLOOKUP(B2038,Inventory!$A:$A,Inventory!$C:$C),Motor!$A:$A,Motor!$C:$C)+_xludf.XLOOKUP(_xludf.XLOOKUP(B2038,Inventory!$A:$A,Inventory!$D:$D),Frame!$A:$A,Frame!$C:$C)+#REF!,""))</f>
        <v/>
      </c>
      <c r="E2038" s="4">
        <v>45656</v>
      </c>
      <c r="F2038" s="1" t="s">
        <v>25</v>
      </c>
    </row>
    <row r="2039" spans="1:6" x14ac:dyDescent="0.25">
      <c r="A2039" s="1" t="s">
        <v>4088</v>
      </c>
      <c r="B2039" s="1" t="s">
        <v>4089</v>
      </c>
      <c r="C2039" s="3">
        <v>200</v>
      </c>
      <c r="D2039" s="3" t="str">
        <f ca="1">IF(B2039="","",IFERROR(_xludf.XLOOKUP(_xludf.XLOOKUP(B2039,Inventory!$A:$A,Inventory!$B:$B),Blades!$A:$A,Blades!$C:$C)+_xludf.XLOOKUP(_xludf.XLOOKUP(B2039,Inventory!$A:$A,Inventory!$C:$C),Motor!$A:$A,Motor!$C:$C)+_xludf.XLOOKUP(_xludf.XLOOKUP(B2039,Inventory!$A:$A,Inventory!$D:$D),Frame!$A:$A,Frame!$C:$C)+#REF!,""))</f>
        <v/>
      </c>
      <c r="E2039" s="4">
        <v>45657</v>
      </c>
      <c r="F2039" s="1" t="s">
        <v>63</v>
      </c>
    </row>
    <row r="2040" spans="1:6" x14ac:dyDescent="0.25">
      <c r="A2040" s="1" t="s">
        <v>4090</v>
      </c>
      <c r="B2040" s="1" t="s">
        <v>4091</v>
      </c>
      <c r="C2040" s="3">
        <v>200</v>
      </c>
      <c r="D2040" s="3" t="str">
        <f ca="1">IF(B2040="","",IFERROR(_xludf.XLOOKUP(_xludf.XLOOKUP(B2040,Inventory!$A:$A,Inventory!$B:$B),Blades!$A:$A,Blades!$C:$C)+_xludf.XLOOKUP(_xludf.XLOOKUP(B2040,Inventory!$A:$A,Inventory!$C:$C),Motor!$A:$A,Motor!$C:$C)+_xludf.XLOOKUP(_xludf.XLOOKUP(B2040,Inventory!$A:$A,Inventory!$D:$D),Frame!$A:$A,Frame!$C:$C)+#REF!,""))</f>
        <v/>
      </c>
      <c r="E2040" s="4">
        <v>45657</v>
      </c>
      <c r="F2040" s="1" t="s">
        <v>20</v>
      </c>
    </row>
    <row r="2041" spans="1:6" x14ac:dyDescent="0.25">
      <c r="A2041" s="1" t="s">
        <v>4092</v>
      </c>
      <c r="B2041" s="1" t="s">
        <v>4093</v>
      </c>
      <c r="C2041" s="3">
        <v>200</v>
      </c>
      <c r="D2041" s="3" t="str">
        <f ca="1">IF(B2041="","",IFERROR(_xludf.XLOOKUP(_xludf.XLOOKUP(B2041,Inventory!$A:$A,Inventory!$B:$B),Blades!$A:$A,Blades!$C:$C)+_xludf.XLOOKUP(_xludf.XLOOKUP(B2041,Inventory!$A:$A,Inventory!$C:$C),Motor!$A:$A,Motor!$C:$C)+_xludf.XLOOKUP(_xludf.XLOOKUP(B2041,Inventory!$A:$A,Inventory!$D:$D),Frame!$A:$A,Frame!$C:$C)+#REF!,""))</f>
        <v/>
      </c>
      <c r="E2041" s="4">
        <v>45657</v>
      </c>
      <c r="F2041" s="1" t="s">
        <v>63</v>
      </c>
    </row>
    <row r="2042" spans="1:6" x14ac:dyDescent="0.25">
      <c r="A2042" s="1" t="s">
        <v>4094</v>
      </c>
      <c r="B2042" s="1" t="s">
        <v>4095</v>
      </c>
      <c r="C2042" s="3">
        <v>200</v>
      </c>
      <c r="D2042" s="3" t="str">
        <f ca="1">IF(B2042="","",IFERROR(_xludf.XLOOKUP(_xludf.XLOOKUP(B2042,Inventory!$A:$A,Inventory!$B:$B),Blades!$A:$A,Blades!$C:$C)+_xludf.XLOOKUP(_xludf.XLOOKUP(B2042,Inventory!$A:$A,Inventory!$C:$C),Motor!$A:$A,Motor!$C:$C)+_xludf.XLOOKUP(_xludf.XLOOKUP(B2042,Inventory!$A:$A,Inventory!$D:$D),Frame!$A:$A,Frame!$C:$C)+#REF!,""))</f>
        <v/>
      </c>
      <c r="E2042" s="4">
        <v>45658</v>
      </c>
      <c r="F2042" s="1" t="s">
        <v>11</v>
      </c>
    </row>
    <row r="2043" spans="1:6" x14ac:dyDescent="0.25">
      <c r="A2043" s="1" t="s">
        <v>4096</v>
      </c>
      <c r="B2043" s="1" t="s">
        <v>4097</v>
      </c>
      <c r="C2043" s="3">
        <v>200</v>
      </c>
      <c r="D2043" s="3" t="str">
        <f ca="1">IF(B2043="","",IFERROR(_xludf.XLOOKUP(_xludf.XLOOKUP(B2043,Inventory!$A:$A,Inventory!$B:$B),Blades!$A:$A,Blades!$C:$C)+_xludf.XLOOKUP(_xludf.XLOOKUP(B2043,Inventory!$A:$A,Inventory!$C:$C),Motor!$A:$A,Motor!$C:$C)+_xludf.XLOOKUP(_xludf.XLOOKUP(B2043,Inventory!$A:$A,Inventory!$D:$D),Frame!$A:$A,Frame!$C:$C)+#REF!,""))</f>
        <v/>
      </c>
      <c r="E2043" s="4">
        <v>45658</v>
      </c>
      <c r="F2043" s="1" t="s">
        <v>20</v>
      </c>
    </row>
    <row r="2044" spans="1:6" x14ac:dyDescent="0.25">
      <c r="A2044" s="1" t="s">
        <v>4098</v>
      </c>
      <c r="B2044" s="1" t="s">
        <v>4099</v>
      </c>
      <c r="C2044" s="3">
        <v>200</v>
      </c>
      <c r="D2044" s="3" t="str">
        <f ca="1">IF(B2044="","",IFERROR(_xludf.XLOOKUP(_xludf.XLOOKUP(B2044,Inventory!$A:$A,Inventory!$B:$B),Blades!$A:$A,Blades!$C:$C)+_xludf.XLOOKUP(_xludf.XLOOKUP(B2044,Inventory!$A:$A,Inventory!$C:$C),Motor!$A:$A,Motor!$C:$C)+_xludf.XLOOKUP(_xludf.XLOOKUP(B2044,Inventory!$A:$A,Inventory!$D:$D),Frame!$A:$A,Frame!$C:$C)+#REF!,""))</f>
        <v/>
      </c>
      <c r="E2044" s="4">
        <v>45658</v>
      </c>
      <c r="F2044" s="1" t="s">
        <v>52</v>
      </c>
    </row>
    <row r="2045" spans="1:6" x14ac:dyDescent="0.25">
      <c r="A2045" s="1" t="s">
        <v>4100</v>
      </c>
      <c r="B2045" s="1" t="s">
        <v>4101</v>
      </c>
      <c r="C2045" s="3">
        <v>200</v>
      </c>
      <c r="D2045" s="3" t="str">
        <f ca="1">IF(B2045="","",IFERROR(_xludf.XLOOKUP(_xludf.XLOOKUP(B2045,Inventory!$A:$A,Inventory!$B:$B),Blades!$A:$A,Blades!$C:$C)+_xludf.XLOOKUP(_xludf.XLOOKUP(B2045,Inventory!$A:$A,Inventory!$C:$C),Motor!$A:$A,Motor!$C:$C)+_xludf.XLOOKUP(_xludf.XLOOKUP(B2045,Inventory!$A:$A,Inventory!$D:$D),Frame!$A:$A,Frame!$C:$C)+#REF!,""))</f>
        <v/>
      </c>
      <c r="E2045" s="4">
        <v>45659</v>
      </c>
      <c r="F2045" s="1" t="s">
        <v>52</v>
      </c>
    </row>
    <row r="2046" spans="1:6" x14ac:dyDescent="0.25">
      <c r="A2046" s="1" t="s">
        <v>4102</v>
      </c>
      <c r="B2046" s="1" t="s">
        <v>4103</v>
      </c>
      <c r="C2046" s="3">
        <v>200</v>
      </c>
      <c r="D2046" s="3" t="str">
        <f ca="1">IF(B2046="","",IFERROR(_xludf.XLOOKUP(_xludf.XLOOKUP(B2046,Inventory!$A:$A,Inventory!$B:$B),Blades!$A:$A,Blades!$C:$C)+_xludf.XLOOKUP(_xludf.XLOOKUP(B2046,Inventory!$A:$A,Inventory!$C:$C),Motor!$A:$A,Motor!$C:$C)+_xludf.XLOOKUP(_xludf.XLOOKUP(B2046,Inventory!$A:$A,Inventory!$D:$D),Frame!$A:$A,Frame!$C:$C)+#REF!,""))</f>
        <v/>
      </c>
      <c r="E2046" s="4">
        <v>45660</v>
      </c>
      <c r="F2046" s="1" t="s">
        <v>25</v>
      </c>
    </row>
    <row r="2047" spans="1:6" x14ac:dyDescent="0.25">
      <c r="A2047" s="1" t="s">
        <v>4104</v>
      </c>
      <c r="B2047" s="1" t="s">
        <v>4105</v>
      </c>
      <c r="C2047" s="3">
        <v>200</v>
      </c>
      <c r="D2047" s="3" t="str">
        <f ca="1">IF(B2047="","",IFERROR(_xludf.XLOOKUP(_xludf.XLOOKUP(B2047,Inventory!$A:$A,Inventory!$B:$B),Blades!$A:$A,Blades!$C:$C)+_xludf.XLOOKUP(_xludf.XLOOKUP(B2047,Inventory!$A:$A,Inventory!$C:$C),Motor!$A:$A,Motor!$C:$C)+_xludf.XLOOKUP(_xludf.XLOOKUP(B2047,Inventory!$A:$A,Inventory!$D:$D),Frame!$A:$A,Frame!$C:$C)+#REF!,""))</f>
        <v/>
      </c>
      <c r="E2047" s="4">
        <v>45660</v>
      </c>
      <c r="F2047" s="1" t="s">
        <v>32</v>
      </c>
    </row>
    <row r="2048" spans="1:6" x14ac:dyDescent="0.25">
      <c r="A2048" s="1" t="s">
        <v>4106</v>
      </c>
      <c r="B2048" s="1" t="s">
        <v>4107</v>
      </c>
      <c r="C2048" s="3">
        <v>200</v>
      </c>
      <c r="D2048" s="3" t="str">
        <f ca="1">IF(B2048="","",IFERROR(_xludf.XLOOKUP(_xludf.XLOOKUP(B2048,Inventory!$A:$A,Inventory!$B:$B),Blades!$A:$A,Blades!$C:$C)+_xludf.XLOOKUP(_xludf.XLOOKUP(B2048,Inventory!$A:$A,Inventory!$C:$C),Motor!$A:$A,Motor!$C:$C)+_xludf.XLOOKUP(_xludf.XLOOKUP(B2048,Inventory!$A:$A,Inventory!$D:$D),Frame!$A:$A,Frame!$C:$C)+#REF!,""))</f>
        <v/>
      </c>
      <c r="E2048" s="4">
        <v>45661</v>
      </c>
      <c r="F2048" s="1" t="s">
        <v>8</v>
      </c>
    </row>
    <row r="2049" spans="1:6" x14ac:dyDescent="0.25">
      <c r="A2049" s="1" t="s">
        <v>4108</v>
      </c>
      <c r="B2049" s="1" t="s">
        <v>4109</v>
      </c>
      <c r="C2049" s="3">
        <v>200</v>
      </c>
      <c r="D2049" s="3" t="str">
        <f ca="1">IF(B2049="","",IFERROR(_xludf.XLOOKUP(_xludf.XLOOKUP(B2049,Inventory!$A:$A,Inventory!$B:$B),Blades!$A:$A,Blades!$C:$C)+_xludf.XLOOKUP(_xludf.XLOOKUP(B2049,Inventory!$A:$A,Inventory!$C:$C),Motor!$A:$A,Motor!$C:$C)+_xludf.XLOOKUP(_xludf.XLOOKUP(B2049,Inventory!$A:$A,Inventory!$D:$D),Frame!$A:$A,Frame!$C:$C)+#REF!,""))</f>
        <v/>
      </c>
      <c r="E2049" s="4">
        <v>45661</v>
      </c>
      <c r="F2049" s="1" t="s">
        <v>49</v>
      </c>
    </row>
    <row r="2050" spans="1:6" x14ac:dyDescent="0.25">
      <c r="A2050" s="1" t="s">
        <v>4110</v>
      </c>
      <c r="B2050" s="1" t="s">
        <v>4111</v>
      </c>
      <c r="C2050" s="3">
        <v>200</v>
      </c>
      <c r="D2050" s="3" t="str">
        <f ca="1">IF(B2050="","",IFERROR(_xludf.XLOOKUP(_xludf.XLOOKUP(B2050,Inventory!$A:$A,Inventory!$B:$B),Blades!$A:$A,Blades!$C:$C)+_xludf.XLOOKUP(_xludf.XLOOKUP(B2050,Inventory!$A:$A,Inventory!$C:$C),Motor!$A:$A,Motor!$C:$C)+_xludf.XLOOKUP(_xludf.XLOOKUP(B2050,Inventory!$A:$A,Inventory!$D:$D),Frame!$A:$A,Frame!$C:$C)+#REF!,""))</f>
        <v/>
      </c>
      <c r="E2050" s="4">
        <v>45662</v>
      </c>
      <c r="F2050" s="1" t="s">
        <v>52</v>
      </c>
    </row>
    <row r="2051" spans="1:6" x14ac:dyDescent="0.25">
      <c r="A2051" s="1" t="s">
        <v>4112</v>
      </c>
      <c r="B2051" s="1" t="s">
        <v>4113</v>
      </c>
      <c r="C2051" s="3">
        <v>200</v>
      </c>
      <c r="D2051" s="3" t="str">
        <f ca="1">IF(B2051="","",IFERROR(_xludf.XLOOKUP(_xludf.XLOOKUP(B2051,Inventory!$A:$A,Inventory!$B:$B),Blades!$A:$A,Blades!$C:$C)+_xludf.XLOOKUP(_xludf.XLOOKUP(B2051,Inventory!$A:$A,Inventory!$C:$C),Motor!$A:$A,Motor!$C:$C)+_xludf.XLOOKUP(_xludf.XLOOKUP(B2051,Inventory!$A:$A,Inventory!$D:$D),Frame!$A:$A,Frame!$C:$C)+#REF!,""))</f>
        <v/>
      </c>
      <c r="E2051" s="4">
        <v>45662</v>
      </c>
      <c r="F2051" s="1" t="s">
        <v>25</v>
      </c>
    </row>
    <row r="2052" spans="1:6" x14ac:dyDescent="0.25">
      <c r="A2052" s="1" t="s">
        <v>4114</v>
      </c>
      <c r="B2052" s="1" t="s">
        <v>4115</v>
      </c>
      <c r="C2052" s="3">
        <v>200</v>
      </c>
      <c r="D2052" s="3" t="str">
        <f ca="1">IF(B2052="","",IFERROR(_xludf.XLOOKUP(_xludf.XLOOKUP(B2052,Inventory!$A:$A,Inventory!$B:$B),Blades!$A:$A,Blades!$C:$C)+_xludf.XLOOKUP(_xludf.XLOOKUP(B2052,Inventory!$A:$A,Inventory!$C:$C),Motor!$A:$A,Motor!$C:$C)+_xludf.XLOOKUP(_xludf.XLOOKUP(B2052,Inventory!$A:$A,Inventory!$D:$D),Frame!$A:$A,Frame!$C:$C)+#REF!,""))</f>
        <v/>
      </c>
      <c r="E2052" s="4">
        <v>45662</v>
      </c>
      <c r="F2052" s="1" t="s">
        <v>25</v>
      </c>
    </row>
    <row r="2053" spans="1:6" x14ac:dyDescent="0.25">
      <c r="A2053" s="1" t="s">
        <v>4116</v>
      </c>
      <c r="B2053" s="1" t="s">
        <v>4117</v>
      </c>
      <c r="C2053" s="3">
        <v>200</v>
      </c>
      <c r="D2053" s="3" t="str">
        <f ca="1">IF(B2053="","",IFERROR(_xludf.XLOOKUP(_xludf.XLOOKUP(B2053,Inventory!$A:$A,Inventory!$B:$B),Blades!$A:$A,Blades!$C:$C)+_xludf.XLOOKUP(_xludf.XLOOKUP(B2053,Inventory!$A:$A,Inventory!$C:$C),Motor!$A:$A,Motor!$C:$C)+_xludf.XLOOKUP(_xludf.XLOOKUP(B2053,Inventory!$A:$A,Inventory!$D:$D),Frame!$A:$A,Frame!$C:$C)+#REF!,""))</f>
        <v/>
      </c>
      <c r="E2053" s="4">
        <v>45663</v>
      </c>
      <c r="F2053" s="1" t="s">
        <v>25</v>
      </c>
    </row>
    <row r="2054" spans="1:6" x14ac:dyDescent="0.25">
      <c r="A2054" s="1" t="s">
        <v>4118</v>
      </c>
      <c r="B2054" s="1" t="s">
        <v>4119</v>
      </c>
      <c r="C2054" s="3">
        <v>200</v>
      </c>
      <c r="D2054" s="3" t="str">
        <f ca="1">IF(B2054="","",IFERROR(_xludf.XLOOKUP(_xludf.XLOOKUP(B2054,Inventory!$A:$A,Inventory!$B:$B),Blades!$A:$A,Blades!$C:$C)+_xludf.XLOOKUP(_xludf.XLOOKUP(B2054,Inventory!$A:$A,Inventory!$C:$C),Motor!$A:$A,Motor!$C:$C)+_xludf.XLOOKUP(_xludf.XLOOKUP(B2054,Inventory!$A:$A,Inventory!$D:$D),Frame!$A:$A,Frame!$C:$C)+#REF!,""))</f>
        <v/>
      </c>
      <c r="E2054" s="4">
        <v>45664</v>
      </c>
      <c r="F2054" s="1" t="s">
        <v>63</v>
      </c>
    </row>
    <row r="2055" spans="1:6" x14ac:dyDescent="0.25">
      <c r="A2055" s="1" t="s">
        <v>4120</v>
      </c>
      <c r="B2055" s="1" t="s">
        <v>4121</v>
      </c>
      <c r="C2055" s="3">
        <v>200</v>
      </c>
      <c r="D2055" s="3" t="str">
        <f ca="1">IF(B2055="","",IFERROR(_xludf.XLOOKUP(_xludf.XLOOKUP(B2055,Inventory!$A:$A,Inventory!$B:$B),Blades!$A:$A,Blades!$C:$C)+_xludf.XLOOKUP(_xludf.XLOOKUP(B2055,Inventory!$A:$A,Inventory!$C:$C),Motor!$A:$A,Motor!$C:$C)+_xludf.XLOOKUP(_xludf.XLOOKUP(B2055,Inventory!$A:$A,Inventory!$D:$D),Frame!$A:$A,Frame!$C:$C)+#REF!,""))</f>
        <v/>
      </c>
      <c r="E2055" s="4">
        <v>45664</v>
      </c>
      <c r="F2055" s="1" t="s">
        <v>11</v>
      </c>
    </row>
    <row r="2056" spans="1:6" x14ac:dyDescent="0.25">
      <c r="A2056" s="1" t="s">
        <v>4122</v>
      </c>
      <c r="B2056" s="1" t="s">
        <v>4123</v>
      </c>
      <c r="C2056" s="3">
        <v>200</v>
      </c>
      <c r="D2056" s="3" t="str">
        <f ca="1">IF(B2056="","",IFERROR(_xludf.XLOOKUP(_xludf.XLOOKUP(B2056,Inventory!$A:$A,Inventory!$B:$B),Blades!$A:$A,Blades!$C:$C)+_xludf.XLOOKUP(_xludf.XLOOKUP(B2056,Inventory!$A:$A,Inventory!$C:$C),Motor!$A:$A,Motor!$C:$C)+_xludf.XLOOKUP(_xludf.XLOOKUP(B2056,Inventory!$A:$A,Inventory!$D:$D),Frame!$A:$A,Frame!$C:$C)+#REF!,""))</f>
        <v/>
      </c>
      <c r="E2056" s="4">
        <v>45665</v>
      </c>
      <c r="F2056" s="1" t="s">
        <v>49</v>
      </c>
    </row>
    <row r="2057" spans="1:6" x14ac:dyDescent="0.25">
      <c r="A2057" s="1" t="s">
        <v>4124</v>
      </c>
      <c r="B2057" s="1" t="s">
        <v>4125</v>
      </c>
      <c r="C2057" s="3">
        <v>200</v>
      </c>
      <c r="D2057" s="3" t="str">
        <f ca="1">IF(B2057="","",IFERROR(_xludf.XLOOKUP(_xludf.XLOOKUP(B2057,Inventory!$A:$A,Inventory!$B:$B),Blades!$A:$A,Blades!$C:$C)+_xludf.XLOOKUP(_xludf.XLOOKUP(B2057,Inventory!$A:$A,Inventory!$C:$C),Motor!$A:$A,Motor!$C:$C)+_xludf.XLOOKUP(_xludf.XLOOKUP(B2057,Inventory!$A:$A,Inventory!$D:$D),Frame!$A:$A,Frame!$C:$C)+#REF!,""))</f>
        <v/>
      </c>
      <c r="E2057" s="4">
        <v>45666</v>
      </c>
      <c r="F2057" s="1" t="s">
        <v>63</v>
      </c>
    </row>
    <row r="2058" spans="1:6" x14ac:dyDescent="0.25">
      <c r="A2058" s="1" t="s">
        <v>4126</v>
      </c>
      <c r="B2058" s="1" t="s">
        <v>4127</v>
      </c>
      <c r="C2058" s="3">
        <v>200</v>
      </c>
      <c r="D2058" s="3" t="str">
        <f ca="1">IF(B2058="","",IFERROR(_xludf.XLOOKUP(_xludf.XLOOKUP(B2058,Inventory!$A:$A,Inventory!$B:$B),Blades!$A:$A,Blades!$C:$C)+_xludf.XLOOKUP(_xludf.XLOOKUP(B2058,Inventory!$A:$A,Inventory!$C:$C),Motor!$A:$A,Motor!$C:$C)+_xludf.XLOOKUP(_xludf.XLOOKUP(B2058,Inventory!$A:$A,Inventory!$D:$D),Frame!$A:$A,Frame!$C:$C)+#REF!,""))</f>
        <v/>
      </c>
      <c r="E2058" s="4">
        <v>45668</v>
      </c>
      <c r="F2058" s="1" t="s">
        <v>52</v>
      </c>
    </row>
    <row r="2059" spans="1:6" x14ac:dyDescent="0.25">
      <c r="A2059" s="1" t="s">
        <v>4128</v>
      </c>
      <c r="B2059" s="1" t="s">
        <v>4129</v>
      </c>
      <c r="C2059" s="3">
        <v>200</v>
      </c>
      <c r="D2059" s="3" t="str">
        <f ca="1">IF(B2059="","",IFERROR(_xludf.XLOOKUP(_xludf.XLOOKUP(B2059,Inventory!$A:$A,Inventory!$B:$B),Blades!$A:$A,Blades!$C:$C)+_xludf.XLOOKUP(_xludf.XLOOKUP(B2059,Inventory!$A:$A,Inventory!$C:$C),Motor!$A:$A,Motor!$C:$C)+_xludf.XLOOKUP(_xludf.XLOOKUP(B2059,Inventory!$A:$A,Inventory!$D:$D),Frame!$A:$A,Frame!$C:$C)+#REF!,""))</f>
        <v/>
      </c>
      <c r="E2059" s="4">
        <v>45668</v>
      </c>
      <c r="F2059" s="1" t="s">
        <v>11</v>
      </c>
    </row>
    <row r="2060" spans="1:6" x14ac:dyDescent="0.25">
      <c r="A2060" s="1" t="s">
        <v>4130</v>
      </c>
      <c r="B2060" s="1" t="s">
        <v>4131</v>
      </c>
      <c r="C2060" s="3">
        <v>200</v>
      </c>
      <c r="D2060" s="3" t="str">
        <f ca="1">IF(B2060="","",IFERROR(_xludf.XLOOKUP(_xludf.XLOOKUP(B2060,Inventory!$A:$A,Inventory!$B:$B),Blades!$A:$A,Blades!$C:$C)+_xludf.XLOOKUP(_xludf.XLOOKUP(B2060,Inventory!$A:$A,Inventory!$C:$C),Motor!$A:$A,Motor!$C:$C)+_xludf.XLOOKUP(_xludf.XLOOKUP(B2060,Inventory!$A:$A,Inventory!$D:$D),Frame!$A:$A,Frame!$C:$C)+#REF!,""))</f>
        <v/>
      </c>
      <c r="E2060" s="4">
        <v>45669</v>
      </c>
      <c r="F2060" s="1" t="s">
        <v>8</v>
      </c>
    </row>
    <row r="2061" spans="1:6" x14ac:dyDescent="0.25">
      <c r="A2061" s="1" t="s">
        <v>4132</v>
      </c>
      <c r="B2061" s="1" t="s">
        <v>4133</v>
      </c>
      <c r="C2061" s="3">
        <v>200</v>
      </c>
      <c r="D2061" s="3" t="str">
        <f ca="1">IF(B2061="","",IFERROR(_xludf.XLOOKUP(_xludf.XLOOKUP(B2061,Inventory!$A:$A,Inventory!$B:$B),Blades!$A:$A,Blades!$C:$C)+_xludf.XLOOKUP(_xludf.XLOOKUP(B2061,Inventory!$A:$A,Inventory!$C:$C),Motor!$A:$A,Motor!$C:$C)+_xludf.XLOOKUP(_xludf.XLOOKUP(B2061,Inventory!$A:$A,Inventory!$D:$D),Frame!$A:$A,Frame!$C:$C)+#REF!,""))</f>
        <v/>
      </c>
      <c r="E2061" s="4">
        <v>45669</v>
      </c>
      <c r="F2061" s="1" t="s">
        <v>52</v>
      </c>
    </row>
    <row r="2062" spans="1:6" x14ac:dyDescent="0.25">
      <c r="A2062" s="1" t="s">
        <v>4134</v>
      </c>
      <c r="B2062" s="1" t="s">
        <v>4135</v>
      </c>
      <c r="C2062" s="3">
        <v>200</v>
      </c>
      <c r="D2062" s="3" t="str">
        <f ca="1">IF(B2062="","",IFERROR(_xludf.XLOOKUP(_xludf.XLOOKUP(B2062,Inventory!$A:$A,Inventory!$B:$B),Blades!$A:$A,Blades!$C:$C)+_xludf.XLOOKUP(_xludf.XLOOKUP(B2062,Inventory!$A:$A,Inventory!$C:$C),Motor!$A:$A,Motor!$C:$C)+_xludf.XLOOKUP(_xludf.XLOOKUP(B2062,Inventory!$A:$A,Inventory!$D:$D),Frame!$A:$A,Frame!$C:$C)+#REF!,""))</f>
        <v/>
      </c>
      <c r="E2062" s="4">
        <v>45670</v>
      </c>
      <c r="F2062" s="1" t="s">
        <v>32</v>
      </c>
    </row>
    <row r="2063" spans="1:6" x14ac:dyDescent="0.25">
      <c r="A2063" s="1" t="s">
        <v>4136</v>
      </c>
      <c r="B2063" s="1" t="s">
        <v>4137</v>
      </c>
      <c r="C2063" s="3">
        <v>200</v>
      </c>
      <c r="D2063" s="3" t="str">
        <f ca="1">IF(B2063="","",IFERROR(_xludf.XLOOKUP(_xludf.XLOOKUP(B2063,Inventory!$A:$A,Inventory!$B:$B),Blades!$A:$A,Blades!$C:$C)+_xludf.XLOOKUP(_xludf.XLOOKUP(B2063,Inventory!$A:$A,Inventory!$C:$C),Motor!$A:$A,Motor!$C:$C)+_xludf.XLOOKUP(_xludf.XLOOKUP(B2063,Inventory!$A:$A,Inventory!$D:$D),Frame!$A:$A,Frame!$C:$C)+#REF!,""))</f>
        <v/>
      </c>
      <c r="E2063" s="4">
        <v>45670</v>
      </c>
      <c r="F2063" s="1" t="s">
        <v>8</v>
      </c>
    </row>
    <row r="2064" spans="1:6" x14ac:dyDescent="0.25">
      <c r="A2064" s="1" t="s">
        <v>4138</v>
      </c>
      <c r="B2064" s="1" t="s">
        <v>4139</v>
      </c>
      <c r="C2064" s="3">
        <v>200</v>
      </c>
      <c r="D2064" s="3" t="str">
        <f ca="1">IF(B2064="","",IFERROR(_xludf.XLOOKUP(_xludf.XLOOKUP(B2064,Inventory!$A:$A,Inventory!$B:$B),Blades!$A:$A,Blades!$C:$C)+_xludf.XLOOKUP(_xludf.XLOOKUP(B2064,Inventory!$A:$A,Inventory!$C:$C),Motor!$A:$A,Motor!$C:$C)+_xludf.XLOOKUP(_xludf.XLOOKUP(B2064,Inventory!$A:$A,Inventory!$D:$D),Frame!$A:$A,Frame!$C:$C)+#REF!,""))</f>
        <v/>
      </c>
      <c r="E2064" s="4">
        <v>45671</v>
      </c>
      <c r="F2064" s="1" t="s">
        <v>63</v>
      </c>
    </row>
    <row r="2065" spans="1:6" x14ac:dyDescent="0.25">
      <c r="A2065" s="1" t="s">
        <v>4140</v>
      </c>
      <c r="B2065" s="1" t="s">
        <v>4141</v>
      </c>
      <c r="C2065" s="3">
        <v>200</v>
      </c>
      <c r="D2065" s="3" t="str">
        <f ca="1">IF(B2065="","",IFERROR(_xludf.XLOOKUP(_xludf.XLOOKUP(B2065,Inventory!$A:$A,Inventory!$B:$B),Blades!$A:$A,Blades!$C:$C)+_xludf.XLOOKUP(_xludf.XLOOKUP(B2065,Inventory!$A:$A,Inventory!$C:$C),Motor!$A:$A,Motor!$C:$C)+_xludf.XLOOKUP(_xludf.XLOOKUP(B2065,Inventory!$A:$A,Inventory!$D:$D),Frame!$A:$A,Frame!$C:$C)+#REF!,""))</f>
        <v/>
      </c>
      <c r="E2065" s="4">
        <v>45672</v>
      </c>
      <c r="F2065" s="1" t="s">
        <v>11</v>
      </c>
    </row>
    <row r="2066" spans="1:6" x14ac:dyDescent="0.25">
      <c r="A2066" s="1" t="s">
        <v>4142</v>
      </c>
      <c r="B2066" s="1" t="s">
        <v>4143</v>
      </c>
      <c r="C2066" s="3">
        <v>200</v>
      </c>
      <c r="D2066" s="3" t="str">
        <f ca="1">IF(B2066="","",IFERROR(_xludf.XLOOKUP(_xludf.XLOOKUP(B2066,Inventory!$A:$A,Inventory!$B:$B),Blades!$A:$A,Blades!$C:$C)+_xludf.XLOOKUP(_xludf.XLOOKUP(B2066,Inventory!$A:$A,Inventory!$C:$C),Motor!$A:$A,Motor!$C:$C)+_xludf.XLOOKUP(_xludf.XLOOKUP(B2066,Inventory!$A:$A,Inventory!$D:$D),Frame!$A:$A,Frame!$C:$C)+#REF!,""))</f>
        <v/>
      </c>
      <c r="E2066" s="4">
        <v>45672</v>
      </c>
      <c r="F2066" s="1" t="s">
        <v>25</v>
      </c>
    </row>
    <row r="2067" spans="1:6" x14ac:dyDescent="0.25">
      <c r="A2067" s="1" t="s">
        <v>4144</v>
      </c>
      <c r="B2067" s="1" t="s">
        <v>4145</v>
      </c>
      <c r="C2067" s="3">
        <v>200</v>
      </c>
      <c r="D2067" s="3" t="str">
        <f ca="1">IF(B2067="","",IFERROR(_xludf.XLOOKUP(_xludf.XLOOKUP(B2067,Inventory!$A:$A,Inventory!$B:$B),Blades!$A:$A,Blades!$C:$C)+_xludf.XLOOKUP(_xludf.XLOOKUP(B2067,Inventory!$A:$A,Inventory!$C:$C),Motor!$A:$A,Motor!$C:$C)+_xludf.XLOOKUP(_xludf.XLOOKUP(B2067,Inventory!$A:$A,Inventory!$D:$D),Frame!$A:$A,Frame!$C:$C)+#REF!,""))</f>
        <v/>
      </c>
      <c r="E2067" s="4">
        <v>45673</v>
      </c>
      <c r="F2067" s="1" t="s">
        <v>52</v>
      </c>
    </row>
    <row r="2068" spans="1:6" x14ac:dyDescent="0.25">
      <c r="A2068" s="1" t="s">
        <v>4146</v>
      </c>
      <c r="B2068" s="1" t="s">
        <v>4147</v>
      </c>
      <c r="C2068" s="3">
        <v>200</v>
      </c>
      <c r="D2068" s="3" t="str">
        <f ca="1">IF(B2068="","",IFERROR(_xludf.XLOOKUP(_xludf.XLOOKUP(B2068,Inventory!$A:$A,Inventory!$B:$B),Blades!$A:$A,Blades!$C:$C)+_xludf.XLOOKUP(_xludf.XLOOKUP(B2068,Inventory!$A:$A,Inventory!$C:$C),Motor!$A:$A,Motor!$C:$C)+_xludf.XLOOKUP(_xludf.XLOOKUP(B2068,Inventory!$A:$A,Inventory!$D:$D),Frame!$A:$A,Frame!$C:$C)+#REF!,""))</f>
        <v/>
      </c>
      <c r="E2068" s="4">
        <v>45673</v>
      </c>
      <c r="F2068" s="1" t="s">
        <v>63</v>
      </c>
    </row>
    <row r="2069" spans="1:6" x14ac:dyDescent="0.25">
      <c r="A2069" s="1" t="s">
        <v>4148</v>
      </c>
      <c r="B2069" s="1" t="s">
        <v>4149</v>
      </c>
      <c r="C2069" s="3">
        <v>200</v>
      </c>
      <c r="D2069" s="3" t="str">
        <f ca="1">IF(B2069="","",IFERROR(_xludf.XLOOKUP(_xludf.XLOOKUP(B2069,Inventory!$A:$A,Inventory!$B:$B),Blades!$A:$A,Blades!$C:$C)+_xludf.XLOOKUP(_xludf.XLOOKUP(B2069,Inventory!$A:$A,Inventory!$C:$C),Motor!$A:$A,Motor!$C:$C)+_xludf.XLOOKUP(_xludf.XLOOKUP(B2069,Inventory!$A:$A,Inventory!$D:$D),Frame!$A:$A,Frame!$C:$C)+#REF!,""))</f>
        <v/>
      </c>
      <c r="E2069" s="4">
        <v>45673</v>
      </c>
      <c r="F2069" s="1" t="s">
        <v>49</v>
      </c>
    </row>
    <row r="2070" spans="1:6" x14ac:dyDescent="0.25">
      <c r="A2070" s="1" t="s">
        <v>4150</v>
      </c>
      <c r="B2070" s="1" t="s">
        <v>4151</v>
      </c>
      <c r="C2070" s="3">
        <v>200</v>
      </c>
      <c r="D2070" s="3" t="str">
        <f ca="1">IF(B2070="","",IFERROR(_xludf.XLOOKUP(_xludf.XLOOKUP(B2070,Inventory!$A:$A,Inventory!$B:$B),Blades!$A:$A,Blades!$C:$C)+_xludf.XLOOKUP(_xludf.XLOOKUP(B2070,Inventory!$A:$A,Inventory!$C:$C),Motor!$A:$A,Motor!$C:$C)+_xludf.XLOOKUP(_xludf.XLOOKUP(B2070,Inventory!$A:$A,Inventory!$D:$D),Frame!$A:$A,Frame!$C:$C)+#REF!,""))</f>
        <v/>
      </c>
      <c r="E2070" s="4">
        <v>45673</v>
      </c>
      <c r="F2070" s="1" t="s">
        <v>52</v>
      </c>
    </row>
    <row r="2071" spans="1:6" x14ac:dyDescent="0.25">
      <c r="A2071" s="1" t="s">
        <v>4152</v>
      </c>
      <c r="B2071" s="1" t="s">
        <v>4153</v>
      </c>
      <c r="C2071" s="3">
        <v>200</v>
      </c>
      <c r="D2071" s="3" t="str">
        <f ca="1">IF(B2071="","",IFERROR(_xludf.XLOOKUP(_xludf.XLOOKUP(B2071,Inventory!$A:$A,Inventory!$B:$B),Blades!$A:$A,Blades!$C:$C)+_xludf.XLOOKUP(_xludf.XLOOKUP(B2071,Inventory!$A:$A,Inventory!$C:$C),Motor!$A:$A,Motor!$C:$C)+_xludf.XLOOKUP(_xludf.XLOOKUP(B2071,Inventory!$A:$A,Inventory!$D:$D),Frame!$A:$A,Frame!$C:$C)+#REF!,""))</f>
        <v/>
      </c>
      <c r="E2071" s="4">
        <v>45674</v>
      </c>
      <c r="F2071" s="1" t="s">
        <v>20</v>
      </c>
    </row>
    <row r="2072" spans="1:6" x14ac:dyDescent="0.25">
      <c r="A2072" s="1" t="s">
        <v>4154</v>
      </c>
      <c r="B2072" s="1" t="s">
        <v>4155</v>
      </c>
      <c r="C2072" s="3">
        <v>200</v>
      </c>
      <c r="D2072" s="3" t="str">
        <f ca="1">IF(B2072="","",IFERROR(_xludf.XLOOKUP(_xludf.XLOOKUP(B2072,Inventory!$A:$A,Inventory!$B:$B),Blades!$A:$A,Blades!$C:$C)+_xludf.XLOOKUP(_xludf.XLOOKUP(B2072,Inventory!$A:$A,Inventory!$C:$C),Motor!$A:$A,Motor!$C:$C)+_xludf.XLOOKUP(_xludf.XLOOKUP(B2072,Inventory!$A:$A,Inventory!$D:$D),Frame!$A:$A,Frame!$C:$C)+#REF!,""))</f>
        <v/>
      </c>
      <c r="E2072" s="4">
        <v>45674</v>
      </c>
      <c r="F2072" s="1" t="s">
        <v>25</v>
      </c>
    </row>
    <row r="2073" spans="1:6" x14ac:dyDescent="0.25">
      <c r="A2073" s="1" t="s">
        <v>4156</v>
      </c>
      <c r="B2073" s="1" t="s">
        <v>4157</v>
      </c>
      <c r="C2073" s="3">
        <v>200</v>
      </c>
      <c r="D2073" s="3" t="str">
        <f ca="1">IF(B2073="","",IFERROR(_xludf.XLOOKUP(_xludf.XLOOKUP(B2073,Inventory!$A:$A,Inventory!$B:$B),Blades!$A:$A,Blades!$C:$C)+_xludf.XLOOKUP(_xludf.XLOOKUP(B2073,Inventory!$A:$A,Inventory!$C:$C),Motor!$A:$A,Motor!$C:$C)+_xludf.XLOOKUP(_xludf.XLOOKUP(B2073,Inventory!$A:$A,Inventory!$D:$D),Frame!$A:$A,Frame!$C:$C)+#REF!,""))</f>
        <v/>
      </c>
      <c r="E2073" s="4">
        <v>45675</v>
      </c>
      <c r="F2073" s="1" t="s">
        <v>63</v>
      </c>
    </row>
    <row r="2074" spans="1:6" x14ac:dyDescent="0.25">
      <c r="A2074" s="1" t="s">
        <v>4158</v>
      </c>
      <c r="B2074" s="1" t="s">
        <v>4159</v>
      </c>
      <c r="C2074" s="3">
        <v>200</v>
      </c>
      <c r="D2074" s="3" t="str">
        <f ca="1">IF(B2074="","",IFERROR(_xludf.XLOOKUP(_xludf.XLOOKUP(B2074,Inventory!$A:$A,Inventory!$B:$B),Blades!$A:$A,Blades!$C:$C)+_xludf.XLOOKUP(_xludf.XLOOKUP(B2074,Inventory!$A:$A,Inventory!$C:$C),Motor!$A:$A,Motor!$C:$C)+_xludf.XLOOKUP(_xludf.XLOOKUP(B2074,Inventory!$A:$A,Inventory!$D:$D),Frame!$A:$A,Frame!$C:$C)+#REF!,""))</f>
        <v/>
      </c>
      <c r="E2074" s="4">
        <v>45675</v>
      </c>
      <c r="F2074" s="1" t="s">
        <v>63</v>
      </c>
    </row>
    <row r="2075" spans="1:6" x14ac:dyDescent="0.25">
      <c r="A2075" s="1" t="s">
        <v>4160</v>
      </c>
      <c r="B2075" s="1" t="s">
        <v>4161</v>
      </c>
      <c r="C2075" s="3">
        <v>200</v>
      </c>
      <c r="D2075" s="3" t="str">
        <f ca="1">IF(B2075="","",IFERROR(_xludf.XLOOKUP(_xludf.XLOOKUP(B2075,Inventory!$A:$A,Inventory!$B:$B),Blades!$A:$A,Blades!$C:$C)+_xludf.XLOOKUP(_xludf.XLOOKUP(B2075,Inventory!$A:$A,Inventory!$C:$C),Motor!$A:$A,Motor!$C:$C)+_xludf.XLOOKUP(_xludf.XLOOKUP(B2075,Inventory!$A:$A,Inventory!$D:$D),Frame!$A:$A,Frame!$C:$C)+#REF!,""))</f>
        <v/>
      </c>
      <c r="E2075" s="4">
        <v>45676</v>
      </c>
      <c r="F2075" s="1" t="s">
        <v>52</v>
      </c>
    </row>
    <row r="2076" spans="1:6" x14ac:dyDescent="0.25">
      <c r="A2076" s="1" t="s">
        <v>4162</v>
      </c>
      <c r="B2076" s="1" t="s">
        <v>4163</v>
      </c>
      <c r="C2076" s="3">
        <v>200</v>
      </c>
      <c r="D2076" s="3" t="str">
        <f ca="1">IF(B2076="","",IFERROR(_xludf.XLOOKUP(_xludf.XLOOKUP(B2076,Inventory!$A:$A,Inventory!$B:$B),Blades!$A:$A,Blades!$C:$C)+_xludf.XLOOKUP(_xludf.XLOOKUP(B2076,Inventory!$A:$A,Inventory!$C:$C),Motor!$A:$A,Motor!$C:$C)+_xludf.XLOOKUP(_xludf.XLOOKUP(B2076,Inventory!$A:$A,Inventory!$D:$D),Frame!$A:$A,Frame!$C:$C)+#REF!,""))</f>
        <v/>
      </c>
      <c r="E2076" s="4">
        <v>45677</v>
      </c>
      <c r="F2076" s="1" t="s">
        <v>63</v>
      </c>
    </row>
    <row r="2077" spans="1:6" x14ac:dyDescent="0.25">
      <c r="A2077" s="1" t="s">
        <v>4164</v>
      </c>
      <c r="B2077" s="1" t="s">
        <v>4165</v>
      </c>
      <c r="C2077" s="3">
        <v>200</v>
      </c>
      <c r="D2077" s="3" t="str">
        <f ca="1">IF(B2077="","",IFERROR(_xludf.XLOOKUP(_xludf.XLOOKUP(B2077,Inventory!$A:$A,Inventory!$B:$B),Blades!$A:$A,Blades!$C:$C)+_xludf.XLOOKUP(_xludf.XLOOKUP(B2077,Inventory!$A:$A,Inventory!$C:$C),Motor!$A:$A,Motor!$C:$C)+_xludf.XLOOKUP(_xludf.XLOOKUP(B2077,Inventory!$A:$A,Inventory!$D:$D),Frame!$A:$A,Frame!$C:$C)+#REF!,""))</f>
        <v/>
      </c>
      <c r="E2077" s="4">
        <v>45678</v>
      </c>
      <c r="F2077" s="1" t="s">
        <v>49</v>
      </c>
    </row>
    <row r="2078" spans="1:6" x14ac:dyDescent="0.25">
      <c r="A2078" s="1" t="s">
        <v>4166</v>
      </c>
      <c r="B2078" s="1" t="s">
        <v>4167</v>
      </c>
      <c r="C2078" s="3">
        <v>200</v>
      </c>
      <c r="D2078" s="3" t="str">
        <f ca="1">IF(B2078="","",IFERROR(_xludf.XLOOKUP(_xludf.XLOOKUP(B2078,Inventory!$A:$A,Inventory!$B:$B),Blades!$A:$A,Blades!$C:$C)+_xludf.XLOOKUP(_xludf.XLOOKUP(B2078,Inventory!$A:$A,Inventory!$C:$C),Motor!$A:$A,Motor!$C:$C)+_xludf.XLOOKUP(_xludf.XLOOKUP(B2078,Inventory!$A:$A,Inventory!$D:$D),Frame!$A:$A,Frame!$C:$C)+#REF!,""))</f>
        <v/>
      </c>
      <c r="E2078" s="4">
        <v>45679</v>
      </c>
      <c r="F2078" s="1" t="s">
        <v>63</v>
      </c>
    </row>
    <row r="2079" spans="1:6" x14ac:dyDescent="0.25">
      <c r="A2079" s="1" t="s">
        <v>4168</v>
      </c>
      <c r="B2079" s="1" t="s">
        <v>4169</v>
      </c>
      <c r="C2079" s="3">
        <v>200</v>
      </c>
      <c r="D2079" s="3" t="str">
        <f ca="1">IF(B2079="","",IFERROR(_xludf.XLOOKUP(_xludf.XLOOKUP(B2079,Inventory!$A:$A,Inventory!$B:$B),Blades!$A:$A,Blades!$C:$C)+_xludf.XLOOKUP(_xludf.XLOOKUP(B2079,Inventory!$A:$A,Inventory!$C:$C),Motor!$A:$A,Motor!$C:$C)+_xludf.XLOOKUP(_xludf.XLOOKUP(B2079,Inventory!$A:$A,Inventory!$D:$D),Frame!$A:$A,Frame!$C:$C)+#REF!,""))</f>
        <v/>
      </c>
      <c r="E2079" s="4">
        <v>45679</v>
      </c>
      <c r="F2079" s="1" t="s">
        <v>25</v>
      </c>
    </row>
    <row r="2080" spans="1:6" x14ac:dyDescent="0.25">
      <c r="A2080" s="1" t="s">
        <v>4170</v>
      </c>
      <c r="B2080" s="1" t="s">
        <v>4171</v>
      </c>
      <c r="C2080" s="3">
        <v>200</v>
      </c>
      <c r="D2080" s="3" t="str">
        <f ca="1">IF(B2080="","",IFERROR(_xludf.XLOOKUP(_xludf.XLOOKUP(B2080,Inventory!$A:$A,Inventory!$B:$B),Blades!$A:$A,Blades!$C:$C)+_xludf.XLOOKUP(_xludf.XLOOKUP(B2080,Inventory!$A:$A,Inventory!$C:$C),Motor!$A:$A,Motor!$C:$C)+_xludf.XLOOKUP(_xludf.XLOOKUP(B2080,Inventory!$A:$A,Inventory!$D:$D),Frame!$A:$A,Frame!$C:$C)+#REF!,""))</f>
        <v/>
      </c>
      <c r="E2080" s="4">
        <v>45679</v>
      </c>
      <c r="F2080" s="1" t="s">
        <v>63</v>
      </c>
    </row>
    <row r="2081" spans="1:6" x14ac:dyDescent="0.25">
      <c r="A2081" s="1" t="s">
        <v>4172</v>
      </c>
      <c r="B2081" s="1" t="s">
        <v>4173</v>
      </c>
      <c r="C2081" s="3">
        <v>200</v>
      </c>
      <c r="D2081" s="3" t="str">
        <f ca="1">IF(B2081="","",IFERROR(_xludf.XLOOKUP(_xludf.XLOOKUP(B2081,Inventory!$A:$A,Inventory!$B:$B),Blades!$A:$A,Blades!$C:$C)+_xludf.XLOOKUP(_xludf.XLOOKUP(B2081,Inventory!$A:$A,Inventory!$C:$C),Motor!$A:$A,Motor!$C:$C)+_xludf.XLOOKUP(_xludf.XLOOKUP(B2081,Inventory!$A:$A,Inventory!$D:$D),Frame!$A:$A,Frame!$C:$C)+#REF!,""))</f>
        <v/>
      </c>
      <c r="E2081" s="4">
        <v>45681</v>
      </c>
      <c r="F2081" s="1" t="s">
        <v>25</v>
      </c>
    </row>
    <row r="2082" spans="1:6" x14ac:dyDescent="0.25">
      <c r="A2082" s="1" t="s">
        <v>4174</v>
      </c>
      <c r="B2082" s="1" t="s">
        <v>4175</v>
      </c>
      <c r="C2082" s="3">
        <v>200</v>
      </c>
      <c r="D2082" s="3" t="str">
        <f ca="1">IF(B2082="","",IFERROR(_xludf.XLOOKUP(_xludf.XLOOKUP(B2082,Inventory!$A:$A,Inventory!$B:$B),Blades!$A:$A,Blades!$C:$C)+_xludf.XLOOKUP(_xludf.XLOOKUP(B2082,Inventory!$A:$A,Inventory!$C:$C),Motor!$A:$A,Motor!$C:$C)+_xludf.XLOOKUP(_xludf.XLOOKUP(B2082,Inventory!$A:$A,Inventory!$D:$D),Frame!$A:$A,Frame!$C:$C)+#REF!,""))</f>
        <v/>
      </c>
      <c r="E2082" s="4">
        <v>45681</v>
      </c>
      <c r="F2082" s="1" t="s">
        <v>52</v>
      </c>
    </row>
    <row r="2083" spans="1:6" x14ac:dyDescent="0.25">
      <c r="A2083" s="1" t="s">
        <v>4176</v>
      </c>
      <c r="B2083" s="1" t="s">
        <v>4177</v>
      </c>
      <c r="C2083" s="3">
        <v>200</v>
      </c>
      <c r="D2083" s="3" t="str">
        <f ca="1">IF(B2083="","",IFERROR(_xludf.XLOOKUP(_xludf.XLOOKUP(B2083,Inventory!$A:$A,Inventory!$B:$B),Blades!$A:$A,Blades!$C:$C)+_xludf.XLOOKUP(_xludf.XLOOKUP(B2083,Inventory!$A:$A,Inventory!$C:$C),Motor!$A:$A,Motor!$C:$C)+_xludf.XLOOKUP(_xludf.XLOOKUP(B2083,Inventory!$A:$A,Inventory!$D:$D),Frame!$A:$A,Frame!$C:$C)+#REF!,""))</f>
        <v/>
      </c>
      <c r="E2083" s="4">
        <v>45683</v>
      </c>
      <c r="F2083" s="1" t="s">
        <v>49</v>
      </c>
    </row>
    <row r="2084" spans="1:6" x14ac:dyDescent="0.25">
      <c r="A2084" s="1" t="s">
        <v>4178</v>
      </c>
      <c r="B2084" s="1" t="s">
        <v>4179</v>
      </c>
      <c r="C2084" s="3">
        <v>200</v>
      </c>
      <c r="D2084" s="3" t="str">
        <f ca="1">IF(B2084="","",IFERROR(_xludf.XLOOKUP(_xludf.XLOOKUP(B2084,Inventory!$A:$A,Inventory!$B:$B),Blades!$A:$A,Blades!$C:$C)+_xludf.XLOOKUP(_xludf.XLOOKUP(B2084,Inventory!$A:$A,Inventory!$C:$C),Motor!$A:$A,Motor!$C:$C)+_xludf.XLOOKUP(_xludf.XLOOKUP(B2084,Inventory!$A:$A,Inventory!$D:$D),Frame!$A:$A,Frame!$C:$C)+#REF!,""))</f>
        <v/>
      </c>
      <c r="E2084" s="4">
        <v>45684</v>
      </c>
      <c r="F2084" s="1" t="s">
        <v>63</v>
      </c>
    </row>
    <row r="2085" spans="1:6" x14ac:dyDescent="0.25">
      <c r="A2085" s="1" t="s">
        <v>4180</v>
      </c>
      <c r="B2085" s="1" t="s">
        <v>4181</v>
      </c>
      <c r="C2085" s="3">
        <v>200</v>
      </c>
      <c r="D2085" s="3" t="str">
        <f ca="1">IF(B2085="","",IFERROR(_xludf.XLOOKUP(_xludf.XLOOKUP(B2085,Inventory!$A:$A,Inventory!$B:$B),Blades!$A:$A,Blades!$C:$C)+_xludf.XLOOKUP(_xludf.XLOOKUP(B2085,Inventory!$A:$A,Inventory!$C:$C),Motor!$A:$A,Motor!$C:$C)+_xludf.XLOOKUP(_xludf.XLOOKUP(B2085,Inventory!$A:$A,Inventory!$D:$D),Frame!$A:$A,Frame!$C:$C)+#REF!,""))</f>
        <v/>
      </c>
      <c r="E2085" s="4">
        <v>45685</v>
      </c>
      <c r="F2085" s="1" t="s">
        <v>32</v>
      </c>
    </row>
    <row r="2086" spans="1:6" x14ac:dyDescent="0.25">
      <c r="A2086" s="1" t="s">
        <v>4182</v>
      </c>
      <c r="B2086" s="1" t="s">
        <v>4183</v>
      </c>
      <c r="C2086" s="3">
        <v>200</v>
      </c>
      <c r="D2086" s="3" t="str">
        <f ca="1">IF(B2086="","",IFERROR(_xludf.XLOOKUP(_xludf.XLOOKUP(B2086,Inventory!$A:$A,Inventory!$B:$B),Blades!$A:$A,Blades!$C:$C)+_xludf.XLOOKUP(_xludf.XLOOKUP(B2086,Inventory!$A:$A,Inventory!$C:$C),Motor!$A:$A,Motor!$C:$C)+_xludf.XLOOKUP(_xludf.XLOOKUP(B2086,Inventory!$A:$A,Inventory!$D:$D),Frame!$A:$A,Frame!$C:$C)+#REF!,""))</f>
        <v/>
      </c>
      <c r="E2086" s="4">
        <v>45685</v>
      </c>
      <c r="F2086" s="1" t="s">
        <v>11</v>
      </c>
    </row>
    <row r="2087" spans="1:6" x14ac:dyDescent="0.25">
      <c r="A2087" s="1" t="s">
        <v>4184</v>
      </c>
      <c r="B2087" s="1" t="s">
        <v>4185</v>
      </c>
      <c r="C2087" s="3">
        <v>200</v>
      </c>
      <c r="D2087" s="3" t="str">
        <f ca="1">IF(B2087="","",IFERROR(_xludf.XLOOKUP(_xludf.XLOOKUP(B2087,Inventory!$A:$A,Inventory!$B:$B),Blades!$A:$A,Blades!$C:$C)+_xludf.XLOOKUP(_xludf.XLOOKUP(B2087,Inventory!$A:$A,Inventory!$C:$C),Motor!$A:$A,Motor!$C:$C)+_xludf.XLOOKUP(_xludf.XLOOKUP(B2087,Inventory!$A:$A,Inventory!$D:$D),Frame!$A:$A,Frame!$C:$C)+#REF!,""))</f>
        <v/>
      </c>
      <c r="E2087" s="4">
        <v>45685</v>
      </c>
      <c r="F2087" s="1" t="s">
        <v>8</v>
      </c>
    </row>
    <row r="2088" spans="1:6" x14ac:dyDescent="0.25">
      <c r="A2088" s="1" t="s">
        <v>4186</v>
      </c>
      <c r="B2088" s="1" t="s">
        <v>4187</v>
      </c>
      <c r="C2088" s="3">
        <v>200</v>
      </c>
      <c r="D2088" s="3" t="str">
        <f ca="1">IF(B2088="","",IFERROR(_xludf.XLOOKUP(_xludf.XLOOKUP(B2088,Inventory!$A:$A,Inventory!$B:$B),Blades!$A:$A,Blades!$C:$C)+_xludf.XLOOKUP(_xludf.XLOOKUP(B2088,Inventory!$A:$A,Inventory!$C:$C),Motor!$A:$A,Motor!$C:$C)+_xludf.XLOOKUP(_xludf.XLOOKUP(B2088,Inventory!$A:$A,Inventory!$D:$D),Frame!$A:$A,Frame!$C:$C)+#REF!,""))</f>
        <v/>
      </c>
      <c r="E2088" s="4">
        <v>45685</v>
      </c>
      <c r="F2088" s="1" t="s">
        <v>25</v>
      </c>
    </row>
    <row r="2089" spans="1:6" x14ac:dyDescent="0.25">
      <c r="A2089" s="1" t="s">
        <v>4188</v>
      </c>
      <c r="B2089" s="1" t="s">
        <v>4189</v>
      </c>
      <c r="C2089" s="3">
        <v>200</v>
      </c>
      <c r="D2089" s="3" t="str">
        <f ca="1">IF(B2089="","",IFERROR(_xludf.XLOOKUP(_xludf.XLOOKUP(B2089,Inventory!$A:$A,Inventory!$B:$B),Blades!$A:$A,Blades!$C:$C)+_xludf.XLOOKUP(_xludf.XLOOKUP(B2089,Inventory!$A:$A,Inventory!$C:$C),Motor!$A:$A,Motor!$C:$C)+_xludf.XLOOKUP(_xludf.XLOOKUP(B2089,Inventory!$A:$A,Inventory!$D:$D),Frame!$A:$A,Frame!$C:$C)+#REF!,""))</f>
        <v/>
      </c>
      <c r="E2089" s="4">
        <v>45686</v>
      </c>
      <c r="F2089" s="1" t="s">
        <v>25</v>
      </c>
    </row>
    <row r="2090" spans="1:6" x14ac:dyDescent="0.25">
      <c r="A2090" s="1" t="s">
        <v>4190</v>
      </c>
      <c r="B2090" s="1" t="s">
        <v>4191</v>
      </c>
      <c r="C2090" s="3">
        <v>200</v>
      </c>
      <c r="D2090" s="3" t="str">
        <f ca="1">IF(B2090="","",IFERROR(_xludf.XLOOKUP(_xludf.XLOOKUP(B2090,Inventory!$A:$A,Inventory!$B:$B),Blades!$A:$A,Blades!$C:$C)+_xludf.XLOOKUP(_xludf.XLOOKUP(B2090,Inventory!$A:$A,Inventory!$C:$C),Motor!$A:$A,Motor!$C:$C)+_xludf.XLOOKUP(_xludf.XLOOKUP(B2090,Inventory!$A:$A,Inventory!$D:$D),Frame!$A:$A,Frame!$C:$C)+#REF!,""))</f>
        <v/>
      </c>
      <c r="E2090" s="4">
        <v>45686</v>
      </c>
      <c r="F2090" s="1" t="s">
        <v>25</v>
      </c>
    </row>
    <row r="2091" spans="1:6" x14ac:dyDescent="0.25">
      <c r="A2091" s="1" t="s">
        <v>4192</v>
      </c>
      <c r="B2091" s="1" t="s">
        <v>4193</v>
      </c>
      <c r="C2091" s="3">
        <v>200</v>
      </c>
      <c r="D2091" s="3" t="str">
        <f ca="1">IF(B2091="","",IFERROR(_xludf.XLOOKUP(_xludf.XLOOKUP(B2091,Inventory!$A:$A,Inventory!$B:$B),Blades!$A:$A,Blades!$C:$C)+_xludf.XLOOKUP(_xludf.XLOOKUP(B2091,Inventory!$A:$A,Inventory!$C:$C),Motor!$A:$A,Motor!$C:$C)+_xludf.XLOOKUP(_xludf.XLOOKUP(B2091,Inventory!$A:$A,Inventory!$D:$D),Frame!$A:$A,Frame!$C:$C)+#REF!,""))</f>
        <v/>
      </c>
      <c r="E2091" s="4">
        <v>45687</v>
      </c>
      <c r="F2091" s="1" t="s">
        <v>8</v>
      </c>
    </row>
    <row r="2092" spans="1:6" x14ac:dyDescent="0.25">
      <c r="A2092" s="1" t="s">
        <v>4194</v>
      </c>
      <c r="B2092" s="1" t="s">
        <v>4195</v>
      </c>
      <c r="C2092" s="3">
        <v>200</v>
      </c>
      <c r="D2092" s="3" t="str">
        <f ca="1">IF(B2092="","",IFERROR(_xludf.XLOOKUP(_xludf.XLOOKUP(B2092,Inventory!$A:$A,Inventory!$B:$B),Blades!$A:$A,Blades!$C:$C)+_xludf.XLOOKUP(_xludf.XLOOKUP(B2092,Inventory!$A:$A,Inventory!$C:$C),Motor!$A:$A,Motor!$C:$C)+_xludf.XLOOKUP(_xludf.XLOOKUP(B2092,Inventory!$A:$A,Inventory!$D:$D),Frame!$A:$A,Frame!$C:$C)+#REF!,""))</f>
        <v/>
      </c>
      <c r="E2092" s="4">
        <v>45688</v>
      </c>
      <c r="F2092" s="1" t="s">
        <v>49</v>
      </c>
    </row>
    <row r="2093" spans="1:6" x14ac:dyDescent="0.25">
      <c r="A2093" s="1" t="s">
        <v>4196</v>
      </c>
      <c r="B2093" s="1" t="s">
        <v>4197</v>
      </c>
      <c r="C2093" s="3">
        <v>200</v>
      </c>
      <c r="D2093" s="3" t="str">
        <f ca="1">IF(B2093="","",IFERROR(_xludf.XLOOKUP(_xludf.XLOOKUP(B2093,Inventory!$A:$A,Inventory!$B:$B),Blades!$A:$A,Blades!$C:$C)+_xludf.XLOOKUP(_xludf.XLOOKUP(B2093,Inventory!$A:$A,Inventory!$C:$C),Motor!$A:$A,Motor!$C:$C)+_xludf.XLOOKUP(_xludf.XLOOKUP(B2093,Inventory!$A:$A,Inventory!$D:$D),Frame!$A:$A,Frame!$C:$C)+#REF!,""))</f>
        <v/>
      </c>
      <c r="E2093" s="4">
        <v>45689</v>
      </c>
      <c r="F2093" s="1" t="s">
        <v>20</v>
      </c>
    </row>
    <row r="2094" spans="1:6" x14ac:dyDescent="0.25">
      <c r="A2094" s="1" t="s">
        <v>4198</v>
      </c>
      <c r="B2094" s="1" t="s">
        <v>4199</v>
      </c>
      <c r="C2094" s="3">
        <v>200</v>
      </c>
      <c r="D2094" s="3" t="str">
        <f ca="1">IF(B2094="","",IFERROR(_xludf.XLOOKUP(_xludf.XLOOKUP(B2094,Inventory!$A:$A,Inventory!$B:$B),Blades!$A:$A,Blades!$C:$C)+_xludf.XLOOKUP(_xludf.XLOOKUP(B2094,Inventory!$A:$A,Inventory!$C:$C),Motor!$A:$A,Motor!$C:$C)+_xludf.XLOOKUP(_xludf.XLOOKUP(B2094,Inventory!$A:$A,Inventory!$D:$D),Frame!$A:$A,Frame!$C:$C)+#REF!,""))</f>
        <v/>
      </c>
      <c r="E2094" s="4">
        <v>45689</v>
      </c>
      <c r="F2094" s="1" t="s">
        <v>49</v>
      </c>
    </row>
    <row r="2095" spans="1:6" x14ac:dyDescent="0.25">
      <c r="A2095" s="1" t="s">
        <v>4200</v>
      </c>
      <c r="B2095" s="1" t="s">
        <v>4201</v>
      </c>
      <c r="C2095" s="3">
        <v>200</v>
      </c>
      <c r="D2095" s="3" t="str">
        <f ca="1">IF(B2095="","",IFERROR(_xludf.XLOOKUP(_xludf.XLOOKUP(B2095,Inventory!$A:$A,Inventory!$B:$B),Blades!$A:$A,Blades!$C:$C)+_xludf.XLOOKUP(_xludf.XLOOKUP(B2095,Inventory!$A:$A,Inventory!$C:$C),Motor!$A:$A,Motor!$C:$C)+_xludf.XLOOKUP(_xludf.XLOOKUP(B2095,Inventory!$A:$A,Inventory!$D:$D),Frame!$A:$A,Frame!$C:$C)+#REF!,""))</f>
        <v/>
      </c>
      <c r="E2095" s="4">
        <v>45689</v>
      </c>
      <c r="F2095" s="1" t="s">
        <v>8</v>
      </c>
    </row>
    <row r="2096" spans="1:6" x14ac:dyDescent="0.25">
      <c r="A2096" s="1" t="s">
        <v>4202</v>
      </c>
      <c r="B2096" s="1" t="s">
        <v>4203</v>
      </c>
      <c r="C2096" s="3">
        <v>200</v>
      </c>
      <c r="D2096" s="3" t="str">
        <f ca="1">IF(B2096="","",IFERROR(_xludf.XLOOKUP(_xludf.XLOOKUP(B2096,Inventory!$A:$A,Inventory!$B:$B),Blades!$A:$A,Blades!$C:$C)+_xludf.XLOOKUP(_xludf.XLOOKUP(B2096,Inventory!$A:$A,Inventory!$C:$C),Motor!$A:$A,Motor!$C:$C)+_xludf.XLOOKUP(_xludf.XLOOKUP(B2096,Inventory!$A:$A,Inventory!$D:$D),Frame!$A:$A,Frame!$C:$C)+#REF!,""))</f>
        <v/>
      </c>
      <c r="E2096" s="4">
        <v>45690</v>
      </c>
      <c r="F2096" s="1" t="s">
        <v>49</v>
      </c>
    </row>
    <row r="2097" spans="1:6" x14ac:dyDescent="0.25">
      <c r="A2097" s="1" t="s">
        <v>4204</v>
      </c>
      <c r="B2097" s="1" t="s">
        <v>4205</v>
      </c>
      <c r="C2097" s="3">
        <v>200</v>
      </c>
      <c r="D2097" s="3" t="str">
        <f ca="1">IF(B2097="","",IFERROR(_xludf.XLOOKUP(_xludf.XLOOKUP(B2097,Inventory!$A:$A,Inventory!$B:$B),Blades!$A:$A,Blades!$C:$C)+_xludf.XLOOKUP(_xludf.XLOOKUP(B2097,Inventory!$A:$A,Inventory!$C:$C),Motor!$A:$A,Motor!$C:$C)+_xludf.XLOOKUP(_xludf.XLOOKUP(B2097,Inventory!$A:$A,Inventory!$D:$D),Frame!$A:$A,Frame!$C:$C)+#REF!,""))</f>
        <v/>
      </c>
      <c r="E2097" s="4">
        <v>45690</v>
      </c>
      <c r="F2097" s="1" t="s">
        <v>25</v>
      </c>
    </row>
    <row r="2098" spans="1:6" x14ac:dyDescent="0.25">
      <c r="A2098" s="1" t="s">
        <v>4206</v>
      </c>
      <c r="B2098" s="1" t="s">
        <v>4207</v>
      </c>
      <c r="C2098" s="3">
        <v>200</v>
      </c>
      <c r="D2098" s="3" t="str">
        <f ca="1">IF(B2098="","",IFERROR(_xludf.XLOOKUP(_xludf.XLOOKUP(B2098,Inventory!$A:$A,Inventory!$B:$B),Blades!$A:$A,Blades!$C:$C)+_xludf.XLOOKUP(_xludf.XLOOKUP(B2098,Inventory!$A:$A,Inventory!$C:$C),Motor!$A:$A,Motor!$C:$C)+_xludf.XLOOKUP(_xludf.XLOOKUP(B2098,Inventory!$A:$A,Inventory!$D:$D),Frame!$A:$A,Frame!$C:$C)+#REF!,""))</f>
        <v/>
      </c>
      <c r="E2098" s="4">
        <v>45691</v>
      </c>
      <c r="F2098" s="1" t="s">
        <v>49</v>
      </c>
    </row>
    <row r="2099" spans="1:6" x14ac:dyDescent="0.25">
      <c r="A2099" s="1" t="s">
        <v>4208</v>
      </c>
      <c r="B2099" s="1" t="s">
        <v>4209</v>
      </c>
      <c r="C2099" s="3">
        <v>200</v>
      </c>
      <c r="D2099" s="3" t="str">
        <f ca="1">IF(B2099="","",IFERROR(_xludf.XLOOKUP(_xludf.XLOOKUP(B2099,Inventory!$A:$A,Inventory!$B:$B),Blades!$A:$A,Blades!$C:$C)+_xludf.XLOOKUP(_xludf.XLOOKUP(B2099,Inventory!$A:$A,Inventory!$C:$C),Motor!$A:$A,Motor!$C:$C)+_xludf.XLOOKUP(_xludf.XLOOKUP(B2099,Inventory!$A:$A,Inventory!$D:$D),Frame!$A:$A,Frame!$C:$C)+#REF!,""))</f>
        <v/>
      </c>
      <c r="E2099" s="4">
        <v>45692</v>
      </c>
      <c r="F2099" s="1" t="s">
        <v>32</v>
      </c>
    </row>
    <row r="2100" spans="1:6" x14ac:dyDescent="0.25">
      <c r="A2100" s="1" t="s">
        <v>4210</v>
      </c>
      <c r="B2100" s="1" t="s">
        <v>4211</v>
      </c>
      <c r="C2100" s="3">
        <v>200</v>
      </c>
      <c r="D2100" s="3" t="str">
        <f ca="1">IF(B2100="","",IFERROR(_xludf.XLOOKUP(_xludf.XLOOKUP(B2100,Inventory!$A:$A,Inventory!$B:$B),Blades!$A:$A,Blades!$C:$C)+_xludf.XLOOKUP(_xludf.XLOOKUP(B2100,Inventory!$A:$A,Inventory!$C:$C),Motor!$A:$A,Motor!$C:$C)+_xludf.XLOOKUP(_xludf.XLOOKUP(B2100,Inventory!$A:$A,Inventory!$D:$D),Frame!$A:$A,Frame!$C:$C)+#REF!,""))</f>
        <v/>
      </c>
      <c r="E2100" s="4">
        <v>45692</v>
      </c>
      <c r="F2100" s="1" t="s">
        <v>11</v>
      </c>
    </row>
    <row r="2101" spans="1:6" x14ac:dyDescent="0.25">
      <c r="A2101" s="1" t="s">
        <v>4212</v>
      </c>
      <c r="B2101" s="1" t="s">
        <v>4213</v>
      </c>
      <c r="C2101" s="3">
        <v>200</v>
      </c>
      <c r="D2101" s="3" t="str">
        <f ca="1">IF(B2101="","",IFERROR(_xludf.XLOOKUP(_xludf.XLOOKUP(B2101,Inventory!$A:$A,Inventory!$B:$B),Blades!$A:$A,Blades!$C:$C)+_xludf.XLOOKUP(_xludf.XLOOKUP(B2101,Inventory!$A:$A,Inventory!$C:$C),Motor!$A:$A,Motor!$C:$C)+_xludf.XLOOKUP(_xludf.XLOOKUP(B2101,Inventory!$A:$A,Inventory!$D:$D),Frame!$A:$A,Frame!$C:$C)+#REF!,""))</f>
        <v/>
      </c>
      <c r="E2101" s="4">
        <v>45692</v>
      </c>
      <c r="F2101" s="1" t="s">
        <v>20</v>
      </c>
    </row>
    <row r="2102" spans="1:6" x14ac:dyDescent="0.25">
      <c r="A2102" s="1" t="s">
        <v>4214</v>
      </c>
      <c r="B2102" s="1" t="s">
        <v>4215</v>
      </c>
      <c r="C2102" s="3">
        <v>200</v>
      </c>
      <c r="D2102" s="3" t="str">
        <f ca="1">IF(B2102="","",IFERROR(_xludf.XLOOKUP(_xludf.XLOOKUP(B2102,Inventory!$A:$A,Inventory!$B:$B),Blades!$A:$A,Blades!$C:$C)+_xludf.XLOOKUP(_xludf.XLOOKUP(B2102,Inventory!$A:$A,Inventory!$C:$C),Motor!$A:$A,Motor!$C:$C)+_xludf.XLOOKUP(_xludf.XLOOKUP(B2102,Inventory!$A:$A,Inventory!$D:$D),Frame!$A:$A,Frame!$C:$C)+#REF!,""))</f>
        <v/>
      </c>
      <c r="E2102" s="4">
        <v>45692</v>
      </c>
      <c r="F2102" s="1" t="s">
        <v>25</v>
      </c>
    </row>
    <row r="2103" spans="1:6" x14ac:dyDescent="0.25">
      <c r="A2103" s="1" t="s">
        <v>4216</v>
      </c>
      <c r="B2103" s="1" t="s">
        <v>4217</v>
      </c>
      <c r="C2103" s="3">
        <v>200</v>
      </c>
      <c r="D2103" s="3" t="str">
        <f ca="1">IF(B2103="","",IFERROR(_xludf.XLOOKUP(_xludf.XLOOKUP(B2103,Inventory!$A:$A,Inventory!$B:$B),Blades!$A:$A,Blades!$C:$C)+_xludf.XLOOKUP(_xludf.XLOOKUP(B2103,Inventory!$A:$A,Inventory!$C:$C),Motor!$A:$A,Motor!$C:$C)+_xludf.XLOOKUP(_xludf.XLOOKUP(B2103,Inventory!$A:$A,Inventory!$D:$D),Frame!$A:$A,Frame!$C:$C)+#REF!,""))</f>
        <v/>
      </c>
      <c r="E2103" s="4">
        <v>45692</v>
      </c>
      <c r="F2103" s="1" t="s">
        <v>49</v>
      </c>
    </row>
    <row r="2104" spans="1:6" x14ac:dyDescent="0.25">
      <c r="A2104" s="1" t="s">
        <v>4218</v>
      </c>
      <c r="B2104" s="1" t="s">
        <v>4219</v>
      </c>
      <c r="C2104" s="3">
        <v>200</v>
      </c>
      <c r="D2104" s="3" t="str">
        <f ca="1">IF(B2104="","",IFERROR(_xludf.XLOOKUP(_xludf.XLOOKUP(B2104,Inventory!$A:$A,Inventory!$B:$B),Blades!$A:$A,Blades!$C:$C)+_xludf.XLOOKUP(_xludf.XLOOKUP(B2104,Inventory!$A:$A,Inventory!$C:$C),Motor!$A:$A,Motor!$C:$C)+_xludf.XLOOKUP(_xludf.XLOOKUP(B2104,Inventory!$A:$A,Inventory!$D:$D),Frame!$A:$A,Frame!$C:$C)+#REF!,""))</f>
        <v/>
      </c>
      <c r="E2104" s="4">
        <v>45693</v>
      </c>
      <c r="F2104" s="1" t="s">
        <v>52</v>
      </c>
    </row>
    <row r="2105" spans="1:6" x14ac:dyDescent="0.25">
      <c r="A2105" s="1" t="s">
        <v>4220</v>
      </c>
      <c r="B2105" s="1" t="s">
        <v>4221</v>
      </c>
      <c r="C2105" s="3">
        <v>200</v>
      </c>
      <c r="D2105" s="3" t="str">
        <f ca="1">IF(B2105="","",IFERROR(_xludf.XLOOKUP(_xludf.XLOOKUP(B2105,Inventory!$A:$A,Inventory!$B:$B),Blades!$A:$A,Blades!$C:$C)+_xludf.XLOOKUP(_xludf.XLOOKUP(B2105,Inventory!$A:$A,Inventory!$C:$C),Motor!$A:$A,Motor!$C:$C)+_xludf.XLOOKUP(_xludf.XLOOKUP(B2105,Inventory!$A:$A,Inventory!$D:$D),Frame!$A:$A,Frame!$C:$C)+#REF!,""))</f>
        <v/>
      </c>
      <c r="E2105" s="4">
        <v>45694</v>
      </c>
      <c r="F2105" s="1" t="s">
        <v>52</v>
      </c>
    </row>
    <row r="2106" spans="1:6" x14ac:dyDescent="0.25">
      <c r="A2106" s="1" t="s">
        <v>4222</v>
      </c>
      <c r="B2106" s="1" t="s">
        <v>4223</v>
      </c>
      <c r="C2106" s="3">
        <v>200</v>
      </c>
      <c r="D2106" s="3" t="str">
        <f ca="1">IF(B2106="","",IFERROR(_xludf.XLOOKUP(_xludf.XLOOKUP(B2106,Inventory!$A:$A,Inventory!$B:$B),Blades!$A:$A,Blades!$C:$C)+_xludf.XLOOKUP(_xludf.XLOOKUP(B2106,Inventory!$A:$A,Inventory!$C:$C),Motor!$A:$A,Motor!$C:$C)+_xludf.XLOOKUP(_xludf.XLOOKUP(B2106,Inventory!$A:$A,Inventory!$D:$D),Frame!$A:$A,Frame!$C:$C)+#REF!,""))</f>
        <v/>
      </c>
      <c r="E2106" s="4">
        <v>45694</v>
      </c>
      <c r="F2106" s="1" t="s">
        <v>52</v>
      </c>
    </row>
    <row r="2107" spans="1:6" x14ac:dyDescent="0.25">
      <c r="A2107" s="1" t="s">
        <v>4224</v>
      </c>
      <c r="B2107" s="1" t="s">
        <v>4225</v>
      </c>
      <c r="C2107" s="3">
        <v>200</v>
      </c>
      <c r="D2107" s="3" t="str">
        <f ca="1">IF(B2107="","",IFERROR(_xludf.XLOOKUP(_xludf.XLOOKUP(B2107,Inventory!$A:$A,Inventory!$B:$B),Blades!$A:$A,Blades!$C:$C)+_xludf.XLOOKUP(_xludf.XLOOKUP(B2107,Inventory!$A:$A,Inventory!$C:$C),Motor!$A:$A,Motor!$C:$C)+_xludf.XLOOKUP(_xludf.XLOOKUP(B2107,Inventory!$A:$A,Inventory!$D:$D),Frame!$A:$A,Frame!$C:$C)+#REF!,""))</f>
        <v/>
      </c>
      <c r="E2107" s="4">
        <v>45694</v>
      </c>
      <c r="F2107" s="1" t="s">
        <v>11</v>
      </c>
    </row>
    <row r="2108" spans="1:6" x14ac:dyDescent="0.25">
      <c r="A2108" s="1" t="s">
        <v>4226</v>
      </c>
      <c r="B2108" s="1" t="s">
        <v>4227</v>
      </c>
      <c r="C2108" s="3">
        <v>200</v>
      </c>
      <c r="D2108" s="3" t="str">
        <f ca="1">IF(B2108="","",IFERROR(_xludf.XLOOKUP(_xludf.XLOOKUP(B2108,Inventory!$A:$A,Inventory!$B:$B),Blades!$A:$A,Blades!$C:$C)+_xludf.XLOOKUP(_xludf.XLOOKUP(B2108,Inventory!$A:$A,Inventory!$C:$C),Motor!$A:$A,Motor!$C:$C)+_xludf.XLOOKUP(_xludf.XLOOKUP(B2108,Inventory!$A:$A,Inventory!$D:$D),Frame!$A:$A,Frame!$C:$C)+#REF!,""))</f>
        <v/>
      </c>
      <c r="E2108" s="4">
        <v>45695</v>
      </c>
      <c r="F2108" s="1" t="s">
        <v>8</v>
      </c>
    </row>
    <row r="2109" spans="1:6" x14ac:dyDescent="0.25">
      <c r="A2109" s="1" t="s">
        <v>4228</v>
      </c>
      <c r="B2109" s="1" t="s">
        <v>4229</v>
      </c>
      <c r="C2109" s="3">
        <v>200</v>
      </c>
      <c r="D2109" s="3" t="str">
        <f ca="1">IF(B2109="","",IFERROR(_xludf.XLOOKUP(_xludf.XLOOKUP(B2109,Inventory!$A:$A,Inventory!$B:$B),Blades!$A:$A,Blades!$C:$C)+_xludf.XLOOKUP(_xludf.XLOOKUP(B2109,Inventory!$A:$A,Inventory!$C:$C),Motor!$A:$A,Motor!$C:$C)+_xludf.XLOOKUP(_xludf.XLOOKUP(B2109,Inventory!$A:$A,Inventory!$D:$D),Frame!$A:$A,Frame!$C:$C)+#REF!,""))</f>
        <v/>
      </c>
      <c r="E2109" s="4">
        <v>45695</v>
      </c>
      <c r="F2109" s="1" t="s">
        <v>32</v>
      </c>
    </row>
    <row r="2110" spans="1:6" x14ac:dyDescent="0.25">
      <c r="A2110" s="1" t="s">
        <v>4230</v>
      </c>
      <c r="B2110" s="1" t="s">
        <v>4231</v>
      </c>
      <c r="C2110" s="3">
        <v>200</v>
      </c>
      <c r="D2110" s="3" t="str">
        <f ca="1">IF(B2110="","",IFERROR(_xludf.XLOOKUP(_xludf.XLOOKUP(B2110,Inventory!$A:$A,Inventory!$B:$B),Blades!$A:$A,Blades!$C:$C)+_xludf.XLOOKUP(_xludf.XLOOKUP(B2110,Inventory!$A:$A,Inventory!$C:$C),Motor!$A:$A,Motor!$C:$C)+_xludf.XLOOKUP(_xludf.XLOOKUP(B2110,Inventory!$A:$A,Inventory!$D:$D),Frame!$A:$A,Frame!$C:$C)+#REF!,""))</f>
        <v/>
      </c>
      <c r="E2110" s="4">
        <v>45696</v>
      </c>
      <c r="F2110" s="1" t="s">
        <v>32</v>
      </c>
    </row>
    <row r="2111" spans="1:6" x14ac:dyDescent="0.25">
      <c r="A2111" s="1" t="s">
        <v>4232</v>
      </c>
      <c r="B2111" s="1" t="s">
        <v>4233</v>
      </c>
      <c r="C2111" s="3">
        <v>200</v>
      </c>
      <c r="D2111" s="3" t="str">
        <f ca="1">IF(B2111="","",IFERROR(_xludf.XLOOKUP(_xludf.XLOOKUP(B2111,Inventory!$A:$A,Inventory!$B:$B),Blades!$A:$A,Blades!$C:$C)+_xludf.XLOOKUP(_xludf.XLOOKUP(B2111,Inventory!$A:$A,Inventory!$C:$C),Motor!$A:$A,Motor!$C:$C)+_xludf.XLOOKUP(_xludf.XLOOKUP(B2111,Inventory!$A:$A,Inventory!$D:$D),Frame!$A:$A,Frame!$C:$C)+#REF!,""))</f>
        <v/>
      </c>
      <c r="E2111" s="4">
        <v>45697</v>
      </c>
      <c r="F2111" s="1" t="s">
        <v>11</v>
      </c>
    </row>
    <row r="2112" spans="1:6" x14ac:dyDescent="0.25">
      <c r="A2112" s="1" t="s">
        <v>4234</v>
      </c>
      <c r="B2112" s="1" t="s">
        <v>4235</v>
      </c>
      <c r="C2112" s="3">
        <v>200</v>
      </c>
      <c r="D2112" s="3" t="str">
        <f ca="1">IF(B2112="","",IFERROR(_xludf.XLOOKUP(_xludf.XLOOKUP(B2112,Inventory!$A:$A,Inventory!$B:$B),Blades!$A:$A,Blades!$C:$C)+_xludf.XLOOKUP(_xludf.XLOOKUP(B2112,Inventory!$A:$A,Inventory!$C:$C),Motor!$A:$A,Motor!$C:$C)+_xludf.XLOOKUP(_xludf.XLOOKUP(B2112,Inventory!$A:$A,Inventory!$D:$D),Frame!$A:$A,Frame!$C:$C)+#REF!,""))</f>
        <v/>
      </c>
      <c r="E2112" s="4">
        <v>45698</v>
      </c>
      <c r="F2112" s="1" t="s">
        <v>8</v>
      </c>
    </row>
    <row r="2113" spans="1:6" x14ac:dyDescent="0.25">
      <c r="A2113" s="1" t="s">
        <v>4236</v>
      </c>
      <c r="B2113" s="1" t="s">
        <v>4237</v>
      </c>
      <c r="C2113" s="3">
        <v>200</v>
      </c>
      <c r="D2113" s="3" t="str">
        <f ca="1">IF(B2113="","",IFERROR(_xludf.XLOOKUP(_xludf.XLOOKUP(B2113,Inventory!$A:$A,Inventory!$B:$B),Blades!$A:$A,Blades!$C:$C)+_xludf.XLOOKUP(_xludf.XLOOKUP(B2113,Inventory!$A:$A,Inventory!$C:$C),Motor!$A:$A,Motor!$C:$C)+_xludf.XLOOKUP(_xludf.XLOOKUP(B2113,Inventory!$A:$A,Inventory!$D:$D),Frame!$A:$A,Frame!$C:$C)+#REF!,""))</f>
        <v/>
      </c>
      <c r="E2113" s="4">
        <v>45699</v>
      </c>
      <c r="F2113" s="1" t="s">
        <v>8</v>
      </c>
    </row>
    <row r="2114" spans="1:6" x14ac:dyDescent="0.25">
      <c r="A2114" s="1" t="s">
        <v>4238</v>
      </c>
      <c r="B2114" s="1" t="s">
        <v>4239</v>
      </c>
      <c r="C2114" s="3">
        <v>200</v>
      </c>
      <c r="D2114" s="3" t="str">
        <f ca="1">IF(B2114="","",IFERROR(_xludf.XLOOKUP(_xludf.XLOOKUP(B2114,Inventory!$A:$A,Inventory!$B:$B),Blades!$A:$A,Blades!$C:$C)+_xludf.XLOOKUP(_xludf.XLOOKUP(B2114,Inventory!$A:$A,Inventory!$C:$C),Motor!$A:$A,Motor!$C:$C)+_xludf.XLOOKUP(_xludf.XLOOKUP(B2114,Inventory!$A:$A,Inventory!$D:$D),Frame!$A:$A,Frame!$C:$C)+#REF!,""))</f>
        <v/>
      </c>
      <c r="E2114" s="4">
        <v>45699</v>
      </c>
      <c r="F2114" s="1" t="s">
        <v>8</v>
      </c>
    </row>
    <row r="2115" spans="1:6" x14ac:dyDescent="0.25">
      <c r="A2115" s="1" t="s">
        <v>4240</v>
      </c>
      <c r="B2115" s="1" t="s">
        <v>4241</v>
      </c>
      <c r="C2115" s="3">
        <v>200</v>
      </c>
      <c r="D2115" s="3" t="str">
        <f ca="1">IF(B2115="","",IFERROR(_xludf.XLOOKUP(_xludf.XLOOKUP(B2115,Inventory!$A:$A,Inventory!$B:$B),Blades!$A:$A,Blades!$C:$C)+_xludf.XLOOKUP(_xludf.XLOOKUP(B2115,Inventory!$A:$A,Inventory!$C:$C),Motor!$A:$A,Motor!$C:$C)+_xludf.XLOOKUP(_xludf.XLOOKUP(B2115,Inventory!$A:$A,Inventory!$D:$D),Frame!$A:$A,Frame!$C:$C)+#REF!,""))</f>
        <v/>
      </c>
      <c r="E2115" s="4">
        <v>45701</v>
      </c>
      <c r="F2115" s="1" t="s">
        <v>20</v>
      </c>
    </row>
    <row r="2116" spans="1:6" x14ac:dyDescent="0.25">
      <c r="A2116" s="1" t="s">
        <v>4242</v>
      </c>
      <c r="B2116" s="1" t="s">
        <v>4243</v>
      </c>
      <c r="C2116" s="3">
        <v>200</v>
      </c>
      <c r="D2116" s="3" t="str">
        <f ca="1">IF(B2116="","",IFERROR(_xludf.XLOOKUP(_xludf.XLOOKUP(B2116,Inventory!$A:$A,Inventory!$B:$B),Blades!$A:$A,Blades!$C:$C)+_xludf.XLOOKUP(_xludf.XLOOKUP(B2116,Inventory!$A:$A,Inventory!$C:$C),Motor!$A:$A,Motor!$C:$C)+_xludf.XLOOKUP(_xludf.XLOOKUP(B2116,Inventory!$A:$A,Inventory!$D:$D),Frame!$A:$A,Frame!$C:$C)+#REF!,""))</f>
        <v/>
      </c>
      <c r="E2116" s="4">
        <v>45701</v>
      </c>
      <c r="F2116" s="1" t="s">
        <v>20</v>
      </c>
    </row>
    <row r="2117" spans="1:6" x14ac:dyDescent="0.25">
      <c r="A2117" s="1" t="s">
        <v>4244</v>
      </c>
      <c r="B2117" s="1" t="s">
        <v>4245</v>
      </c>
      <c r="C2117" s="3">
        <v>200</v>
      </c>
      <c r="D2117" s="3" t="str">
        <f ca="1">IF(B2117="","",IFERROR(_xludf.XLOOKUP(_xludf.XLOOKUP(B2117,Inventory!$A:$A,Inventory!$B:$B),Blades!$A:$A,Blades!$C:$C)+_xludf.XLOOKUP(_xludf.XLOOKUP(B2117,Inventory!$A:$A,Inventory!$C:$C),Motor!$A:$A,Motor!$C:$C)+_xludf.XLOOKUP(_xludf.XLOOKUP(B2117,Inventory!$A:$A,Inventory!$D:$D),Frame!$A:$A,Frame!$C:$C)+#REF!,""))</f>
        <v/>
      </c>
      <c r="E2117" s="4">
        <v>45702</v>
      </c>
      <c r="F2117" s="1" t="s">
        <v>52</v>
      </c>
    </row>
    <row r="2118" spans="1:6" x14ac:dyDescent="0.25">
      <c r="A2118" s="1" t="s">
        <v>4246</v>
      </c>
      <c r="B2118" s="1" t="s">
        <v>4247</v>
      </c>
      <c r="C2118" s="3">
        <v>200</v>
      </c>
      <c r="D2118" s="3" t="str">
        <f ca="1">IF(B2118="","",IFERROR(_xludf.XLOOKUP(_xludf.XLOOKUP(B2118,Inventory!$A:$A,Inventory!$B:$B),Blades!$A:$A,Blades!$C:$C)+_xludf.XLOOKUP(_xludf.XLOOKUP(B2118,Inventory!$A:$A,Inventory!$C:$C),Motor!$A:$A,Motor!$C:$C)+_xludf.XLOOKUP(_xludf.XLOOKUP(B2118,Inventory!$A:$A,Inventory!$D:$D),Frame!$A:$A,Frame!$C:$C)+#REF!,""))</f>
        <v/>
      </c>
      <c r="E2118" s="4">
        <v>45702</v>
      </c>
      <c r="F2118" s="1" t="s">
        <v>49</v>
      </c>
    </row>
    <row r="2119" spans="1:6" x14ac:dyDescent="0.25">
      <c r="A2119" s="1" t="s">
        <v>4248</v>
      </c>
      <c r="B2119" s="1" t="s">
        <v>4249</v>
      </c>
      <c r="C2119" s="3">
        <v>200</v>
      </c>
      <c r="D2119" s="3" t="str">
        <f ca="1">IF(B2119="","",IFERROR(_xludf.XLOOKUP(_xludf.XLOOKUP(B2119,Inventory!$A:$A,Inventory!$B:$B),Blades!$A:$A,Blades!$C:$C)+_xludf.XLOOKUP(_xludf.XLOOKUP(B2119,Inventory!$A:$A,Inventory!$C:$C),Motor!$A:$A,Motor!$C:$C)+_xludf.XLOOKUP(_xludf.XLOOKUP(B2119,Inventory!$A:$A,Inventory!$D:$D),Frame!$A:$A,Frame!$C:$C)+#REF!,""))</f>
        <v/>
      </c>
      <c r="E2119" s="4">
        <v>45703</v>
      </c>
      <c r="F2119" s="1" t="s">
        <v>25</v>
      </c>
    </row>
    <row r="2120" spans="1:6" x14ac:dyDescent="0.25">
      <c r="A2120" s="1" t="s">
        <v>4250</v>
      </c>
      <c r="B2120" s="1" t="s">
        <v>4251</v>
      </c>
      <c r="C2120" s="3">
        <v>200</v>
      </c>
      <c r="D2120" s="3" t="str">
        <f ca="1">IF(B2120="","",IFERROR(_xludf.XLOOKUP(_xludf.XLOOKUP(B2120,Inventory!$A:$A,Inventory!$B:$B),Blades!$A:$A,Blades!$C:$C)+_xludf.XLOOKUP(_xludf.XLOOKUP(B2120,Inventory!$A:$A,Inventory!$C:$C),Motor!$A:$A,Motor!$C:$C)+_xludf.XLOOKUP(_xludf.XLOOKUP(B2120,Inventory!$A:$A,Inventory!$D:$D),Frame!$A:$A,Frame!$C:$C)+#REF!,""))</f>
        <v/>
      </c>
      <c r="E2120" s="4">
        <v>45703</v>
      </c>
      <c r="F2120" s="1" t="s">
        <v>20</v>
      </c>
    </row>
    <row r="2121" spans="1:6" x14ac:dyDescent="0.25">
      <c r="A2121" s="1" t="s">
        <v>4252</v>
      </c>
      <c r="B2121" s="1" t="s">
        <v>4253</v>
      </c>
      <c r="C2121" s="3">
        <v>200</v>
      </c>
      <c r="D2121" s="3" t="str">
        <f ca="1">IF(B2121="","",IFERROR(_xludf.XLOOKUP(_xludf.XLOOKUP(B2121,Inventory!$A:$A,Inventory!$B:$B),Blades!$A:$A,Blades!$C:$C)+_xludf.XLOOKUP(_xludf.XLOOKUP(B2121,Inventory!$A:$A,Inventory!$C:$C),Motor!$A:$A,Motor!$C:$C)+_xludf.XLOOKUP(_xludf.XLOOKUP(B2121,Inventory!$A:$A,Inventory!$D:$D),Frame!$A:$A,Frame!$C:$C)+#REF!,""))</f>
        <v/>
      </c>
      <c r="E2121" s="4">
        <v>45706</v>
      </c>
      <c r="F2121" s="1" t="s">
        <v>8</v>
      </c>
    </row>
    <row r="2122" spans="1:6" x14ac:dyDescent="0.25">
      <c r="A2122" s="1" t="s">
        <v>4254</v>
      </c>
      <c r="B2122" s="1" t="s">
        <v>4255</v>
      </c>
      <c r="C2122" s="3">
        <v>200</v>
      </c>
      <c r="D2122" s="3" t="str">
        <f ca="1">IF(B2122="","",IFERROR(_xludf.XLOOKUP(_xludf.XLOOKUP(B2122,Inventory!$A:$A,Inventory!$B:$B),Blades!$A:$A,Blades!$C:$C)+_xludf.XLOOKUP(_xludf.XLOOKUP(B2122,Inventory!$A:$A,Inventory!$C:$C),Motor!$A:$A,Motor!$C:$C)+_xludf.XLOOKUP(_xludf.XLOOKUP(B2122,Inventory!$A:$A,Inventory!$D:$D),Frame!$A:$A,Frame!$C:$C)+#REF!,""))</f>
        <v/>
      </c>
      <c r="E2122" s="4">
        <v>45706</v>
      </c>
      <c r="F2122" s="1" t="s">
        <v>11</v>
      </c>
    </row>
    <row r="2123" spans="1:6" x14ac:dyDescent="0.25">
      <c r="A2123" s="1" t="s">
        <v>4256</v>
      </c>
      <c r="B2123" s="1" t="s">
        <v>4257</v>
      </c>
      <c r="C2123" s="3">
        <v>200</v>
      </c>
      <c r="D2123" s="3" t="str">
        <f ca="1">IF(B2123="","",IFERROR(_xludf.XLOOKUP(_xludf.XLOOKUP(B2123,Inventory!$A:$A,Inventory!$B:$B),Blades!$A:$A,Blades!$C:$C)+_xludf.XLOOKUP(_xludf.XLOOKUP(B2123,Inventory!$A:$A,Inventory!$C:$C),Motor!$A:$A,Motor!$C:$C)+_xludf.XLOOKUP(_xludf.XLOOKUP(B2123,Inventory!$A:$A,Inventory!$D:$D),Frame!$A:$A,Frame!$C:$C)+#REF!,""))</f>
        <v/>
      </c>
      <c r="E2123" s="4">
        <v>45707</v>
      </c>
      <c r="F2123" s="1" t="s">
        <v>8</v>
      </c>
    </row>
    <row r="2124" spans="1:6" x14ac:dyDescent="0.25">
      <c r="A2124" s="1" t="s">
        <v>4258</v>
      </c>
      <c r="B2124" s="1" t="s">
        <v>4259</v>
      </c>
      <c r="C2124" s="3">
        <v>200</v>
      </c>
      <c r="D2124" s="3" t="str">
        <f ca="1">IF(B2124="","",IFERROR(_xludf.XLOOKUP(_xludf.XLOOKUP(B2124,Inventory!$A:$A,Inventory!$B:$B),Blades!$A:$A,Blades!$C:$C)+_xludf.XLOOKUP(_xludf.XLOOKUP(B2124,Inventory!$A:$A,Inventory!$C:$C),Motor!$A:$A,Motor!$C:$C)+_xludf.XLOOKUP(_xludf.XLOOKUP(B2124,Inventory!$A:$A,Inventory!$D:$D),Frame!$A:$A,Frame!$C:$C)+#REF!,""))</f>
        <v/>
      </c>
      <c r="E2124" s="4">
        <v>45707</v>
      </c>
      <c r="F2124" s="1" t="s">
        <v>63</v>
      </c>
    </row>
    <row r="2125" spans="1:6" x14ac:dyDescent="0.25">
      <c r="A2125" s="1" t="s">
        <v>4260</v>
      </c>
      <c r="B2125" s="1" t="s">
        <v>4261</v>
      </c>
      <c r="C2125" s="3">
        <v>200</v>
      </c>
      <c r="D2125" s="3" t="str">
        <f ca="1">IF(B2125="","",IFERROR(_xludf.XLOOKUP(_xludf.XLOOKUP(B2125,Inventory!$A:$A,Inventory!$B:$B),Blades!$A:$A,Blades!$C:$C)+_xludf.XLOOKUP(_xludf.XLOOKUP(B2125,Inventory!$A:$A,Inventory!$C:$C),Motor!$A:$A,Motor!$C:$C)+_xludf.XLOOKUP(_xludf.XLOOKUP(B2125,Inventory!$A:$A,Inventory!$D:$D),Frame!$A:$A,Frame!$C:$C)+#REF!,""))</f>
        <v/>
      </c>
      <c r="E2125" s="4">
        <v>45707</v>
      </c>
      <c r="F2125" s="1" t="s">
        <v>49</v>
      </c>
    </row>
    <row r="2126" spans="1:6" x14ac:dyDescent="0.25">
      <c r="A2126" s="1" t="s">
        <v>4262</v>
      </c>
      <c r="B2126" s="1" t="s">
        <v>4263</v>
      </c>
      <c r="C2126" s="3">
        <v>200</v>
      </c>
      <c r="D2126" s="3" t="str">
        <f ca="1">IF(B2126="","",IFERROR(_xludf.XLOOKUP(_xludf.XLOOKUP(B2126,Inventory!$A:$A,Inventory!$B:$B),Blades!$A:$A,Blades!$C:$C)+_xludf.XLOOKUP(_xludf.XLOOKUP(B2126,Inventory!$A:$A,Inventory!$C:$C),Motor!$A:$A,Motor!$C:$C)+_xludf.XLOOKUP(_xludf.XLOOKUP(B2126,Inventory!$A:$A,Inventory!$D:$D),Frame!$A:$A,Frame!$C:$C)+#REF!,""))</f>
        <v/>
      </c>
      <c r="E2126" s="4">
        <v>45707</v>
      </c>
      <c r="F2126" s="1" t="s">
        <v>20</v>
      </c>
    </row>
    <row r="2127" spans="1:6" x14ac:dyDescent="0.25">
      <c r="A2127" s="1" t="s">
        <v>4264</v>
      </c>
      <c r="B2127" s="1" t="s">
        <v>4265</v>
      </c>
      <c r="C2127" s="3">
        <v>200</v>
      </c>
      <c r="D2127" s="3" t="str">
        <f ca="1">IF(B2127="","",IFERROR(_xludf.XLOOKUP(_xludf.XLOOKUP(B2127,Inventory!$A:$A,Inventory!$B:$B),Blades!$A:$A,Blades!$C:$C)+_xludf.XLOOKUP(_xludf.XLOOKUP(B2127,Inventory!$A:$A,Inventory!$C:$C),Motor!$A:$A,Motor!$C:$C)+_xludf.XLOOKUP(_xludf.XLOOKUP(B2127,Inventory!$A:$A,Inventory!$D:$D),Frame!$A:$A,Frame!$C:$C)+#REF!,""))</f>
        <v/>
      </c>
      <c r="E2127" s="4">
        <v>45707</v>
      </c>
      <c r="F2127" s="1" t="s">
        <v>32</v>
      </c>
    </row>
    <row r="2128" spans="1:6" x14ac:dyDescent="0.25">
      <c r="A2128" s="1" t="s">
        <v>4266</v>
      </c>
      <c r="B2128" s="1" t="s">
        <v>4267</v>
      </c>
      <c r="C2128" s="3">
        <v>200</v>
      </c>
      <c r="D2128" s="3" t="str">
        <f ca="1">IF(B2128="","",IFERROR(_xludf.XLOOKUP(_xludf.XLOOKUP(B2128,Inventory!$A:$A,Inventory!$B:$B),Blades!$A:$A,Blades!$C:$C)+_xludf.XLOOKUP(_xludf.XLOOKUP(B2128,Inventory!$A:$A,Inventory!$C:$C),Motor!$A:$A,Motor!$C:$C)+_xludf.XLOOKUP(_xludf.XLOOKUP(B2128,Inventory!$A:$A,Inventory!$D:$D),Frame!$A:$A,Frame!$C:$C)+#REF!,""))</f>
        <v/>
      </c>
      <c r="E2128" s="4">
        <v>45708</v>
      </c>
      <c r="F2128" s="1" t="s">
        <v>52</v>
      </c>
    </row>
    <row r="2129" spans="1:6" x14ac:dyDescent="0.25">
      <c r="A2129" s="1" t="s">
        <v>4268</v>
      </c>
      <c r="B2129" s="1" t="s">
        <v>4269</v>
      </c>
      <c r="C2129" s="3">
        <v>200</v>
      </c>
      <c r="D2129" s="3" t="str">
        <f ca="1">IF(B2129="","",IFERROR(_xludf.XLOOKUP(_xludf.XLOOKUP(B2129,Inventory!$A:$A,Inventory!$B:$B),Blades!$A:$A,Blades!$C:$C)+_xludf.XLOOKUP(_xludf.XLOOKUP(B2129,Inventory!$A:$A,Inventory!$C:$C),Motor!$A:$A,Motor!$C:$C)+_xludf.XLOOKUP(_xludf.XLOOKUP(B2129,Inventory!$A:$A,Inventory!$D:$D),Frame!$A:$A,Frame!$C:$C)+#REF!,""))</f>
        <v/>
      </c>
      <c r="E2129" s="4">
        <v>45709</v>
      </c>
      <c r="F2129" s="1" t="s">
        <v>49</v>
      </c>
    </row>
    <row r="2130" spans="1:6" x14ac:dyDescent="0.25">
      <c r="A2130" s="1" t="s">
        <v>4270</v>
      </c>
      <c r="B2130" s="1" t="s">
        <v>4271</v>
      </c>
      <c r="C2130" s="3">
        <v>200</v>
      </c>
      <c r="D2130" s="3" t="str">
        <f ca="1">IF(B2130="","",IFERROR(_xludf.XLOOKUP(_xludf.XLOOKUP(B2130,Inventory!$A:$A,Inventory!$B:$B),Blades!$A:$A,Blades!$C:$C)+_xludf.XLOOKUP(_xludf.XLOOKUP(B2130,Inventory!$A:$A,Inventory!$C:$C),Motor!$A:$A,Motor!$C:$C)+_xludf.XLOOKUP(_xludf.XLOOKUP(B2130,Inventory!$A:$A,Inventory!$D:$D),Frame!$A:$A,Frame!$C:$C)+#REF!,""))</f>
        <v/>
      </c>
      <c r="E2130" s="4">
        <v>45709</v>
      </c>
      <c r="F2130" s="1" t="s">
        <v>63</v>
      </c>
    </row>
    <row r="2131" spans="1:6" x14ac:dyDescent="0.25">
      <c r="A2131" s="1" t="s">
        <v>4272</v>
      </c>
      <c r="B2131" s="1" t="s">
        <v>4273</v>
      </c>
      <c r="C2131" s="3">
        <v>200</v>
      </c>
      <c r="D2131" s="3" t="str">
        <f ca="1">IF(B2131="","",IFERROR(_xludf.XLOOKUP(_xludf.XLOOKUP(B2131,Inventory!$A:$A,Inventory!$B:$B),Blades!$A:$A,Blades!$C:$C)+_xludf.XLOOKUP(_xludf.XLOOKUP(B2131,Inventory!$A:$A,Inventory!$C:$C),Motor!$A:$A,Motor!$C:$C)+_xludf.XLOOKUP(_xludf.XLOOKUP(B2131,Inventory!$A:$A,Inventory!$D:$D),Frame!$A:$A,Frame!$C:$C)+#REF!,""))</f>
        <v/>
      </c>
      <c r="E2131" s="4">
        <v>45709</v>
      </c>
      <c r="F2131" s="1" t="s">
        <v>63</v>
      </c>
    </row>
    <row r="2132" spans="1:6" x14ac:dyDescent="0.25">
      <c r="A2132" s="1" t="s">
        <v>4274</v>
      </c>
      <c r="B2132" s="1" t="s">
        <v>4275</v>
      </c>
      <c r="C2132" s="3">
        <v>200</v>
      </c>
      <c r="D2132" s="3" t="str">
        <f ca="1">IF(B2132="","",IFERROR(_xludf.XLOOKUP(_xludf.XLOOKUP(B2132,Inventory!$A:$A,Inventory!$B:$B),Blades!$A:$A,Blades!$C:$C)+_xludf.XLOOKUP(_xludf.XLOOKUP(B2132,Inventory!$A:$A,Inventory!$C:$C),Motor!$A:$A,Motor!$C:$C)+_xludf.XLOOKUP(_xludf.XLOOKUP(B2132,Inventory!$A:$A,Inventory!$D:$D),Frame!$A:$A,Frame!$C:$C)+#REF!,""))</f>
        <v/>
      </c>
      <c r="E2132" s="4">
        <v>45711</v>
      </c>
      <c r="F2132" s="1" t="s">
        <v>63</v>
      </c>
    </row>
    <row r="2133" spans="1:6" x14ac:dyDescent="0.25">
      <c r="A2133" s="1" t="s">
        <v>4276</v>
      </c>
      <c r="B2133" s="1" t="s">
        <v>4277</v>
      </c>
      <c r="C2133" s="3">
        <v>200</v>
      </c>
      <c r="D2133" s="3" t="str">
        <f ca="1">IF(B2133="","",IFERROR(_xludf.XLOOKUP(_xludf.XLOOKUP(B2133,Inventory!$A:$A,Inventory!$B:$B),Blades!$A:$A,Blades!$C:$C)+_xludf.XLOOKUP(_xludf.XLOOKUP(B2133,Inventory!$A:$A,Inventory!$C:$C),Motor!$A:$A,Motor!$C:$C)+_xludf.XLOOKUP(_xludf.XLOOKUP(B2133,Inventory!$A:$A,Inventory!$D:$D),Frame!$A:$A,Frame!$C:$C)+#REF!,""))</f>
        <v/>
      </c>
      <c r="E2133" s="4">
        <v>45711</v>
      </c>
      <c r="F2133" s="1" t="s">
        <v>32</v>
      </c>
    </row>
    <row r="2134" spans="1:6" x14ac:dyDescent="0.25">
      <c r="A2134" s="1" t="s">
        <v>4278</v>
      </c>
      <c r="B2134" s="1" t="s">
        <v>4279</v>
      </c>
      <c r="C2134" s="3">
        <v>200</v>
      </c>
      <c r="D2134" s="3" t="str">
        <f ca="1">IF(B2134="","",IFERROR(_xludf.XLOOKUP(_xludf.XLOOKUP(B2134,Inventory!$A:$A,Inventory!$B:$B),Blades!$A:$A,Blades!$C:$C)+_xludf.XLOOKUP(_xludf.XLOOKUP(B2134,Inventory!$A:$A,Inventory!$C:$C),Motor!$A:$A,Motor!$C:$C)+_xludf.XLOOKUP(_xludf.XLOOKUP(B2134,Inventory!$A:$A,Inventory!$D:$D),Frame!$A:$A,Frame!$C:$C)+#REF!,""))</f>
        <v/>
      </c>
      <c r="E2134" s="4">
        <v>45712</v>
      </c>
      <c r="F2134" s="1" t="s">
        <v>52</v>
      </c>
    </row>
    <row r="2135" spans="1:6" x14ac:dyDescent="0.25">
      <c r="A2135" s="1" t="s">
        <v>4280</v>
      </c>
      <c r="B2135" s="1" t="s">
        <v>4281</v>
      </c>
      <c r="C2135" s="3">
        <v>200</v>
      </c>
      <c r="D2135" s="3" t="str">
        <f ca="1">IF(B2135="","",IFERROR(_xludf.XLOOKUP(_xludf.XLOOKUP(B2135,Inventory!$A:$A,Inventory!$B:$B),Blades!$A:$A,Blades!$C:$C)+_xludf.XLOOKUP(_xludf.XLOOKUP(B2135,Inventory!$A:$A,Inventory!$C:$C),Motor!$A:$A,Motor!$C:$C)+_xludf.XLOOKUP(_xludf.XLOOKUP(B2135,Inventory!$A:$A,Inventory!$D:$D),Frame!$A:$A,Frame!$C:$C)+#REF!,""))</f>
        <v/>
      </c>
      <c r="E2135" s="4">
        <v>45712</v>
      </c>
      <c r="F2135" s="1" t="s">
        <v>52</v>
      </c>
    </row>
    <row r="2136" spans="1:6" x14ac:dyDescent="0.25">
      <c r="A2136" s="1" t="s">
        <v>4282</v>
      </c>
      <c r="B2136" s="1" t="s">
        <v>4283</v>
      </c>
      <c r="C2136" s="3">
        <v>200</v>
      </c>
      <c r="D2136" s="3" t="str">
        <f ca="1">IF(B2136="","",IFERROR(_xludf.XLOOKUP(_xludf.XLOOKUP(B2136,Inventory!$A:$A,Inventory!$B:$B),Blades!$A:$A,Blades!$C:$C)+_xludf.XLOOKUP(_xludf.XLOOKUP(B2136,Inventory!$A:$A,Inventory!$C:$C),Motor!$A:$A,Motor!$C:$C)+_xludf.XLOOKUP(_xludf.XLOOKUP(B2136,Inventory!$A:$A,Inventory!$D:$D),Frame!$A:$A,Frame!$C:$C)+#REF!,""))</f>
        <v/>
      </c>
      <c r="E2136" s="4">
        <v>45712</v>
      </c>
      <c r="F2136" s="1" t="s">
        <v>8</v>
      </c>
    </row>
    <row r="2137" spans="1:6" x14ac:dyDescent="0.25">
      <c r="A2137" s="1" t="s">
        <v>4284</v>
      </c>
      <c r="B2137" s="1" t="s">
        <v>4285</v>
      </c>
      <c r="C2137" s="3">
        <v>200</v>
      </c>
      <c r="D2137" s="3" t="str">
        <f ca="1">IF(B2137="","",IFERROR(_xludf.XLOOKUP(_xludf.XLOOKUP(B2137,Inventory!$A:$A,Inventory!$B:$B),Blades!$A:$A,Blades!$C:$C)+_xludf.XLOOKUP(_xludf.XLOOKUP(B2137,Inventory!$A:$A,Inventory!$C:$C),Motor!$A:$A,Motor!$C:$C)+_xludf.XLOOKUP(_xludf.XLOOKUP(B2137,Inventory!$A:$A,Inventory!$D:$D),Frame!$A:$A,Frame!$C:$C)+#REF!,""))</f>
        <v/>
      </c>
      <c r="E2137" s="4">
        <v>45713</v>
      </c>
      <c r="F2137" s="1" t="s">
        <v>11</v>
      </c>
    </row>
    <row r="2138" spans="1:6" x14ac:dyDescent="0.25">
      <c r="A2138" s="1" t="s">
        <v>4286</v>
      </c>
      <c r="B2138" s="1" t="s">
        <v>4287</v>
      </c>
      <c r="C2138" s="3">
        <v>200</v>
      </c>
      <c r="D2138" s="3" t="str">
        <f ca="1">IF(B2138="","",IFERROR(_xludf.XLOOKUP(_xludf.XLOOKUP(B2138,Inventory!$A:$A,Inventory!$B:$B),Blades!$A:$A,Blades!$C:$C)+_xludf.XLOOKUP(_xludf.XLOOKUP(B2138,Inventory!$A:$A,Inventory!$C:$C),Motor!$A:$A,Motor!$C:$C)+_xludf.XLOOKUP(_xludf.XLOOKUP(B2138,Inventory!$A:$A,Inventory!$D:$D),Frame!$A:$A,Frame!$C:$C)+#REF!,""))</f>
        <v/>
      </c>
      <c r="E2138" s="4">
        <v>45713</v>
      </c>
      <c r="F2138" s="1" t="s">
        <v>20</v>
      </c>
    </row>
    <row r="2139" spans="1:6" x14ac:dyDescent="0.25">
      <c r="A2139" s="1" t="s">
        <v>4288</v>
      </c>
      <c r="B2139" s="1" t="s">
        <v>4289</v>
      </c>
      <c r="C2139" s="3">
        <v>200</v>
      </c>
      <c r="D2139" s="3" t="str">
        <f ca="1">IF(B2139="","",IFERROR(_xludf.XLOOKUP(_xludf.XLOOKUP(B2139,Inventory!$A:$A,Inventory!$B:$B),Blades!$A:$A,Blades!$C:$C)+_xludf.XLOOKUP(_xludf.XLOOKUP(B2139,Inventory!$A:$A,Inventory!$C:$C),Motor!$A:$A,Motor!$C:$C)+_xludf.XLOOKUP(_xludf.XLOOKUP(B2139,Inventory!$A:$A,Inventory!$D:$D),Frame!$A:$A,Frame!$C:$C)+#REF!,""))</f>
        <v/>
      </c>
      <c r="E2139" s="4">
        <v>45714</v>
      </c>
      <c r="F2139" s="1" t="s">
        <v>63</v>
      </c>
    </row>
    <row r="2140" spans="1:6" x14ac:dyDescent="0.25">
      <c r="A2140" s="1" t="s">
        <v>4290</v>
      </c>
      <c r="B2140" s="1" t="s">
        <v>4291</v>
      </c>
      <c r="C2140" s="3">
        <v>200</v>
      </c>
      <c r="D2140" s="3" t="str">
        <f ca="1">IF(B2140="","",IFERROR(_xludf.XLOOKUP(_xludf.XLOOKUP(B2140,Inventory!$A:$A,Inventory!$B:$B),Blades!$A:$A,Blades!$C:$C)+_xludf.XLOOKUP(_xludf.XLOOKUP(B2140,Inventory!$A:$A,Inventory!$C:$C),Motor!$A:$A,Motor!$C:$C)+_xludf.XLOOKUP(_xludf.XLOOKUP(B2140,Inventory!$A:$A,Inventory!$D:$D),Frame!$A:$A,Frame!$C:$C)+#REF!,""))</f>
        <v/>
      </c>
      <c r="E2140" s="4">
        <v>45714</v>
      </c>
      <c r="F2140" s="1" t="s">
        <v>11</v>
      </c>
    </row>
    <row r="2141" spans="1:6" x14ac:dyDescent="0.25">
      <c r="A2141" s="1" t="s">
        <v>4292</v>
      </c>
      <c r="B2141" s="1" t="s">
        <v>4293</v>
      </c>
      <c r="C2141" s="3">
        <v>200</v>
      </c>
      <c r="D2141" s="3" t="str">
        <f ca="1">IF(B2141="","",IFERROR(_xludf.XLOOKUP(_xludf.XLOOKUP(B2141,Inventory!$A:$A,Inventory!$B:$B),Blades!$A:$A,Blades!$C:$C)+_xludf.XLOOKUP(_xludf.XLOOKUP(B2141,Inventory!$A:$A,Inventory!$C:$C),Motor!$A:$A,Motor!$C:$C)+_xludf.XLOOKUP(_xludf.XLOOKUP(B2141,Inventory!$A:$A,Inventory!$D:$D),Frame!$A:$A,Frame!$C:$C)+#REF!,""))</f>
        <v/>
      </c>
      <c r="E2141" s="4">
        <v>45714</v>
      </c>
      <c r="F2141" s="1" t="s">
        <v>32</v>
      </c>
    </row>
    <row r="2142" spans="1:6" x14ac:dyDescent="0.25">
      <c r="A2142" s="1" t="s">
        <v>4294</v>
      </c>
      <c r="B2142" s="1" t="s">
        <v>4295</v>
      </c>
      <c r="C2142" s="3">
        <v>200</v>
      </c>
      <c r="D2142" s="3" t="str">
        <f ca="1">IF(B2142="","",IFERROR(_xludf.XLOOKUP(_xludf.XLOOKUP(B2142,Inventory!$A:$A,Inventory!$B:$B),Blades!$A:$A,Blades!$C:$C)+_xludf.XLOOKUP(_xludf.XLOOKUP(B2142,Inventory!$A:$A,Inventory!$C:$C),Motor!$A:$A,Motor!$C:$C)+_xludf.XLOOKUP(_xludf.XLOOKUP(B2142,Inventory!$A:$A,Inventory!$D:$D),Frame!$A:$A,Frame!$C:$C)+#REF!,""))</f>
        <v/>
      </c>
      <c r="E2142" s="4">
        <v>45715</v>
      </c>
      <c r="F2142" s="1" t="s">
        <v>11</v>
      </c>
    </row>
    <row r="2143" spans="1:6" x14ac:dyDescent="0.25">
      <c r="A2143" s="1" t="s">
        <v>4296</v>
      </c>
      <c r="B2143" s="1" t="s">
        <v>4297</v>
      </c>
      <c r="C2143" s="3">
        <v>200</v>
      </c>
      <c r="D2143" s="3" t="str">
        <f ca="1">IF(B2143="","",IFERROR(_xludf.XLOOKUP(_xludf.XLOOKUP(B2143,Inventory!$A:$A,Inventory!$B:$B),Blades!$A:$A,Blades!$C:$C)+_xludf.XLOOKUP(_xludf.XLOOKUP(B2143,Inventory!$A:$A,Inventory!$C:$C),Motor!$A:$A,Motor!$C:$C)+_xludf.XLOOKUP(_xludf.XLOOKUP(B2143,Inventory!$A:$A,Inventory!$D:$D),Frame!$A:$A,Frame!$C:$C)+#REF!,""))</f>
        <v/>
      </c>
      <c r="E2143" s="4">
        <v>45716</v>
      </c>
      <c r="F2143" s="1" t="s">
        <v>20</v>
      </c>
    </row>
    <row r="2144" spans="1:6" x14ac:dyDescent="0.25">
      <c r="A2144" s="1" t="s">
        <v>4298</v>
      </c>
      <c r="B2144" s="1" t="s">
        <v>4299</v>
      </c>
      <c r="C2144" s="3">
        <v>200</v>
      </c>
      <c r="D2144" s="3" t="str">
        <f ca="1">IF(B2144="","",IFERROR(_xludf.XLOOKUP(_xludf.XLOOKUP(B2144,Inventory!$A:$A,Inventory!$B:$B),Blades!$A:$A,Blades!$C:$C)+_xludf.XLOOKUP(_xludf.XLOOKUP(B2144,Inventory!$A:$A,Inventory!$C:$C),Motor!$A:$A,Motor!$C:$C)+_xludf.XLOOKUP(_xludf.XLOOKUP(B2144,Inventory!$A:$A,Inventory!$D:$D),Frame!$A:$A,Frame!$C:$C)+#REF!,""))</f>
        <v/>
      </c>
      <c r="E2144" s="4">
        <v>45716</v>
      </c>
      <c r="F2144" s="1" t="s">
        <v>52</v>
      </c>
    </row>
    <row r="2145" spans="1:6" x14ac:dyDescent="0.25">
      <c r="A2145" s="1" t="s">
        <v>4300</v>
      </c>
      <c r="B2145" s="1" t="s">
        <v>4301</v>
      </c>
      <c r="C2145" s="3">
        <v>200</v>
      </c>
      <c r="D2145" s="3" t="str">
        <f ca="1">IF(B2145="","",IFERROR(_xludf.XLOOKUP(_xludf.XLOOKUP(B2145,Inventory!$A:$A,Inventory!$B:$B),Blades!$A:$A,Blades!$C:$C)+_xludf.XLOOKUP(_xludf.XLOOKUP(B2145,Inventory!$A:$A,Inventory!$C:$C),Motor!$A:$A,Motor!$C:$C)+_xludf.XLOOKUP(_xludf.XLOOKUP(B2145,Inventory!$A:$A,Inventory!$D:$D),Frame!$A:$A,Frame!$C:$C)+#REF!,""))</f>
        <v/>
      </c>
      <c r="E2145" s="4">
        <v>45718</v>
      </c>
      <c r="F2145" s="1" t="s">
        <v>25</v>
      </c>
    </row>
    <row r="2146" spans="1:6" x14ac:dyDescent="0.25">
      <c r="A2146" s="1" t="s">
        <v>4302</v>
      </c>
      <c r="B2146" s="1" t="s">
        <v>4303</v>
      </c>
      <c r="C2146" s="3">
        <v>200</v>
      </c>
      <c r="D2146" s="3" t="str">
        <f ca="1">IF(B2146="","",IFERROR(_xludf.XLOOKUP(_xludf.XLOOKUP(B2146,Inventory!$A:$A,Inventory!$B:$B),Blades!$A:$A,Blades!$C:$C)+_xludf.XLOOKUP(_xludf.XLOOKUP(B2146,Inventory!$A:$A,Inventory!$C:$C),Motor!$A:$A,Motor!$C:$C)+_xludf.XLOOKUP(_xludf.XLOOKUP(B2146,Inventory!$A:$A,Inventory!$D:$D),Frame!$A:$A,Frame!$C:$C)+#REF!,""))</f>
        <v/>
      </c>
      <c r="E2146" s="4">
        <v>45719</v>
      </c>
      <c r="F2146" s="1" t="s">
        <v>20</v>
      </c>
    </row>
    <row r="2147" spans="1:6" x14ac:dyDescent="0.25">
      <c r="A2147" s="1" t="s">
        <v>4304</v>
      </c>
      <c r="B2147" s="1" t="s">
        <v>4305</v>
      </c>
      <c r="C2147" s="3">
        <v>200</v>
      </c>
      <c r="D2147" s="3" t="str">
        <f ca="1">IF(B2147="","",IFERROR(_xludf.XLOOKUP(_xludf.XLOOKUP(B2147,Inventory!$A:$A,Inventory!$B:$B),Blades!$A:$A,Blades!$C:$C)+_xludf.XLOOKUP(_xludf.XLOOKUP(B2147,Inventory!$A:$A,Inventory!$C:$C),Motor!$A:$A,Motor!$C:$C)+_xludf.XLOOKUP(_xludf.XLOOKUP(B2147,Inventory!$A:$A,Inventory!$D:$D),Frame!$A:$A,Frame!$C:$C)+#REF!,""))</f>
        <v/>
      </c>
      <c r="E2147" s="4">
        <v>45719</v>
      </c>
      <c r="F2147" s="1" t="s">
        <v>8</v>
      </c>
    </row>
    <row r="2148" spans="1:6" x14ac:dyDescent="0.25">
      <c r="A2148" s="1" t="s">
        <v>4306</v>
      </c>
      <c r="B2148" s="1" t="s">
        <v>4307</v>
      </c>
      <c r="C2148" s="3">
        <v>200</v>
      </c>
      <c r="D2148" s="3" t="str">
        <f ca="1">IF(B2148="","",IFERROR(_xludf.XLOOKUP(_xludf.XLOOKUP(B2148,Inventory!$A:$A,Inventory!$B:$B),Blades!$A:$A,Blades!$C:$C)+_xludf.XLOOKUP(_xludf.XLOOKUP(B2148,Inventory!$A:$A,Inventory!$C:$C),Motor!$A:$A,Motor!$C:$C)+_xludf.XLOOKUP(_xludf.XLOOKUP(B2148,Inventory!$A:$A,Inventory!$D:$D),Frame!$A:$A,Frame!$C:$C)+#REF!,""))</f>
        <v/>
      </c>
      <c r="E2148" s="4">
        <v>45720</v>
      </c>
      <c r="F2148" s="1" t="s">
        <v>63</v>
      </c>
    </row>
    <row r="2149" spans="1:6" x14ac:dyDescent="0.25">
      <c r="A2149" s="1" t="s">
        <v>4308</v>
      </c>
      <c r="B2149" s="1" t="s">
        <v>4309</v>
      </c>
      <c r="C2149" s="3">
        <v>200</v>
      </c>
      <c r="D2149" s="3" t="str">
        <f ca="1">IF(B2149="","",IFERROR(_xludf.XLOOKUP(_xludf.XLOOKUP(B2149,Inventory!$A:$A,Inventory!$B:$B),Blades!$A:$A,Blades!$C:$C)+_xludf.XLOOKUP(_xludf.XLOOKUP(B2149,Inventory!$A:$A,Inventory!$C:$C),Motor!$A:$A,Motor!$C:$C)+_xludf.XLOOKUP(_xludf.XLOOKUP(B2149,Inventory!$A:$A,Inventory!$D:$D),Frame!$A:$A,Frame!$C:$C)+#REF!,""))</f>
        <v/>
      </c>
      <c r="E2149" s="4">
        <v>45720</v>
      </c>
      <c r="F2149" s="1" t="s">
        <v>52</v>
      </c>
    </row>
    <row r="2150" spans="1:6" x14ac:dyDescent="0.25">
      <c r="A2150" s="1" t="s">
        <v>4310</v>
      </c>
      <c r="B2150" s="1" t="s">
        <v>4311</v>
      </c>
      <c r="C2150" s="3">
        <v>200</v>
      </c>
      <c r="D2150" s="3" t="str">
        <f ca="1">IF(B2150="","",IFERROR(_xludf.XLOOKUP(_xludf.XLOOKUP(B2150,Inventory!$A:$A,Inventory!$B:$B),Blades!$A:$A,Blades!$C:$C)+_xludf.XLOOKUP(_xludf.XLOOKUP(B2150,Inventory!$A:$A,Inventory!$C:$C),Motor!$A:$A,Motor!$C:$C)+_xludf.XLOOKUP(_xludf.XLOOKUP(B2150,Inventory!$A:$A,Inventory!$D:$D),Frame!$A:$A,Frame!$C:$C)+#REF!,""))</f>
        <v/>
      </c>
      <c r="E2150" s="4">
        <v>45720</v>
      </c>
      <c r="F2150" s="1" t="s">
        <v>52</v>
      </c>
    </row>
    <row r="2151" spans="1:6" x14ac:dyDescent="0.25">
      <c r="A2151" s="1" t="s">
        <v>4312</v>
      </c>
      <c r="B2151" s="1" t="s">
        <v>4313</v>
      </c>
      <c r="C2151" s="3">
        <v>200</v>
      </c>
      <c r="D2151" s="3" t="str">
        <f ca="1">IF(B2151="","",IFERROR(_xludf.XLOOKUP(_xludf.XLOOKUP(B2151,Inventory!$A:$A,Inventory!$B:$B),Blades!$A:$A,Blades!$C:$C)+_xludf.XLOOKUP(_xludf.XLOOKUP(B2151,Inventory!$A:$A,Inventory!$C:$C),Motor!$A:$A,Motor!$C:$C)+_xludf.XLOOKUP(_xludf.XLOOKUP(B2151,Inventory!$A:$A,Inventory!$D:$D),Frame!$A:$A,Frame!$C:$C)+#REF!,""))</f>
        <v/>
      </c>
      <c r="E2151" s="4">
        <v>45721</v>
      </c>
      <c r="F2151" s="1" t="s">
        <v>20</v>
      </c>
    </row>
    <row r="2152" spans="1:6" x14ac:dyDescent="0.25">
      <c r="A2152" s="1" t="s">
        <v>4314</v>
      </c>
      <c r="B2152" s="1" t="s">
        <v>4315</v>
      </c>
      <c r="C2152" s="3">
        <v>200</v>
      </c>
      <c r="D2152" s="3" t="str">
        <f ca="1">IF(B2152="","",IFERROR(_xludf.XLOOKUP(_xludf.XLOOKUP(B2152,Inventory!$A:$A,Inventory!$B:$B),Blades!$A:$A,Blades!$C:$C)+_xludf.XLOOKUP(_xludf.XLOOKUP(B2152,Inventory!$A:$A,Inventory!$C:$C),Motor!$A:$A,Motor!$C:$C)+_xludf.XLOOKUP(_xludf.XLOOKUP(B2152,Inventory!$A:$A,Inventory!$D:$D),Frame!$A:$A,Frame!$C:$C)+#REF!,""))</f>
        <v/>
      </c>
      <c r="E2152" s="4">
        <v>45721</v>
      </c>
      <c r="F2152" s="1" t="s">
        <v>32</v>
      </c>
    </row>
    <row r="2153" spans="1:6" x14ac:dyDescent="0.25">
      <c r="A2153" s="1" t="s">
        <v>4316</v>
      </c>
      <c r="B2153" s="1" t="s">
        <v>4317</v>
      </c>
      <c r="C2153" s="3">
        <v>200</v>
      </c>
      <c r="D2153" s="3" t="str">
        <f ca="1">IF(B2153="","",IFERROR(_xludf.XLOOKUP(_xludf.XLOOKUP(B2153,Inventory!$A:$A,Inventory!$B:$B),Blades!$A:$A,Blades!$C:$C)+_xludf.XLOOKUP(_xludf.XLOOKUP(B2153,Inventory!$A:$A,Inventory!$C:$C),Motor!$A:$A,Motor!$C:$C)+_xludf.XLOOKUP(_xludf.XLOOKUP(B2153,Inventory!$A:$A,Inventory!$D:$D),Frame!$A:$A,Frame!$C:$C)+#REF!,""))</f>
        <v/>
      </c>
      <c r="E2153" s="4">
        <v>45722</v>
      </c>
      <c r="F2153" s="1" t="s">
        <v>8</v>
      </c>
    </row>
    <row r="2154" spans="1:6" x14ac:dyDescent="0.25">
      <c r="A2154" s="1" t="s">
        <v>4318</v>
      </c>
      <c r="B2154" s="1" t="s">
        <v>4319</v>
      </c>
      <c r="C2154" s="3">
        <v>200</v>
      </c>
      <c r="D2154" s="3" t="str">
        <f ca="1">IF(B2154="","",IFERROR(_xludf.XLOOKUP(_xludf.XLOOKUP(B2154,Inventory!$A:$A,Inventory!$B:$B),Blades!$A:$A,Blades!$C:$C)+_xludf.XLOOKUP(_xludf.XLOOKUP(B2154,Inventory!$A:$A,Inventory!$C:$C),Motor!$A:$A,Motor!$C:$C)+_xludf.XLOOKUP(_xludf.XLOOKUP(B2154,Inventory!$A:$A,Inventory!$D:$D),Frame!$A:$A,Frame!$C:$C)+#REF!,""))</f>
        <v/>
      </c>
      <c r="E2154" s="4">
        <v>45723</v>
      </c>
      <c r="F2154" s="1" t="s">
        <v>8</v>
      </c>
    </row>
    <row r="2155" spans="1:6" x14ac:dyDescent="0.25">
      <c r="A2155" s="1" t="s">
        <v>4320</v>
      </c>
      <c r="B2155" s="1" t="s">
        <v>4321</v>
      </c>
      <c r="C2155" s="3">
        <v>200</v>
      </c>
      <c r="D2155" s="3" t="str">
        <f ca="1">IF(B2155="","",IFERROR(_xludf.XLOOKUP(_xludf.XLOOKUP(B2155,Inventory!$A:$A,Inventory!$B:$B),Blades!$A:$A,Blades!$C:$C)+_xludf.XLOOKUP(_xludf.XLOOKUP(B2155,Inventory!$A:$A,Inventory!$C:$C),Motor!$A:$A,Motor!$C:$C)+_xludf.XLOOKUP(_xludf.XLOOKUP(B2155,Inventory!$A:$A,Inventory!$D:$D),Frame!$A:$A,Frame!$C:$C)+#REF!,""))</f>
        <v/>
      </c>
      <c r="E2155" s="4">
        <v>45723</v>
      </c>
      <c r="F2155" s="1" t="s">
        <v>63</v>
      </c>
    </row>
    <row r="2156" spans="1:6" x14ac:dyDescent="0.25">
      <c r="A2156" s="1" t="s">
        <v>4322</v>
      </c>
      <c r="B2156" s="1" t="s">
        <v>4323</v>
      </c>
      <c r="C2156" s="3">
        <v>200</v>
      </c>
      <c r="D2156" s="3" t="str">
        <f ca="1">IF(B2156="","",IFERROR(_xludf.XLOOKUP(_xludf.XLOOKUP(B2156,Inventory!$A:$A,Inventory!$B:$B),Blades!$A:$A,Blades!$C:$C)+_xludf.XLOOKUP(_xludf.XLOOKUP(B2156,Inventory!$A:$A,Inventory!$C:$C),Motor!$A:$A,Motor!$C:$C)+_xludf.XLOOKUP(_xludf.XLOOKUP(B2156,Inventory!$A:$A,Inventory!$D:$D),Frame!$A:$A,Frame!$C:$C)+#REF!,""))</f>
        <v/>
      </c>
      <c r="E2156" s="4">
        <v>45724</v>
      </c>
      <c r="F2156" s="1" t="s">
        <v>20</v>
      </c>
    </row>
    <row r="2157" spans="1:6" x14ac:dyDescent="0.25">
      <c r="A2157" s="1" t="s">
        <v>4324</v>
      </c>
      <c r="B2157" s="1" t="s">
        <v>4325</v>
      </c>
      <c r="C2157" s="3">
        <v>200</v>
      </c>
      <c r="D2157" s="3" t="str">
        <f ca="1">IF(B2157="","",IFERROR(_xludf.XLOOKUP(_xludf.XLOOKUP(B2157,Inventory!$A:$A,Inventory!$B:$B),Blades!$A:$A,Blades!$C:$C)+_xludf.XLOOKUP(_xludf.XLOOKUP(B2157,Inventory!$A:$A,Inventory!$C:$C),Motor!$A:$A,Motor!$C:$C)+_xludf.XLOOKUP(_xludf.XLOOKUP(B2157,Inventory!$A:$A,Inventory!$D:$D),Frame!$A:$A,Frame!$C:$C)+#REF!,""))</f>
        <v/>
      </c>
      <c r="E2157" s="4">
        <v>45724</v>
      </c>
      <c r="F2157" s="1" t="s">
        <v>11</v>
      </c>
    </row>
    <row r="2158" spans="1:6" x14ac:dyDescent="0.25">
      <c r="A2158" s="1" t="s">
        <v>4326</v>
      </c>
      <c r="B2158" s="1" t="s">
        <v>4327</v>
      </c>
      <c r="C2158" s="3">
        <v>200</v>
      </c>
      <c r="D2158" s="3" t="str">
        <f ca="1">IF(B2158="","",IFERROR(_xludf.XLOOKUP(_xludf.XLOOKUP(B2158,Inventory!$A:$A,Inventory!$B:$B),Blades!$A:$A,Blades!$C:$C)+_xludf.XLOOKUP(_xludf.XLOOKUP(B2158,Inventory!$A:$A,Inventory!$C:$C),Motor!$A:$A,Motor!$C:$C)+_xludf.XLOOKUP(_xludf.XLOOKUP(B2158,Inventory!$A:$A,Inventory!$D:$D),Frame!$A:$A,Frame!$C:$C)+#REF!,""))</f>
        <v/>
      </c>
      <c r="E2158" s="4">
        <v>45726</v>
      </c>
      <c r="F2158" s="1" t="s">
        <v>8</v>
      </c>
    </row>
    <row r="2159" spans="1:6" x14ac:dyDescent="0.25">
      <c r="A2159" s="1" t="s">
        <v>4328</v>
      </c>
      <c r="B2159" s="1" t="s">
        <v>4329</v>
      </c>
      <c r="C2159" s="3">
        <v>200</v>
      </c>
      <c r="D2159" s="3" t="str">
        <f ca="1">IF(B2159="","",IFERROR(_xludf.XLOOKUP(_xludf.XLOOKUP(B2159,Inventory!$A:$A,Inventory!$B:$B),Blades!$A:$A,Blades!$C:$C)+_xludf.XLOOKUP(_xludf.XLOOKUP(B2159,Inventory!$A:$A,Inventory!$C:$C),Motor!$A:$A,Motor!$C:$C)+_xludf.XLOOKUP(_xludf.XLOOKUP(B2159,Inventory!$A:$A,Inventory!$D:$D),Frame!$A:$A,Frame!$C:$C)+#REF!,""))</f>
        <v/>
      </c>
      <c r="E2159" s="4">
        <v>45727</v>
      </c>
      <c r="F2159" s="1" t="s">
        <v>52</v>
      </c>
    </row>
    <row r="2160" spans="1:6" x14ac:dyDescent="0.25">
      <c r="A2160" s="1" t="s">
        <v>4330</v>
      </c>
      <c r="B2160" s="1" t="s">
        <v>4331</v>
      </c>
      <c r="C2160" s="3">
        <v>200</v>
      </c>
      <c r="D2160" s="3" t="str">
        <f ca="1">IF(B2160="","",IFERROR(_xludf.XLOOKUP(_xludf.XLOOKUP(B2160,Inventory!$A:$A,Inventory!$B:$B),Blades!$A:$A,Blades!$C:$C)+_xludf.XLOOKUP(_xludf.XLOOKUP(B2160,Inventory!$A:$A,Inventory!$C:$C),Motor!$A:$A,Motor!$C:$C)+_xludf.XLOOKUP(_xludf.XLOOKUP(B2160,Inventory!$A:$A,Inventory!$D:$D),Frame!$A:$A,Frame!$C:$C)+#REF!,""))</f>
        <v/>
      </c>
      <c r="E2160" s="4">
        <v>45727</v>
      </c>
      <c r="F2160" s="1" t="s">
        <v>20</v>
      </c>
    </row>
    <row r="2161" spans="1:6" x14ac:dyDescent="0.25">
      <c r="A2161" s="1" t="s">
        <v>4332</v>
      </c>
      <c r="B2161" s="1" t="s">
        <v>4333</v>
      </c>
      <c r="C2161" s="3">
        <v>200</v>
      </c>
      <c r="D2161" s="3" t="str">
        <f ca="1">IF(B2161="","",IFERROR(_xludf.XLOOKUP(_xludf.XLOOKUP(B2161,Inventory!$A:$A,Inventory!$B:$B),Blades!$A:$A,Blades!$C:$C)+_xludf.XLOOKUP(_xludf.XLOOKUP(B2161,Inventory!$A:$A,Inventory!$C:$C),Motor!$A:$A,Motor!$C:$C)+_xludf.XLOOKUP(_xludf.XLOOKUP(B2161,Inventory!$A:$A,Inventory!$D:$D),Frame!$A:$A,Frame!$C:$C)+#REF!,""))</f>
        <v/>
      </c>
      <c r="E2161" s="4">
        <v>45728</v>
      </c>
      <c r="F2161" s="1" t="s">
        <v>49</v>
      </c>
    </row>
    <row r="2162" spans="1:6" x14ac:dyDescent="0.25">
      <c r="A2162" s="1" t="s">
        <v>4334</v>
      </c>
      <c r="B2162" s="1" t="s">
        <v>4335</v>
      </c>
      <c r="C2162" s="3">
        <v>200</v>
      </c>
      <c r="D2162" s="3" t="str">
        <f ca="1">IF(B2162="","",IFERROR(_xludf.XLOOKUP(_xludf.XLOOKUP(B2162,Inventory!$A:$A,Inventory!$B:$B),Blades!$A:$A,Blades!$C:$C)+_xludf.XLOOKUP(_xludf.XLOOKUP(B2162,Inventory!$A:$A,Inventory!$C:$C),Motor!$A:$A,Motor!$C:$C)+_xludf.XLOOKUP(_xludf.XLOOKUP(B2162,Inventory!$A:$A,Inventory!$D:$D),Frame!$A:$A,Frame!$C:$C)+#REF!,""))</f>
        <v/>
      </c>
      <c r="E2162" s="4">
        <v>45728</v>
      </c>
      <c r="F2162" s="1" t="s">
        <v>63</v>
      </c>
    </row>
    <row r="2163" spans="1:6" x14ac:dyDescent="0.25">
      <c r="A2163" s="1" t="s">
        <v>4336</v>
      </c>
      <c r="B2163" s="1" t="s">
        <v>4337</v>
      </c>
      <c r="C2163" s="3">
        <v>200</v>
      </c>
      <c r="D2163" s="3" t="str">
        <f ca="1">IF(B2163="","",IFERROR(_xludf.XLOOKUP(_xludf.XLOOKUP(B2163,Inventory!$A:$A,Inventory!$B:$B),Blades!$A:$A,Blades!$C:$C)+_xludf.XLOOKUP(_xludf.XLOOKUP(B2163,Inventory!$A:$A,Inventory!$C:$C),Motor!$A:$A,Motor!$C:$C)+_xludf.XLOOKUP(_xludf.XLOOKUP(B2163,Inventory!$A:$A,Inventory!$D:$D),Frame!$A:$A,Frame!$C:$C)+#REF!,""))</f>
        <v/>
      </c>
      <c r="E2163" s="4">
        <v>45728</v>
      </c>
      <c r="F2163" s="1" t="s">
        <v>49</v>
      </c>
    </row>
    <row r="2164" spans="1:6" x14ac:dyDescent="0.25">
      <c r="A2164" s="1" t="s">
        <v>4338</v>
      </c>
      <c r="B2164" s="1" t="s">
        <v>4339</v>
      </c>
      <c r="C2164" s="3">
        <v>200</v>
      </c>
      <c r="D2164" s="3" t="str">
        <f ca="1">IF(B2164="","",IFERROR(_xludf.XLOOKUP(_xludf.XLOOKUP(B2164,Inventory!$A:$A,Inventory!$B:$B),Blades!$A:$A,Blades!$C:$C)+_xludf.XLOOKUP(_xludf.XLOOKUP(B2164,Inventory!$A:$A,Inventory!$C:$C),Motor!$A:$A,Motor!$C:$C)+_xludf.XLOOKUP(_xludf.XLOOKUP(B2164,Inventory!$A:$A,Inventory!$D:$D),Frame!$A:$A,Frame!$C:$C)+#REF!,""))</f>
        <v/>
      </c>
      <c r="E2164" s="4">
        <v>45729</v>
      </c>
      <c r="F2164" s="1" t="s">
        <v>52</v>
      </c>
    </row>
    <row r="2165" spans="1:6" x14ac:dyDescent="0.25">
      <c r="A2165" s="1" t="s">
        <v>4340</v>
      </c>
      <c r="B2165" s="1" t="s">
        <v>4341</v>
      </c>
      <c r="C2165" s="3">
        <v>200</v>
      </c>
      <c r="D2165" s="3" t="str">
        <f ca="1">IF(B2165="","",IFERROR(_xludf.XLOOKUP(_xludf.XLOOKUP(B2165,Inventory!$A:$A,Inventory!$B:$B),Blades!$A:$A,Blades!$C:$C)+_xludf.XLOOKUP(_xludf.XLOOKUP(B2165,Inventory!$A:$A,Inventory!$C:$C),Motor!$A:$A,Motor!$C:$C)+_xludf.XLOOKUP(_xludf.XLOOKUP(B2165,Inventory!$A:$A,Inventory!$D:$D),Frame!$A:$A,Frame!$C:$C)+#REF!,""))</f>
        <v/>
      </c>
      <c r="E2165" s="4">
        <v>45729</v>
      </c>
      <c r="F2165" s="1" t="s">
        <v>11</v>
      </c>
    </row>
    <row r="2166" spans="1:6" x14ac:dyDescent="0.25">
      <c r="A2166" s="1" t="s">
        <v>4342</v>
      </c>
      <c r="B2166" s="1" t="s">
        <v>4343</v>
      </c>
      <c r="C2166" s="3">
        <v>200</v>
      </c>
      <c r="D2166" s="3" t="str">
        <f ca="1">IF(B2166="","",IFERROR(_xludf.XLOOKUP(_xludf.XLOOKUP(B2166,Inventory!$A:$A,Inventory!$B:$B),Blades!$A:$A,Blades!$C:$C)+_xludf.XLOOKUP(_xludf.XLOOKUP(B2166,Inventory!$A:$A,Inventory!$C:$C),Motor!$A:$A,Motor!$C:$C)+_xludf.XLOOKUP(_xludf.XLOOKUP(B2166,Inventory!$A:$A,Inventory!$D:$D),Frame!$A:$A,Frame!$C:$C)+#REF!,""))</f>
        <v/>
      </c>
      <c r="E2166" s="4">
        <v>45729</v>
      </c>
      <c r="F2166" s="1" t="s">
        <v>25</v>
      </c>
    </row>
    <row r="2167" spans="1:6" x14ac:dyDescent="0.25">
      <c r="A2167" s="1" t="s">
        <v>4344</v>
      </c>
      <c r="B2167" s="1" t="s">
        <v>4345</v>
      </c>
      <c r="C2167" s="3">
        <v>200</v>
      </c>
      <c r="D2167" s="3" t="str">
        <f ca="1">IF(B2167="","",IFERROR(_xludf.XLOOKUP(_xludf.XLOOKUP(B2167,Inventory!$A:$A,Inventory!$B:$B),Blades!$A:$A,Blades!$C:$C)+_xludf.XLOOKUP(_xludf.XLOOKUP(B2167,Inventory!$A:$A,Inventory!$C:$C),Motor!$A:$A,Motor!$C:$C)+_xludf.XLOOKUP(_xludf.XLOOKUP(B2167,Inventory!$A:$A,Inventory!$D:$D),Frame!$A:$A,Frame!$C:$C)+#REF!,""))</f>
        <v/>
      </c>
      <c r="E2167" s="4">
        <v>45729</v>
      </c>
      <c r="F2167" s="1" t="s">
        <v>49</v>
      </c>
    </row>
    <row r="2168" spans="1:6" x14ac:dyDescent="0.25">
      <c r="A2168" s="1" t="s">
        <v>4346</v>
      </c>
      <c r="B2168" s="1" t="s">
        <v>4347</v>
      </c>
      <c r="C2168" s="3">
        <v>200</v>
      </c>
      <c r="D2168" s="3" t="str">
        <f ca="1">IF(B2168="","",IFERROR(_xludf.XLOOKUP(_xludf.XLOOKUP(B2168,Inventory!$A:$A,Inventory!$B:$B),Blades!$A:$A,Blades!$C:$C)+_xludf.XLOOKUP(_xludf.XLOOKUP(B2168,Inventory!$A:$A,Inventory!$C:$C),Motor!$A:$A,Motor!$C:$C)+_xludf.XLOOKUP(_xludf.XLOOKUP(B2168,Inventory!$A:$A,Inventory!$D:$D),Frame!$A:$A,Frame!$C:$C)+#REF!,""))</f>
        <v/>
      </c>
      <c r="E2168" s="4">
        <v>45729</v>
      </c>
      <c r="F2168" s="1" t="s">
        <v>25</v>
      </c>
    </row>
    <row r="2169" spans="1:6" x14ac:dyDescent="0.25">
      <c r="A2169" s="1" t="s">
        <v>4348</v>
      </c>
      <c r="B2169" s="1" t="s">
        <v>4349</v>
      </c>
      <c r="C2169" s="3">
        <v>200</v>
      </c>
      <c r="D2169" s="3" t="str">
        <f ca="1">IF(B2169="","",IFERROR(_xludf.XLOOKUP(_xludf.XLOOKUP(B2169,Inventory!$A:$A,Inventory!$B:$B),Blades!$A:$A,Blades!$C:$C)+_xludf.XLOOKUP(_xludf.XLOOKUP(B2169,Inventory!$A:$A,Inventory!$C:$C),Motor!$A:$A,Motor!$C:$C)+_xludf.XLOOKUP(_xludf.XLOOKUP(B2169,Inventory!$A:$A,Inventory!$D:$D),Frame!$A:$A,Frame!$C:$C)+#REF!,""))</f>
        <v/>
      </c>
      <c r="E2169" s="4">
        <v>45729</v>
      </c>
      <c r="F2169" s="1" t="s">
        <v>32</v>
      </c>
    </row>
    <row r="2170" spans="1:6" x14ac:dyDescent="0.25">
      <c r="A2170" s="1" t="s">
        <v>4350</v>
      </c>
      <c r="B2170" s="1" t="s">
        <v>4351</v>
      </c>
      <c r="C2170" s="3">
        <v>200</v>
      </c>
      <c r="D2170" s="3" t="str">
        <f ca="1">IF(B2170="","",IFERROR(_xludf.XLOOKUP(_xludf.XLOOKUP(B2170,Inventory!$A:$A,Inventory!$B:$B),Blades!$A:$A,Blades!$C:$C)+_xludf.XLOOKUP(_xludf.XLOOKUP(B2170,Inventory!$A:$A,Inventory!$C:$C),Motor!$A:$A,Motor!$C:$C)+_xludf.XLOOKUP(_xludf.XLOOKUP(B2170,Inventory!$A:$A,Inventory!$D:$D),Frame!$A:$A,Frame!$C:$C)+#REF!,""))</f>
        <v/>
      </c>
      <c r="E2170" s="4">
        <v>45730</v>
      </c>
      <c r="F2170" s="1" t="s">
        <v>63</v>
      </c>
    </row>
    <row r="2171" spans="1:6" x14ac:dyDescent="0.25">
      <c r="A2171" s="1" t="s">
        <v>4352</v>
      </c>
      <c r="B2171" s="1" t="s">
        <v>4353</v>
      </c>
      <c r="C2171" s="3">
        <v>200</v>
      </c>
      <c r="D2171" s="3" t="str">
        <f ca="1">IF(B2171="","",IFERROR(_xludf.XLOOKUP(_xludf.XLOOKUP(B2171,Inventory!$A:$A,Inventory!$B:$B),Blades!$A:$A,Blades!$C:$C)+_xludf.XLOOKUP(_xludf.XLOOKUP(B2171,Inventory!$A:$A,Inventory!$C:$C),Motor!$A:$A,Motor!$C:$C)+_xludf.XLOOKUP(_xludf.XLOOKUP(B2171,Inventory!$A:$A,Inventory!$D:$D),Frame!$A:$A,Frame!$C:$C)+#REF!,""))</f>
        <v/>
      </c>
      <c r="E2171" s="4">
        <v>45730</v>
      </c>
      <c r="F2171" s="1" t="s">
        <v>52</v>
      </c>
    </row>
    <row r="2172" spans="1:6" x14ac:dyDescent="0.25">
      <c r="A2172" s="1" t="s">
        <v>4354</v>
      </c>
      <c r="B2172" s="1" t="s">
        <v>4355</v>
      </c>
      <c r="C2172" s="3">
        <v>200</v>
      </c>
      <c r="D2172" s="3" t="str">
        <f ca="1">IF(B2172="","",IFERROR(_xludf.XLOOKUP(_xludf.XLOOKUP(B2172,Inventory!$A:$A,Inventory!$B:$B),Blades!$A:$A,Blades!$C:$C)+_xludf.XLOOKUP(_xludf.XLOOKUP(B2172,Inventory!$A:$A,Inventory!$C:$C),Motor!$A:$A,Motor!$C:$C)+_xludf.XLOOKUP(_xludf.XLOOKUP(B2172,Inventory!$A:$A,Inventory!$D:$D),Frame!$A:$A,Frame!$C:$C)+#REF!,""))</f>
        <v/>
      </c>
      <c r="E2172" s="4">
        <v>45730</v>
      </c>
      <c r="F2172" s="1" t="s">
        <v>25</v>
      </c>
    </row>
    <row r="2173" spans="1:6" x14ac:dyDescent="0.25">
      <c r="A2173" s="1" t="s">
        <v>4356</v>
      </c>
      <c r="B2173" s="1" t="s">
        <v>4357</v>
      </c>
      <c r="C2173" s="3">
        <v>200</v>
      </c>
      <c r="D2173" s="3" t="str">
        <f ca="1">IF(B2173="","",IFERROR(_xludf.XLOOKUP(_xludf.XLOOKUP(B2173,Inventory!$A:$A,Inventory!$B:$B),Blades!$A:$A,Blades!$C:$C)+_xludf.XLOOKUP(_xludf.XLOOKUP(B2173,Inventory!$A:$A,Inventory!$C:$C),Motor!$A:$A,Motor!$C:$C)+_xludf.XLOOKUP(_xludf.XLOOKUP(B2173,Inventory!$A:$A,Inventory!$D:$D),Frame!$A:$A,Frame!$C:$C)+#REF!,""))</f>
        <v/>
      </c>
      <c r="E2173" s="4">
        <v>45731</v>
      </c>
      <c r="F2173" s="1" t="s">
        <v>8</v>
      </c>
    </row>
    <row r="2174" spans="1:6" x14ac:dyDescent="0.25">
      <c r="A2174" s="1" t="s">
        <v>4358</v>
      </c>
      <c r="B2174" s="1" t="s">
        <v>4359</v>
      </c>
      <c r="C2174" s="3">
        <v>200</v>
      </c>
      <c r="D2174" s="3" t="str">
        <f ca="1">IF(B2174="","",IFERROR(_xludf.XLOOKUP(_xludf.XLOOKUP(B2174,Inventory!$A:$A,Inventory!$B:$B),Blades!$A:$A,Blades!$C:$C)+_xludf.XLOOKUP(_xludf.XLOOKUP(B2174,Inventory!$A:$A,Inventory!$C:$C),Motor!$A:$A,Motor!$C:$C)+_xludf.XLOOKUP(_xludf.XLOOKUP(B2174,Inventory!$A:$A,Inventory!$D:$D),Frame!$A:$A,Frame!$C:$C)+#REF!,""))</f>
        <v/>
      </c>
      <c r="E2174" s="4">
        <v>45731</v>
      </c>
      <c r="F2174" s="1" t="s">
        <v>52</v>
      </c>
    </row>
    <row r="2175" spans="1:6" x14ac:dyDescent="0.25">
      <c r="A2175" s="1" t="s">
        <v>4360</v>
      </c>
      <c r="B2175" s="1" t="s">
        <v>4361</v>
      </c>
      <c r="C2175" s="3">
        <v>200</v>
      </c>
      <c r="D2175" s="3" t="str">
        <f ca="1">IF(B2175="","",IFERROR(_xludf.XLOOKUP(_xludf.XLOOKUP(B2175,Inventory!$A:$A,Inventory!$B:$B),Blades!$A:$A,Blades!$C:$C)+_xludf.XLOOKUP(_xludf.XLOOKUP(B2175,Inventory!$A:$A,Inventory!$C:$C),Motor!$A:$A,Motor!$C:$C)+_xludf.XLOOKUP(_xludf.XLOOKUP(B2175,Inventory!$A:$A,Inventory!$D:$D),Frame!$A:$A,Frame!$C:$C)+#REF!,""))</f>
        <v/>
      </c>
      <c r="E2175" s="4">
        <v>45732</v>
      </c>
      <c r="F2175" s="1" t="s">
        <v>20</v>
      </c>
    </row>
    <row r="2176" spans="1:6" x14ac:dyDescent="0.25">
      <c r="A2176" s="1" t="s">
        <v>4362</v>
      </c>
      <c r="B2176" s="1" t="s">
        <v>4363</v>
      </c>
      <c r="C2176" s="3">
        <v>200</v>
      </c>
      <c r="D2176" s="3" t="str">
        <f ca="1">IF(B2176="","",IFERROR(_xludf.XLOOKUP(_xludf.XLOOKUP(B2176,Inventory!$A:$A,Inventory!$B:$B),Blades!$A:$A,Blades!$C:$C)+_xludf.XLOOKUP(_xludf.XLOOKUP(B2176,Inventory!$A:$A,Inventory!$C:$C),Motor!$A:$A,Motor!$C:$C)+_xludf.XLOOKUP(_xludf.XLOOKUP(B2176,Inventory!$A:$A,Inventory!$D:$D),Frame!$A:$A,Frame!$C:$C)+#REF!,""))</f>
        <v/>
      </c>
      <c r="E2176" s="4">
        <v>45733</v>
      </c>
      <c r="F2176" s="1" t="s">
        <v>63</v>
      </c>
    </row>
    <row r="2177" spans="1:6" x14ac:dyDescent="0.25">
      <c r="A2177" s="1" t="s">
        <v>4364</v>
      </c>
      <c r="B2177" s="1" t="s">
        <v>4365</v>
      </c>
      <c r="C2177" s="3">
        <v>200</v>
      </c>
      <c r="D2177" s="3" t="str">
        <f ca="1">IF(B2177="","",IFERROR(_xludf.XLOOKUP(_xludf.XLOOKUP(B2177,Inventory!$A:$A,Inventory!$B:$B),Blades!$A:$A,Blades!$C:$C)+_xludf.XLOOKUP(_xludf.XLOOKUP(B2177,Inventory!$A:$A,Inventory!$C:$C),Motor!$A:$A,Motor!$C:$C)+_xludf.XLOOKUP(_xludf.XLOOKUP(B2177,Inventory!$A:$A,Inventory!$D:$D),Frame!$A:$A,Frame!$C:$C)+#REF!,""))</f>
        <v/>
      </c>
      <c r="E2177" s="4">
        <v>45733</v>
      </c>
      <c r="F2177" s="1" t="s">
        <v>20</v>
      </c>
    </row>
    <row r="2178" spans="1:6" x14ac:dyDescent="0.25">
      <c r="A2178" s="1" t="s">
        <v>4366</v>
      </c>
      <c r="B2178" s="1" t="s">
        <v>4367</v>
      </c>
      <c r="C2178" s="3">
        <v>200</v>
      </c>
      <c r="D2178" s="3" t="str">
        <f ca="1">IF(B2178="","",IFERROR(_xludf.XLOOKUP(_xludf.XLOOKUP(B2178,Inventory!$A:$A,Inventory!$B:$B),Blades!$A:$A,Blades!$C:$C)+_xludf.XLOOKUP(_xludf.XLOOKUP(B2178,Inventory!$A:$A,Inventory!$C:$C),Motor!$A:$A,Motor!$C:$C)+_xludf.XLOOKUP(_xludf.XLOOKUP(B2178,Inventory!$A:$A,Inventory!$D:$D),Frame!$A:$A,Frame!$C:$C)+#REF!,""))</f>
        <v/>
      </c>
      <c r="E2178" s="4">
        <v>45733</v>
      </c>
      <c r="F2178" s="1" t="s">
        <v>32</v>
      </c>
    </row>
    <row r="2179" spans="1:6" x14ac:dyDescent="0.25">
      <c r="A2179" s="1" t="s">
        <v>4368</v>
      </c>
      <c r="B2179" s="1" t="s">
        <v>4369</v>
      </c>
      <c r="C2179" s="3">
        <v>200</v>
      </c>
      <c r="D2179" s="3" t="str">
        <f ca="1">IF(B2179="","",IFERROR(_xludf.XLOOKUP(_xludf.XLOOKUP(B2179,Inventory!$A:$A,Inventory!$B:$B),Blades!$A:$A,Blades!$C:$C)+_xludf.XLOOKUP(_xludf.XLOOKUP(B2179,Inventory!$A:$A,Inventory!$C:$C),Motor!$A:$A,Motor!$C:$C)+_xludf.XLOOKUP(_xludf.XLOOKUP(B2179,Inventory!$A:$A,Inventory!$D:$D),Frame!$A:$A,Frame!$C:$C)+#REF!,""))</f>
        <v/>
      </c>
      <c r="E2179" s="4">
        <v>45733</v>
      </c>
      <c r="F2179" s="1" t="s">
        <v>63</v>
      </c>
    </row>
    <row r="2180" spans="1:6" x14ac:dyDescent="0.25">
      <c r="A2180" s="1" t="s">
        <v>4370</v>
      </c>
      <c r="B2180" s="1" t="s">
        <v>4371</v>
      </c>
      <c r="C2180" s="3">
        <v>200</v>
      </c>
      <c r="D2180" s="3" t="str">
        <f ca="1">IF(B2180="","",IFERROR(_xludf.XLOOKUP(_xludf.XLOOKUP(B2180,Inventory!$A:$A,Inventory!$B:$B),Blades!$A:$A,Blades!$C:$C)+_xludf.XLOOKUP(_xludf.XLOOKUP(B2180,Inventory!$A:$A,Inventory!$C:$C),Motor!$A:$A,Motor!$C:$C)+_xludf.XLOOKUP(_xludf.XLOOKUP(B2180,Inventory!$A:$A,Inventory!$D:$D),Frame!$A:$A,Frame!$C:$C)+#REF!,""))</f>
        <v/>
      </c>
      <c r="E2180" s="4">
        <v>45734</v>
      </c>
      <c r="F2180" s="1" t="s">
        <v>63</v>
      </c>
    </row>
    <row r="2181" spans="1:6" x14ac:dyDescent="0.25">
      <c r="A2181" s="1" t="s">
        <v>4372</v>
      </c>
      <c r="B2181" s="1" t="s">
        <v>4373</v>
      </c>
      <c r="C2181" s="3">
        <v>200</v>
      </c>
      <c r="D2181" s="3" t="str">
        <f ca="1">IF(B2181="","",IFERROR(_xludf.XLOOKUP(_xludf.XLOOKUP(B2181,Inventory!$A:$A,Inventory!$B:$B),Blades!$A:$A,Blades!$C:$C)+_xludf.XLOOKUP(_xludf.XLOOKUP(B2181,Inventory!$A:$A,Inventory!$C:$C),Motor!$A:$A,Motor!$C:$C)+_xludf.XLOOKUP(_xludf.XLOOKUP(B2181,Inventory!$A:$A,Inventory!$D:$D),Frame!$A:$A,Frame!$C:$C)+#REF!,""))</f>
        <v/>
      </c>
      <c r="E2181" s="4">
        <v>45735</v>
      </c>
      <c r="F2181" s="1" t="s">
        <v>8</v>
      </c>
    </row>
    <row r="2182" spans="1:6" x14ac:dyDescent="0.25">
      <c r="A2182" s="1" t="s">
        <v>4374</v>
      </c>
      <c r="B2182" s="1" t="s">
        <v>4375</v>
      </c>
      <c r="C2182" s="3">
        <v>200</v>
      </c>
      <c r="D2182" s="3" t="str">
        <f ca="1">IF(B2182="","",IFERROR(_xludf.XLOOKUP(_xludf.XLOOKUP(B2182,Inventory!$A:$A,Inventory!$B:$B),Blades!$A:$A,Blades!$C:$C)+_xludf.XLOOKUP(_xludf.XLOOKUP(B2182,Inventory!$A:$A,Inventory!$C:$C),Motor!$A:$A,Motor!$C:$C)+_xludf.XLOOKUP(_xludf.XLOOKUP(B2182,Inventory!$A:$A,Inventory!$D:$D),Frame!$A:$A,Frame!$C:$C)+#REF!,""))</f>
        <v/>
      </c>
      <c r="E2182" s="4">
        <v>45736</v>
      </c>
      <c r="F2182" s="1" t="s">
        <v>20</v>
      </c>
    </row>
    <row r="2183" spans="1:6" x14ac:dyDescent="0.25">
      <c r="A2183" s="1" t="s">
        <v>4376</v>
      </c>
      <c r="B2183" s="1" t="s">
        <v>4377</v>
      </c>
      <c r="C2183" s="3">
        <v>200</v>
      </c>
      <c r="D2183" s="3" t="str">
        <f ca="1">IF(B2183="","",IFERROR(_xludf.XLOOKUP(_xludf.XLOOKUP(B2183,Inventory!$A:$A,Inventory!$B:$B),Blades!$A:$A,Blades!$C:$C)+_xludf.XLOOKUP(_xludf.XLOOKUP(B2183,Inventory!$A:$A,Inventory!$C:$C),Motor!$A:$A,Motor!$C:$C)+_xludf.XLOOKUP(_xludf.XLOOKUP(B2183,Inventory!$A:$A,Inventory!$D:$D),Frame!$A:$A,Frame!$C:$C)+#REF!,""))</f>
        <v/>
      </c>
      <c r="E2183" s="4">
        <v>45737</v>
      </c>
      <c r="F2183" s="1" t="s">
        <v>52</v>
      </c>
    </row>
    <row r="2184" spans="1:6" x14ac:dyDescent="0.25">
      <c r="A2184" s="1" t="s">
        <v>4378</v>
      </c>
      <c r="B2184" s="1" t="s">
        <v>4379</v>
      </c>
      <c r="C2184" s="3">
        <v>200</v>
      </c>
      <c r="D2184" s="3" t="str">
        <f ca="1">IF(B2184="","",IFERROR(_xludf.XLOOKUP(_xludf.XLOOKUP(B2184,Inventory!$A:$A,Inventory!$B:$B),Blades!$A:$A,Blades!$C:$C)+_xludf.XLOOKUP(_xludf.XLOOKUP(B2184,Inventory!$A:$A,Inventory!$C:$C),Motor!$A:$A,Motor!$C:$C)+_xludf.XLOOKUP(_xludf.XLOOKUP(B2184,Inventory!$A:$A,Inventory!$D:$D),Frame!$A:$A,Frame!$C:$C)+#REF!,""))</f>
        <v/>
      </c>
      <c r="E2184" s="4">
        <v>45737</v>
      </c>
      <c r="F2184" s="1" t="s">
        <v>49</v>
      </c>
    </row>
    <row r="2185" spans="1:6" x14ac:dyDescent="0.25">
      <c r="A2185" s="1" t="s">
        <v>4380</v>
      </c>
      <c r="B2185" s="1" t="s">
        <v>4381</v>
      </c>
      <c r="C2185" s="3">
        <v>200</v>
      </c>
      <c r="D2185" s="3" t="str">
        <f ca="1">IF(B2185="","",IFERROR(_xludf.XLOOKUP(_xludf.XLOOKUP(B2185,Inventory!$A:$A,Inventory!$B:$B),Blades!$A:$A,Blades!$C:$C)+_xludf.XLOOKUP(_xludf.XLOOKUP(B2185,Inventory!$A:$A,Inventory!$C:$C),Motor!$A:$A,Motor!$C:$C)+_xludf.XLOOKUP(_xludf.XLOOKUP(B2185,Inventory!$A:$A,Inventory!$D:$D),Frame!$A:$A,Frame!$C:$C)+#REF!,""))</f>
        <v/>
      </c>
      <c r="E2185" s="4">
        <v>45738</v>
      </c>
      <c r="F2185" s="1" t="s">
        <v>25</v>
      </c>
    </row>
    <row r="2186" spans="1:6" x14ac:dyDescent="0.25">
      <c r="A2186" s="1" t="s">
        <v>4382</v>
      </c>
      <c r="B2186" s="1" t="s">
        <v>4383</v>
      </c>
      <c r="C2186" s="3">
        <v>200</v>
      </c>
      <c r="D2186" s="3" t="str">
        <f ca="1">IF(B2186="","",IFERROR(_xludf.XLOOKUP(_xludf.XLOOKUP(B2186,Inventory!$A:$A,Inventory!$B:$B),Blades!$A:$A,Blades!$C:$C)+_xludf.XLOOKUP(_xludf.XLOOKUP(B2186,Inventory!$A:$A,Inventory!$C:$C),Motor!$A:$A,Motor!$C:$C)+_xludf.XLOOKUP(_xludf.XLOOKUP(B2186,Inventory!$A:$A,Inventory!$D:$D),Frame!$A:$A,Frame!$C:$C)+#REF!,""))</f>
        <v/>
      </c>
      <c r="E2186" s="4">
        <v>45739</v>
      </c>
      <c r="F2186" s="1" t="s">
        <v>11</v>
      </c>
    </row>
    <row r="2187" spans="1:6" x14ac:dyDescent="0.25">
      <c r="A2187" s="1" t="s">
        <v>4384</v>
      </c>
      <c r="B2187" s="1" t="s">
        <v>4385</v>
      </c>
      <c r="C2187" s="3">
        <v>200</v>
      </c>
      <c r="D2187" s="3" t="str">
        <f ca="1">IF(B2187="","",IFERROR(_xludf.XLOOKUP(_xludf.XLOOKUP(B2187,Inventory!$A:$A,Inventory!$B:$B),Blades!$A:$A,Blades!$C:$C)+_xludf.XLOOKUP(_xludf.XLOOKUP(B2187,Inventory!$A:$A,Inventory!$C:$C),Motor!$A:$A,Motor!$C:$C)+_xludf.XLOOKUP(_xludf.XLOOKUP(B2187,Inventory!$A:$A,Inventory!$D:$D),Frame!$A:$A,Frame!$C:$C)+#REF!,""))</f>
        <v/>
      </c>
      <c r="E2187" s="4">
        <v>45739</v>
      </c>
      <c r="F2187" s="1" t="s">
        <v>11</v>
      </c>
    </row>
    <row r="2188" spans="1:6" x14ac:dyDescent="0.25">
      <c r="A2188" s="1" t="s">
        <v>4386</v>
      </c>
      <c r="B2188" s="1" t="s">
        <v>4387</v>
      </c>
      <c r="C2188" s="3">
        <v>200</v>
      </c>
      <c r="D2188" s="3" t="str">
        <f ca="1">IF(B2188="","",IFERROR(_xludf.XLOOKUP(_xludf.XLOOKUP(B2188,Inventory!$A:$A,Inventory!$B:$B),Blades!$A:$A,Blades!$C:$C)+_xludf.XLOOKUP(_xludf.XLOOKUP(B2188,Inventory!$A:$A,Inventory!$C:$C),Motor!$A:$A,Motor!$C:$C)+_xludf.XLOOKUP(_xludf.XLOOKUP(B2188,Inventory!$A:$A,Inventory!$D:$D),Frame!$A:$A,Frame!$C:$C)+#REF!,""))</f>
        <v/>
      </c>
      <c r="E2188" s="4">
        <v>45740</v>
      </c>
      <c r="F2188" s="1" t="s">
        <v>8</v>
      </c>
    </row>
    <row r="2189" spans="1:6" x14ac:dyDescent="0.25">
      <c r="A2189" s="1" t="s">
        <v>4388</v>
      </c>
      <c r="B2189" s="1" t="s">
        <v>4389</v>
      </c>
      <c r="C2189" s="3">
        <v>200</v>
      </c>
      <c r="D2189" s="3" t="str">
        <f ca="1">IF(B2189="","",IFERROR(_xludf.XLOOKUP(_xludf.XLOOKUP(B2189,Inventory!$A:$A,Inventory!$B:$B),Blades!$A:$A,Blades!$C:$C)+_xludf.XLOOKUP(_xludf.XLOOKUP(B2189,Inventory!$A:$A,Inventory!$C:$C),Motor!$A:$A,Motor!$C:$C)+_xludf.XLOOKUP(_xludf.XLOOKUP(B2189,Inventory!$A:$A,Inventory!$D:$D),Frame!$A:$A,Frame!$C:$C)+#REF!,""))</f>
        <v/>
      </c>
      <c r="E2189" s="4">
        <v>45741</v>
      </c>
      <c r="F2189" s="1" t="s">
        <v>8</v>
      </c>
    </row>
    <row r="2190" spans="1:6" x14ac:dyDescent="0.25">
      <c r="A2190" s="1" t="s">
        <v>4390</v>
      </c>
      <c r="B2190" s="1" t="s">
        <v>4391</v>
      </c>
      <c r="C2190" s="3">
        <v>200</v>
      </c>
      <c r="D2190" s="3" t="str">
        <f ca="1">IF(B2190="","",IFERROR(_xludf.XLOOKUP(_xludf.XLOOKUP(B2190,Inventory!$A:$A,Inventory!$B:$B),Blades!$A:$A,Blades!$C:$C)+_xludf.XLOOKUP(_xludf.XLOOKUP(B2190,Inventory!$A:$A,Inventory!$C:$C),Motor!$A:$A,Motor!$C:$C)+_xludf.XLOOKUP(_xludf.XLOOKUP(B2190,Inventory!$A:$A,Inventory!$D:$D),Frame!$A:$A,Frame!$C:$C)+#REF!,""))</f>
        <v/>
      </c>
      <c r="E2190" s="4">
        <v>45743</v>
      </c>
      <c r="F2190" s="1" t="s">
        <v>25</v>
      </c>
    </row>
    <row r="2191" spans="1:6" x14ac:dyDescent="0.25">
      <c r="A2191" s="1" t="s">
        <v>4392</v>
      </c>
      <c r="B2191" s="1" t="s">
        <v>4393</v>
      </c>
      <c r="C2191" s="3">
        <v>200</v>
      </c>
      <c r="D2191" s="3" t="str">
        <f ca="1">IF(B2191="","",IFERROR(_xludf.XLOOKUP(_xludf.XLOOKUP(B2191,Inventory!$A:$A,Inventory!$B:$B),Blades!$A:$A,Blades!$C:$C)+_xludf.XLOOKUP(_xludf.XLOOKUP(B2191,Inventory!$A:$A,Inventory!$C:$C),Motor!$A:$A,Motor!$C:$C)+_xludf.XLOOKUP(_xludf.XLOOKUP(B2191,Inventory!$A:$A,Inventory!$D:$D),Frame!$A:$A,Frame!$C:$C)+#REF!,""))</f>
        <v/>
      </c>
      <c r="E2191" s="4">
        <v>45743</v>
      </c>
      <c r="F2191" s="1" t="s">
        <v>49</v>
      </c>
    </row>
    <row r="2192" spans="1:6" x14ac:dyDescent="0.25">
      <c r="A2192" s="1" t="s">
        <v>4394</v>
      </c>
      <c r="B2192" s="1" t="s">
        <v>4395</v>
      </c>
      <c r="C2192" s="3">
        <v>200</v>
      </c>
      <c r="D2192" s="3" t="str">
        <f ca="1">IF(B2192="","",IFERROR(_xludf.XLOOKUP(_xludf.XLOOKUP(B2192,Inventory!$A:$A,Inventory!$B:$B),Blades!$A:$A,Blades!$C:$C)+_xludf.XLOOKUP(_xludf.XLOOKUP(B2192,Inventory!$A:$A,Inventory!$C:$C),Motor!$A:$A,Motor!$C:$C)+_xludf.XLOOKUP(_xludf.XLOOKUP(B2192,Inventory!$A:$A,Inventory!$D:$D),Frame!$A:$A,Frame!$C:$C)+#REF!,""))</f>
        <v/>
      </c>
      <c r="E2192" s="4">
        <v>45745</v>
      </c>
      <c r="F2192" s="1" t="s">
        <v>20</v>
      </c>
    </row>
    <row r="2193" spans="1:6" x14ac:dyDescent="0.25">
      <c r="A2193" s="1" t="s">
        <v>4396</v>
      </c>
      <c r="B2193" s="1" t="s">
        <v>4397</v>
      </c>
      <c r="C2193" s="3">
        <v>200</v>
      </c>
      <c r="D2193" s="3" t="str">
        <f ca="1">IF(B2193="","",IFERROR(_xludf.XLOOKUP(_xludf.XLOOKUP(B2193,Inventory!$A:$A,Inventory!$B:$B),Blades!$A:$A,Blades!$C:$C)+_xludf.XLOOKUP(_xludf.XLOOKUP(B2193,Inventory!$A:$A,Inventory!$C:$C),Motor!$A:$A,Motor!$C:$C)+_xludf.XLOOKUP(_xludf.XLOOKUP(B2193,Inventory!$A:$A,Inventory!$D:$D),Frame!$A:$A,Frame!$C:$C)+#REF!,""))</f>
        <v/>
      </c>
      <c r="E2193" s="4">
        <v>45745</v>
      </c>
      <c r="F2193" s="1" t="s">
        <v>8</v>
      </c>
    </row>
    <row r="2194" spans="1:6" x14ac:dyDescent="0.25">
      <c r="A2194" s="1" t="s">
        <v>4398</v>
      </c>
      <c r="B2194" s="1" t="s">
        <v>4399</v>
      </c>
      <c r="C2194" s="3">
        <v>200</v>
      </c>
      <c r="D2194" s="3" t="str">
        <f ca="1">IF(B2194="","",IFERROR(_xludf.XLOOKUP(_xludf.XLOOKUP(B2194,Inventory!$A:$A,Inventory!$B:$B),Blades!$A:$A,Blades!$C:$C)+_xludf.XLOOKUP(_xludf.XLOOKUP(B2194,Inventory!$A:$A,Inventory!$C:$C),Motor!$A:$A,Motor!$C:$C)+_xludf.XLOOKUP(_xludf.XLOOKUP(B2194,Inventory!$A:$A,Inventory!$D:$D),Frame!$A:$A,Frame!$C:$C)+#REF!,""))</f>
        <v/>
      </c>
      <c r="E2194" s="4">
        <v>45745</v>
      </c>
      <c r="F2194" s="1" t="s">
        <v>49</v>
      </c>
    </row>
    <row r="2195" spans="1:6" x14ac:dyDescent="0.25">
      <c r="A2195" s="1" t="s">
        <v>4400</v>
      </c>
      <c r="B2195" s="1" t="s">
        <v>4401</v>
      </c>
      <c r="C2195" s="3">
        <v>200</v>
      </c>
      <c r="D2195" s="3" t="str">
        <f ca="1">IF(B2195="","",IFERROR(_xludf.XLOOKUP(_xludf.XLOOKUP(B2195,Inventory!$A:$A,Inventory!$B:$B),Blades!$A:$A,Blades!$C:$C)+_xludf.XLOOKUP(_xludf.XLOOKUP(B2195,Inventory!$A:$A,Inventory!$C:$C),Motor!$A:$A,Motor!$C:$C)+_xludf.XLOOKUP(_xludf.XLOOKUP(B2195,Inventory!$A:$A,Inventory!$D:$D),Frame!$A:$A,Frame!$C:$C)+#REF!,""))</f>
        <v/>
      </c>
      <c r="E2195" s="4">
        <v>45746</v>
      </c>
      <c r="F2195" s="1" t="s">
        <v>11</v>
      </c>
    </row>
    <row r="2196" spans="1:6" x14ac:dyDescent="0.25">
      <c r="A2196" s="1" t="s">
        <v>4402</v>
      </c>
      <c r="B2196" s="1" t="s">
        <v>4403</v>
      </c>
      <c r="C2196" s="3">
        <v>200</v>
      </c>
      <c r="D2196" s="3" t="str">
        <f ca="1">IF(B2196="","",IFERROR(_xludf.XLOOKUP(_xludf.XLOOKUP(B2196,Inventory!$A:$A,Inventory!$B:$B),Blades!$A:$A,Blades!$C:$C)+_xludf.XLOOKUP(_xludf.XLOOKUP(B2196,Inventory!$A:$A,Inventory!$C:$C),Motor!$A:$A,Motor!$C:$C)+_xludf.XLOOKUP(_xludf.XLOOKUP(B2196,Inventory!$A:$A,Inventory!$D:$D),Frame!$A:$A,Frame!$C:$C)+#REF!,""))</f>
        <v/>
      </c>
      <c r="E2196" s="4">
        <v>45747</v>
      </c>
      <c r="F2196" s="1" t="s">
        <v>32</v>
      </c>
    </row>
    <row r="2197" spans="1:6" x14ac:dyDescent="0.25">
      <c r="A2197" s="1" t="s">
        <v>4404</v>
      </c>
      <c r="B2197" s="1" t="s">
        <v>4405</v>
      </c>
      <c r="C2197" s="3">
        <v>200</v>
      </c>
      <c r="D2197" s="3" t="str">
        <f ca="1">IF(B2197="","",IFERROR(_xludf.XLOOKUP(_xludf.XLOOKUP(B2197,Inventory!$A:$A,Inventory!$B:$B),Blades!$A:$A,Blades!$C:$C)+_xludf.XLOOKUP(_xludf.XLOOKUP(B2197,Inventory!$A:$A,Inventory!$C:$C),Motor!$A:$A,Motor!$C:$C)+_xludf.XLOOKUP(_xludf.XLOOKUP(B2197,Inventory!$A:$A,Inventory!$D:$D),Frame!$A:$A,Frame!$C:$C)+#REF!,""))</f>
        <v/>
      </c>
      <c r="E2197" s="4">
        <v>45747</v>
      </c>
      <c r="F2197" s="1" t="s">
        <v>32</v>
      </c>
    </row>
    <row r="2198" spans="1:6" x14ac:dyDescent="0.25">
      <c r="A2198" s="1" t="s">
        <v>4406</v>
      </c>
      <c r="B2198" s="1" t="s">
        <v>4407</v>
      </c>
      <c r="C2198" s="3">
        <v>200</v>
      </c>
      <c r="D2198" s="3" t="str">
        <f ca="1">IF(B2198="","",IFERROR(_xludf.XLOOKUP(_xludf.XLOOKUP(B2198,Inventory!$A:$A,Inventory!$B:$B),Blades!$A:$A,Blades!$C:$C)+_xludf.XLOOKUP(_xludf.XLOOKUP(B2198,Inventory!$A:$A,Inventory!$C:$C),Motor!$A:$A,Motor!$C:$C)+_xludf.XLOOKUP(_xludf.XLOOKUP(B2198,Inventory!$A:$A,Inventory!$D:$D),Frame!$A:$A,Frame!$C:$C)+#REF!,""))</f>
        <v/>
      </c>
      <c r="E2198" s="4">
        <v>45747</v>
      </c>
      <c r="F2198" s="1" t="s">
        <v>20</v>
      </c>
    </row>
    <row r="2199" spans="1:6" x14ac:dyDescent="0.25">
      <c r="A2199" s="1" t="s">
        <v>4408</v>
      </c>
      <c r="B2199" s="1" t="s">
        <v>4409</v>
      </c>
      <c r="C2199" s="3">
        <v>200</v>
      </c>
      <c r="D2199" s="3" t="str">
        <f ca="1">IF(B2199="","",IFERROR(_xludf.XLOOKUP(_xludf.XLOOKUP(B2199,Inventory!$A:$A,Inventory!$B:$B),Blades!$A:$A,Blades!$C:$C)+_xludf.XLOOKUP(_xludf.XLOOKUP(B2199,Inventory!$A:$A,Inventory!$C:$C),Motor!$A:$A,Motor!$C:$C)+_xludf.XLOOKUP(_xludf.XLOOKUP(B2199,Inventory!$A:$A,Inventory!$D:$D),Frame!$A:$A,Frame!$C:$C)+#REF!,""))</f>
        <v/>
      </c>
      <c r="E2199" s="4">
        <v>45747</v>
      </c>
      <c r="F2199" s="1" t="s">
        <v>32</v>
      </c>
    </row>
    <row r="2200" spans="1:6" x14ac:dyDescent="0.25">
      <c r="A2200" s="1" t="s">
        <v>4410</v>
      </c>
      <c r="B2200" s="1" t="s">
        <v>4411</v>
      </c>
      <c r="C2200" s="3">
        <v>200</v>
      </c>
      <c r="D2200" s="3" t="str">
        <f ca="1">IF(B2200="","",IFERROR(_xludf.XLOOKUP(_xludf.XLOOKUP(B2200,Inventory!$A:$A,Inventory!$B:$B),Blades!$A:$A,Blades!$C:$C)+_xludf.XLOOKUP(_xludf.XLOOKUP(B2200,Inventory!$A:$A,Inventory!$C:$C),Motor!$A:$A,Motor!$C:$C)+_xludf.XLOOKUP(_xludf.XLOOKUP(B2200,Inventory!$A:$A,Inventory!$D:$D),Frame!$A:$A,Frame!$C:$C)+#REF!,""))</f>
        <v/>
      </c>
      <c r="E2200" s="4">
        <v>45748</v>
      </c>
      <c r="F2200" s="1" t="s">
        <v>63</v>
      </c>
    </row>
    <row r="2201" spans="1:6" x14ac:dyDescent="0.25">
      <c r="A2201" s="1" t="s">
        <v>4412</v>
      </c>
      <c r="B2201" s="1" t="s">
        <v>4413</v>
      </c>
      <c r="C2201" s="3">
        <v>200</v>
      </c>
      <c r="D2201" s="3" t="str">
        <f ca="1">IF(B2201="","",IFERROR(_xludf.XLOOKUP(_xludf.XLOOKUP(B2201,Inventory!$A:$A,Inventory!$B:$B),Blades!$A:$A,Blades!$C:$C)+_xludf.XLOOKUP(_xludf.XLOOKUP(B2201,Inventory!$A:$A,Inventory!$C:$C),Motor!$A:$A,Motor!$C:$C)+_xludf.XLOOKUP(_xludf.XLOOKUP(B2201,Inventory!$A:$A,Inventory!$D:$D),Frame!$A:$A,Frame!$C:$C)+#REF!,""))</f>
        <v/>
      </c>
      <c r="E2201" s="4">
        <v>45750</v>
      </c>
      <c r="F2201" s="1" t="s">
        <v>63</v>
      </c>
    </row>
    <row r="2202" spans="1:6" x14ac:dyDescent="0.25">
      <c r="A2202" s="1" t="s">
        <v>4414</v>
      </c>
      <c r="B2202" s="1" t="s">
        <v>4415</v>
      </c>
      <c r="C2202" s="3">
        <v>200</v>
      </c>
      <c r="D2202" s="3" t="str">
        <f ca="1">IF(B2202="","",IFERROR(_xludf.XLOOKUP(_xludf.XLOOKUP(B2202,Inventory!$A:$A,Inventory!$B:$B),Blades!$A:$A,Blades!$C:$C)+_xludf.XLOOKUP(_xludf.XLOOKUP(B2202,Inventory!$A:$A,Inventory!$C:$C),Motor!$A:$A,Motor!$C:$C)+_xludf.XLOOKUP(_xludf.XLOOKUP(B2202,Inventory!$A:$A,Inventory!$D:$D),Frame!$A:$A,Frame!$C:$C)+#REF!,""))</f>
        <v/>
      </c>
      <c r="E2202" s="4">
        <v>45751</v>
      </c>
      <c r="F2202" s="1" t="s">
        <v>32</v>
      </c>
    </row>
    <row r="2203" spans="1:6" x14ac:dyDescent="0.25">
      <c r="A2203" s="1" t="s">
        <v>4416</v>
      </c>
      <c r="B2203" s="1" t="s">
        <v>4417</v>
      </c>
      <c r="C2203" s="3">
        <v>200</v>
      </c>
      <c r="D2203" s="3" t="str">
        <f ca="1">IF(B2203="","",IFERROR(_xludf.XLOOKUP(_xludf.XLOOKUP(B2203,Inventory!$A:$A,Inventory!$B:$B),Blades!$A:$A,Blades!$C:$C)+_xludf.XLOOKUP(_xludf.XLOOKUP(B2203,Inventory!$A:$A,Inventory!$C:$C),Motor!$A:$A,Motor!$C:$C)+_xludf.XLOOKUP(_xludf.XLOOKUP(B2203,Inventory!$A:$A,Inventory!$D:$D),Frame!$A:$A,Frame!$C:$C)+#REF!,""))</f>
        <v/>
      </c>
      <c r="E2203" s="4">
        <v>45752</v>
      </c>
      <c r="F2203" s="1" t="s">
        <v>49</v>
      </c>
    </row>
    <row r="2204" spans="1:6" x14ac:dyDescent="0.25">
      <c r="A2204" s="1" t="s">
        <v>4418</v>
      </c>
      <c r="B2204" s="1" t="s">
        <v>4419</v>
      </c>
      <c r="C2204" s="3">
        <v>200</v>
      </c>
      <c r="D2204" s="3" t="str">
        <f ca="1">IF(B2204="","",IFERROR(_xludf.XLOOKUP(_xludf.XLOOKUP(B2204,Inventory!$A:$A,Inventory!$B:$B),Blades!$A:$A,Blades!$C:$C)+_xludf.XLOOKUP(_xludf.XLOOKUP(B2204,Inventory!$A:$A,Inventory!$C:$C),Motor!$A:$A,Motor!$C:$C)+_xludf.XLOOKUP(_xludf.XLOOKUP(B2204,Inventory!$A:$A,Inventory!$D:$D),Frame!$A:$A,Frame!$C:$C)+#REF!,""))</f>
        <v/>
      </c>
      <c r="E2204" s="4">
        <v>45752</v>
      </c>
      <c r="F2204" s="1" t="s">
        <v>49</v>
      </c>
    </row>
    <row r="2205" spans="1:6" x14ac:dyDescent="0.25">
      <c r="A2205" s="1" t="s">
        <v>4420</v>
      </c>
      <c r="B2205" s="1" t="s">
        <v>4421</v>
      </c>
      <c r="C2205" s="3">
        <v>200</v>
      </c>
      <c r="D2205" s="3" t="str">
        <f ca="1">IF(B2205="","",IFERROR(_xludf.XLOOKUP(_xludf.XLOOKUP(B2205,Inventory!$A:$A,Inventory!$B:$B),Blades!$A:$A,Blades!$C:$C)+_xludf.XLOOKUP(_xludf.XLOOKUP(B2205,Inventory!$A:$A,Inventory!$C:$C),Motor!$A:$A,Motor!$C:$C)+_xludf.XLOOKUP(_xludf.XLOOKUP(B2205,Inventory!$A:$A,Inventory!$D:$D),Frame!$A:$A,Frame!$C:$C)+#REF!,""))</f>
        <v/>
      </c>
      <c r="E2205" s="4">
        <v>45752</v>
      </c>
      <c r="F2205" s="1" t="s">
        <v>32</v>
      </c>
    </row>
    <row r="2206" spans="1:6" x14ac:dyDescent="0.25">
      <c r="A2206" s="1" t="s">
        <v>4422</v>
      </c>
      <c r="B2206" s="1" t="s">
        <v>4423</v>
      </c>
      <c r="C2206" s="3">
        <v>200</v>
      </c>
      <c r="D2206" s="3" t="str">
        <f ca="1">IF(B2206="","",IFERROR(_xludf.XLOOKUP(_xludf.XLOOKUP(B2206,Inventory!$A:$A,Inventory!$B:$B),Blades!$A:$A,Blades!$C:$C)+_xludf.XLOOKUP(_xludf.XLOOKUP(B2206,Inventory!$A:$A,Inventory!$C:$C),Motor!$A:$A,Motor!$C:$C)+_xludf.XLOOKUP(_xludf.XLOOKUP(B2206,Inventory!$A:$A,Inventory!$D:$D),Frame!$A:$A,Frame!$C:$C)+#REF!,""))</f>
        <v/>
      </c>
      <c r="E2206" s="4">
        <v>45752</v>
      </c>
      <c r="F2206" s="1" t="s">
        <v>49</v>
      </c>
    </row>
    <row r="2207" spans="1:6" x14ac:dyDescent="0.25">
      <c r="A2207" s="1" t="s">
        <v>4424</v>
      </c>
      <c r="B2207" s="1" t="s">
        <v>4425</v>
      </c>
      <c r="C2207" s="3">
        <v>200</v>
      </c>
      <c r="D2207" s="3" t="str">
        <f ca="1">IF(B2207="","",IFERROR(_xludf.XLOOKUP(_xludf.XLOOKUP(B2207,Inventory!$A:$A,Inventory!$B:$B),Blades!$A:$A,Blades!$C:$C)+_xludf.XLOOKUP(_xludf.XLOOKUP(B2207,Inventory!$A:$A,Inventory!$C:$C),Motor!$A:$A,Motor!$C:$C)+_xludf.XLOOKUP(_xludf.XLOOKUP(B2207,Inventory!$A:$A,Inventory!$D:$D),Frame!$A:$A,Frame!$C:$C)+#REF!,""))</f>
        <v/>
      </c>
      <c r="E2207" s="4">
        <v>45753</v>
      </c>
      <c r="F2207" s="1" t="s">
        <v>25</v>
      </c>
    </row>
    <row r="2208" spans="1:6" x14ac:dyDescent="0.25">
      <c r="A2208" s="1" t="s">
        <v>4426</v>
      </c>
      <c r="B2208" s="1" t="s">
        <v>4427</v>
      </c>
      <c r="C2208" s="3">
        <v>200</v>
      </c>
      <c r="D2208" s="3" t="str">
        <f ca="1">IF(B2208="","",IFERROR(_xludf.XLOOKUP(_xludf.XLOOKUP(B2208,Inventory!$A:$A,Inventory!$B:$B),Blades!$A:$A,Blades!$C:$C)+_xludf.XLOOKUP(_xludf.XLOOKUP(B2208,Inventory!$A:$A,Inventory!$C:$C),Motor!$A:$A,Motor!$C:$C)+_xludf.XLOOKUP(_xludf.XLOOKUP(B2208,Inventory!$A:$A,Inventory!$D:$D),Frame!$A:$A,Frame!$C:$C)+#REF!,""))</f>
        <v/>
      </c>
      <c r="E2208" s="4">
        <v>45755</v>
      </c>
      <c r="F2208" s="1" t="s">
        <v>8</v>
      </c>
    </row>
    <row r="2209" spans="1:6" x14ac:dyDescent="0.25">
      <c r="A2209" s="1" t="s">
        <v>4428</v>
      </c>
      <c r="B2209" s="1" t="s">
        <v>4429</v>
      </c>
      <c r="C2209" s="3">
        <v>200</v>
      </c>
      <c r="D2209" s="3" t="str">
        <f ca="1">IF(B2209="","",IFERROR(_xludf.XLOOKUP(_xludf.XLOOKUP(B2209,Inventory!$A:$A,Inventory!$B:$B),Blades!$A:$A,Blades!$C:$C)+_xludf.XLOOKUP(_xludf.XLOOKUP(B2209,Inventory!$A:$A,Inventory!$C:$C),Motor!$A:$A,Motor!$C:$C)+_xludf.XLOOKUP(_xludf.XLOOKUP(B2209,Inventory!$A:$A,Inventory!$D:$D),Frame!$A:$A,Frame!$C:$C)+#REF!,""))</f>
        <v/>
      </c>
      <c r="E2209" s="4">
        <v>45755</v>
      </c>
      <c r="F2209" s="1" t="s">
        <v>32</v>
      </c>
    </row>
    <row r="2210" spans="1:6" x14ac:dyDescent="0.25">
      <c r="A2210" s="1" t="s">
        <v>4430</v>
      </c>
      <c r="B2210" s="1" t="s">
        <v>4431</v>
      </c>
      <c r="C2210" s="3">
        <v>200</v>
      </c>
      <c r="D2210" s="3" t="str">
        <f ca="1">IF(B2210="","",IFERROR(_xludf.XLOOKUP(_xludf.XLOOKUP(B2210,Inventory!$A:$A,Inventory!$B:$B),Blades!$A:$A,Blades!$C:$C)+_xludf.XLOOKUP(_xludf.XLOOKUP(B2210,Inventory!$A:$A,Inventory!$C:$C),Motor!$A:$A,Motor!$C:$C)+_xludf.XLOOKUP(_xludf.XLOOKUP(B2210,Inventory!$A:$A,Inventory!$D:$D),Frame!$A:$A,Frame!$C:$C)+#REF!,""))</f>
        <v/>
      </c>
      <c r="E2210" s="4">
        <v>45756</v>
      </c>
      <c r="F2210" s="1" t="s">
        <v>49</v>
      </c>
    </row>
    <row r="2211" spans="1:6" x14ac:dyDescent="0.25">
      <c r="A2211" s="1" t="s">
        <v>4432</v>
      </c>
      <c r="B2211" s="1" t="s">
        <v>4433</v>
      </c>
      <c r="C2211" s="3">
        <v>200</v>
      </c>
      <c r="D2211" s="3" t="str">
        <f ca="1">IF(B2211="","",IFERROR(_xludf.XLOOKUP(_xludf.XLOOKUP(B2211,Inventory!$A:$A,Inventory!$B:$B),Blades!$A:$A,Blades!$C:$C)+_xludf.XLOOKUP(_xludf.XLOOKUP(B2211,Inventory!$A:$A,Inventory!$C:$C),Motor!$A:$A,Motor!$C:$C)+_xludf.XLOOKUP(_xludf.XLOOKUP(B2211,Inventory!$A:$A,Inventory!$D:$D),Frame!$A:$A,Frame!$C:$C)+#REF!,""))</f>
        <v/>
      </c>
      <c r="E2211" s="4">
        <v>45757</v>
      </c>
      <c r="F2211" s="1" t="s">
        <v>20</v>
      </c>
    </row>
    <row r="2212" spans="1:6" x14ac:dyDescent="0.25">
      <c r="A2212" s="1" t="s">
        <v>4434</v>
      </c>
      <c r="B2212" s="1" t="s">
        <v>4435</v>
      </c>
      <c r="C2212" s="3">
        <v>200</v>
      </c>
      <c r="D2212" s="3" t="str">
        <f ca="1">IF(B2212="","",IFERROR(_xludf.XLOOKUP(_xludf.XLOOKUP(B2212,Inventory!$A:$A,Inventory!$B:$B),Blades!$A:$A,Blades!$C:$C)+_xludf.XLOOKUP(_xludf.XLOOKUP(B2212,Inventory!$A:$A,Inventory!$C:$C),Motor!$A:$A,Motor!$C:$C)+_xludf.XLOOKUP(_xludf.XLOOKUP(B2212,Inventory!$A:$A,Inventory!$D:$D),Frame!$A:$A,Frame!$C:$C)+#REF!,""))</f>
        <v/>
      </c>
      <c r="E2212" s="4">
        <v>45758</v>
      </c>
      <c r="F2212" s="1" t="s">
        <v>20</v>
      </c>
    </row>
    <row r="2213" spans="1:6" x14ac:dyDescent="0.25">
      <c r="A2213" s="1" t="s">
        <v>4436</v>
      </c>
      <c r="B2213" s="1" t="s">
        <v>4437</v>
      </c>
      <c r="C2213" s="3">
        <v>200</v>
      </c>
      <c r="D2213" s="3" t="str">
        <f ca="1">IF(B2213="","",IFERROR(_xludf.XLOOKUP(_xludf.XLOOKUP(B2213,Inventory!$A:$A,Inventory!$B:$B),Blades!$A:$A,Blades!$C:$C)+_xludf.XLOOKUP(_xludf.XLOOKUP(B2213,Inventory!$A:$A,Inventory!$C:$C),Motor!$A:$A,Motor!$C:$C)+_xludf.XLOOKUP(_xludf.XLOOKUP(B2213,Inventory!$A:$A,Inventory!$D:$D),Frame!$A:$A,Frame!$C:$C)+#REF!,""))</f>
        <v/>
      </c>
      <c r="E2213" s="4">
        <v>45758</v>
      </c>
      <c r="F2213" s="1" t="s">
        <v>52</v>
      </c>
    </row>
    <row r="2214" spans="1:6" x14ac:dyDescent="0.25">
      <c r="A2214" s="1" t="s">
        <v>4438</v>
      </c>
      <c r="B2214" s="1" t="s">
        <v>4439</v>
      </c>
      <c r="C2214" s="3">
        <v>200</v>
      </c>
      <c r="D2214" s="3" t="str">
        <f ca="1">IF(B2214="","",IFERROR(_xludf.XLOOKUP(_xludf.XLOOKUP(B2214,Inventory!$A:$A,Inventory!$B:$B),Blades!$A:$A,Blades!$C:$C)+_xludf.XLOOKUP(_xludf.XLOOKUP(B2214,Inventory!$A:$A,Inventory!$C:$C),Motor!$A:$A,Motor!$C:$C)+_xludf.XLOOKUP(_xludf.XLOOKUP(B2214,Inventory!$A:$A,Inventory!$D:$D),Frame!$A:$A,Frame!$C:$C)+#REF!,""))</f>
        <v/>
      </c>
      <c r="E2214" s="4">
        <v>45760</v>
      </c>
      <c r="F2214" s="1" t="s">
        <v>63</v>
      </c>
    </row>
    <row r="2215" spans="1:6" x14ac:dyDescent="0.25">
      <c r="A2215" s="1" t="s">
        <v>4440</v>
      </c>
      <c r="B2215" s="1" t="s">
        <v>4441</v>
      </c>
      <c r="C2215" s="3">
        <v>200</v>
      </c>
      <c r="D2215" s="3" t="str">
        <f ca="1">IF(B2215="","",IFERROR(_xludf.XLOOKUP(_xludf.XLOOKUP(B2215,Inventory!$A:$A,Inventory!$B:$B),Blades!$A:$A,Blades!$C:$C)+_xludf.XLOOKUP(_xludf.XLOOKUP(B2215,Inventory!$A:$A,Inventory!$C:$C),Motor!$A:$A,Motor!$C:$C)+_xludf.XLOOKUP(_xludf.XLOOKUP(B2215,Inventory!$A:$A,Inventory!$D:$D),Frame!$A:$A,Frame!$C:$C)+#REF!,""))</f>
        <v/>
      </c>
      <c r="E2215" s="4">
        <v>45760</v>
      </c>
      <c r="F2215" s="1" t="s">
        <v>20</v>
      </c>
    </row>
    <row r="2216" spans="1:6" x14ac:dyDescent="0.25">
      <c r="A2216" s="1" t="s">
        <v>4442</v>
      </c>
      <c r="B2216" s="1" t="s">
        <v>4443</v>
      </c>
      <c r="C2216" s="3">
        <v>200</v>
      </c>
      <c r="D2216" s="3" t="str">
        <f ca="1">IF(B2216="","",IFERROR(_xludf.XLOOKUP(_xludf.XLOOKUP(B2216,Inventory!$A:$A,Inventory!$B:$B),Blades!$A:$A,Blades!$C:$C)+_xludf.XLOOKUP(_xludf.XLOOKUP(B2216,Inventory!$A:$A,Inventory!$C:$C),Motor!$A:$A,Motor!$C:$C)+_xludf.XLOOKUP(_xludf.XLOOKUP(B2216,Inventory!$A:$A,Inventory!$D:$D),Frame!$A:$A,Frame!$C:$C)+#REF!,""))</f>
        <v/>
      </c>
      <c r="E2216" s="4">
        <v>45760</v>
      </c>
      <c r="F2216" s="1" t="s">
        <v>63</v>
      </c>
    </row>
    <row r="2217" spans="1:6" x14ac:dyDescent="0.25">
      <c r="A2217" s="1" t="s">
        <v>4444</v>
      </c>
      <c r="B2217" s="1" t="s">
        <v>4445</v>
      </c>
      <c r="C2217" s="3">
        <v>200</v>
      </c>
      <c r="D2217" s="3" t="str">
        <f ca="1">IF(B2217="","",IFERROR(_xludf.XLOOKUP(_xludf.XLOOKUP(B2217,Inventory!$A:$A,Inventory!$B:$B),Blades!$A:$A,Blades!$C:$C)+_xludf.XLOOKUP(_xludf.XLOOKUP(B2217,Inventory!$A:$A,Inventory!$C:$C),Motor!$A:$A,Motor!$C:$C)+_xludf.XLOOKUP(_xludf.XLOOKUP(B2217,Inventory!$A:$A,Inventory!$D:$D),Frame!$A:$A,Frame!$C:$C)+#REF!,""))</f>
        <v/>
      </c>
      <c r="E2217" s="4">
        <v>45760</v>
      </c>
      <c r="F2217" s="1" t="s">
        <v>8</v>
      </c>
    </row>
    <row r="2218" spans="1:6" x14ac:dyDescent="0.25">
      <c r="A2218" s="1" t="s">
        <v>4446</v>
      </c>
      <c r="B2218" s="1" t="s">
        <v>4447</v>
      </c>
      <c r="C2218" s="3">
        <v>200</v>
      </c>
      <c r="D2218" s="3" t="str">
        <f ca="1">IF(B2218="","",IFERROR(_xludf.XLOOKUP(_xludf.XLOOKUP(B2218,Inventory!$A:$A,Inventory!$B:$B),Blades!$A:$A,Blades!$C:$C)+_xludf.XLOOKUP(_xludf.XLOOKUP(B2218,Inventory!$A:$A,Inventory!$C:$C),Motor!$A:$A,Motor!$C:$C)+_xludf.XLOOKUP(_xludf.XLOOKUP(B2218,Inventory!$A:$A,Inventory!$D:$D),Frame!$A:$A,Frame!$C:$C)+#REF!,""))</f>
        <v/>
      </c>
      <c r="E2218" s="4">
        <v>45760</v>
      </c>
      <c r="F2218" s="1" t="s">
        <v>52</v>
      </c>
    </row>
    <row r="2219" spans="1:6" x14ac:dyDescent="0.25">
      <c r="A2219" s="1" t="s">
        <v>4448</v>
      </c>
      <c r="B2219" s="1" t="s">
        <v>4449</v>
      </c>
      <c r="C2219" s="3">
        <v>200</v>
      </c>
      <c r="D2219" s="3" t="str">
        <f ca="1">IF(B2219="","",IFERROR(_xludf.XLOOKUP(_xludf.XLOOKUP(B2219,Inventory!$A:$A,Inventory!$B:$B),Blades!$A:$A,Blades!$C:$C)+_xludf.XLOOKUP(_xludf.XLOOKUP(B2219,Inventory!$A:$A,Inventory!$C:$C),Motor!$A:$A,Motor!$C:$C)+_xludf.XLOOKUP(_xludf.XLOOKUP(B2219,Inventory!$A:$A,Inventory!$D:$D),Frame!$A:$A,Frame!$C:$C)+#REF!,""))</f>
        <v/>
      </c>
      <c r="E2219" s="4">
        <v>45760</v>
      </c>
      <c r="F2219" s="1" t="s">
        <v>32</v>
      </c>
    </row>
    <row r="2220" spans="1:6" x14ac:dyDescent="0.25">
      <c r="A2220" s="1" t="s">
        <v>4450</v>
      </c>
      <c r="B2220" s="1" t="s">
        <v>4451</v>
      </c>
      <c r="C2220" s="3">
        <v>200</v>
      </c>
      <c r="D2220" s="3" t="str">
        <f ca="1">IF(B2220="","",IFERROR(_xludf.XLOOKUP(_xludf.XLOOKUP(B2220,Inventory!$A:$A,Inventory!$B:$B),Blades!$A:$A,Blades!$C:$C)+_xludf.XLOOKUP(_xludf.XLOOKUP(B2220,Inventory!$A:$A,Inventory!$C:$C),Motor!$A:$A,Motor!$C:$C)+_xludf.XLOOKUP(_xludf.XLOOKUP(B2220,Inventory!$A:$A,Inventory!$D:$D),Frame!$A:$A,Frame!$C:$C)+#REF!,""))</f>
        <v/>
      </c>
      <c r="E2220" s="4">
        <v>45761</v>
      </c>
      <c r="F2220" s="1" t="s">
        <v>25</v>
      </c>
    </row>
    <row r="2221" spans="1:6" x14ac:dyDescent="0.25">
      <c r="A2221" s="1" t="s">
        <v>4452</v>
      </c>
      <c r="B2221" s="1" t="s">
        <v>4453</v>
      </c>
      <c r="C2221" s="3">
        <v>200</v>
      </c>
      <c r="D2221" s="3" t="str">
        <f ca="1">IF(B2221="","",IFERROR(_xludf.XLOOKUP(_xludf.XLOOKUP(B2221,Inventory!$A:$A,Inventory!$B:$B),Blades!$A:$A,Blades!$C:$C)+_xludf.XLOOKUP(_xludf.XLOOKUP(B2221,Inventory!$A:$A,Inventory!$C:$C),Motor!$A:$A,Motor!$C:$C)+_xludf.XLOOKUP(_xludf.XLOOKUP(B2221,Inventory!$A:$A,Inventory!$D:$D),Frame!$A:$A,Frame!$C:$C)+#REF!,""))</f>
        <v/>
      </c>
      <c r="E2221" s="4">
        <v>45762</v>
      </c>
      <c r="F2221" s="1" t="s">
        <v>8</v>
      </c>
    </row>
    <row r="2222" spans="1:6" x14ac:dyDescent="0.25">
      <c r="A2222" s="1" t="s">
        <v>4454</v>
      </c>
      <c r="B2222" s="1" t="s">
        <v>4455</v>
      </c>
      <c r="C2222" s="3">
        <v>200</v>
      </c>
      <c r="D2222" s="3" t="str">
        <f ca="1">IF(B2222="","",IFERROR(_xludf.XLOOKUP(_xludf.XLOOKUP(B2222,Inventory!$A:$A,Inventory!$B:$B),Blades!$A:$A,Blades!$C:$C)+_xludf.XLOOKUP(_xludf.XLOOKUP(B2222,Inventory!$A:$A,Inventory!$C:$C),Motor!$A:$A,Motor!$C:$C)+_xludf.XLOOKUP(_xludf.XLOOKUP(B2222,Inventory!$A:$A,Inventory!$D:$D),Frame!$A:$A,Frame!$C:$C)+#REF!,""))</f>
        <v/>
      </c>
      <c r="E2222" s="4">
        <v>45762</v>
      </c>
      <c r="F2222" s="1" t="s">
        <v>20</v>
      </c>
    </row>
    <row r="2223" spans="1:6" x14ac:dyDescent="0.25">
      <c r="A2223" s="1" t="s">
        <v>4456</v>
      </c>
      <c r="B2223" s="1" t="s">
        <v>4457</v>
      </c>
      <c r="C2223" s="3">
        <v>200</v>
      </c>
      <c r="D2223" s="3" t="str">
        <f ca="1">IF(B2223="","",IFERROR(_xludf.XLOOKUP(_xludf.XLOOKUP(B2223,Inventory!$A:$A,Inventory!$B:$B),Blades!$A:$A,Blades!$C:$C)+_xludf.XLOOKUP(_xludf.XLOOKUP(B2223,Inventory!$A:$A,Inventory!$C:$C),Motor!$A:$A,Motor!$C:$C)+_xludf.XLOOKUP(_xludf.XLOOKUP(B2223,Inventory!$A:$A,Inventory!$D:$D),Frame!$A:$A,Frame!$C:$C)+#REF!,""))</f>
        <v/>
      </c>
      <c r="E2223" s="4">
        <v>45762</v>
      </c>
      <c r="F2223" s="1" t="s">
        <v>63</v>
      </c>
    </row>
    <row r="2224" spans="1:6" x14ac:dyDescent="0.25">
      <c r="A2224" s="1" t="s">
        <v>4458</v>
      </c>
      <c r="B2224" s="1" t="s">
        <v>4459</v>
      </c>
      <c r="C2224" s="3">
        <v>200</v>
      </c>
      <c r="D2224" s="3" t="str">
        <f ca="1">IF(B2224="","",IFERROR(_xludf.XLOOKUP(_xludf.XLOOKUP(B2224,Inventory!$A:$A,Inventory!$B:$B),Blades!$A:$A,Blades!$C:$C)+_xludf.XLOOKUP(_xludf.XLOOKUP(B2224,Inventory!$A:$A,Inventory!$C:$C),Motor!$A:$A,Motor!$C:$C)+_xludf.XLOOKUP(_xludf.XLOOKUP(B2224,Inventory!$A:$A,Inventory!$D:$D),Frame!$A:$A,Frame!$C:$C)+#REF!,""))</f>
        <v/>
      </c>
      <c r="E2224" s="4">
        <v>45762</v>
      </c>
      <c r="F2224" s="1" t="s">
        <v>52</v>
      </c>
    </row>
    <row r="2225" spans="1:6" x14ac:dyDescent="0.25">
      <c r="A2225" s="1" t="s">
        <v>4460</v>
      </c>
      <c r="B2225" s="1" t="s">
        <v>4461</v>
      </c>
      <c r="C2225" s="3">
        <v>200</v>
      </c>
      <c r="D2225" s="3" t="str">
        <f ca="1">IF(B2225="","",IFERROR(_xludf.XLOOKUP(_xludf.XLOOKUP(B2225,Inventory!$A:$A,Inventory!$B:$B),Blades!$A:$A,Blades!$C:$C)+_xludf.XLOOKUP(_xludf.XLOOKUP(B2225,Inventory!$A:$A,Inventory!$C:$C),Motor!$A:$A,Motor!$C:$C)+_xludf.XLOOKUP(_xludf.XLOOKUP(B2225,Inventory!$A:$A,Inventory!$D:$D),Frame!$A:$A,Frame!$C:$C)+#REF!,""))</f>
        <v/>
      </c>
      <c r="E2225" s="4">
        <v>45763</v>
      </c>
      <c r="F2225" s="1" t="s">
        <v>32</v>
      </c>
    </row>
    <row r="2226" spans="1:6" x14ac:dyDescent="0.25">
      <c r="A2226" s="1" t="s">
        <v>4462</v>
      </c>
      <c r="B2226" s="1" t="s">
        <v>4463</v>
      </c>
      <c r="C2226" s="3">
        <v>200</v>
      </c>
      <c r="D2226" s="3" t="str">
        <f ca="1">IF(B2226="","",IFERROR(_xludf.XLOOKUP(_xludf.XLOOKUP(B2226,Inventory!$A:$A,Inventory!$B:$B),Blades!$A:$A,Blades!$C:$C)+_xludf.XLOOKUP(_xludf.XLOOKUP(B2226,Inventory!$A:$A,Inventory!$C:$C),Motor!$A:$A,Motor!$C:$C)+_xludf.XLOOKUP(_xludf.XLOOKUP(B2226,Inventory!$A:$A,Inventory!$D:$D),Frame!$A:$A,Frame!$C:$C)+#REF!,""))</f>
        <v/>
      </c>
      <c r="E2226" s="4">
        <v>45764</v>
      </c>
      <c r="F2226" s="1" t="s">
        <v>63</v>
      </c>
    </row>
    <row r="2227" spans="1:6" x14ac:dyDescent="0.25">
      <c r="A2227" s="1" t="s">
        <v>4464</v>
      </c>
      <c r="B2227" s="1" t="s">
        <v>4465</v>
      </c>
      <c r="C2227" s="3">
        <v>200</v>
      </c>
      <c r="D2227" s="3" t="str">
        <f ca="1">IF(B2227="","",IFERROR(_xludf.XLOOKUP(_xludf.XLOOKUP(B2227,Inventory!$A:$A,Inventory!$B:$B),Blades!$A:$A,Blades!$C:$C)+_xludf.XLOOKUP(_xludf.XLOOKUP(B2227,Inventory!$A:$A,Inventory!$C:$C),Motor!$A:$A,Motor!$C:$C)+_xludf.XLOOKUP(_xludf.XLOOKUP(B2227,Inventory!$A:$A,Inventory!$D:$D),Frame!$A:$A,Frame!$C:$C)+#REF!,""))</f>
        <v/>
      </c>
      <c r="E2227" s="4">
        <v>45765</v>
      </c>
      <c r="F2227" s="1" t="s">
        <v>49</v>
      </c>
    </row>
    <row r="2228" spans="1:6" x14ac:dyDescent="0.25">
      <c r="A2228" s="1" t="s">
        <v>4466</v>
      </c>
      <c r="B2228" s="1" t="s">
        <v>4467</v>
      </c>
      <c r="C2228" s="3">
        <v>200</v>
      </c>
      <c r="D2228" s="3" t="str">
        <f ca="1">IF(B2228="","",IFERROR(_xludf.XLOOKUP(_xludf.XLOOKUP(B2228,Inventory!$A:$A,Inventory!$B:$B),Blades!$A:$A,Blades!$C:$C)+_xludf.XLOOKUP(_xludf.XLOOKUP(B2228,Inventory!$A:$A,Inventory!$C:$C),Motor!$A:$A,Motor!$C:$C)+_xludf.XLOOKUP(_xludf.XLOOKUP(B2228,Inventory!$A:$A,Inventory!$D:$D),Frame!$A:$A,Frame!$C:$C)+#REF!,""))</f>
        <v/>
      </c>
      <c r="E2228" s="4">
        <v>45769</v>
      </c>
      <c r="F2228" s="1" t="s">
        <v>49</v>
      </c>
    </row>
    <row r="2229" spans="1:6" x14ac:dyDescent="0.25">
      <c r="A2229" s="1" t="s">
        <v>4468</v>
      </c>
      <c r="B2229" s="1" t="s">
        <v>4469</v>
      </c>
      <c r="C2229" s="3">
        <v>200</v>
      </c>
      <c r="D2229" s="3" t="str">
        <f ca="1">IF(B2229="","",IFERROR(_xludf.XLOOKUP(_xludf.XLOOKUP(B2229,Inventory!$A:$A,Inventory!$B:$B),Blades!$A:$A,Blades!$C:$C)+_xludf.XLOOKUP(_xludf.XLOOKUP(B2229,Inventory!$A:$A,Inventory!$C:$C),Motor!$A:$A,Motor!$C:$C)+_xludf.XLOOKUP(_xludf.XLOOKUP(B2229,Inventory!$A:$A,Inventory!$D:$D),Frame!$A:$A,Frame!$C:$C)+#REF!,""))</f>
        <v/>
      </c>
      <c r="E2229" s="4">
        <v>45770</v>
      </c>
      <c r="F2229" s="1" t="s">
        <v>52</v>
      </c>
    </row>
    <row r="2230" spans="1:6" x14ac:dyDescent="0.25">
      <c r="A2230" s="1" t="s">
        <v>4470</v>
      </c>
      <c r="B2230" s="1" t="s">
        <v>4471</v>
      </c>
      <c r="C2230" s="3">
        <v>200</v>
      </c>
      <c r="D2230" s="3" t="str">
        <f ca="1">IF(B2230="","",IFERROR(_xludf.XLOOKUP(_xludf.XLOOKUP(B2230,Inventory!$A:$A,Inventory!$B:$B),Blades!$A:$A,Blades!$C:$C)+_xludf.XLOOKUP(_xludf.XLOOKUP(B2230,Inventory!$A:$A,Inventory!$C:$C),Motor!$A:$A,Motor!$C:$C)+_xludf.XLOOKUP(_xludf.XLOOKUP(B2230,Inventory!$A:$A,Inventory!$D:$D),Frame!$A:$A,Frame!$C:$C)+#REF!,""))</f>
        <v/>
      </c>
      <c r="E2230" s="4">
        <v>45770</v>
      </c>
      <c r="F2230" s="1" t="s">
        <v>25</v>
      </c>
    </row>
    <row r="2231" spans="1:6" x14ac:dyDescent="0.25">
      <c r="A2231" s="1" t="s">
        <v>4472</v>
      </c>
      <c r="B2231" s="1" t="s">
        <v>4473</v>
      </c>
      <c r="C2231" s="3">
        <v>200</v>
      </c>
      <c r="D2231" s="3" t="str">
        <f ca="1">IF(B2231="","",IFERROR(_xludf.XLOOKUP(_xludf.XLOOKUP(B2231,Inventory!$A:$A,Inventory!$B:$B),Blades!$A:$A,Blades!$C:$C)+_xludf.XLOOKUP(_xludf.XLOOKUP(B2231,Inventory!$A:$A,Inventory!$C:$C),Motor!$A:$A,Motor!$C:$C)+_xludf.XLOOKUP(_xludf.XLOOKUP(B2231,Inventory!$A:$A,Inventory!$D:$D),Frame!$A:$A,Frame!$C:$C)+#REF!,""))</f>
        <v/>
      </c>
      <c r="E2231" s="4">
        <v>45772</v>
      </c>
      <c r="F2231" s="1" t="s">
        <v>63</v>
      </c>
    </row>
    <row r="2232" spans="1:6" x14ac:dyDescent="0.25">
      <c r="A2232" s="1" t="s">
        <v>4474</v>
      </c>
      <c r="B2232" s="1" t="s">
        <v>4475</v>
      </c>
      <c r="C2232" s="3">
        <v>200</v>
      </c>
      <c r="D2232" s="3" t="str">
        <f ca="1">IF(B2232="","",IFERROR(_xludf.XLOOKUP(_xludf.XLOOKUP(B2232,Inventory!$A:$A,Inventory!$B:$B),Blades!$A:$A,Blades!$C:$C)+_xludf.XLOOKUP(_xludf.XLOOKUP(B2232,Inventory!$A:$A,Inventory!$C:$C),Motor!$A:$A,Motor!$C:$C)+_xludf.XLOOKUP(_xludf.XLOOKUP(B2232,Inventory!$A:$A,Inventory!$D:$D),Frame!$A:$A,Frame!$C:$C)+#REF!,""))</f>
        <v/>
      </c>
      <c r="E2232" s="4">
        <v>45772</v>
      </c>
      <c r="F2232" s="1" t="s">
        <v>25</v>
      </c>
    </row>
    <row r="2233" spans="1:6" x14ac:dyDescent="0.25">
      <c r="A2233" s="1" t="s">
        <v>4476</v>
      </c>
      <c r="B2233" s="1" t="s">
        <v>4477</v>
      </c>
      <c r="C2233" s="3">
        <v>200</v>
      </c>
      <c r="D2233" s="3" t="str">
        <f ca="1">IF(B2233="","",IFERROR(_xludf.XLOOKUP(_xludf.XLOOKUP(B2233,Inventory!$A:$A,Inventory!$B:$B),Blades!$A:$A,Blades!$C:$C)+_xludf.XLOOKUP(_xludf.XLOOKUP(B2233,Inventory!$A:$A,Inventory!$C:$C),Motor!$A:$A,Motor!$C:$C)+_xludf.XLOOKUP(_xludf.XLOOKUP(B2233,Inventory!$A:$A,Inventory!$D:$D),Frame!$A:$A,Frame!$C:$C)+#REF!,""))</f>
        <v/>
      </c>
      <c r="E2233" s="4">
        <v>45773</v>
      </c>
      <c r="F2233" s="1" t="s">
        <v>8</v>
      </c>
    </row>
    <row r="2234" spans="1:6" x14ac:dyDescent="0.25">
      <c r="A2234" s="1" t="s">
        <v>4478</v>
      </c>
      <c r="B2234" s="1" t="s">
        <v>4479</v>
      </c>
      <c r="C2234" s="3">
        <v>200</v>
      </c>
      <c r="D2234" s="3" t="str">
        <f ca="1">IF(B2234="","",IFERROR(_xludf.XLOOKUP(_xludf.XLOOKUP(B2234,Inventory!$A:$A,Inventory!$B:$B),Blades!$A:$A,Blades!$C:$C)+_xludf.XLOOKUP(_xludf.XLOOKUP(B2234,Inventory!$A:$A,Inventory!$C:$C),Motor!$A:$A,Motor!$C:$C)+_xludf.XLOOKUP(_xludf.XLOOKUP(B2234,Inventory!$A:$A,Inventory!$D:$D),Frame!$A:$A,Frame!$C:$C)+#REF!,""))</f>
        <v/>
      </c>
      <c r="E2234" s="4">
        <v>45774</v>
      </c>
      <c r="F2234" s="1" t="s">
        <v>63</v>
      </c>
    </row>
    <row r="2235" spans="1:6" x14ac:dyDescent="0.25">
      <c r="A2235" s="1" t="s">
        <v>4480</v>
      </c>
      <c r="B2235" s="1" t="s">
        <v>4481</v>
      </c>
      <c r="C2235" s="3">
        <v>200</v>
      </c>
      <c r="D2235" s="3" t="str">
        <f ca="1">IF(B2235="","",IFERROR(_xludf.XLOOKUP(_xludf.XLOOKUP(B2235,Inventory!$A:$A,Inventory!$B:$B),Blades!$A:$A,Blades!$C:$C)+_xludf.XLOOKUP(_xludf.XLOOKUP(B2235,Inventory!$A:$A,Inventory!$C:$C),Motor!$A:$A,Motor!$C:$C)+_xludf.XLOOKUP(_xludf.XLOOKUP(B2235,Inventory!$A:$A,Inventory!$D:$D),Frame!$A:$A,Frame!$C:$C)+#REF!,""))</f>
        <v/>
      </c>
      <c r="E2235" s="4">
        <v>45776</v>
      </c>
      <c r="F2235" s="1" t="s">
        <v>8</v>
      </c>
    </row>
    <row r="2236" spans="1:6" x14ac:dyDescent="0.25">
      <c r="A2236" s="1" t="s">
        <v>4482</v>
      </c>
      <c r="B2236" s="1" t="s">
        <v>4483</v>
      </c>
      <c r="C2236" s="3">
        <v>200</v>
      </c>
      <c r="D2236" s="3" t="str">
        <f ca="1">IF(B2236="","",IFERROR(_xludf.XLOOKUP(_xludf.XLOOKUP(B2236,Inventory!$A:$A,Inventory!$B:$B),Blades!$A:$A,Blades!$C:$C)+_xludf.XLOOKUP(_xludf.XLOOKUP(B2236,Inventory!$A:$A,Inventory!$C:$C),Motor!$A:$A,Motor!$C:$C)+_xludf.XLOOKUP(_xludf.XLOOKUP(B2236,Inventory!$A:$A,Inventory!$D:$D),Frame!$A:$A,Frame!$C:$C)+#REF!,""))</f>
        <v/>
      </c>
      <c r="E2236" s="4">
        <v>45776</v>
      </c>
      <c r="F2236" s="1" t="s">
        <v>8</v>
      </c>
    </row>
    <row r="2237" spans="1:6" x14ac:dyDescent="0.25">
      <c r="A2237" s="1" t="s">
        <v>4484</v>
      </c>
      <c r="B2237" s="1" t="s">
        <v>4485</v>
      </c>
      <c r="C2237" s="3">
        <v>200</v>
      </c>
      <c r="D2237" s="3" t="str">
        <f ca="1">IF(B2237="","",IFERROR(_xludf.XLOOKUP(_xludf.XLOOKUP(B2237,Inventory!$A:$A,Inventory!$B:$B),Blades!$A:$A,Blades!$C:$C)+_xludf.XLOOKUP(_xludf.XLOOKUP(B2237,Inventory!$A:$A,Inventory!$C:$C),Motor!$A:$A,Motor!$C:$C)+_xludf.XLOOKUP(_xludf.XLOOKUP(B2237,Inventory!$A:$A,Inventory!$D:$D),Frame!$A:$A,Frame!$C:$C)+#REF!,""))</f>
        <v/>
      </c>
      <c r="E2237" s="4">
        <v>45776</v>
      </c>
      <c r="F2237" s="1" t="s">
        <v>11</v>
      </c>
    </row>
    <row r="2238" spans="1:6" x14ac:dyDescent="0.25">
      <c r="A2238" s="1" t="s">
        <v>4486</v>
      </c>
      <c r="B2238" s="1" t="s">
        <v>4487</v>
      </c>
      <c r="C2238" s="3">
        <v>200</v>
      </c>
      <c r="D2238" s="3" t="str">
        <f ca="1">IF(B2238="","",IFERROR(_xludf.XLOOKUP(_xludf.XLOOKUP(B2238,Inventory!$A:$A,Inventory!$B:$B),Blades!$A:$A,Blades!$C:$C)+_xludf.XLOOKUP(_xludf.XLOOKUP(B2238,Inventory!$A:$A,Inventory!$C:$C),Motor!$A:$A,Motor!$C:$C)+_xludf.XLOOKUP(_xludf.XLOOKUP(B2238,Inventory!$A:$A,Inventory!$D:$D),Frame!$A:$A,Frame!$C:$C)+#REF!,""))</f>
        <v/>
      </c>
      <c r="E2238" s="4">
        <v>45778</v>
      </c>
      <c r="F2238" s="1" t="s">
        <v>32</v>
      </c>
    </row>
    <row r="2239" spans="1:6" x14ac:dyDescent="0.25">
      <c r="A2239" s="1" t="s">
        <v>4488</v>
      </c>
      <c r="B2239" s="1" t="s">
        <v>4489</v>
      </c>
      <c r="C2239" s="3">
        <v>200</v>
      </c>
      <c r="D2239" s="3" t="str">
        <f ca="1">IF(B2239="","",IFERROR(_xludf.XLOOKUP(_xludf.XLOOKUP(B2239,Inventory!$A:$A,Inventory!$B:$B),Blades!$A:$A,Blades!$C:$C)+_xludf.XLOOKUP(_xludf.XLOOKUP(B2239,Inventory!$A:$A,Inventory!$C:$C),Motor!$A:$A,Motor!$C:$C)+_xludf.XLOOKUP(_xludf.XLOOKUP(B2239,Inventory!$A:$A,Inventory!$D:$D),Frame!$A:$A,Frame!$C:$C)+#REF!,""))</f>
        <v/>
      </c>
      <c r="E2239" s="4">
        <v>45778</v>
      </c>
      <c r="F2239" s="1" t="s">
        <v>11</v>
      </c>
    </row>
    <row r="2240" spans="1:6" x14ac:dyDescent="0.25">
      <c r="A2240" s="1" t="s">
        <v>4490</v>
      </c>
      <c r="B2240" s="1" t="s">
        <v>4491</v>
      </c>
      <c r="C2240" s="3">
        <v>200</v>
      </c>
      <c r="D2240" s="3" t="str">
        <f ca="1">IF(B2240="","",IFERROR(_xludf.XLOOKUP(_xludf.XLOOKUP(B2240,Inventory!$A:$A,Inventory!$B:$B),Blades!$A:$A,Blades!$C:$C)+_xludf.XLOOKUP(_xludf.XLOOKUP(B2240,Inventory!$A:$A,Inventory!$C:$C),Motor!$A:$A,Motor!$C:$C)+_xludf.XLOOKUP(_xludf.XLOOKUP(B2240,Inventory!$A:$A,Inventory!$D:$D),Frame!$A:$A,Frame!$C:$C)+#REF!,""))</f>
        <v/>
      </c>
      <c r="E2240" s="4">
        <v>45779</v>
      </c>
      <c r="F2240" s="1" t="s">
        <v>25</v>
      </c>
    </row>
    <row r="2241" spans="1:6" x14ac:dyDescent="0.25">
      <c r="A2241" s="1" t="s">
        <v>4492</v>
      </c>
      <c r="B2241" s="1" t="s">
        <v>4493</v>
      </c>
      <c r="C2241" s="3">
        <v>200</v>
      </c>
      <c r="D2241" s="3" t="str">
        <f ca="1">IF(B2241="","",IFERROR(_xludf.XLOOKUP(_xludf.XLOOKUP(B2241,Inventory!$A:$A,Inventory!$B:$B),Blades!$A:$A,Blades!$C:$C)+_xludf.XLOOKUP(_xludf.XLOOKUP(B2241,Inventory!$A:$A,Inventory!$C:$C),Motor!$A:$A,Motor!$C:$C)+_xludf.XLOOKUP(_xludf.XLOOKUP(B2241,Inventory!$A:$A,Inventory!$D:$D),Frame!$A:$A,Frame!$C:$C)+#REF!,""))</f>
        <v/>
      </c>
      <c r="E2241" s="4">
        <v>45780</v>
      </c>
      <c r="F2241" s="1" t="s">
        <v>52</v>
      </c>
    </row>
    <row r="2242" spans="1:6" x14ac:dyDescent="0.25">
      <c r="A2242" s="1" t="s">
        <v>4494</v>
      </c>
      <c r="B2242" s="1" t="s">
        <v>4495</v>
      </c>
      <c r="C2242" s="3">
        <v>200</v>
      </c>
      <c r="D2242" s="3" t="str">
        <f ca="1">IF(B2242="","",IFERROR(_xludf.XLOOKUP(_xludf.XLOOKUP(B2242,Inventory!$A:$A,Inventory!$B:$B),Blades!$A:$A,Blades!$C:$C)+_xludf.XLOOKUP(_xludf.XLOOKUP(B2242,Inventory!$A:$A,Inventory!$C:$C),Motor!$A:$A,Motor!$C:$C)+_xludf.XLOOKUP(_xludf.XLOOKUP(B2242,Inventory!$A:$A,Inventory!$D:$D),Frame!$A:$A,Frame!$C:$C)+#REF!,""))</f>
        <v/>
      </c>
      <c r="E2242" s="4">
        <v>45781</v>
      </c>
      <c r="F2242" s="1" t="s">
        <v>49</v>
      </c>
    </row>
    <row r="2243" spans="1:6" x14ac:dyDescent="0.25">
      <c r="A2243" s="1" t="s">
        <v>4496</v>
      </c>
      <c r="B2243" s="1" t="s">
        <v>4497</v>
      </c>
      <c r="C2243" s="3">
        <v>200</v>
      </c>
      <c r="D2243" s="3" t="str">
        <f ca="1">IF(B2243="","",IFERROR(_xludf.XLOOKUP(_xludf.XLOOKUP(B2243,Inventory!$A:$A,Inventory!$B:$B),Blades!$A:$A,Blades!$C:$C)+_xludf.XLOOKUP(_xludf.XLOOKUP(B2243,Inventory!$A:$A,Inventory!$C:$C),Motor!$A:$A,Motor!$C:$C)+_xludf.XLOOKUP(_xludf.XLOOKUP(B2243,Inventory!$A:$A,Inventory!$D:$D),Frame!$A:$A,Frame!$C:$C)+#REF!,""))</f>
        <v/>
      </c>
      <c r="E2243" s="4">
        <v>45781</v>
      </c>
      <c r="F2243" s="1" t="s">
        <v>49</v>
      </c>
    </row>
    <row r="2244" spans="1:6" x14ac:dyDescent="0.25">
      <c r="A2244" s="1" t="s">
        <v>4498</v>
      </c>
      <c r="B2244" s="1" t="s">
        <v>4499</v>
      </c>
      <c r="C2244" s="3">
        <v>200</v>
      </c>
      <c r="D2244" s="3" t="str">
        <f ca="1">IF(B2244="","",IFERROR(_xludf.XLOOKUP(_xludf.XLOOKUP(B2244,Inventory!$A:$A,Inventory!$B:$B),Blades!$A:$A,Blades!$C:$C)+_xludf.XLOOKUP(_xludf.XLOOKUP(B2244,Inventory!$A:$A,Inventory!$C:$C),Motor!$A:$A,Motor!$C:$C)+_xludf.XLOOKUP(_xludf.XLOOKUP(B2244,Inventory!$A:$A,Inventory!$D:$D),Frame!$A:$A,Frame!$C:$C)+#REF!,""))</f>
        <v/>
      </c>
      <c r="E2244" s="4">
        <v>45782</v>
      </c>
      <c r="F2244" s="1" t="s">
        <v>25</v>
      </c>
    </row>
    <row r="2245" spans="1:6" x14ac:dyDescent="0.25">
      <c r="A2245" s="1" t="s">
        <v>4500</v>
      </c>
      <c r="B2245" s="1" t="s">
        <v>4501</v>
      </c>
      <c r="C2245" s="3">
        <v>200</v>
      </c>
      <c r="D2245" s="3" t="str">
        <f ca="1">IF(B2245="","",IFERROR(_xludf.XLOOKUP(_xludf.XLOOKUP(B2245,Inventory!$A:$A,Inventory!$B:$B),Blades!$A:$A,Blades!$C:$C)+_xludf.XLOOKUP(_xludf.XLOOKUP(B2245,Inventory!$A:$A,Inventory!$C:$C),Motor!$A:$A,Motor!$C:$C)+_xludf.XLOOKUP(_xludf.XLOOKUP(B2245,Inventory!$A:$A,Inventory!$D:$D),Frame!$A:$A,Frame!$C:$C)+#REF!,""))</f>
        <v/>
      </c>
      <c r="E2245" s="4">
        <v>45783</v>
      </c>
      <c r="F2245" s="1" t="s">
        <v>63</v>
      </c>
    </row>
    <row r="2246" spans="1:6" x14ac:dyDescent="0.25">
      <c r="A2246" s="1" t="s">
        <v>4502</v>
      </c>
      <c r="B2246" s="1" t="s">
        <v>4503</v>
      </c>
      <c r="C2246" s="3">
        <v>200</v>
      </c>
      <c r="D2246" s="3" t="str">
        <f ca="1">IF(B2246="","",IFERROR(_xludf.XLOOKUP(_xludf.XLOOKUP(B2246,Inventory!$A:$A,Inventory!$B:$B),Blades!$A:$A,Blades!$C:$C)+_xludf.XLOOKUP(_xludf.XLOOKUP(B2246,Inventory!$A:$A,Inventory!$C:$C),Motor!$A:$A,Motor!$C:$C)+_xludf.XLOOKUP(_xludf.XLOOKUP(B2246,Inventory!$A:$A,Inventory!$D:$D),Frame!$A:$A,Frame!$C:$C)+#REF!,""))</f>
        <v/>
      </c>
      <c r="E2246" s="4">
        <v>45784</v>
      </c>
      <c r="F2246" s="1" t="s">
        <v>52</v>
      </c>
    </row>
    <row r="2247" spans="1:6" x14ac:dyDescent="0.25">
      <c r="A2247" s="1" t="s">
        <v>4504</v>
      </c>
      <c r="B2247" s="1" t="s">
        <v>4505</v>
      </c>
      <c r="C2247" s="3">
        <v>200</v>
      </c>
      <c r="D2247" s="3" t="str">
        <f ca="1">IF(B2247="","",IFERROR(_xludf.XLOOKUP(_xludf.XLOOKUP(B2247,Inventory!$A:$A,Inventory!$B:$B),Blades!$A:$A,Blades!$C:$C)+_xludf.XLOOKUP(_xludf.XLOOKUP(B2247,Inventory!$A:$A,Inventory!$C:$C),Motor!$A:$A,Motor!$C:$C)+_xludf.XLOOKUP(_xludf.XLOOKUP(B2247,Inventory!$A:$A,Inventory!$D:$D),Frame!$A:$A,Frame!$C:$C)+#REF!,""))</f>
        <v/>
      </c>
      <c r="E2247" s="4">
        <v>45784</v>
      </c>
      <c r="F2247" s="1" t="s">
        <v>25</v>
      </c>
    </row>
    <row r="2248" spans="1:6" x14ac:dyDescent="0.25">
      <c r="A2248" s="1" t="s">
        <v>4506</v>
      </c>
      <c r="B2248" s="1" t="s">
        <v>4507</v>
      </c>
      <c r="C2248" s="3">
        <v>200</v>
      </c>
      <c r="D2248" s="3" t="str">
        <f ca="1">IF(B2248="","",IFERROR(_xludf.XLOOKUP(_xludf.XLOOKUP(B2248,Inventory!$A:$A,Inventory!$B:$B),Blades!$A:$A,Blades!$C:$C)+_xludf.XLOOKUP(_xludf.XLOOKUP(B2248,Inventory!$A:$A,Inventory!$C:$C),Motor!$A:$A,Motor!$C:$C)+_xludf.XLOOKUP(_xludf.XLOOKUP(B2248,Inventory!$A:$A,Inventory!$D:$D),Frame!$A:$A,Frame!$C:$C)+#REF!,""))</f>
        <v/>
      </c>
      <c r="E2248" s="4">
        <v>45785</v>
      </c>
      <c r="F2248" s="1" t="s">
        <v>8</v>
      </c>
    </row>
    <row r="2249" spans="1:6" x14ac:dyDescent="0.25">
      <c r="A2249" s="1" t="s">
        <v>4508</v>
      </c>
      <c r="B2249" s="1" t="s">
        <v>4509</v>
      </c>
      <c r="C2249" s="3">
        <v>200</v>
      </c>
      <c r="D2249" s="3" t="str">
        <f ca="1">IF(B2249="","",IFERROR(_xludf.XLOOKUP(_xludf.XLOOKUP(B2249,Inventory!$A:$A,Inventory!$B:$B),Blades!$A:$A,Blades!$C:$C)+_xludf.XLOOKUP(_xludf.XLOOKUP(B2249,Inventory!$A:$A,Inventory!$C:$C),Motor!$A:$A,Motor!$C:$C)+_xludf.XLOOKUP(_xludf.XLOOKUP(B2249,Inventory!$A:$A,Inventory!$D:$D),Frame!$A:$A,Frame!$C:$C)+#REF!,""))</f>
        <v/>
      </c>
      <c r="E2249" s="4">
        <v>45786</v>
      </c>
      <c r="F2249" s="1" t="s">
        <v>8</v>
      </c>
    </row>
    <row r="2250" spans="1:6" x14ac:dyDescent="0.25">
      <c r="A2250" s="1" t="s">
        <v>4510</v>
      </c>
      <c r="B2250" s="1" t="s">
        <v>4511</v>
      </c>
      <c r="C2250" s="3">
        <v>200</v>
      </c>
      <c r="D2250" s="3" t="str">
        <f ca="1">IF(B2250="","",IFERROR(_xludf.XLOOKUP(_xludf.XLOOKUP(B2250,Inventory!$A:$A,Inventory!$B:$B),Blades!$A:$A,Blades!$C:$C)+_xludf.XLOOKUP(_xludf.XLOOKUP(B2250,Inventory!$A:$A,Inventory!$C:$C),Motor!$A:$A,Motor!$C:$C)+_xludf.XLOOKUP(_xludf.XLOOKUP(B2250,Inventory!$A:$A,Inventory!$D:$D),Frame!$A:$A,Frame!$C:$C)+#REF!,""))</f>
        <v/>
      </c>
      <c r="E2250" s="4">
        <v>45786</v>
      </c>
      <c r="F2250" s="1" t="s">
        <v>11</v>
      </c>
    </row>
    <row r="2251" spans="1:6" x14ac:dyDescent="0.25">
      <c r="A2251" s="1" t="s">
        <v>4512</v>
      </c>
      <c r="B2251" s="1" t="s">
        <v>4513</v>
      </c>
      <c r="C2251" s="3">
        <v>200</v>
      </c>
      <c r="D2251" s="3" t="str">
        <f ca="1">IF(B2251="","",IFERROR(_xludf.XLOOKUP(_xludf.XLOOKUP(B2251,Inventory!$A:$A,Inventory!$B:$B),Blades!$A:$A,Blades!$C:$C)+_xludf.XLOOKUP(_xludf.XLOOKUP(B2251,Inventory!$A:$A,Inventory!$C:$C),Motor!$A:$A,Motor!$C:$C)+_xludf.XLOOKUP(_xludf.XLOOKUP(B2251,Inventory!$A:$A,Inventory!$D:$D),Frame!$A:$A,Frame!$C:$C)+#REF!,""))</f>
        <v/>
      </c>
      <c r="E2251" s="4">
        <v>45786</v>
      </c>
      <c r="F2251" s="1" t="s">
        <v>32</v>
      </c>
    </row>
    <row r="2252" spans="1:6" x14ac:dyDescent="0.25">
      <c r="A2252" s="1" t="s">
        <v>4514</v>
      </c>
      <c r="B2252" s="1" t="s">
        <v>4515</v>
      </c>
      <c r="C2252" s="3">
        <v>200</v>
      </c>
      <c r="D2252" s="3" t="str">
        <f ca="1">IF(B2252="","",IFERROR(_xludf.XLOOKUP(_xludf.XLOOKUP(B2252,Inventory!$A:$A,Inventory!$B:$B),Blades!$A:$A,Blades!$C:$C)+_xludf.XLOOKUP(_xludf.XLOOKUP(B2252,Inventory!$A:$A,Inventory!$C:$C),Motor!$A:$A,Motor!$C:$C)+_xludf.XLOOKUP(_xludf.XLOOKUP(B2252,Inventory!$A:$A,Inventory!$D:$D),Frame!$A:$A,Frame!$C:$C)+#REF!,""))</f>
        <v/>
      </c>
      <c r="E2252" s="4">
        <v>45786</v>
      </c>
      <c r="F2252" s="1" t="s">
        <v>11</v>
      </c>
    </row>
    <row r="2253" spans="1:6" x14ac:dyDescent="0.25">
      <c r="A2253" s="1" t="s">
        <v>4516</v>
      </c>
      <c r="B2253" s="1" t="s">
        <v>4517</v>
      </c>
      <c r="C2253" s="3">
        <v>200</v>
      </c>
      <c r="D2253" s="3" t="str">
        <f ca="1">IF(B2253="","",IFERROR(_xludf.XLOOKUP(_xludf.XLOOKUP(B2253,Inventory!$A:$A,Inventory!$B:$B),Blades!$A:$A,Blades!$C:$C)+_xludf.XLOOKUP(_xludf.XLOOKUP(B2253,Inventory!$A:$A,Inventory!$C:$C),Motor!$A:$A,Motor!$C:$C)+_xludf.XLOOKUP(_xludf.XLOOKUP(B2253,Inventory!$A:$A,Inventory!$D:$D),Frame!$A:$A,Frame!$C:$C)+#REF!,""))</f>
        <v/>
      </c>
      <c r="E2253" s="4">
        <v>45787</v>
      </c>
      <c r="F2253" s="1" t="s">
        <v>52</v>
      </c>
    </row>
    <row r="2254" spans="1:6" x14ac:dyDescent="0.25">
      <c r="A2254" s="1" t="s">
        <v>4518</v>
      </c>
      <c r="B2254" s="1" t="s">
        <v>4519</v>
      </c>
      <c r="C2254" s="3">
        <v>200</v>
      </c>
      <c r="D2254" s="3" t="str">
        <f ca="1">IF(B2254="","",IFERROR(_xludf.XLOOKUP(_xludf.XLOOKUP(B2254,Inventory!$A:$A,Inventory!$B:$B),Blades!$A:$A,Blades!$C:$C)+_xludf.XLOOKUP(_xludf.XLOOKUP(B2254,Inventory!$A:$A,Inventory!$C:$C),Motor!$A:$A,Motor!$C:$C)+_xludf.XLOOKUP(_xludf.XLOOKUP(B2254,Inventory!$A:$A,Inventory!$D:$D),Frame!$A:$A,Frame!$C:$C)+#REF!,""))</f>
        <v/>
      </c>
      <c r="E2254" s="4">
        <v>45787</v>
      </c>
      <c r="F2254" s="1" t="s">
        <v>20</v>
      </c>
    </row>
    <row r="2255" spans="1:6" x14ac:dyDescent="0.25">
      <c r="A2255" s="1" t="s">
        <v>4520</v>
      </c>
      <c r="B2255" s="1" t="s">
        <v>4521</v>
      </c>
      <c r="C2255" s="3">
        <v>200</v>
      </c>
      <c r="D2255" s="3" t="str">
        <f ca="1">IF(B2255="","",IFERROR(_xludf.XLOOKUP(_xludf.XLOOKUP(B2255,Inventory!$A:$A,Inventory!$B:$B),Blades!$A:$A,Blades!$C:$C)+_xludf.XLOOKUP(_xludf.XLOOKUP(B2255,Inventory!$A:$A,Inventory!$C:$C),Motor!$A:$A,Motor!$C:$C)+_xludf.XLOOKUP(_xludf.XLOOKUP(B2255,Inventory!$A:$A,Inventory!$D:$D),Frame!$A:$A,Frame!$C:$C)+#REF!,""))</f>
        <v/>
      </c>
      <c r="E2255" s="4">
        <v>45789</v>
      </c>
      <c r="F2255" s="1" t="s">
        <v>49</v>
      </c>
    </row>
    <row r="2256" spans="1:6" x14ac:dyDescent="0.25">
      <c r="A2256" s="1" t="s">
        <v>4522</v>
      </c>
      <c r="B2256" s="1" t="s">
        <v>4523</v>
      </c>
      <c r="C2256" s="3">
        <v>200</v>
      </c>
      <c r="D2256" s="3" t="str">
        <f ca="1">IF(B2256="","",IFERROR(_xludf.XLOOKUP(_xludf.XLOOKUP(B2256,Inventory!$A:$A,Inventory!$B:$B),Blades!$A:$A,Blades!$C:$C)+_xludf.XLOOKUP(_xludf.XLOOKUP(B2256,Inventory!$A:$A,Inventory!$C:$C),Motor!$A:$A,Motor!$C:$C)+_xludf.XLOOKUP(_xludf.XLOOKUP(B2256,Inventory!$A:$A,Inventory!$D:$D),Frame!$A:$A,Frame!$C:$C)+#REF!,""))</f>
        <v/>
      </c>
      <c r="E2256" s="4">
        <v>45790</v>
      </c>
      <c r="F2256" s="1" t="s">
        <v>52</v>
      </c>
    </row>
    <row r="2257" spans="1:6" x14ac:dyDescent="0.25">
      <c r="A2257" s="1" t="s">
        <v>4524</v>
      </c>
      <c r="B2257" s="1" t="s">
        <v>4525</v>
      </c>
      <c r="C2257" s="3">
        <v>200</v>
      </c>
      <c r="D2257" s="3" t="str">
        <f ca="1">IF(B2257="","",IFERROR(_xludf.XLOOKUP(_xludf.XLOOKUP(B2257,Inventory!$A:$A,Inventory!$B:$B),Blades!$A:$A,Blades!$C:$C)+_xludf.XLOOKUP(_xludf.XLOOKUP(B2257,Inventory!$A:$A,Inventory!$C:$C),Motor!$A:$A,Motor!$C:$C)+_xludf.XLOOKUP(_xludf.XLOOKUP(B2257,Inventory!$A:$A,Inventory!$D:$D),Frame!$A:$A,Frame!$C:$C)+#REF!,""))</f>
        <v/>
      </c>
      <c r="E2257" s="4">
        <v>45791</v>
      </c>
      <c r="F2257" s="1" t="s">
        <v>63</v>
      </c>
    </row>
    <row r="2258" spans="1:6" x14ac:dyDescent="0.25">
      <c r="A2258" s="1" t="s">
        <v>4526</v>
      </c>
      <c r="B2258" s="1" t="s">
        <v>4527</v>
      </c>
      <c r="C2258" s="3">
        <v>200</v>
      </c>
      <c r="D2258" s="3" t="str">
        <f ca="1">IF(B2258="","",IFERROR(_xludf.XLOOKUP(_xludf.XLOOKUP(B2258,Inventory!$A:$A,Inventory!$B:$B),Blades!$A:$A,Blades!$C:$C)+_xludf.XLOOKUP(_xludf.XLOOKUP(B2258,Inventory!$A:$A,Inventory!$C:$C),Motor!$A:$A,Motor!$C:$C)+_xludf.XLOOKUP(_xludf.XLOOKUP(B2258,Inventory!$A:$A,Inventory!$D:$D),Frame!$A:$A,Frame!$C:$C)+#REF!,""))</f>
        <v/>
      </c>
      <c r="E2258" s="4">
        <v>45791</v>
      </c>
      <c r="F2258" s="1" t="s">
        <v>8</v>
      </c>
    </row>
    <row r="2259" spans="1:6" x14ac:dyDescent="0.25">
      <c r="A2259" s="1" t="s">
        <v>4528</v>
      </c>
      <c r="B2259" s="1" t="s">
        <v>4529</v>
      </c>
      <c r="C2259" s="3">
        <v>200</v>
      </c>
      <c r="D2259" s="3" t="str">
        <f ca="1">IF(B2259="","",IFERROR(_xludf.XLOOKUP(_xludf.XLOOKUP(B2259,Inventory!$A:$A,Inventory!$B:$B),Blades!$A:$A,Blades!$C:$C)+_xludf.XLOOKUP(_xludf.XLOOKUP(B2259,Inventory!$A:$A,Inventory!$C:$C),Motor!$A:$A,Motor!$C:$C)+_xludf.XLOOKUP(_xludf.XLOOKUP(B2259,Inventory!$A:$A,Inventory!$D:$D),Frame!$A:$A,Frame!$C:$C)+#REF!,""))</f>
        <v/>
      </c>
      <c r="E2259" s="4">
        <v>45791</v>
      </c>
      <c r="F2259" s="1" t="s">
        <v>20</v>
      </c>
    </row>
    <row r="2260" spans="1:6" x14ac:dyDescent="0.25">
      <c r="A2260" s="1" t="s">
        <v>4530</v>
      </c>
      <c r="B2260" s="1" t="s">
        <v>4531</v>
      </c>
      <c r="C2260" s="3">
        <v>200</v>
      </c>
      <c r="D2260" s="3" t="str">
        <f ca="1">IF(B2260="","",IFERROR(_xludf.XLOOKUP(_xludf.XLOOKUP(B2260,Inventory!$A:$A,Inventory!$B:$B),Blades!$A:$A,Blades!$C:$C)+_xludf.XLOOKUP(_xludf.XLOOKUP(B2260,Inventory!$A:$A,Inventory!$C:$C),Motor!$A:$A,Motor!$C:$C)+_xludf.XLOOKUP(_xludf.XLOOKUP(B2260,Inventory!$A:$A,Inventory!$D:$D),Frame!$A:$A,Frame!$C:$C)+#REF!,""))</f>
        <v/>
      </c>
      <c r="E2260" s="4">
        <v>45792</v>
      </c>
      <c r="F2260" s="1" t="s">
        <v>20</v>
      </c>
    </row>
    <row r="2261" spans="1:6" x14ac:dyDescent="0.25">
      <c r="A2261" s="1" t="s">
        <v>4532</v>
      </c>
      <c r="B2261" s="1" t="s">
        <v>4533</v>
      </c>
      <c r="C2261" s="3">
        <v>200</v>
      </c>
      <c r="D2261" s="3" t="str">
        <f ca="1">IF(B2261="","",IFERROR(_xludf.XLOOKUP(_xludf.XLOOKUP(B2261,Inventory!$A:$A,Inventory!$B:$B),Blades!$A:$A,Blades!$C:$C)+_xludf.XLOOKUP(_xludf.XLOOKUP(B2261,Inventory!$A:$A,Inventory!$C:$C),Motor!$A:$A,Motor!$C:$C)+_xludf.XLOOKUP(_xludf.XLOOKUP(B2261,Inventory!$A:$A,Inventory!$D:$D),Frame!$A:$A,Frame!$C:$C)+#REF!,""))</f>
        <v/>
      </c>
      <c r="E2261" s="4">
        <v>45793</v>
      </c>
      <c r="F2261" s="1" t="s">
        <v>52</v>
      </c>
    </row>
    <row r="2262" spans="1:6" x14ac:dyDescent="0.25">
      <c r="A2262" s="1" t="s">
        <v>4534</v>
      </c>
      <c r="B2262" s="1" t="s">
        <v>4535</v>
      </c>
      <c r="C2262" s="3">
        <v>200</v>
      </c>
      <c r="D2262" s="3" t="str">
        <f ca="1">IF(B2262="","",IFERROR(_xludf.XLOOKUP(_xludf.XLOOKUP(B2262,Inventory!$A:$A,Inventory!$B:$B),Blades!$A:$A,Blades!$C:$C)+_xludf.XLOOKUP(_xludf.XLOOKUP(B2262,Inventory!$A:$A,Inventory!$C:$C),Motor!$A:$A,Motor!$C:$C)+_xludf.XLOOKUP(_xludf.XLOOKUP(B2262,Inventory!$A:$A,Inventory!$D:$D),Frame!$A:$A,Frame!$C:$C)+#REF!,""))</f>
        <v/>
      </c>
      <c r="E2262" s="4">
        <v>45793</v>
      </c>
      <c r="F2262" s="1" t="s">
        <v>63</v>
      </c>
    </row>
    <row r="2263" spans="1:6" x14ac:dyDescent="0.25">
      <c r="A2263" s="1" t="s">
        <v>4536</v>
      </c>
      <c r="B2263" s="1" t="s">
        <v>4537</v>
      </c>
      <c r="C2263" s="3">
        <v>200</v>
      </c>
      <c r="D2263" s="3" t="str">
        <f ca="1">IF(B2263="","",IFERROR(_xludf.XLOOKUP(_xludf.XLOOKUP(B2263,Inventory!$A:$A,Inventory!$B:$B),Blades!$A:$A,Blades!$C:$C)+_xludf.XLOOKUP(_xludf.XLOOKUP(B2263,Inventory!$A:$A,Inventory!$C:$C),Motor!$A:$A,Motor!$C:$C)+_xludf.XLOOKUP(_xludf.XLOOKUP(B2263,Inventory!$A:$A,Inventory!$D:$D),Frame!$A:$A,Frame!$C:$C)+#REF!,""))</f>
        <v/>
      </c>
      <c r="E2263" s="4">
        <v>45796</v>
      </c>
      <c r="F2263" s="1" t="s">
        <v>8</v>
      </c>
    </row>
    <row r="2264" spans="1:6" x14ac:dyDescent="0.25">
      <c r="A2264" s="1" t="s">
        <v>4538</v>
      </c>
      <c r="B2264" s="1" t="s">
        <v>4539</v>
      </c>
      <c r="C2264" s="3">
        <v>200</v>
      </c>
      <c r="D2264" s="3" t="str">
        <f ca="1">IF(B2264="","",IFERROR(_xludf.XLOOKUP(_xludf.XLOOKUP(B2264,Inventory!$A:$A,Inventory!$B:$B),Blades!$A:$A,Blades!$C:$C)+_xludf.XLOOKUP(_xludf.XLOOKUP(B2264,Inventory!$A:$A,Inventory!$C:$C),Motor!$A:$A,Motor!$C:$C)+_xludf.XLOOKUP(_xludf.XLOOKUP(B2264,Inventory!$A:$A,Inventory!$D:$D),Frame!$A:$A,Frame!$C:$C)+#REF!,""))</f>
        <v/>
      </c>
      <c r="E2264" s="4">
        <v>45796</v>
      </c>
      <c r="F2264" s="1" t="s">
        <v>32</v>
      </c>
    </row>
    <row r="2265" spans="1:6" x14ac:dyDescent="0.25">
      <c r="A2265" s="1" t="s">
        <v>4540</v>
      </c>
      <c r="B2265" s="1" t="s">
        <v>4541</v>
      </c>
      <c r="C2265" s="3">
        <v>200</v>
      </c>
      <c r="D2265" s="3" t="str">
        <f ca="1">IF(B2265="","",IFERROR(_xludf.XLOOKUP(_xludf.XLOOKUP(B2265,Inventory!$A:$A,Inventory!$B:$B),Blades!$A:$A,Blades!$C:$C)+_xludf.XLOOKUP(_xludf.XLOOKUP(B2265,Inventory!$A:$A,Inventory!$C:$C),Motor!$A:$A,Motor!$C:$C)+_xludf.XLOOKUP(_xludf.XLOOKUP(B2265,Inventory!$A:$A,Inventory!$D:$D),Frame!$A:$A,Frame!$C:$C)+#REF!,""))</f>
        <v/>
      </c>
      <c r="E2265" s="4">
        <v>45796</v>
      </c>
      <c r="F2265" s="1" t="s">
        <v>20</v>
      </c>
    </row>
    <row r="2266" spans="1:6" x14ac:dyDescent="0.25">
      <c r="A2266" s="1" t="s">
        <v>4542</v>
      </c>
      <c r="B2266" s="1" t="s">
        <v>4543</v>
      </c>
      <c r="C2266" s="3">
        <v>200</v>
      </c>
      <c r="D2266" s="3" t="str">
        <f ca="1">IF(B2266="","",IFERROR(_xludf.XLOOKUP(_xludf.XLOOKUP(B2266,Inventory!$A:$A,Inventory!$B:$B),Blades!$A:$A,Blades!$C:$C)+_xludf.XLOOKUP(_xludf.XLOOKUP(B2266,Inventory!$A:$A,Inventory!$C:$C),Motor!$A:$A,Motor!$C:$C)+_xludf.XLOOKUP(_xludf.XLOOKUP(B2266,Inventory!$A:$A,Inventory!$D:$D),Frame!$A:$A,Frame!$C:$C)+#REF!,""))</f>
        <v/>
      </c>
      <c r="E2266" s="4">
        <v>45796</v>
      </c>
      <c r="F2266" s="1" t="s">
        <v>11</v>
      </c>
    </row>
    <row r="2267" spans="1:6" x14ac:dyDescent="0.25">
      <c r="A2267" s="1" t="s">
        <v>4544</v>
      </c>
      <c r="B2267" s="1" t="s">
        <v>4545</v>
      </c>
      <c r="C2267" s="3">
        <v>200</v>
      </c>
      <c r="D2267" s="3" t="str">
        <f ca="1">IF(B2267="","",IFERROR(_xludf.XLOOKUP(_xludf.XLOOKUP(B2267,Inventory!$A:$A,Inventory!$B:$B),Blades!$A:$A,Blades!$C:$C)+_xludf.XLOOKUP(_xludf.XLOOKUP(B2267,Inventory!$A:$A,Inventory!$C:$C),Motor!$A:$A,Motor!$C:$C)+_xludf.XLOOKUP(_xludf.XLOOKUP(B2267,Inventory!$A:$A,Inventory!$D:$D),Frame!$A:$A,Frame!$C:$C)+#REF!,""))</f>
        <v/>
      </c>
      <c r="E2267" s="4">
        <v>45798</v>
      </c>
      <c r="F2267" s="1" t="s">
        <v>20</v>
      </c>
    </row>
    <row r="2268" spans="1:6" x14ac:dyDescent="0.25">
      <c r="A2268" s="1" t="s">
        <v>4546</v>
      </c>
      <c r="B2268" s="1" t="s">
        <v>4547</v>
      </c>
      <c r="C2268" s="3">
        <v>200</v>
      </c>
      <c r="D2268" s="3" t="str">
        <f ca="1">IF(B2268="","",IFERROR(_xludf.XLOOKUP(_xludf.XLOOKUP(B2268,Inventory!$A:$A,Inventory!$B:$B),Blades!$A:$A,Blades!$C:$C)+_xludf.XLOOKUP(_xludf.XLOOKUP(B2268,Inventory!$A:$A,Inventory!$C:$C),Motor!$A:$A,Motor!$C:$C)+_xludf.XLOOKUP(_xludf.XLOOKUP(B2268,Inventory!$A:$A,Inventory!$D:$D),Frame!$A:$A,Frame!$C:$C)+#REF!,""))</f>
        <v/>
      </c>
      <c r="E2268" s="4">
        <v>45798</v>
      </c>
      <c r="F2268" s="1" t="s">
        <v>32</v>
      </c>
    </row>
    <row r="2269" spans="1:6" x14ac:dyDescent="0.25">
      <c r="A2269" s="1" t="s">
        <v>4548</v>
      </c>
      <c r="B2269" s="1" t="s">
        <v>4549</v>
      </c>
      <c r="C2269" s="3">
        <v>200</v>
      </c>
      <c r="D2269" s="3" t="str">
        <f ca="1">IF(B2269="","",IFERROR(_xludf.XLOOKUP(_xludf.XLOOKUP(B2269,Inventory!$A:$A,Inventory!$B:$B),Blades!$A:$A,Blades!$C:$C)+_xludf.XLOOKUP(_xludf.XLOOKUP(B2269,Inventory!$A:$A,Inventory!$C:$C),Motor!$A:$A,Motor!$C:$C)+_xludf.XLOOKUP(_xludf.XLOOKUP(B2269,Inventory!$A:$A,Inventory!$D:$D),Frame!$A:$A,Frame!$C:$C)+#REF!,""))</f>
        <v/>
      </c>
      <c r="E2269" s="4">
        <v>45799</v>
      </c>
      <c r="F2269" s="1" t="s">
        <v>32</v>
      </c>
    </row>
    <row r="2270" spans="1:6" x14ac:dyDescent="0.25">
      <c r="A2270" s="1" t="s">
        <v>4550</v>
      </c>
      <c r="B2270" s="1" t="s">
        <v>4551</v>
      </c>
      <c r="C2270" s="3">
        <v>200</v>
      </c>
      <c r="D2270" s="3" t="str">
        <f ca="1">IF(B2270="","",IFERROR(_xludf.XLOOKUP(_xludf.XLOOKUP(B2270,Inventory!$A:$A,Inventory!$B:$B),Blades!$A:$A,Blades!$C:$C)+_xludf.XLOOKUP(_xludf.XLOOKUP(B2270,Inventory!$A:$A,Inventory!$C:$C),Motor!$A:$A,Motor!$C:$C)+_xludf.XLOOKUP(_xludf.XLOOKUP(B2270,Inventory!$A:$A,Inventory!$D:$D),Frame!$A:$A,Frame!$C:$C)+#REF!,""))</f>
        <v/>
      </c>
      <c r="E2270" s="4">
        <v>45799</v>
      </c>
      <c r="F2270" s="1" t="s">
        <v>20</v>
      </c>
    </row>
    <row r="2271" spans="1:6" x14ac:dyDescent="0.25">
      <c r="A2271" s="1" t="s">
        <v>4552</v>
      </c>
      <c r="B2271" s="1" t="s">
        <v>4553</v>
      </c>
      <c r="C2271" s="3">
        <v>200</v>
      </c>
      <c r="D2271" s="3" t="str">
        <f ca="1">IF(B2271="","",IFERROR(_xludf.XLOOKUP(_xludf.XLOOKUP(B2271,Inventory!$A:$A,Inventory!$B:$B),Blades!$A:$A,Blades!$C:$C)+_xludf.XLOOKUP(_xludf.XLOOKUP(B2271,Inventory!$A:$A,Inventory!$C:$C),Motor!$A:$A,Motor!$C:$C)+_xludf.XLOOKUP(_xludf.XLOOKUP(B2271,Inventory!$A:$A,Inventory!$D:$D),Frame!$A:$A,Frame!$C:$C)+#REF!,""))</f>
        <v/>
      </c>
      <c r="E2271" s="4">
        <v>45800</v>
      </c>
      <c r="F2271" s="1" t="s">
        <v>49</v>
      </c>
    </row>
    <row r="2272" spans="1:6" x14ac:dyDescent="0.25">
      <c r="A2272" s="1" t="s">
        <v>4554</v>
      </c>
      <c r="B2272" s="1" t="s">
        <v>4555</v>
      </c>
      <c r="C2272" s="3">
        <v>200</v>
      </c>
      <c r="D2272" s="3" t="str">
        <f ca="1">IF(B2272="","",IFERROR(_xludf.XLOOKUP(_xludf.XLOOKUP(B2272,Inventory!$A:$A,Inventory!$B:$B),Blades!$A:$A,Blades!$C:$C)+_xludf.XLOOKUP(_xludf.XLOOKUP(B2272,Inventory!$A:$A,Inventory!$C:$C),Motor!$A:$A,Motor!$C:$C)+_xludf.XLOOKUP(_xludf.XLOOKUP(B2272,Inventory!$A:$A,Inventory!$D:$D),Frame!$A:$A,Frame!$C:$C)+#REF!,""))</f>
        <v/>
      </c>
      <c r="E2272" s="4">
        <v>45802</v>
      </c>
      <c r="F2272" s="1" t="s">
        <v>25</v>
      </c>
    </row>
    <row r="2273" spans="1:6" x14ac:dyDescent="0.25">
      <c r="A2273" s="1" t="s">
        <v>4556</v>
      </c>
      <c r="B2273" s="1" t="s">
        <v>4557</v>
      </c>
      <c r="C2273" s="3">
        <v>200</v>
      </c>
      <c r="D2273" s="3" t="str">
        <f ca="1">IF(B2273="","",IFERROR(_xludf.XLOOKUP(_xludf.XLOOKUP(B2273,Inventory!$A:$A,Inventory!$B:$B),Blades!$A:$A,Blades!$C:$C)+_xludf.XLOOKUP(_xludf.XLOOKUP(B2273,Inventory!$A:$A,Inventory!$C:$C),Motor!$A:$A,Motor!$C:$C)+_xludf.XLOOKUP(_xludf.XLOOKUP(B2273,Inventory!$A:$A,Inventory!$D:$D),Frame!$A:$A,Frame!$C:$C)+#REF!,""))</f>
        <v/>
      </c>
      <c r="E2273" s="4">
        <v>45803</v>
      </c>
      <c r="F2273" s="1" t="s">
        <v>11</v>
      </c>
    </row>
    <row r="2274" spans="1:6" x14ac:dyDescent="0.25">
      <c r="A2274" s="1" t="s">
        <v>4558</v>
      </c>
      <c r="B2274" s="1" t="s">
        <v>4559</v>
      </c>
      <c r="C2274" s="3">
        <v>200</v>
      </c>
      <c r="D2274" s="3" t="str">
        <f ca="1">IF(B2274="","",IFERROR(_xludf.XLOOKUP(_xludf.XLOOKUP(B2274,Inventory!$A:$A,Inventory!$B:$B),Blades!$A:$A,Blades!$C:$C)+_xludf.XLOOKUP(_xludf.XLOOKUP(B2274,Inventory!$A:$A,Inventory!$C:$C),Motor!$A:$A,Motor!$C:$C)+_xludf.XLOOKUP(_xludf.XLOOKUP(B2274,Inventory!$A:$A,Inventory!$D:$D),Frame!$A:$A,Frame!$C:$C)+#REF!,""))</f>
        <v/>
      </c>
      <c r="E2274" s="4">
        <v>45803</v>
      </c>
      <c r="F2274" s="1" t="s">
        <v>20</v>
      </c>
    </row>
    <row r="2275" spans="1:6" x14ac:dyDescent="0.25">
      <c r="A2275" s="1" t="s">
        <v>4560</v>
      </c>
      <c r="B2275" s="1" t="s">
        <v>4561</v>
      </c>
      <c r="C2275" s="3">
        <v>200</v>
      </c>
      <c r="D2275" s="3" t="str">
        <f ca="1">IF(B2275="","",IFERROR(_xludf.XLOOKUP(_xludf.XLOOKUP(B2275,Inventory!$A:$A,Inventory!$B:$B),Blades!$A:$A,Blades!$C:$C)+_xludf.XLOOKUP(_xludf.XLOOKUP(B2275,Inventory!$A:$A,Inventory!$C:$C),Motor!$A:$A,Motor!$C:$C)+_xludf.XLOOKUP(_xludf.XLOOKUP(B2275,Inventory!$A:$A,Inventory!$D:$D),Frame!$A:$A,Frame!$C:$C)+#REF!,""))</f>
        <v/>
      </c>
      <c r="E2275" s="4">
        <v>45804</v>
      </c>
      <c r="F2275" s="1" t="s">
        <v>63</v>
      </c>
    </row>
    <row r="2276" spans="1:6" x14ac:dyDescent="0.25">
      <c r="A2276" s="1" t="s">
        <v>4562</v>
      </c>
      <c r="B2276" s="1" t="s">
        <v>4563</v>
      </c>
      <c r="C2276" s="3">
        <v>200</v>
      </c>
      <c r="D2276" s="3" t="str">
        <f ca="1">IF(B2276="","",IFERROR(_xludf.XLOOKUP(_xludf.XLOOKUP(B2276,Inventory!$A:$A,Inventory!$B:$B),Blades!$A:$A,Blades!$C:$C)+_xludf.XLOOKUP(_xludf.XLOOKUP(B2276,Inventory!$A:$A,Inventory!$C:$C),Motor!$A:$A,Motor!$C:$C)+_xludf.XLOOKUP(_xludf.XLOOKUP(B2276,Inventory!$A:$A,Inventory!$D:$D),Frame!$A:$A,Frame!$C:$C)+#REF!,""))</f>
        <v/>
      </c>
      <c r="E2276" s="4">
        <v>45805</v>
      </c>
      <c r="F2276" s="1" t="s">
        <v>52</v>
      </c>
    </row>
    <row r="2277" spans="1:6" x14ac:dyDescent="0.25">
      <c r="A2277" s="1" t="s">
        <v>4564</v>
      </c>
      <c r="B2277" s="1" t="s">
        <v>4565</v>
      </c>
      <c r="C2277" s="3">
        <v>200</v>
      </c>
      <c r="D2277" s="3" t="str">
        <f ca="1">IF(B2277="","",IFERROR(_xludf.XLOOKUP(_xludf.XLOOKUP(B2277,Inventory!$A:$A,Inventory!$B:$B),Blades!$A:$A,Blades!$C:$C)+_xludf.XLOOKUP(_xludf.XLOOKUP(B2277,Inventory!$A:$A,Inventory!$C:$C),Motor!$A:$A,Motor!$C:$C)+_xludf.XLOOKUP(_xludf.XLOOKUP(B2277,Inventory!$A:$A,Inventory!$D:$D),Frame!$A:$A,Frame!$C:$C)+#REF!,""))</f>
        <v/>
      </c>
      <c r="E2277" s="4">
        <v>45805</v>
      </c>
      <c r="F2277" s="1" t="s">
        <v>49</v>
      </c>
    </row>
    <row r="2278" spans="1:6" x14ac:dyDescent="0.25">
      <c r="A2278" s="1" t="s">
        <v>4566</v>
      </c>
      <c r="B2278" s="1" t="s">
        <v>4567</v>
      </c>
      <c r="C2278" s="3">
        <v>200</v>
      </c>
      <c r="D2278" s="3" t="str">
        <f ca="1">IF(B2278="","",IFERROR(_xludf.XLOOKUP(_xludf.XLOOKUP(B2278,Inventory!$A:$A,Inventory!$B:$B),Blades!$A:$A,Blades!$C:$C)+_xludf.XLOOKUP(_xludf.XLOOKUP(B2278,Inventory!$A:$A,Inventory!$C:$C),Motor!$A:$A,Motor!$C:$C)+_xludf.XLOOKUP(_xludf.XLOOKUP(B2278,Inventory!$A:$A,Inventory!$D:$D),Frame!$A:$A,Frame!$C:$C)+#REF!,""))</f>
        <v/>
      </c>
      <c r="E2278" s="4">
        <v>45805</v>
      </c>
      <c r="F2278" s="1" t="s">
        <v>32</v>
      </c>
    </row>
    <row r="2279" spans="1:6" x14ac:dyDescent="0.25">
      <c r="A2279" s="1" t="s">
        <v>4568</v>
      </c>
      <c r="B2279" s="1" t="s">
        <v>4569</v>
      </c>
      <c r="C2279" s="3">
        <v>200</v>
      </c>
      <c r="D2279" s="3" t="str">
        <f ca="1">IF(B2279="","",IFERROR(_xludf.XLOOKUP(_xludf.XLOOKUP(B2279,Inventory!$A:$A,Inventory!$B:$B),Blades!$A:$A,Blades!$C:$C)+_xludf.XLOOKUP(_xludf.XLOOKUP(B2279,Inventory!$A:$A,Inventory!$C:$C),Motor!$A:$A,Motor!$C:$C)+_xludf.XLOOKUP(_xludf.XLOOKUP(B2279,Inventory!$A:$A,Inventory!$D:$D),Frame!$A:$A,Frame!$C:$C)+#REF!,""))</f>
        <v/>
      </c>
      <c r="E2279" s="4">
        <v>45805</v>
      </c>
      <c r="F2279" s="1" t="s">
        <v>25</v>
      </c>
    </row>
    <row r="2280" spans="1:6" x14ac:dyDescent="0.25">
      <c r="A2280" s="1" t="s">
        <v>4570</v>
      </c>
      <c r="B2280" s="1" t="s">
        <v>4571</v>
      </c>
      <c r="C2280" s="3">
        <v>200</v>
      </c>
      <c r="D2280" s="3" t="str">
        <f ca="1">IF(B2280="","",IFERROR(_xludf.XLOOKUP(_xludf.XLOOKUP(B2280,Inventory!$A:$A,Inventory!$B:$B),Blades!$A:$A,Blades!$C:$C)+_xludf.XLOOKUP(_xludf.XLOOKUP(B2280,Inventory!$A:$A,Inventory!$C:$C),Motor!$A:$A,Motor!$C:$C)+_xludf.XLOOKUP(_xludf.XLOOKUP(B2280,Inventory!$A:$A,Inventory!$D:$D),Frame!$A:$A,Frame!$C:$C)+#REF!,""))</f>
        <v/>
      </c>
      <c r="E2280" s="4">
        <v>45805</v>
      </c>
      <c r="F2280" s="1" t="s">
        <v>63</v>
      </c>
    </row>
    <row r="2281" spans="1:6" x14ac:dyDescent="0.25">
      <c r="A2281" s="1" t="s">
        <v>4572</v>
      </c>
      <c r="B2281" s="1" t="s">
        <v>4573</v>
      </c>
      <c r="C2281" s="3">
        <v>200</v>
      </c>
      <c r="D2281" s="3" t="str">
        <f ca="1">IF(B2281="","",IFERROR(_xludf.XLOOKUP(_xludf.XLOOKUP(B2281,Inventory!$A:$A,Inventory!$B:$B),Blades!$A:$A,Blades!$C:$C)+_xludf.XLOOKUP(_xludf.XLOOKUP(B2281,Inventory!$A:$A,Inventory!$C:$C),Motor!$A:$A,Motor!$C:$C)+_xludf.XLOOKUP(_xludf.XLOOKUP(B2281,Inventory!$A:$A,Inventory!$D:$D),Frame!$A:$A,Frame!$C:$C)+#REF!,""))</f>
        <v/>
      </c>
      <c r="E2281" s="4">
        <v>45806</v>
      </c>
      <c r="F2281" s="1" t="s">
        <v>11</v>
      </c>
    </row>
    <row r="2282" spans="1:6" x14ac:dyDescent="0.25">
      <c r="A2282" s="1" t="s">
        <v>4574</v>
      </c>
      <c r="B2282" s="1" t="s">
        <v>4575</v>
      </c>
      <c r="C2282" s="3">
        <v>200</v>
      </c>
      <c r="D2282" s="3" t="str">
        <f ca="1">IF(B2282="","",IFERROR(_xludf.XLOOKUP(_xludf.XLOOKUP(B2282,Inventory!$A:$A,Inventory!$B:$B),Blades!$A:$A,Blades!$C:$C)+_xludf.XLOOKUP(_xludf.XLOOKUP(B2282,Inventory!$A:$A,Inventory!$C:$C),Motor!$A:$A,Motor!$C:$C)+_xludf.XLOOKUP(_xludf.XLOOKUP(B2282,Inventory!$A:$A,Inventory!$D:$D),Frame!$A:$A,Frame!$C:$C)+#REF!,""))</f>
        <v/>
      </c>
      <c r="E2282" s="4">
        <v>45806</v>
      </c>
      <c r="F2282" s="1" t="s">
        <v>49</v>
      </c>
    </row>
    <row r="2283" spans="1:6" x14ac:dyDescent="0.25">
      <c r="A2283" s="1" t="s">
        <v>4576</v>
      </c>
      <c r="B2283" s="1" t="s">
        <v>4577</v>
      </c>
      <c r="C2283" s="3">
        <v>200</v>
      </c>
      <c r="D2283" s="3" t="str">
        <f ca="1">IF(B2283="","",IFERROR(_xludf.XLOOKUP(_xludf.XLOOKUP(B2283,Inventory!$A:$A,Inventory!$B:$B),Blades!$A:$A,Blades!$C:$C)+_xludf.XLOOKUP(_xludf.XLOOKUP(B2283,Inventory!$A:$A,Inventory!$C:$C),Motor!$A:$A,Motor!$C:$C)+_xludf.XLOOKUP(_xludf.XLOOKUP(B2283,Inventory!$A:$A,Inventory!$D:$D),Frame!$A:$A,Frame!$C:$C)+#REF!,""))</f>
        <v/>
      </c>
      <c r="E2283" s="4">
        <v>45806</v>
      </c>
      <c r="F2283" s="1" t="s">
        <v>20</v>
      </c>
    </row>
    <row r="2284" spans="1:6" x14ac:dyDescent="0.25">
      <c r="A2284" s="1" t="s">
        <v>4578</v>
      </c>
      <c r="B2284" s="1" t="s">
        <v>4579</v>
      </c>
      <c r="C2284" s="3">
        <v>200</v>
      </c>
      <c r="D2284" s="3" t="str">
        <f ca="1">IF(B2284="","",IFERROR(_xludf.XLOOKUP(_xludf.XLOOKUP(B2284,Inventory!$A:$A,Inventory!$B:$B),Blades!$A:$A,Blades!$C:$C)+_xludf.XLOOKUP(_xludf.XLOOKUP(B2284,Inventory!$A:$A,Inventory!$C:$C),Motor!$A:$A,Motor!$C:$C)+_xludf.XLOOKUP(_xludf.XLOOKUP(B2284,Inventory!$A:$A,Inventory!$D:$D),Frame!$A:$A,Frame!$C:$C)+#REF!,""))</f>
        <v/>
      </c>
      <c r="E2284" s="4">
        <v>45806</v>
      </c>
      <c r="F2284" s="1" t="s">
        <v>8</v>
      </c>
    </row>
    <row r="2285" spans="1:6" x14ac:dyDescent="0.25">
      <c r="A2285" s="1" t="s">
        <v>4580</v>
      </c>
      <c r="B2285" s="1" t="s">
        <v>4581</v>
      </c>
      <c r="C2285" s="3">
        <v>200</v>
      </c>
      <c r="D2285" s="3" t="str">
        <f ca="1">IF(B2285="","",IFERROR(_xludf.XLOOKUP(_xludf.XLOOKUP(B2285,Inventory!$A:$A,Inventory!$B:$B),Blades!$A:$A,Blades!$C:$C)+_xludf.XLOOKUP(_xludf.XLOOKUP(B2285,Inventory!$A:$A,Inventory!$C:$C),Motor!$A:$A,Motor!$C:$C)+_xludf.XLOOKUP(_xludf.XLOOKUP(B2285,Inventory!$A:$A,Inventory!$D:$D),Frame!$A:$A,Frame!$C:$C)+#REF!,""))</f>
        <v/>
      </c>
      <c r="E2285" s="4">
        <v>45806</v>
      </c>
      <c r="F2285" s="1" t="s">
        <v>32</v>
      </c>
    </row>
    <row r="2286" spans="1:6" x14ac:dyDescent="0.25">
      <c r="A2286" s="1" t="s">
        <v>4582</v>
      </c>
      <c r="B2286" s="1" t="s">
        <v>4583</v>
      </c>
      <c r="C2286" s="3">
        <v>200</v>
      </c>
      <c r="D2286" s="3" t="str">
        <f ca="1">IF(B2286="","",IFERROR(_xludf.XLOOKUP(_xludf.XLOOKUP(B2286,Inventory!$A:$A,Inventory!$B:$B),Blades!$A:$A,Blades!$C:$C)+_xludf.XLOOKUP(_xludf.XLOOKUP(B2286,Inventory!$A:$A,Inventory!$C:$C),Motor!$A:$A,Motor!$C:$C)+_xludf.XLOOKUP(_xludf.XLOOKUP(B2286,Inventory!$A:$A,Inventory!$D:$D),Frame!$A:$A,Frame!$C:$C)+#REF!,""))</f>
        <v/>
      </c>
      <c r="E2286" s="4">
        <v>45806</v>
      </c>
      <c r="F2286" s="1" t="s">
        <v>49</v>
      </c>
    </row>
    <row r="2287" spans="1:6" x14ac:dyDescent="0.25">
      <c r="A2287" s="1" t="s">
        <v>4584</v>
      </c>
      <c r="B2287" s="1" t="s">
        <v>4585</v>
      </c>
      <c r="C2287" s="3">
        <v>200</v>
      </c>
      <c r="D2287" s="3" t="str">
        <f ca="1">IF(B2287="","",IFERROR(_xludf.XLOOKUP(_xludf.XLOOKUP(B2287,Inventory!$A:$A,Inventory!$B:$B),Blades!$A:$A,Blades!$C:$C)+_xludf.XLOOKUP(_xludf.XLOOKUP(B2287,Inventory!$A:$A,Inventory!$C:$C),Motor!$A:$A,Motor!$C:$C)+_xludf.XLOOKUP(_xludf.XLOOKUP(B2287,Inventory!$A:$A,Inventory!$D:$D),Frame!$A:$A,Frame!$C:$C)+#REF!,""))</f>
        <v/>
      </c>
      <c r="E2287" s="4">
        <v>45806</v>
      </c>
      <c r="F2287" s="1" t="s">
        <v>20</v>
      </c>
    </row>
    <row r="2288" spans="1:6" x14ac:dyDescent="0.25">
      <c r="A2288" s="1" t="s">
        <v>4586</v>
      </c>
      <c r="B2288" s="1" t="s">
        <v>4587</v>
      </c>
      <c r="C2288" s="3">
        <v>200</v>
      </c>
      <c r="D2288" s="3" t="str">
        <f ca="1">IF(B2288="","",IFERROR(_xludf.XLOOKUP(_xludf.XLOOKUP(B2288,Inventory!$A:$A,Inventory!$B:$B),Blades!$A:$A,Blades!$C:$C)+_xludf.XLOOKUP(_xludf.XLOOKUP(B2288,Inventory!$A:$A,Inventory!$C:$C),Motor!$A:$A,Motor!$C:$C)+_xludf.XLOOKUP(_xludf.XLOOKUP(B2288,Inventory!$A:$A,Inventory!$D:$D),Frame!$A:$A,Frame!$C:$C)+#REF!,""))</f>
        <v/>
      </c>
      <c r="E2288" s="4">
        <v>45808</v>
      </c>
      <c r="F2288" s="1" t="s">
        <v>25</v>
      </c>
    </row>
    <row r="2289" spans="1:6" x14ac:dyDescent="0.25">
      <c r="A2289" s="1" t="s">
        <v>4588</v>
      </c>
      <c r="B2289" s="1" t="s">
        <v>4589</v>
      </c>
      <c r="C2289" s="3">
        <v>200</v>
      </c>
      <c r="D2289" s="3" t="str">
        <f ca="1">IF(B2289="","",IFERROR(_xludf.XLOOKUP(_xludf.XLOOKUP(B2289,Inventory!$A:$A,Inventory!$B:$B),Blades!$A:$A,Blades!$C:$C)+_xludf.XLOOKUP(_xludf.XLOOKUP(B2289,Inventory!$A:$A,Inventory!$C:$C),Motor!$A:$A,Motor!$C:$C)+_xludf.XLOOKUP(_xludf.XLOOKUP(B2289,Inventory!$A:$A,Inventory!$D:$D),Frame!$A:$A,Frame!$C:$C)+#REF!,""))</f>
        <v/>
      </c>
      <c r="E2289" s="4">
        <v>45808</v>
      </c>
      <c r="F2289" s="1" t="s">
        <v>49</v>
      </c>
    </row>
    <row r="2290" spans="1:6" x14ac:dyDescent="0.25">
      <c r="A2290" s="1" t="s">
        <v>4590</v>
      </c>
      <c r="B2290" s="1" t="s">
        <v>4591</v>
      </c>
      <c r="C2290" s="3">
        <v>200</v>
      </c>
      <c r="D2290" s="3" t="str">
        <f ca="1">IF(B2290="","",IFERROR(_xludf.XLOOKUP(_xludf.XLOOKUP(B2290,Inventory!$A:$A,Inventory!$B:$B),Blades!$A:$A,Blades!$C:$C)+_xludf.XLOOKUP(_xludf.XLOOKUP(B2290,Inventory!$A:$A,Inventory!$C:$C),Motor!$A:$A,Motor!$C:$C)+_xludf.XLOOKUP(_xludf.XLOOKUP(B2290,Inventory!$A:$A,Inventory!$D:$D),Frame!$A:$A,Frame!$C:$C)+#REF!,""))</f>
        <v/>
      </c>
      <c r="E2290" s="4">
        <v>45810</v>
      </c>
      <c r="F2290" s="1" t="s">
        <v>20</v>
      </c>
    </row>
    <row r="2291" spans="1:6" x14ac:dyDescent="0.25">
      <c r="A2291" s="1" t="s">
        <v>4592</v>
      </c>
      <c r="B2291" s="1" t="s">
        <v>4593</v>
      </c>
      <c r="C2291" s="3">
        <v>200</v>
      </c>
      <c r="D2291" s="3" t="str">
        <f ca="1">IF(B2291="","",IFERROR(_xludf.XLOOKUP(_xludf.XLOOKUP(B2291,Inventory!$A:$A,Inventory!$B:$B),Blades!$A:$A,Blades!$C:$C)+_xludf.XLOOKUP(_xludf.XLOOKUP(B2291,Inventory!$A:$A,Inventory!$C:$C),Motor!$A:$A,Motor!$C:$C)+_xludf.XLOOKUP(_xludf.XLOOKUP(B2291,Inventory!$A:$A,Inventory!$D:$D),Frame!$A:$A,Frame!$C:$C)+#REF!,""))</f>
        <v/>
      </c>
      <c r="E2291" s="4">
        <v>45810</v>
      </c>
      <c r="F2291" s="1" t="s">
        <v>52</v>
      </c>
    </row>
    <row r="2292" spans="1:6" x14ac:dyDescent="0.25">
      <c r="A2292" s="1" t="s">
        <v>4594</v>
      </c>
      <c r="B2292" s="1" t="s">
        <v>4595</v>
      </c>
      <c r="C2292" s="3">
        <v>200</v>
      </c>
      <c r="D2292" s="3" t="str">
        <f ca="1">IF(B2292="","",IFERROR(_xludf.XLOOKUP(_xludf.XLOOKUP(B2292,Inventory!$A:$A,Inventory!$B:$B),Blades!$A:$A,Blades!$C:$C)+_xludf.XLOOKUP(_xludf.XLOOKUP(B2292,Inventory!$A:$A,Inventory!$C:$C),Motor!$A:$A,Motor!$C:$C)+_xludf.XLOOKUP(_xludf.XLOOKUP(B2292,Inventory!$A:$A,Inventory!$D:$D),Frame!$A:$A,Frame!$C:$C)+#REF!,""))</f>
        <v/>
      </c>
      <c r="E2292" s="4">
        <v>45811</v>
      </c>
      <c r="F2292" s="1" t="s">
        <v>20</v>
      </c>
    </row>
    <row r="2293" spans="1:6" x14ac:dyDescent="0.25">
      <c r="A2293" s="1" t="s">
        <v>4596</v>
      </c>
      <c r="B2293" s="1" t="s">
        <v>4597</v>
      </c>
      <c r="C2293" s="3">
        <v>200</v>
      </c>
      <c r="D2293" s="3" t="str">
        <f ca="1">IF(B2293="","",IFERROR(_xludf.XLOOKUP(_xludf.XLOOKUP(B2293,Inventory!$A:$A,Inventory!$B:$B),Blades!$A:$A,Blades!$C:$C)+_xludf.XLOOKUP(_xludf.XLOOKUP(B2293,Inventory!$A:$A,Inventory!$C:$C),Motor!$A:$A,Motor!$C:$C)+_xludf.XLOOKUP(_xludf.XLOOKUP(B2293,Inventory!$A:$A,Inventory!$D:$D),Frame!$A:$A,Frame!$C:$C)+#REF!,""))</f>
        <v/>
      </c>
      <c r="E2293" s="4">
        <v>45812</v>
      </c>
      <c r="F2293" s="1" t="s">
        <v>20</v>
      </c>
    </row>
    <row r="2294" spans="1:6" x14ac:dyDescent="0.25">
      <c r="A2294" s="1" t="s">
        <v>4598</v>
      </c>
      <c r="B2294" s="1" t="s">
        <v>4599</v>
      </c>
      <c r="C2294" s="3">
        <v>200</v>
      </c>
      <c r="D2294" s="3" t="str">
        <f ca="1">IF(B2294="","",IFERROR(_xludf.XLOOKUP(_xludf.XLOOKUP(B2294,Inventory!$A:$A,Inventory!$B:$B),Blades!$A:$A,Blades!$C:$C)+_xludf.XLOOKUP(_xludf.XLOOKUP(B2294,Inventory!$A:$A,Inventory!$C:$C),Motor!$A:$A,Motor!$C:$C)+_xludf.XLOOKUP(_xludf.XLOOKUP(B2294,Inventory!$A:$A,Inventory!$D:$D),Frame!$A:$A,Frame!$C:$C)+#REF!,""))</f>
        <v/>
      </c>
      <c r="E2294" s="4">
        <v>45812</v>
      </c>
      <c r="F2294" s="1" t="s">
        <v>20</v>
      </c>
    </row>
    <row r="2295" spans="1:6" x14ac:dyDescent="0.25">
      <c r="A2295" s="1" t="s">
        <v>4600</v>
      </c>
      <c r="B2295" s="1" t="s">
        <v>4601</v>
      </c>
      <c r="C2295" s="3">
        <v>200</v>
      </c>
      <c r="D2295" s="3" t="str">
        <f ca="1">IF(B2295="","",IFERROR(_xludf.XLOOKUP(_xludf.XLOOKUP(B2295,Inventory!$A:$A,Inventory!$B:$B),Blades!$A:$A,Blades!$C:$C)+_xludf.XLOOKUP(_xludf.XLOOKUP(B2295,Inventory!$A:$A,Inventory!$C:$C),Motor!$A:$A,Motor!$C:$C)+_xludf.XLOOKUP(_xludf.XLOOKUP(B2295,Inventory!$A:$A,Inventory!$D:$D),Frame!$A:$A,Frame!$C:$C)+#REF!,""))</f>
        <v/>
      </c>
      <c r="E2295" s="4">
        <v>45812</v>
      </c>
      <c r="F2295" s="1" t="s">
        <v>11</v>
      </c>
    </row>
    <row r="2296" spans="1:6" x14ac:dyDescent="0.25">
      <c r="A2296" s="1" t="s">
        <v>4602</v>
      </c>
      <c r="B2296" s="1" t="s">
        <v>4603</v>
      </c>
      <c r="C2296" s="3">
        <v>200</v>
      </c>
      <c r="D2296" s="3" t="str">
        <f ca="1">IF(B2296="","",IFERROR(_xludf.XLOOKUP(_xludf.XLOOKUP(B2296,Inventory!$A:$A,Inventory!$B:$B),Blades!$A:$A,Blades!$C:$C)+_xludf.XLOOKUP(_xludf.XLOOKUP(B2296,Inventory!$A:$A,Inventory!$C:$C),Motor!$A:$A,Motor!$C:$C)+_xludf.XLOOKUP(_xludf.XLOOKUP(B2296,Inventory!$A:$A,Inventory!$D:$D),Frame!$A:$A,Frame!$C:$C)+#REF!,""))</f>
        <v/>
      </c>
      <c r="E2296" s="4">
        <v>45812</v>
      </c>
      <c r="F2296" s="1" t="s">
        <v>11</v>
      </c>
    </row>
    <row r="2297" spans="1:6" x14ac:dyDescent="0.25">
      <c r="A2297" s="1" t="s">
        <v>4604</v>
      </c>
      <c r="B2297" s="1" t="s">
        <v>4605</v>
      </c>
      <c r="C2297" s="3">
        <v>200</v>
      </c>
      <c r="D2297" s="3" t="str">
        <f ca="1">IF(B2297="","",IFERROR(_xludf.XLOOKUP(_xludf.XLOOKUP(B2297,Inventory!$A:$A,Inventory!$B:$B),Blades!$A:$A,Blades!$C:$C)+_xludf.XLOOKUP(_xludf.XLOOKUP(B2297,Inventory!$A:$A,Inventory!$C:$C),Motor!$A:$A,Motor!$C:$C)+_xludf.XLOOKUP(_xludf.XLOOKUP(B2297,Inventory!$A:$A,Inventory!$D:$D),Frame!$A:$A,Frame!$C:$C)+#REF!,""))</f>
        <v/>
      </c>
      <c r="E2297" s="4">
        <v>45812</v>
      </c>
      <c r="F2297" s="1" t="s">
        <v>32</v>
      </c>
    </row>
    <row r="2298" spans="1:6" x14ac:dyDescent="0.25">
      <c r="A2298" s="1" t="s">
        <v>4606</v>
      </c>
      <c r="B2298" s="1" t="s">
        <v>4607</v>
      </c>
      <c r="C2298" s="3">
        <v>200</v>
      </c>
      <c r="D2298" s="3" t="str">
        <f ca="1">IF(B2298="","",IFERROR(_xludf.XLOOKUP(_xludf.XLOOKUP(B2298,Inventory!$A:$A,Inventory!$B:$B),Blades!$A:$A,Blades!$C:$C)+_xludf.XLOOKUP(_xludf.XLOOKUP(B2298,Inventory!$A:$A,Inventory!$C:$C),Motor!$A:$A,Motor!$C:$C)+_xludf.XLOOKUP(_xludf.XLOOKUP(B2298,Inventory!$A:$A,Inventory!$D:$D),Frame!$A:$A,Frame!$C:$C)+#REF!,""))</f>
        <v/>
      </c>
      <c r="E2298" s="4">
        <v>45813</v>
      </c>
      <c r="F2298" s="1" t="s">
        <v>8</v>
      </c>
    </row>
    <row r="2299" spans="1:6" x14ac:dyDescent="0.25">
      <c r="A2299" s="1" t="s">
        <v>4608</v>
      </c>
      <c r="B2299" s="1" t="s">
        <v>4609</v>
      </c>
      <c r="C2299" s="3">
        <v>200</v>
      </c>
      <c r="D2299" s="3" t="str">
        <f ca="1">IF(B2299="","",IFERROR(_xludf.XLOOKUP(_xludf.XLOOKUP(B2299,Inventory!$A:$A,Inventory!$B:$B),Blades!$A:$A,Blades!$C:$C)+_xludf.XLOOKUP(_xludf.XLOOKUP(B2299,Inventory!$A:$A,Inventory!$C:$C),Motor!$A:$A,Motor!$C:$C)+_xludf.XLOOKUP(_xludf.XLOOKUP(B2299,Inventory!$A:$A,Inventory!$D:$D),Frame!$A:$A,Frame!$C:$C)+#REF!,""))</f>
        <v/>
      </c>
      <c r="E2299" s="4">
        <v>45813</v>
      </c>
      <c r="F2299" s="1" t="s">
        <v>20</v>
      </c>
    </row>
    <row r="2300" spans="1:6" x14ac:dyDescent="0.25">
      <c r="A2300" s="1" t="s">
        <v>4610</v>
      </c>
      <c r="B2300" s="1" t="s">
        <v>4611</v>
      </c>
      <c r="C2300" s="3">
        <v>200</v>
      </c>
      <c r="D2300" s="3" t="str">
        <f ca="1">IF(B2300="","",IFERROR(_xludf.XLOOKUP(_xludf.XLOOKUP(B2300,Inventory!$A:$A,Inventory!$B:$B),Blades!$A:$A,Blades!$C:$C)+_xludf.XLOOKUP(_xludf.XLOOKUP(B2300,Inventory!$A:$A,Inventory!$C:$C),Motor!$A:$A,Motor!$C:$C)+_xludf.XLOOKUP(_xludf.XLOOKUP(B2300,Inventory!$A:$A,Inventory!$D:$D),Frame!$A:$A,Frame!$C:$C)+#REF!,""))</f>
        <v/>
      </c>
      <c r="E2300" s="4">
        <v>45813</v>
      </c>
      <c r="F2300" s="1" t="s">
        <v>11</v>
      </c>
    </row>
    <row r="2301" spans="1:6" x14ac:dyDescent="0.25">
      <c r="A2301" s="1" t="s">
        <v>4612</v>
      </c>
      <c r="B2301" s="1" t="s">
        <v>4613</v>
      </c>
      <c r="C2301" s="3">
        <v>200</v>
      </c>
      <c r="D2301" s="3" t="str">
        <f ca="1">IF(B2301="","",IFERROR(_xludf.XLOOKUP(_xludf.XLOOKUP(B2301,Inventory!$A:$A,Inventory!$B:$B),Blades!$A:$A,Blades!$C:$C)+_xludf.XLOOKUP(_xludf.XLOOKUP(B2301,Inventory!$A:$A,Inventory!$C:$C),Motor!$A:$A,Motor!$C:$C)+_xludf.XLOOKUP(_xludf.XLOOKUP(B2301,Inventory!$A:$A,Inventory!$D:$D),Frame!$A:$A,Frame!$C:$C)+#REF!,""))</f>
        <v/>
      </c>
      <c r="E2301" s="4">
        <v>45813</v>
      </c>
      <c r="F2301" s="1" t="s">
        <v>49</v>
      </c>
    </row>
    <row r="2302" spans="1:6" x14ac:dyDescent="0.25">
      <c r="A2302" s="1" t="s">
        <v>4614</v>
      </c>
      <c r="B2302" s="1" t="s">
        <v>4615</v>
      </c>
      <c r="C2302" s="3">
        <v>200</v>
      </c>
      <c r="D2302" s="3" t="str">
        <f ca="1">IF(B2302="","",IFERROR(_xludf.XLOOKUP(_xludf.XLOOKUP(B2302,Inventory!$A:$A,Inventory!$B:$B),Blades!$A:$A,Blades!$C:$C)+_xludf.XLOOKUP(_xludf.XLOOKUP(B2302,Inventory!$A:$A,Inventory!$C:$C),Motor!$A:$A,Motor!$C:$C)+_xludf.XLOOKUP(_xludf.XLOOKUP(B2302,Inventory!$A:$A,Inventory!$D:$D),Frame!$A:$A,Frame!$C:$C)+#REF!,""))</f>
        <v/>
      </c>
      <c r="E2302" s="4">
        <v>45814</v>
      </c>
      <c r="F2302" s="1" t="s">
        <v>49</v>
      </c>
    </row>
    <row r="2303" spans="1:6" x14ac:dyDescent="0.25">
      <c r="A2303" s="1" t="s">
        <v>4616</v>
      </c>
      <c r="B2303" s="1" t="s">
        <v>4617</v>
      </c>
      <c r="C2303" s="3">
        <v>200</v>
      </c>
      <c r="D2303" s="3" t="str">
        <f ca="1">IF(B2303="","",IFERROR(_xludf.XLOOKUP(_xludf.XLOOKUP(B2303,Inventory!$A:$A,Inventory!$B:$B),Blades!$A:$A,Blades!$C:$C)+_xludf.XLOOKUP(_xludf.XLOOKUP(B2303,Inventory!$A:$A,Inventory!$C:$C),Motor!$A:$A,Motor!$C:$C)+_xludf.XLOOKUP(_xludf.XLOOKUP(B2303,Inventory!$A:$A,Inventory!$D:$D),Frame!$A:$A,Frame!$C:$C)+#REF!,""))</f>
        <v/>
      </c>
      <c r="E2303" s="4">
        <v>45814</v>
      </c>
      <c r="F2303" s="1" t="s">
        <v>20</v>
      </c>
    </row>
    <row r="2304" spans="1:6" x14ac:dyDescent="0.25">
      <c r="A2304" s="1" t="s">
        <v>4618</v>
      </c>
      <c r="B2304" s="1" t="s">
        <v>4619</v>
      </c>
      <c r="C2304" s="3">
        <v>200</v>
      </c>
      <c r="D2304" s="3" t="str">
        <f ca="1">IF(B2304="","",IFERROR(_xludf.XLOOKUP(_xludf.XLOOKUP(B2304,Inventory!$A:$A,Inventory!$B:$B),Blades!$A:$A,Blades!$C:$C)+_xludf.XLOOKUP(_xludf.XLOOKUP(B2304,Inventory!$A:$A,Inventory!$C:$C),Motor!$A:$A,Motor!$C:$C)+_xludf.XLOOKUP(_xludf.XLOOKUP(B2304,Inventory!$A:$A,Inventory!$D:$D),Frame!$A:$A,Frame!$C:$C)+#REF!,""))</f>
        <v/>
      </c>
      <c r="E2304" s="4">
        <v>45814</v>
      </c>
      <c r="F2304" s="1" t="s">
        <v>63</v>
      </c>
    </row>
    <row r="2305" spans="1:6" x14ac:dyDescent="0.25">
      <c r="A2305" s="1" t="s">
        <v>4620</v>
      </c>
      <c r="B2305" s="1" t="s">
        <v>4621</v>
      </c>
      <c r="C2305" s="3">
        <v>200</v>
      </c>
      <c r="D2305" s="3" t="str">
        <f ca="1">IF(B2305="","",IFERROR(_xludf.XLOOKUP(_xludf.XLOOKUP(B2305,Inventory!$A:$A,Inventory!$B:$B),Blades!$A:$A,Blades!$C:$C)+_xludf.XLOOKUP(_xludf.XLOOKUP(B2305,Inventory!$A:$A,Inventory!$C:$C),Motor!$A:$A,Motor!$C:$C)+_xludf.XLOOKUP(_xludf.XLOOKUP(B2305,Inventory!$A:$A,Inventory!$D:$D),Frame!$A:$A,Frame!$C:$C)+#REF!,""))</f>
        <v/>
      </c>
      <c r="E2305" s="4">
        <v>45816</v>
      </c>
      <c r="F2305" s="1" t="s">
        <v>8</v>
      </c>
    </row>
    <row r="2306" spans="1:6" x14ac:dyDescent="0.25">
      <c r="A2306" s="1" t="s">
        <v>4622</v>
      </c>
      <c r="B2306" s="1" t="s">
        <v>4623</v>
      </c>
      <c r="C2306" s="3">
        <v>200</v>
      </c>
      <c r="D2306" s="3" t="str">
        <f ca="1">IF(B2306="","",IFERROR(_xludf.XLOOKUP(_xludf.XLOOKUP(B2306,Inventory!$A:$A,Inventory!$B:$B),Blades!$A:$A,Blades!$C:$C)+_xludf.XLOOKUP(_xludf.XLOOKUP(B2306,Inventory!$A:$A,Inventory!$C:$C),Motor!$A:$A,Motor!$C:$C)+_xludf.XLOOKUP(_xludf.XLOOKUP(B2306,Inventory!$A:$A,Inventory!$D:$D),Frame!$A:$A,Frame!$C:$C)+#REF!,""))</f>
        <v/>
      </c>
      <c r="E2306" s="4">
        <v>45817</v>
      </c>
      <c r="F2306" s="1" t="s">
        <v>8</v>
      </c>
    </row>
    <row r="2307" spans="1:6" x14ac:dyDescent="0.25">
      <c r="A2307" s="1" t="s">
        <v>4624</v>
      </c>
      <c r="B2307" s="1" t="s">
        <v>4625</v>
      </c>
      <c r="C2307" s="3">
        <v>200</v>
      </c>
      <c r="D2307" s="3" t="str">
        <f ca="1">IF(B2307="","",IFERROR(_xludf.XLOOKUP(_xludf.XLOOKUP(B2307,Inventory!$A:$A,Inventory!$B:$B),Blades!$A:$A,Blades!$C:$C)+_xludf.XLOOKUP(_xludf.XLOOKUP(B2307,Inventory!$A:$A,Inventory!$C:$C),Motor!$A:$A,Motor!$C:$C)+_xludf.XLOOKUP(_xludf.XLOOKUP(B2307,Inventory!$A:$A,Inventory!$D:$D),Frame!$A:$A,Frame!$C:$C)+#REF!,""))</f>
        <v/>
      </c>
      <c r="E2307" s="4">
        <v>45817</v>
      </c>
      <c r="F2307" s="1" t="s">
        <v>49</v>
      </c>
    </row>
    <row r="2308" spans="1:6" x14ac:dyDescent="0.25">
      <c r="A2308" s="1" t="s">
        <v>4626</v>
      </c>
      <c r="B2308" s="1" t="s">
        <v>4627</v>
      </c>
      <c r="C2308" s="3">
        <v>200</v>
      </c>
      <c r="D2308" s="3" t="str">
        <f ca="1">IF(B2308="","",IFERROR(_xludf.XLOOKUP(_xludf.XLOOKUP(B2308,Inventory!$A:$A,Inventory!$B:$B),Blades!$A:$A,Blades!$C:$C)+_xludf.XLOOKUP(_xludf.XLOOKUP(B2308,Inventory!$A:$A,Inventory!$C:$C),Motor!$A:$A,Motor!$C:$C)+_xludf.XLOOKUP(_xludf.XLOOKUP(B2308,Inventory!$A:$A,Inventory!$D:$D),Frame!$A:$A,Frame!$C:$C)+#REF!,""))</f>
        <v/>
      </c>
      <c r="E2308" s="4">
        <v>45817</v>
      </c>
      <c r="F2308" s="1" t="s">
        <v>25</v>
      </c>
    </row>
    <row r="2309" spans="1:6" x14ac:dyDescent="0.25">
      <c r="A2309" s="1" t="s">
        <v>4628</v>
      </c>
      <c r="B2309" s="1" t="s">
        <v>4629</v>
      </c>
      <c r="C2309" s="3">
        <v>200</v>
      </c>
      <c r="D2309" s="3" t="str">
        <f ca="1">IF(B2309="","",IFERROR(_xludf.XLOOKUP(_xludf.XLOOKUP(B2309,Inventory!$A:$A,Inventory!$B:$B),Blades!$A:$A,Blades!$C:$C)+_xludf.XLOOKUP(_xludf.XLOOKUP(B2309,Inventory!$A:$A,Inventory!$C:$C),Motor!$A:$A,Motor!$C:$C)+_xludf.XLOOKUP(_xludf.XLOOKUP(B2309,Inventory!$A:$A,Inventory!$D:$D),Frame!$A:$A,Frame!$C:$C)+#REF!,""))</f>
        <v/>
      </c>
      <c r="E2309" s="4">
        <v>45818</v>
      </c>
      <c r="F2309" s="1" t="s">
        <v>25</v>
      </c>
    </row>
    <row r="2310" spans="1:6" x14ac:dyDescent="0.25">
      <c r="A2310" s="1" t="s">
        <v>4630</v>
      </c>
      <c r="B2310" s="1" t="s">
        <v>4631</v>
      </c>
      <c r="C2310" s="3">
        <v>200</v>
      </c>
      <c r="D2310" s="3" t="str">
        <f ca="1">IF(B2310="","",IFERROR(_xludf.XLOOKUP(_xludf.XLOOKUP(B2310,Inventory!$A:$A,Inventory!$B:$B),Blades!$A:$A,Blades!$C:$C)+_xludf.XLOOKUP(_xludf.XLOOKUP(B2310,Inventory!$A:$A,Inventory!$C:$C),Motor!$A:$A,Motor!$C:$C)+_xludf.XLOOKUP(_xludf.XLOOKUP(B2310,Inventory!$A:$A,Inventory!$D:$D),Frame!$A:$A,Frame!$C:$C)+#REF!,""))</f>
        <v/>
      </c>
      <c r="E2310" s="4">
        <v>45819</v>
      </c>
      <c r="F2310" s="1" t="s">
        <v>11</v>
      </c>
    </row>
    <row r="2311" spans="1:6" x14ac:dyDescent="0.25">
      <c r="A2311" s="1" t="s">
        <v>4632</v>
      </c>
      <c r="B2311" s="1" t="s">
        <v>4633</v>
      </c>
      <c r="C2311" s="3">
        <v>200</v>
      </c>
      <c r="D2311" s="3" t="str">
        <f ca="1">IF(B2311="","",IFERROR(_xludf.XLOOKUP(_xludf.XLOOKUP(B2311,Inventory!$A:$A,Inventory!$B:$B),Blades!$A:$A,Blades!$C:$C)+_xludf.XLOOKUP(_xludf.XLOOKUP(B2311,Inventory!$A:$A,Inventory!$C:$C),Motor!$A:$A,Motor!$C:$C)+_xludf.XLOOKUP(_xludf.XLOOKUP(B2311,Inventory!$A:$A,Inventory!$D:$D),Frame!$A:$A,Frame!$C:$C)+#REF!,""))</f>
        <v/>
      </c>
      <c r="E2311" s="4">
        <v>45822</v>
      </c>
      <c r="F2311" s="1" t="s">
        <v>52</v>
      </c>
    </row>
    <row r="2312" spans="1:6" x14ac:dyDescent="0.25">
      <c r="A2312" s="1" t="s">
        <v>4634</v>
      </c>
      <c r="B2312" s="1" t="s">
        <v>4635</v>
      </c>
      <c r="C2312" s="3">
        <v>200</v>
      </c>
      <c r="D2312" s="3" t="str">
        <f ca="1">IF(B2312="","",IFERROR(_xludf.XLOOKUP(_xludf.XLOOKUP(B2312,Inventory!$A:$A,Inventory!$B:$B),Blades!$A:$A,Blades!$C:$C)+_xludf.XLOOKUP(_xludf.XLOOKUP(B2312,Inventory!$A:$A,Inventory!$C:$C),Motor!$A:$A,Motor!$C:$C)+_xludf.XLOOKUP(_xludf.XLOOKUP(B2312,Inventory!$A:$A,Inventory!$D:$D),Frame!$A:$A,Frame!$C:$C)+#REF!,""))</f>
        <v/>
      </c>
      <c r="E2312" s="4">
        <v>45823</v>
      </c>
      <c r="F2312" s="1" t="s">
        <v>32</v>
      </c>
    </row>
    <row r="2313" spans="1:6" x14ac:dyDescent="0.25">
      <c r="A2313" s="1" t="s">
        <v>4636</v>
      </c>
      <c r="B2313" s="1" t="s">
        <v>4637</v>
      </c>
      <c r="C2313" s="3">
        <v>200</v>
      </c>
      <c r="D2313" s="3" t="str">
        <f ca="1">IF(B2313="","",IFERROR(_xludf.XLOOKUP(_xludf.XLOOKUP(B2313,Inventory!$A:$A,Inventory!$B:$B),Blades!$A:$A,Blades!$C:$C)+_xludf.XLOOKUP(_xludf.XLOOKUP(B2313,Inventory!$A:$A,Inventory!$C:$C),Motor!$A:$A,Motor!$C:$C)+_xludf.XLOOKUP(_xludf.XLOOKUP(B2313,Inventory!$A:$A,Inventory!$D:$D),Frame!$A:$A,Frame!$C:$C)+#REF!,""))</f>
        <v/>
      </c>
      <c r="E2313" s="4">
        <v>45823</v>
      </c>
      <c r="F2313" s="1" t="s">
        <v>8</v>
      </c>
    </row>
    <row r="2314" spans="1:6" x14ac:dyDescent="0.25">
      <c r="A2314" s="1" t="s">
        <v>4638</v>
      </c>
      <c r="B2314" s="1" t="s">
        <v>4639</v>
      </c>
      <c r="C2314" s="3">
        <v>200</v>
      </c>
      <c r="D2314" s="3" t="str">
        <f ca="1">IF(B2314="","",IFERROR(_xludf.XLOOKUP(_xludf.XLOOKUP(B2314,Inventory!$A:$A,Inventory!$B:$B),Blades!$A:$A,Blades!$C:$C)+_xludf.XLOOKUP(_xludf.XLOOKUP(B2314,Inventory!$A:$A,Inventory!$C:$C),Motor!$A:$A,Motor!$C:$C)+_xludf.XLOOKUP(_xludf.XLOOKUP(B2314,Inventory!$A:$A,Inventory!$D:$D),Frame!$A:$A,Frame!$C:$C)+#REF!,""))</f>
        <v/>
      </c>
      <c r="E2314" s="4">
        <v>45823</v>
      </c>
      <c r="F2314" s="1" t="s">
        <v>8</v>
      </c>
    </row>
    <row r="2315" spans="1:6" x14ac:dyDescent="0.25">
      <c r="A2315" s="1" t="s">
        <v>4640</v>
      </c>
      <c r="B2315" s="1" t="s">
        <v>4641</v>
      </c>
      <c r="C2315" s="3">
        <v>200</v>
      </c>
      <c r="D2315" s="3" t="str">
        <f ca="1">IF(B2315="","",IFERROR(_xludf.XLOOKUP(_xludf.XLOOKUP(B2315,Inventory!$A:$A,Inventory!$B:$B),Blades!$A:$A,Blades!$C:$C)+_xludf.XLOOKUP(_xludf.XLOOKUP(B2315,Inventory!$A:$A,Inventory!$C:$C),Motor!$A:$A,Motor!$C:$C)+_xludf.XLOOKUP(_xludf.XLOOKUP(B2315,Inventory!$A:$A,Inventory!$D:$D),Frame!$A:$A,Frame!$C:$C)+#REF!,""))</f>
        <v/>
      </c>
      <c r="E2315" s="4">
        <v>45826</v>
      </c>
      <c r="F2315" s="1" t="s">
        <v>11</v>
      </c>
    </row>
    <row r="2316" spans="1:6" x14ac:dyDescent="0.25">
      <c r="A2316" s="1" t="s">
        <v>4642</v>
      </c>
      <c r="B2316" s="1" t="s">
        <v>4643</v>
      </c>
      <c r="C2316" s="3">
        <v>200</v>
      </c>
      <c r="D2316" s="3" t="str">
        <f ca="1">IF(B2316="","",IFERROR(_xludf.XLOOKUP(_xludf.XLOOKUP(B2316,Inventory!$A:$A,Inventory!$B:$B),Blades!$A:$A,Blades!$C:$C)+_xludf.XLOOKUP(_xludf.XLOOKUP(B2316,Inventory!$A:$A,Inventory!$C:$C),Motor!$A:$A,Motor!$C:$C)+_xludf.XLOOKUP(_xludf.XLOOKUP(B2316,Inventory!$A:$A,Inventory!$D:$D),Frame!$A:$A,Frame!$C:$C)+#REF!,""))</f>
        <v/>
      </c>
      <c r="E2316" s="4">
        <v>45827</v>
      </c>
      <c r="F2316" s="1" t="s">
        <v>63</v>
      </c>
    </row>
    <row r="2317" spans="1:6" x14ac:dyDescent="0.25">
      <c r="A2317" s="1" t="s">
        <v>4644</v>
      </c>
      <c r="B2317" s="1" t="s">
        <v>4645</v>
      </c>
      <c r="C2317" s="3">
        <v>200</v>
      </c>
      <c r="D2317" s="3" t="str">
        <f ca="1">IF(B2317="","",IFERROR(_xludf.XLOOKUP(_xludf.XLOOKUP(B2317,Inventory!$A:$A,Inventory!$B:$B),Blades!$A:$A,Blades!$C:$C)+_xludf.XLOOKUP(_xludf.XLOOKUP(B2317,Inventory!$A:$A,Inventory!$C:$C),Motor!$A:$A,Motor!$C:$C)+_xludf.XLOOKUP(_xludf.XLOOKUP(B2317,Inventory!$A:$A,Inventory!$D:$D),Frame!$A:$A,Frame!$C:$C)+#REF!,""))</f>
        <v/>
      </c>
      <c r="E2317" s="4">
        <v>45827</v>
      </c>
      <c r="F2317" s="1" t="s">
        <v>63</v>
      </c>
    </row>
    <row r="2318" spans="1:6" x14ac:dyDescent="0.25">
      <c r="A2318" s="1" t="s">
        <v>4646</v>
      </c>
      <c r="B2318" s="1" t="s">
        <v>4647</v>
      </c>
      <c r="C2318" s="3">
        <v>200</v>
      </c>
      <c r="D2318" s="3" t="str">
        <f ca="1">IF(B2318="","",IFERROR(_xludf.XLOOKUP(_xludf.XLOOKUP(B2318,Inventory!$A:$A,Inventory!$B:$B),Blades!$A:$A,Blades!$C:$C)+_xludf.XLOOKUP(_xludf.XLOOKUP(B2318,Inventory!$A:$A,Inventory!$C:$C),Motor!$A:$A,Motor!$C:$C)+_xludf.XLOOKUP(_xludf.XLOOKUP(B2318,Inventory!$A:$A,Inventory!$D:$D),Frame!$A:$A,Frame!$C:$C)+#REF!,""))</f>
        <v/>
      </c>
      <c r="E2318" s="4">
        <v>45827</v>
      </c>
      <c r="F2318" s="1" t="s">
        <v>20</v>
      </c>
    </row>
    <row r="2319" spans="1:6" x14ac:dyDescent="0.25">
      <c r="A2319" s="1" t="s">
        <v>4648</v>
      </c>
      <c r="B2319" s="1" t="s">
        <v>4649</v>
      </c>
      <c r="C2319" s="3">
        <v>200</v>
      </c>
      <c r="D2319" s="3" t="str">
        <f ca="1">IF(B2319="","",IFERROR(_xludf.XLOOKUP(_xludf.XLOOKUP(B2319,Inventory!$A:$A,Inventory!$B:$B),Blades!$A:$A,Blades!$C:$C)+_xludf.XLOOKUP(_xludf.XLOOKUP(B2319,Inventory!$A:$A,Inventory!$C:$C),Motor!$A:$A,Motor!$C:$C)+_xludf.XLOOKUP(_xludf.XLOOKUP(B2319,Inventory!$A:$A,Inventory!$D:$D),Frame!$A:$A,Frame!$C:$C)+#REF!,""))</f>
        <v/>
      </c>
      <c r="E2319" s="4">
        <v>45828</v>
      </c>
      <c r="F2319" s="1" t="s">
        <v>63</v>
      </c>
    </row>
    <row r="2320" spans="1:6" x14ac:dyDescent="0.25">
      <c r="A2320" s="1" t="s">
        <v>4650</v>
      </c>
      <c r="B2320" s="1" t="s">
        <v>4651</v>
      </c>
      <c r="C2320" s="3">
        <v>200</v>
      </c>
      <c r="D2320" s="3" t="str">
        <f ca="1">IF(B2320="","",IFERROR(_xludf.XLOOKUP(_xludf.XLOOKUP(B2320,Inventory!$A:$A,Inventory!$B:$B),Blades!$A:$A,Blades!$C:$C)+_xludf.XLOOKUP(_xludf.XLOOKUP(B2320,Inventory!$A:$A,Inventory!$C:$C),Motor!$A:$A,Motor!$C:$C)+_xludf.XLOOKUP(_xludf.XLOOKUP(B2320,Inventory!$A:$A,Inventory!$D:$D),Frame!$A:$A,Frame!$C:$C)+#REF!,""))</f>
        <v/>
      </c>
      <c r="E2320" s="4">
        <v>45828</v>
      </c>
      <c r="F2320" s="1" t="s">
        <v>25</v>
      </c>
    </row>
    <row r="2321" spans="1:6" x14ac:dyDescent="0.25">
      <c r="A2321" s="1" t="s">
        <v>4652</v>
      </c>
      <c r="B2321" s="1" t="s">
        <v>4653</v>
      </c>
      <c r="C2321" s="3">
        <v>200</v>
      </c>
      <c r="D2321" s="3" t="str">
        <f ca="1">IF(B2321="","",IFERROR(_xludf.XLOOKUP(_xludf.XLOOKUP(B2321,Inventory!$A:$A,Inventory!$B:$B),Blades!$A:$A,Blades!$C:$C)+_xludf.XLOOKUP(_xludf.XLOOKUP(B2321,Inventory!$A:$A,Inventory!$C:$C),Motor!$A:$A,Motor!$C:$C)+_xludf.XLOOKUP(_xludf.XLOOKUP(B2321,Inventory!$A:$A,Inventory!$D:$D),Frame!$A:$A,Frame!$C:$C)+#REF!,""))</f>
        <v/>
      </c>
      <c r="E2321" s="4">
        <v>45828</v>
      </c>
      <c r="F2321" s="1" t="s">
        <v>20</v>
      </c>
    </row>
    <row r="2322" spans="1:6" x14ac:dyDescent="0.25">
      <c r="A2322" s="1" t="s">
        <v>4654</v>
      </c>
      <c r="B2322" s="1" t="s">
        <v>4655</v>
      </c>
      <c r="C2322" s="3">
        <v>200</v>
      </c>
      <c r="D2322" s="3" t="str">
        <f ca="1">IF(B2322="","",IFERROR(_xludf.XLOOKUP(_xludf.XLOOKUP(B2322,Inventory!$A:$A,Inventory!$B:$B),Blades!$A:$A,Blades!$C:$C)+_xludf.XLOOKUP(_xludf.XLOOKUP(B2322,Inventory!$A:$A,Inventory!$C:$C),Motor!$A:$A,Motor!$C:$C)+_xludf.XLOOKUP(_xludf.XLOOKUP(B2322,Inventory!$A:$A,Inventory!$D:$D),Frame!$A:$A,Frame!$C:$C)+#REF!,""))</f>
        <v/>
      </c>
      <c r="E2322" s="4">
        <v>45829</v>
      </c>
      <c r="F2322" s="1" t="s">
        <v>25</v>
      </c>
    </row>
    <row r="2323" spans="1:6" x14ac:dyDescent="0.25">
      <c r="A2323" s="1" t="s">
        <v>4656</v>
      </c>
      <c r="B2323" s="1" t="s">
        <v>4657</v>
      </c>
      <c r="C2323" s="3">
        <v>200</v>
      </c>
      <c r="D2323" s="3" t="str">
        <f ca="1">IF(B2323="","",IFERROR(_xludf.XLOOKUP(_xludf.XLOOKUP(B2323,Inventory!$A:$A,Inventory!$B:$B),Blades!$A:$A,Blades!$C:$C)+_xludf.XLOOKUP(_xludf.XLOOKUP(B2323,Inventory!$A:$A,Inventory!$C:$C),Motor!$A:$A,Motor!$C:$C)+_xludf.XLOOKUP(_xludf.XLOOKUP(B2323,Inventory!$A:$A,Inventory!$D:$D),Frame!$A:$A,Frame!$C:$C)+#REF!,""))</f>
        <v/>
      </c>
      <c r="E2323" s="4">
        <v>45829</v>
      </c>
      <c r="F2323" s="1" t="s">
        <v>63</v>
      </c>
    </row>
    <row r="2324" spans="1:6" x14ac:dyDescent="0.25">
      <c r="A2324" s="1" t="s">
        <v>4658</v>
      </c>
      <c r="B2324" s="1" t="s">
        <v>4659</v>
      </c>
      <c r="C2324" s="3">
        <v>200</v>
      </c>
      <c r="D2324" s="3" t="str">
        <f ca="1">IF(B2324="","",IFERROR(_xludf.XLOOKUP(_xludf.XLOOKUP(B2324,Inventory!$A:$A,Inventory!$B:$B),Blades!$A:$A,Blades!$C:$C)+_xludf.XLOOKUP(_xludf.XLOOKUP(B2324,Inventory!$A:$A,Inventory!$C:$C),Motor!$A:$A,Motor!$C:$C)+_xludf.XLOOKUP(_xludf.XLOOKUP(B2324,Inventory!$A:$A,Inventory!$D:$D),Frame!$A:$A,Frame!$C:$C)+#REF!,""))</f>
        <v/>
      </c>
      <c r="E2324" s="4">
        <v>45829</v>
      </c>
      <c r="F2324" s="1" t="s">
        <v>32</v>
      </c>
    </row>
    <row r="2325" spans="1:6" x14ac:dyDescent="0.25">
      <c r="A2325" s="1" t="s">
        <v>4660</v>
      </c>
      <c r="B2325" s="1" t="s">
        <v>4661</v>
      </c>
      <c r="C2325" s="3">
        <v>200</v>
      </c>
      <c r="D2325" s="3" t="str">
        <f ca="1">IF(B2325="","",IFERROR(_xludf.XLOOKUP(_xludf.XLOOKUP(B2325,Inventory!$A:$A,Inventory!$B:$B),Blades!$A:$A,Blades!$C:$C)+_xludf.XLOOKUP(_xludf.XLOOKUP(B2325,Inventory!$A:$A,Inventory!$C:$C),Motor!$A:$A,Motor!$C:$C)+_xludf.XLOOKUP(_xludf.XLOOKUP(B2325,Inventory!$A:$A,Inventory!$D:$D),Frame!$A:$A,Frame!$C:$C)+#REF!,""))</f>
        <v/>
      </c>
      <c r="E2325" s="4">
        <v>45831</v>
      </c>
      <c r="F2325" s="1" t="s">
        <v>49</v>
      </c>
    </row>
    <row r="2326" spans="1:6" x14ac:dyDescent="0.25">
      <c r="A2326" s="1" t="s">
        <v>4662</v>
      </c>
      <c r="B2326" s="1" t="s">
        <v>4663</v>
      </c>
      <c r="C2326" s="3">
        <v>200</v>
      </c>
      <c r="D2326" s="3" t="str">
        <f ca="1">IF(B2326="","",IFERROR(_xludf.XLOOKUP(_xludf.XLOOKUP(B2326,Inventory!$A:$A,Inventory!$B:$B),Blades!$A:$A,Blades!$C:$C)+_xludf.XLOOKUP(_xludf.XLOOKUP(B2326,Inventory!$A:$A,Inventory!$C:$C),Motor!$A:$A,Motor!$C:$C)+_xludf.XLOOKUP(_xludf.XLOOKUP(B2326,Inventory!$A:$A,Inventory!$D:$D),Frame!$A:$A,Frame!$C:$C)+#REF!,""))</f>
        <v/>
      </c>
      <c r="E2326" s="4">
        <v>45831</v>
      </c>
      <c r="F2326" s="1" t="s">
        <v>52</v>
      </c>
    </row>
    <row r="2327" spans="1:6" x14ac:dyDescent="0.25">
      <c r="A2327" s="1" t="s">
        <v>4664</v>
      </c>
      <c r="B2327" s="1" t="s">
        <v>4665</v>
      </c>
      <c r="C2327" s="3">
        <v>200</v>
      </c>
      <c r="D2327" s="3" t="str">
        <f ca="1">IF(B2327="","",IFERROR(_xludf.XLOOKUP(_xludf.XLOOKUP(B2327,Inventory!$A:$A,Inventory!$B:$B),Blades!$A:$A,Blades!$C:$C)+_xludf.XLOOKUP(_xludf.XLOOKUP(B2327,Inventory!$A:$A,Inventory!$C:$C),Motor!$A:$A,Motor!$C:$C)+_xludf.XLOOKUP(_xludf.XLOOKUP(B2327,Inventory!$A:$A,Inventory!$D:$D),Frame!$A:$A,Frame!$C:$C)+#REF!,""))</f>
        <v/>
      </c>
      <c r="E2327" s="4">
        <v>45832</v>
      </c>
      <c r="F2327" s="1" t="s">
        <v>8</v>
      </c>
    </row>
    <row r="2328" spans="1:6" x14ac:dyDescent="0.25">
      <c r="A2328" s="1" t="s">
        <v>4666</v>
      </c>
      <c r="B2328" s="1" t="s">
        <v>4667</v>
      </c>
      <c r="C2328" s="3">
        <v>200</v>
      </c>
      <c r="D2328" s="3" t="str">
        <f ca="1">IF(B2328="","",IFERROR(_xludf.XLOOKUP(_xludf.XLOOKUP(B2328,Inventory!$A:$A,Inventory!$B:$B),Blades!$A:$A,Blades!$C:$C)+_xludf.XLOOKUP(_xludf.XLOOKUP(B2328,Inventory!$A:$A,Inventory!$C:$C),Motor!$A:$A,Motor!$C:$C)+_xludf.XLOOKUP(_xludf.XLOOKUP(B2328,Inventory!$A:$A,Inventory!$D:$D),Frame!$A:$A,Frame!$C:$C)+#REF!,""))</f>
        <v/>
      </c>
      <c r="E2328" s="4">
        <v>45833</v>
      </c>
      <c r="F2328" s="1" t="s">
        <v>20</v>
      </c>
    </row>
    <row r="2329" spans="1:6" x14ac:dyDescent="0.25">
      <c r="A2329" s="1" t="s">
        <v>4668</v>
      </c>
      <c r="B2329" s="1" t="s">
        <v>4669</v>
      </c>
      <c r="C2329" s="3">
        <v>200</v>
      </c>
      <c r="D2329" s="3" t="str">
        <f ca="1">IF(B2329="","",IFERROR(_xludf.XLOOKUP(_xludf.XLOOKUP(B2329,Inventory!$A:$A,Inventory!$B:$B),Blades!$A:$A,Blades!$C:$C)+_xludf.XLOOKUP(_xludf.XLOOKUP(B2329,Inventory!$A:$A,Inventory!$C:$C),Motor!$A:$A,Motor!$C:$C)+_xludf.XLOOKUP(_xludf.XLOOKUP(B2329,Inventory!$A:$A,Inventory!$D:$D),Frame!$A:$A,Frame!$C:$C)+#REF!,""))</f>
        <v/>
      </c>
      <c r="E2329" s="4">
        <v>45835</v>
      </c>
      <c r="F2329" s="1" t="s">
        <v>49</v>
      </c>
    </row>
    <row r="2330" spans="1:6" x14ac:dyDescent="0.25">
      <c r="A2330" s="1" t="s">
        <v>4670</v>
      </c>
      <c r="B2330" s="1" t="s">
        <v>4671</v>
      </c>
      <c r="C2330" s="3">
        <v>200</v>
      </c>
      <c r="D2330" s="3" t="str">
        <f ca="1">IF(B2330="","",IFERROR(_xludf.XLOOKUP(_xludf.XLOOKUP(B2330,Inventory!$A:$A,Inventory!$B:$B),Blades!$A:$A,Blades!$C:$C)+_xludf.XLOOKUP(_xludf.XLOOKUP(B2330,Inventory!$A:$A,Inventory!$C:$C),Motor!$A:$A,Motor!$C:$C)+_xludf.XLOOKUP(_xludf.XLOOKUP(B2330,Inventory!$A:$A,Inventory!$D:$D),Frame!$A:$A,Frame!$C:$C)+#REF!,""))</f>
        <v/>
      </c>
      <c r="E2330" s="4">
        <v>45835</v>
      </c>
      <c r="F2330" s="1" t="s">
        <v>8</v>
      </c>
    </row>
    <row r="2331" spans="1:6" x14ac:dyDescent="0.25">
      <c r="A2331" s="1" t="s">
        <v>4672</v>
      </c>
      <c r="B2331" s="1" t="s">
        <v>4673</v>
      </c>
      <c r="C2331" s="3">
        <v>200</v>
      </c>
      <c r="D2331" s="3" t="str">
        <f ca="1">IF(B2331="","",IFERROR(_xludf.XLOOKUP(_xludf.XLOOKUP(B2331,Inventory!$A:$A,Inventory!$B:$B),Blades!$A:$A,Blades!$C:$C)+_xludf.XLOOKUP(_xludf.XLOOKUP(B2331,Inventory!$A:$A,Inventory!$C:$C),Motor!$A:$A,Motor!$C:$C)+_xludf.XLOOKUP(_xludf.XLOOKUP(B2331,Inventory!$A:$A,Inventory!$D:$D),Frame!$A:$A,Frame!$C:$C)+#REF!,""))</f>
        <v/>
      </c>
      <c r="E2331" s="4">
        <v>45836</v>
      </c>
      <c r="F2331" s="1" t="s">
        <v>63</v>
      </c>
    </row>
    <row r="2332" spans="1:6" x14ac:dyDescent="0.25">
      <c r="A2332" s="1" t="s">
        <v>4674</v>
      </c>
      <c r="B2332" s="1" t="s">
        <v>4675</v>
      </c>
      <c r="C2332" s="3">
        <v>200</v>
      </c>
      <c r="D2332" s="3" t="str">
        <f ca="1">IF(B2332="","",IFERROR(_xludf.XLOOKUP(_xludf.XLOOKUP(B2332,Inventory!$A:$A,Inventory!$B:$B),Blades!$A:$A,Blades!$C:$C)+_xludf.XLOOKUP(_xludf.XLOOKUP(B2332,Inventory!$A:$A,Inventory!$C:$C),Motor!$A:$A,Motor!$C:$C)+_xludf.XLOOKUP(_xludf.XLOOKUP(B2332,Inventory!$A:$A,Inventory!$D:$D),Frame!$A:$A,Frame!$C:$C)+#REF!,""))</f>
        <v/>
      </c>
      <c r="E2332" s="4">
        <v>45836</v>
      </c>
      <c r="F2332" s="1" t="s">
        <v>11</v>
      </c>
    </row>
    <row r="2333" spans="1:6" x14ac:dyDescent="0.25">
      <c r="A2333" s="1" t="s">
        <v>4676</v>
      </c>
      <c r="B2333" s="1" t="s">
        <v>4677</v>
      </c>
      <c r="C2333" s="3">
        <v>200</v>
      </c>
      <c r="D2333" s="3" t="str">
        <f ca="1">IF(B2333="","",IFERROR(_xludf.XLOOKUP(_xludf.XLOOKUP(B2333,Inventory!$A:$A,Inventory!$B:$B),Blades!$A:$A,Blades!$C:$C)+_xludf.XLOOKUP(_xludf.XLOOKUP(B2333,Inventory!$A:$A,Inventory!$C:$C),Motor!$A:$A,Motor!$C:$C)+_xludf.XLOOKUP(_xludf.XLOOKUP(B2333,Inventory!$A:$A,Inventory!$D:$D),Frame!$A:$A,Frame!$C:$C)+#REF!,""))</f>
        <v/>
      </c>
      <c r="E2333" s="4">
        <v>45836</v>
      </c>
      <c r="F2333" s="1" t="s">
        <v>52</v>
      </c>
    </row>
    <row r="2334" spans="1:6" x14ac:dyDescent="0.25">
      <c r="A2334" s="1" t="s">
        <v>4678</v>
      </c>
      <c r="B2334" s="1" t="s">
        <v>4679</v>
      </c>
      <c r="C2334" s="3">
        <v>200</v>
      </c>
      <c r="D2334" s="3" t="str">
        <f ca="1">IF(B2334="","",IFERROR(_xludf.XLOOKUP(_xludf.XLOOKUP(B2334,Inventory!$A:$A,Inventory!$B:$B),Blades!$A:$A,Blades!$C:$C)+_xludf.XLOOKUP(_xludf.XLOOKUP(B2334,Inventory!$A:$A,Inventory!$C:$C),Motor!$A:$A,Motor!$C:$C)+_xludf.XLOOKUP(_xludf.XLOOKUP(B2334,Inventory!$A:$A,Inventory!$D:$D),Frame!$A:$A,Frame!$C:$C)+#REF!,""))</f>
        <v/>
      </c>
      <c r="E2334" s="4">
        <v>45837</v>
      </c>
      <c r="F2334" s="1" t="s">
        <v>49</v>
      </c>
    </row>
    <row r="2335" spans="1:6" x14ac:dyDescent="0.25">
      <c r="A2335" s="1" t="s">
        <v>4680</v>
      </c>
      <c r="B2335" s="1" t="s">
        <v>4681</v>
      </c>
      <c r="C2335" s="3">
        <v>200</v>
      </c>
      <c r="D2335" s="3" t="str">
        <f ca="1">IF(B2335="","",IFERROR(_xludf.XLOOKUP(_xludf.XLOOKUP(B2335,Inventory!$A:$A,Inventory!$B:$B),Blades!$A:$A,Blades!$C:$C)+_xludf.XLOOKUP(_xludf.XLOOKUP(B2335,Inventory!$A:$A,Inventory!$C:$C),Motor!$A:$A,Motor!$C:$C)+_xludf.XLOOKUP(_xludf.XLOOKUP(B2335,Inventory!$A:$A,Inventory!$D:$D),Frame!$A:$A,Frame!$C:$C)+#REF!,""))</f>
        <v/>
      </c>
      <c r="E2335" s="4">
        <v>45837</v>
      </c>
      <c r="F2335" s="1" t="s">
        <v>32</v>
      </c>
    </row>
    <row r="2336" spans="1:6" x14ac:dyDescent="0.25">
      <c r="A2336" s="1" t="s">
        <v>4682</v>
      </c>
      <c r="B2336" s="1" t="s">
        <v>4683</v>
      </c>
      <c r="C2336" s="3">
        <v>200</v>
      </c>
      <c r="D2336" s="3" t="str">
        <f ca="1">IF(B2336="","",IFERROR(_xludf.XLOOKUP(_xludf.XLOOKUP(B2336,Inventory!$A:$A,Inventory!$B:$B),Blades!$A:$A,Blades!$C:$C)+_xludf.XLOOKUP(_xludf.XLOOKUP(B2336,Inventory!$A:$A,Inventory!$C:$C),Motor!$A:$A,Motor!$C:$C)+_xludf.XLOOKUP(_xludf.XLOOKUP(B2336,Inventory!$A:$A,Inventory!$D:$D),Frame!$A:$A,Frame!$C:$C)+#REF!,""))</f>
        <v/>
      </c>
      <c r="E2336" s="4">
        <v>45838</v>
      </c>
      <c r="F2336" s="1" t="s">
        <v>25</v>
      </c>
    </row>
    <row r="2337" spans="1:6" x14ac:dyDescent="0.25">
      <c r="A2337" s="1" t="s">
        <v>4684</v>
      </c>
      <c r="B2337" s="1" t="s">
        <v>4685</v>
      </c>
      <c r="C2337" s="3">
        <v>200</v>
      </c>
      <c r="D2337" s="3" t="str">
        <f ca="1">IF(B2337="","",IFERROR(_xludf.XLOOKUP(_xludf.XLOOKUP(B2337,Inventory!$A:$A,Inventory!$B:$B),Blades!$A:$A,Blades!$C:$C)+_xludf.XLOOKUP(_xludf.XLOOKUP(B2337,Inventory!$A:$A,Inventory!$C:$C),Motor!$A:$A,Motor!$C:$C)+_xludf.XLOOKUP(_xludf.XLOOKUP(B2337,Inventory!$A:$A,Inventory!$D:$D),Frame!$A:$A,Frame!$C:$C)+#REF!,""))</f>
        <v/>
      </c>
      <c r="E2337" s="4">
        <v>45838</v>
      </c>
      <c r="F2337" s="1" t="s">
        <v>52</v>
      </c>
    </row>
    <row r="2338" spans="1:6" x14ac:dyDescent="0.25">
      <c r="A2338" s="1" t="s">
        <v>4686</v>
      </c>
      <c r="B2338" s="1" t="s">
        <v>4687</v>
      </c>
      <c r="C2338" s="3">
        <v>200</v>
      </c>
      <c r="D2338" s="3" t="str">
        <f ca="1">IF(B2338="","",IFERROR(_xludf.XLOOKUP(_xludf.XLOOKUP(B2338,Inventory!$A:$A,Inventory!$B:$B),Blades!$A:$A,Blades!$C:$C)+_xludf.XLOOKUP(_xludf.XLOOKUP(B2338,Inventory!$A:$A,Inventory!$C:$C),Motor!$A:$A,Motor!$C:$C)+_xludf.XLOOKUP(_xludf.XLOOKUP(B2338,Inventory!$A:$A,Inventory!$D:$D),Frame!$A:$A,Frame!$C:$C)+#REF!,""))</f>
        <v/>
      </c>
      <c r="E2338" s="4">
        <v>45838</v>
      </c>
      <c r="F2338" s="1" t="s">
        <v>11</v>
      </c>
    </row>
    <row r="2339" spans="1:6" x14ac:dyDescent="0.25">
      <c r="A2339" s="1" t="s">
        <v>4688</v>
      </c>
      <c r="B2339" s="1" t="s">
        <v>4689</v>
      </c>
      <c r="C2339" s="3">
        <v>200</v>
      </c>
      <c r="D2339" s="3" t="str">
        <f ca="1">IF(B2339="","",IFERROR(_xludf.XLOOKUP(_xludf.XLOOKUP(B2339,Inventory!$A:$A,Inventory!$B:$B),Blades!$A:$A,Blades!$C:$C)+_xludf.XLOOKUP(_xludf.XLOOKUP(B2339,Inventory!$A:$A,Inventory!$C:$C),Motor!$A:$A,Motor!$C:$C)+_xludf.XLOOKUP(_xludf.XLOOKUP(B2339,Inventory!$A:$A,Inventory!$D:$D),Frame!$A:$A,Frame!$C:$C)+#REF!,""))</f>
        <v/>
      </c>
      <c r="E2339" s="4">
        <v>45838</v>
      </c>
      <c r="F2339" s="1" t="s">
        <v>63</v>
      </c>
    </row>
    <row r="2340" spans="1:6" x14ac:dyDescent="0.25">
      <c r="A2340" s="1" t="s">
        <v>4690</v>
      </c>
      <c r="B2340" s="1" t="s">
        <v>4691</v>
      </c>
      <c r="C2340" s="3">
        <v>200</v>
      </c>
      <c r="D2340" s="3" t="str">
        <f ca="1">IF(B2340="","",IFERROR(_xludf.XLOOKUP(_xludf.XLOOKUP(B2340,Inventory!$A:$A,Inventory!$B:$B),Blades!$A:$A,Blades!$C:$C)+_xludf.XLOOKUP(_xludf.XLOOKUP(B2340,Inventory!$A:$A,Inventory!$C:$C),Motor!$A:$A,Motor!$C:$C)+_xludf.XLOOKUP(_xludf.XLOOKUP(B2340,Inventory!$A:$A,Inventory!$D:$D),Frame!$A:$A,Frame!$C:$C)+#REF!,""))</f>
        <v/>
      </c>
      <c r="E2340" s="4">
        <v>45838</v>
      </c>
      <c r="F2340" s="1" t="s">
        <v>20</v>
      </c>
    </row>
    <row r="2341" spans="1:6" x14ac:dyDescent="0.25">
      <c r="A2341" s="1" t="s">
        <v>4692</v>
      </c>
      <c r="B2341" s="1" t="s">
        <v>4693</v>
      </c>
      <c r="C2341" s="3">
        <v>200</v>
      </c>
      <c r="D2341" s="3" t="str">
        <f ca="1">IF(B2341="","",IFERROR(_xludf.XLOOKUP(_xludf.XLOOKUP(B2341,Inventory!$A:$A,Inventory!$B:$B),Blades!$A:$A,Blades!$C:$C)+_xludf.XLOOKUP(_xludf.XLOOKUP(B2341,Inventory!$A:$A,Inventory!$C:$C),Motor!$A:$A,Motor!$C:$C)+_xludf.XLOOKUP(_xludf.XLOOKUP(B2341,Inventory!$A:$A,Inventory!$D:$D),Frame!$A:$A,Frame!$C:$C)+#REF!,""))</f>
        <v/>
      </c>
      <c r="E2341" s="4">
        <v>45839</v>
      </c>
      <c r="F2341" s="1" t="s">
        <v>63</v>
      </c>
    </row>
    <row r="2342" spans="1:6" x14ac:dyDescent="0.25">
      <c r="A2342" s="1" t="s">
        <v>4694</v>
      </c>
      <c r="B2342" s="1" t="s">
        <v>4695</v>
      </c>
      <c r="C2342" s="3">
        <v>200</v>
      </c>
      <c r="D2342" s="3" t="str">
        <f ca="1">IF(B2342="","",IFERROR(_xludf.XLOOKUP(_xludf.XLOOKUP(B2342,Inventory!$A:$A,Inventory!$B:$B),Blades!$A:$A,Blades!$C:$C)+_xludf.XLOOKUP(_xludf.XLOOKUP(B2342,Inventory!$A:$A,Inventory!$C:$C),Motor!$A:$A,Motor!$C:$C)+_xludf.XLOOKUP(_xludf.XLOOKUP(B2342,Inventory!$A:$A,Inventory!$D:$D),Frame!$A:$A,Frame!$C:$C)+#REF!,""))</f>
        <v/>
      </c>
      <c r="E2342" s="4">
        <v>45839</v>
      </c>
      <c r="F2342" s="1" t="s">
        <v>49</v>
      </c>
    </row>
    <row r="2343" spans="1:6" x14ac:dyDescent="0.25">
      <c r="A2343" s="1" t="s">
        <v>4696</v>
      </c>
      <c r="B2343" s="1" t="s">
        <v>4697</v>
      </c>
      <c r="C2343" s="3">
        <v>200</v>
      </c>
      <c r="D2343" s="3" t="str">
        <f ca="1">IF(B2343="","",IFERROR(_xludf.XLOOKUP(_xludf.XLOOKUP(B2343,Inventory!$A:$A,Inventory!$B:$B),Blades!$A:$A,Blades!$C:$C)+_xludf.XLOOKUP(_xludf.XLOOKUP(B2343,Inventory!$A:$A,Inventory!$C:$C),Motor!$A:$A,Motor!$C:$C)+_xludf.XLOOKUP(_xludf.XLOOKUP(B2343,Inventory!$A:$A,Inventory!$D:$D),Frame!$A:$A,Frame!$C:$C)+#REF!,""))</f>
        <v/>
      </c>
      <c r="E2343" s="4">
        <v>45839</v>
      </c>
      <c r="F2343" s="1" t="s">
        <v>20</v>
      </c>
    </row>
    <row r="2344" spans="1:6" x14ac:dyDescent="0.25">
      <c r="A2344" s="1" t="s">
        <v>4698</v>
      </c>
      <c r="B2344" s="1" t="s">
        <v>4699</v>
      </c>
      <c r="C2344" s="3">
        <v>200</v>
      </c>
      <c r="D2344" s="3" t="str">
        <f ca="1">IF(B2344="","",IFERROR(_xludf.XLOOKUP(_xludf.XLOOKUP(B2344,Inventory!$A:$A,Inventory!$B:$B),Blades!$A:$A,Blades!$C:$C)+_xludf.XLOOKUP(_xludf.XLOOKUP(B2344,Inventory!$A:$A,Inventory!$C:$C),Motor!$A:$A,Motor!$C:$C)+_xludf.XLOOKUP(_xludf.XLOOKUP(B2344,Inventory!$A:$A,Inventory!$D:$D),Frame!$A:$A,Frame!$C:$C)+#REF!,""))</f>
        <v/>
      </c>
      <c r="E2344" s="4">
        <v>45840</v>
      </c>
      <c r="F2344" s="1" t="s">
        <v>8</v>
      </c>
    </row>
    <row r="2345" spans="1:6" x14ac:dyDescent="0.25">
      <c r="A2345" s="1" t="s">
        <v>4700</v>
      </c>
      <c r="B2345" s="1" t="s">
        <v>4701</v>
      </c>
      <c r="C2345" s="3">
        <v>200</v>
      </c>
      <c r="D2345" s="3" t="str">
        <f ca="1">IF(B2345="","",IFERROR(_xludf.XLOOKUP(_xludf.XLOOKUP(B2345,Inventory!$A:$A,Inventory!$B:$B),Blades!$A:$A,Blades!$C:$C)+_xludf.XLOOKUP(_xludf.XLOOKUP(B2345,Inventory!$A:$A,Inventory!$C:$C),Motor!$A:$A,Motor!$C:$C)+_xludf.XLOOKUP(_xludf.XLOOKUP(B2345,Inventory!$A:$A,Inventory!$D:$D),Frame!$A:$A,Frame!$C:$C)+#REF!,""))</f>
        <v/>
      </c>
      <c r="E2345" s="4">
        <v>45840</v>
      </c>
      <c r="F2345" s="1" t="s">
        <v>25</v>
      </c>
    </row>
    <row r="2346" spans="1:6" x14ac:dyDescent="0.25">
      <c r="A2346" s="1" t="s">
        <v>4702</v>
      </c>
      <c r="B2346" s="1" t="s">
        <v>4703</v>
      </c>
      <c r="C2346" s="3">
        <v>200</v>
      </c>
      <c r="D2346" s="3" t="str">
        <f ca="1">IF(B2346="","",IFERROR(_xludf.XLOOKUP(_xludf.XLOOKUP(B2346,Inventory!$A:$A,Inventory!$B:$B),Blades!$A:$A,Blades!$C:$C)+_xludf.XLOOKUP(_xludf.XLOOKUP(B2346,Inventory!$A:$A,Inventory!$C:$C),Motor!$A:$A,Motor!$C:$C)+_xludf.XLOOKUP(_xludf.XLOOKUP(B2346,Inventory!$A:$A,Inventory!$D:$D),Frame!$A:$A,Frame!$C:$C)+#REF!,""))</f>
        <v/>
      </c>
      <c r="E2346" s="4">
        <v>45841</v>
      </c>
      <c r="F2346" s="1" t="s">
        <v>32</v>
      </c>
    </row>
    <row r="2347" spans="1:6" x14ac:dyDescent="0.25">
      <c r="A2347" s="1" t="s">
        <v>4704</v>
      </c>
      <c r="B2347" s="1" t="s">
        <v>4705</v>
      </c>
      <c r="C2347" s="3">
        <v>200</v>
      </c>
      <c r="D2347" s="3" t="str">
        <f ca="1">IF(B2347="","",IFERROR(_xludf.XLOOKUP(_xludf.XLOOKUP(B2347,Inventory!$A:$A,Inventory!$B:$B),Blades!$A:$A,Blades!$C:$C)+_xludf.XLOOKUP(_xludf.XLOOKUP(B2347,Inventory!$A:$A,Inventory!$C:$C),Motor!$A:$A,Motor!$C:$C)+_xludf.XLOOKUP(_xludf.XLOOKUP(B2347,Inventory!$A:$A,Inventory!$D:$D),Frame!$A:$A,Frame!$C:$C)+#REF!,""))</f>
        <v/>
      </c>
      <c r="E2347" s="4">
        <v>45841</v>
      </c>
      <c r="F2347" s="1" t="s">
        <v>20</v>
      </c>
    </row>
    <row r="2348" spans="1:6" x14ac:dyDescent="0.25">
      <c r="A2348" s="1" t="s">
        <v>4706</v>
      </c>
      <c r="B2348" s="1" t="s">
        <v>4707</v>
      </c>
      <c r="C2348" s="3">
        <v>200</v>
      </c>
      <c r="D2348" s="3" t="str">
        <f ca="1">IF(B2348="","",IFERROR(_xludf.XLOOKUP(_xludf.XLOOKUP(B2348,Inventory!$A:$A,Inventory!$B:$B),Blades!$A:$A,Blades!$C:$C)+_xludf.XLOOKUP(_xludf.XLOOKUP(B2348,Inventory!$A:$A,Inventory!$C:$C),Motor!$A:$A,Motor!$C:$C)+_xludf.XLOOKUP(_xludf.XLOOKUP(B2348,Inventory!$A:$A,Inventory!$D:$D),Frame!$A:$A,Frame!$C:$C)+#REF!,""))</f>
        <v/>
      </c>
      <c r="E2348" s="4">
        <v>45841</v>
      </c>
      <c r="F2348" s="1" t="s">
        <v>52</v>
      </c>
    </row>
    <row r="2349" spans="1:6" x14ac:dyDescent="0.25">
      <c r="A2349" s="1" t="s">
        <v>4708</v>
      </c>
      <c r="B2349" s="1" t="s">
        <v>4709</v>
      </c>
      <c r="C2349" s="3">
        <v>200</v>
      </c>
      <c r="D2349" s="3" t="str">
        <f ca="1">IF(B2349="","",IFERROR(_xludf.XLOOKUP(_xludf.XLOOKUP(B2349,Inventory!$A:$A,Inventory!$B:$B),Blades!$A:$A,Blades!$C:$C)+_xludf.XLOOKUP(_xludf.XLOOKUP(B2349,Inventory!$A:$A,Inventory!$C:$C),Motor!$A:$A,Motor!$C:$C)+_xludf.XLOOKUP(_xludf.XLOOKUP(B2349,Inventory!$A:$A,Inventory!$D:$D),Frame!$A:$A,Frame!$C:$C)+#REF!,""))</f>
        <v/>
      </c>
      <c r="E2349" s="4">
        <v>45842</v>
      </c>
      <c r="F2349" s="1" t="s">
        <v>20</v>
      </c>
    </row>
    <row r="2350" spans="1:6" x14ac:dyDescent="0.25">
      <c r="A2350" s="1" t="s">
        <v>4710</v>
      </c>
      <c r="B2350" s="1" t="s">
        <v>4711</v>
      </c>
      <c r="C2350" s="3">
        <v>200</v>
      </c>
      <c r="D2350" s="3" t="str">
        <f ca="1">IF(B2350="","",IFERROR(_xludf.XLOOKUP(_xludf.XLOOKUP(B2350,Inventory!$A:$A,Inventory!$B:$B),Blades!$A:$A,Blades!$C:$C)+_xludf.XLOOKUP(_xludf.XLOOKUP(B2350,Inventory!$A:$A,Inventory!$C:$C),Motor!$A:$A,Motor!$C:$C)+_xludf.XLOOKUP(_xludf.XLOOKUP(B2350,Inventory!$A:$A,Inventory!$D:$D),Frame!$A:$A,Frame!$C:$C)+#REF!,""))</f>
        <v/>
      </c>
      <c r="E2350" s="4">
        <v>45842</v>
      </c>
      <c r="F2350" s="1" t="s">
        <v>8</v>
      </c>
    </row>
    <row r="2351" spans="1:6" x14ac:dyDescent="0.25">
      <c r="A2351" s="1" t="s">
        <v>4712</v>
      </c>
      <c r="B2351" s="1" t="s">
        <v>4713</v>
      </c>
      <c r="C2351" s="3">
        <v>200</v>
      </c>
      <c r="D2351" s="3" t="str">
        <f ca="1">IF(B2351="","",IFERROR(_xludf.XLOOKUP(_xludf.XLOOKUP(B2351,Inventory!$A:$A,Inventory!$B:$B),Blades!$A:$A,Blades!$C:$C)+_xludf.XLOOKUP(_xludf.XLOOKUP(B2351,Inventory!$A:$A,Inventory!$C:$C),Motor!$A:$A,Motor!$C:$C)+_xludf.XLOOKUP(_xludf.XLOOKUP(B2351,Inventory!$A:$A,Inventory!$D:$D),Frame!$A:$A,Frame!$C:$C)+#REF!,""))</f>
        <v/>
      </c>
      <c r="E2351" s="4">
        <v>45844</v>
      </c>
      <c r="F2351" s="1" t="s">
        <v>20</v>
      </c>
    </row>
    <row r="2352" spans="1:6" x14ac:dyDescent="0.25">
      <c r="A2352" s="1" t="s">
        <v>4714</v>
      </c>
      <c r="B2352" s="1" t="s">
        <v>4715</v>
      </c>
      <c r="C2352" s="3">
        <v>200</v>
      </c>
      <c r="D2352" s="3" t="str">
        <f ca="1">IF(B2352="","",IFERROR(_xludf.XLOOKUP(_xludf.XLOOKUP(B2352,Inventory!$A:$A,Inventory!$B:$B),Blades!$A:$A,Blades!$C:$C)+_xludf.XLOOKUP(_xludf.XLOOKUP(B2352,Inventory!$A:$A,Inventory!$C:$C),Motor!$A:$A,Motor!$C:$C)+_xludf.XLOOKUP(_xludf.XLOOKUP(B2352,Inventory!$A:$A,Inventory!$D:$D),Frame!$A:$A,Frame!$C:$C)+#REF!,""))</f>
        <v/>
      </c>
      <c r="E2352" s="4">
        <v>45846</v>
      </c>
      <c r="F2352" s="1" t="s">
        <v>32</v>
      </c>
    </row>
    <row r="2353" spans="1:6" x14ac:dyDescent="0.25">
      <c r="A2353" s="1" t="s">
        <v>4716</v>
      </c>
      <c r="B2353" s="1" t="s">
        <v>4717</v>
      </c>
      <c r="C2353" s="3">
        <v>200</v>
      </c>
      <c r="D2353" s="3" t="str">
        <f ca="1">IF(B2353="","",IFERROR(_xludf.XLOOKUP(_xludf.XLOOKUP(B2353,Inventory!$A:$A,Inventory!$B:$B),Blades!$A:$A,Blades!$C:$C)+_xludf.XLOOKUP(_xludf.XLOOKUP(B2353,Inventory!$A:$A,Inventory!$C:$C),Motor!$A:$A,Motor!$C:$C)+_xludf.XLOOKUP(_xludf.XLOOKUP(B2353,Inventory!$A:$A,Inventory!$D:$D),Frame!$A:$A,Frame!$C:$C)+#REF!,""))</f>
        <v/>
      </c>
      <c r="E2353" s="4">
        <v>45849</v>
      </c>
      <c r="F2353" s="1" t="s">
        <v>8</v>
      </c>
    </row>
    <row r="2354" spans="1:6" x14ac:dyDescent="0.25">
      <c r="A2354" s="1" t="s">
        <v>4718</v>
      </c>
      <c r="B2354" s="1" t="s">
        <v>4719</v>
      </c>
      <c r="C2354" s="3">
        <v>200</v>
      </c>
      <c r="D2354" s="3" t="str">
        <f ca="1">IF(B2354="","",IFERROR(_xludf.XLOOKUP(_xludf.XLOOKUP(B2354,Inventory!$A:$A,Inventory!$B:$B),Blades!$A:$A,Blades!$C:$C)+_xludf.XLOOKUP(_xludf.XLOOKUP(B2354,Inventory!$A:$A,Inventory!$C:$C),Motor!$A:$A,Motor!$C:$C)+_xludf.XLOOKUP(_xludf.XLOOKUP(B2354,Inventory!$A:$A,Inventory!$D:$D),Frame!$A:$A,Frame!$C:$C)+#REF!,""))</f>
        <v/>
      </c>
      <c r="E2354" s="4">
        <v>45849</v>
      </c>
      <c r="F2354" s="1" t="s">
        <v>63</v>
      </c>
    </row>
    <row r="2355" spans="1:6" x14ac:dyDescent="0.25">
      <c r="A2355" s="1" t="s">
        <v>4720</v>
      </c>
      <c r="B2355" s="1" t="s">
        <v>4721</v>
      </c>
      <c r="C2355" s="3">
        <v>200</v>
      </c>
      <c r="D2355" s="3" t="str">
        <f ca="1">IF(B2355="","",IFERROR(_xludf.XLOOKUP(_xludf.XLOOKUP(B2355,Inventory!$A:$A,Inventory!$B:$B),Blades!$A:$A,Blades!$C:$C)+_xludf.XLOOKUP(_xludf.XLOOKUP(B2355,Inventory!$A:$A,Inventory!$C:$C),Motor!$A:$A,Motor!$C:$C)+_xludf.XLOOKUP(_xludf.XLOOKUP(B2355,Inventory!$A:$A,Inventory!$D:$D),Frame!$A:$A,Frame!$C:$C)+#REF!,""))</f>
        <v/>
      </c>
      <c r="E2355" s="4">
        <v>45850</v>
      </c>
      <c r="F2355" s="1" t="s">
        <v>8</v>
      </c>
    </row>
    <row r="2356" spans="1:6" x14ac:dyDescent="0.25">
      <c r="A2356" s="1" t="s">
        <v>4722</v>
      </c>
      <c r="B2356" s="1" t="s">
        <v>4723</v>
      </c>
      <c r="C2356" s="3">
        <v>200</v>
      </c>
      <c r="D2356" s="3" t="str">
        <f ca="1">IF(B2356="","",IFERROR(_xludf.XLOOKUP(_xludf.XLOOKUP(B2356,Inventory!$A:$A,Inventory!$B:$B),Blades!$A:$A,Blades!$C:$C)+_xludf.XLOOKUP(_xludf.XLOOKUP(B2356,Inventory!$A:$A,Inventory!$C:$C),Motor!$A:$A,Motor!$C:$C)+_xludf.XLOOKUP(_xludf.XLOOKUP(B2356,Inventory!$A:$A,Inventory!$D:$D),Frame!$A:$A,Frame!$C:$C)+#REF!,""))</f>
        <v/>
      </c>
      <c r="E2356" s="4">
        <v>45850</v>
      </c>
      <c r="F2356" s="1" t="s">
        <v>32</v>
      </c>
    </row>
    <row r="2357" spans="1:6" x14ac:dyDescent="0.25">
      <c r="A2357" s="1" t="s">
        <v>4724</v>
      </c>
      <c r="B2357" s="1" t="s">
        <v>4725</v>
      </c>
      <c r="C2357" s="3">
        <v>200</v>
      </c>
      <c r="D2357" s="3" t="str">
        <f ca="1">IF(B2357="","",IFERROR(_xludf.XLOOKUP(_xludf.XLOOKUP(B2357,Inventory!$A:$A,Inventory!$B:$B),Blades!$A:$A,Blades!$C:$C)+_xludf.XLOOKUP(_xludf.XLOOKUP(B2357,Inventory!$A:$A,Inventory!$C:$C),Motor!$A:$A,Motor!$C:$C)+_xludf.XLOOKUP(_xludf.XLOOKUP(B2357,Inventory!$A:$A,Inventory!$D:$D),Frame!$A:$A,Frame!$C:$C)+#REF!,""))</f>
        <v/>
      </c>
      <c r="E2357" s="4">
        <v>45850</v>
      </c>
      <c r="F2357" s="1" t="s">
        <v>49</v>
      </c>
    </row>
    <row r="2358" spans="1:6" x14ac:dyDescent="0.25">
      <c r="A2358" s="1" t="s">
        <v>4726</v>
      </c>
      <c r="B2358" s="1" t="s">
        <v>4727</v>
      </c>
      <c r="C2358" s="3">
        <v>200</v>
      </c>
      <c r="D2358" s="3" t="str">
        <f ca="1">IF(B2358="","",IFERROR(_xludf.XLOOKUP(_xludf.XLOOKUP(B2358,Inventory!$A:$A,Inventory!$B:$B),Blades!$A:$A,Blades!$C:$C)+_xludf.XLOOKUP(_xludf.XLOOKUP(B2358,Inventory!$A:$A,Inventory!$C:$C),Motor!$A:$A,Motor!$C:$C)+_xludf.XLOOKUP(_xludf.XLOOKUP(B2358,Inventory!$A:$A,Inventory!$D:$D),Frame!$A:$A,Frame!$C:$C)+#REF!,""))</f>
        <v/>
      </c>
      <c r="E2358" s="4">
        <v>45851</v>
      </c>
      <c r="F2358" s="1" t="s">
        <v>11</v>
      </c>
    </row>
    <row r="2359" spans="1:6" x14ac:dyDescent="0.25">
      <c r="A2359" s="1" t="s">
        <v>4728</v>
      </c>
      <c r="B2359" s="1" t="s">
        <v>4729</v>
      </c>
      <c r="C2359" s="3">
        <v>200</v>
      </c>
      <c r="D2359" s="3" t="str">
        <f ca="1">IF(B2359="","",IFERROR(_xludf.XLOOKUP(_xludf.XLOOKUP(B2359,Inventory!$A:$A,Inventory!$B:$B),Blades!$A:$A,Blades!$C:$C)+_xludf.XLOOKUP(_xludf.XLOOKUP(B2359,Inventory!$A:$A,Inventory!$C:$C),Motor!$A:$A,Motor!$C:$C)+_xludf.XLOOKUP(_xludf.XLOOKUP(B2359,Inventory!$A:$A,Inventory!$D:$D),Frame!$A:$A,Frame!$C:$C)+#REF!,""))</f>
        <v/>
      </c>
      <c r="E2359" s="4">
        <v>45851</v>
      </c>
      <c r="F2359" s="1" t="s">
        <v>8</v>
      </c>
    </row>
    <row r="2360" spans="1:6" x14ac:dyDescent="0.25">
      <c r="A2360" s="1" t="s">
        <v>4730</v>
      </c>
      <c r="B2360" s="1" t="s">
        <v>4731</v>
      </c>
      <c r="C2360" s="3">
        <v>200</v>
      </c>
      <c r="D2360" s="3" t="str">
        <f ca="1">IF(B2360="","",IFERROR(_xludf.XLOOKUP(_xludf.XLOOKUP(B2360,Inventory!$A:$A,Inventory!$B:$B),Blades!$A:$A,Blades!$C:$C)+_xludf.XLOOKUP(_xludf.XLOOKUP(B2360,Inventory!$A:$A,Inventory!$C:$C),Motor!$A:$A,Motor!$C:$C)+_xludf.XLOOKUP(_xludf.XLOOKUP(B2360,Inventory!$A:$A,Inventory!$D:$D),Frame!$A:$A,Frame!$C:$C)+#REF!,""))</f>
        <v/>
      </c>
      <c r="E2360" s="4">
        <v>45854</v>
      </c>
      <c r="F2360" s="1" t="s">
        <v>63</v>
      </c>
    </row>
    <row r="2361" spans="1:6" x14ac:dyDescent="0.25">
      <c r="A2361" s="1" t="s">
        <v>4732</v>
      </c>
      <c r="B2361" s="1" t="s">
        <v>4733</v>
      </c>
      <c r="C2361" s="3">
        <v>200</v>
      </c>
      <c r="D2361" s="3" t="str">
        <f ca="1">IF(B2361="","",IFERROR(_xludf.XLOOKUP(_xludf.XLOOKUP(B2361,Inventory!$A:$A,Inventory!$B:$B),Blades!$A:$A,Blades!$C:$C)+_xludf.XLOOKUP(_xludf.XLOOKUP(B2361,Inventory!$A:$A,Inventory!$C:$C),Motor!$A:$A,Motor!$C:$C)+_xludf.XLOOKUP(_xludf.XLOOKUP(B2361,Inventory!$A:$A,Inventory!$D:$D),Frame!$A:$A,Frame!$C:$C)+#REF!,""))</f>
        <v/>
      </c>
      <c r="E2361" s="4">
        <v>45855</v>
      </c>
      <c r="F2361" s="1" t="s">
        <v>25</v>
      </c>
    </row>
    <row r="2362" spans="1:6" x14ac:dyDescent="0.25">
      <c r="A2362" s="1" t="s">
        <v>4734</v>
      </c>
      <c r="B2362" s="1" t="s">
        <v>4735</v>
      </c>
      <c r="C2362" s="3">
        <v>200</v>
      </c>
      <c r="D2362" s="3" t="str">
        <f ca="1">IF(B2362="","",IFERROR(_xludf.XLOOKUP(_xludf.XLOOKUP(B2362,Inventory!$A:$A,Inventory!$B:$B),Blades!$A:$A,Blades!$C:$C)+_xludf.XLOOKUP(_xludf.XLOOKUP(B2362,Inventory!$A:$A,Inventory!$C:$C),Motor!$A:$A,Motor!$C:$C)+_xludf.XLOOKUP(_xludf.XLOOKUP(B2362,Inventory!$A:$A,Inventory!$D:$D),Frame!$A:$A,Frame!$C:$C)+#REF!,""))</f>
        <v/>
      </c>
      <c r="E2362" s="4">
        <v>45855</v>
      </c>
      <c r="F2362" s="1" t="s">
        <v>20</v>
      </c>
    </row>
    <row r="2363" spans="1:6" x14ac:dyDescent="0.25">
      <c r="A2363" s="1" t="s">
        <v>4736</v>
      </c>
      <c r="B2363" s="1" t="s">
        <v>4737</v>
      </c>
      <c r="C2363" s="3">
        <v>200</v>
      </c>
      <c r="D2363" s="3" t="str">
        <f ca="1">IF(B2363="","",IFERROR(_xludf.XLOOKUP(_xludf.XLOOKUP(B2363,Inventory!$A:$A,Inventory!$B:$B),Blades!$A:$A,Blades!$C:$C)+_xludf.XLOOKUP(_xludf.XLOOKUP(B2363,Inventory!$A:$A,Inventory!$C:$C),Motor!$A:$A,Motor!$C:$C)+_xludf.XLOOKUP(_xludf.XLOOKUP(B2363,Inventory!$A:$A,Inventory!$D:$D),Frame!$A:$A,Frame!$C:$C)+#REF!,""))</f>
        <v/>
      </c>
      <c r="E2363" s="4">
        <v>45857</v>
      </c>
      <c r="F2363" s="1" t="s">
        <v>20</v>
      </c>
    </row>
    <row r="2364" spans="1:6" x14ac:dyDescent="0.25">
      <c r="A2364" s="1" t="s">
        <v>4738</v>
      </c>
      <c r="B2364" s="1" t="s">
        <v>4739</v>
      </c>
      <c r="C2364" s="3">
        <v>200</v>
      </c>
      <c r="D2364" s="3" t="str">
        <f ca="1">IF(B2364="","",IFERROR(_xludf.XLOOKUP(_xludf.XLOOKUP(B2364,Inventory!$A:$A,Inventory!$B:$B),Blades!$A:$A,Blades!$C:$C)+_xludf.XLOOKUP(_xludf.XLOOKUP(B2364,Inventory!$A:$A,Inventory!$C:$C),Motor!$A:$A,Motor!$C:$C)+_xludf.XLOOKUP(_xludf.XLOOKUP(B2364,Inventory!$A:$A,Inventory!$D:$D),Frame!$A:$A,Frame!$C:$C)+#REF!,""))</f>
        <v/>
      </c>
      <c r="E2364" s="4">
        <v>45857</v>
      </c>
      <c r="F2364" s="1" t="s">
        <v>20</v>
      </c>
    </row>
    <row r="2365" spans="1:6" x14ac:dyDescent="0.25">
      <c r="A2365" s="1" t="s">
        <v>4740</v>
      </c>
      <c r="B2365" s="1" t="s">
        <v>4741</v>
      </c>
      <c r="C2365" s="3">
        <v>200</v>
      </c>
      <c r="D2365" s="3" t="str">
        <f ca="1">IF(B2365="","",IFERROR(_xludf.XLOOKUP(_xludf.XLOOKUP(B2365,Inventory!$A:$A,Inventory!$B:$B),Blades!$A:$A,Blades!$C:$C)+_xludf.XLOOKUP(_xludf.XLOOKUP(B2365,Inventory!$A:$A,Inventory!$C:$C),Motor!$A:$A,Motor!$C:$C)+_xludf.XLOOKUP(_xludf.XLOOKUP(B2365,Inventory!$A:$A,Inventory!$D:$D),Frame!$A:$A,Frame!$C:$C)+#REF!,""))</f>
        <v/>
      </c>
      <c r="E2365" s="4">
        <v>45857</v>
      </c>
      <c r="F2365" s="1" t="s">
        <v>11</v>
      </c>
    </row>
    <row r="2366" spans="1:6" x14ac:dyDescent="0.25">
      <c r="A2366" s="1" t="s">
        <v>4742</v>
      </c>
      <c r="B2366" s="1" t="s">
        <v>4743</v>
      </c>
      <c r="C2366" s="3">
        <v>200</v>
      </c>
      <c r="D2366" s="3" t="str">
        <f ca="1">IF(B2366="","",IFERROR(_xludf.XLOOKUP(_xludf.XLOOKUP(B2366,Inventory!$A:$A,Inventory!$B:$B),Blades!$A:$A,Blades!$C:$C)+_xludf.XLOOKUP(_xludf.XLOOKUP(B2366,Inventory!$A:$A,Inventory!$C:$C),Motor!$A:$A,Motor!$C:$C)+_xludf.XLOOKUP(_xludf.XLOOKUP(B2366,Inventory!$A:$A,Inventory!$D:$D),Frame!$A:$A,Frame!$C:$C)+#REF!,""))</f>
        <v/>
      </c>
      <c r="E2366" s="4">
        <v>45858</v>
      </c>
      <c r="F2366" s="1" t="s">
        <v>32</v>
      </c>
    </row>
    <row r="2367" spans="1:6" x14ac:dyDescent="0.25">
      <c r="A2367" s="1" t="s">
        <v>4744</v>
      </c>
      <c r="B2367" s="1" t="s">
        <v>4745</v>
      </c>
      <c r="C2367" s="3">
        <v>200</v>
      </c>
      <c r="D2367" s="3" t="str">
        <f ca="1">IF(B2367="","",IFERROR(_xludf.XLOOKUP(_xludf.XLOOKUP(B2367,Inventory!$A:$A,Inventory!$B:$B),Blades!$A:$A,Blades!$C:$C)+_xludf.XLOOKUP(_xludf.XLOOKUP(B2367,Inventory!$A:$A,Inventory!$C:$C),Motor!$A:$A,Motor!$C:$C)+_xludf.XLOOKUP(_xludf.XLOOKUP(B2367,Inventory!$A:$A,Inventory!$D:$D),Frame!$A:$A,Frame!$C:$C)+#REF!,""))</f>
        <v/>
      </c>
      <c r="E2367" s="4">
        <v>45858</v>
      </c>
      <c r="F2367" s="1" t="s">
        <v>11</v>
      </c>
    </row>
    <row r="2368" spans="1:6" x14ac:dyDescent="0.25">
      <c r="A2368" s="1" t="s">
        <v>4746</v>
      </c>
      <c r="B2368" s="1" t="s">
        <v>4747</v>
      </c>
      <c r="C2368" s="3">
        <v>200</v>
      </c>
      <c r="D2368" s="3" t="str">
        <f ca="1">IF(B2368="","",IFERROR(_xludf.XLOOKUP(_xludf.XLOOKUP(B2368,Inventory!$A:$A,Inventory!$B:$B),Blades!$A:$A,Blades!$C:$C)+_xludf.XLOOKUP(_xludf.XLOOKUP(B2368,Inventory!$A:$A,Inventory!$C:$C),Motor!$A:$A,Motor!$C:$C)+_xludf.XLOOKUP(_xludf.XLOOKUP(B2368,Inventory!$A:$A,Inventory!$D:$D),Frame!$A:$A,Frame!$C:$C)+#REF!,""))</f>
        <v/>
      </c>
      <c r="E2368" s="4">
        <v>45858</v>
      </c>
      <c r="F2368" s="1" t="s">
        <v>8</v>
      </c>
    </row>
    <row r="2369" spans="1:6" x14ac:dyDescent="0.25">
      <c r="A2369" s="1" t="s">
        <v>4748</v>
      </c>
      <c r="B2369" s="1" t="s">
        <v>4749</v>
      </c>
      <c r="C2369" s="3">
        <v>200</v>
      </c>
      <c r="D2369" s="3" t="str">
        <f ca="1">IF(B2369="","",IFERROR(_xludf.XLOOKUP(_xludf.XLOOKUP(B2369,Inventory!$A:$A,Inventory!$B:$B),Blades!$A:$A,Blades!$C:$C)+_xludf.XLOOKUP(_xludf.XLOOKUP(B2369,Inventory!$A:$A,Inventory!$C:$C),Motor!$A:$A,Motor!$C:$C)+_xludf.XLOOKUP(_xludf.XLOOKUP(B2369,Inventory!$A:$A,Inventory!$D:$D),Frame!$A:$A,Frame!$C:$C)+#REF!,""))</f>
        <v/>
      </c>
      <c r="E2369" s="4">
        <v>45859</v>
      </c>
      <c r="F2369" s="1" t="s">
        <v>8</v>
      </c>
    </row>
    <row r="2370" spans="1:6" x14ac:dyDescent="0.25">
      <c r="A2370" s="1" t="s">
        <v>4750</v>
      </c>
      <c r="B2370" s="1" t="s">
        <v>4751</v>
      </c>
      <c r="C2370" s="3">
        <v>200</v>
      </c>
      <c r="D2370" s="3" t="str">
        <f ca="1">IF(B2370="","",IFERROR(_xludf.XLOOKUP(_xludf.XLOOKUP(B2370,Inventory!$A:$A,Inventory!$B:$B),Blades!$A:$A,Blades!$C:$C)+_xludf.XLOOKUP(_xludf.XLOOKUP(B2370,Inventory!$A:$A,Inventory!$C:$C),Motor!$A:$A,Motor!$C:$C)+_xludf.XLOOKUP(_xludf.XLOOKUP(B2370,Inventory!$A:$A,Inventory!$D:$D),Frame!$A:$A,Frame!$C:$C)+#REF!,""))</f>
        <v/>
      </c>
      <c r="E2370" s="4">
        <v>45859</v>
      </c>
      <c r="F2370" s="1" t="s">
        <v>63</v>
      </c>
    </row>
    <row r="2371" spans="1:6" x14ac:dyDescent="0.25">
      <c r="A2371" s="1" t="s">
        <v>4752</v>
      </c>
      <c r="B2371" s="1" t="s">
        <v>4753</v>
      </c>
      <c r="C2371" s="3">
        <v>200</v>
      </c>
      <c r="D2371" s="3" t="str">
        <f ca="1">IF(B2371="","",IFERROR(_xludf.XLOOKUP(_xludf.XLOOKUP(B2371,Inventory!$A:$A,Inventory!$B:$B),Blades!$A:$A,Blades!$C:$C)+_xludf.XLOOKUP(_xludf.XLOOKUP(B2371,Inventory!$A:$A,Inventory!$C:$C),Motor!$A:$A,Motor!$C:$C)+_xludf.XLOOKUP(_xludf.XLOOKUP(B2371,Inventory!$A:$A,Inventory!$D:$D),Frame!$A:$A,Frame!$C:$C)+#REF!,""))</f>
        <v/>
      </c>
      <c r="E2371" s="4">
        <v>45862</v>
      </c>
      <c r="F2371" s="1" t="s">
        <v>63</v>
      </c>
    </row>
    <row r="2372" spans="1:6" x14ac:dyDescent="0.25">
      <c r="A2372" s="1" t="s">
        <v>4754</v>
      </c>
      <c r="B2372" s="1" t="s">
        <v>4755</v>
      </c>
      <c r="C2372" s="3">
        <v>200</v>
      </c>
      <c r="D2372" s="3" t="str">
        <f ca="1">IF(B2372="","",IFERROR(_xludf.XLOOKUP(_xludf.XLOOKUP(B2372,Inventory!$A:$A,Inventory!$B:$B),Blades!$A:$A,Blades!$C:$C)+_xludf.XLOOKUP(_xludf.XLOOKUP(B2372,Inventory!$A:$A,Inventory!$C:$C),Motor!$A:$A,Motor!$C:$C)+_xludf.XLOOKUP(_xludf.XLOOKUP(B2372,Inventory!$A:$A,Inventory!$D:$D),Frame!$A:$A,Frame!$C:$C)+#REF!,""))</f>
        <v/>
      </c>
      <c r="E2372" s="4">
        <v>45862</v>
      </c>
      <c r="F2372" s="1" t="s">
        <v>63</v>
      </c>
    </row>
    <row r="2373" spans="1:6" x14ac:dyDescent="0.25">
      <c r="A2373" s="1" t="s">
        <v>4756</v>
      </c>
      <c r="B2373" s="1" t="s">
        <v>4757</v>
      </c>
      <c r="C2373" s="3">
        <v>200</v>
      </c>
      <c r="D2373" s="3" t="str">
        <f ca="1">IF(B2373="","",IFERROR(_xludf.XLOOKUP(_xludf.XLOOKUP(B2373,Inventory!$A:$A,Inventory!$B:$B),Blades!$A:$A,Blades!$C:$C)+_xludf.XLOOKUP(_xludf.XLOOKUP(B2373,Inventory!$A:$A,Inventory!$C:$C),Motor!$A:$A,Motor!$C:$C)+_xludf.XLOOKUP(_xludf.XLOOKUP(B2373,Inventory!$A:$A,Inventory!$D:$D),Frame!$A:$A,Frame!$C:$C)+#REF!,""))</f>
        <v/>
      </c>
      <c r="E2373" s="4">
        <v>45864</v>
      </c>
      <c r="F2373" s="1" t="s">
        <v>63</v>
      </c>
    </row>
    <row r="2374" spans="1:6" x14ac:dyDescent="0.25">
      <c r="A2374" s="1" t="s">
        <v>4758</v>
      </c>
      <c r="B2374" s="1" t="s">
        <v>4759</v>
      </c>
      <c r="C2374" s="3">
        <v>200</v>
      </c>
      <c r="D2374" s="3" t="str">
        <f ca="1">IF(B2374="","",IFERROR(_xludf.XLOOKUP(_xludf.XLOOKUP(B2374,Inventory!$A:$A,Inventory!$B:$B),Blades!$A:$A,Blades!$C:$C)+_xludf.XLOOKUP(_xludf.XLOOKUP(B2374,Inventory!$A:$A,Inventory!$C:$C),Motor!$A:$A,Motor!$C:$C)+_xludf.XLOOKUP(_xludf.XLOOKUP(B2374,Inventory!$A:$A,Inventory!$D:$D),Frame!$A:$A,Frame!$C:$C)+#REF!,""))</f>
        <v/>
      </c>
      <c r="E2374" s="4">
        <v>45864</v>
      </c>
      <c r="F2374" s="1" t="s">
        <v>32</v>
      </c>
    </row>
    <row r="2375" spans="1:6" x14ac:dyDescent="0.25">
      <c r="A2375" s="1" t="s">
        <v>4760</v>
      </c>
      <c r="B2375" s="1" t="s">
        <v>4761</v>
      </c>
      <c r="C2375" s="3">
        <v>200</v>
      </c>
      <c r="D2375" s="3" t="str">
        <f ca="1">IF(B2375="","",IFERROR(_xludf.XLOOKUP(_xludf.XLOOKUP(B2375,Inventory!$A:$A,Inventory!$B:$B),Blades!$A:$A,Blades!$C:$C)+_xludf.XLOOKUP(_xludf.XLOOKUP(B2375,Inventory!$A:$A,Inventory!$C:$C),Motor!$A:$A,Motor!$C:$C)+_xludf.XLOOKUP(_xludf.XLOOKUP(B2375,Inventory!$A:$A,Inventory!$D:$D),Frame!$A:$A,Frame!$C:$C)+#REF!,""))</f>
        <v/>
      </c>
      <c r="E2375" s="4">
        <v>45865</v>
      </c>
      <c r="F2375" s="1" t="s">
        <v>52</v>
      </c>
    </row>
    <row r="2376" spans="1:6" x14ac:dyDescent="0.25">
      <c r="A2376" s="1" t="s">
        <v>4762</v>
      </c>
      <c r="B2376" s="1" t="s">
        <v>4763</v>
      </c>
      <c r="C2376" s="3">
        <v>200</v>
      </c>
      <c r="D2376" s="3" t="str">
        <f ca="1">IF(B2376="","",IFERROR(_xludf.XLOOKUP(_xludf.XLOOKUP(B2376,Inventory!$A:$A,Inventory!$B:$B),Blades!$A:$A,Blades!$C:$C)+_xludf.XLOOKUP(_xludf.XLOOKUP(B2376,Inventory!$A:$A,Inventory!$C:$C),Motor!$A:$A,Motor!$C:$C)+_xludf.XLOOKUP(_xludf.XLOOKUP(B2376,Inventory!$A:$A,Inventory!$D:$D),Frame!$A:$A,Frame!$C:$C)+#REF!,""))</f>
        <v/>
      </c>
      <c r="E2376" s="4">
        <v>45866</v>
      </c>
      <c r="F2376" s="1" t="s">
        <v>25</v>
      </c>
    </row>
    <row r="2377" spans="1:6" x14ac:dyDescent="0.25">
      <c r="A2377" s="1" t="s">
        <v>4764</v>
      </c>
      <c r="B2377" s="1" t="s">
        <v>4765</v>
      </c>
      <c r="C2377" s="3">
        <v>200</v>
      </c>
      <c r="D2377" s="3" t="str">
        <f ca="1">IF(B2377="","",IFERROR(_xludf.XLOOKUP(_xludf.XLOOKUP(B2377,Inventory!$A:$A,Inventory!$B:$B),Blades!$A:$A,Blades!$C:$C)+_xludf.XLOOKUP(_xludf.XLOOKUP(B2377,Inventory!$A:$A,Inventory!$C:$C),Motor!$A:$A,Motor!$C:$C)+_xludf.XLOOKUP(_xludf.XLOOKUP(B2377,Inventory!$A:$A,Inventory!$D:$D),Frame!$A:$A,Frame!$C:$C)+#REF!,""))</f>
        <v/>
      </c>
      <c r="E2377" s="4">
        <v>45868</v>
      </c>
      <c r="F2377" s="1" t="s">
        <v>20</v>
      </c>
    </row>
    <row r="2378" spans="1:6" x14ac:dyDescent="0.25">
      <c r="A2378" s="1" t="s">
        <v>4766</v>
      </c>
      <c r="B2378" s="1" t="s">
        <v>4767</v>
      </c>
      <c r="C2378" s="3">
        <v>200</v>
      </c>
      <c r="D2378" s="3" t="str">
        <f ca="1">IF(B2378="","",IFERROR(_xludf.XLOOKUP(_xludf.XLOOKUP(B2378,Inventory!$A:$A,Inventory!$B:$B),Blades!$A:$A,Blades!$C:$C)+_xludf.XLOOKUP(_xludf.XLOOKUP(B2378,Inventory!$A:$A,Inventory!$C:$C),Motor!$A:$A,Motor!$C:$C)+_xludf.XLOOKUP(_xludf.XLOOKUP(B2378,Inventory!$A:$A,Inventory!$D:$D),Frame!$A:$A,Frame!$C:$C)+#REF!,""))</f>
        <v/>
      </c>
      <c r="E2378" s="4">
        <v>45868</v>
      </c>
      <c r="F2378" s="1" t="s">
        <v>32</v>
      </c>
    </row>
    <row r="2379" spans="1:6" x14ac:dyDescent="0.25">
      <c r="A2379" s="1" t="s">
        <v>4768</v>
      </c>
      <c r="B2379" s="1" t="s">
        <v>4769</v>
      </c>
      <c r="C2379" s="3">
        <v>200</v>
      </c>
      <c r="D2379" s="3" t="str">
        <f ca="1">IF(B2379="","",IFERROR(_xludf.XLOOKUP(_xludf.XLOOKUP(B2379,Inventory!$A:$A,Inventory!$B:$B),Blades!$A:$A,Blades!$C:$C)+_xludf.XLOOKUP(_xludf.XLOOKUP(B2379,Inventory!$A:$A,Inventory!$C:$C),Motor!$A:$A,Motor!$C:$C)+_xludf.XLOOKUP(_xludf.XLOOKUP(B2379,Inventory!$A:$A,Inventory!$D:$D),Frame!$A:$A,Frame!$C:$C)+#REF!,""))</f>
        <v/>
      </c>
      <c r="E2379" s="4">
        <v>45871</v>
      </c>
      <c r="F2379" s="1" t="s">
        <v>20</v>
      </c>
    </row>
    <row r="2380" spans="1:6" x14ac:dyDescent="0.25">
      <c r="A2380" s="1" t="s">
        <v>4770</v>
      </c>
      <c r="B2380" s="1" t="s">
        <v>4771</v>
      </c>
      <c r="C2380" s="3">
        <v>200</v>
      </c>
      <c r="D2380" s="3" t="str">
        <f ca="1">IF(B2380="","",IFERROR(_xludf.XLOOKUP(_xludf.XLOOKUP(B2380,Inventory!$A:$A,Inventory!$B:$B),Blades!$A:$A,Blades!$C:$C)+_xludf.XLOOKUP(_xludf.XLOOKUP(B2380,Inventory!$A:$A,Inventory!$C:$C),Motor!$A:$A,Motor!$C:$C)+_xludf.XLOOKUP(_xludf.XLOOKUP(B2380,Inventory!$A:$A,Inventory!$D:$D),Frame!$A:$A,Frame!$C:$C)+#REF!,""))</f>
        <v/>
      </c>
      <c r="E2380" s="4">
        <v>45871</v>
      </c>
      <c r="F2380" s="1" t="s">
        <v>8</v>
      </c>
    </row>
    <row r="2381" spans="1:6" x14ac:dyDescent="0.25">
      <c r="A2381" s="1" t="s">
        <v>4772</v>
      </c>
      <c r="B2381" s="1" t="s">
        <v>4773</v>
      </c>
      <c r="C2381" s="3">
        <v>200</v>
      </c>
      <c r="D2381" s="3" t="str">
        <f ca="1">IF(B2381="","",IFERROR(_xludf.XLOOKUP(_xludf.XLOOKUP(B2381,Inventory!$A:$A,Inventory!$B:$B),Blades!$A:$A,Blades!$C:$C)+_xludf.XLOOKUP(_xludf.XLOOKUP(B2381,Inventory!$A:$A,Inventory!$C:$C),Motor!$A:$A,Motor!$C:$C)+_xludf.XLOOKUP(_xludf.XLOOKUP(B2381,Inventory!$A:$A,Inventory!$D:$D),Frame!$A:$A,Frame!$C:$C)+#REF!,""))</f>
        <v/>
      </c>
      <c r="E2381" s="4">
        <v>45871</v>
      </c>
      <c r="F2381" s="1" t="s">
        <v>11</v>
      </c>
    </row>
    <row r="2382" spans="1:6" x14ac:dyDescent="0.25">
      <c r="A2382" s="1" t="s">
        <v>4774</v>
      </c>
      <c r="B2382" s="1" t="s">
        <v>4775</v>
      </c>
      <c r="C2382" s="3">
        <v>200</v>
      </c>
      <c r="D2382" s="3" t="str">
        <f ca="1">IF(B2382="","",IFERROR(_xludf.XLOOKUP(_xludf.XLOOKUP(B2382,Inventory!$A:$A,Inventory!$B:$B),Blades!$A:$A,Blades!$C:$C)+_xludf.XLOOKUP(_xludf.XLOOKUP(B2382,Inventory!$A:$A,Inventory!$C:$C),Motor!$A:$A,Motor!$C:$C)+_xludf.XLOOKUP(_xludf.XLOOKUP(B2382,Inventory!$A:$A,Inventory!$D:$D),Frame!$A:$A,Frame!$C:$C)+#REF!,""))</f>
        <v/>
      </c>
      <c r="E2382" s="4">
        <v>45871</v>
      </c>
      <c r="F2382" s="1" t="s">
        <v>63</v>
      </c>
    </row>
    <row r="2383" spans="1:6" x14ac:dyDescent="0.25">
      <c r="A2383" s="1" t="s">
        <v>4776</v>
      </c>
      <c r="B2383" s="1" t="s">
        <v>4777</v>
      </c>
      <c r="C2383" s="3">
        <v>200</v>
      </c>
      <c r="D2383" s="3" t="str">
        <f ca="1">IF(B2383="","",IFERROR(_xludf.XLOOKUP(_xludf.XLOOKUP(B2383,Inventory!$A:$A,Inventory!$B:$B),Blades!$A:$A,Blades!$C:$C)+_xludf.XLOOKUP(_xludf.XLOOKUP(B2383,Inventory!$A:$A,Inventory!$C:$C),Motor!$A:$A,Motor!$C:$C)+_xludf.XLOOKUP(_xludf.XLOOKUP(B2383,Inventory!$A:$A,Inventory!$D:$D),Frame!$A:$A,Frame!$C:$C)+#REF!,""))</f>
        <v/>
      </c>
      <c r="E2383" s="4">
        <v>45873</v>
      </c>
      <c r="F2383" s="1" t="s">
        <v>52</v>
      </c>
    </row>
    <row r="2384" spans="1:6" x14ac:dyDescent="0.25">
      <c r="A2384" s="1" t="s">
        <v>4778</v>
      </c>
      <c r="B2384" s="1" t="s">
        <v>4779</v>
      </c>
      <c r="C2384" s="3">
        <v>200</v>
      </c>
      <c r="D2384" s="3" t="str">
        <f ca="1">IF(B2384="","",IFERROR(_xludf.XLOOKUP(_xludf.XLOOKUP(B2384,Inventory!$A:$A,Inventory!$B:$B),Blades!$A:$A,Blades!$C:$C)+_xludf.XLOOKUP(_xludf.XLOOKUP(B2384,Inventory!$A:$A,Inventory!$C:$C),Motor!$A:$A,Motor!$C:$C)+_xludf.XLOOKUP(_xludf.XLOOKUP(B2384,Inventory!$A:$A,Inventory!$D:$D),Frame!$A:$A,Frame!$C:$C)+#REF!,""))</f>
        <v/>
      </c>
      <c r="E2384" s="4">
        <v>45873</v>
      </c>
      <c r="F2384" s="1" t="s">
        <v>25</v>
      </c>
    </row>
    <row r="2385" spans="1:6" x14ac:dyDescent="0.25">
      <c r="A2385" s="1" t="s">
        <v>4780</v>
      </c>
      <c r="B2385" s="1" t="s">
        <v>4781</v>
      </c>
      <c r="C2385" s="3">
        <v>200</v>
      </c>
      <c r="D2385" s="3" t="str">
        <f ca="1">IF(B2385="","",IFERROR(_xludf.XLOOKUP(_xludf.XLOOKUP(B2385,Inventory!$A:$A,Inventory!$B:$B),Blades!$A:$A,Blades!$C:$C)+_xludf.XLOOKUP(_xludf.XLOOKUP(B2385,Inventory!$A:$A,Inventory!$C:$C),Motor!$A:$A,Motor!$C:$C)+_xludf.XLOOKUP(_xludf.XLOOKUP(B2385,Inventory!$A:$A,Inventory!$D:$D),Frame!$A:$A,Frame!$C:$C)+#REF!,""))</f>
        <v/>
      </c>
      <c r="E2385" s="4">
        <v>45873</v>
      </c>
      <c r="F2385" s="1" t="s">
        <v>52</v>
      </c>
    </row>
    <row r="2386" spans="1:6" x14ac:dyDescent="0.25">
      <c r="A2386" s="1" t="s">
        <v>4782</v>
      </c>
      <c r="B2386" s="1" t="s">
        <v>4783</v>
      </c>
      <c r="C2386" s="3">
        <v>200</v>
      </c>
      <c r="D2386" s="3" t="str">
        <f ca="1">IF(B2386="","",IFERROR(_xludf.XLOOKUP(_xludf.XLOOKUP(B2386,Inventory!$A:$A,Inventory!$B:$B),Blades!$A:$A,Blades!$C:$C)+_xludf.XLOOKUP(_xludf.XLOOKUP(B2386,Inventory!$A:$A,Inventory!$C:$C),Motor!$A:$A,Motor!$C:$C)+_xludf.XLOOKUP(_xludf.XLOOKUP(B2386,Inventory!$A:$A,Inventory!$D:$D),Frame!$A:$A,Frame!$C:$C)+#REF!,""))</f>
        <v/>
      </c>
      <c r="E2386" s="4">
        <v>45873</v>
      </c>
      <c r="F2386" s="1" t="s">
        <v>11</v>
      </c>
    </row>
    <row r="2387" spans="1:6" x14ac:dyDescent="0.25">
      <c r="A2387" s="1" t="s">
        <v>4784</v>
      </c>
      <c r="B2387" s="1" t="s">
        <v>4785</v>
      </c>
      <c r="C2387" s="3">
        <v>200</v>
      </c>
      <c r="D2387" s="3" t="str">
        <f ca="1">IF(B2387="","",IFERROR(_xludf.XLOOKUP(_xludf.XLOOKUP(B2387,Inventory!$A:$A,Inventory!$B:$B),Blades!$A:$A,Blades!$C:$C)+_xludf.XLOOKUP(_xludf.XLOOKUP(B2387,Inventory!$A:$A,Inventory!$C:$C),Motor!$A:$A,Motor!$C:$C)+_xludf.XLOOKUP(_xludf.XLOOKUP(B2387,Inventory!$A:$A,Inventory!$D:$D),Frame!$A:$A,Frame!$C:$C)+#REF!,""))</f>
        <v/>
      </c>
      <c r="E2387" s="4">
        <v>45874</v>
      </c>
      <c r="F2387" s="1" t="s">
        <v>11</v>
      </c>
    </row>
    <row r="2388" spans="1:6" x14ac:dyDescent="0.25">
      <c r="A2388" s="1" t="s">
        <v>4786</v>
      </c>
      <c r="B2388" s="1" t="s">
        <v>4787</v>
      </c>
      <c r="C2388" s="3">
        <v>200</v>
      </c>
      <c r="D2388" s="3" t="str">
        <f ca="1">IF(B2388="","",IFERROR(_xludf.XLOOKUP(_xludf.XLOOKUP(B2388,Inventory!$A:$A,Inventory!$B:$B),Blades!$A:$A,Blades!$C:$C)+_xludf.XLOOKUP(_xludf.XLOOKUP(B2388,Inventory!$A:$A,Inventory!$C:$C),Motor!$A:$A,Motor!$C:$C)+_xludf.XLOOKUP(_xludf.XLOOKUP(B2388,Inventory!$A:$A,Inventory!$D:$D),Frame!$A:$A,Frame!$C:$C)+#REF!,""))</f>
        <v/>
      </c>
      <c r="E2388" s="4">
        <v>45875</v>
      </c>
      <c r="F2388" s="1" t="s">
        <v>52</v>
      </c>
    </row>
    <row r="2389" spans="1:6" x14ac:dyDescent="0.25">
      <c r="A2389" s="1" t="s">
        <v>4788</v>
      </c>
      <c r="B2389" s="1" t="s">
        <v>4789</v>
      </c>
      <c r="C2389" s="3">
        <v>200</v>
      </c>
      <c r="D2389" s="3" t="str">
        <f ca="1">IF(B2389="","",IFERROR(_xludf.XLOOKUP(_xludf.XLOOKUP(B2389,Inventory!$A:$A,Inventory!$B:$B),Blades!$A:$A,Blades!$C:$C)+_xludf.XLOOKUP(_xludf.XLOOKUP(B2389,Inventory!$A:$A,Inventory!$C:$C),Motor!$A:$A,Motor!$C:$C)+_xludf.XLOOKUP(_xludf.XLOOKUP(B2389,Inventory!$A:$A,Inventory!$D:$D),Frame!$A:$A,Frame!$C:$C)+#REF!,""))</f>
        <v/>
      </c>
      <c r="E2389" s="4">
        <v>45876</v>
      </c>
      <c r="F2389" s="1" t="s">
        <v>52</v>
      </c>
    </row>
    <row r="2390" spans="1:6" x14ac:dyDescent="0.25">
      <c r="A2390" s="1" t="s">
        <v>4790</v>
      </c>
      <c r="B2390" s="1" t="s">
        <v>4791</v>
      </c>
      <c r="C2390" s="3">
        <v>200</v>
      </c>
      <c r="D2390" s="3" t="str">
        <f ca="1">IF(B2390="","",IFERROR(_xludf.XLOOKUP(_xludf.XLOOKUP(B2390,Inventory!$A:$A,Inventory!$B:$B),Blades!$A:$A,Blades!$C:$C)+_xludf.XLOOKUP(_xludf.XLOOKUP(B2390,Inventory!$A:$A,Inventory!$C:$C),Motor!$A:$A,Motor!$C:$C)+_xludf.XLOOKUP(_xludf.XLOOKUP(B2390,Inventory!$A:$A,Inventory!$D:$D),Frame!$A:$A,Frame!$C:$C)+#REF!,""))</f>
        <v/>
      </c>
      <c r="E2390" s="4">
        <v>45876</v>
      </c>
      <c r="F2390" s="1" t="s">
        <v>63</v>
      </c>
    </row>
    <row r="2391" spans="1:6" x14ac:dyDescent="0.25">
      <c r="A2391" s="1" t="s">
        <v>4792</v>
      </c>
      <c r="B2391" s="1" t="s">
        <v>4793</v>
      </c>
      <c r="C2391" s="3">
        <v>200</v>
      </c>
      <c r="D2391" s="3" t="str">
        <f ca="1">IF(B2391="","",IFERROR(_xludf.XLOOKUP(_xludf.XLOOKUP(B2391,Inventory!$A:$A,Inventory!$B:$B),Blades!$A:$A,Blades!$C:$C)+_xludf.XLOOKUP(_xludf.XLOOKUP(B2391,Inventory!$A:$A,Inventory!$C:$C),Motor!$A:$A,Motor!$C:$C)+_xludf.XLOOKUP(_xludf.XLOOKUP(B2391,Inventory!$A:$A,Inventory!$D:$D),Frame!$A:$A,Frame!$C:$C)+#REF!,""))</f>
        <v/>
      </c>
      <c r="E2391" s="4">
        <v>45877</v>
      </c>
      <c r="F2391" s="1" t="s">
        <v>11</v>
      </c>
    </row>
    <row r="2392" spans="1:6" x14ac:dyDescent="0.25">
      <c r="A2392" s="1" t="s">
        <v>4794</v>
      </c>
      <c r="B2392" s="1" t="s">
        <v>4795</v>
      </c>
      <c r="C2392" s="3">
        <v>200</v>
      </c>
      <c r="D2392" s="3" t="str">
        <f ca="1">IF(B2392="","",IFERROR(_xludf.XLOOKUP(_xludf.XLOOKUP(B2392,Inventory!$A:$A,Inventory!$B:$B),Blades!$A:$A,Blades!$C:$C)+_xludf.XLOOKUP(_xludf.XLOOKUP(B2392,Inventory!$A:$A,Inventory!$C:$C),Motor!$A:$A,Motor!$C:$C)+_xludf.XLOOKUP(_xludf.XLOOKUP(B2392,Inventory!$A:$A,Inventory!$D:$D),Frame!$A:$A,Frame!$C:$C)+#REF!,""))</f>
        <v/>
      </c>
      <c r="E2392" s="4">
        <v>45878</v>
      </c>
      <c r="F2392" s="1" t="s">
        <v>52</v>
      </c>
    </row>
    <row r="2393" spans="1:6" x14ac:dyDescent="0.25">
      <c r="A2393" s="1" t="s">
        <v>4796</v>
      </c>
      <c r="B2393" s="1" t="s">
        <v>4797</v>
      </c>
      <c r="C2393" s="3">
        <v>200</v>
      </c>
      <c r="D2393" s="3" t="str">
        <f ca="1">IF(B2393="","",IFERROR(_xludf.XLOOKUP(_xludf.XLOOKUP(B2393,Inventory!$A:$A,Inventory!$B:$B),Blades!$A:$A,Blades!$C:$C)+_xludf.XLOOKUP(_xludf.XLOOKUP(B2393,Inventory!$A:$A,Inventory!$C:$C),Motor!$A:$A,Motor!$C:$C)+_xludf.XLOOKUP(_xludf.XLOOKUP(B2393,Inventory!$A:$A,Inventory!$D:$D),Frame!$A:$A,Frame!$C:$C)+#REF!,""))</f>
        <v/>
      </c>
      <c r="E2393" s="4">
        <v>45878</v>
      </c>
      <c r="F2393" s="1" t="s">
        <v>8</v>
      </c>
    </row>
    <row r="2394" spans="1:6" x14ac:dyDescent="0.25">
      <c r="A2394" s="1" t="s">
        <v>4798</v>
      </c>
      <c r="B2394" s="1" t="s">
        <v>4799</v>
      </c>
      <c r="C2394" s="3">
        <v>200</v>
      </c>
      <c r="D2394" s="3" t="str">
        <f ca="1">IF(B2394="","",IFERROR(_xludf.XLOOKUP(_xludf.XLOOKUP(B2394,Inventory!$A:$A,Inventory!$B:$B),Blades!$A:$A,Blades!$C:$C)+_xludf.XLOOKUP(_xludf.XLOOKUP(B2394,Inventory!$A:$A,Inventory!$C:$C),Motor!$A:$A,Motor!$C:$C)+_xludf.XLOOKUP(_xludf.XLOOKUP(B2394,Inventory!$A:$A,Inventory!$D:$D),Frame!$A:$A,Frame!$C:$C)+#REF!,""))</f>
        <v/>
      </c>
      <c r="E2394" s="4">
        <v>45879</v>
      </c>
      <c r="F2394" s="1" t="s">
        <v>11</v>
      </c>
    </row>
    <row r="2395" spans="1:6" x14ac:dyDescent="0.25">
      <c r="A2395" s="1" t="s">
        <v>4800</v>
      </c>
      <c r="B2395" s="1" t="s">
        <v>4801</v>
      </c>
      <c r="C2395" s="3">
        <v>200</v>
      </c>
      <c r="D2395" s="3" t="str">
        <f ca="1">IF(B2395="","",IFERROR(_xludf.XLOOKUP(_xludf.XLOOKUP(B2395,Inventory!$A:$A,Inventory!$B:$B),Blades!$A:$A,Blades!$C:$C)+_xludf.XLOOKUP(_xludf.XLOOKUP(B2395,Inventory!$A:$A,Inventory!$C:$C),Motor!$A:$A,Motor!$C:$C)+_xludf.XLOOKUP(_xludf.XLOOKUP(B2395,Inventory!$A:$A,Inventory!$D:$D),Frame!$A:$A,Frame!$C:$C)+#REF!,""))</f>
        <v/>
      </c>
      <c r="E2395" s="4">
        <v>45879</v>
      </c>
      <c r="F2395" s="1" t="s">
        <v>52</v>
      </c>
    </row>
    <row r="2396" spans="1:6" x14ac:dyDescent="0.25">
      <c r="A2396" s="1" t="s">
        <v>4802</v>
      </c>
      <c r="B2396" s="1" t="s">
        <v>4803</v>
      </c>
      <c r="C2396" s="3">
        <v>200</v>
      </c>
      <c r="D2396" s="3" t="str">
        <f ca="1">IF(B2396="","",IFERROR(_xludf.XLOOKUP(_xludf.XLOOKUP(B2396,Inventory!$A:$A,Inventory!$B:$B),Blades!$A:$A,Blades!$C:$C)+_xludf.XLOOKUP(_xludf.XLOOKUP(B2396,Inventory!$A:$A,Inventory!$C:$C),Motor!$A:$A,Motor!$C:$C)+_xludf.XLOOKUP(_xludf.XLOOKUP(B2396,Inventory!$A:$A,Inventory!$D:$D),Frame!$A:$A,Frame!$C:$C)+#REF!,""))</f>
        <v/>
      </c>
      <c r="E2396" s="4">
        <v>45879</v>
      </c>
      <c r="F2396" s="1" t="s">
        <v>63</v>
      </c>
    </row>
    <row r="2397" spans="1:6" x14ac:dyDescent="0.25">
      <c r="A2397" s="1" t="s">
        <v>4804</v>
      </c>
      <c r="B2397" s="1" t="s">
        <v>4805</v>
      </c>
      <c r="C2397" s="3">
        <v>200</v>
      </c>
      <c r="D2397" s="3" t="str">
        <f ca="1">IF(B2397="","",IFERROR(_xludf.XLOOKUP(_xludf.XLOOKUP(B2397,Inventory!$A:$A,Inventory!$B:$B),Blades!$A:$A,Blades!$C:$C)+_xludf.XLOOKUP(_xludf.XLOOKUP(B2397,Inventory!$A:$A,Inventory!$C:$C),Motor!$A:$A,Motor!$C:$C)+_xludf.XLOOKUP(_xludf.XLOOKUP(B2397,Inventory!$A:$A,Inventory!$D:$D),Frame!$A:$A,Frame!$C:$C)+#REF!,""))</f>
        <v/>
      </c>
      <c r="E2397" s="4">
        <v>45880</v>
      </c>
      <c r="F2397" s="1" t="s">
        <v>11</v>
      </c>
    </row>
    <row r="2398" spans="1:6" x14ac:dyDescent="0.25">
      <c r="A2398" s="1" t="s">
        <v>4806</v>
      </c>
      <c r="B2398" s="1" t="s">
        <v>4807</v>
      </c>
      <c r="C2398" s="3">
        <v>200</v>
      </c>
      <c r="D2398" s="3" t="str">
        <f ca="1">IF(B2398="","",IFERROR(_xludf.XLOOKUP(_xludf.XLOOKUP(B2398,Inventory!$A:$A,Inventory!$B:$B),Blades!$A:$A,Blades!$C:$C)+_xludf.XLOOKUP(_xludf.XLOOKUP(B2398,Inventory!$A:$A,Inventory!$C:$C),Motor!$A:$A,Motor!$C:$C)+_xludf.XLOOKUP(_xludf.XLOOKUP(B2398,Inventory!$A:$A,Inventory!$D:$D),Frame!$A:$A,Frame!$C:$C)+#REF!,""))</f>
        <v/>
      </c>
      <c r="E2398" s="4">
        <v>45881</v>
      </c>
      <c r="F2398" s="1" t="s">
        <v>8</v>
      </c>
    </row>
    <row r="2399" spans="1:6" x14ac:dyDescent="0.25">
      <c r="A2399" s="1" t="s">
        <v>4808</v>
      </c>
      <c r="B2399" s="1" t="s">
        <v>4809</v>
      </c>
      <c r="C2399" s="3">
        <v>200</v>
      </c>
      <c r="D2399" s="3" t="str">
        <f ca="1">IF(B2399="","",IFERROR(_xludf.XLOOKUP(_xludf.XLOOKUP(B2399,Inventory!$A:$A,Inventory!$B:$B),Blades!$A:$A,Blades!$C:$C)+_xludf.XLOOKUP(_xludf.XLOOKUP(B2399,Inventory!$A:$A,Inventory!$C:$C),Motor!$A:$A,Motor!$C:$C)+_xludf.XLOOKUP(_xludf.XLOOKUP(B2399,Inventory!$A:$A,Inventory!$D:$D),Frame!$A:$A,Frame!$C:$C)+#REF!,""))</f>
        <v/>
      </c>
      <c r="E2399" s="4">
        <v>45881</v>
      </c>
      <c r="F2399" s="1" t="s">
        <v>63</v>
      </c>
    </row>
    <row r="2400" spans="1:6" x14ac:dyDescent="0.25">
      <c r="A2400" s="1" t="s">
        <v>4810</v>
      </c>
      <c r="B2400" s="1" t="s">
        <v>4811</v>
      </c>
      <c r="C2400" s="3">
        <v>200</v>
      </c>
      <c r="D2400" s="3" t="str">
        <f ca="1">IF(B2400="","",IFERROR(_xludf.XLOOKUP(_xludf.XLOOKUP(B2400,Inventory!$A:$A,Inventory!$B:$B),Blades!$A:$A,Blades!$C:$C)+_xludf.XLOOKUP(_xludf.XLOOKUP(B2400,Inventory!$A:$A,Inventory!$C:$C),Motor!$A:$A,Motor!$C:$C)+_xludf.XLOOKUP(_xludf.XLOOKUP(B2400,Inventory!$A:$A,Inventory!$D:$D),Frame!$A:$A,Frame!$C:$C)+#REF!,""))</f>
        <v/>
      </c>
      <c r="E2400" s="4">
        <v>45882</v>
      </c>
      <c r="F2400" s="1" t="s">
        <v>63</v>
      </c>
    </row>
    <row r="2401" spans="1:6" x14ac:dyDescent="0.25">
      <c r="A2401" s="1" t="s">
        <v>4812</v>
      </c>
      <c r="B2401" s="1" t="s">
        <v>4813</v>
      </c>
      <c r="C2401" s="3">
        <v>200</v>
      </c>
      <c r="D2401" s="3" t="str">
        <f ca="1">IF(B2401="","",IFERROR(_xludf.XLOOKUP(_xludf.XLOOKUP(B2401,Inventory!$A:$A,Inventory!$B:$B),Blades!$A:$A,Blades!$C:$C)+_xludf.XLOOKUP(_xludf.XLOOKUP(B2401,Inventory!$A:$A,Inventory!$C:$C),Motor!$A:$A,Motor!$C:$C)+_xludf.XLOOKUP(_xludf.XLOOKUP(B2401,Inventory!$A:$A,Inventory!$D:$D),Frame!$A:$A,Frame!$C:$C)+#REF!,""))</f>
        <v/>
      </c>
      <c r="E2401" s="4">
        <v>45882</v>
      </c>
      <c r="F2401" s="1" t="s">
        <v>52</v>
      </c>
    </row>
    <row r="2402" spans="1:6" x14ac:dyDescent="0.25">
      <c r="A2402" s="1" t="s">
        <v>4814</v>
      </c>
      <c r="B2402" s="1" t="s">
        <v>4815</v>
      </c>
      <c r="C2402" s="3">
        <v>200</v>
      </c>
      <c r="D2402" s="3" t="str">
        <f ca="1">IF(B2402="","",IFERROR(_xludf.XLOOKUP(_xludf.XLOOKUP(B2402,Inventory!$A:$A,Inventory!$B:$B),Blades!$A:$A,Blades!$C:$C)+_xludf.XLOOKUP(_xludf.XLOOKUP(B2402,Inventory!$A:$A,Inventory!$C:$C),Motor!$A:$A,Motor!$C:$C)+_xludf.XLOOKUP(_xludf.XLOOKUP(B2402,Inventory!$A:$A,Inventory!$D:$D),Frame!$A:$A,Frame!$C:$C)+#REF!,""))</f>
        <v/>
      </c>
      <c r="E2402" s="4">
        <v>45882</v>
      </c>
      <c r="F2402" s="1" t="s">
        <v>8</v>
      </c>
    </row>
    <row r="2403" spans="1:6" x14ac:dyDescent="0.25">
      <c r="A2403" s="1" t="s">
        <v>4816</v>
      </c>
      <c r="B2403" s="1" t="s">
        <v>4817</v>
      </c>
      <c r="C2403" s="3">
        <v>200</v>
      </c>
      <c r="D2403" s="3" t="str">
        <f ca="1">IF(B2403="","",IFERROR(_xludf.XLOOKUP(_xludf.XLOOKUP(B2403,Inventory!$A:$A,Inventory!$B:$B),Blades!$A:$A,Blades!$C:$C)+_xludf.XLOOKUP(_xludf.XLOOKUP(B2403,Inventory!$A:$A,Inventory!$C:$C),Motor!$A:$A,Motor!$C:$C)+_xludf.XLOOKUP(_xludf.XLOOKUP(B2403,Inventory!$A:$A,Inventory!$D:$D),Frame!$A:$A,Frame!$C:$C)+#REF!,""))</f>
        <v/>
      </c>
      <c r="E2403" s="4">
        <v>45884</v>
      </c>
      <c r="F2403" s="1" t="s">
        <v>25</v>
      </c>
    </row>
    <row r="2404" spans="1:6" x14ac:dyDescent="0.25">
      <c r="A2404" s="1" t="s">
        <v>4818</v>
      </c>
      <c r="B2404" s="1" t="s">
        <v>4819</v>
      </c>
      <c r="C2404" s="3">
        <v>200</v>
      </c>
      <c r="D2404" s="3" t="str">
        <f ca="1">IF(B2404="","",IFERROR(_xludf.XLOOKUP(_xludf.XLOOKUP(B2404,Inventory!$A:$A,Inventory!$B:$B),Blades!$A:$A,Blades!$C:$C)+_xludf.XLOOKUP(_xludf.XLOOKUP(B2404,Inventory!$A:$A,Inventory!$C:$C),Motor!$A:$A,Motor!$C:$C)+_xludf.XLOOKUP(_xludf.XLOOKUP(B2404,Inventory!$A:$A,Inventory!$D:$D),Frame!$A:$A,Frame!$C:$C)+#REF!,""))</f>
        <v/>
      </c>
      <c r="E2404" s="4">
        <v>45884</v>
      </c>
      <c r="F2404" s="1" t="s">
        <v>32</v>
      </c>
    </row>
    <row r="2405" spans="1:6" x14ac:dyDescent="0.25">
      <c r="A2405" s="1" t="s">
        <v>4820</v>
      </c>
      <c r="B2405" s="1" t="s">
        <v>4821</v>
      </c>
      <c r="C2405" s="3">
        <v>200</v>
      </c>
      <c r="D2405" s="3" t="str">
        <f ca="1">IF(B2405="","",IFERROR(_xludf.XLOOKUP(_xludf.XLOOKUP(B2405,Inventory!$A:$A,Inventory!$B:$B),Blades!$A:$A,Blades!$C:$C)+_xludf.XLOOKUP(_xludf.XLOOKUP(B2405,Inventory!$A:$A,Inventory!$C:$C),Motor!$A:$A,Motor!$C:$C)+_xludf.XLOOKUP(_xludf.XLOOKUP(B2405,Inventory!$A:$A,Inventory!$D:$D),Frame!$A:$A,Frame!$C:$C)+#REF!,""))</f>
        <v/>
      </c>
      <c r="E2405" s="4">
        <v>45885</v>
      </c>
      <c r="F2405" s="1" t="s">
        <v>11</v>
      </c>
    </row>
    <row r="2406" spans="1:6" x14ac:dyDescent="0.25">
      <c r="A2406" s="1" t="s">
        <v>4822</v>
      </c>
      <c r="B2406" s="1" t="s">
        <v>4823</v>
      </c>
      <c r="C2406" s="3">
        <v>200</v>
      </c>
      <c r="D2406" s="3" t="str">
        <f ca="1">IF(B2406="","",IFERROR(_xludf.XLOOKUP(_xludf.XLOOKUP(B2406,Inventory!$A:$A,Inventory!$B:$B),Blades!$A:$A,Blades!$C:$C)+_xludf.XLOOKUP(_xludf.XLOOKUP(B2406,Inventory!$A:$A,Inventory!$C:$C),Motor!$A:$A,Motor!$C:$C)+_xludf.XLOOKUP(_xludf.XLOOKUP(B2406,Inventory!$A:$A,Inventory!$D:$D),Frame!$A:$A,Frame!$C:$C)+#REF!,""))</f>
        <v/>
      </c>
      <c r="E2406" s="4">
        <v>45885</v>
      </c>
      <c r="F2406" s="1" t="s">
        <v>32</v>
      </c>
    </row>
    <row r="2407" spans="1:6" x14ac:dyDescent="0.25">
      <c r="A2407" s="1" t="s">
        <v>4824</v>
      </c>
      <c r="B2407" s="1" t="s">
        <v>4825</v>
      </c>
      <c r="C2407" s="3">
        <v>200</v>
      </c>
      <c r="D2407" s="3" t="str">
        <f ca="1">IF(B2407="","",IFERROR(_xludf.XLOOKUP(_xludf.XLOOKUP(B2407,Inventory!$A:$A,Inventory!$B:$B),Blades!$A:$A,Blades!$C:$C)+_xludf.XLOOKUP(_xludf.XLOOKUP(B2407,Inventory!$A:$A,Inventory!$C:$C),Motor!$A:$A,Motor!$C:$C)+_xludf.XLOOKUP(_xludf.XLOOKUP(B2407,Inventory!$A:$A,Inventory!$D:$D),Frame!$A:$A,Frame!$C:$C)+#REF!,""))</f>
        <v/>
      </c>
      <c r="E2407" s="4">
        <v>45888</v>
      </c>
      <c r="F2407" s="1" t="s">
        <v>63</v>
      </c>
    </row>
    <row r="2408" spans="1:6" x14ac:dyDescent="0.25">
      <c r="A2408" s="1" t="s">
        <v>4826</v>
      </c>
      <c r="B2408" s="1" t="s">
        <v>4827</v>
      </c>
      <c r="C2408" s="3">
        <v>200</v>
      </c>
      <c r="D2408" s="3" t="str">
        <f ca="1">IF(B2408="","",IFERROR(_xludf.XLOOKUP(_xludf.XLOOKUP(B2408,Inventory!$A:$A,Inventory!$B:$B),Blades!$A:$A,Blades!$C:$C)+_xludf.XLOOKUP(_xludf.XLOOKUP(B2408,Inventory!$A:$A,Inventory!$C:$C),Motor!$A:$A,Motor!$C:$C)+_xludf.XLOOKUP(_xludf.XLOOKUP(B2408,Inventory!$A:$A,Inventory!$D:$D),Frame!$A:$A,Frame!$C:$C)+#REF!,""))</f>
        <v/>
      </c>
      <c r="E2408" s="4">
        <v>45888</v>
      </c>
      <c r="F2408" s="1" t="s">
        <v>11</v>
      </c>
    </row>
    <row r="2409" spans="1:6" x14ac:dyDescent="0.25">
      <c r="A2409" s="1" t="s">
        <v>4828</v>
      </c>
      <c r="B2409" s="1" t="s">
        <v>4829</v>
      </c>
      <c r="C2409" s="3">
        <v>200</v>
      </c>
      <c r="D2409" s="3" t="str">
        <f ca="1">IF(B2409="","",IFERROR(_xludf.XLOOKUP(_xludf.XLOOKUP(B2409,Inventory!$A:$A,Inventory!$B:$B),Blades!$A:$A,Blades!$C:$C)+_xludf.XLOOKUP(_xludf.XLOOKUP(B2409,Inventory!$A:$A,Inventory!$C:$C),Motor!$A:$A,Motor!$C:$C)+_xludf.XLOOKUP(_xludf.XLOOKUP(B2409,Inventory!$A:$A,Inventory!$D:$D),Frame!$A:$A,Frame!$C:$C)+#REF!,""))</f>
        <v/>
      </c>
      <c r="E2409" s="4">
        <v>45889</v>
      </c>
      <c r="F2409" s="1" t="s">
        <v>32</v>
      </c>
    </row>
    <row r="2410" spans="1:6" x14ac:dyDescent="0.25">
      <c r="A2410" s="1" t="s">
        <v>4830</v>
      </c>
      <c r="B2410" s="1" t="s">
        <v>4831</v>
      </c>
      <c r="C2410" s="3">
        <v>200</v>
      </c>
      <c r="D2410" s="3" t="str">
        <f ca="1">IF(B2410="","",IFERROR(_xludf.XLOOKUP(_xludf.XLOOKUP(B2410,Inventory!$A:$A,Inventory!$B:$B),Blades!$A:$A,Blades!$C:$C)+_xludf.XLOOKUP(_xludf.XLOOKUP(B2410,Inventory!$A:$A,Inventory!$C:$C),Motor!$A:$A,Motor!$C:$C)+_xludf.XLOOKUP(_xludf.XLOOKUP(B2410,Inventory!$A:$A,Inventory!$D:$D),Frame!$A:$A,Frame!$C:$C)+#REF!,""))</f>
        <v/>
      </c>
      <c r="E2410" s="4">
        <v>45890</v>
      </c>
      <c r="F2410" s="1" t="s">
        <v>32</v>
      </c>
    </row>
    <row r="2411" spans="1:6" x14ac:dyDescent="0.25">
      <c r="A2411" s="1" t="s">
        <v>4832</v>
      </c>
      <c r="B2411" s="1" t="s">
        <v>4833</v>
      </c>
      <c r="C2411" s="3">
        <v>200</v>
      </c>
      <c r="D2411" s="3" t="str">
        <f ca="1">IF(B2411="","",IFERROR(_xludf.XLOOKUP(_xludf.XLOOKUP(B2411,Inventory!$A:$A,Inventory!$B:$B),Blades!$A:$A,Blades!$C:$C)+_xludf.XLOOKUP(_xludf.XLOOKUP(B2411,Inventory!$A:$A,Inventory!$C:$C),Motor!$A:$A,Motor!$C:$C)+_xludf.XLOOKUP(_xludf.XLOOKUP(B2411,Inventory!$A:$A,Inventory!$D:$D),Frame!$A:$A,Frame!$C:$C)+#REF!,""))</f>
        <v/>
      </c>
      <c r="E2411" s="4">
        <v>45890</v>
      </c>
      <c r="F2411" s="1" t="s">
        <v>8</v>
      </c>
    </row>
    <row r="2412" spans="1:6" x14ac:dyDescent="0.25">
      <c r="A2412" s="1" t="s">
        <v>4834</v>
      </c>
      <c r="B2412" s="1" t="s">
        <v>4835</v>
      </c>
      <c r="C2412" s="3">
        <v>200</v>
      </c>
      <c r="D2412" s="3" t="str">
        <f ca="1">IF(B2412="","",IFERROR(_xludf.XLOOKUP(_xludf.XLOOKUP(B2412,Inventory!$A:$A,Inventory!$B:$B),Blades!$A:$A,Blades!$C:$C)+_xludf.XLOOKUP(_xludf.XLOOKUP(B2412,Inventory!$A:$A,Inventory!$C:$C),Motor!$A:$A,Motor!$C:$C)+_xludf.XLOOKUP(_xludf.XLOOKUP(B2412,Inventory!$A:$A,Inventory!$D:$D),Frame!$A:$A,Frame!$C:$C)+#REF!,""))</f>
        <v/>
      </c>
      <c r="E2412" s="4">
        <v>45891</v>
      </c>
      <c r="F2412" s="1" t="s">
        <v>63</v>
      </c>
    </row>
    <row r="2413" spans="1:6" x14ac:dyDescent="0.25">
      <c r="A2413" s="1" t="s">
        <v>4836</v>
      </c>
      <c r="B2413" s="1" t="s">
        <v>4837</v>
      </c>
      <c r="C2413" s="3">
        <v>200</v>
      </c>
      <c r="D2413" s="3" t="str">
        <f ca="1">IF(B2413="","",IFERROR(_xludf.XLOOKUP(_xludf.XLOOKUP(B2413,Inventory!$A:$A,Inventory!$B:$B),Blades!$A:$A,Blades!$C:$C)+_xludf.XLOOKUP(_xludf.XLOOKUP(B2413,Inventory!$A:$A,Inventory!$C:$C),Motor!$A:$A,Motor!$C:$C)+_xludf.XLOOKUP(_xludf.XLOOKUP(B2413,Inventory!$A:$A,Inventory!$D:$D),Frame!$A:$A,Frame!$C:$C)+#REF!,""))</f>
        <v/>
      </c>
      <c r="E2413" s="4">
        <v>45892</v>
      </c>
      <c r="F2413" s="1" t="s">
        <v>63</v>
      </c>
    </row>
    <row r="2414" spans="1:6" x14ac:dyDescent="0.25">
      <c r="A2414" s="1" t="s">
        <v>4838</v>
      </c>
      <c r="B2414" s="1" t="s">
        <v>4839</v>
      </c>
      <c r="C2414" s="3">
        <v>200</v>
      </c>
      <c r="D2414" s="3" t="str">
        <f ca="1">IF(B2414="","",IFERROR(_xludf.XLOOKUP(_xludf.XLOOKUP(B2414,Inventory!$A:$A,Inventory!$B:$B),Blades!$A:$A,Blades!$C:$C)+_xludf.XLOOKUP(_xludf.XLOOKUP(B2414,Inventory!$A:$A,Inventory!$C:$C),Motor!$A:$A,Motor!$C:$C)+_xludf.XLOOKUP(_xludf.XLOOKUP(B2414,Inventory!$A:$A,Inventory!$D:$D),Frame!$A:$A,Frame!$C:$C)+#REF!,""))</f>
        <v/>
      </c>
      <c r="E2414" s="4">
        <v>45892</v>
      </c>
      <c r="F2414" s="1" t="s">
        <v>49</v>
      </c>
    </row>
    <row r="2415" spans="1:6" x14ac:dyDescent="0.25">
      <c r="A2415" s="1" t="s">
        <v>4840</v>
      </c>
      <c r="B2415" s="1" t="s">
        <v>4841</v>
      </c>
      <c r="C2415" s="3">
        <v>200</v>
      </c>
      <c r="D2415" s="3" t="str">
        <f ca="1">IF(B2415="","",IFERROR(_xludf.XLOOKUP(_xludf.XLOOKUP(B2415,Inventory!$A:$A,Inventory!$B:$B),Blades!$A:$A,Blades!$C:$C)+_xludf.XLOOKUP(_xludf.XLOOKUP(B2415,Inventory!$A:$A,Inventory!$C:$C),Motor!$A:$A,Motor!$C:$C)+_xludf.XLOOKUP(_xludf.XLOOKUP(B2415,Inventory!$A:$A,Inventory!$D:$D),Frame!$A:$A,Frame!$C:$C)+#REF!,""))</f>
        <v/>
      </c>
      <c r="E2415" s="4">
        <v>45892</v>
      </c>
      <c r="F2415" s="1" t="s">
        <v>20</v>
      </c>
    </row>
    <row r="2416" spans="1:6" x14ac:dyDescent="0.25">
      <c r="A2416" s="1" t="s">
        <v>4842</v>
      </c>
      <c r="B2416" s="1" t="s">
        <v>4843</v>
      </c>
      <c r="C2416" s="3">
        <v>200</v>
      </c>
      <c r="D2416" s="3" t="str">
        <f ca="1">IF(B2416="","",IFERROR(_xludf.XLOOKUP(_xludf.XLOOKUP(B2416,Inventory!$A:$A,Inventory!$B:$B),Blades!$A:$A,Blades!$C:$C)+_xludf.XLOOKUP(_xludf.XLOOKUP(B2416,Inventory!$A:$A,Inventory!$C:$C),Motor!$A:$A,Motor!$C:$C)+_xludf.XLOOKUP(_xludf.XLOOKUP(B2416,Inventory!$A:$A,Inventory!$D:$D),Frame!$A:$A,Frame!$C:$C)+#REF!,""))</f>
        <v/>
      </c>
      <c r="E2416" s="4">
        <v>45893</v>
      </c>
      <c r="F2416" s="1" t="s">
        <v>20</v>
      </c>
    </row>
    <row r="2417" spans="1:6" x14ac:dyDescent="0.25">
      <c r="A2417" s="1" t="s">
        <v>4844</v>
      </c>
      <c r="B2417" s="1" t="s">
        <v>4845</v>
      </c>
      <c r="C2417" s="3">
        <v>200</v>
      </c>
      <c r="D2417" s="3" t="str">
        <f ca="1">IF(B2417="","",IFERROR(_xludf.XLOOKUP(_xludf.XLOOKUP(B2417,Inventory!$A:$A,Inventory!$B:$B),Blades!$A:$A,Blades!$C:$C)+_xludf.XLOOKUP(_xludf.XLOOKUP(B2417,Inventory!$A:$A,Inventory!$C:$C),Motor!$A:$A,Motor!$C:$C)+_xludf.XLOOKUP(_xludf.XLOOKUP(B2417,Inventory!$A:$A,Inventory!$D:$D),Frame!$A:$A,Frame!$C:$C)+#REF!,""))</f>
        <v/>
      </c>
      <c r="E2417" s="4">
        <v>45893</v>
      </c>
      <c r="F2417" s="1" t="s">
        <v>63</v>
      </c>
    </row>
    <row r="2418" spans="1:6" x14ac:dyDescent="0.25">
      <c r="A2418" s="1" t="s">
        <v>4846</v>
      </c>
      <c r="B2418" s="1" t="s">
        <v>4847</v>
      </c>
      <c r="C2418" s="3">
        <v>200</v>
      </c>
      <c r="D2418" s="3" t="str">
        <f ca="1">IF(B2418="","",IFERROR(_xludf.XLOOKUP(_xludf.XLOOKUP(B2418,Inventory!$A:$A,Inventory!$B:$B),Blades!$A:$A,Blades!$C:$C)+_xludf.XLOOKUP(_xludf.XLOOKUP(B2418,Inventory!$A:$A,Inventory!$C:$C),Motor!$A:$A,Motor!$C:$C)+_xludf.XLOOKUP(_xludf.XLOOKUP(B2418,Inventory!$A:$A,Inventory!$D:$D),Frame!$A:$A,Frame!$C:$C)+#REF!,""))</f>
        <v/>
      </c>
      <c r="E2418" s="4">
        <v>45894</v>
      </c>
      <c r="F2418" s="1" t="s">
        <v>63</v>
      </c>
    </row>
    <row r="2419" spans="1:6" x14ac:dyDescent="0.25">
      <c r="A2419" s="1" t="s">
        <v>4848</v>
      </c>
      <c r="B2419" s="1" t="s">
        <v>4849</v>
      </c>
      <c r="C2419" s="3">
        <v>200</v>
      </c>
      <c r="D2419" s="3" t="str">
        <f ca="1">IF(B2419="","",IFERROR(_xludf.XLOOKUP(_xludf.XLOOKUP(B2419,Inventory!$A:$A,Inventory!$B:$B),Blades!$A:$A,Blades!$C:$C)+_xludf.XLOOKUP(_xludf.XLOOKUP(B2419,Inventory!$A:$A,Inventory!$C:$C),Motor!$A:$A,Motor!$C:$C)+_xludf.XLOOKUP(_xludf.XLOOKUP(B2419,Inventory!$A:$A,Inventory!$D:$D),Frame!$A:$A,Frame!$C:$C)+#REF!,""))</f>
        <v/>
      </c>
      <c r="E2419" s="4">
        <v>45894</v>
      </c>
      <c r="F2419" s="1" t="s">
        <v>20</v>
      </c>
    </row>
    <row r="2420" spans="1:6" x14ac:dyDescent="0.25">
      <c r="A2420" s="1" t="s">
        <v>4850</v>
      </c>
      <c r="B2420" s="1" t="s">
        <v>4851</v>
      </c>
      <c r="C2420" s="3">
        <v>200</v>
      </c>
      <c r="D2420" s="3" t="str">
        <f ca="1">IF(B2420="","",IFERROR(_xludf.XLOOKUP(_xludf.XLOOKUP(B2420,Inventory!$A:$A,Inventory!$B:$B),Blades!$A:$A,Blades!$C:$C)+_xludf.XLOOKUP(_xludf.XLOOKUP(B2420,Inventory!$A:$A,Inventory!$C:$C),Motor!$A:$A,Motor!$C:$C)+_xludf.XLOOKUP(_xludf.XLOOKUP(B2420,Inventory!$A:$A,Inventory!$D:$D),Frame!$A:$A,Frame!$C:$C)+#REF!,""))</f>
        <v/>
      </c>
      <c r="E2420" s="4">
        <v>45894</v>
      </c>
      <c r="F2420" s="1" t="s">
        <v>52</v>
      </c>
    </row>
    <row r="2421" spans="1:6" x14ac:dyDescent="0.25">
      <c r="A2421" s="1" t="s">
        <v>4852</v>
      </c>
      <c r="B2421" s="1" t="s">
        <v>4853</v>
      </c>
      <c r="C2421" s="3">
        <v>200</v>
      </c>
      <c r="D2421" s="3" t="str">
        <f ca="1">IF(B2421="","",IFERROR(_xludf.XLOOKUP(_xludf.XLOOKUP(B2421,Inventory!$A:$A,Inventory!$B:$B),Blades!$A:$A,Blades!$C:$C)+_xludf.XLOOKUP(_xludf.XLOOKUP(B2421,Inventory!$A:$A,Inventory!$C:$C),Motor!$A:$A,Motor!$C:$C)+_xludf.XLOOKUP(_xludf.XLOOKUP(B2421,Inventory!$A:$A,Inventory!$D:$D),Frame!$A:$A,Frame!$C:$C)+#REF!,""))</f>
        <v/>
      </c>
      <c r="E2421" s="4">
        <v>45895</v>
      </c>
      <c r="F2421" s="1" t="s">
        <v>11</v>
      </c>
    </row>
    <row r="2422" spans="1:6" x14ac:dyDescent="0.25">
      <c r="A2422" s="1" t="s">
        <v>4854</v>
      </c>
      <c r="B2422" s="1" t="s">
        <v>4855</v>
      </c>
      <c r="C2422" s="3">
        <v>200</v>
      </c>
      <c r="D2422" s="3" t="str">
        <f ca="1">IF(B2422="","",IFERROR(_xludf.XLOOKUP(_xludf.XLOOKUP(B2422,Inventory!$A:$A,Inventory!$B:$B),Blades!$A:$A,Blades!$C:$C)+_xludf.XLOOKUP(_xludf.XLOOKUP(B2422,Inventory!$A:$A,Inventory!$C:$C),Motor!$A:$A,Motor!$C:$C)+_xludf.XLOOKUP(_xludf.XLOOKUP(B2422,Inventory!$A:$A,Inventory!$D:$D),Frame!$A:$A,Frame!$C:$C)+#REF!,""))</f>
        <v/>
      </c>
      <c r="E2422" s="4">
        <v>45896</v>
      </c>
      <c r="F2422" s="1" t="s">
        <v>8</v>
      </c>
    </row>
    <row r="2423" spans="1:6" x14ac:dyDescent="0.25">
      <c r="A2423" s="1" t="s">
        <v>4856</v>
      </c>
      <c r="B2423" s="1" t="s">
        <v>4857</v>
      </c>
      <c r="C2423" s="3">
        <v>200</v>
      </c>
      <c r="D2423" s="3" t="str">
        <f ca="1">IF(B2423="","",IFERROR(_xludf.XLOOKUP(_xludf.XLOOKUP(B2423,Inventory!$A:$A,Inventory!$B:$B),Blades!$A:$A,Blades!$C:$C)+_xludf.XLOOKUP(_xludf.XLOOKUP(B2423,Inventory!$A:$A,Inventory!$C:$C),Motor!$A:$A,Motor!$C:$C)+_xludf.XLOOKUP(_xludf.XLOOKUP(B2423,Inventory!$A:$A,Inventory!$D:$D),Frame!$A:$A,Frame!$C:$C)+#REF!,""))</f>
        <v/>
      </c>
      <c r="E2423" s="4">
        <v>45896</v>
      </c>
      <c r="F2423" s="1" t="s">
        <v>20</v>
      </c>
    </row>
    <row r="2424" spans="1:6" x14ac:dyDescent="0.25">
      <c r="A2424" s="1" t="s">
        <v>4858</v>
      </c>
      <c r="B2424" s="1" t="s">
        <v>4859</v>
      </c>
      <c r="C2424" s="3">
        <v>200</v>
      </c>
      <c r="D2424" s="3" t="str">
        <f ca="1">IF(B2424="","",IFERROR(_xludf.XLOOKUP(_xludf.XLOOKUP(B2424,Inventory!$A:$A,Inventory!$B:$B),Blades!$A:$A,Blades!$C:$C)+_xludf.XLOOKUP(_xludf.XLOOKUP(B2424,Inventory!$A:$A,Inventory!$C:$C),Motor!$A:$A,Motor!$C:$C)+_xludf.XLOOKUP(_xludf.XLOOKUP(B2424,Inventory!$A:$A,Inventory!$D:$D),Frame!$A:$A,Frame!$C:$C)+#REF!,""))</f>
        <v/>
      </c>
      <c r="E2424" s="4">
        <v>45897</v>
      </c>
      <c r="F2424" s="1" t="s">
        <v>63</v>
      </c>
    </row>
    <row r="2425" spans="1:6" x14ac:dyDescent="0.25">
      <c r="A2425" s="1" t="s">
        <v>4860</v>
      </c>
      <c r="B2425" s="1" t="s">
        <v>4861</v>
      </c>
      <c r="C2425" s="3">
        <v>200</v>
      </c>
      <c r="D2425" s="3" t="str">
        <f ca="1">IF(B2425="","",IFERROR(_xludf.XLOOKUP(_xludf.XLOOKUP(B2425,Inventory!$A:$A,Inventory!$B:$B),Blades!$A:$A,Blades!$C:$C)+_xludf.XLOOKUP(_xludf.XLOOKUP(B2425,Inventory!$A:$A,Inventory!$C:$C),Motor!$A:$A,Motor!$C:$C)+_xludf.XLOOKUP(_xludf.XLOOKUP(B2425,Inventory!$A:$A,Inventory!$D:$D),Frame!$A:$A,Frame!$C:$C)+#REF!,""))</f>
        <v/>
      </c>
      <c r="E2425" s="4">
        <v>45897</v>
      </c>
      <c r="F2425" s="1" t="s">
        <v>25</v>
      </c>
    </row>
    <row r="2426" spans="1:6" x14ac:dyDescent="0.25">
      <c r="A2426" s="1" t="s">
        <v>4862</v>
      </c>
      <c r="B2426" s="1" t="s">
        <v>4863</v>
      </c>
      <c r="C2426" s="3">
        <v>200</v>
      </c>
      <c r="D2426" s="3" t="str">
        <f ca="1">IF(B2426="","",IFERROR(_xludf.XLOOKUP(_xludf.XLOOKUP(B2426,Inventory!$A:$A,Inventory!$B:$B),Blades!$A:$A,Blades!$C:$C)+_xludf.XLOOKUP(_xludf.XLOOKUP(B2426,Inventory!$A:$A,Inventory!$C:$C),Motor!$A:$A,Motor!$C:$C)+_xludf.XLOOKUP(_xludf.XLOOKUP(B2426,Inventory!$A:$A,Inventory!$D:$D),Frame!$A:$A,Frame!$C:$C)+#REF!,""))</f>
        <v/>
      </c>
      <c r="E2426" s="4">
        <v>45899</v>
      </c>
      <c r="F2426" s="1" t="s">
        <v>63</v>
      </c>
    </row>
    <row r="2427" spans="1:6" x14ac:dyDescent="0.25">
      <c r="A2427" s="1" t="s">
        <v>4864</v>
      </c>
      <c r="B2427" s="1" t="s">
        <v>4865</v>
      </c>
      <c r="C2427" s="3">
        <v>200</v>
      </c>
      <c r="D2427" s="3" t="str">
        <f ca="1">IF(B2427="","",IFERROR(_xludf.XLOOKUP(_xludf.XLOOKUP(B2427,Inventory!$A:$A,Inventory!$B:$B),Blades!$A:$A,Blades!$C:$C)+_xludf.XLOOKUP(_xludf.XLOOKUP(B2427,Inventory!$A:$A,Inventory!$C:$C),Motor!$A:$A,Motor!$C:$C)+_xludf.XLOOKUP(_xludf.XLOOKUP(B2427,Inventory!$A:$A,Inventory!$D:$D),Frame!$A:$A,Frame!$C:$C)+#REF!,""))</f>
        <v/>
      </c>
      <c r="E2427" s="4">
        <v>45899</v>
      </c>
      <c r="F2427" s="1" t="s">
        <v>49</v>
      </c>
    </row>
    <row r="2428" spans="1:6" x14ac:dyDescent="0.25">
      <c r="A2428" s="1" t="s">
        <v>4866</v>
      </c>
      <c r="B2428" s="1" t="s">
        <v>4867</v>
      </c>
      <c r="C2428" s="3">
        <v>200</v>
      </c>
      <c r="D2428" s="3" t="str">
        <f ca="1">IF(B2428="","",IFERROR(_xludf.XLOOKUP(_xludf.XLOOKUP(B2428,Inventory!$A:$A,Inventory!$B:$B),Blades!$A:$A,Blades!$C:$C)+_xludf.XLOOKUP(_xludf.XLOOKUP(B2428,Inventory!$A:$A,Inventory!$C:$C),Motor!$A:$A,Motor!$C:$C)+_xludf.XLOOKUP(_xludf.XLOOKUP(B2428,Inventory!$A:$A,Inventory!$D:$D),Frame!$A:$A,Frame!$C:$C)+#REF!,""))</f>
        <v/>
      </c>
      <c r="E2428" s="4">
        <v>45899</v>
      </c>
      <c r="F2428" s="1" t="s">
        <v>32</v>
      </c>
    </row>
    <row r="2429" spans="1:6" x14ac:dyDescent="0.25">
      <c r="A2429" s="1" t="s">
        <v>4868</v>
      </c>
      <c r="B2429" s="1" t="s">
        <v>4869</v>
      </c>
      <c r="C2429" s="3">
        <v>200</v>
      </c>
      <c r="D2429" s="3" t="str">
        <f ca="1">IF(B2429="","",IFERROR(_xludf.XLOOKUP(_xludf.XLOOKUP(B2429,Inventory!$A:$A,Inventory!$B:$B),Blades!$A:$A,Blades!$C:$C)+_xludf.XLOOKUP(_xludf.XLOOKUP(B2429,Inventory!$A:$A,Inventory!$C:$C),Motor!$A:$A,Motor!$C:$C)+_xludf.XLOOKUP(_xludf.XLOOKUP(B2429,Inventory!$A:$A,Inventory!$D:$D),Frame!$A:$A,Frame!$C:$C)+#REF!,""))</f>
        <v/>
      </c>
      <c r="E2429" s="4">
        <v>45900</v>
      </c>
      <c r="F2429" s="1" t="s">
        <v>8</v>
      </c>
    </row>
    <row r="2430" spans="1:6" x14ac:dyDescent="0.25">
      <c r="A2430" s="1" t="s">
        <v>4870</v>
      </c>
      <c r="B2430" s="1" t="s">
        <v>4871</v>
      </c>
      <c r="C2430" s="3">
        <v>200</v>
      </c>
      <c r="D2430" s="3" t="str">
        <f ca="1">IF(B2430="","",IFERROR(_xludf.XLOOKUP(_xludf.XLOOKUP(B2430,Inventory!$A:$A,Inventory!$B:$B),Blades!$A:$A,Blades!$C:$C)+_xludf.XLOOKUP(_xludf.XLOOKUP(B2430,Inventory!$A:$A,Inventory!$C:$C),Motor!$A:$A,Motor!$C:$C)+_xludf.XLOOKUP(_xludf.XLOOKUP(B2430,Inventory!$A:$A,Inventory!$D:$D),Frame!$A:$A,Frame!$C:$C)+#REF!,""))</f>
        <v/>
      </c>
      <c r="E2430" s="4">
        <v>45900</v>
      </c>
      <c r="F2430" s="1" t="s">
        <v>63</v>
      </c>
    </row>
    <row r="2431" spans="1:6" x14ac:dyDescent="0.25">
      <c r="A2431" s="1" t="s">
        <v>4872</v>
      </c>
      <c r="B2431" s="1" t="s">
        <v>4873</v>
      </c>
      <c r="C2431" s="3">
        <v>200</v>
      </c>
      <c r="D2431" s="3" t="str">
        <f ca="1">IF(B2431="","",IFERROR(_xludf.XLOOKUP(_xludf.XLOOKUP(B2431,Inventory!$A:$A,Inventory!$B:$B),Blades!$A:$A,Blades!$C:$C)+_xludf.XLOOKUP(_xludf.XLOOKUP(B2431,Inventory!$A:$A,Inventory!$C:$C),Motor!$A:$A,Motor!$C:$C)+_xludf.XLOOKUP(_xludf.XLOOKUP(B2431,Inventory!$A:$A,Inventory!$D:$D),Frame!$A:$A,Frame!$C:$C)+#REF!,""))</f>
        <v/>
      </c>
      <c r="E2431" s="4">
        <v>45900</v>
      </c>
      <c r="F2431" s="1" t="s">
        <v>32</v>
      </c>
    </row>
    <row r="2432" spans="1:6" x14ac:dyDescent="0.25">
      <c r="A2432" s="1" t="s">
        <v>4874</v>
      </c>
      <c r="B2432" s="1" t="s">
        <v>4875</v>
      </c>
      <c r="C2432" s="3">
        <v>200</v>
      </c>
      <c r="D2432" s="3" t="str">
        <f ca="1">IF(B2432="","",IFERROR(_xludf.XLOOKUP(_xludf.XLOOKUP(B2432,Inventory!$A:$A,Inventory!$B:$B),Blades!$A:$A,Blades!$C:$C)+_xludf.XLOOKUP(_xludf.XLOOKUP(B2432,Inventory!$A:$A,Inventory!$C:$C),Motor!$A:$A,Motor!$C:$C)+_xludf.XLOOKUP(_xludf.XLOOKUP(B2432,Inventory!$A:$A,Inventory!$D:$D),Frame!$A:$A,Frame!$C:$C)+#REF!,""))</f>
        <v/>
      </c>
      <c r="E2432" s="4">
        <v>45900</v>
      </c>
      <c r="F2432" s="1" t="s">
        <v>49</v>
      </c>
    </row>
    <row r="2433" spans="1:6" x14ac:dyDescent="0.25">
      <c r="A2433" s="1" t="s">
        <v>4876</v>
      </c>
      <c r="B2433" s="1" t="s">
        <v>4877</v>
      </c>
      <c r="C2433" s="3">
        <v>200</v>
      </c>
      <c r="D2433" s="3" t="str">
        <f ca="1">IF(B2433="","",IFERROR(_xludf.XLOOKUP(_xludf.XLOOKUP(B2433,Inventory!$A:$A,Inventory!$B:$B),Blades!$A:$A,Blades!$C:$C)+_xludf.XLOOKUP(_xludf.XLOOKUP(B2433,Inventory!$A:$A,Inventory!$C:$C),Motor!$A:$A,Motor!$C:$C)+_xludf.XLOOKUP(_xludf.XLOOKUP(B2433,Inventory!$A:$A,Inventory!$D:$D),Frame!$A:$A,Frame!$C:$C)+#REF!,""))</f>
        <v/>
      </c>
      <c r="E2433" s="4">
        <v>45900</v>
      </c>
      <c r="F2433" s="1" t="s">
        <v>52</v>
      </c>
    </row>
    <row r="2434" spans="1:6" x14ac:dyDescent="0.25">
      <c r="A2434" s="1" t="s">
        <v>4878</v>
      </c>
      <c r="B2434" s="1" t="s">
        <v>4879</v>
      </c>
      <c r="C2434" s="3">
        <v>200</v>
      </c>
      <c r="D2434" s="3" t="str">
        <f ca="1">IF(B2434="","",IFERROR(_xludf.XLOOKUP(_xludf.XLOOKUP(B2434,Inventory!$A:$A,Inventory!$B:$B),Blades!$A:$A,Blades!$C:$C)+_xludf.XLOOKUP(_xludf.XLOOKUP(B2434,Inventory!$A:$A,Inventory!$C:$C),Motor!$A:$A,Motor!$C:$C)+_xludf.XLOOKUP(_xludf.XLOOKUP(B2434,Inventory!$A:$A,Inventory!$D:$D),Frame!$A:$A,Frame!$C:$C)+#REF!,""))</f>
        <v/>
      </c>
      <c r="E2434" s="4">
        <v>45901</v>
      </c>
      <c r="F2434" s="1" t="s">
        <v>49</v>
      </c>
    </row>
    <row r="2435" spans="1:6" x14ac:dyDescent="0.25">
      <c r="A2435" s="1" t="s">
        <v>4880</v>
      </c>
      <c r="B2435" s="1" t="s">
        <v>4881</v>
      </c>
      <c r="C2435" s="3">
        <v>200</v>
      </c>
      <c r="D2435" s="3" t="str">
        <f ca="1">IF(B2435="","",IFERROR(_xludf.XLOOKUP(_xludf.XLOOKUP(B2435,Inventory!$A:$A,Inventory!$B:$B),Blades!$A:$A,Blades!$C:$C)+_xludf.XLOOKUP(_xludf.XLOOKUP(B2435,Inventory!$A:$A,Inventory!$C:$C),Motor!$A:$A,Motor!$C:$C)+_xludf.XLOOKUP(_xludf.XLOOKUP(B2435,Inventory!$A:$A,Inventory!$D:$D),Frame!$A:$A,Frame!$C:$C)+#REF!,""))</f>
        <v/>
      </c>
      <c r="E2435" s="4">
        <v>45901</v>
      </c>
      <c r="F2435" s="1" t="s">
        <v>25</v>
      </c>
    </row>
    <row r="2436" spans="1:6" x14ac:dyDescent="0.25">
      <c r="A2436" s="1" t="s">
        <v>4882</v>
      </c>
      <c r="B2436" s="1" t="s">
        <v>4883</v>
      </c>
      <c r="C2436" s="3">
        <v>200</v>
      </c>
      <c r="D2436" s="3" t="str">
        <f ca="1">IF(B2436="","",IFERROR(_xludf.XLOOKUP(_xludf.XLOOKUP(B2436,Inventory!$A:$A,Inventory!$B:$B),Blades!$A:$A,Blades!$C:$C)+_xludf.XLOOKUP(_xludf.XLOOKUP(B2436,Inventory!$A:$A,Inventory!$C:$C),Motor!$A:$A,Motor!$C:$C)+_xludf.XLOOKUP(_xludf.XLOOKUP(B2436,Inventory!$A:$A,Inventory!$D:$D),Frame!$A:$A,Frame!$C:$C)+#REF!,""))</f>
        <v/>
      </c>
      <c r="E2436" s="4">
        <v>45902</v>
      </c>
      <c r="F2436" s="1" t="s">
        <v>8</v>
      </c>
    </row>
    <row r="2437" spans="1:6" x14ac:dyDescent="0.25">
      <c r="A2437" s="1" t="s">
        <v>4884</v>
      </c>
      <c r="B2437" s="1" t="s">
        <v>4885</v>
      </c>
      <c r="C2437" s="3">
        <v>200</v>
      </c>
      <c r="D2437" s="3" t="str">
        <f ca="1">IF(B2437="","",IFERROR(_xludf.XLOOKUP(_xludf.XLOOKUP(B2437,Inventory!$A:$A,Inventory!$B:$B),Blades!$A:$A,Blades!$C:$C)+_xludf.XLOOKUP(_xludf.XLOOKUP(B2437,Inventory!$A:$A,Inventory!$C:$C),Motor!$A:$A,Motor!$C:$C)+_xludf.XLOOKUP(_xludf.XLOOKUP(B2437,Inventory!$A:$A,Inventory!$D:$D),Frame!$A:$A,Frame!$C:$C)+#REF!,""))</f>
        <v/>
      </c>
      <c r="E2437" s="4">
        <v>45903</v>
      </c>
      <c r="F2437" s="1" t="s">
        <v>49</v>
      </c>
    </row>
    <row r="2438" spans="1:6" x14ac:dyDescent="0.25">
      <c r="A2438" s="1" t="s">
        <v>4886</v>
      </c>
      <c r="B2438" s="1" t="s">
        <v>4887</v>
      </c>
      <c r="C2438" s="3">
        <v>200</v>
      </c>
      <c r="D2438" s="3" t="str">
        <f ca="1">IF(B2438="","",IFERROR(_xludf.XLOOKUP(_xludf.XLOOKUP(B2438,Inventory!$A:$A,Inventory!$B:$B),Blades!$A:$A,Blades!$C:$C)+_xludf.XLOOKUP(_xludf.XLOOKUP(B2438,Inventory!$A:$A,Inventory!$C:$C),Motor!$A:$A,Motor!$C:$C)+_xludf.XLOOKUP(_xludf.XLOOKUP(B2438,Inventory!$A:$A,Inventory!$D:$D),Frame!$A:$A,Frame!$C:$C)+#REF!,""))</f>
        <v/>
      </c>
      <c r="E2438" s="4">
        <v>45903</v>
      </c>
      <c r="F2438" s="1" t="s">
        <v>49</v>
      </c>
    </row>
    <row r="2439" spans="1:6" x14ac:dyDescent="0.25">
      <c r="A2439" s="1" t="s">
        <v>4888</v>
      </c>
      <c r="B2439" s="1" t="s">
        <v>4889</v>
      </c>
      <c r="C2439" s="3">
        <v>200</v>
      </c>
      <c r="D2439" s="3" t="str">
        <f ca="1">IF(B2439="","",IFERROR(_xludf.XLOOKUP(_xludf.XLOOKUP(B2439,Inventory!$A:$A,Inventory!$B:$B),Blades!$A:$A,Blades!$C:$C)+_xludf.XLOOKUP(_xludf.XLOOKUP(B2439,Inventory!$A:$A,Inventory!$C:$C),Motor!$A:$A,Motor!$C:$C)+_xludf.XLOOKUP(_xludf.XLOOKUP(B2439,Inventory!$A:$A,Inventory!$D:$D),Frame!$A:$A,Frame!$C:$C)+#REF!,""))</f>
        <v/>
      </c>
      <c r="E2439" s="4">
        <v>45904</v>
      </c>
      <c r="F2439" s="1" t="s">
        <v>11</v>
      </c>
    </row>
    <row r="2440" spans="1:6" x14ac:dyDescent="0.25">
      <c r="A2440" s="1" t="s">
        <v>4890</v>
      </c>
      <c r="B2440" s="1" t="s">
        <v>4891</v>
      </c>
      <c r="C2440" s="3">
        <v>200</v>
      </c>
      <c r="D2440" s="3" t="str">
        <f ca="1">IF(B2440="","",IFERROR(_xludf.XLOOKUP(_xludf.XLOOKUP(B2440,Inventory!$A:$A,Inventory!$B:$B),Blades!$A:$A,Blades!$C:$C)+_xludf.XLOOKUP(_xludf.XLOOKUP(B2440,Inventory!$A:$A,Inventory!$C:$C),Motor!$A:$A,Motor!$C:$C)+_xludf.XLOOKUP(_xludf.XLOOKUP(B2440,Inventory!$A:$A,Inventory!$D:$D),Frame!$A:$A,Frame!$C:$C)+#REF!,""))</f>
        <v/>
      </c>
      <c r="E2440" s="4">
        <v>45905</v>
      </c>
      <c r="F2440" s="1" t="s">
        <v>11</v>
      </c>
    </row>
    <row r="2441" spans="1:6" x14ac:dyDescent="0.25">
      <c r="A2441" s="1" t="s">
        <v>4892</v>
      </c>
      <c r="B2441" s="1" t="s">
        <v>4893</v>
      </c>
      <c r="C2441" s="3">
        <v>200</v>
      </c>
      <c r="D2441" s="3" t="str">
        <f ca="1">IF(B2441="","",IFERROR(_xludf.XLOOKUP(_xludf.XLOOKUP(B2441,Inventory!$A:$A,Inventory!$B:$B),Blades!$A:$A,Blades!$C:$C)+_xludf.XLOOKUP(_xludf.XLOOKUP(B2441,Inventory!$A:$A,Inventory!$C:$C),Motor!$A:$A,Motor!$C:$C)+_xludf.XLOOKUP(_xludf.XLOOKUP(B2441,Inventory!$A:$A,Inventory!$D:$D),Frame!$A:$A,Frame!$C:$C)+#REF!,""))</f>
        <v/>
      </c>
      <c r="E2441" s="4">
        <v>45905</v>
      </c>
      <c r="F2441" s="1" t="s">
        <v>11</v>
      </c>
    </row>
    <row r="2442" spans="1:6" x14ac:dyDescent="0.25">
      <c r="A2442" s="1" t="s">
        <v>4894</v>
      </c>
      <c r="B2442" s="1" t="s">
        <v>4895</v>
      </c>
      <c r="C2442" s="3">
        <v>200</v>
      </c>
      <c r="D2442" s="3" t="str">
        <f ca="1">IF(B2442="","",IFERROR(_xludf.XLOOKUP(_xludf.XLOOKUP(B2442,Inventory!$A:$A,Inventory!$B:$B),Blades!$A:$A,Blades!$C:$C)+_xludf.XLOOKUP(_xludf.XLOOKUP(B2442,Inventory!$A:$A,Inventory!$C:$C),Motor!$A:$A,Motor!$C:$C)+_xludf.XLOOKUP(_xludf.XLOOKUP(B2442,Inventory!$A:$A,Inventory!$D:$D),Frame!$A:$A,Frame!$C:$C)+#REF!,""))</f>
        <v/>
      </c>
      <c r="E2442" s="4">
        <v>45905</v>
      </c>
      <c r="F2442" s="1" t="s">
        <v>52</v>
      </c>
    </row>
    <row r="2443" spans="1:6" x14ac:dyDescent="0.25">
      <c r="A2443" s="1" t="s">
        <v>4896</v>
      </c>
      <c r="B2443" s="1" t="s">
        <v>4897</v>
      </c>
      <c r="C2443" s="3">
        <v>200</v>
      </c>
      <c r="D2443" s="3" t="str">
        <f ca="1">IF(B2443="","",IFERROR(_xludf.XLOOKUP(_xludf.XLOOKUP(B2443,Inventory!$A:$A,Inventory!$B:$B),Blades!$A:$A,Blades!$C:$C)+_xludf.XLOOKUP(_xludf.XLOOKUP(B2443,Inventory!$A:$A,Inventory!$C:$C),Motor!$A:$A,Motor!$C:$C)+_xludf.XLOOKUP(_xludf.XLOOKUP(B2443,Inventory!$A:$A,Inventory!$D:$D),Frame!$A:$A,Frame!$C:$C)+#REF!,""))</f>
        <v/>
      </c>
      <c r="E2443" s="4">
        <v>45906</v>
      </c>
      <c r="F2443" s="1" t="s">
        <v>63</v>
      </c>
    </row>
    <row r="2444" spans="1:6" x14ac:dyDescent="0.25">
      <c r="A2444" s="1" t="s">
        <v>4898</v>
      </c>
      <c r="B2444" s="1" t="s">
        <v>4899</v>
      </c>
      <c r="C2444" s="3">
        <v>200</v>
      </c>
      <c r="D2444" s="3" t="str">
        <f ca="1">IF(B2444="","",IFERROR(_xludf.XLOOKUP(_xludf.XLOOKUP(B2444,Inventory!$A:$A,Inventory!$B:$B),Blades!$A:$A,Blades!$C:$C)+_xludf.XLOOKUP(_xludf.XLOOKUP(B2444,Inventory!$A:$A,Inventory!$C:$C),Motor!$A:$A,Motor!$C:$C)+_xludf.XLOOKUP(_xludf.XLOOKUP(B2444,Inventory!$A:$A,Inventory!$D:$D),Frame!$A:$A,Frame!$C:$C)+#REF!,""))</f>
        <v/>
      </c>
      <c r="E2444" s="4">
        <v>45907</v>
      </c>
      <c r="F2444" s="1" t="s">
        <v>32</v>
      </c>
    </row>
    <row r="2445" spans="1:6" x14ac:dyDescent="0.25">
      <c r="A2445" s="1" t="s">
        <v>4900</v>
      </c>
      <c r="B2445" s="1" t="s">
        <v>4901</v>
      </c>
      <c r="C2445" s="3">
        <v>200</v>
      </c>
      <c r="D2445" s="3" t="str">
        <f ca="1">IF(B2445="","",IFERROR(_xludf.XLOOKUP(_xludf.XLOOKUP(B2445,Inventory!$A:$A,Inventory!$B:$B),Blades!$A:$A,Blades!$C:$C)+_xludf.XLOOKUP(_xludf.XLOOKUP(B2445,Inventory!$A:$A,Inventory!$C:$C),Motor!$A:$A,Motor!$C:$C)+_xludf.XLOOKUP(_xludf.XLOOKUP(B2445,Inventory!$A:$A,Inventory!$D:$D),Frame!$A:$A,Frame!$C:$C)+#REF!,""))</f>
        <v/>
      </c>
      <c r="E2445" s="4">
        <v>45907</v>
      </c>
      <c r="F2445" s="1" t="s">
        <v>49</v>
      </c>
    </row>
    <row r="2446" spans="1:6" x14ac:dyDescent="0.25">
      <c r="A2446" s="1" t="s">
        <v>4902</v>
      </c>
      <c r="B2446" s="1" t="s">
        <v>4903</v>
      </c>
      <c r="C2446" s="3">
        <v>200</v>
      </c>
      <c r="D2446" s="3" t="str">
        <f ca="1">IF(B2446="","",IFERROR(_xludf.XLOOKUP(_xludf.XLOOKUP(B2446,Inventory!$A:$A,Inventory!$B:$B),Blades!$A:$A,Blades!$C:$C)+_xludf.XLOOKUP(_xludf.XLOOKUP(B2446,Inventory!$A:$A,Inventory!$C:$C),Motor!$A:$A,Motor!$C:$C)+_xludf.XLOOKUP(_xludf.XLOOKUP(B2446,Inventory!$A:$A,Inventory!$D:$D),Frame!$A:$A,Frame!$C:$C)+#REF!,""))</f>
        <v/>
      </c>
      <c r="E2446" s="4">
        <v>45908</v>
      </c>
      <c r="F2446" s="1" t="s">
        <v>20</v>
      </c>
    </row>
    <row r="2447" spans="1:6" x14ac:dyDescent="0.25">
      <c r="A2447" s="1" t="s">
        <v>4904</v>
      </c>
      <c r="B2447" s="1" t="s">
        <v>4905</v>
      </c>
      <c r="C2447" s="3">
        <v>200</v>
      </c>
      <c r="D2447" s="3" t="str">
        <f ca="1">IF(B2447="","",IFERROR(_xludf.XLOOKUP(_xludf.XLOOKUP(B2447,Inventory!$A:$A,Inventory!$B:$B),Blades!$A:$A,Blades!$C:$C)+_xludf.XLOOKUP(_xludf.XLOOKUP(B2447,Inventory!$A:$A,Inventory!$C:$C),Motor!$A:$A,Motor!$C:$C)+_xludf.XLOOKUP(_xludf.XLOOKUP(B2447,Inventory!$A:$A,Inventory!$D:$D),Frame!$A:$A,Frame!$C:$C)+#REF!,""))</f>
        <v/>
      </c>
      <c r="E2447" s="4">
        <v>45908</v>
      </c>
      <c r="F2447" s="1" t="s">
        <v>20</v>
      </c>
    </row>
    <row r="2448" spans="1:6" x14ac:dyDescent="0.25">
      <c r="A2448" s="1" t="s">
        <v>4906</v>
      </c>
      <c r="B2448" s="1" t="s">
        <v>4907</v>
      </c>
      <c r="C2448" s="3">
        <v>200</v>
      </c>
      <c r="D2448" s="3" t="str">
        <f ca="1">IF(B2448="","",IFERROR(_xludf.XLOOKUP(_xludf.XLOOKUP(B2448,Inventory!$A:$A,Inventory!$B:$B),Blades!$A:$A,Blades!$C:$C)+_xludf.XLOOKUP(_xludf.XLOOKUP(B2448,Inventory!$A:$A,Inventory!$C:$C),Motor!$A:$A,Motor!$C:$C)+_xludf.XLOOKUP(_xludf.XLOOKUP(B2448,Inventory!$A:$A,Inventory!$D:$D),Frame!$A:$A,Frame!$C:$C)+#REF!,""))</f>
        <v/>
      </c>
      <c r="E2448" s="4">
        <v>45909</v>
      </c>
      <c r="F2448" s="1" t="s">
        <v>63</v>
      </c>
    </row>
    <row r="2449" spans="1:6" x14ac:dyDescent="0.25">
      <c r="A2449" s="1" t="s">
        <v>4908</v>
      </c>
      <c r="B2449" s="1" t="s">
        <v>4909</v>
      </c>
      <c r="C2449" s="3">
        <v>200</v>
      </c>
      <c r="D2449" s="3" t="str">
        <f ca="1">IF(B2449="","",IFERROR(_xludf.XLOOKUP(_xludf.XLOOKUP(B2449,Inventory!$A:$A,Inventory!$B:$B),Blades!$A:$A,Blades!$C:$C)+_xludf.XLOOKUP(_xludf.XLOOKUP(B2449,Inventory!$A:$A,Inventory!$C:$C),Motor!$A:$A,Motor!$C:$C)+_xludf.XLOOKUP(_xludf.XLOOKUP(B2449,Inventory!$A:$A,Inventory!$D:$D),Frame!$A:$A,Frame!$C:$C)+#REF!,""))</f>
        <v/>
      </c>
      <c r="E2449" s="4">
        <v>45909</v>
      </c>
      <c r="F2449" s="1" t="s">
        <v>8</v>
      </c>
    </row>
    <row r="2450" spans="1:6" x14ac:dyDescent="0.25">
      <c r="A2450" s="1" t="s">
        <v>4910</v>
      </c>
      <c r="B2450" s="1" t="s">
        <v>4911</v>
      </c>
      <c r="C2450" s="3">
        <v>200</v>
      </c>
      <c r="D2450" s="3" t="str">
        <f ca="1">IF(B2450="","",IFERROR(_xludf.XLOOKUP(_xludf.XLOOKUP(B2450,Inventory!$A:$A,Inventory!$B:$B),Blades!$A:$A,Blades!$C:$C)+_xludf.XLOOKUP(_xludf.XLOOKUP(B2450,Inventory!$A:$A,Inventory!$C:$C),Motor!$A:$A,Motor!$C:$C)+_xludf.XLOOKUP(_xludf.XLOOKUP(B2450,Inventory!$A:$A,Inventory!$D:$D),Frame!$A:$A,Frame!$C:$C)+#REF!,""))</f>
        <v/>
      </c>
      <c r="E2450" s="4">
        <v>45910</v>
      </c>
      <c r="F2450" s="1" t="s">
        <v>49</v>
      </c>
    </row>
    <row r="2451" spans="1:6" x14ac:dyDescent="0.25">
      <c r="A2451" s="1" t="s">
        <v>4912</v>
      </c>
      <c r="B2451" s="1" t="s">
        <v>4913</v>
      </c>
      <c r="C2451" s="3">
        <v>200</v>
      </c>
      <c r="D2451" s="3" t="str">
        <f ca="1">IF(B2451="","",IFERROR(_xludf.XLOOKUP(_xludf.XLOOKUP(B2451,Inventory!$A:$A,Inventory!$B:$B),Blades!$A:$A,Blades!$C:$C)+_xludf.XLOOKUP(_xludf.XLOOKUP(B2451,Inventory!$A:$A,Inventory!$C:$C),Motor!$A:$A,Motor!$C:$C)+_xludf.XLOOKUP(_xludf.XLOOKUP(B2451,Inventory!$A:$A,Inventory!$D:$D),Frame!$A:$A,Frame!$C:$C)+#REF!,""))</f>
        <v/>
      </c>
      <c r="E2451" s="4">
        <v>45910</v>
      </c>
      <c r="F2451" s="1" t="s">
        <v>52</v>
      </c>
    </row>
    <row r="2452" spans="1:6" x14ac:dyDescent="0.25">
      <c r="A2452" s="1" t="s">
        <v>4914</v>
      </c>
      <c r="B2452" s="1" t="s">
        <v>4915</v>
      </c>
      <c r="C2452" s="3">
        <v>200</v>
      </c>
      <c r="D2452" s="3" t="str">
        <f ca="1">IF(B2452="","",IFERROR(_xludf.XLOOKUP(_xludf.XLOOKUP(B2452,Inventory!$A:$A,Inventory!$B:$B),Blades!$A:$A,Blades!$C:$C)+_xludf.XLOOKUP(_xludf.XLOOKUP(B2452,Inventory!$A:$A,Inventory!$C:$C),Motor!$A:$A,Motor!$C:$C)+_xludf.XLOOKUP(_xludf.XLOOKUP(B2452,Inventory!$A:$A,Inventory!$D:$D),Frame!$A:$A,Frame!$C:$C)+#REF!,""))</f>
        <v/>
      </c>
      <c r="E2452" s="4">
        <v>45911</v>
      </c>
      <c r="F2452" s="1" t="s">
        <v>25</v>
      </c>
    </row>
    <row r="2453" spans="1:6" x14ac:dyDescent="0.25">
      <c r="A2453" s="1" t="s">
        <v>4916</v>
      </c>
      <c r="B2453" s="1" t="s">
        <v>4917</v>
      </c>
      <c r="C2453" s="3">
        <v>200</v>
      </c>
      <c r="D2453" s="3" t="str">
        <f ca="1">IF(B2453="","",IFERROR(_xludf.XLOOKUP(_xludf.XLOOKUP(B2453,Inventory!$A:$A,Inventory!$B:$B),Blades!$A:$A,Blades!$C:$C)+_xludf.XLOOKUP(_xludf.XLOOKUP(B2453,Inventory!$A:$A,Inventory!$C:$C),Motor!$A:$A,Motor!$C:$C)+_xludf.XLOOKUP(_xludf.XLOOKUP(B2453,Inventory!$A:$A,Inventory!$D:$D),Frame!$A:$A,Frame!$C:$C)+#REF!,""))</f>
        <v/>
      </c>
      <c r="E2453" s="4">
        <v>45912</v>
      </c>
      <c r="F2453" s="1" t="s">
        <v>32</v>
      </c>
    </row>
    <row r="2454" spans="1:6" x14ac:dyDescent="0.25">
      <c r="A2454" s="1" t="s">
        <v>4918</v>
      </c>
      <c r="B2454" s="1" t="s">
        <v>4919</v>
      </c>
      <c r="C2454" s="3">
        <v>200</v>
      </c>
      <c r="D2454" s="3" t="str">
        <f ca="1">IF(B2454="","",IFERROR(_xludf.XLOOKUP(_xludf.XLOOKUP(B2454,Inventory!$A:$A,Inventory!$B:$B),Blades!$A:$A,Blades!$C:$C)+_xludf.XLOOKUP(_xludf.XLOOKUP(B2454,Inventory!$A:$A,Inventory!$C:$C),Motor!$A:$A,Motor!$C:$C)+_xludf.XLOOKUP(_xludf.XLOOKUP(B2454,Inventory!$A:$A,Inventory!$D:$D),Frame!$A:$A,Frame!$C:$C)+#REF!,""))</f>
        <v/>
      </c>
      <c r="E2454" s="4">
        <v>45912</v>
      </c>
      <c r="F2454" s="1" t="s">
        <v>49</v>
      </c>
    </row>
    <row r="2455" spans="1:6" x14ac:dyDescent="0.25">
      <c r="A2455" s="1" t="s">
        <v>4920</v>
      </c>
      <c r="B2455" s="1" t="s">
        <v>4921</v>
      </c>
      <c r="C2455" s="3">
        <v>200</v>
      </c>
      <c r="D2455" s="3" t="str">
        <f ca="1">IF(B2455="","",IFERROR(_xludf.XLOOKUP(_xludf.XLOOKUP(B2455,Inventory!$A:$A,Inventory!$B:$B),Blades!$A:$A,Blades!$C:$C)+_xludf.XLOOKUP(_xludf.XLOOKUP(B2455,Inventory!$A:$A,Inventory!$C:$C),Motor!$A:$A,Motor!$C:$C)+_xludf.XLOOKUP(_xludf.XLOOKUP(B2455,Inventory!$A:$A,Inventory!$D:$D),Frame!$A:$A,Frame!$C:$C)+#REF!,""))</f>
        <v/>
      </c>
      <c r="E2455" s="4">
        <v>45913</v>
      </c>
      <c r="F2455" s="1" t="s">
        <v>32</v>
      </c>
    </row>
    <row r="2456" spans="1:6" x14ac:dyDescent="0.25">
      <c r="A2456" s="1" t="s">
        <v>4922</v>
      </c>
      <c r="B2456" s="1" t="s">
        <v>4923</v>
      </c>
      <c r="C2456" s="3">
        <v>200</v>
      </c>
      <c r="D2456" s="3" t="str">
        <f ca="1">IF(B2456="","",IFERROR(_xludf.XLOOKUP(_xludf.XLOOKUP(B2456,Inventory!$A:$A,Inventory!$B:$B),Blades!$A:$A,Blades!$C:$C)+_xludf.XLOOKUP(_xludf.XLOOKUP(B2456,Inventory!$A:$A,Inventory!$C:$C),Motor!$A:$A,Motor!$C:$C)+_xludf.XLOOKUP(_xludf.XLOOKUP(B2456,Inventory!$A:$A,Inventory!$D:$D),Frame!$A:$A,Frame!$C:$C)+#REF!,""))</f>
        <v/>
      </c>
      <c r="E2456" s="4">
        <v>45913</v>
      </c>
      <c r="F2456" s="1" t="s">
        <v>52</v>
      </c>
    </row>
    <row r="2457" spans="1:6" x14ac:dyDescent="0.25">
      <c r="A2457" s="1" t="s">
        <v>4924</v>
      </c>
      <c r="B2457" s="1" t="s">
        <v>4925</v>
      </c>
      <c r="C2457" s="3">
        <v>200</v>
      </c>
      <c r="D2457" s="3" t="str">
        <f ca="1">IF(B2457="","",IFERROR(_xludf.XLOOKUP(_xludf.XLOOKUP(B2457,Inventory!$A:$A,Inventory!$B:$B),Blades!$A:$A,Blades!$C:$C)+_xludf.XLOOKUP(_xludf.XLOOKUP(B2457,Inventory!$A:$A,Inventory!$C:$C),Motor!$A:$A,Motor!$C:$C)+_xludf.XLOOKUP(_xludf.XLOOKUP(B2457,Inventory!$A:$A,Inventory!$D:$D),Frame!$A:$A,Frame!$C:$C)+#REF!,""))</f>
        <v/>
      </c>
      <c r="E2457" s="4">
        <v>45913</v>
      </c>
      <c r="F2457" s="1" t="s">
        <v>8</v>
      </c>
    </row>
    <row r="2458" spans="1:6" x14ac:dyDescent="0.25">
      <c r="A2458" s="1" t="s">
        <v>4926</v>
      </c>
      <c r="B2458" s="1" t="s">
        <v>4927</v>
      </c>
      <c r="C2458" s="3">
        <v>200</v>
      </c>
      <c r="D2458" s="3" t="str">
        <f ca="1">IF(B2458="","",IFERROR(_xludf.XLOOKUP(_xludf.XLOOKUP(B2458,Inventory!$A:$A,Inventory!$B:$B),Blades!$A:$A,Blades!$C:$C)+_xludf.XLOOKUP(_xludf.XLOOKUP(B2458,Inventory!$A:$A,Inventory!$C:$C),Motor!$A:$A,Motor!$C:$C)+_xludf.XLOOKUP(_xludf.XLOOKUP(B2458,Inventory!$A:$A,Inventory!$D:$D),Frame!$A:$A,Frame!$C:$C)+#REF!,""))</f>
        <v/>
      </c>
      <c r="E2458" s="4">
        <v>45914</v>
      </c>
      <c r="F2458" s="1" t="s">
        <v>52</v>
      </c>
    </row>
    <row r="2459" spans="1:6" x14ac:dyDescent="0.25">
      <c r="A2459" s="1" t="s">
        <v>4928</v>
      </c>
      <c r="B2459" s="1" t="s">
        <v>4929</v>
      </c>
      <c r="C2459" s="3">
        <v>200</v>
      </c>
      <c r="D2459" s="3" t="str">
        <f ca="1">IF(B2459="","",IFERROR(_xludf.XLOOKUP(_xludf.XLOOKUP(B2459,Inventory!$A:$A,Inventory!$B:$B),Blades!$A:$A,Blades!$C:$C)+_xludf.XLOOKUP(_xludf.XLOOKUP(B2459,Inventory!$A:$A,Inventory!$C:$C),Motor!$A:$A,Motor!$C:$C)+_xludf.XLOOKUP(_xludf.XLOOKUP(B2459,Inventory!$A:$A,Inventory!$D:$D),Frame!$A:$A,Frame!$C:$C)+#REF!,""))</f>
        <v/>
      </c>
      <c r="E2459" s="4">
        <v>45914</v>
      </c>
      <c r="F2459" s="1" t="s">
        <v>52</v>
      </c>
    </row>
    <row r="2460" spans="1:6" x14ac:dyDescent="0.25">
      <c r="A2460" s="1" t="s">
        <v>4930</v>
      </c>
      <c r="B2460" s="1" t="s">
        <v>4931</v>
      </c>
      <c r="C2460" s="3">
        <v>200</v>
      </c>
      <c r="D2460" s="3" t="str">
        <f ca="1">IF(B2460="","",IFERROR(_xludf.XLOOKUP(_xludf.XLOOKUP(B2460,Inventory!$A:$A,Inventory!$B:$B),Blades!$A:$A,Blades!$C:$C)+_xludf.XLOOKUP(_xludf.XLOOKUP(B2460,Inventory!$A:$A,Inventory!$C:$C),Motor!$A:$A,Motor!$C:$C)+_xludf.XLOOKUP(_xludf.XLOOKUP(B2460,Inventory!$A:$A,Inventory!$D:$D),Frame!$A:$A,Frame!$C:$C)+#REF!,""))</f>
        <v/>
      </c>
      <c r="E2460" s="4">
        <v>45914</v>
      </c>
      <c r="F2460" s="1" t="s">
        <v>32</v>
      </c>
    </row>
    <row r="2461" spans="1:6" x14ac:dyDescent="0.25">
      <c r="A2461" s="1" t="s">
        <v>4932</v>
      </c>
      <c r="B2461" s="1" t="s">
        <v>4933</v>
      </c>
      <c r="C2461" s="3">
        <v>200</v>
      </c>
      <c r="D2461" s="3" t="str">
        <f ca="1">IF(B2461="","",IFERROR(_xludf.XLOOKUP(_xludf.XLOOKUP(B2461,Inventory!$A:$A,Inventory!$B:$B),Blades!$A:$A,Blades!$C:$C)+_xludf.XLOOKUP(_xludf.XLOOKUP(B2461,Inventory!$A:$A,Inventory!$C:$C),Motor!$A:$A,Motor!$C:$C)+_xludf.XLOOKUP(_xludf.XLOOKUP(B2461,Inventory!$A:$A,Inventory!$D:$D),Frame!$A:$A,Frame!$C:$C)+#REF!,""))</f>
        <v/>
      </c>
      <c r="E2461" s="4">
        <v>45915</v>
      </c>
      <c r="F2461" s="1" t="s">
        <v>32</v>
      </c>
    </row>
    <row r="2462" spans="1:6" x14ac:dyDescent="0.25">
      <c r="A2462" s="1" t="s">
        <v>4934</v>
      </c>
      <c r="B2462" s="1" t="s">
        <v>4935</v>
      </c>
      <c r="C2462" s="3">
        <v>200</v>
      </c>
      <c r="D2462" s="3" t="str">
        <f ca="1">IF(B2462="","",IFERROR(_xludf.XLOOKUP(_xludf.XLOOKUP(B2462,Inventory!$A:$A,Inventory!$B:$B),Blades!$A:$A,Blades!$C:$C)+_xludf.XLOOKUP(_xludf.XLOOKUP(B2462,Inventory!$A:$A,Inventory!$C:$C),Motor!$A:$A,Motor!$C:$C)+_xludf.XLOOKUP(_xludf.XLOOKUP(B2462,Inventory!$A:$A,Inventory!$D:$D),Frame!$A:$A,Frame!$C:$C)+#REF!,""))</f>
        <v/>
      </c>
      <c r="E2462" s="4">
        <v>45915</v>
      </c>
      <c r="F2462" s="1" t="s">
        <v>49</v>
      </c>
    </row>
    <row r="2463" spans="1:6" x14ac:dyDescent="0.25">
      <c r="A2463" s="1" t="s">
        <v>4936</v>
      </c>
      <c r="B2463" s="1" t="s">
        <v>4937</v>
      </c>
      <c r="C2463" s="3">
        <v>200</v>
      </c>
      <c r="D2463" s="3" t="str">
        <f ca="1">IF(B2463="","",IFERROR(_xludf.XLOOKUP(_xludf.XLOOKUP(B2463,Inventory!$A:$A,Inventory!$B:$B),Blades!$A:$A,Blades!$C:$C)+_xludf.XLOOKUP(_xludf.XLOOKUP(B2463,Inventory!$A:$A,Inventory!$C:$C),Motor!$A:$A,Motor!$C:$C)+_xludf.XLOOKUP(_xludf.XLOOKUP(B2463,Inventory!$A:$A,Inventory!$D:$D),Frame!$A:$A,Frame!$C:$C)+#REF!,""))</f>
        <v/>
      </c>
      <c r="E2463" s="4">
        <v>45915</v>
      </c>
      <c r="F2463" s="1" t="s">
        <v>11</v>
      </c>
    </row>
    <row r="2464" spans="1:6" x14ac:dyDescent="0.25">
      <c r="A2464" s="1" t="s">
        <v>4938</v>
      </c>
      <c r="B2464" s="1" t="s">
        <v>4939</v>
      </c>
      <c r="C2464" s="3">
        <v>200</v>
      </c>
      <c r="D2464" s="3" t="str">
        <f ca="1">IF(B2464="","",IFERROR(_xludf.XLOOKUP(_xludf.XLOOKUP(B2464,Inventory!$A:$A,Inventory!$B:$B),Blades!$A:$A,Blades!$C:$C)+_xludf.XLOOKUP(_xludf.XLOOKUP(B2464,Inventory!$A:$A,Inventory!$C:$C),Motor!$A:$A,Motor!$C:$C)+_xludf.XLOOKUP(_xludf.XLOOKUP(B2464,Inventory!$A:$A,Inventory!$D:$D),Frame!$A:$A,Frame!$C:$C)+#REF!,""))</f>
        <v/>
      </c>
      <c r="E2464" s="4">
        <v>45915</v>
      </c>
      <c r="F2464" s="1" t="s">
        <v>11</v>
      </c>
    </row>
    <row r="2465" spans="1:6" x14ac:dyDescent="0.25">
      <c r="A2465" s="1" t="s">
        <v>4940</v>
      </c>
      <c r="B2465" s="1" t="s">
        <v>4941</v>
      </c>
      <c r="C2465" s="3">
        <v>200</v>
      </c>
      <c r="D2465" s="3" t="str">
        <f ca="1">IF(B2465="","",IFERROR(_xludf.XLOOKUP(_xludf.XLOOKUP(B2465,Inventory!$A:$A,Inventory!$B:$B),Blades!$A:$A,Blades!$C:$C)+_xludf.XLOOKUP(_xludf.XLOOKUP(B2465,Inventory!$A:$A,Inventory!$C:$C),Motor!$A:$A,Motor!$C:$C)+_xludf.XLOOKUP(_xludf.XLOOKUP(B2465,Inventory!$A:$A,Inventory!$D:$D),Frame!$A:$A,Frame!$C:$C)+#REF!,""))</f>
        <v/>
      </c>
      <c r="E2465" s="4">
        <v>45915</v>
      </c>
      <c r="F2465" s="1" t="s">
        <v>20</v>
      </c>
    </row>
    <row r="2466" spans="1:6" x14ac:dyDescent="0.25">
      <c r="A2466" s="1" t="s">
        <v>4942</v>
      </c>
      <c r="B2466" s="1" t="s">
        <v>4943</v>
      </c>
      <c r="C2466" s="3">
        <v>200</v>
      </c>
      <c r="D2466" s="3" t="str">
        <f ca="1">IF(B2466="","",IFERROR(_xludf.XLOOKUP(_xludf.XLOOKUP(B2466,Inventory!$A:$A,Inventory!$B:$B),Blades!$A:$A,Blades!$C:$C)+_xludf.XLOOKUP(_xludf.XLOOKUP(B2466,Inventory!$A:$A,Inventory!$C:$C),Motor!$A:$A,Motor!$C:$C)+_xludf.XLOOKUP(_xludf.XLOOKUP(B2466,Inventory!$A:$A,Inventory!$D:$D),Frame!$A:$A,Frame!$C:$C)+#REF!,""))</f>
        <v/>
      </c>
      <c r="E2466" s="4">
        <v>45916</v>
      </c>
      <c r="F2466" s="1" t="s">
        <v>63</v>
      </c>
    </row>
    <row r="2467" spans="1:6" x14ac:dyDescent="0.25">
      <c r="A2467" s="1" t="s">
        <v>4944</v>
      </c>
      <c r="B2467" s="1" t="s">
        <v>4945</v>
      </c>
      <c r="C2467" s="3">
        <v>200</v>
      </c>
      <c r="D2467" s="3" t="str">
        <f ca="1">IF(B2467="","",IFERROR(_xludf.XLOOKUP(_xludf.XLOOKUP(B2467,Inventory!$A:$A,Inventory!$B:$B),Blades!$A:$A,Blades!$C:$C)+_xludf.XLOOKUP(_xludf.XLOOKUP(B2467,Inventory!$A:$A,Inventory!$C:$C),Motor!$A:$A,Motor!$C:$C)+_xludf.XLOOKUP(_xludf.XLOOKUP(B2467,Inventory!$A:$A,Inventory!$D:$D),Frame!$A:$A,Frame!$C:$C)+#REF!,""))</f>
        <v/>
      </c>
      <c r="E2467" s="4">
        <v>45917</v>
      </c>
      <c r="F2467" s="1" t="s">
        <v>63</v>
      </c>
    </row>
    <row r="2468" spans="1:6" x14ac:dyDescent="0.25">
      <c r="A2468" s="1" t="s">
        <v>4946</v>
      </c>
      <c r="B2468" s="1" t="s">
        <v>4947</v>
      </c>
      <c r="C2468" s="3">
        <v>200</v>
      </c>
      <c r="D2468" s="3" t="str">
        <f ca="1">IF(B2468="","",IFERROR(_xludf.XLOOKUP(_xludf.XLOOKUP(B2468,Inventory!$A:$A,Inventory!$B:$B),Blades!$A:$A,Blades!$C:$C)+_xludf.XLOOKUP(_xludf.XLOOKUP(B2468,Inventory!$A:$A,Inventory!$C:$C),Motor!$A:$A,Motor!$C:$C)+_xludf.XLOOKUP(_xludf.XLOOKUP(B2468,Inventory!$A:$A,Inventory!$D:$D),Frame!$A:$A,Frame!$C:$C)+#REF!,""))</f>
        <v/>
      </c>
      <c r="E2468" s="4">
        <v>45919</v>
      </c>
      <c r="F2468" s="1" t="s">
        <v>20</v>
      </c>
    </row>
    <row r="2469" spans="1:6" x14ac:dyDescent="0.25">
      <c r="A2469" s="1" t="s">
        <v>4948</v>
      </c>
      <c r="B2469" s="1" t="s">
        <v>4949</v>
      </c>
      <c r="C2469" s="3">
        <v>200</v>
      </c>
      <c r="D2469" s="3" t="str">
        <f ca="1">IF(B2469="","",IFERROR(_xludf.XLOOKUP(_xludf.XLOOKUP(B2469,Inventory!$A:$A,Inventory!$B:$B),Blades!$A:$A,Blades!$C:$C)+_xludf.XLOOKUP(_xludf.XLOOKUP(B2469,Inventory!$A:$A,Inventory!$C:$C),Motor!$A:$A,Motor!$C:$C)+_xludf.XLOOKUP(_xludf.XLOOKUP(B2469,Inventory!$A:$A,Inventory!$D:$D),Frame!$A:$A,Frame!$C:$C)+#REF!,""))</f>
        <v/>
      </c>
      <c r="E2469" s="4">
        <v>45919</v>
      </c>
      <c r="F2469" s="1" t="s">
        <v>49</v>
      </c>
    </row>
    <row r="2470" spans="1:6" x14ac:dyDescent="0.25">
      <c r="A2470" s="1" t="s">
        <v>4950</v>
      </c>
      <c r="B2470" s="1" t="s">
        <v>4951</v>
      </c>
      <c r="C2470" s="3">
        <v>200</v>
      </c>
      <c r="D2470" s="3" t="str">
        <f ca="1">IF(B2470="","",IFERROR(_xludf.XLOOKUP(_xludf.XLOOKUP(B2470,Inventory!$A:$A,Inventory!$B:$B),Blades!$A:$A,Blades!$C:$C)+_xludf.XLOOKUP(_xludf.XLOOKUP(B2470,Inventory!$A:$A,Inventory!$C:$C),Motor!$A:$A,Motor!$C:$C)+_xludf.XLOOKUP(_xludf.XLOOKUP(B2470,Inventory!$A:$A,Inventory!$D:$D),Frame!$A:$A,Frame!$C:$C)+#REF!,""))</f>
        <v/>
      </c>
      <c r="E2470" s="4">
        <v>45920</v>
      </c>
      <c r="F2470" s="1" t="s">
        <v>25</v>
      </c>
    </row>
    <row r="2471" spans="1:6" x14ac:dyDescent="0.25">
      <c r="A2471" s="1" t="s">
        <v>4952</v>
      </c>
      <c r="B2471" s="1" t="s">
        <v>4953</v>
      </c>
      <c r="C2471" s="3">
        <v>200</v>
      </c>
      <c r="D2471" s="3" t="str">
        <f ca="1">IF(B2471="","",IFERROR(_xludf.XLOOKUP(_xludf.XLOOKUP(B2471,Inventory!$A:$A,Inventory!$B:$B),Blades!$A:$A,Blades!$C:$C)+_xludf.XLOOKUP(_xludf.XLOOKUP(B2471,Inventory!$A:$A,Inventory!$C:$C),Motor!$A:$A,Motor!$C:$C)+_xludf.XLOOKUP(_xludf.XLOOKUP(B2471,Inventory!$A:$A,Inventory!$D:$D),Frame!$A:$A,Frame!$C:$C)+#REF!,""))</f>
        <v/>
      </c>
      <c r="E2471" s="4">
        <v>45920</v>
      </c>
      <c r="F2471" s="1" t="s">
        <v>25</v>
      </c>
    </row>
    <row r="2472" spans="1:6" x14ac:dyDescent="0.25">
      <c r="A2472" s="1" t="s">
        <v>4954</v>
      </c>
      <c r="B2472" s="1" t="s">
        <v>4955</v>
      </c>
      <c r="C2472" s="3">
        <v>200</v>
      </c>
      <c r="D2472" s="3" t="str">
        <f ca="1">IF(B2472="","",IFERROR(_xludf.XLOOKUP(_xludf.XLOOKUP(B2472,Inventory!$A:$A,Inventory!$B:$B),Blades!$A:$A,Blades!$C:$C)+_xludf.XLOOKUP(_xludf.XLOOKUP(B2472,Inventory!$A:$A,Inventory!$C:$C),Motor!$A:$A,Motor!$C:$C)+_xludf.XLOOKUP(_xludf.XLOOKUP(B2472,Inventory!$A:$A,Inventory!$D:$D),Frame!$A:$A,Frame!$C:$C)+#REF!,""))</f>
        <v/>
      </c>
      <c r="E2472" s="4">
        <v>45922</v>
      </c>
      <c r="F2472" s="1" t="s">
        <v>63</v>
      </c>
    </row>
    <row r="2473" spans="1:6" x14ac:dyDescent="0.25">
      <c r="A2473" s="1" t="s">
        <v>4956</v>
      </c>
      <c r="B2473" s="1" t="s">
        <v>4957</v>
      </c>
      <c r="C2473" s="3">
        <v>200</v>
      </c>
      <c r="D2473" s="3" t="str">
        <f ca="1">IF(B2473="","",IFERROR(_xludf.XLOOKUP(_xludf.XLOOKUP(B2473,Inventory!$A:$A,Inventory!$B:$B),Blades!$A:$A,Blades!$C:$C)+_xludf.XLOOKUP(_xludf.XLOOKUP(B2473,Inventory!$A:$A,Inventory!$C:$C),Motor!$A:$A,Motor!$C:$C)+_xludf.XLOOKUP(_xludf.XLOOKUP(B2473,Inventory!$A:$A,Inventory!$D:$D),Frame!$A:$A,Frame!$C:$C)+#REF!,""))</f>
        <v/>
      </c>
      <c r="E2473" s="4">
        <v>45922</v>
      </c>
      <c r="F2473" s="1" t="s">
        <v>32</v>
      </c>
    </row>
    <row r="2474" spans="1:6" x14ac:dyDescent="0.25">
      <c r="A2474" s="1" t="s">
        <v>4958</v>
      </c>
      <c r="B2474" s="1" t="s">
        <v>4959</v>
      </c>
      <c r="C2474" s="3">
        <v>200</v>
      </c>
      <c r="D2474" s="3" t="str">
        <f ca="1">IF(B2474="","",IFERROR(_xludf.XLOOKUP(_xludf.XLOOKUP(B2474,Inventory!$A:$A,Inventory!$B:$B),Blades!$A:$A,Blades!$C:$C)+_xludf.XLOOKUP(_xludf.XLOOKUP(B2474,Inventory!$A:$A,Inventory!$C:$C),Motor!$A:$A,Motor!$C:$C)+_xludf.XLOOKUP(_xludf.XLOOKUP(B2474,Inventory!$A:$A,Inventory!$D:$D),Frame!$A:$A,Frame!$C:$C)+#REF!,""))</f>
        <v/>
      </c>
      <c r="E2474" s="4">
        <v>45923</v>
      </c>
      <c r="F2474" s="1" t="s">
        <v>32</v>
      </c>
    </row>
    <row r="2475" spans="1:6" x14ac:dyDescent="0.25">
      <c r="A2475" s="1" t="s">
        <v>4960</v>
      </c>
      <c r="B2475" s="1" t="s">
        <v>4961</v>
      </c>
      <c r="C2475" s="3">
        <v>200</v>
      </c>
      <c r="D2475" s="3" t="str">
        <f ca="1">IF(B2475="","",IFERROR(_xludf.XLOOKUP(_xludf.XLOOKUP(B2475,Inventory!$A:$A,Inventory!$B:$B),Blades!$A:$A,Blades!$C:$C)+_xludf.XLOOKUP(_xludf.XLOOKUP(B2475,Inventory!$A:$A,Inventory!$C:$C),Motor!$A:$A,Motor!$C:$C)+_xludf.XLOOKUP(_xludf.XLOOKUP(B2475,Inventory!$A:$A,Inventory!$D:$D),Frame!$A:$A,Frame!$C:$C)+#REF!,""))</f>
        <v/>
      </c>
      <c r="E2475" s="4">
        <v>45923</v>
      </c>
      <c r="F2475" s="1" t="s">
        <v>25</v>
      </c>
    </row>
    <row r="2476" spans="1:6" x14ac:dyDescent="0.25">
      <c r="A2476" s="1" t="s">
        <v>4962</v>
      </c>
      <c r="B2476" s="1" t="s">
        <v>4963</v>
      </c>
      <c r="C2476" s="3">
        <v>200</v>
      </c>
      <c r="D2476" s="3" t="str">
        <f ca="1">IF(B2476="","",IFERROR(_xludf.XLOOKUP(_xludf.XLOOKUP(B2476,Inventory!$A:$A,Inventory!$B:$B),Blades!$A:$A,Blades!$C:$C)+_xludf.XLOOKUP(_xludf.XLOOKUP(B2476,Inventory!$A:$A,Inventory!$C:$C),Motor!$A:$A,Motor!$C:$C)+_xludf.XLOOKUP(_xludf.XLOOKUP(B2476,Inventory!$A:$A,Inventory!$D:$D),Frame!$A:$A,Frame!$C:$C)+#REF!,""))</f>
        <v/>
      </c>
      <c r="E2476" s="4">
        <v>45923</v>
      </c>
      <c r="F2476" s="1" t="s">
        <v>63</v>
      </c>
    </row>
    <row r="2477" spans="1:6" x14ac:dyDescent="0.25">
      <c r="A2477" s="1" t="s">
        <v>4964</v>
      </c>
      <c r="B2477" s="1" t="s">
        <v>4965</v>
      </c>
      <c r="C2477" s="3">
        <v>200</v>
      </c>
      <c r="D2477" s="3" t="str">
        <f ca="1">IF(B2477="","",IFERROR(_xludf.XLOOKUP(_xludf.XLOOKUP(B2477,Inventory!$A:$A,Inventory!$B:$B),Blades!$A:$A,Blades!$C:$C)+_xludf.XLOOKUP(_xludf.XLOOKUP(B2477,Inventory!$A:$A,Inventory!$C:$C),Motor!$A:$A,Motor!$C:$C)+_xludf.XLOOKUP(_xludf.XLOOKUP(B2477,Inventory!$A:$A,Inventory!$D:$D),Frame!$A:$A,Frame!$C:$C)+#REF!,""))</f>
        <v/>
      </c>
      <c r="E2477" s="4">
        <v>45923</v>
      </c>
      <c r="F2477" s="1" t="s">
        <v>25</v>
      </c>
    </row>
    <row r="2478" spans="1:6" x14ac:dyDescent="0.25">
      <c r="A2478" s="1" t="s">
        <v>4966</v>
      </c>
      <c r="B2478" s="1" t="s">
        <v>4967</v>
      </c>
      <c r="C2478" s="3">
        <v>200</v>
      </c>
      <c r="D2478" s="3" t="str">
        <f ca="1">IF(B2478="","",IFERROR(_xludf.XLOOKUP(_xludf.XLOOKUP(B2478,Inventory!$A:$A,Inventory!$B:$B),Blades!$A:$A,Blades!$C:$C)+_xludf.XLOOKUP(_xludf.XLOOKUP(B2478,Inventory!$A:$A,Inventory!$C:$C),Motor!$A:$A,Motor!$C:$C)+_xludf.XLOOKUP(_xludf.XLOOKUP(B2478,Inventory!$A:$A,Inventory!$D:$D),Frame!$A:$A,Frame!$C:$C)+#REF!,""))</f>
        <v/>
      </c>
      <c r="E2478" s="4">
        <v>45924</v>
      </c>
      <c r="F2478" s="1" t="s">
        <v>20</v>
      </c>
    </row>
    <row r="2479" spans="1:6" x14ac:dyDescent="0.25">
      <c r="A2479" s="1" t="s">
        <v>4968</v>
      </c>
      <c r="B2479" s="1" t="s">
        <v>4969</v>
      </c>
      <c r="C2479" s="3">
        <v>200</v>
      </c>
      <c r="D2479" s="3" t="str">
        <f ca="1">IF(B2479="","",IFERROR(_xludf.XLOOKUP(_xludf.XLOOKUP(B2479,Inventory!$A:$A,Inventory!$B:$B),Blades!$A:$A,Blades!$C:$C)+_xludf.XLOOKUP(_xludf.XLOOKUP(B2479,Inventory!$A:$A,Inventory!$C:$C),Motor!$A:$A,Motor!$C:$C)+_xludf.XLOOKUP(_xludf.XLOOKUP(B2479,Inventory!$A:$A,Inventory!$D:$D),Frame!$A:$A,Frame!$C:$C)+#REF!,""))</f>
        <v/>
      </c>
      <c r="E2479" s="4">
        <v>45924</v>
      </c>
      <c r="F2479" s="1" t="s">
        <v>32</v>
      </c>
    </row>
    <row r="2480" spans="1:6" x14ac:dyDescent="0.25">
      <c r="A2480" s="1" t="s">
        <v>4970</v>
      </c>
      <c r="B2480" s="1" t="s">
        <v>4971</v>
      </c>
      <c r="C2480" s="3">
        <v>200</v>
      </c>
      <c r="D2480" s="3" t="str">
        <f ca="1">IF(B2480="","",IFERROR(_xludf.XLOOKUP(_xludf.XLOOKUP(B2480,Inventory!$A:$A,Inventory!$B:$B),Blades!$A:$A,Blades!$C:$C)+_xludf.XLOOKUP(_xludf.XLOOKUP(B2480,Inventory!$A:$A,Inventory!$C:$C),Motor!$A:$A,Motor!$C:$C)+_xludf.XLOOKUP(_xludf.XLOOKUP(B2480,Inventory!$A:$A,Inventory!$D:$D),Frame!$A:$A,Frame!$C:$C)+#REF!,""))</f>
        <v/>
      </c>
      <c r="E2480" s="4">
        <v>45925</v>
      </c>
      <c r="F2480" s="1" t="s">
        <v>11</v>
      </c>
    </row>
    <row r="2481" spans="1:6" x14ac:dyDescent="0.25">
      <c r="A2481" s="1" t="s">
        <v>4972</v>
      </c>
      <c r="B2481" s="1" t="s">
        <v>4973</v>
      </c>
      <c r="C2481" s="3">
        <v>200</v>
      </c>
      <c r="D2481" s="3" t="str">
        <f ca="1">IF(B2481="","",IFERROR(_xludf.XLOOKUP(_xludf.XLOOKUP(B2481,Inventory!$A:$A,Inventory!$B:$B),Blades!$A:$A,Blades!$C:$C)+_xludf.XLOOKUP(_xludf.XLOOKUP(B2481,Inventory!$A:$A,Inventory!$C:$C),Motor!$A:$A,Motor!$C:$C)+_xludf.XLOOKUP(_xludf.XLOOKUP(B2481,Inventory!$A:$A,Inventory!$D:$D),Frame!$A:$A,Frame!$C:$C)+#REF!,""))</f>
        <v/>
      </c>
      <c r="E2481" s="4">
        <v>45926</v>
      </c>
      <c r="F2481" s="1" t="s">
        <v>8</v>
      </c>
    </row>
    <row r="2482" spans="1:6" x14ac:dyDescent="0.25">
      <c r="A2482" s="1" t="s">
        <v>4974</v>
      </c>
      <c r="B2482" s="1" t="s">
        <v>4975</v>
      </c>
      <c r="C2482" s="3">
        <v>200</v>
      </c>
      <c r="D2482" s="3" t="str">
        <f ca="1">IF(B2482="","",IFERROR(_xludf.XLOOKUP(_xludf.XLOOKUP(B2482,Inventory!$A:$A,Inventory!$B:$B),Blades!$A:$A,Blades!$C:$C)+_xludf.XLOOKUP(_xludf.XLOOKUP(B2482,Inventory!$A:$A,Inventory!$C:$C),Motor!$A:$A,Motor!$C:$C)+_xludf.XLOOKUP(_xludf.XLOOKUP(B2482,Inventory!$A:$A,Inventory!$D:$D),Frame!$A:$A,Frame!$C:$C)+#REF!,""))</f>
        <v/>
      </c>
      <c r="E2482" s="4">
        <v>45926</v>
      </c>
      <c r="F2482" s="1" t="s">
        <v>32</v>
      </c>
    </row>
    <row r="2483" spans="1:6" x14ac:dyDescent="0.25">
      <c r="A2483" s="1" t="s">
        <v>4976</v>
      </c>
      <c r="B2483" s="1" t="s">
        <v>4977</v>
      </c>
      <c r="C2483" s="3">
        <v>200</v>
      </c>
      <c r="D2483" s="3" t="str">
        <f ca="1">IF(B2483="","",IFERROR(_xludf.XLOOKUP(_xludf.XLOOKUP(B2483,Inventory!$A:$A,Inventory!$B:$B),Blades!$A:$A,Blades!$C:$C)+_xludf.XLOOKUP(_xludf.XLOOKUP(B2483,Inventory!$A:$A,Inventory!$C:$C),Motor!$A:$A,Motor!$C:$C)+_xludf.XLOOKUP(_xludf.XLOOKUP(B2483,Inventory!$A:$A,Inventory!$D:$D),Frame!$A:$A,Frame!$C:$C)+#REF!,""))</f>
        <v/>
      </c>
      <c r="E2483" s="4">
        <v>45927</v>
      </c>
      <c r="F2483" s="1" t="s">
        <v>8</v>
      </c>
    </row>
    <row r="2484" spans="1:6" x14ac:dyDescent="0.25">
      <c r="A2484" s="1" t="s">
        <v>4978</v>
      </c>
      <c r="B2484" s="1" t="s">
        <v>4979</v>
      </c>
      <c r="C2484" s="3">
        <v>200</v>
      </c>
      <c r="D2484" s="3" t="str">
        <f ca="1">IF(B2484="","",IFERROR(_xludf.XLOOKUP(_xludf.XLOOKUP(B2484,Inventory!$A:$A,Inventory!$B:$B),Blades!$A:$A,Blades!$C:$C)+_xludf.XLOOKUP(_xludf.XLOOKUP(B2484,Inventory!$A:$A,Inventory!$C:$C),Motor!$A:$A,Motor!$C:$C)+_xludf.XLOOKUP(_xludf.XLOOKUP(B2484,Inventory!$A:$A,Inventory!$D:$D),Frame!$A:$A,Frame!$C:$C)+#REF!,""))</f>
        <v/>
      </c>
      <c r="E2484" s="4">
        <v>45927</v>
      </c>
      <c r="F2484" s="1" t="s">
        <v>49</v>
      </c>
    </row>
    <row r="2485" spans="1:6" x14ac:dyDescent="0.25">
      <c r="A2485" s="1" t="s">
        <v>4980</v>
      </c>
      <c r="B2485" s="1" t="s">
        <v>4981</v>
      </c>
      <c r="C2485" s="3">
        <v>200</v>
      </c>
      <c r="D2485" s="3" t="str">
        <f ca="1">IF(B2485="","",IFERROR(_xludf.XLOOKUP(_xludf.XLOOKUP(B2485,Inventory!$A:$A,Inventory!$B:$B),Blades!$A:$A,Blades!$C:$C)+_xludf.XLOOKUP(_xludf.XLOOKUP(B2485,Inventory!$A:$A,Inventory!$C:$C),Motor!$A:$A,Motor!$C:$C)+_xludf.XLOOKUP(_xludf.XLOOKUP(B2485,Inventory!$A:$A,Inventory!$D:$D),Frame!$A:$A,Frame!$C:$C)+#REF!,""))</f>
        <v/>
      </c>
      <c r="E2485" s="4">
        <v>45927</v>
      </c>
      <c r="F2485" s="1" t="s">
        <v>8</v>
      </c>
    </row>
    <row r="2486" spans="1:6" x14ac:dyDescent="0.25">
      <c r="A2486" s="1" t="s">
        <v>4982</v>
      </c>
      <c r="B2486" s="1" t="s">
        <v>4983</v>
      </c>
      <c r="C2486" s="3">
        <v>200</v>
      </c>
      <c r="D2486" s="3" t="str">
        <f ca="1">IF(B2486="","",IFERROR(_xludf.XLOOKUP(_xludf.XLOOKUP(B2486,Inventory!$A:$A,Inventory!$B:$B),Blades!$A:$A,Blades!$C:$C)+_xludf.XLOOKUP(_xludf.XLOOKUP(B2486,Inventory!$A:$A,Inventory!$C:$C),Motor!$A:$A,Motor!$C:$C)+_xludf.XLOOKUP(_xludf.XLOOKUP(B2486,Inventory!$A:$A,Inventory!$D:$D),Frame!$A:$A,Frame!$C:$C)+#REF!,""))</f>
        <v/>
      </c>
      <c r="E2486" s="4">
        <v>45928</v>
      </c>
      <c r="F2486" s="1" t="s">
        <v>52</v>
      </c>
    </row>
    <row r="2487" spans="1:6" x14ac:dyDescent="0.25">
      <c r="A2487" s="1" t="s">
        <v>4984</v>
      </c>
      <c r="B2487" s="1" t="s">
        <v>4985</v>
      </c>
      <c r="C2487" s="3">
        <v>200</v>
      </c>
      <c r="D2487" s="3" t="str">
        <f ca="1">IF(B2487="","",IFERROR(_xludf.XLOOKUP(_xludf.XLOOKUP(B2487,Inventory!$A:$A,Inventory!$B:$B),Blades!$A:$A,Blades!$C:$C)+_xludf.XLOOKUP(_xludf.XLOOKUP(B2487,Inventory!$A:$A,Inventory!$C:$C),Motor!$A:$A,Motor!$C:$C)+_xludf.XLOOKUP(_xludf.XLOOKUP(B2487,Inventory!$A:$A,Inventory!$D:$D),Frame!$A:$A,Frame!$C:$C)+#REF!,""))</f>
        <v/>
      </c>
      <c r="E2487" s="4">
        <v>45928</v>
      </c>
      <c r="F2487" s="1" t="s">
        <v>11</v>
      </c>
    </row>
    <row r="2488" spans="1:6" x14ac:dyDescent="0.25">
      <c r="A2488" s="1" t="s">
        <v>4986</v>
      </c>
      <c r="B2488" s="1" t="s">
        <v>4987</v>
      </c>
      <c r="C2488" s="3">
        <v>200</v>
      </c>
      <c r="D2488" s="3" t="str">
        <f ca="1">IF(B2488="","",IFERROR(_xludf.XLOOKUP(_xludf.XLOOKUP(B2488,Inventory!$A:$A,Inventory!$B:$B),Blades!$A:$A,Blades!$C:$C)+_xludf.XLOOKUP(_xludf.XLOOKUP(B2488,Inventory!$A:$A,Inventory!$C:$C),Motor!$A:$A,Motor!$C:$C)+_xludf.XLOOKUP(_xludf.XLOOKUP(B2488,Inventory!$A:$A,Inventory!$D:$D),Frame!$A:$A,Frame!$C:$C)+#REF!,""))</f>
        <v/>
      </c>
      <c r="E2488" s="4">
        <v>45931</v>
      </c>
      <c r="F2488" s="1" t="s">
        <v>11</v>
      </c>
    </row>
    <row r="2489" spans="1:6" x14ac:dyDescent="0.25">
      <c r="A2489" s="1" t="s">
        <v>4988</v>
      </c>
      <c r="B2489" s="1" t="s">
        <v>4989</v>
      </c>
      <c r="C2489" s="3">
        <v>200</v>
      </c>
      <c r="D2489" s="3" t="str">
        <f ca="1">IF(B2489="","",IFERROR(_xludf.XLOOKUP(_xludf.XLOOKUP(B2489,Inventory!$A:$A,Inventory!$B:$B),Blades!$A:$A,Blades!$C:$C)+_xludf.XLOOKUP(_xludf.XLOOKUP(B2489,Inventory!$A:$A,Inventory!$C:$C),Motor!$A:$A,Motor!$C:$C)+_xludf.XLOOKUP(_xludf.XLOOKUP(B2489,Inventory!$A:$A,Inventory!$D:$D),Frame!$A:$A,Frame!$C:$C)+#REF!,""))</f>
        <v/>
      </c>
      <c r="E2489" s="4">
        <v>45934</v>
      </c>
      <c r="F2489" s="1" t="s">
        <v>63</v>
      </c>
    </row>
    <row r="2490" spans="1:6" x14ac:dyDescent="0.25">
      <c r="A2490" s="1" t="s">
        <v>4990</v>
      </c>
      <c r="B2490" s="1" t="s">
        <v>4991</v>
      </c>
      <c r="C2490" s="3">
        <v>200</v>
      </c>
      <c r="D2490" s="3" t="str">
        <f ca="1">IF(B2490="","",IFERROR(_xludf.XLOOKUP(_xludf.XLOOKUP(B2490,Inventory!$A:$A,Inventory!$B:$B),Blades!$A:$A,Blades!$C:$C)+_xludf.XLOOKUP(_xludf.XLOOKUP(B2490,Inventory!$A:$A,Inventory!$C:$C),Motor!$A:$A,Motor!$C:$C)+_xludf.XLOOKUP(_xludf.XLOOKUP(B2490,Inventory!$A:$A,Inventory!$D:$D),Frame!$A:$A,Frame!$C:$C)+#REF!,""))</f>
        <v/>
      </c>
      <c r="E2490" s="4">
        <v>45936</v>
      </c>
      <c r="F2490" s="1" t="s">
        <v>63</v>
      </c>
    </row>
    <row r="2491" spans="1:6" x14ac:dyDescent="0.25">
      <c r="A2491" s="1" t="s">
        <v>4992</v>
      </c>
      <c r="B2491" s="1" t="s">
        <v>4993</v>
      </c>
      <c r="C2491" s="3">
        <v>200</v>
      </c>
      <c r="D2491" s="3" t="str">
        <f ca="1">IF(B2491="","",IFERROR(_xludf.XLOOKUP(_xludf.XLOOKUP(B2491,Inventory!$A:$A,Inventory!$B:$B),Blades!$A:$A,Blades!$C:$C)+_xludf.XLOOKUP(_xludf.XLOOKUP(B2491,Inventory!$A:$A,Inventory!$C:$C),Motor!$A:$A,Motor!$C:$C)+_xludf.XLOOKUP(_xludf.XLOOKUP(B2491,Inventory!$A:$A,Inventory!$D:$D),Frame!$A:$A,Frame!$C:$C)+#REF!,""))</f>
        <v/>
      </c>
      <c r="E2491" s="4">
        <v>45936</v>
      </c>
      <c r="F2491" s="1" t="s">
        <v>32</v>
      </c>
    </row>
    <row r="2492" spans="1:6" x14ac:dyDescent="0.25">
      <c r="A2492" s="1" t="s">
        <v>4994</v>
      </c>
      <c r="B2492" s="1" t="s">
        <v>4995</v>
      </c>
      <c r="C2492" s="3">
        <v>200</v>
      </c>
      <c r="D2492" s="3" t="str">
        <f ca="1">IF(B2492="","",IFERROR(_xludf.XLOOKUP(_xludf.XLOOKUP(B2492,Inventory!$A:$A,Inventory!$B:$B),Blades!$A:$A,Blades!$C:$C)+_xludf.XLOOKUP(_xludf.XLOOKUP(B2492,Inventory!$A:$A,Inventory!$C:$C),Motor!$A:$A,Motor!$C:$C)+_xludf.XLOOKUP(_xludf.XLOOKUP(B2492,Inventory!$A:$A,Inventory!$D:$D),Frame!$A:$A,Frame!$C:$C)+#REF!,""))</f>
        <v/>
      </c>
      <c r="E2492" s="4">
        <v>45937</v>
      </c>
      <c r="F2492" s="1" t="s">
        <v>20</v>
      </c>
    </row>
    <row r="2493" spans="1:6" x14ac:dyDescent="0.25">
      <c r="A2493" s="1" t="s">
        <v>4996</v>
      </c>
      <c r="B2493" s="1" t="s">
        <v>4997</v>
      </c>
      <c r="C2493" s="3">
        <v>200</v>
      </c>
      <c r="D2493" s="3" t="str">
        <f ca="1">IF(B2493="","",IFERROR(_xludf.XLOOKUP(_xludf.XLOOKUP(B2493,Inventory!$A:$A,Inventory!$B:$B),Blades!$A:$A,Blades!$C:$C)+_xludf.XLOOKUP(_xludf.XLOOKUP(B2493,Inventory!$A:$A,Inventory!$C:$C),Motor!$A:$A,Motor!$C:$C)+_xludf.XLOOKUP(_xludf.XLOOKUP(B2493,Inventory!$A:$A,Inventory!$D:$D),Frame!$A:$A,Frame!$C:$C)+#REF!,""))</f>
        <v/>
      </c>
      <c r="E2493" s="4">
        <v>45937</v>
      </c>
      <c r="F2493" s="1" t="s">
        <v>25</v>
      </c>
    </row>
    <row r="2494" spans="1:6" x14ac:dyDescent="0.25">
      <c r="A2494" s="1" t="s">
        <v>4998</v>
      </c>
      <c r="B2494" s="1" t="s">
        <v>4999</v>
      </c>
      <c r="C2494" s="3">
        <v>200</v>
      </c>
      <c r="D2494" s="3" t="str">
        <f ca="1">IF(B2494="","",IFERROR(_xludf.XLOOKUP(_xludf.XLOOKUP(B2494,Inventory!$A:$A,Inventory!$B:$B),Blades!$A:$A,Blades!$C:$C)+_xludf.XLOOKUP(_xludf.XLOOKUP(B2494,Inventory!$A:$A,Inventory!$C:$C),Motor!$A:$A,Motor!$C:$C)+_xludf.XLOOKUP(_xludf.XLOOKUP(B2494,Inventory!$A:$A,Inventory!$D:$D),Frame!$A:$A,Frame!$C:$C)+#REF!,""))</f>
        <v/>
      </c>
      <c r="E2494" s="4">
        <v>45937</v>
      </c>
      <c r="F2494" s="1" t="s">
        <v>32</v>
      </c>
    </row>
    <row r="2495" spans="1:6" x14ac:dyDescent="0.25">
      <c r="A2495" s="1" t="s">
        <v>5000</v>
      </c>
      <c r="B2495" s="1" t="s">
        <v>5001</v>
      </c>
      <c r="C2495" s="3">
        <v>200</v>
      </c>
      <c r="D2495" s="3" t="str">
        <f ca="1">IF(B2495="","",IFERROR(_xludf.XLOOKUP(_xludf.XLOOKUP(B2495,Inventory!$A:$A,Inventory!$B:$B),Blades!$A:$A,Blades!$C:$C)+_xludf.XLOOKUP(_xludf.XLOOKUP(B2495,Inventory!$A:$A,Inventory!$C:$C),Motor!$A:$A,Motor!$C:$C)+_xludf.XLOOKUP(_xludf.XLOOKUP(B2495,Inventory!$A:$A,Inventory!$D:$D),Frame!$A:$A,Frame!$C:$C)+#REF!,""))</f>
        <v/>
      </c>
      <c r="E2495" s="4">
        <v>45937</v>
      </c>
      <c r="F2495" s="1" t="s">
        <v>49</v>
      </c>
    </row>
    <row r="2496" spans="1:6" x14ac:dyDescent="0.25">
      <c r="A2496" s="1" t="s">
        <v>5002</v>
      </c>
      <c r="B2496" s="1" t="s">
        <v>5003</v>
      </c>
      <c r="C2496" s="3">
        <v>200</v>
      </c>
      <c r="D2496" s="3" t="str">
        <f ca="1">IF(B2496="","",IFERROR(_xludf.XLOOKUP(_xludf.XLOOKUP(B2496,Inventory!$A:$A,Inventory!$B:$B),Blades!$A:$A,Blades!$C:$C)+_xludf.XLOOKUP(_xludf.XLOOKUP(B2496,Inventory!$A:$A,Inventory!$C:$C),Motor!$A:$A,Motor!$C:$C)+_xludf.XLOOKUP(_xludf.XLOOKUP(B2496,Inventory!$A:$A,Inventory!$D:$D),Frame!$A:$A,Frame!$C:$C)+#REF!,""))</f>
        <v/>
      </c>
      <c r="E2496" s="4">
        <v>45937</v>
      </c>
      <c r="F2496" s="1" t="s">
        <v>20</v>
      </c>
    </row>
    <row r="2497" spans="1:6" x14ac:dyDescent="0.25">
      <c r="A2497" s="1" t="s">
        <v>5004</v>
      </c>
      <c r="B2497" s="1" t="s">
        <v>5005</v>
      </c>
      <c r="C2497" s="3">
        <v>200</v>
      </c>
      <c r="D2497" s="3" t="str">
        <f ca="1">IF(B2497="","",IFERROR(_xludf.XLOOKUP(_xludf.XLOOKUP(B2497,Inventory!$A:$A,Inventory!$B:$B),Blades!$A:$A,Blades!$C:$C)+_xludf.XLOOKUP(_xludf.XLOOKUP(B2497,Inventory!$A:$A,Inventory!$C:$C),Motor!$A:$A,Motor!$C:$C)+_xludf.XLOOKUP(_xludf.XLOOKUP(B2497,Inventory!$A:$A,Inventory!$D:$D),Frame!$A:$A,Frame!$C:$C)+#REF!,""))</f>
        <v/>
      </c>
      <c r="E2497" s="4">
        <v>45937</v>
      </c>
      <c r="F2497" s="1" t="s">
        <v>8</v>
      </c>
    </row>
    <row r="2498" spans="1:6" x14ac:dyDescent="0.25">
      <c r="A2498" s="1" t="s">
        <v>5006</v>
      </c>
      <c r="B2498" s="1" t="s">
        <v>5007</v>
      </c>
      <c r="C2498" s="3">
        <v>200</v>
      </c>
      <c r="D2498" s="3" t="str">
        <f ca="1">IF(B2498="","",IFERROR(_xludf.XLOOKUP(_xludf.XLOOKUP(B2498,Inventory!$A:$A,Inventory!$B:$B),Blades!$A:$A,Blades!$C:$C)+_xludf.XLOOKUP(_xludf.XLOOKUP(B2498,Inventory!$A:$A,Inventory!$C:$C),Motor!$A:$A,Motor!$C:$C)+_xludf.XLOOKUP(_xludf.XLOOKUP(B2498,Inventory!$A:$A,Inventory!$D:$D),Frame!$A:$A,Frame!$C:$C)+#REF!,""))</f>
        <v/>
      </c>
      <c r="E2498" s="4">
        <v>45938</v>
      </c>
      <c r="F2498" s="1" t="s">
        <v>49</v>
      </c>
    </row>
    <row r="2499" spans="1:6" x14ac:dyDescent="0.25">
      <c r="A2499" s="1" t="s">
        <v>5008</v>
      </c>
      <c r="B2499" s="1" t="s">
        <v>5009</v>
      </c>
      <c r="C2499" s="3">
        <v>200</v>
      </c>
      <c r="D2499" s="3" t="str">
        <f ca="1">IF(B2499="","",IFERROR(_xludf.XLOOKUP(_xludf.XLOOKUP(B2499,Inventory!$A:$A,Inventory!$B:$B),Blades!$A:$A,Blades!$C:$C)+_xludf.XLOOKUP(_xludf.XLOOKUP(B2499,Inventory!$A:$A,Inventory!$C:$C),Motor!$A:$A,Motor!$C:$C)+_xludf.XLOOKUP(_xludf.XLOOKUP(B2499,Inventory!$A:$A,Inventory!$D:$D),Frame!$A:$A,Frame!$C:$C)+#REF!,""))</f>
        <v/>
      </c>
      <c r="E2499" s="4">
        <v>45940</v>
      </c>
      <c r="F2499" s="1" t="s">
        <v>8</v>
      </c>
    </row>
    <row r="2500" spans="1:6" x14ac:dyDescent="0.25">
      <c r="A2500" s="1" t="s">
        <v>5010</v>
      </c>
      <c r="B2500" s="1" t="s">
        <v>5011</v>
      </c>
      <c r="C2500" s="3">
        <v>200</v>
      </c>
      <c r="D2500" s="3" t="str">
        <f ca="1">IF(B2500="","",IFERROR(_xludf.XLOOKUP(_xludf.XLOOKUP(B2500,Inventory!$A:$A,Inventory!$B:$B),Blades!$A:$A,Blades!$C:$C)+_xludf.XLOOKUP(_xludf.XLOOKUP(B2500,Inventory!$A:$A,Inventory!$C:$C),Motor!$A:$A,Motor!$C:$C)+_xludf.XLOOKUP(_xludf.XLOOKUP(B2500,Inventory!$A:$A,Inventory!$D:$D),Frame!$A:$A,Frame!$C:$C)+#REF!,""))</f>
        <v/>
      </c>
      <c r="E2500" s="4">
        <v>45941</v>
      </c>
      <c r="F2500" s="1" t="s">
        <v>49</v>
      </c>
    </row>
    <row r="2501" spans="1:6" x14ac:dyDescent="0.25">
      <c r="A2501" s="1" t="s">
        <v>5012</v>
      </c>
      <c r="B2501" s="1" t="s">
        <v>5013</v>
      </c>
      <c r="C2501" s="3">
        <v>200</v>
      </c>
      <c r="D2501" s="3" t="str">
        <f ca="1">IF(B2501="","",IFERROR(_xludf.XLOOKUP(_xludf.XLOOKUP(B2501,Inventory!$A:$A,Inventory!$B:$B),Blades!$A:$A,Blades!$C:$C)+_xludf.XLOOKUP(_xludf.XLOOKUP(B2501,Inventory!$A:$A,Inventory!$C:$C),Motor!$A:$A,Motor!$C:$C)+_xludf.XLOOKUP(_xludf.XLOOKUP(B2501,Inventory!$A:$A,Inventory!$D:$D),Frame!$A:$A,Frame!$C:$C)+#REF!,""))</f>
        <v/>
      </c>
      <c r="E2501" s="4">
        <v>45942</v>
      </c>
      <c r="F2501" s="1" t="s">
        <v>20</v>
      </c>
    </row>
    <row r="2502" spans="1:6" x14ac:dyDescent="0.25">
      <c r="A2502" s="1" t="s">
        <v>5014</v>
      </c>
      <c r="B2502" s="1" t="s">
        <v>5015</v>
      </c>
      <c r="C2502" s="3">
        <v>200</v>
      </c>
      <c r="D2502" s="3" t="str">
        <f ca="1">IF(B2502="","",IFERROR(_xludf.XLOOKUP(_xludf.XLOOKUP(B2502,Inventory!$A:$A,Inventory!$B:$B),Blades!$A:$A,Blades!$C:$C)+_xludf.XLOOKUP(_xludf.XLOOKUP(B2502,Inventory!$A:$A,Inventory!$C:$C),Motor!$A:$A,Motor!$C:$C)+_xludf.XLOOKUP(_xludf.XLOOKUP(B2502,Inventory!$A:$A,Inventory!$D:$D),Frame!$A:$A,Frame!$C:$C)+#REF!,""))</f>
        <v/>
      </c>
      <c r="E2502" s="4">
        <v>45943</v>
      </c>
      <c r="F2502" s="1" t="s">
        <v>52</v>
      </c>
    </row>
    <row r="2503" spans="1:6" x14ac:dyDescent="0.25">
      <c r="A2503" s="1" t="s">
        <v>5016</v>
      </c>
      <c r="B2503" s="1" t="s">
        <v>5017</v>
      </c>
      <c r="C2503" s="3">
        <v>200</v>
      </c>
      <c r="D2503" s="3" t="str">
        <f ca="1">IF(B2503="","",IFERROR(_xludf.XLOOKUP(_xludf.XLOOKUP(B2503,Inventory!$A:$A,Inventory!$B:$B),Blades!$A:$A,Blades!$C:$C)+_xludf.XLOOKUP(_xludf.XLOOKUP(B2503,Inventory!$A:$A,Inventory!$C:$C),Motor!$A:$A,Motor!$C:$C)+_xludf.XLOOKUP(_xludf.XLOOKUP(B2503,Inventory!$A:$A,Inventory!$D:$D),Frame!$A:$A,Frame!$C:$C)+#REF!,""))</f>
        <v/>
      </c>
      <c r="E2503" s="4">
        <v>45944</v>
      </c>
      <c r="F2503" s="1" t="s">
        <v>63</v>
      </c>
    </row>
    <row r="2504" spans="1:6" x14ac:dyDescent="0.25">
      <c r="A2504" s="1" t="s">
        <v>5018</v>
      </c>
      <c r="B2504" s="1" t="s">
        <v>5019</v>
      </c>
      <c r="C2504" s="3">
        <v>200</v>
      </c>
      <c r="D2504" s="3" t="str">
        <f ca="1">IF(B2504="","",IFERROR(_xludf.XLOOKUP(_xludf.XLOOKUP(B2504,Inventory!$A:$A,Inventory!$B:$B),Blades!$A:$A,Blades!$C:$C)+_xludf.XLOOKUP(_xludf.XLOOKUP(B2504,Inventory!$A:$A,Inventory!$C:$C),Motor!$A:$A,Motor!$C:$C)+_xludf.XLOOKUP(_xludf.XLOOKUP(B2504,Inventory!$A:$A,Inventory!$D:$D),Frame!$A:$A,Frame!$C:$C)+#REF!,""))</f>
        <v/>
      </c>
      <c r="E2504" s="4">
        <v>45944</v>
      </c>
      <c r="F2504" s="1" t="s">
        <v>11</v>
      </c>
    </row>
    <row r="2505" spans="1:6" x14ac:dyDescent="0.25">
      <c r="A2505" s="1" t="s">
        <v>5020</v>
      </c>
      <c r="B2505" s="1" t="s">
        <v>5021</v>
      </c>
      <c r="C2505" s="3">
        <v>200</v>
      </c>
      <c r="D2505" s="3" t="str">
        <f ca="1">IF(B2505="","",IFERROR(_xludf.XLOOKUP(_xludf.XLOOKUP(B2505,Inventory!$A:$A,Inventory!$B:$B),Blades!$A:$A,Blades!$C:$C)+_xludf.XLOOKUP(_xludf.XLOOKUP(B2505,Inventory!$A:$A,Inventory!$C:$C),Motor!$A:$A,Motor!$C:$C)+_xludf.XLOOKUP(_xludf.XLOOKUP(B2505,Inventory!$A:$A,Inventory!$D:$D),Frame!$A:$A,Frame!$C:$C)+#REF!,""))</f>
        <v/>
      </c>
      <c r="E2505" s="4">
        <v>45945</v>
      </c>
      <c r="F2505" s="1" t="s">
        <v>52</v>
      </c>
    </row>
    <row r="2506" spans="1:6" x14ac:dyDescent="0.25">
      <c r="A2506" s="1" t="s">
        <v>5022</v>
      </c>
      <c r="B2506" s="1" t="s">
        <v>5023</v>
      </c>
      <c r="C2506" s="3">
        <v>200</v>
      </c>
      <c r="D2506" s="3" t="str">
        <f ca="1">IF(B2506="","",IFERROR(_xludf.XLOOKUP(_xludf.XLOOKUP(B2506,Inventory!$A:$A,Inventory!$B:$B),Blades!$A:$A,Blades!$C:$C)+_xludf.XLOOKUP(_xludf.XLOOKUP(B2506,Inventory!$A:$A,Inventory!$C:$C),Motor!$A:$A,Motor!$C:$C)+_xludf.XLOOKUP(_xludf.XLOOKUP(B2506,Inventory!$A:$A,Inventory!$D:$D),Frame!$A:$A,Frame!$C:$C)+#REF!,""))</f>
        <v/>
      </c>
      <c r="E2506" s="4">
        <v>45945</v>
      </c>
      <c r="F2506" s="1" t="s">
        <v>52</v>
      </c>
    </row>
    <row r="2507" spans="1:6" x14ac:dyDescent="0.25">
      <c r="A2507" s="1" t="s">
        <v>5024</v>
      </c>
      <c r="B2507" s="1" t="s">
        <v>5025</v>
      </c>
      <c r="C2507" s="3">
        <v>200</v>
      </c>
      <c r="D2507" s="3" t="str">
        <f ca="1">IF(B2507="","",IFERROR(_xludf.XLOOKUP(_xludf.XLOOKUP(B2507,Inventory!$A:$A,Inventory!$B:$B),Blades!$A:$A,Blades!$C:$C)+_xludf.XLOOKUP(_xludf.XLOOKUP(B2507,Inventory!$A:$A,Inventory!$C:$C),Motor!$A:$A,Motor!$C:$C)+_xludf.XLOOKUP(_xludf.XLOOKUP(B2507,Inventory!$A:$A,Inventory!$D:$D),Frame!$A:$A,Frame!$C:$C)+#REF!,""))</f>
        <v/>
      </c>
      <c r="E2507" s="4">
        <v>45946</v>
      </c>
      <c r="F2507" s="1" t="s">
        <v>32</v>
      </c>
    </row>
    <row r="2508" spans="1:6" x14ac:dyDescent="0.25">
      <c r="A2508" s="1" t="s">
        <v>5026</v>
      </c>
      <c r="B2508" s="1" t="s">
        <v>5027</v>
      </c>
      <c r="C2508" s="3">
        <v>200</v>
      </c>
      <c r="D2508" s="3" t="str">
        <f ca="1">IF(B2508="","",IFERROR(_xludf.XLOOKUP(_xludf.XLOOKUP(B2508,Inventory!$A:$A,Inventory!$B:$B),Blades!$A:$A,Blades!$C:$C)+_xludf.XLOOKUP(_xludf.XLOOKUP(B2508,Inventory!$A:$A,Inventory!$C:$C),Motor!$A:$A,Motor!$C:$C)+_xludf.XLOOKUP(_xludf.XLOOKUP(B2508,Inventory!$A:$A,Inventory!$D:$D),Frame!$A:$A,Frame!$C:$C)+#REF!,""))</f>
        <v/>
      </c>
      <c r="E2508" s="4">
        <v>45946</v>
      </c>
      <c r="F2508" s="1" t="s">
        <v>49</v>
      </c>
    </row>
    <row r="2509" spans="1:6" x14ac:dyDescent="0.25">
      <c r="A2509" s="1" t="s">
        <v>5028</v>
      </c>
      <c r="B2509" s="1" t="s">
        <v>5029</v>
      </c>
      <c r="C2509" s="3">
        <v>200</v>
      </c>
      <c r="D2509" s="3" t="str">
        <f ca="1">IF(B2509="","",IFERROR(_xludf.XLOOKUP(_xludf.XLOOKUP(B2509,Inventory!$A:$A,Inventory!$B:$B),Blades!$A:$A,Blades!$C:$C)+_xludf.XLOOKUP(_xludf.XLOOKUP(B2509,Inventory!$A:$A,Inventory!$C:$C),Motor!$A:$A,Motor!$C:$C)+_xludf.XLOOKUP(_xludf.XLOOKUP(B2509,Inventory!$A:$A,Inventory!$D:$D),Frame!$A:$A,Frame!$C:$C)+#REF!,""))</f>
        <v/>
      </c>
      <c r="E2509" s="4">
        <v>45946</v>
      </c>
      <c r="F2509" s="1" t="s">
        <v>32</v>
      </c>
    </row>
    <row r="2510" spans="1:6" x14ac:dyDescent="0.25">
      <c r="A2510" s="1" t="s">
        <v>5030</v>
      </c>
      <c r="B2510" s="1" t="s">
        <v>5031</v>
      </c>
      <c r="C2510" s="3">
        <v>200</v>
      </c>
      <c r="D2510" s="3" t="str">
        <f ca="1">IF(B2510="","",IFERROR(_xludf.XLOOKUP(_xludf.XLOOKUP(B2510,Inventory!$A:$A,Inventory!$B:$B),Blades!$A:$A,Blades!$C:$C)+_xludf.XLOOKUP(_xludf.XLOOKUP(B2510,Inventory!$A:$A,Inventory!$C:$C),Motor!$A:$A,Motor!$C:$C)+_xludf.XLOOKUP(_xludf.XLOOKUP(B2510,Inventory!$A:$A,Inventory!$D:$D),Frame!$A:$A,Frame!$C:$C)+#REF!,""))</f>
        <v/>
      </c>
      <c r="E2510" s="4">
        <v>45946</v>
      </c>
      <c r="F2510" s="1" t="s">
        <v>52</v>
      </c>
    </row>
    <row r="2511" spans="1:6" x14ac:dyDescent="0.25">
      <c r="A2511" s="1" t="s">
        <v>5032</v>
      </c>
      <c r="B2511" s="1" t="s">
        <v>5033</v>
      </c>
      <c r="C2511" s="3">
        <v>200</v>
      </c>
      <c r="D2511" s="3" t="str">
        <f ca="1">IF(B2511="","",IFERROR(_xludf.XLOOKUP(_xludf.XLOOKUP(B2511,Inventory!$A:$A,Inventory!$B:$B),Blades!$A:$A,Blades!$C:$C)+_xludf.XLOOKUP(_xludf.XLOOKUP(B2511,Inventory!$A:$A,Inventory!$C:$C),Motor!$A:$A,Motor!$C:$C)+_xludf.XLOOKUP(_xludf.XLOOKUP(B2511,Inventory!$A:$A,Inventory!$D:$D),Frame!$A:$A,Frame!$C:$C)+#REF!,""))</f>
        <v/>
      </c>
      <c r="E2511" s="4">
        <v>45947</v>
      </c>
      <c r="F2511" s="1" t="s">
        <v>20</v>
      </c>
    </row>
    <row r="2512" spans="1:6" x14ac:dyDescent="0.25">
      <c r="A2512" s="1" t="s">
        <v>5034</v>
      </c>
      <c r="B2512" s="1" t="s">
        <v>5035</v>
      </c>
      <c r="C2512" s="3">
        <v>200</v>
      </c>
      <c r="D2512" s="3" t="str">
        <f ca="1">IF(B2512="","",IFERROR(_xludf.XLOOKUP(_xludf.XLOOKUP(B2512,Inventory!$A:$A,Inventory!$B:$B),Blades!$A:$A,Blades!$C:$C)+_xludf.XLOOKUP(_xludf.XLOOKUP(B2512,Inventory!$A:$A,Inventory!$C:$C),Motor!$A:$A,Motor!$C:$C)+_xludf.XLOOKUP(_xludf.XLOOKUP(B2512,Inventory!$A:$A,Inventory!$D:$D),Frame!$A:$A,Frame!$C:$C)+#REF!,""))</f>
        <v/>
      </c>
      <c r="E2512" s="4">
        <v>45947</v>
      </c>
      <c r="F2512" s="1" t="s">
        <v>20</v>
      </c>
    </row>
    <row r="2513" spans="1:6" x14ac:dyDescent="0.25">
      <c r="A2513" s="1" t="s">
        <v>5036</v>
      </c>
      <c r="B2513" s="1" t="s">
        <v>5037</v>
      </c>
      <c r="C2513" s="3">
        <v>200</v>
      </c>
      <c r="D2513" s="3" t="str">
        <f ca="1">IF(B2513="","",IFERROR(_xludf.XLOOKUP(_xludf.XLOOKUP(B2513,Inventory!$A:$A,Inventory!$B:$B),Blades!$A:$A,Blades!$C:$C)+_xludf.XLOOKUP(_xludf.XLOOKUP(B2513,Inventory!$A:$A,Inventory!$C:$C),Motor!$A:$A,Motor!$C:$C)+_xludf.XLOOKUP(_xludf.XLOOKUP(B2513,Inventory!$A:$A,Inventory!$D:$D),Frame!$A:$A,Frame!$C:$C)+#REF!,""))</f>
        <v/>
      </c>
      <c r="E2513" s="4">
        <v>45948</v>
      </c>
      <c r="F2513" s="1" t="s">
        <v>8</v>
      </c>
    </row>
    <row r="2514" spans="1:6" x14ac:dyDescent="0.25">
      <c r="A2514" s="1" t="s">
        <v>5038</v>
      </c>
      <c r="B2514" s="1" t="s">
        <v>5039</v>
      </c>
      <c r="C2514" s="3">
        <v>200</v>
      </c>
      <c r="D2514" s="3" t="str">
        <f ca="1">IF(B2514="","",IFERROR(_xludf.XLOOKUP(_xludf.XLOOKUP(B2514,Inventory!$A:$A,Inventory!$B:$B),Blades!$A:$A,Blades!$C:$C)+_xludf.XLOOKUP(_xludf.XLOOKUP(B2514,Inventory!$A:$A,Inventory!$C:$C),Motor!$A:$A,Motor!$C:$C)+_xludf.XLOOKUP(_xludf.XLOOKUP(B2514,Inventory!$A:$A,Inventory!$D:$D),Frame!$A:$A,Frame!$C:$C)+#REF!,""))</f>
        <v/>
      </c>
      <c r="E2514" s="4">
        <v>45948</v>
      </c>
      <c r="F2514" s="1" t="s">
        <v>25</v>
      </c>
    </row>
    <row r="2515" spans="1:6" x14ac:dyDescent="0.25">
      <c r="A2515" s="1" t="s">
        <v>5040</v>
      </c>
      <c r="B2515" s="1" t="s">
        <v>5041</v>
      </c>
      <c r="C2515" s="3">
        <v>200</v>
      </c>
      <c r="D2515" s="3" t="str">
        <f ca="1">IF(B2515="","",IFERROR(_xludf.XLOOKUP(_xludf.XLOOKUP(B2515,Inventory!$A:$A,Inventory!$B:$B),Blades!$A:$A,Blades!$C:$C)+_xludf.XLOOKUP(_xludf.XLOOKUP(B2515,Inventory!$A:$A,Inventory!$C:$C),Motor!$A:$A,Motor!$C:$C)+_xludf.XLOOKUP(_xludf.XLOOKUP(B2515,Inventory!$A:$A,Inventory!$D:$D),Frame!$A:$A,Frame!$C:$C)+#REF!,""))</f>
        <v/>
      </c>
      <c r="E2515" s="4">
        <v>45948</v>
      </c>
      <c r="F2515" s="1" t="s">
        <v>52</v>
      </c>
    </row>
    <row r="2516" spans="1:6" x14ac:dyDescent="0.25">
      <c r="A2516" s="1" t="s">
        <v>5042</v>
      </c>
      <c r="B2516" s="1" t="s">
        <v>5043</v>
      </c>
      <c r="C2516" s="3">
        <v>200</v>
      </c>
      <c r="D2516" s="3" t="str">
        <f ca="1">IF(B2516="","",IFERROR(_xludf.XLOOKUP(_xludf.XLOOKUP(B2516,Inventory!$A:$A,Inventory!$B:$B),Blades!$A:$A,Blades!$C:$C)+_xludf.XLOOKUP(_xludf.XLOOKUP(B2516,Inventory!$A:$A,Inventory!$C:$C),Motor!$A:$A,Motor!$C:$C)+_xludf.XLOOKUP(_xludf.XLOOKUP(B2516,Inventory!$A:$A,Inventory!$D:$D),Frame!$A:$A,Frame!$C:$C)+#REF!,""))</f>
        <v/>
      </c>
      <c r="E2516" s="4">
        <v>45948</v>
      </c>
      <c r="F2516" s="1" t="s">
        <v>25</v>
      </c>
    </row>
    <row r="2517" spans="1:6" x14ac:dyDescent="0.25">
      <c r="A2517" s="1" t="s">
        <v>5044</v>
      </c>
      <c r="B2517" s="1" t="s">
        <v>5045</v>
      </c>
      <c r="C2517" s="3">
        <v>200</v>
      </c>
      <c r="D2517" s="3" t="str">
        <f ca="1">IF(B2517="","",IFERROR(_xludf.XLOOKUP(_xludf.XLOOKUP(B2517,Inventory!$A:$A,Inventory!$B:$B),Blades!$A:$A,Blades!$C:$C)+_xludf.XLOOKUP(_xludf.XLOOKUP(B2517,Inventory!$A:$A,Inventory!$C:$C),Motor!$A:$A,Motor!$C:$C)+_xludf.XLOOKUP(_xludf.XLOOKUP(B2517,Inventory!$A:$A,Inventory!$D:$D),Frame!$A:$A,Frame!$C:$C)+#REF!,""))</f>
        <v/>
      </c>
      <c r="E2517" s="4">
        <v>45949</v>
      </c>
      <c r="F2517" s="1" t="s">
        <v>32</v>
      </c>
    </row>
    <row r="2518" spans="1:6" x14ac:dyDescent="0.25">
      <c r="A2518" s="1" t="s">
        <v>5046</v>
      </c>
      <c r="B2518" s="1" t="s">
        <v>5047</v>
      </c>
      <c r="C2518" s="3">
        <v>200</v>
      </c>
      <c r="D2518" s="3" t="str">
        <f ca="1">IF(B2518="","",IFERROR(_xludf.XLOOKUP(_xludf.XLOOKUP(B2518,Inventory!$A:$A,Inventory!$B:$B),Blades!$A:$A,Blades!$C:$C)+_xludf.XLOOKUP(_xludf.XLOOKUP(B2518,Inventory!$A:$A,Inventory!$C:$C),Motor!$A:$A,Motor!$C:$C)+_xludf.XLOOKUP(_xludf.XLOOKUP(B2518,Inventory!$A:$A,Inventory!$D:$D),Frame!$A:$A,Frame!$C:$C)+#REF!,""))</f>
        <v/>
      </c>
      <c r="E2518" s="4">
        <v>45950</v>
      </c>
      <c r="F2518" s="1" t="s">
        <v>52</v>
      </c>
    </row>
    <row r="2519" spans="1:6" x14ac:dyDescent="0.25">
      <c r="A2519" s="1" t="s">
        <v>5048</v>
      </c>
      <c r="B2519" s="1" t="s">
        <v>5049</v>
      </c>
      <c r="C2519" s="3">
        <v>200</v>
      </c>
      <c r="D2519" s="3" t="str">
        <f ca="1">IF(B2519="","",IFERROR(_xludf.XLOOKUP(_xludf.XLOOKUP(B2519,Inventory!$A:$A,Inventory!$B:$B),Blades!$A:$A,Blades!$C:$C)+_xludf.XLOOKUP(_xludf.XLOOKUP(B2519,Inventory!$A:$A,Inventory!$C:$C),Motor!$A:$A,Motor!$C:$C)+_xludf.XLOOKUP(_xludf.XLOOKUP(B2519,Inventory!$A:$A,Inventory!$D:$D),Frame!$A:$A,Frame!$C:$C)+#REF!,""))</f>
        <v/>
      </c>
      <c r="E2519" s="4">
        <v>45951</v>
      </c>
      <c r="F2519" s="1" t="s">
        <v>52</v>
      </c>
    </row>
    <row r="2520" spans="1:6" x14ac:dyDescent="0.25">
      <c r="A2520" s="1" t="s">
        <v>5050</v>
      </c>
      <c r="B2520" s="1" t="s">
        <v>5051</v>
      </c>
      <c r="C2520" s="3">
        <v>200</v>
      </c>
      <c r="D2520" s="3" t="str">
        <f ca="1">IF(B2520="","",IFERROR(_xludf.XLOOKUP(_xludf.XLOOKUP(B2520,Inventory!$A:$A,Inventory!$B:$B),Blades!$A:$A,Blades!$C:$C)+_xludf.XLOOKUP(_xludf.XLOOKUP(B2520,Inventory!$A:$A,Inventory!$C:$C),Motor!$A:$A,Motor!$C:$C)+_xludf.XLOOKUP(_xludf.XLOOKUP(B2520,Inventory!$A:$A,Inventory!$D:$D),Frame!$A:$A,Frame!$C:$C)+#REF!,""))</f>
        <v/>
      </c>
      <c r="E2520" s="4">
        <v>45952</v>
      </c>
      <c r="F2520" s="1" t="s">
        <v>63</v>
      </c>
    </row>
    <row r="2521" spans="1:6" x14ac:dyDescent="0.25">
      <c r="A2521" s="1" t="s">
        <v>5052</v>
      </c>
      <c r="B2521" s="1" t="s">
        <v>5053</v>
      </c>
      <c r="C2521" s="3">
        <v>200</v>
      </c>
      <c r="D2521" s="3" t="str">
        <f ca="1">IF(B2521="","",IFERROR(_xludf.XLOOKUP(_xludf.XLOOKUP(B2521,Inventory!$A:$A,Inventory!$B:$B),Blades!$A:$A,Blades!$C:$C)+_xludf.XLOOKUP(_xludf.XLOOKUP(B2521,Inventory!$A:$A,Inventory!$C:$C),Motor!$A:$A,Motor!$C:$C)+_xludf.XLOOKUP(_xludf.XLOOKUP(B2521,Inventory!$A:$A,Inventory!$D:$D),Frame!$A:$A,Frame!$C:$C)+#REF!,""))</f>
        <v/>
      </c>
      <c r="E2521" s="4">
        <v>45952</v>
      </c>
      <c r="F2521" s="1" t="s">
        <v>32</v>
      </c>
    </row>
    <row r="2522" spans="1:6" x14ac:dyDescent="0.25">
      <c r="A2522" s="1" t="s">
        <v>5054</v>
      </c>
      <c r="B2522" s="1" t="s">
        <v>5055</v>
      </c>
      <c r="C2522" s="3">
        <v>200</v>
      </c>
      <c r="D2522" s="3" t="str">
        <f ca="1">IF(B2522="","",IFERROR(_xludf.XLOOKUP(_xludf.XLOOKUP(B2522,Inventory!$A:$A,Inventory!$B:$B),Blades!$A:$A,Blades!$C:$C)+_xludf.XLOOKUP(_xludf.XLOOKUP(B2522,Inventory!$A:$A,Inventory!$C:$C),Motor!$A:$A,Motor!$C:$C)+_xludf.XLOOKUP(_xludf.XLOOKUP(B2522,Inventory!$A:$A,Inventory!$D:$D),Frame!$A:$A,Frame!$C:$C)+#REF!,""))</f>
        <v/>
      </c>
      <c r="E2522" s="4">
        <v>45953</v>
      </c>
      <c r="F2522" s="1" t="s">
        <v>49</v>
      </c>
    </row>
    <row r="2523" spans="1:6" x14ac:dyDescent="0.25">
      <c r="A2523" s="1" t="s">
        <v>5056</v>
      </c>
      <c r="B2523" s="1" t="s">
        <v>5057</v>
      </c>
      <c r="C2523" s="3">
        <v>200</v>
      </c>
      <c r="D2523" s="3" t="str">
        <f ca="1">IF(B2523="","",IFERROR(_xludf.XLOOKUP(_xludf.XLOOKUP(B2523,Inventory!$A:$A,Inventory!$B:$B),Blades!$A:$A,Blades!$C:$C)+_xludf.XLOOKUP(_xludf.XLOOKUP(B2523,Inventory!$A:$A,Inventory!$C:$C),Motor!$A:$A,Motor!$C:$C)+_xludf.XLOOKUP(_xludf.XLOOKUP(B2523,Inventory!$A:$A,Inventory!$D:$D),Frame!$A:$A,Frame!$C:$C)+#REF!,""))</f>
        <v/>
      </c>
      <c r="E2523" s="4">
        <v>45954</v>
      </c>
      <c r="F2523" s="1" t="s">
        <v>11</v>
      </c>
    </row>
    <row r="2524" spans="1:6" x14ac:dyDescent="0.25">
      <c r="A2524" s="1" t="s">
        <v>5058</v>
      </c>
      <c r="B2524" s="1" t="s">
        <v>5059</v>
      </c>
      <c r="C2524" s="3">
        <v>200</v>
      </c>
      <c r="D2524" s="3" t="str">
        <f ca="1">IF(B2524="","",IFERROR(_xludf.XLOOKUP(_xludf.XLOOKUP(B2524,Inventory!$A:$A,Inventory!$B:$B),Blades!$A:$A,Blades!$C:$C)+_xludf.XLOOKUP(_xludf.XLOOKUP(B2524,Inventory!$A:$A,Inventory!$C:$C),Motor!$A:$A,Motor!$C:$C)+_xludf.XLOOKUP(_xludf.XLOOKUP(B2524,Inventory!$A:$A,Inventory!$D:$D),Frame!$A:$A,Frame!$C:$C)+#REF!,""))</f>
        <v/>
      </c>
      <c r="E2524" s="4">
        <v>45954</v>
      </c>
      <c r="F2524" s="1" t="s">
        <v>8</v>
      </c>
    </row>
    <row r="2525" spans="1:6" x14ac:dyDescent="0.25">
      <c r="A2525" s="1" t="s">
        <v>5060</v>
      </c>
      <c r="B2525" s="1" t="s">
        <v>5061</v>
      </c>
      <c r="C2525" s="3">
        <v>200</v>
      </c>
      <c r="D2525" s="3" t="str">
        <f ca="1">IF(B2525="","",IFERROR(_xludf.XLOOKUP(_xludf.XLOOKUP(B2525,Inventory!$A:$A,Inventory!$B:$B),Blades!$A:$A,Blades!$C:$C)+_xludf.XLOOKUP(_xludf.XLOOKUP(B2525,Inventory!$A:$A,Inventory!$C:$C),Motor!$A:$A,Motor!$C:$C)+_xludf.XLOOKUP(_xludf.XLOOKUP(B2525,Inventory!$A:$A,Inventory!$D:$D),Frame!$A:$A,Frame!$C:$C)+#REF!,""))</f>
        <v/>
      </c>
      <c r="E2525" s="4">
        <v>45955</v>
      </c>
      <c r="F2525" s="1" t="s">
        <v>8</v>
      </c>
    </row>
    <row r="2526" spans="1:6" x14ac:dyDescent="0.25">
      <c r="A2526" s="1" t="s">
        <v>5062</v>
      </c>
      <c r="B2526" s="1" t="s">
        <v>5063</v>
      </c>
      <c r="C2526" s="3">
        <v>200</v>
      </c>
      <c r="D2526" s="3" t="str">
        <f ca="1">IF(B2526="","",IFERROR(_xludf.XLOOKUP(_xludf.XLOOKUP(B2526,Inventory!$A:$A,Inventory!$B:$B),Blades!$A:$A,Blades!$C:$C)+_xludf.XLOOKUP(_xludf.XLOOKUP(B2526,Inventory!$A:$A,Inventory!$C:$C),Motor!$A:$A,Motor!$C:$C)+_xludf.XLOOKUP(_xludf.XLOOKUP(B2526,Inventory!$A:$A,Inventory!$D:$D),Frame!$A:$A,Frame!$C:$C)+#REF!,""))</f>
        <v/>
      </c>
      <c r="E2526" s="4">
        <v>45955</v>
      </c>
      <c r="F2526" s="1" t="s">
        <v>49</v>
      </c>
    </row>
    <row r="2527" spans="1:6" x14ac:dyDescent="0.25">
      <c r="A2527" s="1" t="s">
        <v>5064</v>
      </c>
      <c r="B2527" s="1" t="s">
        <v>5065</v>
      </c>
      <c r="C2527" s="3">
        <v>200</v>
      </c>
      <c r="D2527" s="3" t="str">
        <f ca="1">IF(B2527="","",IFERROR(_xludf.XLOOKUP(_xludf.XLOOKUP(B2527,Inventory!$A:$A,Inventory!$B:$B),Blades!$A:$A,Blades!$C:$C)+_xludf.XLOOKUP(_xludf.XLOOKUP(B2527,Inventory!$A:$A,Inventory!$C:$C),Motor!$A:$A,Motor!$C:$C)+_xludf.XLOOKUP(_xludf.XLOOKUP(B2527,Inventory!$A:$A,Inventory!$D:$D),Frame!$A:$A,Frame!$C:$C)+#REF!,""))</f>
        <v/>
      </c>
      <c r="E2527" s="4">
        <v>45955</v>
      </c>
      <c r="F2527" s="1" t="s">
        <v>63</v>
      </c>
    </row>
    <row r="2528" spans="1:6" x14ac:dyDescent="0.25">
      <c r="A2528" s="1" t="s">
        <v>5066</v>
      </c>
      <c r="B2528" s="1" t="s">
        <v>5067</v>
      </c>
      <c r="C2528" s="3">
        <v>200</v>
      </c>
      <c r="D2528" s="3" t="str">
        <f ca="1">IF(B2528="","",IFERROR(_xludf.XLOOKUP(_xludf.XLOOKUP(B2528,Inventory!$A:$A,Inventory!$B:$B),Blades!$A:$A,Blades!$C:$C)+_xludf.XLOOKUP(_xludf.XLOOKUP(B2528,Inventory!$A:$A,Inventory!$C:$C),Motor!$A:$A,Motor!$C:$C)+_xludf.XLOOKUP(_xludf.XLOOKUP(B2528,Inventory!$A:$A,Inventory!$D:$D),Frame!$A:$A,Frame!$C:$C)+#REF!,""))</f>
        <v/>
      </c>
      <c r="E2528" s="4">
        <v>45956</v>
      </c>
      <c r="F2528" s="1" t="s">
        <v>8</v>
      </c>
    </row>
    <row r="2529" spans="1:6" x14ac:dyDescent="0.25">
      <c r="A2529" s="1" t="s">
        <v>5068</v>
      </c>
      <c r="B2529" s="1" t="s">
        <v>5069</v>
      </c>
      <c r="C2529" s="3">
        <v>200</v>
      </c>
      <c r="D2529" s="3" t="str">
        <f ca="1">IF(B2529="","",IFERROR(_xludf.XLOOKUP(_xludf.XLOOKUP(B2529,Inventory!$A:$A,Inventory!$B:$B),Blades!$A:$A,Blades!$C:$C)+_xludf.XLOOKUP(_xludf.XLOOKUP(B2529,Inventory!$A:$A,Inventory!$C:$C),Motor!$A:$A,Motor!$C:$C)+_xludf.XLOOKUP(_xludf.XLOOKUP(B2529,Inventory!$A:$A,Inventory!$D:$D),Frame!$A:$A,Frame!$C:$C)+#REF!,""))</f>
        <v/>
      </c>
      <c r="E2529" s="4">
        <v>45956</v>
      </c>
      <c r="F2529" s="1" t="s">
        <v>49</v>
      </c>
    </row>
    <row r="2530" spans="1:6" x14ac:dyDescent="0.25">
      <c r="A2530" s="1" t="s">
        <v>5070</v>
      </c>
      <c r="B2530" s="1" t="s">
        <v>5071</v>
      </c>
      <c r="C2530" s="3">
        <v>200</v>
      </c>
      <c r="D2530" s="3" t="str">
        <f ca="1">IF(B2530="","",IFERROR(_xludf.XLOOKUP(_xludf.XLOOKUP(B2530,Inventory!$A:$A,Inventory!$B:$B),Blades!$A:$A,Blades!$C:$C)+_xludf.XLOOKUP(_xludf.XLOOKUP(B2530,Inventory!$A:$A,Inventory!$C:$C),Motor!$A:$A,Motor!$C:$C)+_xludf.XLOOKUP(_xludf.XLOOKUP(B2530,Inventory!$A:$A,Inventory!$D:$D),Frame!$A:$A,Frame!$C:$C)+#REF!,""))</f>
        <v/>
      </c>
      <c r="E2530" s="4">
        <v>45956</v>
      </c>
      <c r="F2530" s="1" t="s">
        <v>20</v>
      </c>
    </row>
    <row r="2531" spans="1:6" x14ac:dyDescent="0.25">
      <c r="A2531" s="1" t="s">
        <v>5072</v>
      </c>
      <c r="B2531" s="1" t="s">
        <v>5073</v>
      </c>
      <c r="C2531" s="3">
        <v>200</v>
      </c>
      <c r="D2531" s="3" t="str">
        <f ca="1">IF(B2531="","",IFERROR(_xludf.XLOOKUP(_xludf.XLOOKUP(B2531,Inventory!$A:$A,Inventory!$B:$B),Blades!$A:$A,Blades!$C:$C)+_xludf.XLOOKUP(_xludf.XLOOKUP(B2531,Inventory!$A:$A,Inventory!$C:$C),Motor!$A:$A,Motor!$C:$C)+_xludf.XLOOKUP(_xludf.XLOOKUP(B2531,Inventory!$A:$A,Inventory!$D:$D),Frame!$A:$A,Frame!$C:$C)+#REF!,""))</f>
        <v/>
      </c>
      <c r="E2531" s="4">
        <v>45957</v>
      </c>
      <c r="F2531" s="1" t="s">
        <v>63</v>
      </c>
    </row>
    <row r="2532" spans="1:6" x14ac:dyDescent="0.25">
      <c r="A2532" s="1" t="s">
        <v>5074</v>
      </c>
      <c r="B2532" s="1" t="s">
        <v>5075</v>
      </c>
      <c r="C2532" s="3">
        <v>200</v>
      </c>
      <c r="D2532" s="3" t="str">
        <f ca="1">IF(B2532="","",IFERROR(_xludf.XLOOKUP(_xludf.XLOOKUP(B2532,Inventory!$A:$A,Inventory!$B:$B),Blades!$A:$A,Blades!$C:$C)+_xludf.XLOOKUP(_xludf.XLOOKUP(B2532,Inventory!$A:$A,Inventory!$C:$C),Motor!$A:$A,Motor!$C:$C)+_xludf.XLOOKUP(_xludf.XLOOKUP(B2532,Inventory!$A:$A,Inventory!$D:$D),Frame!$A:$A,Frame!$C:$C)+#REF!,""))</f>
        <v/>
      </c>
      <c r="E2532" s="4">
        <v>45957</v>
      </c>
      <c r="F2532" s="1" t="s">
        <v>49</v>
      </c>
    </row>
    <row r="2533" spans="1:6" x14ac:dyDescent="0.25">
      <c r="A2533" s="1" t="s">
        <v>5076</v>
      </c>
      <c r="B2533" s="1" t="s">
        <v>5077</v>
      </c>
      <c r="C2533" s="3">
        <v>200</v>
      </c>
      <c r="D2533" s="3" t="str">
        <f ca="1">IF(B2533="","",IFERROR(_xludf.XLOOKUP(_xludf.XLOOKUP(B2533,Inventory!$A:$A,Inventory!$B:$B),Blades!$A:$A,Blades!$C:$C)+_xludf.XLOOKUP(_xludf.XLOOKUP(B2533,Inventory!$A:$A,Inventory!$C:$C),Motor!$A:$A,Motor!$C:$C)+_xludf.XLOOKUP(_xludf.XLOOKUP(B2533,Inventory!$A:$A,Inventory!$D:$D),Frame!$A:$A,Frame!$C:$C)+#REF!,""))</f>
        <v/>
      </c>
      <c r="E2533" s="4">
        <v>45957</v>
      </c>
      <c r="F2533" s="1" t="s">
        <v>11</v>
      </c>
    </row>
    <row r="2534" spans="1:6" x14ac:dyDescent="0.25">
      <c r="A2534" s="1" t="s">
        <v>5078</v>
      </c>
      <c r="B2534" s="1" t="s">
        <v>5079</v>
      </c>
      <c r="C2534" s="3">
        <v>200</v>
      </c>
      <c r="D2534" s="3" t="str">
        <f ca="1">IF(B2534="","",IFERROR(_xludf.XLOOKUP(_xludf.XLOOKUP(B2534,Inventory!$A:$A,Inventory!$B:$B),Blades!$A:$A,Blades!$C:$C)+_xludf.XLOOKUP(_xludf.XLOOKUP(B2534,Inventory!$A:$A,Inventory!$C:$C),Motor!$A:$A,Motor!$C:$C)+_xludf.XLOOKUP(_xludf.XLOOKUP(B2534,Inventory!$A:$A,Inventory!$D:$D),Frame!$A:$A,Frame!$C:$C)+#REF!,""))</f>
        <v/>
      </c>
      <c r="E2534" s="4">
        <v>45959</v>
      </c>
      <c r="F2534" s="1" t="s">
        <v>8</v>
      </c>
    </row>
    <row r="2535" spans="1:6" x14ac:dyDescent="0.25">
      <c r="A2535" s="1" t="s">
        <v>5080</v>
      </c>
      <c r="B2535" s="1" t="s">
        <v>5081</v>
      </c>
      <c r="C2535" s="3">
        <v>200</v>
      </c>
      <c r="D2535" s="3" t="str">
        <f ca="1">IF(B2535="","",IFERROR(_xludf.XLOOKUP(_xludf.XLOOKUP(B2535,Inventory!$A:$A,Inventory!$B:$B),Blades!$A:$A,Blades!$C:$C)+_xludf.XLOOKUP(_xludf.XLOOKUP(B2535,Inventory!$A:$A,Inventory!$C:$C),Motor!$A:$A,Motor!$C:$C)+_xludf.XLOOKUP(_xludf.XLOOKUP(B2535,Inventory!$A:$A,Inventory!$D:$D),Frame!$A:$A,Frame!$C:$C)+#REF!,""))</f>
        <v/>
      </c>
      <c r="E2535" s="4">
        <v>45959</v>
      </c>
      <c r="F2535" s="1" t="s">
        <v>8</v>
      </c>
    </row>
    <row r="2536" spans="1:6" x14ac:dyDescent="0.25">
      <c r="A2536" s="1" t="s">
        <v>5082</v>
      </c>
      <c r="B2536" s="1" t="s">
        <v>5083</v>
      </c>
      <c r="C2536" s="3">
        <v>200</v>
      </c>
      <c r="D2536" s="3" t="str">
        <f ca="1">IF(B2536="","",IFERROR(_xludf.XLOOKUP(_xludf.XLOOKUP(B2536,Inventory!$A:$A,Inventory!$B:$B),Blades!$A:$A,Blades!$C:$C)+_xludf.XLOOKUP(_xludf.XLOOKUP(B2536,Inventory!$A:$A,Inventory!$C:$C),Motor!$A:$A,Motor!$C:$C)+_xludf.XLOOKUP(_xludf.XLOOKUP(B2536,Inventory!$A:$A,Inventory!$D:$D),Frame!$A:$A,Frame!$C:$C)+#REF!,""))</f>
        <v/>
      </c>
      <c r="E2536" s="4">
        <v>45959</v>
      </c>
      <c r="F2536" s="1" t="s">
        <v>20</v>
      </c>
    </row>
    <row r="2537" spans="1:6" x14ac:dyDescent="0.25">
      <c r="A2537" s="1" t="s">
        <v>5084</v>
      </c>
      <c r="B2537" s="1" t="s">
        <v>5085</v>
      </c>
      <c r="C2537" s="3">
        <v>200</v>
      </c>
      <c r="D2537" s="3" t="str">
        <f ca="1">IF(B2537="","",IFERROR(_xludf.XLOOKUP(_xludf.XLOOKUP(B2537,Inventory!$A:$A,Inventory!$B:$B),Blades!$A:$A,Blades!$C:$C)+_xludf.XLOOKUP(_xludf.XLOOKUP(B2537,Inventory!$A:$A,Inventory!$C:$C),Motor!$A:$A,Motor!$C:$C)+_xludf.XLOOKUP(_xludf.XLOOKUP(B2537,Inventory!$A:$A,Inventory!$D:$D),Frame!$A:$A,Frame!$C:$C)+#REF!,""))</f>
        <v/>
      </c>
      <c r="E2537" s="4">
        <v>45961</v>
      </c>
      <c r="F2537" s="1" t="s">
        <v>11</v>
      </c>
    </row>
    <row r="2538" spans="1:6" x14ac:dyDescent="0.25">
      <c r="A2538" s="1" t="s">
        <v>5086</v>
      </c>
      <c r="B2538" s="1" t="s">
        <v>5087</v>
      </c>
      <c r="C2538" s="3">
        <v>200</v>
      </c>
      <c r="D2538" s="3" t="str">
        <f ca="1">IF(B2538="","",IFERROR(_xludf.XLOOKUP(_xludf.XLOOKUP(B2538,Inventory!$A:$A,Inventory!$B:$B),Blades!$A:$A,Blades!$C:$C)+_xludf.XLOOKUP(_xludf.XLOOKUP(B2538,Inventory!$A:$A,Inventory!$C:$C),Motor!$A:$A,Motor!$C:$C)+_xludf.XLOOKUP(_xludf.XLOOKUP(B2538,Inventory!$A:$A,Inventory!$D:$D),Frame!$A:$A,Frame!$C:$C)+#REF!,""))</f>
        <v/>
      </c>
      <c r="E2538" s="4">
        <v>45962</v>
      </c>
      <c r="F2538" s="1" t="s">
        <v>49</v>
      </c>
    </row>
    <row r="2539" spans="1:6" x14ac:dyDescent="0.25">
      <c r="A2539" s="1" t="s">
        <v>5088</v>
      </c>
      <c r="B2539" s="1" t="s">
        <v>5089</v>
      </c>
      <c r="C2539" s="3">
        <v>200</v>
      </c>
      <c r="D2539" s="3" t="str">
        <f ca="1">IF(B2539="","",IFERROR(_xludf.XLOOKUP(_xludf.XLOOKUP(B2539,Inventory!$A:$A,Inventory!$B:$B),Blades!$A:$A,Blades!$C:$C)+_xludf.XLOOKUP(_xludf.XLOOKUP(B2539,Inventory!$A:$A,Inventory!$C:$C),Motor!$A:$A,Motor!$C:$C)+_xludf.XLOOKUP(_xludf.XLOOKUP(B2539,Inventory!$A:$A,Inventory!$D:$D),Frame!$A:$A,Frame!$C:$C)+#REF!,""))</f>
        <v/>
      </c>
      <c r="E2539" s="4">
        <v>45962</v>
      </c>
      <c r="F2539" s="1" t="s">
        <v>20</v>
      </c>
    </row>
    <row r="2540" spans="1:6" x14ac:dyDescent="0.25">
      <c r="A2540" s="1" t="s">
        <v>5090</v>
      </c>
      <c r="B2540" s="1" t="s">
        <v>5091</v>
      </c>
      <c r="C2540" s="3">
        <v>200</v>
      </c>
      <c r="D2540" s="3" t="str">
        <f ca="1">IF(B2540="","",IFERROR(_xludf.XLOOKUP(_xludf.XLOOKUP(B2540,Inventory!$A:$A,Inventory!$B:$B),Blades!$A:$A,Blades!$C:$C)+_xludf.XLOOKUP(_xludf.XLOOKUP(B2540,Inventory!$A:$A,Inventory!$C:$C),Motor!$A:$A,Motor!$C:$C)+_xludf.XLOOKUP(_xludf.XLOOKUP(B2540,Inventory!$A:$A,Inventory!$D:$D),Frame!$A:$A,Frame!$C:$C)+#REF!,""))</f>
        <v/>
      </c>
      <c r="E2540" s="4">
        <v>45963</v>
      </c>
      <c r="F2540" s="1" t="s">
        <v>8</v>
      </c>
    </row>
    <row r="2541" spans="1:6" x14ac:dyDescent="0.25">
      <c r="A2541" s="1" t="s">
        <v>5092</v>
      </c>
      <c r="B2541" s="1" t="s">
        <v>5093</v>
      </c>
      <c r="C2541" s="3">
        <v>200</v>
      </c>
      <c r="D2541" s="3" t="str">
        <f ca="1">IF(B2541="","",IFERROR(_xludf.XLOOKUP(_xludf.XLOOKUP(B2541,Inventory!$A:$A,Inventory!$B:$B),Blades!$A:$A,Blades!$C:$C)+_xludf.XLOOKUP(_xludf.XLOOKUP(B2541,Inventory!$A:$A,Inventory!$C:$C),Motor!$A:$A,Motor!$C:$C)+_xludf.XLOOKUP(_xludf.XLOOKUP(B2541,Inventory!$A:$A,Inventory!$D:$D),Frame!$A:$A,Frame!$C:$C)+#REF!,""))</f>
        <v/>
      </c>
      <c r="E2541" s="4">
        <v>45963</v>
      </c>
      <c r="F2541" s="1" t="s">
        <v>20</v>
      </c>
    </row>
    <row r="2542" spans="1:6" x14ac:dyDescent="0.25">
      <c r="A2542" s="1" t="s">
        <v>5094</v>
      </c>
      <c r="B2542" s="1" t="s">
        <v>5095</v>
      </c>
      <c r="C2542" s="3">
        <v>200</v>
      </c>
      <c r="D2542" s="3" t="str">
        <f ca="1">IF(B2542="","",IFERROR(_xludf.XLOOKUP(_xludf.XLOOKUP(B2542,Inventory!$A:$A,Inventory!$B:$B),Blades!$A:$A,Blades!$C:$C)+_xludf.XLOOKUP(_xludf.XLOOKUP(B2542,Inventory!$A:$A,Inventory!$C:$C),Motor!$A:$A,Motor!$C:$C)+_xludf.XLOOKUP(_xludf.XLOOKUP(B2542,Inventory!$A:$A,Inventory!$D:$D),Frame!$A:$A,Frame!$C:$C)+#REF!,""))</f>
        <v/>
      </c>
      <c r="E2542" s="4">
        <v>45963</v>
      </c>
      <c r="F2542" s="1" t="s">
        <v>25</v>
      </c>
    </row>
    <row r="2543" spans="1:6" x14ac:dyDescent="0.25">
      <c r="A2543" s="1" t="s">
        <v>5096</v>
      </c>
      <c r="B2543" s="1" t="s">
        <v>5097</v>
      </c>
      <c r="C2543" s="3">
        <v>200</v>
      </c>
      <c r="D2543" s="3" t="str">
        <f ca="1">IF(B2543="","",IFERROR(_xludf.XLOOKUP(_xludf.XLOOKUP(B2543,Inventory!$A:$A,Inventory!$B:$B),Blades!$A:$A,Blades!$C:$C)+_xludf.XLOOKUP(_xludf.XLOOKUP(B2543,Inventory!$A:$A,Inventory!$C:$C),Motor!$A:$A,Motor!$C:$C)+_xludf.XLOOKUP(_xludf.XLOOKUP(B2543,Inventory!$A:$A,Inventory!$D:$D),Frame!$A:$A,Frame!$C:$C)+#REF!,""))</f>
        <v/>
      </c>
      <c r="E2543" s="4">
        <v>45964</v>
      </c>
      <c r="F2543" s="1" t="s">
        <v>49</v>
      </c>
    </row>
    <row r="2544" spans="1:6" x14ac:dyDescent="0.25">
      <c r="A2544" s="1" t="s">
        <v>5098</v>
      </c>
      <c r="B2544" s="1" t="s">
        <v>5099</v>
      </c>
      <c r="C2544" s="3">
        <v>200</v>
      </c>
      <c r="D2544" s="3" t="str">
        <f ca="1">IF(B2544="","",IFERROR(_xludf.XLOOKUP(_xludf.XLOOKUP(B2544,Inventory!$A:$A,Inventory!$B:$B),Blades!$A:$A,Blades!$C:$C)+_xludf.XLOOKUP(_xludf.XLOOKUP(B2544,Inventory!$A:$A,Inventory!$C:$C),Motor!$A:$A,Motor!$C:$C)+_xludf.XLOOKUP(_xludf.XLOOKUP(B2544,Inventory!$A:$A,Inventory!$D:$D),Frame!$A:$A,Frame!$C:$C)+#REF!,""))</f>
        <v/>
      </c>
      <c r="E2544" s="4">
        <v>45965</v>
      </c>
      <c r="F2544" s="1" t="s">
        <v>8</v>
      </c>
    </row>
    <row r="2545" spans="1:6" x14ac:dyDescent="0.25">
      <c r="A2545" s="1" t="s">
        <v>5100</v>
      </c>
      <c r="B2545" s="1" t="s">
        <v>5101</v>
      </c>
      <c r="C2545" s="3">
        <v>200</v>
      </c>
      <c r="D2545" s="3" t="str">
        <f ca="1">IF(B2545="","",IFERROR(_xludf.XLOOKUP(_xludf.XLOOKUP(B2545,Inventory!$A:$A,Inventory!$B:$B),Blades!$A:$A,Blades!$C:$C)+_xludf.XLOOKUP(_xludf.XLOOKUP(B2545,Inventory!$A:$A,Inventory!$C:$C),Motor!$A:$A,Motor!$C:$C)+_xludf.XLOOKUP(_xludf.XLOOKUP(B2545,Inventory!$A:$A,Inventory!$D:$D),Frame!$A:$A,Frame!$C:$C)+#REF!,""))</f>
        <v/>
      </c>
      <c r="E2545" s="4">
        <v>45967</v>
      </c>
      <c r="F2545" s="1" t="s">
        <v>49</v>
      </c>
    </row>
    <row r="2546" spans="1:6" x14ac:dyDescent="0.25">
      <c r="A2546" s="1" t="s">
        <v>5102</v>
      </c>
      <c r="B2546" s="1" t="s">
        <v>5103</v>
      </c>
      <c r="C2546" s="3">
        <v>200</v>
      </c>
      <c r="D2546" s="3" t="str">
        <f ca="1">IF(B2546="","",IFERROR(_xludf.XLOOKUP(_xludf.XLOOKUP(B2546,Inventory!$A:$A,Inventory!$B:$B),Blades!$A:$A,Blades!$C:$C)+_xludf.XLOOKUP(_xludf.XLOOKUP(B2546,Inventory!$A:$A,Inventory!$C:$C),Motor!$A:$A,Motor!$C:$C)+_xludf.XLOOKUP(_xludf.XLOOKUP(B2546,Inventory!$A:$A,Inventory!$D:$D),Frame!$A:$A,Frame!$C:$C)+#REF!,""))</f>
        <v/>
      </c>
      <c r="E2546" s="4">
        <v>45968</v>
      </c>
      <c r="F2546" s="1" t="s">
        <v>25</v>
      </c>
    </row>
    <row r="2547" spans="1:6" x14ac:dyDescent="0.25">
      <c r="A2547" s="1" t="s">
        <v>5104</v>
      </c>
      <c r="B2547" s="1" t="s">
        <v>5105</v>
      </c>
      <c r="C2547" s="3">
        <v>200</v>
      </c>
      <c r="D2547" s="3" t="str">
        <f ca="1">IF(B2547="","",IFERROR(_xludf.XLOOKUP(_xludf.XLOOKUP(B2547,Inventory!$A:$A,Inventory!$B:$B),Blades!$A:$A,Blades!$C:$C)+_xludf.XLOOKUP(_xludf.XLOOKUP(B2547,Inventory!$A:$A,Inventory!$C:$C),Motor!$A:$A,Motor!$C:$C)+_xludf.XLOOKUP(_xludf.XLOOKUP(B2547,Inventory!$A:$A,Inventory!$D:$D),Frame!$A:$A,Frame!$C:$C)+#REF!,""))</f>
        <v/>
      </c>
      <c r="E2547" s="4">
        <v>45968</v>
      </c>
      <c r="F2547" s="1" t="s">
        <v>32</v>
      </c>
    </row>
    <row r="2548" spans="1:6" x14ac:dyDescent="0.25">
      <c r="A2548" s="1" t="s">
        <v>5106</v>
      </c>
      <c r="B2548" s="1" t="s">
        <v>5107</v>
      </c>
      <c r="C2548" s="3">
        <v>200</v>
      </c>
      <c r="D2548" s="3" t="str">
        <f ca="1">IF(B2548="","",IFERROR(_xludf.XLOOKUP(_xludf.XLOOKUP(B2548,Inventory!$A:$A,Inventory!$B:$B),Blades!$A:$A,Blades!$C:$C)+_xludf.XLOOKUP(_xludf.XLOOKUP(B2548,Inventory!$A:$A,Inventory!$C:$C),Motor!$A:$A,Motor!$C:$C)+_xludf.XLOOKUP(_xludf.XLOOKUP(B2548,Inventory!$A:$A,Inventory!$D:$D),Frame!$A:$A,Frame!$C:$C)+#REF!,""))</f>
        <v/>
      </c>
      <c r="E2548" s="4">
        <v>45970</v>
      </c>
      <c r="F2548" s="1" t="s">
        <v>49</v>
      </c>
    </row>
    <row r="2549" spans="1:6" x14ac:dyDescent="0.25">
      <c r="A2549" s="1" t="s">
        <v>5108</v>
      </c>
      <c r="B2549" s="1" t="s">
        <v>5109</v>
      </c>
      <c r="C2549" s="3">
        <v>200</v>
      </c>
      <c r="D2549" s="3" t="str">
        <f ca="1">IF(B2549="","",IFERROR(_xludf.XLOOKUP(_xludf.XLOOKUP(B2549,Inventory!$A:$A,Inventory!$B:$B),Blades!$A:$A,Blades!$C:$C)+_xludf.XLOOKUP(_xludf.XLOOKUP(B2549,Inventory!$A:$A,Inventory!$C:$C),Motor!$A:$A,Motor!$C:$C)+_xludf.XLOOKUP(_xludf.XLOOKUP(B2549,Inventory!$A:$A,Inventory!$D:$D),Frame!$A:$A,Frame!$C:$C)+#REF!,""))</f>
        <v/>
      </c>
      <c r="E2549" s="4">
        <v>45970</v>
      </c>
      <c r="F2549" s="1" t="s">
        <v>32</v>
      </c>
    </row>
    <row r="2550" spans="1:6" x14ac:dyDescent="0.25">
      <c r="A2550" s="1" t="s">
        <v>5110</v>
      </c>
      <c r="B2550" s="1" t="s">
        <v>5111</v>
      </c>
      <c r="C2550" s="3">
        <v>200</v>
      </c>
      <c r="D2550" s="3" t="str">
        <f ca="1">IF(B2550="","",IFERROR(_xludf.XLOOKUP(_xludf.XLOOKUP(B2550,Inventory!$A:$A,Inventory!$B:$B),Blades!$A:$A,Blades!$C:$C)+_xludf.XLOOKUP(_xludf.XLOOKUP(B2550,Inventory!$A:$A,Inventory!$C:$C),Motor!$A:$A,Motor!$C:$C)+_xludf.XLOOKUP(_xludf.XLOOKUP(B2550,Inventory!$A:$A,Inventory!$D:$D),Frame!$A:$A,Frame!$C:$C)+#REF!,""))</f>
        <v/>
      </c>
      <c r="E2550" s="4">
        <v>45971</v>
      </c>
      <c r="F2550" s="1" t="s">
        <v>52</v>
      </c>
    </row>
    <row r="2551" spans="1:6" x14ac:dyDescent="0.25">
      <c r="A2551" s="1" t="s">
        <v>5112</v>
      </c>
      <c r="B2551" s="1" t="s">
        <v>5113</v>
      </c>
      <c r="C2551" s="3">
        <v>200</v>
      </c>
      <c r="D2551" s="3" t="str">
        <f ca="1">IF(B2551="","",IFERROR(_xludf.XLOOKUP(_xludf.XLOOKUP(B2551,Inventory!$A:$A,Inventory!$B:$B),Blades!$A:$A,Blades!$C:$C)+_xludf.XLOOKUP(_xludf.XLOOKUP(B2551,Inventory!$A:$A,Inventory!$C:$C),Motor!$A:$A,Motor!$C:$C)+_xludf.XLOOKUP(_xludf.XLOOKUP(B2551,Inventory!$A:$A,Inventory!$D:$D),Frame!$A:$A,Frame!$C:$C)+#REF!,""))</f>
        <v/>
      </c>
      <c r="E2551" s="4">
        <v>45971</v>
      </c>
      <c r="F2551" s="1" t="s">
        <v>11</v>
      </c>
    </row>
    <row r="2552" spans="1:6" x14ac:dyDescent="0.25">
      <c r="A2552" s="1" t="s">
        <v>5114</v>
      </c>
      <c r="B2552" s="1" t="s">
        <v>5115</v>
      </c>
      <c r="C2552" s="3">
        <v>200</v>
      </c>
      <c r="D2552" s="3" t="str">
        <f ca="1">IF(B2552="","",IFERROR(_xludf.XLOOKUP(_xludf.XLOOKUP(B2552,Inventory!$A:$A,Inventory!$B:$B),Blades!$A:$A,Blades!$C:$C)+_xludf.XLOOKUP(_xludf.XLOOKUP(B2552,Inventory!$A:$A,Inventory!$C:$C),Motor!$A:$A,Motor!$C:$C)+_xludf.XLOOKUP(_xludf.XLOOKUP(B2552,Inventory!$A:$A,Inventory!$D:$D),Frame!$A:$A,Frame!$C:$C)+#REF!,""))</f>
        <v/>
      </c>
      <c r="E2552" s="4">
        <v>45971</v>
      </c>
      <c r="F2552" s="1" t="s">
        <v>32</v>
      </c>
    </row>
    <row r="2553" spans="1:6" x14ac:dyDescent="0.25">
      <c r="A2553" s="1" t="s">
        <v>5116</v>
      </c>
      <c r="B2553" s="1" t="s">
        <v>5117</v>
      </c>
      <c r="C2553" s="3">
        <v>200</v>
      </c>
      <c r="D2553" s="3" t="str">
        <f ca="1">IF(B2553="","",IFERROR(_xludf.XLOOKUP(_xludf.XLOOKUP(B2553,Inventory!$A:$A,Inventory!$B:$B),Blades!$A:$A,Blades!$C:$C)+_xludf.XLOOKUP(_xludf.XLOOKUP(B2553,Inventory!$A:$A,Inventory!$C:$C),Motor!$A:$A,Motor!$C:$C)+_xludf.XLOOKUP(_xludf.XLOOKUP(B2553,Inventory!$A:$A,Inventory!$D:$D),Frame!$A:$A,Frame!$C:$C)+#REF!,""))</f>
        <v/>
      </c>
      <c r="E2553" s="4">
        <v>45971</v>
      </c>
      <c r="F2553" s="1" t="s">
        <v>8</v>
      </c>
    </row>
    <row r="2554" spans="1:6" x14ac:dyDescent="0.25">
      <c r="A2554" s="1" t="s">
        <v>5118</v>
      </c>
      <c r="B2554" s="1" t="s">
        <v>5119</v>
      </c>
      <c r="C2554" s="3">
        <v>200</v>
      </c>
      <c r="D2554" s="3" t="str">
        <f ca="1">IF(B2554="","",IFERROR(_xludf.XLOOKUP(_xludf.XLOOKUP(B2554,Inventory!$A:$A,Inventory!$B:$B),Blades!$A:$A,Blades!$C:$C)+_xludf.XLOOKUP(_xludf.XLOOKUP(B2554,Inventory!$A:$A,Inventory!$C:$C),Motor!$A:$A,Motor!$C:$C)+_xludf.XLOOKUP(_xludf.XLOOKUP(B2554,Inventory!$A:$A,Inventory!$D:$D),Frame!$A:$A,Frame!$C:$C)+#REF!,""))</f>
        <v/>
      </c>
      <c r="E2554" s="4">
        <v>45972</v>
      </c>
      <c r="F2554" s="1" t="s">
        <v>32</v>
      </c>
    </row>
    <row r="2555" spans="1:6" x14ac:dyDescent="0.25">
      <c r="A2555" s="1" t="s">
        <v>5120</v>
      </c>
      <c r="B2555" s="1" t="s">
        <v>5121</v>
      </c>
      <c r="C2555" s="3">
        <v>200</v>
      </c>
      <c r="D2555" s="3" t="str">
        <f ca="1">IF(B2555="","",IFERROR(_xludf.XLOOKUP(_xludf.XLOOKUP(B2555,Inventory!$A:$A,Inventory!$B:$B),Blades!$A:$A,Blades!$C:$C)+_xludf.XLOOKUP(_xludf.XLOOKUP(B2555,Inventory!$A:$A,Inventory!$C:$C),Motor!$A:$A,Motor!$C:$C)+_xludf.XLOOKUP(_xludf.XLOOKUP(B2555,Inventory!$A:$A,Inventory!$D:$D),Frame!$A:$A,Frame!$C:$C)+#REF!,""))</f>
        <v/>
      </c>
      <c r="E2555" s="4">
        <v>45973</v>
      </c>
      <c r="F2555" s="1" t="s">
        <v>63</v>
      </c>
    </row>
    <row r="2556" spans="1:6" x14ac:dyDescent="0.25">
      <c r="A2556" s="1" t="s">
        <v>5122</v>
      </c>
      <c r="B2556" s="1" t="s">
        <v>5123</v>
      </c>
      <c r="C2556" s="3">
        <v>200</v>
      </c>
      <c r="D2556" s="3" t="str">
        <f ca="1">IF(B2556="","",IFERROR(_xludf.XLOOKUP(_xludf.XLOOKUP(B2556,Inventory!$A:$A,Inventory!$B:$B),Blades!$A:$A,Blades!$C:$C)+_xludf.XLOOKUP(_xludf.XLOOKUP(B2556,Inventory!$A:$A,Inventory!$C:$C),Motor!$A:$A,Motor!$C:$C)+_xludf.XLOOKUP(_xludf.XLOOKUP(B2556,Inventory!$A:$A,Inventory!$D:$D),Frame!$A:$A,Frame!$C:$C)+#REF!,""))</f>
        <v/>
      </c>
      <c r="E2556" s="4">
        <v>45974</v>
      </c>
      <c r="F2556" s="1" t="s">
        <v>32</v>
      </c>
    </row>
    <row r="2557" spans="1:6" x14ac:dyDescent="0.25">
      <c r="A2557" s="1" t="s">
        <v>5124</v>
      </c>
      <c r="B2557" s="1" t="s">
        <v>5125</v>
      </c>
      <c r="C2557" s="3">
        <v>200</v>
      </c>
      <c r="D2557" s="3" t="str">
        <f ca="1">IF(B2557="","",IFERROR(_xludf.XLOOKUP(_xludf.XLOOKUP(B2557,Inventory!$A:$A,Inventory!$B:$B),Blades!$A:$A,Blades!$C:$C)+_xludf.XLOOKUP(_xludf.XLOOKUP(B2557,Inventory!$A:$A,Inventory!$C:$C),Motor!$A:$A,Motor!$C:$C)+_xludf.XLOOKUP(_xludf.XLOOKUP(B2557,Inventory!$A:$A,Inventory!$D:$D),Frame!$A:$A,Frame!$C:$C)+#REF!,""))</f>
        <v/>
      </c>
      <c r="E2557" s="4">
        <v>45974</v>
      </c>
      <c r="F2557" s="1" t="s">
        <v>11</v>
      </c>
    </row>
    <row r="2558" spans="1:6" x14ac:dyDescent="0.25">
      <c r="A2558" s="1" t="s">
        <v>5126</v>
      </c>
      <c r="B2558" s="1" t="s">
        <v>5127</v>
      </c>
      <c r="C2558" s="3">
        <v>200</v>
      </c>
      <c r="D2558" s="3" t="str">
        <f ca="1">IF(B2558="","",IFERROR(_xludf.XLOOKUP(_xludf.XLOOKUP(B2558,Inventory!$A:$A,Inventory!$B:$B),Blades!$A:$A,Blades!$C:$C)+_xludf.XLOOKUP(_xludf.XLOOKUP(B2558,Inventory!$A:$A,Inventory!$C:$C),Motor!$A:$A,Motor!$C:$C)+_xludf.XLOOKUP(_xludf.XLOOKUP(B2558,Inventory!$A:$A,Inventory!$D:$D),Frame!$A:$A,Frame!$C:$C)+#REF!,""))</f>
        <v/>
      </c>
      <c r="E2558" s="4">
        <v>45974</v>
      </c>
      <c r="F2558" s="1" t="s">
        <v>63</v>
      </c>
    </row>
    <row r="2559" spans="1:6" x14ac:dyDescent="0.25">
      <c r="A2559" s="1" t="s">
        <v>5128</v>
      </c>
      <c r="B2559" s="1" t="s">
        <v>5129</v>
      </c>
      <c r="C2559" s="3">
        <v>200</v>
      </c>
      <c r="D2559" s="3" t="str">
        <f ca="1">IF(B2559="","",IFERROR(_xludf.XLOOKUP(_xludf.XLOOKUP(B2559,Inventory!$A:$A,Inventory!$B:$B),Blades!$A:$A,Blades!$C:$C)+_xludf.XLOOKUP(_xludf.XLOOKUP(B2559,Inventory!$A:$A,Inventory!$C:$C),Motor!$A:$A,Motor!$C:$C)+_xludf.XLOOKUP(_xludf.XLOOKUP(B2559,Inventory!$A:$A,Inventory!$D:$D),Frame!$A:$A,Frame!$C:$C)+#REF!,""))</f>
        <v/>
      </c>
      <c r="E2559" s="4">
        <v>45975</v>
      </c>
      <c r="F2559" s="1" t="s">
        <v>32</v>
      </c>
    </row>
    <row r="2560" spans="1:6" x14ac:dyDescent="0.25">
      <c r="A2560" s="1" t="s">
        <v>5130</v>
      </c>
      <c r="B2560" s="1" t="s">
        <v>5131</v>
      </c>
      <c r="C2560" s="3">
        <v>200</v>
      </c>
      <c r="D2560" s="3" t="str">
        <f ca="1">IF(B2560="","",IFERROR(_xludf.XLOOKUP(_xludf.XLOOKUP(B2560,Inventory!$A:$A,Inventory!$B:$B),Blades!$A:$A,Blades!$C:$C)+_xludf.XLOOKUP(_xludf.XLOOKUP(B2560,Inventory!$A:$A,Inventory!$C:$C),Motor!$A:$A,Motor!$C:$C)+_xludf.XLOOKUP(_xludf.XLOOKUP(B2560,Inventory!$A:$A,Inventory!$D:$D),Frame!$A:$A,Frame!$C:$C)+#REF!,""))</f>
        <v/>
      </c>
      <c r="E2560" s="4">
        <v>45975</v>
      </c>
      <c r="F2560" s="1" t="s">
        <v>63</v>
      </c>
    </row>
    <row r="2561" spans="1:6" x14ac:dyDescent="0.25">
      <c r="A2561" s="1" t="s">
        <v>5132</v>
      </c>
      <c r="B2561" s="1" t="s">
        <v>5133</v>
      </c>
      <c r="C2561" s="3">
        <v>200</v>
      </c>
      <c r="D2561" s="3" t="str">
        <f ca="1">IF(B2561="","",IFERROR(_xludf.XLOOKUP(_xludf.XLOOKUP(B2561,Inventory!$A:$A,Inventory!$B:$B),Blades!$A:$A,Blades!$C:$C)+_xludf.XLOOKUP(_xludf.XLOOKUP(B2561,Inventory!$A:$A,Inventory!$C:$C),Motor!$A:$A,Motor!$C:$C)+_xludf.XLOOKUP(_xludf.XLOOKUP(B2561,Inventory!$A:$A,Inventory!$D:$D),Frame!$A:$A,Frame!$C:$C)+#REF!,""))</f>
        <v/>
      </c>
      <c r="E2561" s="4">
        <v>45976</v>
      </c>
      <c r="F2561" s="1" t="s">
        <v>52</v>
      </c>
    </row>
    <row r="2562" spans="1:6" x14ac:dyDescent="0.25">
      <c r="A2562" s="1" t="s">
        <v>5134</v>
      </c>
      <c r="B2562" s="1" t="s">
        <v>5135</v>
      </c>
      <c r="C2562" s="3">
        <v>200</v>
      </c>
      <c r="D2562" s="3" t="str">
        <f ca="1">IF(B2562="","",IFERROR(_xludf.XLOOKUP(_xludf.XLOOKUP(B2562,Inventory!$A:$A,Inventory!$B:$B),Blades!$A:$A,Blades!$C:$C)+_xludf.XLOOKUP(_xludf.XLOOKUP(B2562,Inventory!$A:$A,Inventory!$C:$C),Motor!$A:$A,Motor!$C:$C)+_xludf.XLOOKUP(_xludf.XLOOKUP(B2562,Inventory!$A:$A,Inventory!$D:$D),Frame!$A:$A,Frame!$C:$C)+#REF!,""))</f>
        <v/>
      </c>
      <c r="E2562" s="4">
        <v>45977</v>
      </c>
      <c r="F2562" s="1" t="s">
        <v>63</v>
      </c>
    </row>
    <row r="2563" spans="1:6" x14ac:dyDescent="0.25">
      <c r="A2563" s="1" t="s">
        <v>5136</v>
      </c>
      <c r="B2563" s="1" t="s">
        <v>5137</v>
      </c>
      <c r="C2563" s="3">
        <v>200</v>
      </c>
      <c r="D2563" s="3" t="str">
        <f ca="1">IF(B2563="","",IFERROR(_xludf.XLOOKUP(_xludf.XLOOKUP(B2563,Inventory!$A:$A,Inventory!$B:$B),Blades!$A:$A,Blades!$C:$C)+_xludf.XLOOKUP(_xludf.XLOOKUP(B2563,Inventory!$A:$A,Inventory!$C:$C),Motor!$A:$A,Motor!$C:$C)+_xludf.XLOOKUP(_xludf.XLOOKUP(B2563,Inventory!$A:$A,Inventory!$D:$D),Frame!$A:$A,Frame!$C:$C)+#REF!,""))</f>
        <v/>
      </c>
      <c r="E2563" s="4">
        <v>45977</v>
      </c>
      <c r="F2563" s="1" t="s">
        <v>52</v>
      </c>
    </row>
    <row r="2564" spans="1:6" x14ac:dyDescent="0.25">
      <c r="A2564" s="1" t="s">
        <v>5138</v>
      </c>
      <c r="B2564" s="1" t="s">
        <v>5139</v>
      </c>
      <c r="C2564" s="3">
        <v>200</v>
      </c>
      <c r="D2564" s="3" t="str">
        <f ca="1">IF(B2564="","",IFERROR(_xludf.XLOOKUP(_xludf.XLOOKUP(B2564,Inventory!$A:$A,Inventory!$B:$B),Blades!$A:$A,Blades!$C:$C)+_xludf.XLOOKUP(_xludf.XLOOKUP(B2564,Inventory!$A:$A,Inventory!$C:$C),Motor!$A:$A,Motor!$C:$C)+_xludf.XLOOKUP(_xludf.XLOOKUP(B2564,Inventory!$A:$A,Inventory!$D:$D),Frame!$A:$A,Frame!$C:$C)+#REF!,""))</f>
        <v/>
      </c>
      <c r="E2564" s="4">
        <v>45978</v>
      </c>
      <c r="F2564" s="1" t="s">
        <v>52</v>
      </c>
    </row>
    <row r="2565" spans="1:6" x14ac:dyDescent="0.25">
      <c r="A2565" s="1" t="s">
        <v>5140</v>
      </c>
      <c r="B2565" s="1" t="s">
        <v>5141</v>
      </c>
      <c r="C2565" s="3">
        <v>200</v>
      </c>
      <c r="D2565" s="3" t="str">
        <f ca="1">IF(B2565="","",IFERROR(_xludf.XLOOKUP(_xludf.XLOOKUP(B2565,Inventory!$A:$A,Inventory!$B:$B),Blades!$A:$A,Blades!$C:$C)+_xludf.XLOOKUP(_xludf.XLOOKUP(B2565,Inventory!$A:$A,Inventory!$C:$C),Motor!$A:$A,Motor!$C:$C)+_xludf.XLOOKUP(_xludf.XLOOKUP(B2565,Inventory!$A:$A,Inventory!$D:$D),Frame!$A:$A,Frame!$C:$C)+#REF!,""))</f>
        <v/>
      </c>
      <c r="E2565" s="4">
        <v>45978</v>
      </c>
      <c r="F2565" s="1" t="s">
        <v>8</v>
      </c>
    </row>
    <row r="2566" spans="1:6" x14ac:dyDescent="0.25">
      <c r="A2566" s="1" t="s">
        <v>5142</v>
      </c>
      <c r="B2566" s="1" t="s">
        <v>5143</v>
      </c>
      <c r="C2566" s="3">
        <v>200</v>
      </c>
      <c r="D2566" s="3" t="str">
        <f ca="1">IF(B2566="","",IFERROR(_xludf.XLOOKUP(_xludf.XLOOKUP(B2566,Inventory!$A:$A,Inventory!$B:$B),Blades!$A:$A,Blades!$C:$C)+_xludf.XLOOKUP(_xludf.XLOOKUP(B2566,Inventory!$A:$A,Inventory!$C:$C),Motor!$A:$A,Motor!$C:$C)+_xludf.XLOOKUP(_xludf.XLOOKUP(B2566,Inventory!$A:$A,Inventory!$D:$D),Frame!$A:$A,Frame!$C:$C)+#REF!,""))</f>
        <v/>
      </c>
      <c r="E2566" s="4">
        <v>45979</v>
      </c>
      <c r="F2566" s="1" t="s">
        <v>52</v>
      </c>
    </row>
    <row r="2567" spans="1:6" x14ac:dyDescent="0.25">
      <c r="A2567" s="1" t="s">
        <v>5144</v>
      </c>
      <c r="B2567" s="1" t="s">
        <v>5145</v>
      </c>
      <c r="C2567" s="3">
        <v>200</v>
      </c>
      <c r="D2567" s="3" t="str">
        <f ca="1">IF(B2567="","",IFERROR(_xludf.XLOOKUP(_xludf.XLOOKUP(B2567,Inventory!$A:$A,Inventory!$B:$B),Blades!$A:$A,Blades!$C:$C)+_xludf.XLOOKUP(_xludf.XLOOKUP(B2567,Inventory!$A:$A,Inventory!$C:$C),Motor!$A:$A,Motor!$C:$C)+_xludf.XLOOKUP(_xludf.XLOOKUP(B2567,Inventory!$A:$A,Inventory!$D:$D),Frame!$A:$A,Frame!$C:$C)+#REF!,""))</f>
        <v/>
      </c>
      <c r="E2567" s="4">
        <v>45979</v>
      </c>
      <c r="F2567" s="1" t="s">
        <v>20</v>
      </c>
    </row>
    <row r="2568" spans="1:6" x14ac:dyDescent="0.25">
      <c r="A2568" s="1" t="s">
        <v>5146</v>
      </c>
      <c r="B2568" s="1" t="s">
        <v>5147</v>
      </c>
      <c r="C2568" s="3">
        <v>200</v>
      </c>
      <c r="D2568" s="3" t="str">
        <f ca="1">IF(B2568="","",IFERROR(_xludf.XLOOKUP(_xludf.XLOOKUP(B2568,Inventory!$A:$A,Inventory!$B:$B),Blades!$A:$A,Blades!$C:$C)+_xludf.XLOOKUP(_xludf.XLOOKUP(B2568,Inventory!$A:$A,Inventory!$C:$C),Motor!$A:$A,Motor!$C:$C)+_xludf.XLOOKUP(_xludf.XLOOKUP(B2568,Inventory!$A:$A,Inventory!$D:$D),Frame!$A:$A,Frame!$C:$C)+#REF!,""))</f>
        <v/>
      </c>
      <c r="E2568" s="4">
        <v>45980</v>
      </c>
      <c r="F2568" s="1" t="s">
        <v>63</v>
      </c>
    </row>
    <row r="2569" spans="1:6" x14ac:dyDescent="0.25">
      <c r="A2569" s="1" t="s">
        <v>5148</v>
      </c>
      <c r="B2569" s="1" t="s">
        <v>5149</v>
      </c>
      <c r="C2569" s="3">
        <v>200</v>
      </c>
      <c r="D2569" s="3" t="str">
        <f ca="1">IF(B2569="","",IFERROR(_xludf.XLOOKUP(_xludf.XLOOKUP(B2569,Inventory!$A:$A,Inventory!$B:$B),Blades!$A:$A,Blades!$C:$C)+_xludf.XLOOKUP(_xludf.XLOOKUP(B2569,Inventory!$A:$A,Inventory!$C:$C),Motor!$A:$A,Motor!$C:$C)+_xludf.XLOOKUP(_xludf.XLOOKUP(B2569,Inventory!$A:$A,Inventory!$D:$D),Frame!$A:$A,Frame!$C:$C)+#REF!,""))</f>
        <v/>
      </c>
      <c r="E2569" s="4">
        <v>45981</v>
      </c>
      <c r="F2569" s="1" t="s">
        <v>52</v>
      </c>
    </row>
    <row r="2570" spans="1:6" x14ac:dyDescent="0.25">
      <c r="A2570" s="1" t="s">
        <v>5150</v>
      </c>
      <c r="B2570" s="1" t="s">
        <v>5151</v>
      </c>
      <c r="C2570" s="3">
        <v>200</v>
      </c>
      <c r="D2570" s="3" t="str">
        <f ca="1">IF(B2570="","",IFERROR(_xludf.XLOOKUP(_xludf.XLOOKUP(B2570,Inventory!$A:$A,Inventory!$B:$B),Blades!$A:$A,Blades!$C:$C)+_xludf.XLOOKUP(_xludf.XLOOKUP(B2570,Inventory!$A:$A,Inventory!$C:$C),Motor!$A:$A,Motor!$C:$C)+_xludf.XLOOKUP(_xludf.XLOOKUP(B2570,Inventory!$A:$A,Inventory!$D:$D),Frame!$A:$A,Frame!$C:$C)+#REF!,""))</f>
        <v/>
      </c>
      <c r="E2570" s="4">
        <v>45983</v>
      </c>
      <c r="F2570" s="1" t="s">
        <v>32</v>
      </c>
    </row>
    <row r="2571" spans="1:6" x14ac:dyDescent="0.25">
      <c r="A2571" s="1" t="s">
        <v>5152</v>
      </c>
      <c r="B2571" s="1" t="s">
        <v>5153</v>
      </c>
      <c r="C2571" s="3">
        <v>200</v>
      </c>
      <c r="D2571" s="3" t="str">
        <f ca="1">IF(B2571="","",IFERROR(_xludf.XLOOKUP(_xludf.XLOOKUP(B2571,Inventory!$A:$A,Inventory!$B:$B),Blades!$A:$A,Blades!$C:$C)+_xludf.XLOOKUP(_xludf.XLOOKUP(B2571,Inventory!$A:$A,Inventory!$C:$C),Motor!$A:$A,Motor!$C:$C)+_xludf.XLOOKUP(_xludf.XLOOKUP(B2571,Inventory!$A:$A,Inventory!$D:$D),Frame!$A:$A,Frame!$C:$C)+#REF!,""))</f>
        <v/>
      </c>
      <c r="E2571" s="4">
        <v>45984</v>
      </c>
      <c r="F2571" s="1" t="s">
        <v>32</v>
      </c>
    </row>
    <row r="2572" spans="1:6" x14ac:dyDescent="0.25">
      <c r="A2572" s="1" t="s">
        <v>5154</v>
      </c>
      <c r="B2572" s="1" t="s">
        <v>5155</v>
      </c>
      <c r="C2572" s="3">
        <v>200</v>
      </c>
      <c r="D2572" s="3" t="str">
        <f ca="1">IF(B2572="","",IFERROR(_xludf.XLOOKUP(_xludf.XLOOKUP(B2572,Inventory!$A:$A,Inventory!$B:$B),Blades!$A:$A,Blades!$C:$C)+_xludf.XLOOKUP(_xludf.XLOOKUP(B2572,Inventory!$A:$A,Inventory!$C:$C),Motor!$A:$A,Motor!$C:$C)+_xludf.XLOOKUP(_xludf.XLOOKUP(B2572,Inventory!$A:$A,Inventory!$D:$D),Frame!$A:$A,Frame!$C:$C)+#REF!,""))</f>
        <v/>
      </c>
      <c r="E2572" s="4">
        <v>45984</v>
      </c>
      <c r="F2572" s="1" t="s">
        <v>8</v>
      </c>
    </row>
    <row r="2573" spans="1:6" x14ac:dyDescent="0.25">
      <c r="A2573" s="1" t="s">
        <v>5156</v>
      </c>
      <c r="B2573" s="1" t="s">
        <v>5157</v>
      </c>
      <c r="C2573" s="3">
        <v>200</v>
      </c>
      <c r="D2573" s="3" t="str">
        <f ca="1">IF(B2573="","",IFERROR(_xludf.XLOOKUP(_xludf.XLOOKUP(B2573,Inventory!$A:$A,Inventory!$B:$B),Blades!$A:$A,Blades!$C:$C)+_xludf.XLOOKUP(_xludf.XLOOKUP(B2573,Inventory!$A:$A,Inventory!$C:$C),Motor!$A:$A,Motor!$C:$C)+_xludf.XLOOKUP(_xludf.XLOOKUP(B2573,Inventory!$A:$A,Inventory!$D:$D),Frame!$A:$A,Frame!$C:$C)+#REF!,""))</f>
        <v/>
      </c>
      <c r="E2573" s="4">
        <v>45984</v>
      </c>
      <c r="F2573" s="1" t="s">
        <v>52</v>
      </c>
    </row>
    <row r="2574" spans="1:6" x14ac:dyDescent="0.25">
      <c r="A2574" s="1" t="s">
        <v>5158</v>
      </c>
      <c r="B2574" s="1" t="s">
        <v>5159</v>
      </c>
      <c r="C2574" s="3">
        <v>200</v>
      </c>
      <c r="D2574" s="3" t="str">
        <f ca="1">IF(B2574="","",IFERROR(_xludf.XLOOKUP(_xludf.XLOOKUP(B2574,Inventory!$A:$A,Inventory!$B:$B),Blades!$A:$A,Blades!$C:$C)+_xludf.XLOOKUP(_xludf.XLOOKUP(B2574,Inventory!$A:$A,Inventory!$C:$C),Motor!$A:$A,Motor!$C:$C)+_xludf.XLOOKUP(_xludf.XLOOKUP(B2574,Inventory!$A:$A,Inventory!$D:$D),Frame!$A:$A,Frame!$C:$C)+#REF!,""))</f>
        <v/>
      </c>
      <c r="E2574" s="4">
        <v>45985</v>
      </c>
      <c r="F2574" s="1" t="s">
        <v>52</v>
      </c>
    </row>
    <row r="2575" spans="1:6" x14ac:dyDescent="0.25">
      <c r="A2575" s="1" t="s">
        <v>5160</v>
      </c>
      <c r="B2575" s="1" t="s">
        <v>5161</v>
      </c>
      <c r="C2575" s="3">
        <v>200</v>
      </c>
      <c r="D2575" s="3" t="str">
        <f ca="1">IF(B2575="","",IFERROR(_xludf.XLOOKUP(_xludf.XLOOKUP(B2575,Inventory!$A:$A,Inventory!$B:$B),Blades!$A:$A,Blades!$C:$C)+_xludf.XLOOKUP(_xludf.XLOOKUP(B2575,Inventory!$A:$A,Inventory!$C:$C),Motor!$A:$A,Motor!$C:$C)+_xludf.XLOOKUP(_xludf.XLOOKUP(B2575,Inventory!$A:$A,Inventory!$D:$D),Frame!$A:$A,Frame!$C:$C)+#REF!,""))</f>
        <v/>
      </c>
      <c r="E2575" s="4">
        <v>45985</v>
      </c>
      <c r="F2575" s="1" t="s">
        <v>8</v>
      </c>
    </row>
    <row r="2576" spans="1:6" x14ac:dyDescent="0.25">
      <c r="A2576" s="1" t="s">
        <v>5162</v>
      </c>
      <c r="B2576" s="1" t="s">
        <v>5163</v>
      </c>
      <c r="C2576" s="3">
        <v>200</v>
      </c>
      <c r="D2576" s="3" t="str">
        <f ca="1">IF(B2576="","",IFERROR(_xludf.XLOOKUP(_xludf.XLOOKUP(B2576,Inventory!$A:$A,Inventory!$B:$B),Blades!$A:$A,Blades!$C:$C)+_xludf.XLOOKUP(_xludf.XLOOKUP(B2576,Inventory!$A:$A,Inventory!$C:$C),Motor!$A:$A,Motor!$C:$C)+_xludf.XLOOKUP(_xludf.XLOOKUP(B2576,Inventory!$A:$A,Inventory!$D:$D),Frame!$A:$A,Frame!$C:$C)+#REF!,""))</f>
        <v/>
      </c>
      <c r="E2576" s="4">
        <v>45985</v>
      </c>
      <c r="F2576" s="1" t="s">
        <v>32</v>
      </c>
    </row>
    <row r="2577" spans="1:6" x14ac:dyDescent="0.25">
      <c r="A2577" s="1" t="s">
        <v>5164</v>
      </c>
      <c r="B2577" s="1" t="s">
        <v>5165</v>
      </c>
      <c r="C2577" s="3">
        <v>200</v>
      </c>
      <c r="D2577" s="3" t="str">
        <f ca="1">IF(B2577="","",IFERROR(_xludf.XLOOKUP(_xludf.XLOOKUP(B2577,Inventory!$A:$A,Inventory!$B:$B),Blades!$A:$A,Blades!$C:$C)+_xludf.XLOOKUP(_xludf.XLOOKUP(B2577,Inventory!$A:$A,Inventory!$C:$C),Motor!$A:$A,Motor!$C:$C)+_xludf.XLOOKUP(_xludf.XLOOKUP(B2577,Inventory!$A:$A,Inventory!$D:$D),Frame!$A:$A,Frame!$C:$C)+#REF!,""))</f>
        <v/>
      </c>
      <c r="E2577" s="4">
        <v>45986</v>
      </c>
      <c r="F2577" s="1" t="s">
        <v>49</v>
      </c>
    </row>
    <row r="2578" spans="1:6" x14ac:dyDescent="0.25">
      <c r="A2578" s="1" t="s">
        <v>5166</v>
      </c>
      <c r="B2578" s="1" t="s">
        <v>5167</v>
      </c>
      <c r="C2578" s="3">
        <v>200</v>
      </c>
      <c r="D2578" s="3" t="str">
        <f ca="1">IF(B2578="","",IFERROR(_xludf.XLOOKUP(_xludf.XLOOKUP(B2578,Inventory!$A:$A,Inventory!$B:$B),Blades!$A:$A,Blades!$C:$C)+_xludf.XLOOKUP(_xludf.XLOOKUP(B2578,Inventory!$A:$A,Inventory!$C:$C),Motor!$A:$A,Motor!$C:$C)+_xludf.XLOOKUP(_xludf.XLOOKUP(B2578,Inventory!$A:$A,Inventory!$D:$D),Frame!$A:$A,Frame!$C:$C)+#REF!,""))</f>
        <v/>
      </c>
      <c r="E2578" s="4">
        <v>45988</v>
      </c>
      <c r="F2578" s="1" t="s">
        <v>49</v>
      </c>
    </row>
    <row r="2579" spans="1:6" x14ac:dyDescent="0.25">
      <c r="A2579" s="1" t="s">
        <v>5168</v>
      </c>
      <c r="B2579" s="1" t="s">
        <v>5169</v>
      </c>
      <c r="C2579" s="3">
        <v>200</v>
      </c>
      <c r="D2579" s="3" t="str">
        <f ca="1">IF(B2579="","",IFERROR(_xludf.XLOOKUP(_xludf.XLOOKUP(B2579,Inventory!$A:$A,Inventory!$B:$B),Blades!$A:$A,Blades!$C:$C)+_xludf.XLOOKUP(_xludf.XLOOKUP(B2579,Inventory!$A:$A,Inventory!$C:$C),Motor!$A:$A,Motor!$C:$C)+_xludf.XLOOKUP(_xludf.XLOOKUP(B2579,Inventory!$A:$A,Inventory!$D:$D),Frame!$A:$A,Frame!$C:$C)+#REF!,""))</f>
        <v/>
      </c>
      <c r="E2579" s="4">
        <v>45988</v>
      </c>
      <c r="F2579" s="1" t="s">
        <v>25</v>
      </c>
    </row>
    <row r="2580" spans="1:6" x14ac:dyDescent="0.25">
      <c r="A2580" s="1" t="s">
        <v>5170</v>
      </c>
      <c r="B2580" s="1" t="s">
        <v>5171</v>
      </c>
      <c r="C2580" s="3">
        <v>200</v>
      </c>
      <c r="D2580" s="3" t="str">
        <f ca="1">IF(B2580="","",IFERROR(_xludf.XLOOKUP(_xludf.XLOOKUP(B2580,Inventory!$A:$A,Inventory!$B:$B),Blades!$A:$A,Blades!$C:$C)+_xludf.XLOOKUP(_xludf.XLOOKUP(B2580,Inventory!$A:$A,Inventory!$C:$C),Motor!$A:$A,Motor!$C:$C)+_xludf.XLOOKUP(_xludf.XLOOKUP(B2580,Inventory!$A:$A,Inventory!$D:$D),Frame!$A:$A,Frame!$C:$C)+#REF!,""))</f>
        <v/>
      </c>
      <c r="E2580" s="4">
        <v>45990</v>
      </c>
      <c r="F2580" s="1" t="s">
        <v>32</v>
      </c>
    </row>
    <row r="2581" spans="1:6" x14ac:dyDescent="0.25">
      <c r="A2581" s="1" t="s">
        <v>5172</v>
      </c>
      <c r="B2581" s="1" t="s">
        <v>5173</v>
      </c>
      <c r="C2581" s="3">
        <v>200</v>
      </c>
      <c r="D2581" s="3" t="str">
        <f ca="1">IF(B2581="","",IFERROR(_xludf.XLOOKUP(_xludf.XLOOKUP(B2581,Inventory!$A:$A,Inventory!$B:$B),Blades!$A:$A,Blades!$C:$C)+_xludf.XLOOKUP(_xludf.XLOOKUP(B2581,Inventory!$A:$A,Inventory!$C:$C),Motor!$A:$A,Motor!$C:$C)+_xludf.XLOOKUP(_xludf.XLOOKUP(B2581,Inventory!$A:$A,Inventory!$D:$D),Frame!$A:$A,Frame!$C:$C)+#REF!,""))</f>
        <v/>
      </c>
      <c r="E2581" s="4">
        <v>45991</v>
      </c>
      <c r="F2581" s="1" t="s">
        <v>63</v>
      </c>
    </row>
    <row r="2582" spans="1:6" x14ac:dyDescent="0.25">
      <c r="A2582" s="1" t="s">
        <v>5174</v>
      </c>
      <c r="B2582" s="1" t="s">
        <v>5175</v>
      </c>
      <c r="C2582" s="3">
        <v>200</v>
      </c>
      <c r="D2582" s="3" t="str">
        <f ca="1">IF(B2582="","",IFERROR(_xludf.XLOOKUP(_xludf.XLOOKUP(B2582,Inventory!$A:$A,Inventory!$B:$B),Blades!$A:$A,Blades!$C:$C)+_xludf.XLOOKUP(_xludf.XLOOKUP(B2582,Inventory!$A:$A,Inventory!$C:$C),Motor!$A:$A,Motor!$C:$C)+_xludf.XLOOKUP(_xludf.XLOOKUP(B2582,Inventory!$A:$A,Inventory!$D:$D),Frame!$A:$A,Frame!$C:$C)+#REF!,""))</f>
        <v/>
      </c>
      <c r="E2582" s="4">
        <v>45992</v>
      </c>
      <c r="F2582" s="1" t="s">
        <v>20</v>
      </c>
    </row>
    <row r="2583" spans="1:6" x14ac:dyDescent="0.25">
      <c r="A2583" s="1" t="s">
        <v>5176</v>
      </c>
      <c r="B2583" s="1" t="s">
        <v>5177</v>
      </c>
      <c r="C2583" s="3">
        <v>200</v>
      </c>
      <c r="D2583" s="3" t="str">
        <f ca="1">IF(B2583="","",IFERROR(_xludf.XLOOKUP(_xludf.XLOOKUP(B2583,Inventory!$A:$A,Inventory!$B:$B),Blades!$A:$A,Blades!$C:$C)+_xludf.XLOOKUP(_xludf.XLOOKUP(B2583,Inventory!$A:$A,Inventory!$C:$C),Motor!$A:$A,Motor!$C:$C)+_xludf.XLOOKUP(_xludf.XLOOKUP(B2583,Inventory!$A:$A,Inventory!$D:$D),Frame!$A:$A,Frame!$C:$C)+#REF!,""))</f>
        <v/>
      </c>
      <c r="E2583" s="4">
        <v>45993</v>
      </c>
      <c r="F2583" s="1" t="s">
        <v>49</v>
      </c>
    </row>
    <row r="2584" spans="1:6" x14ac:dyDescent="0.25">
      <c r="A2584" s="1" t="s">
        <v>5178</v>
      </c>
      <c r="B2584" s="1" t="s">
        <v>5179</v>
      </c>
      <c r="C2584" s="3">
        <v>200</v>
      </c>
      <c r="D2584" s="3" t="str">
        <f ca="1">IF(B2584="","",IFERROR(_xludf.XLOOKUP(_xludf.XLOOKUP(B2584,Inventory!$A:$A,Inventory!$B:$B),Blades!$A:$A,Blades!$C:$C)+_xludf.XLOOKUP(_xludf.XLOOKUP(B2584,Inventory!$A:$A,Inventory!$C:$C),Motor!$A:$A,Motor!$C:$C)+_xludf.XLOOKUP(_xludf.XLOOKUP(B2584,Inventory!$A:$A,Inventory!$D:$D),Frame!$A:$A,Frame!$C:$C)+#REF!,""))</f>
        <v/>
      </c>
      <c r="E2584" s="4">
        <v>45993</v>
      </c>
      <c r="F2584" s="1" t="s">
        <v>49</v>
      </c>
    </row>
    <row r="2585" spans="1:6" x14ac:dyDescent="0.25">
      <c r="A2585" s="1" t="s">
        <v>5180</v>
      </c>
      <c r="B2585" s="1" t="s">
        <v>5181</v>
      </c>
      <c r="C2585" s="3">
        <v>200</v>
      </c>
      <c r="D2585" s="3" t="str">
        <f ca="1">IF(B2585="","",IFERROR(_xludf.XLOOKUP(_xludf.XLOOKUP(B2585,Inventory!$A:$A,Inventory!$B:$B),Blades!$A:$A,Blades!$C:$C)+_xludf.XLOOKUP(_xludf.XLOOKUP(B2585,Inventory!$A:$A,Inventory!$C:$C),Motor!$A:$A,Motor!$C:$C)+_xludf.XLOOKUP(_xludf.XLOOKUP(B2585,Inventory!$A:$A,Inventory!$D:$D),Frame!$A:$A,Frame!$C:$C)+#REF!,""))</f>
        <v/>
      </c>
      <c r="E2585" s="4">
        <v>45994</v>
      </c>
      <c r="F2585" s="1" t="s">
        <v>11</v>
      </c>
    </row>
    <row r="2586" spans="1:6" x14ac:dyDescent="0.25">
      <c r="A2586" s="1" t="s">
        <v>5182</v>
      </c>
      <c r="B2586" s="1" t="s">
        <v>5183</v>
      </c>
      <c r="C2586" s="3">
        <v>200</v>
      </c>
      <c r="D2586" s="3" t="str">
        <f ca="1">IF(B2586="","",IFERROR(_xludf.XLOOKUP(_xludf.XLOOKUP(B2586,Inventory!$A:$A,Inventory!$B:$B),Blades!$A:$A,Blades!$C:$C)+_xludf.XLOOKUP(_xludf.XLOOKUP(B2586,Inventory!$A:$A,Inventory!$C:$C),Motor!$A:$A,Motor!$C:$C)+_xludf.XLOOKUP(_xludf.XLOOKUP(B2586,Inventory!$A:$A,Inventory!$D:$D),Frame!$A:$A,Frame!$C:$C)+#REF!,""))</f>
        <v/>
      </c>
      <c r="E2586" s="4">
        <v>45994</v>
      </c>
      <c r="F2586" s="1" t="s">
        <v>52</v>
      </c>
    </row>
    <row r="2587" spans="1:6" x14ac:dyDescent="0.25">
      <c r="A2587" s="1" t="s">
        <v>5184</v>
      </c>
      <c r="B2587" s="1" t="s">
        <v>5185</v>
      </c>
      <c r="C2587" s="3">
        <v>200</v>
      </c>
      <c r="D2587" s="3" t="str">
        <f ca="1">IF(B2587="","",IFERROR(_xludf.XLOOKUP(_xludf.XLOOKUP(B2587,Inventory!$A:$A,Inventory!$B:$B),Blades!$A:$A,Blades!$C:$C)+_xludf.XLOOKUP(_xludf.XLOOKUP(B2587,Inventory!$A:$A,Inventory!$C:$C),Motor!$A:$A,Motor!$C:$C)+_xludf.XLOOKUP(_xludf.XLOOKUP(B2587,Inventory!$A:$A,Inventory!$D:$D),Frame!$A:$A,Frame!$C:$C)+#REF!,""))</f>
        <v/>
      </c>
      <c r="E2587" s="4">
        <v>45994</v>
      </c>
      <c r="F2587" s="1" t="s">
        <v>32</v>
      </c>
    </row>
    <row r="2588" spans="1:6" x14ac:dyDescent="0.25">
      <c r="A2588" s="1" t="s">
        <v>5186</v>
      </c>
      <c r="B2588" s="1" t="s">
        <v>5187</v>
      </c>
      <c r="C2588" s="3">
        <v>200</v>
      </c>
      <c r="D2588" s="3" t="str">
        <f ca="1">IF(B2588="","",IFERROR(_xludf.XLOOKUP(_xludf.XLOOKUP(B2588,Inventory!$A:$A,Inventory!$B:$B),Blades!$A:$A,Blades!$C:$C)+_xludf.XLOOKUP(_xludf.XLOOKUP(B2588,Inventory!$A:$A,Inventory!$C:$C),Motor!$A:$A,Motor!$C:$C)+_xludf.XLOOKUP(_xludf.XLOOKUP(B2588,Inventory!$A:$A,Inventory!$D:$D),Frame!$A:$A,Frame!$C:$C)+#REF!,""))</f>
        <v/>
      </c>
      <c r="E2588" s="4">
        <v>45995</v>
      </c>
      <c r="F2588" s="1" t="s">
        <v>49</v>
      </c>
    </row>
    <row r="2589" spans="1:6" x14ac:dyDescent="0.25">
      <c r="A2589" s="1" t="s">
        <v>5188</v>
      </c>
      <c r="B2589" s="1" t="s">
        <v>5189</v>
      </c>
      <c r="C2589" s="3">
        <v>200</v>
      </c>
      <c r="D2589" s="3" t="str">
        <f ca="1">IF(B2589="","",IFERROR(_xludf.XLOOKUP(_xludf.XLOOKUP(B2589,Inventory!$A:$A,Inventory!$B:$B),Blades!$A:$A,Blades!$C:$C)+_xludf.XLOOKUP(_xludf.XLOOKUP(B2589,Inventory!$A:$A,Inventory!$C:$C),Motor!$A:$A,Motor!$C:$C)+_xludf.XLOOKUP(_xludf.XLOOKUP(B2589,Inventory!$A:$A,Inventory!$D:$D),Frame!$A:$A,Frame!$C:$C)+#REF!,""))</f>
        <v/>
      </c>
      <c r="E2589" s="4">
        <v>45995</v>
      </c>
      <c r="F2589" s="1" t="s">
        <v>20</v>
      </c>
    </row>
    <row r="2590" spans="1:6" x14ac:dyDescent="0.25">
      <c r="A2590" s="1" t="s">
        <v>5190</v>
      </c>
      <c r="B2590" s="1" t="s">
        <v>5191</v>
      </c>
      <c r="C2590" s="3">
        <v>200</v>
      </c>
      <c r="D2590" s="3" t="str">
        <f ca="1">IF(B2590="","",IFERROR(_xludf.XLOOKUP(_xludf.XLOOKUP(B2590,Inventory!$A:$A,Inventory!$B:$B),Blades!$A:$A,Blades!$C:$C)+_xludf.XLOOKUP(_xludf.XLOOKUP(B2590,Inventory!$A:$A,Inventory!$C:$C),Motor!$A:$A,Motor!$C:$C)+_xludf.XLOOKUP(_xludf.XLOOKUP(B2590,Inventory!$A:$A,Inventory!$D:$D),Frame!$A:$A,Frame!$C:$C)+#REF!,""))</f>
        <v/>
      </c>
      <c r="E2590" s="4">
        <v>45995</v>
      </c>
      <c r="F2590" s="1" t="s">
        <v>49</v>
      </c>
    </row>
    <row r="2591" spans="1:6" x14ac:dyDescent="0.25">
      <c r="A2591" s="1" t="s">
        <v>5192</v>
      </c>
      <c r="B2591" s="1" t="s">
        <v>5193</v>
      </c>
      <c r="C2591" s="3">
        <v>200</v>
      </c>
      <c r="D2591" s="3" t="str">
        <f ca="1">IF(B2591="","",IFERROR(_xludf.XLOOKUP(_xludf.XLOOKUP(B2591,Inventory!$A:$A,Inventory!$B:$B),Blades!$A:$A,Blades!$C:$C)+_xludf.XLOOKUP(_xludf.XLOOKUP(B2591,Inventory!$A:$A,Inventory!$C:$C),Motor!$A:$A,Motor!$C:$C)+_xludf.XLOOKUP(_xludf.XLOOKUP(B2591,Inventory!$A:$A,Inventory!$D:$D),Frame!$A:$A,Frame!$C:$C)+#REF!,""))</f>
        <v/>
      </c>
      <c r="E2591" s="4">
        <v>45995</v>
      </c>
      <c r="F2591" s="1" t="s">
        <v>20</v>
      </c>
    </row>
    <row r="2592" spans="1:6" x14ac:dyDescent="0.25">
      <c r="A2592" s="1" t="s">
        <v>5194</v>
      </c>
      <c r="B2592" s="1" t="s">
        <v>5195</v>
      </c>
      <c r="C2592" s="3">
        <v>200</v>
      </c>
      <c r="D2592" s="3" t="str">
        <f ca="1">IF(B2592="","",IFERROR(_xludf.XLOOKUP(_xludf.XLOOKUP(B2592,Inventory!$A:$A,Inventory!$B:$B),Blades!$A:$A,Blades!$C:$C)+_xludf.XLOOKUP(_xludf.XLOOKUP(B2592,Inventory!$A:$A,Inventory!$C:$C),Motor!$A:$A,Motor!$C:$C)+_xludf.XLOOKUP(_xludf.XLOOKUP(B2592,Inventory!$A:$A,Inventory!$D:$D),Frame!$A:$A,Frame!$C:$C)+#REF!,""))</f>
        <v/>
      </c>
      <c r="E2592" s="4">
        <v>45996</v>
      </c>
      <c r="F2592" s="1" t="s">
        <v>20</v>
      </c>
    </row>
    <row r="2593" spans="1:6" x14ac:dyDescent="0.25">
      <c r="A2593" s="1" t="s">
        <v>5196</v>
      </c>
      <c r="B2593" s="1" t="s">
        <v>5197</v>
      </c>
      <c r="C2593" s="3">
        <v>200</v>
      </c>
      <c r="D2593" s="3" t="str">
        <f ca="1">IF(B2593="","",IFERROR(_xludf.XLOOKUP(_xludf.XLOOKUP(B2593,Inventory!$A:$A,Inventory!$B:$B),Blades!$A:$A,Blades!$C:$C)+_xludf.XLOOKUP(_xludf.XLOOKUP(B2593,Inventory!$A:$A,Inventory!$C:$C),Motor!$A:$A,Motor!$C:$C)+_xludf.XLOOKUP(_xludf.XLOOKUP(B2593,Inventory!$A:$A,Inventory!$D:$D),Frame!$A:$A,Frame!$C:$C)+#REF!,""))</f>
        <v/>
      </c>
      <c r="E2593" s="4">
        <v>45997</v>
      </c>
      <c r="F2593" s="1" t="s">
        <v>11</v>
      </c>
    </row>
    <row r="2594" spans="1:6" x14ac:dyDescent="0.25">
      <c r="A2594" s="1" t="s">
        <v>5198</v>
      </c>
      <c r="B2594" s="1" t="s">
        <v>5199</v>
      </c>
      <c r="C2594" s="3">
        <v>200</v>
      </c>
      <c r="D2594" s="3" t="str">
        <f ca="1">IF(B2594="","",IFERROR(_xludf.XLOOKUP(_xludf.XLOOKUP(B2594,Inventory!$A:$A,Inventory!$B:$B),Blades!$A:$A,Blades!$C:$C)+_xludf.XLOOKUP(_xludf.XLOOKUP(B2594,Inventory!$A:$A,Inventory!$C:$C),Motor!$A:$A,Motor!$C:$C)+_xludf.XLOOKUP(_xludf.XLOOKUP(B2594,Inventory!$A:$A,Inventory!$D:$D),Frame!$A:$A,Frame!$C:$C)+#REF!,""))</f>
        <v/>
      </c>
      <c r="E2594" s="4">
        <v>45997</v>
      </c>
      <c r="F2594" s="1" t="s">
        <v>25</v>
      </c>
    </row>
    <row r="2595" spans="1:6" x14ac:dyDescent="0.25">
      <c r="A2595" s="1" t="s">
        <v>5200</v>
      </c>
      <c r="B2595" s="1" t="s">
        <v>5201</v>
      </c>
      <c r="C2595" s="3">
        <v>200</v>
      </c>
      <c r="D2595" s="3" t="str">
        <f ca="1">IF(B2595="","",IFERROR(_xludf.XLOOKUP(_xludf.XLOOKUP(B2595,Inventory!$A:$A,Inventory!$B:$B),Blades!$A:$A,Blades!$C:$C)+_xludf.XLOOKUP(_xludf.XLOOKUP(B2595,Inventory!$A:$A,Inventory!$C:$C),Motor!$A:$A,Motor!$C:$C)+_xludf.XLOOKUP(_xludf.XLOOKUP(B2595,Inventory!$A:$A,Inventory!$D:$D),Frame!$A:$A,Frame!$C:$C)+#REF!,""))</f>
        <v/>
      </c>
      <c r="E2595" s="4">
        <v>45997</v>
      </c>
      <c r="F2595" s="1" t="s">
        <v>49</v>
      </c>
    </row>
    <row r="2596" spans="1:6" x14ac:dyDescent="0.25">
      <c r="A2596" s="1" t="s">
        <v>5202</v>
      </c>
      <c r="B2596" s="1" t="s">
        <v>5203</v>
      </c>
      <c r="C2596" s="3">
        <v>200</v>
      </c>
      <c r="D2596" s="3" t="str">
        <f ca="1">IF(B2596="","",IFERROR(_xludf.XLOOKUP(_xludf.XLOOKUP(B2596,Inventory!$A:$A,Inventory!$B:$B),Blades!$A:$A,Blades!$C:$C)+_xludf.XLOOKUP(_xludf.XLOOKUP(B2596,Inventory!$A:$A,Inventory!$C:$C),Motor!$A:$A,Motor!$C:$C)+_xludf.XLOOKUP(_xludf.XLOOKUP(B2596,Inventory!$A:$A,Inventory!$D:$D),Frame!$A:$A,Frame!$C:$C)+#REF!,""))</f>
        <v/>
      </c>
      <c r="E2596" s="4">
        <v>45998</v>
      </c>
      <c r="F2596" s="1" t="s">
        <v>25</v>
      </c>
    </row>
    <row r="2597" spans="1:6" x14ac:dyDescent="0.25">
      <c r="A2597" s="1" t="s">
        <v>5204</v>
      </c>
      <c r="B2597" s="1" t="s">
        <v>5205</v>
      </c>
      <c r="C2597" s="3">
        <v>200</v>
      </c>
      <c r="D2597" s="3" t="str">
        <f ca="1">IF(B2597="","",IFERROR(_xludf.XLOOKUP(_xludf.XLOOKUP(B2597,Inventory!$A:$A,Inventory!$B:$B),Blades!$A:$A,Blades!$C:$C)+_xludf.XLOOKUP(_xludf.XLOOKUP(B2597,Inventory!$A:$A,Inventory!$C:$C),Motor!$A:$A,Motor!$C:$C)+_xludf.XLOOKUP(_xludf.XLOOKUP(B2597,Inventory!$A:$A,Inventory!$D:$D),Frame!$A:$A,Frame!$C:$C)+#REF!,""))</f>
        <v/>
      </c>
      <c r="E2597" s="4">
        <v>45998</v>
      </c>
      <c r="F2597" s="1" t="s">
        <v>49</v>
      </c>
    </row>
    <row r="2598" spans="1:6" x14ac:dyDescent="0.25">
      <c r="A2598" s="1" t="s">
        <v>5206</v>
      </c>
      <c r="B2598" s="1" t="s">
        <v>5207</v>
      </c>
      <c r="C2598" s="3">
        <v>200</v>
      </c>
      <c r="D2598" s="3" t="str">
        <f ca="1">IF(B2598="","",IFERROR(_xludf.XLOOKUP(_xludf.XLOOKUP(B2598,Inventory!$A:$A,Inventory!$B:$B),Blades!$A:$A,Blades!$C:$C)+_xludf.XLOOKUP(_xludf.XLOOKUP(B2598,Inventory!$A:$A,Inventory!$C:$C),Motor!$A:$A,Motor!$C:$C)+_xludf.XLOOKUP(_xludf.XLOOKUP(B2598,Inventory!$A:$A,Inventory!$D:$D),Frame!$A:$A,Frame!$C:$C)+#REF!,""))</f>
        <v/>
      </c>
      <c r="E2598" s="4">
        <v>45998</v>
      </c>
      <c r="F2598" s="1" t="s">
        <v>8</v>
      </c>
    </row>
    <row r="2599" spans="1:6" x14ac:dyDescent="0.25">
      <c r="A2599" s="1" t="s">
        <v>5208</v>
      </c>
      <c r="B2599" s="1" t="s">
        <v>5209</v>
      </c>
      <c r="C2599" s="3">
        <v>200</v>
      </c>
      <c r="D2599" s="3" t="str">
        <f ca="1">IF(B2599="","",IFERROR(_xludf.XLOOKUP(_xludf.XLOOKUP(B2599,Inventory!$A:$A,Inventory!$B:$B),Blades!$A:$A,Blades!$C:$C)+_xludf.XLOOKUP(_xludf.XLOOKUP(B2599,Inventory!$A:$A,Inventory!$C:$C),Motor!$A:$A,Motor!$C:$C)+_xludf.XLOOKUP(_xludf.XLOOKUP(B2599,Inventory!$A:$A,Inventory!$D:$D),Frame!$A:$A,Frame!$C:$C)+#REF!,""))</f>
        <v/>
      </c>
      <c r="E2599" s="4">
        <v>45999</v>
      </c>
      <c r="F2599" s="1" t="s">
        <v>32</v>
      </c>
    </row>
    <row r="2600" spans="1:6" x14ac:dyDescent="0.25">
      <c r="A2600" s="1" t="s">
        <v>5210</v>
      </c>
      <c r="B2600" s="1" t="s">
        <v>5211</v>
      </c>
      <c r="C2600" s="3">
        <v>200</v>
      </c>
      <c r="D2600" s="3" t="str">
        <f ca="1">IF(B2600="","",IFERROR(_xludf.XLOOKUP(_xludf.XLOOKUP(B2600,Inventory!$A:$A,Inventory!$B:$B),Blades!$A:$A,Blades!$C:$C)+_xludf.XLOOKUP(_xludf.XLOOKUP(B2600,Inventory!$A:$A,Inventory!$C:$C),Motor!$A:$A,Motor!$C:$C)+_xludf.XLOOKUP(_xludf.XLOOKUP(B2600,Inventory!$A:$A,Inventory!$D:$D),Frame!$A:$A,Frame!$C:$C)+#REF!,""))</f>
        <v/>
      </c>
      <c r="E2600" s="4">
        <v>45999</v>
      </c>
      <c r="F2600" s="1" t="s">
        <v>32</v>
      </c>
    </row>
    <row r="2601" spans="1:6" x14ac:dyDescent="0.25">
      <c r="A2601" s="1" t="s">
        <v>5212</v>
      </c>
      <c r="B2601" s="1" t="s">
        <v>5213</v>
      </c>
      <c r="C2601" s="3">
        <v>200</v>
      </c>
      <c r="D2601" s="3" t="str">
        <f ca="1">IF(B2601="","",IFERROR(_xludf.XLOOKUP(_xludf.XLOOKUP(B2601,Inventory!$A:$A,Inventory!$B:$B),Blades!$A:$A,Blades!$C:$C)+_xludf.XLOOKUP(_xludf.XLOOKUP(B2601,Inventory!$A:$A,Inventory!$C:$C),Motor!$A:$A,Motor!$C:$C)+_xludf.XLOOKUP(_xludf.XLOOKUP(B2601,Inventory!$A:$A,Inventory!$D:$D),Frame!$A:$A,Frame!$C:$C)+#REF!,""))</f>
        <v/>
      </c>
      <c r="E2601" s="4">
        <v>45999</v>
      </c>
      <c r="F2601" s="1" t="s">
        <v>25</v>
      </c>
    </row>
    <row r="2602" spans="1:6" x14ac:dyDescent="0.25">
      <c r="A2602" s="1" t="s">
        <v>5214</v>
      </c>
      <c r="B2602" s="1" t="s">
        <v>5215</v>
      </c>
      <c r="C2602" s="3">
        <v>200</v>
      </c>
      <c r="D2602" s="3" t="str">
        <f ca="1">IF(B2602="","",IFERROR(_xludf.XLOOKUP(_xludf.XLOOKUP(B2602,Inventory!$A:$A,Inventory!$B:$B),Blades!$A:$A,Blades!$C:$C)+_xludf.XLOOKUP(_xludf.XLOOKUP(B2602,Inventory!$A:$A,Inventory!$C:$C),Motor!$A:$A,Motor!$C:$C)+_xludf.XLOOKUP(_xludf.XLOOKUP(B2602,Inventory!$A:$A,Inventory!$D:$D),Frame!$A:$A,Frame!$C:$C)+#REF!,""))</f>
        <v/>
      </c>
      <c r="E2602" s="4">
        <v>46000</v>
      </c>
      <c r="F2602" s="1" t="s">
        <v>11</v>
      </c>
    </row>
    <row r="2603" spans="1:6" x14ac:dyDescent="0.25">
      <c r="A2603" s="1" t="s">
        <v>5216</v>
      </c>
      <c r="B2603" s="1" t="s">
        <v>5217</v>
      </c>
      <c r="C2603" s="3">
        <v>200</v>
      </c>
      <c r="D2603" s="3" t="str">
        <f ca="1">IF(B2603="","",IFERROR(_xludf.XLOOKUP(_xludf.XLOOKUP(B2603,Inventory!$A:$A,Inventory!$B:$B),Blades!$A:$A,Blades!$C:$C)+_xludf.XLOOKUP(_xludf.XLOOKUP(B2603,Inventory!$A:$A,Inventory!$C:$C),Motor!$A:$A,Motor!$C:$C)+_xludf.XLOOKUP(_xludf.XLOOKUP(B2603,Inventory!$A:$A,Inventory!$D:$D),Frame!$A:$A,Frame!$C:$C)+#REF!,""))</f>
        <v/>
      </c>
      <c r="E2603" s="4">
        <v>46001</v>
      </c>
      <c r="F2603" s="1" t="s">
        <v>49</v>
      </c>
    </row>
    <row r="2604" spans="1:6" x14ac:dyDescent="0.25">
      <c r="A2604" s="1" t="s">
        <v>5218</v>
      </c>
      <c r="B2604" s="1" t="s">
        <v>5219</v>
      </c>
      <c r="C2604" s="3">
        <v>200</v>
      </c>
      <c r="D2604" s="3" t="str">
        <f ca="1">IF(B2604="","",IFERROR(_xludf.XLOOKUP(_xludf.XLOOKUP(B2604,Inventory!$A:$A,Inventory!$B:$B),Blades!$A:$A,Blades!$C:$C)+_xludf.XLOOKUP(_xludf.XLOOKUP(B2604,Inventory!$A:$A,Inventory!$C:$C),Motor!$A:$A,Motor!$C:$C)+_xludf.XLOOKUP(_xludf.XLOOKUP(B2604,Inventory!$A:$A,Inventory!$D:$D),Frame!$A:$A,Frame!$C:$C)+#REF!,""))</f>
        <v/>
      </c>
      <c r="E2604" s="4">
        <v>46003</v>
      </c>
      <c r="F2604" s="1" t="s">
        <v>11</v>
      </c>
    </row>
    <row r="2605" spans="1:6" x14ac:dyDescent="0.25">
      <c r="A2605" s="1" t="s">
        <v>5220</v>
      </c>
      <c r="B2605" s="1" t="s">
        <v>5221</v>
      </c>
      <c r="C2605" s="3">
        <v>200</v>
      </c>
      <c r="D2605" s="3" t="str">
        <f ca="1">IF(B2605="","",IFERROR(_xludf.XLOOKUP(_xludf.XLOOKUP(B2605,Inventory!$A:$A,Inventory!$B:$B),Blades!$A:$A,Blades!$C:$C)+_xludf.XLOOKUP(_xludf.XLOOKUP(B2605,Inventory!$A:$A,Inventory!$C:$C),Motor!$A:$A,Motor!$C:$C)+_xludf.XLOOKUP(_xludf.XLOOKUP(B2605,Inventory!$A:$A,Inventory!$D:$D),Frame!$A:$A,Frame!$C:$C)+#REF!,""))</f>
        <v/>
      </c>
      <c r="E2605" s="4">
        <v>46003</v>
      </c>
      <c r="F2605" s="1" t="s">
        <v>49</v>
      </c>
    </row>
    <row r="2606" spans="1:6" x14ac:dyDescent="0.25">
      <c r="A2606" s="1" t="s">
        <v>5222</v>
      </c>
      <c r="B2606" s="1" t="s">
        <v>5223</v>
      </c>
      <c r="C2606" s="3">
        <v>200</v>
      </c>
      <c r="D2606" s="3" t="str">
        <f ca="1">IF(B2606="","",IFERROR(_xludf.XLOOKUP(_xludf.XLOOKUP(B2606,Inventory!$A:$A,Inventory!$B:$B),Blades!$A:$A,Blades!$C:$C)+_xludf.XLOOKUP(_xludf.XLOOKUP(B2606,Inventory!$A:$A,Inventory!$C:$C),Motor!$A:$A,Motor!$C:$C)+_xludf.XLOOKUP(_xludf.XLOOKUP(B2606,Inventory!$A:$A,Inventory!$D:$D),Frame!$A:$A,Frame!$C:$C)+#REF!,""))</f>
        <v/>
      </c>
      <c r="E2606" s="4">
        <v>46005</v>
      </c>
      <c r="F2606" s="1" t="s">
        <v>20</v>
      </c>
    </row>
    <row r="2607" spans="1:6" x14ac:dyDescent="0.25">
      <c r="A2607" s="1" t="s">
        <v>5224</v>
      </c>
      <c r="B2607" s="1" t="s">
        <v>5225</v>
      </c>
      <c r="C2607" s="3">
        <v>200</v>
      </c>
      <c r="D2607" s="3" t="str">
        <f ca="1">IF(B2607="","",IFERROR(_xludf.XLOOKUP(_xludf.XLOOKUP(B2607,Inventory!$A:$A,Inventory!$B:$B),Blades!$A:$A,Blades!$C:$C)+_xludf.XLOOKUP(_xludf.XLOOKUP(B2607,Inventory!$A:$A,Inventory!$C:$C),Motor!$A:$A,Motor!$C:$C)+_xludf.XLOOKUP(_xludf.XLOOKUP(B2607,Inventory!$A:$A,Inventory!$D:$D),Frame!$A:$A,Frame!$C:$C)+#REF!,""))</f>
        <v/>
      </c>
      <c r="E2607" s="4">
        <v>46005</v>
      </c>
      <c r="F2607" s="1" t="s">
        <v>11</v>
      </c>
    </row>
    <row r="2608" spans="1:6" x14ac:dyDescent="0.25">
      <c r="A2608" s="1" t="s">
        <v>5226</v>
      </c>
      <c r="B2608" s="1" t="s">
        <v>5227</v>
      </c>
      <c r="C2608" s="3">
        <v>200</v>
      </c>
      <c r="D2608" s="3" t="str">
        <f ca="1">IF(B2608="","",IFERROR(_xludf.XLOOKUP(_xludf.XLOOKUP(B2608,Inventory!$A:$A,Inventory!$B:$B),Blades!$A:$A,Blades!$C:$C)+_xludf.XLOOKUP(_xludf.XLOOKUP(B2608,Inventory!$A:$A,Inventory!$C:$C),Motor!$A:$A,Motor!$C:$C)+_xludf.XLOOKUP(_xludf.XLOOKUP(B2608,Inventory!$A:$A,Inventory!$D:$D),Frame!$A:$A,Frame!$C:$C)+#REF!,""))</f>
        <v/>
      </c>
      <c r="E2608" s="4">
        <v>46005</v>
      </c>
      <c r="F2608" s="1" t="s">
        <v>8</v>
      </c>
    </row>
    <row r="2609" spans="1:6" x14ac:dyDescent="0.25">
      <c r="A2609" s="1" t="s">
        <v>5228</v>
      </c>
      <c r="B2609" s="1" t="s">
        <v>5229</v>
      </c>
      <c r="C2609" s="3">
        <v>200</v>
      </c>
      <c r="D2609" s="3" t="str">
        <f ca="1">IF(B2609="","",IFERROR(_xludf.XLOOKUP(_xludf.XLOOKUP(B2609,Inventory!$A:$A,Inventory!$B:$B),Blades!$A:$A,Blades!$C:$C)+_xludf.XLOOKUP(_xludf.XLOOKUP(B2609,Inventory!$A:$A,Inventory!$C:$C),Motor!$A:$A,Motor!$C:$C)+_xludf.XLOOKUP(_xludf.XLOOKUP(B2609,Inventory!$A:$A,Inventory!$D:$D),Frame!$A:$A,Frame!$C:$C)+#REF!,""))</f>
        <v/>
      </c>
      <c r="E2609" s="4">
        <v>46005</v>
      </c>
      <c r="F2609" s="1" t="s">
        <v>8</v>
      </c>
    </row>
    <row r="2610" spans="1:6" x14ac:dyDescent="0.25">
      <c r="A2610" s="1" t="s">
        <v>5230</v>
      </c>
      <c r="B2610" s="1" t="s">
        <v>5231</v>
      </c>
      <c r="C2610" s="3">
        <v>200</v>
      </c>
      <c r="D2610" s="3" t="str">
        <f ca="1">IF(B2610="","",IFERROR(_xludf.XLOOKUP(_xludf.XLOOKUP(B2610,Inventory!$A:$A,Inventory!$B:$B),Blades!$A:$A,Blades!$C:$C)+_xludf.XLOOKUP(_xludf.XLOOKUP(B2610,Inventory!$A:$A,Inventory!$C:$C),Motor!$A:$A,Motor!$C:$C)+_xludf.XLOOKUP(_xludf.XLOOKUP(B2610,Inventory!$A:$A,Inventory!$D:$D),Frame!$A:$A,Frame!$C:$C)+#REF!,""))</f>
        <v/>
      </c>
      <c r="E2610" s="4">
        <v>46005</v>
      </c>
      <c r="F2610" s="1" t="s">
        <v>11</v>
      </c>
    </row>
    <row r="2611" spans="1:6" x14ac:dyDescent="0.25">
      <c r="A2611" s="1" t="s">
        <v>5232</v>
      </c>
      <c r="B2611" s="1" t="s">
        <v>5233</v>
      </c>
      <c r="C2611" s="3">
        <v>200</v>
      </c>
      <c r="D2611" s="3" t="str">
        <f ca="1">IF(B2611="","",IFERROR(_xludf.XLOOKUP(_xludf.XLOOKUP(B2611,Inventory!$A:$A,Inventory!$B:$B),Blades!$A:$A,Blades!$C:$C)+_xludf.XLOOKUP(_xludf.XLOOKUP(B2611,Inventory!$A:$A,Inventory!$C:$C),Motor!$A:$A,Motor!$C:$C)+_xludf.XLOOKUP(_xludf.XLOOKUP(B2611,Inventory!$A:$A,Inventory!$D:$D),Frame!$A:$A,Frame!$C:$C)+#REF!,""))</f>
        <v/>
      </c>
      <c r="E2611" s="4">
        <v>46005</v>
      </c>
      <c r="F2611" s="1" t="s">
        <v>20</v>
      </c>
    </row>
    <row r="2612" spans="1:6" x14ac:dyDescent="0.25">
      <c r="A2612" s="1" t="s">
        <v>5234</v>
      </c>
      <c r="B2612" s="1" t="s">
        <v>5235</v>
      </c>
      <c r="C2612" s="3">
        <v>200</v>
      </c>
      <c r="D2612" s="3" t="str">
        <f ca="1">IF(B2612="","",IFERROR(_xludf.XLOOKUP(_xludf.XLOOKUP(B2612,Inventory!$A:$A,Inventory!$B:$B),Blades!$A:$A,Blades!$C:$C)+_xludf.XLOOKUP(_xludf.XLOOKUP(B2612,Inventory!$A:$A,Inventory!$C:$C),Motor!$A:$A,Motor!$C:$C)+_xludf.XLOOKUP(_xludf.XLOOKUP(B2612,Inventory!$A:$A,Inventory!$D:$D),Frame!$A:$A,Frame!$C:$C)+#REF!,""))</f>
        <v/>
      </c>
      <c r="E2612" s="4">
        <v>46005</v>
      </c>
      <c r="F2612" s="1" t="s">
        <v>32</v>
      </c>
    </row>
    <row r="2613" spans="1:6" x14ac:dyDescent="0.25">
      <c r="A2613" s="1" t="s">
        <v>5236</v>
      </c>
      <c r="B2613" s="1" t="s">
        <v>5237</v>
      </c>
      <c r="C2613" s="3">
        <v>200</v>
      </c>
      <c r="D2613" s="3" t="str">
        <f ca="1">IF(B2613="","",IFERROR(_xludf.XLOOKUP(_xludf.XLOOKUP(B2613,Inventory!$A:$A,Inventory!$B:$B),Blades!$A:$A,Blades!$C:$C)+_xludf.XLOOKUP(_xludf.XLOOKUP(B2613,Inventory!$A:$A,Inventory!$C:$C),Motor!$A:$A,Motor!$C:$C)+_xludf.XLOOKUP(_xludf.XLOOKUP(B2613,Inventory!$A:$A,Inventory!$D:$D),Frame!$A:$A,Frame!$C:$C)+#REF!,""))</f>
        <v/>
      </c>
      <c r="E2613" s="4">
        <v>46006</v>
      </c>
      <c r="F2613" s="1" t="s">
        <v>20</v>
      </c>
    </row>
    <row r="2614" spans="1:6" x14ac:dyDescent="0.25">
      <c r="A2614" s="1" t="s">
        <v>5238</v>
      </c>
      <c r="B2614" s="1" t="s">
        <v>5239</v>
      </c>
      <c r="C2614" s="3">
        <v>200</v>
      </c>
      <c r="D2614" s="3" t="str">
        <f ca="1">IF(B2614="","",IFERROR(_xludf.XLOOKUP(_xludf.XLOOKUP(B2614,Inventory!$A:$A,Inventory!$B:$B),Blades!$A:$A,Blades!$C:$C)+_xludf.XLOOKUP(_xludf.XLOOKUP(B2614,Inventory!$A:$A,Inventory!$C:$C),Motor!$A:$A,Motor!$C:$C)+_xludf.XLOOKUP(_xludf.XLOOKUP(B2614,Inventory!$A:$A,Inventory!$D:$D),Frame!$A:$A,Frame!$C:$C)+#REF!,""))</f>
        <v/>
      </c>
      <c r="E2614" s="4">
        <v>46006</v>
      </c>
      <c r="F2614" s="1" t="s">
        <v>8</v>
      </c>
    </row>
    <row r="2615" spans="1:6" x14ac:dyDescent="0.25">
      <c r="A2615" s="1" t="s">
        <v>5240</v>
      </c>
      <c r="B2615" s="1" t="s">
        <v>5241</v>
      </c>
      <c r="C2615" s="3">
        <v>200</v>
      </c>
      <c r="D2615" s="3" t="str">
        <f ca="1">IF(B2615="","",IFERROR(_xludf.XLOOKUP(_xludf.XLOOKUP(B2615,Inventory!$A:$A,Inventory!$B:$B),Blades!$A:$A,Blades!$C:$C)+_xludf.XLOOKUP(_xludf.XLOOKUP(B2615,Inventory!$A:$A,Inventory!$C:$C),Motor!$A:$A,Motor!$C:$C)+_xludf.XLOOKUP(_xludf.XLOOKUP(B2615,Inventory!$A:$A,Inventory!$D:$D),Frame!$A:$A,Frame!$C:$C)+#REF!,""))</f>
        <v/>
      </c>
      <c r="E2615" s="4">
        <v>46006</v>
      </c>
      <c r="F2615" s="1" t="s">
        <v>63</v>
      </c>
    </row>
    <row r="2616" spans="1:6" x14ac:dyDescent="0.25">
      <c r="A2616" s="1" t="s">
        <v>5242</v>
      </c>
      <c r="B2616" s="1" t="s">
        <v>5243</v>
      </c>
      <c r="C2616" s="3">
        <v>200</v>
      </c>
      <c r="D2616" s="3" t="str">
        <f ca="1">IF(B2616="","",IFERROR(_xludf.XLOOKUP(_xludf.XLOOKUP(B2616,Inventory!$A:$A,Inventory!$B:$B),Blades!$A:$A,Blades!$C:$C)+_xludf.XLOOKUP(_xludf.XLOOKUP(B2616,Inventory!$A:$A,Inventory!$C:$C),Motor!$A:$A,Motor!$C:$C)+_xludf.XLOOKUP(_xludf.XLOOKUP(B2616,Inventory!$A:$A,Inventory!$D:$D),Frame!$A:$A,Frame!$C:$C)+#REF!,""))</f>
        <v/>
      </c>
      <c r="E2616" s="4">
        <v>46006</v>
      </c>
      <c r="F2616" s="1" t="s">
        <v>25</v>
      </c>
    </row>
    <row r="2617" spans="1:6" x14ac:dyDescent="0.25">
      <c r="A2617" s="1" t="s">
        <v>5244</v>
      </c>
      <c r="B2617" s="1" t="s">
        <v>5245</v>
      </c>
      <c r="C2617" s="3">
        <v>200</v>
      </c>
      <c r="D2617" s="3" t="str">
        <f ca="1">IF(B2617="","",IFERROR(_xludf.XLOOKUP(_xludf.XLOOKUP(B2617,Inventory!$A:$A,Inventory!$B:$B),Blades!$A:$A,Blades!$C:$C)+_xludf.XLOOKUP(_xludf.XLOOKUP(B2617,Inventory!$A:$A,Inventory!$C:$C),Motor!$A:$A,Motor!$C:$C)+_xludf.XLOOKUP(_xludf.XLOOKUP(B2617,Inventory!$A:$A,Inventory!$D:$D),Frame!$A:$A,Frame!$C:$C)+#REF!,""))</f>
        <v/>
      </c>
      <c r="E2617" s="4">
        <v>46007</v>
      </c>
      <c r="F2617" s="1" t="s">
        <v>63</v>
      </c>
    </row>
    <row r="2618" spans="1:6" x14ac:dyDescent="0.25">
      <c r="A2618" s="1" t="s">
        <v>5246</v>
      </c>
      <c r="B2618" s="1" t="s">
        <v>5247</v>
      </c>
      <c r="C2618" s="3">
        <v>200</v>
      </c>
      <c r="D2618" s="3" t="str">
        <f ca="1">IF(B2618="","",IFERROR(_xludf.XLOOKUP(_xludf.XLOOKUP(B2618,Inventory!$A:$A,Inventory!$B:$B),Blades!$A:$A,Blades!$C:$C)+_xludf.XLOOKUP(_xludf.XLOOKUP(B2618,Inventory!$A:$A,Inventory!$C:$C),Motor!$A:$A,Motor!$C:$C)+_xludf.XLOOKUP(_xludf.XLOOKUP(B2618,Inventory!$A:$A,Inventory!$D:$D),Frame!$A:$A,Frame!$C:$C)+#REF!,""))</f>
        <v/>
      </c>
      <c r="E2618" s="4">
        <v>46007</v>
      </c>
      <c r="F2618" s="1" t="s">
        <v>32</v>
      </c>
    </row>
    <row r="2619" spans="1:6" x14ac:dyDescent="0.25">
      <c r="A2619" s="1" t="s">
        <v>5248</v>
      </c>
      <c r="B2619" s="1" t="s">
        <v>5249</v>
      </c>
      <c r="C2619" s="3">
        <v>200</v>
      </c>
      <c r="D2619" s="3" t="str">
        <f ca="1">IF(B2619="","",IFERROR(_xludf.XLOOKUP(_xludf.XLOOKUP(B2619,Inventory!$A:$A,Inventory!$B:$B),Blades!$A:$A,Blades!$C:$C)+_xludf.XLOOKUP(_xludf.XLOOKUP(B2619,Inventory!$A:$A,Inventory!$C:$C),Motor!$A:$A,Motor!$C:$C)+_xludf.XLOOKUP(_xludf.XLOOKUP(B2619,Inventory!$A:$A,Inventory!$D:$D),Frame!$A:$A,Frame!$C:$C)+#REF!,""))</f>
        <v/>
      </c>
      <c r="E2619" s="4">
        <v>46008</v>
      </c>
      <c r="F2619" s="1" t="s">
        <v>25</v>
      </c>
    </row>
    <row r="2620" spans="1:6" x14ac:dyDescent="0.25">
      <c r="A2620" s="1" t="s">
        <v>5250</v>
      </c>
      <c r="B2620" s="1" t="s">
        <v>5251</v>
      </c>
      <c r="C2620" s="3">
        <v>200</v>
      </c>
      <c r="D2620" s="3" t="str">
        <f ca="1">IF(B2620="","",IFERROR(_xludf.XLOOKUP(_xludf.XLOOKUP(B2620,Inventory!$A:$A,Inventory!$B:$B),Blades!$A:$A,Blades!$C:$C)+_xludf.XLOOKUP(_xludf.XLOOKUP(B2620,Inventory!$A:$A,Inventory!$C:$C),Motor!$A:$A,Motor!$C:$C)+_xludf.XLOOKUP(_xludf.XLOOKUP(B2620,Inventory!$A:$A,Inventory!$D:$D),Frame!$A:$A,Frame!$C:$C)+#REF!,""))</f>
        <v/>
      </c>
      <c r="E2620" s="4">
        <v>46008</v>
      </c>
      <c r="F2620" s="1" t="s">
        <v>25</v>
      </c>
    </row>
    <row r="2621" spans="1:6" x14ac:dyDescent="0.25">
      <c r="A2621" s="1" t="s">
        <v>5252</v>
      </c>
      <c r="B2621" s="1" t="s">
        <v>5253</v>
      </c>
      <c r="C2621" s="3">
        <v>200</v>
      </c>
      <c r="D2621" s="3" t="str">
        <f ca="1">IF(B2621="","",IFERROR(_xludf.XLOOKUP(_xludf.XLOOKUP(B2621,Inventory!$A:$A,Inventory!$B:$B),Blades!$A:$A,Blades!$C:$C)+_xludf.XLOOKUP(_xludf.XLOOKUP(B2621,Inventory!$A:$A,Inventory!$C:$C),Motor!$A:$A,Motor!$C:$C)+_xludf.XLOOKUP(_xludf.XLOOKUP(B2621,Inventory!$A:$A,Inventory!$D:$D),Frame!$A:$A,Frame!$C:$C)+#REF!,""))</f>
        <v/>
      </c>
      <c r="E2621" s="4">
        <v>46009</v>
      </c>
      <c r="F2621" s="1" t="s">
        <v>32</v>
      </c>
    </row>
    <row r="2622" spans="1:6" x14ac:dyDescent="0.25">
      <c r="A2622" s="1" t="s">
        <v>5254</v>
      </c>
      <c r="B2622" s="1" t="s">
        <v>5255</v>
      </c>
      <c r="C2622" s="3">
        <v>200</v>
      </c>
      <c r="D2622" s="3" t="str">
        <f ca="1">IF(B2622="","",IFERROR(_xludf.XLOOKUP(_xludf.XLOOKUP(B2622,Inventory!$A:$A,Inventory!$B:$B),Blades!$A:$A,Blades!$C:$C)+_xludf.XLOOKUP(_xludf.XLOOKUP(B2622,Inventory!$A:$A,Inventory!$C:$C),Motor!$A:$A,Motor!$C:$C)+_xludf.XLOOKUP(_xludf.XLOOKUP(B2622,Inventory!$A:$A,Inventory!$D:$D),Frame!$A:$A,Frame!$C:$C)+#REF!,""))</f>
        <v/>
      </c>
      <c r="E2622" s="4">
        <v>46010</v>
      </c>
      <c r="F2622" s="1" t="s">
        <v>52</v>
      </c>
    </row>
    <row r="2623" spans="1:6" x14ac:dyDescent="0.25">
      <c r="A2623" s="1" t="s">
        <v>5256</v>
      </c>
      <c r="B2623" s="1" t="s">
        <v>5257</v>
      </c>
      <c r="C2623" s="3">
        <v>200</v>
      </c>
      <c r="D2623" s="3" t="str">
        <f ca="1">IF(B2623="","",IFERROR(_xludf.XLOOKUP(_xludf.XLOOKUP(B2623,Inventory!$A:$A,Inventory!$B:$B),Blades!$A:$A,Blades!$C:$C)+_xludf.XLOOKUP(_xludf.XLOOKUP(B2623,Inventory!$A:$A,Inventory!$C:$C),Motor!$A:$A,Motor!$C:$C)+_xludf.XLOOKUP(_xludf.XLOOKUP(B2623,Inventory!$A:$A,Inventory!$D:$D),Frame!$A:$A,Frame!$C:$C)+#REF!,""))</f>
        <v/>
      </c>
      <c r="E2623" s="4">
        <v>46010</v>
      </c>
      <c r="F2623" s="1" t="s">
        <v>49</v>
      </c>
    </row>
    <row r="2624" spans="1:6" x14ac:dyDescent="0.25">
      <c r="A2624" s="1" t="s">
        <v>5258</v>
      </c>
      <c r="B2624" s="1" t="s">
        <v>5259</v>
      </c>
      <c r="C2624" s="3">
        <v>200</v>
      </c>
      <c r="D2624" s="3" t="str">
        <f ca="1">IF(B2624="","",IFERROR(_xludf.XLOOKUP(_xludf.XLOOKUP(B2624,Inventory!$A:$A,Inventory!$B:$B),Blades!$A:$A,Blades!$C:$C)+_xludf.XLOOKUP(_xludf.XLOOKUP(B2624,Inventory!$A:$A,Inventory!$C:$C),Motor!$A:$A,Motor!$C:$C)+_xludf.XLOOKUP(_xludf.XLOOKUP(B2624,Inventory!$A:$A,Inventory!$D:$D),Frame!$A:$A,Frame!$C:$C)+#REF!,""))</f>
        <v/>
      </c>
      <c r="E2624" s="4">
        <v>46011</v>
      </c>
      <c r="F2624" s="1" t="s">
        <v>25</v>
      </c>
    </row>
    <row r="2625" spans="1:6" x14ac:dyDescent="0.25">
      <c r="A2625" s="1" t="s">
        <v>5260</v>
      </c>
      <c r="B2625" s="1" t="s">
        <v>5261</v>
      </c>
      <c r="C2625" s="3">
        <v>200</v>
      </c>
      <c r="D2625" s="3" t="str">
        <f ca="1">IF(B2625="","",IFERROR(_xludf.XLOOKUP(_xludf.XLOOKUP(B2625,Inventory!$A:$A,Inventory!$B:$B),Blades!$A:$A,Blades!$C:$C)+_xludf.XLOOKUP(_xludf.XLOOKUP(B2625,Inventory!$A:$A,Inventory!$C:$C),Motor!$A:$A,Motor!$C:$C)+_xludf.XLOOKUP(_xludf.XLOOKUP(B2625,Inventory!$A:$A,Inventory!$D:$D),Frame!$A:$A,Frame!$C:$C)+#REF!,""))</f>
        <v/>
      </c>
      <c r="E2625" s="4">
        <v>46013</v>
      </c>
      <c r="F2625" s="1" t="s">
        <v>11</v>
      </c>
    </row>
    <row r="2626" spans="1:6" x14ac:dyDescent="0.25">
      <c r="A2626" s="1" t="s">
        <v>5262</v>
      </c>
      <c r="B2626" s="1" t="s">
        <v>5263</v>
      </c>
      <c r="C2626" s="3">
        <v>200</v>
      </c>
      <c r="D2626" s="3" t="str">
        <f ca="1">IF(B2626="","",IFERROR(_xludf.XLOOKUP(_xludf.XLOOKUP(B2626,Inventory!$A:$A,Inventory!$B:$B),Blades!$A:$A,Blades!$C:$C)+_xludf.XLOOKUP(_xludf.XLOOKUP(B2626,Inventory!$A:$A,Inventory!$C:$C),Motor!$A:$A,Motor!$C:$C)+_xludf.XLOOKUP(_xludf.XLOOKUP(B2626,Inventory!$A:$A,Inventory!$D:$D),Frame!$A:$A,Frame!$C:$C)+#REF!,""))</f>
        <v/>
      </c>
      <c r="E2626" s="4">
        <v>46014</v>
      </c>
      <c r="F2626" s="1" t="s">
        <v>49</v>
      </c>
    </row>
    <row r="2627" spans="1:6" x14ac:dyDescent="0.25">
      <c r="A2627" s="1" t="s">
        <v>5264</v>
      </c>
      <c r="B2627" s="1" t="s">
        <v>5265</v>
      </c>
      <c r="C2627" s="3">
        <v>200</v>
      </c>
      <c r="D2627" s="3" t="str">
        <f ca="1">IF(B2627="","",IFERROR(_xludf.XLOOKUP(_xludf.XLOOKUP(B2627,Inventory!$A:$A,Inventory!$B:$B),Blades!$A:$A,Blades!$C:$C)+_xludf.XLOOKUP(_xludf.XLOOKUP(B2627,Inventory!$A:$A,Inventory!$C:$C),Motor!$A:$A,Motor!$C:$C)+_xludf.XLOOKUP(_xludf.XLOOKUP(B2627,Inventory!$A:$A,Inventory!$D:$D),Frame!$A:$A,Frame!$C:$C)+#REF!,""))</f>
        <v/>
      </c>
      <c r="E2627" s="4">
        <v>46015</v>
      </c>
      <c r="F2627" s="1" t="s">
        <v>49</v>
      </c>
    </row>
    <row r="2628" spans="1:6" x14ac:dyDescent="0.25">
      <c r="A2628" s="1" t="s">
        <v>5266</v>
      </c>
      <c r="B2628" s="1" t="s">
        <v>5267</v>
      </c>
      <c r="C2628" s="3">
        <v>200</v>
      </c>
      <c r="D2628" s="3" t="str">
        <f ca="1">IF(B2628="","",IFERROR(_xludf.XLOOKUP(_xludf.XLOOKUP(B2628,Inventory!$A:$A,Inventory!$B:$B),Blades!$A:$A,Blades!$C:$C)+_xludf.XLOOKUP(_xludf.XLOOKUP(B2628,Inventory!$A:$A,Inventory!$C:$C),Motor!$A:$A,Motor!$C:$C)+_xludf.XLOOKUP(_xludf.XLOOKUP(B2628,Inventory!$A:$A,Inventory!$D:$D),Frame!$A:$A,Frame!$C:$C)+#REF!,""))</f>
        <v/>
      </c>
      <c r="E2628" s="4">
        <v>46015</v>
      </c>
      <c r="F2628" s="1" t="s">
        <v>52</v>
      </c>
    </row>
    <row r="2629" spans="1:6" x14ac:dyDescent="0.25">
      <c r="A2629" s="1" t="s">
        <v>5268</v>
      </c>
      <c r="B2629" s="1" t="s">
        <v>5269</v>
      </c>
      <c r="C2629" s="3">
        <v>200</v>
      </c>
      <c r="D2629" s="3" t="str">
        <f ca="1">IF(B2629="","",IFERROR(_xludf.XLOOKUP(_xludf.XLOOKUP(B2629,Inventory!$A:$A,Inventory!$B:$B),Blades!$A:$A,Blades!$C:$C)+_xludf.XLOOKUP(_xludf.XLOOKUP(B2629,Inventory!$A:$A,Inventory!$C:$C),Motor!$A:$A,Motor!$C:$C)+_xludf.XLOOKUP(_xludf.XLOOKUP(B2629,Inventory!$A:$A,Inventory!$D:$D),Frame!$A:$A,Frame!$C:$C)+#REF!,""))</f>
        <v/>
      </c>
      <c r="E2629" s="4">
        <v>46015</v>
      </c>
      <c r="F2629" s="1" t="s">
        <v>63</v>
      </c>
    </row>
    <row r="2630" spans="1:6" x14ac:dyDescent="0.25">
      <c r="A2630" s="1" t="s">
        <v>5270</v>
      </c>
      <c r="B2630" s="1" t="s">
        <v>5271</v>
      </c>
      <c r="C2630" s="3">
        <v>200</v>
      </c>
      <c r="D2630" s="3" t="str">
        <f ca="1">IF(B2630="","",IFERROR(_xludf.XLOOKUP(_xludf.XLOOKUP(B2630,Inventory!$A:$A,Inventory!$B:$B),Blades!$A:$A,Blades!$C:$C)+_xludf.XLOOKUP(_xludf.XLOOKUP(B2630,Inventory!$A:$A,Inventory!$C:$C),Motor!$A:$A,Motor!$C:$C)+_xludf.XLOOKUP(_xludf.XLOOKUP(B2630,Inventory!$A:$A,Inventory!$D:$D),Frame!$A:$A,Frame!$C:$C)+#REF!,""))</f>
        <v/>
      </c>
      <c r="E2630" s="4">
        <v>46015</v>
      </c>
      <c r="F2630" s="1" t="s">
        <v>63</v>
      </c>
    </row>
    <row r="2631" spans="1:6" x14ac:dyDescent="0.25">
      <c r="A2631" s="1" t="s">
        <v>5272</v>
      </c>
      <c r="B2631" s="1" t="s">
        <v>5273</v>
      </c>
      <c r="C2631" s="3">
        <v>200</v>
      </c>
      <c r="D2631" s="3" t="str">
        <f ca="1">IF(B2631="","",IFERROR(_xludf.XLOOKUP(_xludf.XLOOKUP(B2631,Inventory!$A:$A,Inventory!$B:$B),Blades!$A:$A,Blades!$C:$C)+_xludf.XLOOKUP(_xludf.XLOOKUP(B2631,Inventory!$A:$A,Inventory!$C:$C),Motor!$A:$A,Motor!$C:$C)+_xludf.XLOOKUP(_xludf.XLOOKUP(B2631,Inventory!$A:$A,Inventory!$D:$D),Frame!$A:$A,Frame!$C:$C)+#REF!,""))</f>
        <v/>
      </c>
      <c r="E2631" s="4">
        <v>46016</v>
      </c>
      <c r="F2631" s="1" t="s">
        <v>20</v>
      </c>
    </row>
    <row r="2632" spans="1:6" x14ac:dyDescent="0.25">
      <c r="A2632" s="1" t="s">
        <v>5274</v>
      </c>
      <c r="B2632" s="1" t="s">
        <v>5275</v>
      </c>
      <c r="C2632" s="3">
        <v>200</v>
      </c>
      <c r="D2632" s="3" t="str">
        <f ca="1">IF(B2632="","",IFERROR(_xludf.XLOOKUP(_xludf.XLOOKUP(B2632,Inventory!$A:$A,Inventory!$B:$B),Blades!$A:$A,Blades!$C:$C)+_xludf.XLOOKUP(_xludf.XLOOKUP(B2632,Inventory!$A:$A,Inventory!$C:$C),Motor!$A:$A,Motor!$C:$C)+_xludf.XLOOKUP(_xludf.XLOOKUP(B2632,Inventory!$A:$A,Inventory!$D:$D),Frame!$A:$A,Frame!$C:$C)+#REF!,""))</f>
        <v/>
      </c>
      <c r="E2632" s="4">
        <v>46016</v>
      </c>
      <c r="F2632" s="1" t="s">
        <v>8</v>
      </c>
    </row>
    <row r="2633" spans="1:6" x14ac:dyDescent="0.25">
      <c r="A2633" s="1" t="s">
        <v>5276</v>
      </c>
      <c r="B2633" s="1" t="s">
        <v>5277</v>
      </c>
      <c r="C2633" s="3">
        <v>200</v>
      </c>
      <c r="D2633" s="3" t="str">
        <f ca="1">IF(B2633="","",IFERROR(_xludf.XLOOKUP(_xludf.XLOOKUP(B2633,Inventory!$A:$A,Inventory!$B:$B),Blades!$A:$A,Blades!$C:$C)+_xludf.XLOOKUP(_xludf.XLOOKUP(B2633,Inventory!$A:$A,Inventory!$C:$C),Motor!$A:$A,Motor!$C:$C)+_xludf.XLOOKUP(_xludf.XLOOKUP(B2633,Inventory!$A:$A,Inventory!$D:$D),Frame!$A:$A,Frame!$C:$C)+#REF!,""))</f>
        <v/>
      </c>
      <c r="E2633" s="4">
        <v>46017</v>
      </c>
      <c r="F2633" s="1" t="s">
        <v>25</v>
      </c>
    </row>
    <row r="2634" spans="1:6" x14ac:dyDescent="0.25">
      <c r="A2634" s="1" t="s">
        <v>5278</v>
      </c>
      <c r="B2634" s="1" t="s">
        <v>5279</v>
      </c>
      <c r="C2634" s="3">
        <v>200</v>
      </c>
      <c r="D2634" s="3" t="str">
        <f ca="1">IF(B2634="","",IFERROR(_xludf.XLOOKUP(_xludf.XLOOKUP(B2634,Inventory!$A:$A,Inventory!$B:$B),Blades!$A:$A,Blades!$C:$C)+_xludf.XLOOKUP(_xludf.XLOOKUP(B2634,Inventory!$A:$A,Inventory!$C:$C),Motor!$A:$A,Motor!$C:$C)+_xludf.XLOOKUP(_xludf.XLOOKUP(B2634,Inventory!$A:$A,Inventory!$D:$D),Frame!$A:$A,Frame!$C:$C)+#REF!,""))</f>
        <v/>
      </c>
      <c r="E2634" s="4">
        <v>46017</v>
      </c>
      <c r="F2634" s="1" t="s">
        <v>52</v>
      </c>
    </row>
    <row r="2635" spans="1:6" x14ac:dyDescent="0.25">
      <c r="A2635" s="1" t="s">
        <v>5280</v>
      </c>
      <c r="B2635" s="1" t="s">
        <v>5281</v>
      </c>
      <c r="C2635" s="3">
        <v>200</v>
      </c>
      <c r="D2635" s="3" t="str">
        <f ca="1">IF(B2635="","",IFERROR(_xludf.XLOOKUP(_xludf.XLOOKUP(B2635,Inventory!$A:$A,Inventory!$B:$B),Blades!$A:$A,Blades!$C:$C)+_xludf.XLOOKUP(_xludf.XLOOKUP(B2635,Inventory!$A:$A,Inventory!$C:$C),Motor!$A:$A,Motor!$C:$C)+_xludf.XLOOKUP(_xludf.XLOOKUP(B2635,Inventory!$A:$A,Inventory!$D:$D),Frame!$A:$A,Frame!$C:$C)+#REF!,""))</f>
        <v/>
      </c>
      <c r="E2635" s="4">
        <v>46017</v>
      </c>
      <c r="F2635" s="1" t="s">
        <v>8</v>
      </c>
    </row>
    <row r="2636" spans="1:6" x14ac:dyDescent="0.25">
      <c r="A2636" s="1" t="s">
        <v>5282</v>
      </c>
      <c r="B2636" s="1" t="s">
        <v>5283</v>
      </c>
      <c r="C2636" s="3">
        <v>200</v>
      </c>
      <c r="D2636" s="3" t="str">
        <f ca="1">IF(B2636="","",IFERROR(_xludf.XLOOKUP(_xludf.XLOOKUP(B2636,Inventory!$A:$A,Inventory!$B:$B),Blades!$A:$A,Blades!$C:$C)+_xludf.XLOOKUP(_xludf.XLOOKUP(B2636,Inventory!$A:$A,Inventory!$C:$C),Motor!$A:$A,Motor!$C:$C)+_xludf.XLOOKUP(_xludf.XLOOKUP(B2636,Inventory!$A:$A,Inventory!$D:$D),Frame!$A:$A,Frame!$C:$C)+#REF!,""))</f>
        <v/>
      </c>
      <c r="E2636" s="4">
        <v>46018</v>
      </c>
      <c r="F2636" s="1" t="s">
        <v>63</v>
      </c>
    </row>
    <row r="2637" spans="1:6" x14ac:dyDescent="0.25">
      <c r="A2637" s="1" t="s">
        <v>5284</v>
      </c>
      <c r="B2637" s="1" t="s">
        <v>5285</v>
      </c>
      <c r="C2637" s="3">
        <v>200</v>
      </c>
      <c r="D2637" s="3" t="str">
        <f ca="1">IF(B2637="","",IFERROR(_xludf.XLOOKUP(_xludf.XLOOKUP(B2637,Inventory!$A:$A,Inventory!$B:$B),Blades!$A:$A,Blades!$C:$C)+_xludf.XLOOKUP(_xludf.XLOOKUP(B2637,Inventory!$A:$A,Inventory!$C:$C),Motor!$A:$A,Motor!$C:$C)+_xludf.XLOOKUP(_xludf.XLOOKUP(B2637,Inventory!$A:$A,Inventory!$D:$D),Frame!$A:$A,Frame!$C:$C)+#REF!,""))</f>
        <v/>
      </c>
      <c r="E2637" s="4">
        <v>46019</v>
      </c>
      <c r="F2637" s="1" t="s">
        <v>63</v>
      </c>
    </row>
    <row r="2638" spans="1:6" x14ac:dyDescent="0.25">
      <c r="A2638" s="1" t="s">
        <v>5286</v>
      </c>
      <c r="B2638" s="1" t="s">
        <v>5287</v>
      </c>
      <c r="C2638" s="3">
        <v>200</v>
      </c>
      <c r="D2638" s="3" t="str">
        <f ca="1">IF(B2638="","",IFERROR(_xludf.XLOOKUP(_xludf.XLOOKUP(B2638,Inventory!$A:$A,Inventory!$B:$B),Blades!$A:$A,Blades!$C:$C)+_xludf.XLOOKUP(_xludf.XLOOKUP(B2638,Inventory!$A:$A,Inventory!$C:$C),Motor!$A:$A,Motor!$C:$C)+_xludf.XLOOKUP(_xludf.XLOOKUP(B2638,Inventory!$A:$A,Inventory!$D:$D),Frame!$A:$A,Frame!$C:$C)+#REF!,""))</f>
        <v/>
      </c>
      <c r="E2638" s="4">
        <v>46019</v>
      </c>
      <c r="F2638" s="1" t="s">
        <v>11</v>
      </c>
    </row>
    <row r="2639" spans="1:6" x14ac:dyDescent="0.25">
      <c r="A2639" s="1" t="s">
        <v>5288</v>
      </c>
      <c r="B2639" s="1" t="s">
        <v>5289</v>
      </c>
      <c r="C2639" s="3">
        <v>200</v>
      </c>
      <c r="D2639" s="3" t="str">
        <f ca="1">IF(B2639="","",IFERROR(_xludf.XLOOKUP(_xludf.XLOOKUP(B2639,Inventory!$A:$A,Inventory!$B:$B),Blades!$A:$A,Blades!$C:$C)+_xludf.XLOOKUP(_xludf.XLOOKUP(B2639,Inventory!$A:$A,Inventory!$C:$C),Motor!$A:$A,Motor!$C:$C)+_xludf.XLOOKUP(_xludf.XLOOKUP(B2639,Inventory!$A:$A,Inventory!$D:$D),Frame!$A:$A,Frame!$C:$C)+#REF!,""))</f>
        <v/>
      </c>
      <c r="E2639" s="4">
        <v>46020</v>
      </c>
      <c r="F2639" s="1" t="s">
        <v>52</v>
      </c>
    </row>
    <row r="2640" spans="1:6" x14ac:dyDescent="0.25">
      <c r="A2640" s="1" t="s">
        <v>5290</v>
      </c>
      <c r="B2640" s="1" t="s">
        <v>5291</v>
      </c>
      <c r="C2640" s="3">
        <v>200</v>
      </c>
      <c r="D2640" s="3" t="str">
        <f ca="1">IF(B2640="","",IFERROR(_xludf.XLOOKUP(_xludf.XLOOKUP(B2640,Inventory!$A:$A,Inventory!$B:$B),Blades!$A:$A,Blades!$C:$C)+_xludf.XLOOKUP(_xludf.XLOOKUP(B2640,Inventory!$A:$A,Inventory!$C:$C),Motor!$A:$A,Motor!$C:$C)+_xludf.XLOOKUP(_xludf.XLOOKUP(B2640,Inventory!$A:$A,Inventory!$D:$D),Frame!$A:$A,Frame!$C:$C)+#REF!,""))</f>
        <v/>
      </c>
      <c r="E2640" s="4">
        <v>46021</v>
      </c>
      <c r="F2640" s="1" t="s">
        <v>32</v>
      </c>
    </row>
    <row r="2641" spans="1:6" x14ac:dyDescent="0.25">
      <c r="A2641" s="1" t="s">
        <v>5292</v>
      </c>
      <c r="B2641" s="1" t="s">
        <v>5293</v>
      </c>
      <c r="C2641" s="3">
        <v>200</v>
      </c>
      <c r="D2641" s="3" t="str">
        <f ca="1">IF(B2641="","",IFERROR(_xludf.XLOOKUP(_xludf.XLOOKUP(B2641,Inventory!$A:$A,Inventory!$B:$B),Blades!$A:$A,Blades!$C:$C)+_xludf.XLOOKUP(_xludf.XLOOKUP(B2641,Inventory!$A:$A,Inventory!$C:$C),Motor!$A:$A,Motor!$C:$C)+_xludf.XLOOKUP(_xludf.XLOOKUP(B2641,Inventory!$A:$A,Inventory!$D:$D),Frame!$A:$A,Frame!$C:$C)+#REF!,""))</f>
        <v/>
      </c>
      <c r="E2641" s="4">
        <v>46022</v>
      </c>
      <c r="F2641" s="1" t="s">
        <v>11</v>
      </c>
    </row>
    <row r="2642" spans="1:6" x14ac:dyDescent="0.25">
      <c r="A2642" s="1" t="s">
        <v>5294</v>
      </c>
      <c r="B2642" s="1" t="s">
        <v>5295</v>
      </c>
      <c r="C2642" s="3">
        <v>200</v>
      </c>
      <c r="D2642" s="3" t="str">
        <f ca="1">IF(B2642="","",IFERROR(_xludf.XLOOKUP(_xludf.XLOOKUP(B2642,Inventory!$A:$A,Inventory!$B:$B),Blades!$A:$A,Blades!$C:$C)+_xludf.XLOOKUP(_xludf.XLOOKUP(B2642,Inventory!$A:$A,Inventory!$C:$C),Motor!$A:$A,Motor!$C:$C)+_xludf.XLOOKUP(_xludf.XLOOKUP(B2642,Inventory!$A:$A,Inventory!$D:$D),Frame!$A:$A,Frame!$C:$C)+#REF!,""))</f>
        <v/>
      </c>
      <c r="E2642" s="4">
        <v>46024</v>
      </c>
      <c r="F2642" s="1" t="s">
        <v>49</v>
      </c>
    </row>
    <row r="2643" spans="1:6" x14ac:dyDescent="0.25">
      <c r="A2643" s="1" t="s">
        <v>5296</v>
      </c>
      <c r="B2643" s="1" t="s">
        <v>5297</v>
      </c>
      <c r="C2643" s="3">
        <v>200</v>
      </c>
      <c r="D2643" s="3" t="str">
        <f ca="1">IF(B2643="","",IFERROR(_xludf.XLOOKUP(_xludf.XLOOKUP(B2643,Inventory!$A:$A,Inventory!$B:$B),Blades!$A:$A,Blades!$C:$C)+_xludf.XLOOKUP(_xludf.XLOOKUP(B2643,Inventory!$A:$A,Inventory!$C:$C),Motor!$A:$A,Motor!$C:$C)+_xludf.XLOOKUP(_xludf.XLOOKUP(B2643,Inventory!$A:$A,Inventory!$D:$D),Frame!$A:$A,Frame!$C:$C)+#REF!,""))</f>
        <v/>
      </c>
      <c r="E2643" s="4">
        <v>46024</v>
      </c>
      <c r="F2643" s="1" t="s">
        <v>32</v>
      </c>
    </row>
    <row r="2644" spans="1:6" x14ac:dyDescent="0.25">
      <c r="A2644" s="1" t="s">
        <v>5298</v>
      </c>
      <c r="B2644" s="1" t="s">
        <v>5299</v>
      </c>
      <c r="C2644" s="3">
        <v>200</v>
      </c>
      <c r="D2644" s="3" t="str">
        <f ca="1">IF(B2644="","",IFERROR(_xludf.XLOOKUP(_xludf.XLOOKUP(B2644,Inventory!$A:$A,Inventory!$B:$B),Blades!$A:$A,Blades!$C:$C)+_xludf.XLOOKUP(_xludf.XLOOKUP(B2644,Inventory!$A:$A,Inventory!$C:$C),Motor!$A:$A,Motor!$C:$C)+_xludf.XLOOKUP(_xludf.XLOOKUP(B2644,Inventory!$A:$A,Inventory!$D:$D),Frame!$A:$A,Frame!$C:$C)+#REF!,""))</f>
        <v/>
      </c>
      <c r="E2644" s="4">
        <v>46026</v>
      </c>
      <c r="F2644" s="1" t="s">
        <v>52</v>
      </c>
    </row>
    <row r="2645" spans="1:6" x14ac:dyDescent="0.25">
      <c r="A2645" s="1" t="s">
        <v>5300</v>
      </c>
      <c r="B2645" s="1" t="s">
        <v>5301</v>
      </c>
      <c r="C2645" s="3">
        <v>200</v>
      </c>
      <c r="D2645" s="3" t="str">
        <f ca="1">IF(B2645="","",IFERROR(_xludf.XLOOKUP(_xludf.XLOOKUP(B2645,Inventory!$A:$A,Inventory!$B:$B),Blades!$A:$A,Blades!$C:$C)+_xludf.XLOOKUP(_xludf.XLOOKUP(B2645,Inventory!$A:$A,Inventory!$C:$C),Motor!$A:$A,Motor!$C:$C)+_xludf.XLOOKUP(_xludf.XLOOKUP(B2645,Inventory!$A:$A,Inventory!$D:$D),Frame!$A:$A,Frame!$C:$C)+#REF!,""))</f>
        <v/>
      </c>
      <c r="E2645" s="4">
        <v>46026</v>
      </c>
      <c r="F2645" s="1" t="s">
        <v>52</v>
      </c>
    </row>
    <row r="2646" spans="1:6" x14ac:dyDescent="0.25">
      <c r="A2646" s="1" t="s">
        <v>5302</v>
      </c>
      <c r="B2646" s="1" t="s">
        <v>5303</v>
      </c>
      <c r="C2646" s="3">
        <v>200</v>
      </c>
      <c r="D2646" s="3" t="str">
        <f ca="1">IF(B2646="","",IFERROR(_xludf.XLOOKUP(_xludf.XLOOKUP(B2646,Inventory!$A:$A,Inventory!$B:$B),Blades!$A:$A,Blades!$C:$C)+_xludf.XLOOKUP(_xludf.XLOOKUP(B2646,Inventory!$A:$A,Inventory!$C:$C),Motor!$A:$A,Motor!$C:$C)+_xludf.XLOOKUP(_xludf.XLOOKUP(B2646,Inventory!$A:$A,Inventory!$D:$D),Frame!$A:$A,Frame!$C:$C)+#REF!,""))</f>
        <v/>
      </c>
      <c r="E2646" s="4">
        <v>46026</v>
      </c>
      <c r="F2646" s="1" t="s">
        <v>11</v>
      </c>
    </row>
    <row r="2647" spans="1:6" x14ac:dyDescent="0.25">
      <c r="A2647" s="1" t="s">
        <v>5304</v>
      </c>
      <c r="B2647" s="1" t="s">
        <v>5305</v>
      </c>
      <c r="C2647" s="3">
        <v>200</v>
      </c>
      <c r="D2647" s="3" t="str">
        <f ca="1">IF(B2647="","",IFERROR(_xludf.XLOOKUP(_xludf.XLOOKUP(B2647,Inventory!$A:$A,Inventory!$B:$B),Blades!$A:$A,Blades!$C:$C)+_xludf.XLOOKUP(_xludf.XLOOKUP(B2647,Inventory!$A:$A,Inventory!$C:$C),Motor!$A:$A,Motor!$C:$C)+_xludf.XLOOKUP(_xludf.XLOOKUP(B2647,Inventory!$A:$A,Inventory!$D:$D),Frame!$A:$A,Frame!$C:$C)+#REF!,""))</f>
        <v/>
      </c>
      <c r="E2647" s="4">
        <v>46027</v>
      </c>
      <c r="F2647" s="1" t="s">
        <v>8</v>
      </c>
    </row>
    <row r="2648" spans="1:6" x14ac:dyDescent="0.25">
      <c r="A2648" s="1" t="s">
        <v>5306</v>
      </c>
      <c r="B2648" s="1" t="s">
        <v>5307</v>
      </c>
      <c r="C2648" s="3">
        <v>200</v>
      </c>
      <c r="D2648" s="3" t="str">
        <f ca="1">IF(B2648="","",IFERROR(_xludf.XLOOKUP(_xludf.XLOOKUP(B2648,Inventory!$A:$A,Inventory!$B:$B),Blades!$A:$A,Blades!$C:$C)+_xludf.XLOOKUP(_xludf.XLOOKUP(B2648,Inventory!$A:$A,Inventory!$C:$C),Motor!$A:$A,Motor!$C:$C)+_xludf.XLOOKUP(_xludf.XLOOKUP(B2648,Inventory!$A:$A,Inventory!$D:$D),Frame!$A:$A,Frame!$C:$C)+#REF!,""))</f>
        <v/>
      </c>
      <c r="E2648" s="4">
        <v>46027</v>
      </c>
      <c r="F2648" s="1" t="s">
        <v>63</v>
      </c>
    </row>
    <row r="2649" spans="1:6" x14ac:dyDescent="0.25">
      <c r="A2649" s="1" t="s">
        <v>5308</v>
      </c>
      <c r="B2649" s="1" t="s">
        <v>5309</v>
      </c>
      <c r="C2649" s="3">
        <v>200</v>
      </c>
      <c r="D2649" s="3" t="str">
        <f ca="1">IF(B2649="","",IFERROR(_xludf.XLOOKUP(_xludf.XLOOKUP(B2649,Inventory!$A:$A,Inventory!$B:$B),Blades!$A:$A,Blades!$C:$C)+_xludf.XLOOKUP(_xludf.XLOOKUP(B2649,Inventory!$A:$A,Inventory!$C:$C),Motor!$A:$A,Motor!$C:$C)+_xludf.XLOOKUP(_xludf.XLOOKUP(B2649,Inventory!$A:$A,Inventory!$D:$D),Frame!$A:$A,Frame!$C:$C)+#REF!,""))</f>
        <v/>
      </c>
      <c r="E2649" s="4">
        <v>46028</v>
      </c>
      <c r="F2649" s="1" t="s">
        <v>63</v>
      </c>
    </row>
    <row r="2650" spans="1:6" x14ac:dyDescent="0.25">
      <c r="A2650" s="1" t="s">
        <v>5310</v>
      </c>
      <c r="B2650" s="1" t="s">
        <v>5311</v>
      </c>
      <c r="C2650" s="3">
        <v>200</v>
      </c>
      <c r="D2650" s="3" t="str">
        <f ca="1">IF(B2650="","",IFERROR(_xludf.XLOOKUP(_xludf.XLOOKUP(B2650,Inventory!$A:$A,Inventory!$B:$B),Blades!$A:$A,Blades!$C:$C)+_xludf.XLOOKUP(_xludf.XLOOKUP(B2650,Inventory!$A:$A,Inventory!$C:$C),Motor!$A:$A,Motor!$C:$C)+_xludf.XLOOKUP(_xludf.XLOOKUP(B2650,Inventory!$A:$A,Inventory!$D:$D),Frame!$A:$A,Frame!$C:$C)+#REF!,""))</f>
        <v/>
      </c>
      <c r="E2650" s="4">
        <v>46029</v>
      </c>
      <c r="F2650" s="1" t="s">
        <v>8</v>
      </c>
    </row>
    <row r="2651" spans="1:6" x14ac:dyDescent="0.25">
      <c r="A2651" s="1" t="s">
        <v>5312</v>
      </c>
      <c r="B2651" s="1" t="s">
        <v>5313</v>
      </c>
      <c r="C2651" s="3">
        <v>200</v>
      </c>
      <c r="D2651" s="3" t="str">
        <f ca="1">IF(B2651="","",IFERROR(_xludf.XLOOKUP(_xludf.XLOOKUP(B2651,Inventory!$A:$A,Inventory!$B:$B),Blades!$A:$A,Blades!$C:$C)+_xludf.XLOOKUP(_xludf.XLOOKUP(B2651,Inventory!$A:$A,Inventory!$C:$C),Motor!$A:$A,Motor!$C:$C)+_xludf.XLOOKUP(_xludf.XLOOKUP(B2651,Inventory!$A:$A,Inventory!$D:$D),Frame!$A:$A,Frame!$C:$C)+#REF!,""))</f>
        <v/>
      </c>
      <c r="E2651" s="4">
        <v>46029</v>
      </c>
      <c r="F2651" s="1" t="s">
        <v>8</v>
      </c>
    </row>
    <row r="2652" spans="1:6" x14ac:dyDescent="0.25">
      <c r="A2652" s="1" t="s">
        <v>5314</v>
      </c>
      <c r="B2652" s="1" t="s">
        <v>5315</v>
      </c>
      <c r="C2652" s="3">
        <v>200</v>
      </c>
      <c r="D2652" s="3" t="str">
        <f ca="1">IF(B2652="","",IFERROR(_xludf.XLOOKUP(_xludf.XLOOKUP(B2652,Inventory!$A:$A,Inventory!$B:$B),Blades!$A:$A,Blades!$C:$C)+_xludf.XLOOKUP(_xludf.XLOOKUP(B2652,Inventory!$A:$A,Inventory!$C:$C),Motor!$A:$A,Motor!$C:$C)+_xludf.XLOOKUP(_xludf.XLOOKUP(B2652,Inventory!$A:$A,Inventory!$D:$D),Frame!$A:$A,Frame!$C:$C)+#REF!,""))</f>
        <v/>
      </c>
      <c r="E2652" s="4">
        <v>46029</v>
      </c>
      <c r="F2652" s="1" t="s">
        <v>8</v>
      </c>
    </row>
    <row r="2653" spans="1:6" x14ac:dyDescent="0.25">
      <c r="A2653" s="1" t="s">
        <v>5316</v>
      </c>
      <c r="B2653" s="1" t="s">
        <v>5317</v>
      </c>
      <c r="C2653" s="3">
        <v>200</v>
      </c>
      <c r="D2653" s="3" t="str">
        <f ca="1">IF(B2653="","",IFERROR(_xludf.XLOOKUP(_xludf.XLOOKUP(B2653,Inventory!$A:$A,Inventory!$B:$B),Blades!$A:$A,Blades!$C:$C)+_xludf.XLOOKUP(_xludf.XLOOKUP(B2653,Inventory!$A:$A,Inventory!$C:$C),Motor!$A:$A,Motor!$C:$C)+_xludf.XLOOKUP(_xludf.XLOOKUP(B2653,Inventory!$A:$A,Inventory!$D:$D),Frame!$A:$A,Frame!$C:$C)+#REF!,""))</f>
        <v/>
      </c>
      <c r="E2653" s="4">
        <v>46030</v>
      </c>
      <c r="F2653" s="1" t="s">
        <v>52</v>
      </c>
    </row>
    <row r="2654" spans="1:6" x14ac:dyDescent="0.25">
      <c r="A2654" s="1" t="s">
        <v>5318</v>
      </c>
      <c r="B2654" s="1" t="s">
        <v>5319</v>
      </c>
      <c r="C2654" s="3">
        <v>200</v>
      </c>
      <c r="D2654" s="3" t="str">
        <f ca="1">IF(B2654="","",IFERROR(_xludf.XLOOKUP(_xludf.XLOOKUP(B2654,Inventory!$A:$A,Inventory!$B:$B),Blades!$A:$A,Blades!$C:$C)+_xludf.XLOOKUP(_xludf.XLOOKUP(B2654,Inventory!$A:$A,Inventory!$C:$C),Motor!$A:$A,Motor!$C:$C)+_xludf.XLOOKUP(_xludf.XLOOKUP(B2654,Inventory!$A:$A,Inventory!$D:$D),Frame!$A:$A,Frame!$C:$C)+#REF!,""))</f>
        <v/>
      </c>
      <c r="E2654" s="4">
        <v>46030</v>
      </c>
      <c r="F2654" s="1" t="s">
        <v>25</v>
      </c>
    </row>
    <row r="2655" spans="1:6" x14ac:dyDescent="0.25">
      <c r="A2655" s="1" t="s">
        <v>5320</v>
      </c>
      <c r="B2655" s="1" t="s">
        <v>5321</v>
      </c>
      <c r="C2655" s="3">
        <v>200</v>
      </c>
      <c r="D2655" s="3" t="str">
        <f ca="1">IF(B2655="","",IFERROR(_xludf.XLOOKUP(_xludf.XLOOKUP(B2655,Inventory!$A:$A,Inventory!$B:$B),Blades!$A:$A,Blades!$C:$C)+_xludf.XLOOKUP(_xludf.XLOOKUP(B2655,Inventory!$A:$A,Inventory!$C:$C),Motor!$A:$A,Motor!$C:$C)+_xludf.XLOOKUP(_xludf.XLOOKUP(B2655,Inventory!$A:$A,Inventory!$D:$D),Frame!$A:$A,Frame!$C:$C)+#REF!,""))</f>
        <v/>
      </c>
      <c r="E2655" s="4">
        <v>46031</v>
      </c>
      <c r="F2655" s="1" t="s">
        <v>63</v>
      </c>
    </row>
    <row r="2656" spans="1:6" x14ac:dyDescent="0.25">
      <c r="A2656" s="1" t="s">
        <v>5322</v>
      </c>
      <c r="B2656" s="1" t="s">
        <v>5323</v>
      </c>
      <c r="C2656" s="3">
        <v>200</v>
      </c>
      <c r="D2656" s="3" t="str">
        <f ca="1">IF(B2656="","",IFERROR(_xludf.XLOOKUP(_xludf.XLOOKUP(B2656,Inventory!$A:$A,Inventory!$B:$B),Blades!$A:$A,Blades!$C:$C)+_xludf.XLOOKUP(_xludf.XLOOKUP(B2656,Inventory!$A:$A,Inventory!$C:$C),Motor!$A:$A,Motor!$C:$C)+_xludf.XLOOKUP(_xludf.XLOOKUP(B2656,Inventory!$A:$A,Inventory!$D:$D),Frame!$A:$A,Frame!$C:$C)+#REF!,""))</f>
        <v/>
      </c>
      <c r="E2656" s="4">
        <v>46031</v>
      </c>
      <c r="F2656" s="1" t="s">
        <v>25</v>
      </c>
    </row>
    <row r="2657" spans="1:6" x14ac:dyDescent="0.25">
      <c r="A2657" s="1" t="s">
        <v>5324</v>
      </c>
      <c r="B2657" s="1" t="s">
        <v>5325</v>
      </c>
      <c r="C2657" s="3">
        <v>200</v>
      </c>
      <c r="D2657" s="3" t="str">
        <f ca="1">IF(B2657="","",IFERROR(_xludf.XLOOKUP(_xludf.XLOOKUP(B2657,Inventory!$A:$A,Inventory!$B:$B),Blades!$A:$A,Blades!$C:$C)+_xludf.XLOOKUP(_xludf.XLOOKUP(B2657,Inventory!$A:$A,Inventory!$C:$C),Motor!$A:$A,Motor!$C:$C)+_xludf.XLOOKUP(_xludf.XLOOKUP(B2657,Inventory!$A:$A,Inventory!$D:$D),Frame!$A:$A,Frame!$C:$C)+#REF!,""))</f>
        <v/>
      </c>
      <c r="E2657" s="4">
        <v>46031</v>
      </c>
      <c r="F2657" s="1" t="s">
        <v>25</v>
      </c>
    </row>
    <row r="2658" spans="1:6" x14ac:dyDescent="0.25">
      <c r="A2658" s="1" t="s">
        <v>5326</v>
      </c>
      <c r="B2658" s="1" t="s">
        <v>5327</v>
      </c>
      <c r="C2658" s="3">
        <v>200</v>
      </c>
      <c r="D2658" s="3" t="str">
        <f ca="1">IF(B2658="","",IFERROR(_xludf.XLOOKUP(_xludf.XLOOKUP(B2658,Inventory!$A:$A,Inventory!$B:$B),Blades!$A:$A,Blades!$C:$C)+_xludf.XLOOKUP(_xludf.XLOOKUP(B2658,Inventory!$A:$A,Inventory!$C:$C),Motor!$A:$A,Motor!$C:$C)+_xludf.XLOOKUP(_xludf.XLOOKUP(B2658,Inventory!$A:$A,Inventory!$D:$D),Frame!$A:$A,Frame!$C:$C)+#REF!,""))</f>
        <v/>
      </c>
      <c r="E2658" s="4">
        <v>46032</v>
      </c>
      <c r="F2658" s="1" t="s">
        <v>8</v>
      </c>
    </row>
    <row r="2659" spans="1:6" x14ac:dyDescent="0.25">
      <c r="A2659" s="1" t="s">
        <v>5328</v>
      </c>
      <c r="B2659" s="1" t="s">
        <v>5329</v>
      </c>
      <c r="C2659" s="3">
        <v>200</v>
      </c>
      <c r="D2659" s="3" t="str">
        <f ca="1">IF(B2659="","",IFERROR(_xludf.XLOOKUP(_xludf.XLOOKUP(B2659,Inventory!$A:$A,Inventory!$B:$B),Blades!$A:$A,Blades!$C:$C)+_xludf.XLOOKUP(_xludf.XLOOKUP(B2659,Inventory!$A:$A,Inventory!$C:$C),Motor!$A:$A,Motor!$C:$C)+_xludf.XLOOKUP(_xludf.XLOOKUP(B2659,Inventory!$A:$A,Inventory!$D:$D),Frame!$A:$A,Frame!$C:$C)+#REF!,""))</f>
        <v/>
      </c>
      <c r="E2659" s="4">
        <v>46032</v>
      </c>
      <c r="F2659" s="1" t="s">
        <v>20</v>
      </c>
    </row>
    <row r="2660" spans="1:6" x14ac:dyDescent="0.25">
      <c r="A2660" s="1" t="s">
        <v>5330</v>
      </c>
      <c r="B2660" s="1" t="s">
        <v>5331</v>
      </c>
      <c r="C2660" s="3">
        <v>200</v>
      </c>
      <c r="D2660" s="3" t="str">
        <f ca="1">IF(B2660="","",IFERROR(_xludf.XLOOKUP(_xludf.XLOOKUP(B2660,Inventory!$A:$A,Inventory!$B:$B),Blades!$A:$A,Blades!$C:$C)+_xludf.XLOOKUP(_xludf.XLOOKUP(B2660,Inventory!$A:$A,Inventory!$C:$C),Motor!$A:$A,Motor!$C:$C)+_xludf.XLOOKUP(_xludf.XLOOKUP(B2660,Inventory!$A:$A,Inventory!$D:$D),Frame!$A:$A,Frame!$C:$C)+#REF!,""))</f>
        <v/>
      </c>
      <c r="E2660" s="4">
        <v>46033</v>
      </c>
      <c r="F2660" s="1" t="s">
        <v>11</v>
      </c>
    </row>
    <row r="2661" spans="1:6" x14ac:dyDescent="0.25">
      <c r="A2661" s="1" t="s">
        <v>5332</v>
      </c>
      <c r="B2661" s="1" t="s">
        <v>5333</v>
      </c>
      <c r="C2661" s="3">
        <v>200</v>
      </c>
      <c r="D2661" s="3" t="str">
        <f ca="1">IF(B2661="","",IFERROR(_xludf.XLOOKUP(_xludf.XLOOKUP(B2661,Inventory!$A:$A,Inventory!$B:$B),Blades!$A:$A,Blades!$C:$C)+_xludf.XLOOKUP(_xludf.XLOOKUP(B2661,Inventory!$A:$A,Inventory!$C:$C),Motor!$A:$A,Motor!$C:$C)+_xludf.XLOOKUP(_xludf.XLOOKUP(B2661,Inventory!$A:$A,Inventory!$D:$D),Frame!$A:$A,Frame!$C:$C)+#REF!,""))</f>
        <v/>
      </c>
      <c r="E2661" s="4">
        <v>46033</v>
      </c>
      <c r="F2661" s="1" t="s">
        <v>8</v>
      </c>
    </row>
    <row r="2662" spans="1:6" x14ac:dyDescent="0.25">
      <c r="A2662" s="1" t="s">
        <v>5334</v>
      </c>
      <c r="B2662" s="1" t="s">
        <v>5335</v>
      </c>
      <c r="C2662" s="3">
        <v>200</v>
      </c>
      <c r="D2662" s="3" t="str">
        <f ca="1">IF(B2662="","",IFERROR(_xludf.XLOOKUP(_xludf.XLOOKUP(B2662,Inventory!$A:$A,Inventory!$B:$B),Blades!$A:$A,Blades!$C:$C)+_xludf.XLOOKUP(_xludf.XLOOKUP(B2662,Inventory!$A:$A,Inventory!$C:$C),Motor!$A:$A,Motor!$C:$C)+_xludf.XLOOKUP(_xludf.XLOOKUP(B2662,Inventory!$A:$A,Inventory!$D:$D),Frame!$A:$A,Frame!$C:$C)+#REF!,""))</f>
        <v/>
      </c>
      <c r="E2662" s="4">
        <v>46033</v>
      </c>
      <c r="F2662" s="1" t="s">
        <v>25</v>
      </c>
    </row>
    <row r="2663" spans="1:6" x14ac:dyDescent="0.25">
      <c r="A2663" s="1" t="s">
        <v>5336</v>
      </c>
      <c r="B2663" s="1" t="s">
        <v>5337</v>
      </c>
      <c r="C2663" s="3">
        <v>200</v>
      </c>
      <c r="D2663" s="3" t="str">
        <f ca="1">IF(B2663="","",IFERROR(_xludf.XLOOKUP(_xludf.XLOOKUP(B2663,Inventory!$A:$A,Inventory!$B:$B),Blades!$A:$A,Blades!$C:$C)+_xludf.XLOOKUP(_xludf.XLOOKUP(B2663,Inventory!$A:$A,Inventory!$C:$C),Motor!$A:$A,Motor!$C:$C)+_xludf.XLOOKUP(_xludf.XLOOKUP(B2663,Inventory!$A:$A,Inventory!$D:$D),Frame!$A:$A,Frame!$C:$C)+#REF!,""))</f>
        <v/>
      </c>
      <c r="E2663" s="4">
        <v>46033</v>
      </c>
      <c r="F2663" s="1" t="s">
        <v>49</v>
      </c>
    </row>
    <row r="2664" spans="1:6" x14ac:dyDescent="0.25">
      <c r="A2664" s="1" t="s">
        <v>5338</v>
      </c>
      <c r="B2664" s="1" t="s">
        <v>5339</v>
      </c>
      <c r="C2664" s="3">
        <v>200</v>
      </c>
      <c r="D2664" s="3" t="str">
        <f ca="1">IF(B2664="","",IFERROR(_xludf.XLOOKUP(_xludf.XLOOKUP(B2664,Inventory!$A:$A,Inventory!$B:$B),Blades!$A:$A,Blades!$C:$C)+_xludf.XLOOKUP(_xludf.XLOOKUP(B2664,Inventory!$A:$A,Inventory!$C:$C),Motor!$A:$A,Motor!$C:$C)+_xludf.XLOOKUP(_xludf.XLOOKUP(B2664,Inventory!$A:$A,Inventory!$D:$D),Frame!$A:$A,Frame!$C:$C)+#REF!,""))</f>
        <v/>
      </c>
      <c r="E2664" s="4">
        <v>46033</v>
      </c>
      <c r="F2664" s="1" t="s">
        <v>25</v>
      </c>
    </row>
    <row r="2665" spans="1:6" x14ac:dyDescent="0.25">
      <c r="A2665" s="1" t="s">
        <v>5340</v>
      </c>
      <c r="B2665" s="1" t="s">
        <v>5341</v>
      </c>
      <c r="C2665" s="3">
        <v>200</v>
      </c>
      <c r="D2665" s="3" t="str">
        <f ca="1">IF(B2665="","",IFERROR(_xludf.XLOOKUP(_xludf.XLOOKUP(B2665,Inventory!$A:$A,Inventory!$B:$B),Blades!$A:$A,Blades!$C:$C)+_xludf.XLOOKUP(_xludf.XLOOKUP(B2665,Inventory!$A:$A,Inventory!$C:$C),Motor!$A:$A,Motor!$C:$C)+_xludf.XLOOKUP(_xludf.XLOOKUP(B2665,Inventory!$A:$A,Inventory!$D:$D),Frame!$A:$A,Frame!$C:$C)+#REF!,""))</f>
        <v/>
      </c>
      <c r="E2665" s="4">
        <v>46034</v>
      </c>
      <c r="F2665" s="1" t="s">
        <v>49</v>
      </c>
    </row>
    <row r="2666" spans="1:6" x14ac:dyDescent="0.25">
      <c r="A2666" s="1" t="s">
        <v>5342</v>
      </c>
      <c r="B2666" s="1" t="s">
        <v>5343</v>
      </c>
      <c r="C2666" s="3">
        <v>200</v>
      </c>
      <c r="D2666" s="3" t="str">
        <f ca="1">IF(B2666="","",IFERROR(_xludf.XLOOKUP(_xludf.XLOOKUP(B2666,Inventory!$A:$A,Inventory!$B:$B),Blades!$A:$A,Blades!$C:$C)+_xludf.XLOOKUP(_xludf.XLOOKUP(B2666,Inventory!$A:$A,Inventory!$C:$C),Motor!$A:$A,Motor!$C:$C)+_xludf.XLOOKUP(_xludf.XLOOKUP(B2666,Inventory!$A:$A,Inventory!$D:$D),Frame!$A:$A,Frame!$C:$C)+#REF!,""))</f>
        <v/>
      </c>
      <c r="E2666" s="4">
        <v>46034</v>
      </c>
      <c r="F2666" s="1" t="s">
        <v>49</v>
      </c>
    </row>
    <row r="2667" spans="1:6" x14ac:dyDescent="0.25">
      <c r="A2667" s="1" t="s">
        <v>5344</v>
      </c>
      <c r="B2667" s="1" t="s">
        <v>5345</v>
      </c>
      <c r="C2667" s="3">
        <v>200</v>
      </c>
      <c r="D2667" s="3" t="str">
        <f ca="1">IF(B2667="","",IFERROR(_xludf.XLOOKUP(_xludf.XLOOKUP(B2667,Inventory!$A:$A,Inventory!$B:$B),Blades!$A:$A,Blades!$C:$C)+_xludf.XLOOKUP(_xludf.XLOOKUP(B2667,Inventory!$A:$A,Inventory!$C:$C),Motor!$A:$A,Motor!$C:$C)+_xludf.XLOOKUP(_xludf.XLOOKUP(B2667,Inventory!$A:$A,Inventory!$D:$D),Frame!$A:$A,Frame!$C:$C)+#REF!,""))</f>
        <v/>
      </c>
      <c r="E2667" s="4">
        <v>46035</v>
      </c>
      <c r="F2667" s="1" t="s">
        <v>25</v>
      </c>
    </row>
    <row r="2668" spans="1:6" x14ac:dyDescent="0.25">
      <c r="A2668" s="1" t="s">
        <v>5346</v>
      </c>
      <c r="B2668" s="1" t="s">
        <v>5347</v>
      </c>
      <c r="C2668" s="3">
        <v>200</v>
      </c>
      <c r="D2668" s="3" t="str">
        <f ca="1">IF(B2668="","",IFERROR(_xludf.XLOOKUP(_xludf.XLOOKUP(B2668,Inventory!$A:$A,Inventory!$B:$B),Blades!$A:$A,Blades!$C:$C)+_xludf.XLOOKUP(_xludf.XLOOKUP(B2668,Inventory!$A:$A,Inventory!$C:$C),Motor!$A:$A,Motor!$C:$C)+_xludf.XLOOKUP(_xludf.XLOOKUP(B2668,Inventory!$A:$A,Inventory!$D:$D),Frame!$A:$A,Frame!$C:$C)+#REF!,""))</f>
        <v/>
      </c>
      <c r="E2668" s="4">
        <v>46035</v>
      </c>
      <c r="F2668" s="1" t="s">
        <v>11</v>
      </c>
    </row>
    <row r="2669" spans="1:6" x14ac:dyDescent="0.25">
      <c r="A2669" s="1" t="s">
        <v>5348</v>
      </c>
      <c r="B2669" s="1" t="s">
        <v>5349</v>
      </c>
      <c r="C2669" s="3">
        <v>200</v>
      </c>
      <c r="D2669" s="3" t="str">
        <f ca="1">IF(B2669="","",IFERROR(_xludf.XLOOKUP(_xludf.XLOOKUP(B2669,Inventory!$A:$A,Inventory!$B:$B),Blades!$A:$A,Blades!$C:$C)+_xludf.XLOOKUP(_xludf.XLOOKUP(B2669,Inventory!$A:$A,Inventory!$C:$C),Motor!$A:$A,Motor!$C:$C)+_xludf.XLOOKUP(_xludf.XLOOKUP(B2669,Inventory!$A:$A,Inventory!$D:$D),Frame!$A:$A,Frame!$C:$C)+#REF!,""))</f>
        <v/>
      </c>
      <c r="E2669" s="4">
        <v>46035</v>
      </c>
      <c r="F2669" s="1" t="s">
        <v>52</v>
      </c>
    </row>
    <row r="2670" spans="1:6" x14ac:dyDescent="0.25">
      <c r="A2670" s="1" t="s">
        <v>5350</v>
      </c>
      <c r="B2670" s="1" t="s">
        <v>5351</v>
      </c>
      <c r="C2670" s="3">
        <v>200</v>
      </c>
      <c r="D2670" s="3" t="str">
        <f ca="1">IF(B2670="","",IFERROR(_xludf.XLOOKUP(_xludf.XLOOKUP(B2670,Inventory!$A:$A,Inventory!$B:$B),Blades!$A:$A,Blades!$C:$C)+_xludf.XLOOKUP(_xludf.XLOOKUP(B2670,Inventory!$A:$A,Inventory!$C:$C),Motor!$A:$A,Motor!$C:$C)+_xludf.XLOOKUP(_xludf.XLOOKUP(B2670,Inventory!$A:$A,Inventory!$D:$D),Frame!$A:$A,Frame!$C:$C)+#REF!,""))</f>
        <v/>
      </c>
      <c r="E2670" s="4">
        <v>46035</v>
      </c>
      <c r="F2670" s="1" t="s">
        <v>11</v>
      </c>
    </row>
    <row r="2671" spans="1:6" x14ac:dyDescent="0.25">
      <c r="A2671" s="1" t="s">
        <v>5352</v>
      </c>
      <c r="B2671" s="1" t="s">
        <v>5353</v>
      </c>
      <c r="C2671" s="3">
        <v>200</v>
      </c>
      <c r="D2671" s="3" t="str">
        <f ca="1">IF(B2671="","",IFERROR(_xludf.XLOOKUP(_xludf.XLOOKUP(B2671,Inventory!$A:$A,Inventory!$B:$B),Blades!$A:$A,Blades!$C:$C)+_xludf.XLOOKUP(_xludf.XLOOKUP(B2671,Inventory!$A:$A,Inventory!$C:$C),Motor!$A:$A,Motor!$C:$C)+_xludf.XLOOKUP(_xludf.XLOOKUP(B2671,Inventory!$A:$A,Inventory!$D:$D),Frame!$A:$A,Frame!$C:$C)+#REF!,""))</f>
        <v/>
      </c>
      <c r="E2671" s="4">
        <v>46039</v>
      </c>
      <c r="F2671" s="1" t="s">
        <v>25</v>
      </c>
    </row>
    <row r="2672" spans="1:6" x14ac:dyDescent="0.25">
      <c r="A2672" s="1" t="s">
        <v>5354</v>
      </c>
      <c r="B2672" s="1" t="s">
        <v>5355</v>
      </c>
      <c r="C2672" s="3">
        <v>200</v>
      </c>
      <c r="D2672" s="3" t="str">
        <f ca="1">IF(B2672="","",IFERROR(_xludf.XLOOKUP(_xludf.XLOOKUP(B2672,Inventory!$A:$A,Inventory!$B:$B),Blades!$A:$A,Blades!$C:$C)+_xludf.XLOOKUP(_xludf.XLOOKUP(B2672,Inventory!$A:$A,Inventory!$C:$C),Motor!$A:$A,Motor!$C:$C)+_xludf.XLOOKUP(_xludf.XLOOKUP(B2672,Inventory!$A:$A,Inventory!$D:$D),Frame!$A:$A,Frame!$C:$C)+#REF!,""))</f>
        <v/>
      </c>
      <c r="E2672" s="4">
        <v>46041</v>
      </c>
      <c r="F2672" s="1" t="s">
        <v>32</v>
      </c>
    </row>
    <row r="2673" spans="1:6" x14ac:dyDescent="0.25">
      <c r="A2673" s="1" t="s">
        <v>5356</v>
      </c>
      <c r="B2673" s="1" t="s">
        <v>5357</v>
      </c>
      <c r="C2673" s="3">
        <v>200</v>
      </c>
      <c r="D2673" s="3" t="str">
        <f ca="1">IF(B2673="","",IFERROR(_xludf.XLOOKUP(_xludf.XLOOKUP(B2673,Inventory!$A:$A,Inventory!$B:$B),Blades!$A:$A,Blades!$C:$C)+_xludf.XLOOKUP(_xludf.XLOOKUP(B2673,Inventory!$A:$A,Inventory!$C:$C),Motor!$A:$A,Motor!$C:$C)+_xludf.XLOOKUP(_xludf.XLOOKUP(B2673,Inventory!$A:$A,Inventory!$D:$D),Frame!$A:$A,Frame!$C:$C)+#REF!,""))</f>
        <v/>
      </c>
      <c r="E2673" s="4">
        <v>46041</v>
      </c>
      <c r="F2673" s="1" t="s">
        <v>32</v>
      </c>
    </row>
    <row r="2674" spans="1:6" x14ac:dyDescent="0.25">
      <c r="A2674" s="1" t="s">
        <v>5358</v>
      </c>
      <c r="B2674" s="1" t="s">
        <v>5359</v>
      </c>
      <c r="C2674" s="3">
        <v>200</v>
      </c>
      <c r="D2674" s="3" t="str">
        <f ca="1">IF(B2674="","",IFERROR(_xludf.XLOOKUP(_xludf.XLOOKUP(B2674,Inventory!$A:$A,Inventory!$B:$B),Blades!$A:$A,Blades!$C:$C)+_xludf.XLOOKUP(_xludf.XLOOKUP(B2674,Inventory!$A:$A,Inventory!$C:$C),Motor!$A:$A,Motor!$C:$C)+_xludf.XLOOKUP(_xludf.XLOOKUP(B2674,Inventory!$A:$A,Inventory!$D:$D),Frame!$A:$A,Frame!$C:$C)+#REF!,""))</f>
        <v/>
      </c>
      <c r="E2674" s="4">
        <v>46041</v>
      </c>
      <c r="F2674" s="1" t="s">
        <v>52</v>
      </c>
    </row>
    <row r="2675" spans="1:6" x14ac:dyDescent="0.25">
      <c r="A2675" s="1" t="s">
        <v>5360</v>
      </c>
      <c r="B2675" s="1" t="s">
        <v>5361</v>
      </c>
      <c r="C2675" s="3">
        <v>200</v>
      </c>
      <c r="D2675" s="3" t="str">
        <f ca="1">IF(B2675="","",IFERROR(_xludf.XLOOKUP(_xludf.XLOOKUP(B2675,Inventory!$A:$A,Inventory!$B:$B),Blades!$A:$A,Blades!$C:$C)+_xludf.XLOOKUP(_xludf.XLOOKUP(B2675,Inventory!$A:$A,Inventory!$C:$C),Motor!$A:$A,Motor!$C:$C)+_xludf.XLOOKUP(_xludf.XLOOKUP(B2675,Inventory!$A:$A,Inventory!$D:$D),Frame!$A:$A,Frame!$C:$C)+#REF!,""))</f>
        <v/>
      </c>
      <c r="E2675" s="4">
        <v>46042</v>
      </c>
      <c r="F2675" s="1" t="s">
        <v>52</v>
      </c>
    </row>
    <row r="2676" spans="1:6" x14ac:dyDescent="0.25">
      <c r="A2676" s="1" t="s">
        <v>5362</v>
      </c>
      <c r="B2676" s="1" t="s">
        <v>5363</v>
      </c>
      <c r="C2676" s="3">
        <v>200</v>
      </c>
      <c r="D2676" s="3" t="str">
        <f ca="1">IF(B2676="","",IFERROR(_xludf.XLOOKUP(_xludf.XLOOKUP(B2676,Inventory!$A:$A,Inventory!$B:$B),Blades!$A:$A,Blades!$C:$C)+_xludf.XLOOKUP(_xludf.XLOOKUP(B2676,Inventory!$A:$A,Inventory!$C:$C),Motor!$A:$A,Motor!$C:$C)+_xludf.XLOOKUP(_xludf.XLOOKUP(B2676,Inventory!$A:$A,Inventory!$D:$D),Frame!$A:$A,Frame!$C:$C)+#REF!,""))</f>
        <v/>
      </c>
      <c r="E2676" s="4">
        <v>46043</v>
      </c>
      <c r="F2676" s="1" t="s">
        <v>32</v>
      </c>
    </row>
    <row r="2677" spans="1:6" x14ac:dyDescent="0.25">
      <c r="A2677" s="1" t="s">
        <v>5364</v>
      </c>
      <c r="B2677" s="1" t="s">
        <v>5365</v>
      </c>
      <c r="C2677" s="3">
        <v>200</v>
      </c>
      <c r="D2677" s="3" t="str">
        <f ca="1">IF(B2677="","",IFERROR(_xludf.XLOOKUP(_xludf.XLOOKUP(B2677,Inventory!$A:$A,Inventory!$B:$B),Blades!$A:$A,Blades!$C:$C)+_xludf.XLOOKUP(_xludf.XLOOKUP(B2677,Inventory!$A:$A,Inventory!$C:$C),Motor!$A:$A,Motor!$C:$C)+_xludf.XLOOKUP(_xludf.XLOOKUP(B2677,Inventory!$A:$A,Inventory!$D:$D),Frame!$A:$A,Frame!$C:$C)+#REF!,""))</f>
        <v/>
      </c>
      <c r="E2677" s="4">
        <v>46043</v>
      </c>
      <c r="F2677" s="1" t="s">
        <v>20</v>
      </c>
    </row>
    <row r="2678" spans="1:6" x14ac:dyDescent="0.25">
      <c r="A2678" s="1" t="s">
        <v>5366</v>
      </c>
      <c r="B2678" s="1" t="s">
        <v>5367</v>
      </c>
      <c r="C2678" s="3">
        <v>200</v>
      </c>
      <c r="D2678" s="3" t="str">
        <f ca="1">IF(B2678="","",IFERROR(_xludf.XLOOKUP(_xludf.XLOOKUP(B2678,Inventory!$A:$A,Inventory!$B:$B),Blades!$A:$A,Blades!$C:$C)+_xludf.XLOOKUP(_xludf.XLOOKUP(B2678,Inventory!$A:$A,Inventory!$C:$C),Motor!$A:$A,Motor!$C:$C)+_xludf.XLOOKUP(_xludf.XLOOKUP(B2678,Inventory!$A:$A,Inventory!$D:$D),Frame!$A:$A,Frame!$C:$C)+#REF!,""))</f>
        <v/>
      </c>
      <c r="E2678" s="4">
        <v>46044</v>
      </c>
      <c r="F2678" s="1" t="s">
        <v>63</v>
      </c>
    </row>
    <row r="2679" spans="1:6" x14ac:dyDescent="0.25">
      <c r="A2679" s="1" t="s">
        <v>5368</v>
      </c>
      <c r="B2679" s="1" t="s">
        <v>5369</v>
      </c>
      <c r="C2679" s="3">
        <v>200</v>
      </c>
      <c r="D2679" s="3" t="str">
        <f ca="1">IF(B2679="","",IFERROR(_xludf.XLOOKUP(_xludf.XLOOKUP(B2679,Inventory!$A:$A,Inventory!$B:$B),Blades!$A:$A,Blades!$C:$C)+_xludf.XLOOKUP(_xludf.XLOOKUP(B2679,Inventory!$A:$A,Inventory!$C:$C),Motor!$A:$A,Motor!$C:$C)+_xludf.XLOOKUP(_xludf.XLOOKUP(B2679,Inventory!$A:$A,Inventory!$D:$D),Frame!$A:$A,Frame!$C:$C)+#REF!,""))</f>
        <v/>
      </c>
      <c r="E2679" s="4">
        <v>46044</v>
      </c>
      <c r="F2679" s="1" t="s">
        <v>11</v>
      </c>
    </row>
    <row r="2680" spans="1:6" x14ac:dyDescent="0.25">
      <c r="A2680" s="1" t="s">
        <v>5370</v>
      </c>
      <c r="B2680" s="1" t="s">
        <v>5371</v>
      </c>
      <c r="C2680" s="3">
        <v>200</v>
      </c>
      <c r="D2680" s="3" t="str">
        <f ca="1">IF(B2680="","",IFERROR(_xludf.XLOOKUP(_xludf.XLOOKUP(B2680,Inventory!$A:$A,Inventory!$B:$B),Blades!$A:$A,Blades!$C:$C)+_xludf.XLOOKUP(_xludf.XLOOKUP(B2680,Inventory!$A:$A,Inventory!$C:$C),Motor!$A:$A,Motor!$C:$C)+_xludf.XLOOKUP(_xludf.XLOOKUP(B2680,Inventory!$A:$A,Inventory!$D:$D),Frame!$A:$A,Frame!$C:$C)+#REF!,""))</f>
        <v/>
      </c>
      <c r="E2680" s="4">
        <v>46044</v>
      </c>
      <c r="F2680" s="1" t="s">
        <v>8</v>
      </c>
    </row>
    <row r="2681" spans="1:6" x14ac:dyDescent="0.25">
      <c r="A2681" s="1" t="s">
        <v>5372</v>
      </c>
      <c r="B2681" s="1" t="s">
        <v>5373</v>
      </c>
      <c r="C2681" s="3">
        <v>200</v>
      </c>
      <c r="D2681" s="3" t="str">
        <f ca="1">IF(B2681="","",IFERROR(_xludf.XLOOKUP(_xludf.XLOOKUP(B2681,Inventory!$A:$A,Inventory!$B:$B),Blades!$A:$A,Blades!$C:$C)+_xludf.XLOOKUP(_xludf.XLOOKUP(B2681,Inventory!$A:$A,Inventory!$C:$C),Motor!$A:$A,Motor!$C:$C)+_xludf.XLOOKUP(_xludf.XLOOKUP(B2681,Inventory!$A:$A,Inventory!$D:$D),Frame!$A:$A,Frame!$C:$C)+#REF!,""))</f>
        <v/>
      </c>
      <c r="E2681" s="4">
        <v>46045</v>
      </c>
      <c r="F2681" s="1" t="s">
        <v>49</v>
      </c>
    </row>
    <row r="2682" spans="1:6" x14ac:dyDescent="0.25">
      <c r="A2682" s="1" t="s">
        <v>5374</v>
      </c>
      <c r="B2682" s="1" t="s">
        <v>5375</v>
      </c>
      <c r="C2682" s="3">
        <v>200</v>
      </c>
      <c r="D2682" s="3" t="str">
        <f ca="1">IF(B2682="","",IFERROR(_xludf.XLOOKUP(_xludf.XLOOKUP(B2682,Inventory!$A:$A,Inventory!$B:$B),Blades!$A:$A,Blades!$C:$C)+_xludf.XLOOKUP(_xludf.XLOOKUP(B2682,Inventory!$A:$A,Inventory!$C:$C),Motor!$A:$A,Motor!$C:$C)+_xludf.XLOOKUP(_xludf.XLOOKUP(B2682,Inventory!$A:$A,Inventory!$D:$D),Frame!$A:$A,Frame!$C:$C)+#REF!,""))</f>
        <v/>
      </c>
      <c r="E2682" s="4">
        <v>46048</v>
      </c>
      <c r="F2682" s="1" t="s">
        <v>32</v>
      </c>
    </row>
    <row r="2683" spans="1:6" x14ac:dyDescent="0.25">
      <c r="A2683" s="1" t="s">
        <v>5376</v>
      </c>
      <c r="B2683" s="1" t="s">
        <v>5377</v>
      </c>
      <c r="C2683" s="3">
        <v>200</v>
      </c>
      <c r="D2683" s="3" t="str">
        <f ca="1">IF(B2683="","",IFERROR(_xludf.XLOOKUP(_xludf.XLOOKUP(B2683,Inventory!$A:$A,Inventory!$B:$B),Blades!$A:$A,Blades!$C:$C)+_xludf.XLOOKUP(_xludf.XLOOKUP(B2683,Inventory!$A:$A,Inventory!$C:$C),Motor!$A:$A,Motor!$C:$C)+_xludf.XLOOKUP(_xludf.XLOOKUP(B2683,Inventory!$A:$A,Inventory!$D:$D),Frame!$A:$A,Frame!$C:$C)+#REF!,""))</f>
        <v/>
      </c>
      <c r="E2683" s="4">
        <v>46049</v>
      </c>
      <c r="F2683" s="1" t="s">
        <v>63</v>
      </c>
    </row>
    <row r="2684" spans="1:6" x14ac:dyDescent="0.25">
      <c r="A2684" s="1" t="s">
        <v>5378</v>
      </c>
      <c r="B2684" s="1" t="s">
        <v>5379</v>
      </c>
      <c r="C2684" s="3">
        <v>200</v>
      </c>
      <c r="D2684" s="3" t="str">
        <f ca="1">IF(B2684="","",IFERROR(_xludf.XLOOKUP(_xludf.XLOOKUP(B2684,Inventory!$A:$A,Inventory!$B:$B),Blades!$A:$A,Blades!$C:$C)+_xludf.XLOOKUP(_xludf.XLOOKUP(B2684,Inventory!$A:$A,Inventory!$C:$C),Motor!$A:$A,Motor!$C:$C)+_xludf.XLOOKUP(_xludf.XLOOKUP(B2684,Inventory!$A:$A,Inventory!$D:$D),Frame!$A:$A,Frame!$C:$C)+#REF!,""))</f>
        <v/>
      </c>
      <c r="E2684" s="4">
        <v>46049</v>
      </c>
      <c r="F2684" s="1" t="s">
        <v>52</v>
      </c>
    </row>
    <row r="2685" spans="1:6" x14ac:dyDescent="0.25">
      <c r="A2685" s="1" t="s">
        <v>5380</v>
      </c>
      <c r="B2685" s="1" t="s">
        <v>5381</v>
      </c>
      <c r="C2685" s="3">
        <v>200</v>
      </c>
      <c r="D2685" s="3" t="str">
        <f ca="1">IF(B2685="","",IFERROR(_xludf.XLOOKUP(_xludf.XLOOKUP(B2685,Inventory!$A:$A,Inventory!$B:$B),Blades!$A:$A,Blades!$C:$C)+_xludf.XLOOKUP(_xludf.XLOOKUP(B2685,Inventory!$A:$A,Inventory!$C:$C),Motor!$A:$A,Motor!$C:$C)+_xludf.XLOOKUP(_xludf.XLOOKUP(B2685,Inventory!$A:$A,Inventory!$D:$D),Frame!$A:$A,Frame!$C:$C)+#REF!,""))</f>
        <v/>
      </c>
      <c r="E2685" s="4">
        <v>46050</v>
      </c>
      <c r="F2685" s="1" t="s">
        <v>63</v>
      </c>
    </row>
    <row r="2686" spans="1:6" x14ac:dyDescent="0.25">
      <c r="A2686" s="1" t="s">
        <v>5382</v>
      </c>
      <c r="B2686" s="1" t="s">
        <v>5383</v>
      </c>
      <c r="C2686" s="3">
        <v>200</v>
      </c>
      <c r="D2686" s="3" t="str">
        <f ca="1">IF(B2686="","",IFERROR(_xludf.XLOOKUP(_xludf.XLOOKUP(B2686,Inventory!$A:$A,Inventory!$B:$B),Blades!$A:$A,Blades!$C:$C)+_xludf.XLOOKUP(_xludf.XLOOKUP(B2686,Inventory!$A:$A,Inventory!$C:$C),Motor!$A:$A,Motor!$C:$C)+_xludf.XLOOKUP(_xludf.XLOOKUP(B2686,Inventory!$A:$A,Inventory!$D:$D),Frame!$A:$A,Frame!$C:$C)+#REF!,""))</f>
        <v/>
      </c>
      <c r="E2686" s="4">
        <v>46051</v>
      </c>
      <c r="F2686" s="1" t="s">
        <v>8</v>
      </c>
    </row>
    <row r="2687" spans="1:6" x14ac:dyDescent="0.25">
      <c r="A2687" s="1" t="s">
        <v>5384</v>
      </c>
      <c r="B2687" s="1" t="s">
        <v>5385</v>
      </c>
      <c r="C2687" s="3">
        <v>200</v>
      </c>
      <c r="D2687" s="3" t="str">
        <f ca="1">IF(B2687="","",IFERROR(_xludf.XLOOKUP(_xludf.XLOOKUP(B2687,Inventory!$A:$A,Inventory!$B:$B),Blades!$A:$A,Blades!$C:$C)+_xludf.XLOOKUP(_xludf.XLOOKUP(B2687,Inventory!$A:$A,Inventory!$C:$C),Motor!$A:$A,Motor!$C:$C)+_xludf.XLOOKUP(_xludf.XLOOKUP(B2687,Inventory!$A:$A,Inventory!$D:$D),Frame!$A:$A,Frame!$C:$C)+#REF!,""))</f>
        <v/>
      </c>
      <c r="E2687" s="4">
        <v>46051</v>
      </c>
      <c r="F2687" s="1" t="s">
        <v>20</v>
      </c>
    </row>
    <row r="2688" spans="1:6" x14ac:dyDescent="0.25">
      <c r="A2688" s="1" t="s">
        <v>5386</v>
      </c>
      <c r="B2688" s="1" t="s">
        <v>5387</v>
      </c>
      <c r="C2688" s="3">
        <v>200</v>
      </c>
      <c r="D2688" s="3" t="str">
        <f ca="1">IF(B2688="","",IFERROR(_xludf.XLOOKUP(_xludf.XLOOKUP(B2688,Inventory!$A:$A,Inventory!$B:$B),Blades!$A:$A,Blades!$C:$C)+_xludf.XLOOKUP(_xludf.XLOOKUP(B2688,Inventory!$A:$A,Inventory!$C:$C),Motor!$A:$A,Motor!$C:$C)+_xludf.XLOOKUP(_xludf.XLOOKUP(B2688,Inventory!$A:$A,Inventory!$D:$D),Frame!$A:$A,Frame!$C:$C)+#REF!,""))</f>
        <v/>
      </c>
      <c r="E2688" s="4">
        <v>46052</v>
      </c>
      <c r="F2688" s="1" t="s">
        <v>11</v>
      </c>
    </row>
    <row r="2689" spans="1:6" x14ac:dyDescent="0.25">
      <c r="A2689" s="1" t="s">
        <v>5388</v>
      </c>
      <c r="B2689" s="1" t="s">
        <v>5389</v>
      </c>
      <c r="C2689" s="3">
        <v>200</v>
      </c>
      <c r="D2689" s="3" t="str">
        <f ca="1">IF(B2689="","",IFERROR(_xludf.XLOOKUP(_xludf.XLOOKUP(B2689,Inventory!$A:$A,Inventory!$B:$B),Blades!$A:$A,Blades!$C:$C)+_xludf.XLOOKUP(_xludf.XLOOKUP(B2689,Inventory!$A:$A,Inventory!$C:$C),Motor!$A:$A,Motor!$C:$C)+_xludf.XLOOKUP(_xludf.XLOOKUP(B2689,Inventory!$A:$A,Inventory!$D:$D),Frame!$A:$A,Frame!$C:$C)+#REF!,""))</f>
        <v/>
      </c>
      <c r="E2689" s="4">
        <v>46052</v>
      </c>
      <c r="F2689" s="1" t="s">
        <v>63</v>
      </c>
    </row>
    <row r="2690" spans="1:6" x14ac:dyDescent="0.25">
      <c r="A2690" s="1" t="s">
        <v>5390</v>
      </c>
      <c r="B2690" s="1" t="s">
        <v>5391</v>
      </c>
      <c r="C2690" s="3">
        <v>200</v>
      </c>
      <c r="D2690" s="3" t="str">
        <f ca="1">IF(B2690="","",IFERROR(_xludf.XLOOKUP(_xludf.XLOOKUP(B2690,Inventory!$A:$A,Inventory!$B:$B),Blades!$A:$A,Blades!$C:$C)+_xludf.XLOOKUP(_xludf.XLOOKUP(B2690,Inventory!$A:$A,Inventory!$C:$C),Motor!$A:$A,Motor!$C:$C)+_xludf.XLOOKUP(_xludf.XLOOKUP(B2690,Inventory!$A:$A,Inventory!$D:$D),Frame!$A:$A,Frame!$C:$C)+#REF!,""))</f>
        <v/>
      </c>
      <c r="E2690" s="4">
        <v>46053</v>
      </c>
      <c r="F2690" s="1" t="s">
        <v>63</v>
      </c>
    </row>
    <row r="2691" spans="1:6" x14ac:dyDescent="0.25">
      <c r="A2691" s="1" t="s">
        <v>5392</v>
      </c>
      <c r="B2691" s="1" t="s">
        <v>5393</v>
      </c>
      <c r="C2691" s="3">
        <v>200</v>
      </c>
      <c r="D2691" s="3" t="str">
        <f ca="1">IF(B2691="","",IFERROR(_xludf.XLOOKUP(_xludf.XLOOKUP(B2691,Inventory!$A:$A,Inventory!$B:$B),Blades!$A:$A,Blades!$C:$C)+_xludf.XLOOKUP(_xludf.XLOOKUP(B2691,Inventory!$A:$A,Inventory!$C:$C),Motor!$A:$A,Motor!$C:$C)+_xludf.XLOOKUP(_xludf.XLOOKUP(B2691,Inventory!$A:$A,Inventory!$D:$D),Frame!$A:$A,Frame!$C:$C)+#REF!,""))</f>
        <v/>
      </c>
      <c r="E2691" s="4">
        <v>46053</v>
      </c>
      <c r="F2691" s="1" t="s">
        <v>63</v>
      </c>
    </row>
    <row r="2692" spans="1:6" x14ac:dyDescent="0.25">
      <c r="A2692" s="1" t="s">
        <v>5394</v>
      </c>
      <c r="B2692" s="1" t="s">
        <v>5395</v>
      </c>
      <c r="C2692" s="3">
        <v>200</v>
      </c>
      <c r="D2692" s="3" t="str">
        <f ca="1">IF(B2692="","",IFERROR(_xludf.XLOOKUP(_xludf.XLOOKUP(B2692,Inventory!$A:$A,Inventory!$B:$B),Blades!$A:$A,Blades!$C:$C)+_xludf.XLOOKUP(_xludf.XLOOKUP(B2692,Inventory!$A:$A,Inventory!$C:$C),Motor!$A:$A,Motor!$C:$C)+_xludf.XLOOKUP(_xludf.XLOOKUP(B2692,Inventory!$A:$A,Inventory!$D:$D),Frame!$A:$A,Frame!$C:$C)+#REF!,""))</f>
        <v/>
      </c>
      <c r="E2692" s="4">
        <v>46054</v>
      </c>
      <c r="F2692" s="1" t="s">
        <v>32</v>
      </c>
    </row>
    <row r="2693" spans="1:6" x14ac:dyDescent="0.25">
      <c r="A2693" s="1" t="s">
        <v>5396</v>
      </c>
      <c r="B2693" s="1" t="s">
        <v>5397</v>
      </c>
      <c r="C2693" s="3">
        <v>200</v>
      </c>
      <c r="D2693" s="3" t="str">
        <f ca="1">IF(B2693="","",IFERROR(_xludf.XLOOKUP(_xludf.XLOOKUP(B2693,Inventory!$A:$A,Inventory!$B:$B),Blades!$A:$A,Blades!$C:$C)+_xludf.XLOOKUP(_xludf.XLOOKUP(B2693,Inventory!$A:$A,Inventory!$C:$C),Motor!$A:$A,Motor!$C:$C)+_xludf.XLOOKUP(_xludf.XLOOKUP(B2693,Inventory!$A:$A,Inventory!$D:$D),Frame!$A:$A,Frame!$C:$C)+#REF!,""))</f>
        <v/>
      </c>
      <c r="E2693" s="4">
        <v>46054</v>
      </c>
      <c r="F2693" s="1" t="s">
        <v>20</v>
      </c>
    </row>
    <row r="2694" spans="1:6" x14ac:dyDescent="0.25">
      <c r="A2694" s="1" t="s">
        <v>5398</v>
      </c>
      <c r="B2694" s="1" t="s">
        <v>5399</v>
      </c>
      <c r="C2694" s="3">
        <v>200</v>
      </c>
      <c r="D2694" s="3" t="str">
        <f ca="1">IF(B2694="","",IFERROR(_xludf.XLOOKUP(_xludf.XLOOKUP(B2694,Inventory!$A:$A,Inventory!$B:$B),Blades!$A:$A,Blades!$C:$C)+_xludf.XLOOKUP(_xludf.XLOOKUP(B2694,Inventory!$A:$A,Inventory!$C:$C),Motor!$A:$A,Motor!$C:$C)+_xludf.XLOOKUP(_xludf.XLOOKUP(B2694,Inventory!$A:$A,Inventory!$D:$D),Frame!$A:$A,Frame!$C:$C)+#REF!,""))</f>
        <v/>
      </c>
      <c r="E2694" s="4">
        <v>46055</v>
      </c>
      <c r="F2694" s="1" t="s">
        <v>32</v>
      </c>
    </row>
    <row r="2695" spans="1:6" x14ac:dyDescent="0.25">
      <c r="A2695" s="1" t="s">
        <v>5400</v>
      </c>
      <c r="B2695" s="1" t="s">
        <v>5401</v>
      </c>
      <c r="C2695" s="3">
        <v>200</v>
      </c>
      <c r="D2695" s="3" t="str">
        <f ca="1">IF(B2695="","",IFERROR(_xludf.XLOOKUP(_xludf.XLOOKUP(B2695,Inventory!$A:$A,Inventory!$B:$B),Blades!$A:$A,Blades!$C:$C)+_xludf.XLOOKUP(_xludf.XLOOKUP(B2695,Inventory!$A:$A,Inventory!$C:$C),Motor!$A:$A,Motor!$C:$C)+_xludf.XLOOKUP(_xludf.XLOOKUP(B2695,Inventory!$A:$A,Inventory!$D:$D),Frame!$A:$A,Frame!$C:$C)+#REF!,""))</f>
        <v/>
      </c>
      <c r="E2695" s="4">
        <v>46055</v>
      </c>
      <c r="F2695" s="1" t="s">
        <v>52</v>
      </c>
    </row>
    <row r="2696" spans="1:6" x14ac:dyDescent="0.25">
      <c r="A2696" s="1" t="s">
        <v>5402</v>
      </c>
      <c r="B2696" s="1" t="s">
        <v>5403</v>
      </c>
      <c r="C2696" s="3">
        <v>200</v>
      </c>
      <c r="D2696" s="3" t="str">
        <f ca="1">IF(B2696="","",IFERROR(_xludf.XLOOKUP(_xludf.XLOOKUP(B2696,Inventory!$A:$A,Inventory!$B:$B),Blades!$A:$A,Blades!$C:$C)+_xludf.XLOOKUP(_xludf.XLOOKUP(B2696,Inventory!$A:$A,Inventory!$C:$C),Motor!$A:$A,Motor!$C:$C)+_xludf.XLOOKUP(_xludf.XLOOKUP(B2696,Inventory!$A:$A,Inventory!$D:$D),Frame!$A:$A,Frame!$C:$C)+#REF!,""))</f>
        <v/>
      </c>
      <c r="E2696" s="4">
        <v>46055</v>
      </c>
      <c r="F2696" s="1" t="s">
        <v>25</v>
      </c>
    </row>
    <row r="2697" spans="1:6" x14ac:dyDescent="0.25">
      <c r="A2697" s="1" t="s">
        <v>5404</v>
      </c>
      <c r="B2697" s="1" t="s">
        <v>5405</v>
      </c>
      <c r="C2697" s="3">
        <v>200</v>
      </c>
      <c r="D2697" s="3" t="str">
        <f ca="1">IF(B2697="","",IFERROR(_xludf.XLOOKUP(_xludf.XLOOKUP(B2697,Inventory!$A:$A,Inventory!$B:$B),Blades!$A:$A,Blades!$C:$C)+_xludf.XLOOKUP(_xludf.XLOOKUP(B2697,Inventory!$A:$A,Inventory!$C:$C),Motor!$A:$A,Motor!$C:$C)+_xludf.XLOOKUP(_xludf.XLOOKUP(B2697,Inventory!$A:$A,Inventory!$D:$D),Frame!$A:$A,Frame!$C:$C)+#REF!,""))</f>
        <v/>
      </c>
      <c r="E2697" s="4">
        <v>46056</v>
      </c>
      <c r="F2697" s="1" t="s">
        <v>25</v>
      </c>
    </row>
    <row r="2698" spans="1:6" x14ac:dyDescent="0.25">
      <c r="A2698" s="1" t="s">
        <v>5406</v>
      </c>
      <c r="B2698" s="1" t="s">
        <v>5407</v>
      </c>
      <c r="C2698" s="3">
        <v>200</v>
      </c>
      <c r="D2698" s="3" t="str">
        <f ca="1">IF(B2698="","",IFERROR(_xludf.XLOOKUP(_xludf.XLOOKUP(B2698,Inventory!$A:$A,Inventory!$B:$B),Blades!$A:$A,Blades!$C:$C)+_xludf.XLOOKUP(_xludf.XLOOKUP(B2698,Inventory!$A:$A,Inventory!$C:$C),Motor!$A:$A,Motor!$C:$C)+_xludf.XLOOKUP(_xludf.XLOOKUP(B2698,Inventory!$A:$A,Inventory!$D:$D),Frame!$A:$A,Frame!$C:$C)+#REF!,""))</f>
        <v/>
      </c>
      <c r="E2698" s="4">
        <v>46056</v>
      </c>
      <c r="F2698" s="1" t="s">
        <v>32</v>
      </c>
    </row>
    <row r="2699" spans="1:6" x14ac:dyDescent="0.25">
      <c r="A2699" s="1" t="s">
        <v>5408</v>
      </c>
      <c r="B2699" s="1" t="s">
        <v>5409</v>
      </c>
      <c r="C2699" s="3">
        <v>200</v>
      </c>
      <c r="D2699" s="3" t="str">
        <f ca="1">IF(B2699="","",IFERROR(_xludf.XLOOKUP(_xludf.XLOOKUP(B2699,Inventory!$A:$A,Inventory!$B:$B),Blades!$A:$A,Blades!$C:$C)+_xludf.XLOOKUP(_xludf.XLOOKUP(B2699,Inventory!$A:$A,Inventory!$C:$C),Motor!$A:$A,Motor!$C:$C)+_xludf.XLOOKUP(_xludf.XLOOKUP(B2699,Inventory!$A:$A,Inventory!$D:$D),Frame!$A:$A,Frame!$C:$C)+#REF!,""))</f>
        <v/>
      </c>
      <c r="E2699" s="4">
        <v>46056</v>
      </c>
      <c r="F2699" s="1" t="s">
        <v>20</v>
      </c>
    </row>
    <row r="2700" spans="1:6" x14ac:dyDescent="0.25">
      <c r="A2700" s="1" t="s">
        <v>5410</v>
      </c>
      <c r="B2700" s="1" t="s">
        <v>5411</v>
      </c>
      <c r="C2700" s="3">
        <v>200</v>
      </c>
      <c r="D2700" s="3" t="str">
        <f ca="1">IF(B2700="","",IFERROR(_xludf.XLOOKUP(_xludf.XLOOKUP(B2700,Inventory!$A:$A,Inventory!$B:$B),Blades!$A:$A,Blades!$C:$C)+_xludf.XLOOKUP(_xludf.XLOOKUP(B2700,Inventory!$A:$A,Inventory!$C:$C),Motor!$A:$A,Motor!$C:$C)+_xludf.XLOOKUP(_xludf.XLOOKUP(B2700,Inventory!$A:$A,Inventory!$D:$D),Frame!$A:$A,Frame!$C:$C)+#REF!,""))</f>
        <v/>
      </c>
      <c r="E2700" s="4">
        <v>46056</v>
      </c>
      <c r="F2700" s="1" t="s">
        <v>25</v>
      </c>
    </row>
    <row r="2701" spans="1:6" x14ac:dyDescent="0.25">
      <c r="A2701" s="1" t="s">
        <v>5412</v>
      </c>
      <c r="B2701" s="1" t="s">
        <v>5413</v>
      </c>
      <c r="C2701" s="3">
        <v>200</v>
      </c>
      <c r="D2701" s="3" t="str">
        <f ca="1">IF(B2701="","",IFERROR(_xludf.XLOOKUP(_xludf.XLOOKUP(B2701,Inventory!$A:$A,Inventory!$B:$B),Blades!$A:$A,Blades!$C:$C)+_xludf.XLOOKUP(_xludf.XLOOKUP(B2701,Inventory!$A:$A,Inventory!$C:$C),Motor!$A:$A,Motor!$C:$C)+_xludf.XLOOKUP(_xludf.XLOOKUP(B2701,Inventory!$A:$A,Inventory!$D:$D),Frame!$A:$A,Frame!$C:$C)+#REF!,""))</f>
        <v/>
      </c>
      <c r="E2701" s="4">
        <v>46056</v>
      </c>
      <c r="F2701" s="1" t="s">
        <v>32</v>
      </c>
    </row>
    <row r="2702" spans="1:6" x14ac:dyDescent="0.25">
      <c r="A2702" s="1" t="s">
        <v>5414</v>
      </c>
      <c r="B2702" s="1" t="s">
        <v>5415</v>
      </c>
      <c r="C2702" s="3">
        <v>200</v>
      </c>
      <c r="D2702" s="3" t="str">
        <f ca="1">IF(B2702="","",IFERROR(_xludf.XLOOKUP(_xludf.XLOOKUP(B2702,Inventory!$A:$A,Inventory!$B:$B),Blades!$A:$A,Blades!$C:$C)+_xludf.XLOOKUP(_xludf.XLOOKUP(B2702,Inventory!$A:$A,Inventory!$C:$C),Motor!$A:$A,Motor!$C:$C)+_xludf.XLOOKUP(_xludf.XLOOKUP(B2702,Inventory!$A:$A,Inventory!$D:$D),Frame!$A:$A,Frame!$C:$C)+#REF!,""))</f>
        <v/>
      </c>
      <c r="E2702" s="4">
        <v>46056</v>
      </c>
      <c r="F2702" s="1" t="s">
        <v>52</v>
      </c>
    </row>
    <row r="2703" spans="1:6" x14ac:dyDescent="0.25">
      <c r="A2703" s="1" t="s">
        <v>5416</v>
      </c>
      <c r="B2703" s="1" t="s">
        <v>5417</v>
      </c>
      <c r="C2703" s="3">
        <v>200</v>
      </c>
      <c r="D2703" s="3" t="str">
        <f ca="1">IF(B2703="","",IFERROR(_xludf.XLOOKUP(_xludf.XLOOKUP(B2703,Inventory!$A:$A,Inventory!$B:$B),Blades!$A:$A,Blades!$C:$C)+_xludf.XLOOKUP(_xludf.XLOOKUP(B2703,Inventory!$A:$A,Inventory!$C:$C),Motor!$A:$A,Motor!$C:$C)+_xludf.XLOOKUP(_xludf.XLOOKUP(B2703,Inventory!$A:$A,Inventory!$D:$D),Frame!$A:$A,Frame!$C:$C)+#REF!,""))</f>
        <v/>
      </c>
      <c r="E2703" s="4">
        <v>46057</v>
      </c>
      <c r="F2703" s="1" t="s">
        <v>25</v>
      </c>
    </row>
    <row r="2704" spans="1:6" x14ac:dyDescent="0.25">
      <c r="A2704" s="1" t="s">
        <v>5418</v>
      </c>
      <c r="B2704" s="1" t="s">
        <v>5419</v>
      </c>
      <c r="C2704" s="3">
        <v>200</v>
      </c>
      <c r="D2704" s="3" t="str">
        <f ca="1">IF(B2704="","",IFERROR(_xludf.XLOOKUP(_xludf.XLOOKUP(B2704,Inventory!$A:$A,Inventory!$B:$B),Blades!$A:$A,Blades!$C:$C)+_xludf.XLOOKUP(_xludf.XLOOKUP(B2704,Inventory!$A:$A,Inventory!$C:$C),Motor!$A:$A,Motor!$C:$C)+_xludf.XLOOKUP(_xludf.XLOOKUP(B2704,Inventory!$A:$A,Inventory!$D:$D),Frame!$A:$A,Frame!$C:$C)+#REF!,""))</f>
        <v/>
      </c>
      <c r="E2704" s="4">
        <v>46057</v>
      </c>
      <c r="F2704" s="1" t="s">
        <v>11</v>
      </c>
    </row>
    <row r="2705" spans="1:6" x14ac:dyDescent="0.25">
      <c r="A2705" s="1" t="s">
        <v>5420</v>
      </c>
      <c r="B2705" s="1" t="s">
        <v>5421</v>
      </c>
      <c r="C2705" s="3">
        <v>200</v>
      </c>
      <c r="D2705" s="3" t="str">
        <f ca="1">IF(B2705="","",IFERROR(_xludf.XLOOKUP(_xludf.XLOOKUP(B2705,Inventory!$A:$A,Inventory!$B:$B),Blades!$A:$A,Blades!$C:$C)+_xludf.XLOOKUP(_xludf.XLOOKUP(B2705,Inventory!$A:$A,Inventory!$C:$C),Motor!$A:$A,Motor!$C:$C)+_xludf.XLOOKUP(_xludf.XLOOKUP(B2705,Inventory!$A:$A,Inventory!$D:$D),Frame!$A:$A,Frame!$C:$C)+#REF!,""))</f>
        <v/>
      </c>
      <c r="E2705" s="4">
        <v>46058</v>
      </c>
      <c r="F2705" s="1" t="s">
        <v>63</v>
      </c>
    </row>
    <row r="2706" spans="1:6" x14ac:dyDescent="0.25">
      <c r="A2706" s="1" t="s">
        <v>5422</v>
      </c>
      <c r="B2706" s="1" t="s">
        <v>5423</v>
      </c>
      <c r="C2706" s="3">
        <v>200</v>
      </c>
      <c r="D2706" s="3" t="str">
        <f ca="1">IF(B2706="","",IFERROR(_xludf.XLOOKUP(_xludf.XLOOKUP(B2706,Inventory!$A:$A,Inventory!$B:$B),Blades!$A:$A,Blades!$C:$C)+_xludf.XLOOKUP(_xludf.XLOOKUP(B2706,Inventory!$A:$A,Inventory!$C:$C),Motor!$A:$A,Motor!$C:$C)+_xludf.XLOOKUP(_xludf.XLOOKUP(B2706,Inventory!$A:$A,Inventory!$D:$D),Frame!$A:$A,Frame!$C:$C)+#REF!,""))</f>
        <v/>
      </c>
      <c r="E2706" s="4">
        <v>46058</v>
      </c>
      <c r="F2706" s="1" t="s">
        <v>32</v>
      </c>
    </row>
    <row r="2707" spans="1:6" x14ac:dyDescent="0.25">
      <c r="A2707" s="1" t="s">
        <v>5424</v>
      </c>
      <c r="B2707" s="1" t="s">
        <v>5425</v>
      </c>
      <c r="C2707" s="3">
        <v>200</v>
      </c>
      <c r="D2707" s="3" t="str">
        <f ca="1">IF(B2707="","",IFERROR(_xludf.XLOOKUP(_xludf.XLOOKUP(B2707,Inventory!$A:$A,Inventory!$B:$B),Blades!$A:$A,Blades!$C:$C)+_xludf.XLOOKUP(_xludf.XLOOKUP(B2707,Inventory!$A:$A,Inventory!$C:$C),Motor!$A:$A,Motor!$C:$C)+_xludf.XLOOKUP(_xludf.XLOOKUP(B2707,Inventory!$A:$A,Inventory!$D:$D),Frame!$A:$A,Frame!$C:$C)+#REF!,""))</f>
        <v/>
      </c>
      <c r="E2707" s="4">
        <v>46059</v>
      </c>
      <c r="F2707" s="1" t="s">
        <v>25</v>
      </c>
    </row>
    <row r="2708" spans="1:6" x14ac:dyDescent="0.25">
      <c r="A2708" s="1" t="s">
        <v>5426</v>
      </c>
      <c r="B2708" s="1" t="s">
        <v>5427</v>
      </c>
      <c r="C2708" s="3">
        <v>200</v>
      </c>
      <c r="D2708" s="3" t="str">
        <f ca="1">IF(B2708="","",IFERROR(_xludf.XLOOKUP(_xludf.XLOOKUP(B2708,Inventory!$A:$A,Inventory!$B:$B),Blades!$A:$A,Blades!$C:$C)+_xludf.XLOOKUP(_xludf.XLOOKUP(B2708,Inventory!$A:$A,Inventory!$C:$C),Motor!$A:$A,Motor!$C:$C)+_xludf.XLOOKUP(_xludf.XLOOKUP(B2708,Inventory!$A:$A,Inventory!$D:$D),Frame!$A:$A,Frame!$C:$C)+#REF!,""))</f>
        <v/>
      </c>
      <c r="E2708" s="4">
        <v>46060</v>
      </c>
      <c r="F2708" s="1" t="s">
        <v>25</v>
      </c>
    </row>
    <row r="2709" spans="1:6" x14ac:dyDescent="0.25">
      <c r="A2709" s="1" t="s">
        <v>5428</v>
      </c>
      <c r="B2709" s="1" t="s">
        <v>5429</v>
      </c>
      <c r="C2709" s="3">
        <v>200</v>
      </c>
      <c r="D2709" s="3" t="str">
        <f ca="1">IF(B2709="","",IFERROR(_xludf.XLOOKUP(_xludf.XLOOKUP(B2709,Inventory!$A:$A,Inventory!$B:$B),Blades!$A:$A,Blades!$C:$C)+_xludf.XLOOKUP(_xludf.XLOOKUP(B2709,Inventory!$A:$A,Inventory!$C:$C),Motor!$A:$A,Motor!$C:$C)+_xludf.XLOOKUP(_xludf.XLOOKUP(B2709,Inventory!$A:$A,Inventory!$D:$D),Frame!$A:$A,Frame!$C:$C)+#REF!,""))</f>
        <v/>
      </c>
      <c r="E2709" s="4">
        <v>46061</v>
      </c>
      <c r="F2709" s="1" t="s">
        <v>63</v>
      </c>
    </row>
    <row r="2710" spans="1:6" x14ac:dyDescent="0.25">
      <c r="A2710" s="1" t="s">
        <v>5430</v>
      </c>
      <c r="B2710" s="1" t="s">
        <v>5431</v>
      </c>
      <c r="C2710" s="3">
        <v>200</v>
      </c>
      <c r="D2710" s="3" t="str">
        <f ca="1">IF(B2710="","",IFERROR(_xludf.XLOOKUP(_xludf.XLOOKUP(B2710,Inventory!$A:$A,Inventory!$B:$B),Blades!$A:$A,Blades!$C:$C)+_xludf.XLOOKUP(_xludf.XLOOKUP(B2710,Inventory!$A:$A,Inventory!$C:$C),Motor!$A:$A,Motor!$C:$C)+_xludf.XLOOKUP(_xludf.XLOOKUP(B2710,Inventory!$A:$A,Inventory!$D:$D),Frame!$A:$A,Frame!$C:$C)+#REF!,""))</f>
        <v/>
      </c>
      <c r="E2710" s="4">
        <v>46061</v>
      </c>
      <c r="F2710" s="1" t="s">
        <v>63</v>
      </c>
    </row>
    <row r="2711" spans="1:6" x14ac:dyDescent="0.25">
      <c r="A2711" s="1" t="s">
        <v>5432</v>
      </c>
      <c r="B2711" s="1" t="s">
        <v>5433</v>
      </c>
      <c r="C2711" s="3">
        <v>200</v>
      </c>
      <c r="D2711" s="3" t="str">
        <f ca="1">IF(B2711="","",IFERROR(_xludf.XLOOKUP(_xludf.XLOOKUP(B2711,Inventory!$A:$A,Inventory!$B:$B),Blades!$A:$A,Blades!$C:$C)+_xludf.XLOOKUP(_xludf.XLOOKUP(B2711,Inventory!$A:$A,Inventory!$C:$C),Motor!$A:$A,Motor!$C:$C)+_xludf.XLOOKUP(_xludf.XLOOKUP(B2711,Inventory!$A:$A,Inventory!$D:$D),Frame!$A:$A,Frame!$C:$C)+#REF!,""))</f>
        <v/>
      </c>
      <c r="E2711" s="4">
        <v>46061</v>
      </c>
      <c r="F2711" s="1" t="s">
        <v>52</v>
      </c>
    </row>
    <row r="2712" spans="1:6" x14ac:dyDescent="0.25">
      <c r="A2712" s="1" t="s">
        <v>5434</v>
      </c>
      <c r="B2712" s="1" t="s">
        <v>5435</v>
      </c>
      <c r="C2712" s="3">
        <v>200</v>
      </c>
      <c r="D2712" s="3" t="str">
        <f ca="1">IF(B2712="","",IFERROR(_xludf.XLOOKUP(_xludf.XLOOKUP(B2712,Inventory!$A:$A,Inventory!$B:$B),Blades!$A:$A,Blades!$C:$C)+_xludf.XLOOKUP(_xludf.XLOOKUP(B2712,Inventory!$A:$A,Inventory!$C:$C),Motor!$A:$A,Motor!$C:$C)+_xludf.XLOOKUP(_xludf.XLOOKUP(B2712,Inventory!$A:$A,Inventory!$D:$D),Frame!$A:$A,Frame!$C:$C)+#REF!,""))</f>
        <v/>
      </c>
      <c r="E2712" s="4">
        <v>46063</v>
      </c>
      <c r="F2712" s="1" t="s">
        <v>25</v>
      </c>
    </row>
    <row r="2713" spans="1:6" x14ac:dyDescent="0.25">
      <c r="A2713" s="1" t="s">
        <v>5436</v>
      </c>
      <c r="B2713" s="1" t="s">
        <v>5437</v>
      </c>
      <c r="C2713" s="3">
        <v>200</v>
      </c>
      <c r="D2713" s="3" t="str">
        <f ca="1">IF(B2713="","",IFERROR(_xludf.XLOOKUP(_xludf.XLOOKUP(B2713,Inventory!$A:$A,Inventory!$B:$B),Blades!$A:$A,Blades!$C:$C)+_xludf.XLOOKUP(_xludf.XLOOKUP(B2713,Inventory!$A:$A,Inventory!$C:$C),Motor!$A:$A,Motor!$C:$C)+_xludf.XLOOKUP(_xludf.XLOOKUP(B2713,Inventory!$A:$A,Inventory!$D:$D),Frame!$A:$A,Frame!$C:$C)+#REF!,""))</f>
        <v/>
      </c>
      <c r="E2713" s="4">
        <v>46063</v>
      </c>
      <c r="F2713" s="1" t="s">
        <v>8</v>
      </c>
    </row>
    <row r="2714" spans="1:6" x14ac:dyDescent="0.25">
      <c r="A2714" s="1" t="s">
        <v>5438</v>
      </c>
      <c r="B2714" s="1" t="s">
        <v>5439</v>
      </c>
      <c r="C2714" s="3">
        <v>200</v>
      </c>
      <c r="D2714" s="3" t="str">
        <f ca="1">IF(B2714="","",IFERROR(_xludf.XLOOKUP(_xludf.XLOOKUP(B2714,Inventory!$A:$A,Inventory!$B:$B),Blades!$A:$A,Blades!$C:$C)+_xludf.XLOOKUP(_xludf.XLOOKUP(B2714,Inventory!$A:$A,Inventory!$C:$C),Motor!$A:$A,Motor!$C:$C)+_xludf.XLOOKUP(_xludf.XLOOKUP(B2714,Inventory!$A:$A,Inventory!$D:$D),Frame!$A:$A,Frame!$C:$C)+#REF!,""))</f>
        <v/>
      </c>
      <c r="E2714" s="4">
        <v>46063</v>
      </c>
      <c r="F2714" s="1" t="s">
        <v>63</v>
      </c>
    </row>
    <row r="2715" spans="1:6" x14ac:dyDescent="0.25">
      <c r="A2715" s="1" t="s">
        <v>5440</v>
      </c>
      <c r="B2715" s="1" t="s">
        <v>5441</v>
      </c>
      <c r="C2715" s="3">
        <v>200</v>
      </c>
      <c r="D2715" s="3" t="str">
        <f ca="1">IF(B2715="","",IFERROR(_xludf.XLOOKUP(_xludf.XLOOKUP(B2715,Inventory!$A:$A,Inventory!$B:$B),Blades!$A:$A,Blades!$C:$C)+_xludf.XLOOKUP(_xludf.XLOOKUP(B2715,Inventory!$A:$A,Inventory!$C:$C),Motor!$A:$A,Motor!$C:$C)+_xludf.XLOOKUP(_xludf.XLOOKUP(B2715,Inventory!$A:$A,Inventory!$D:$D),Frame!$A:$A,Frame!$C:$C)+#REF!,""))</f>
        <v/>
      </c>
      <c r="E2715" s="4">
        <v>46064</v>
      </c>
      <c r="F2715" s="1" t="s">
        <v>8</v>
      </c>
    </row>
    <row r="2716" spans="1:6" x14ac:dyDescent="0.25">
      <c r="A2716" s="1" t="s">
        <v>5442</v>
      </c>
      <c r="B2716" s="1" t="s">
        <v>5443</v>
      </c>
      <c r="C2716" s="3">
        <v>200</v>
      </c>
      <c r="D2716" s="3" t="str">
        <f ca="1">IF(B2716="","",IFERROR(_xludf.XLOOKUP(_xludf.XLOOKUP(B2716,Inventory!$A:$A,Inventory!$B:$B),Blades!$A:$A,Blades!$C:$C)+_xludf.XLOOKUP(_xludf.XLOOKUP(B2716,Inventory!$A:$A,Inventory!$C:$C),Motor!$A:$A,Motor!$C:$C)+_xludf.XLOOKUP(_xludf.XLOOKUP(B2716,Inventory!$A:$A,Inventory!$D:$D),Frame!$A:$A,Frame!$C:$C)+#REF!,""))</f>
        <v/>
      </c>
      <c r="E2716" s="4">
        <v>46064</v>
      </c>
      <c r="F2716" s="1" t="s">
        <v>32</v>
      </c>
    </row>
    <row r="2717" spans="1:6" x14ac:dyDescent="0.25">
      <c r="A2717" s="1" t="s">
        <v>5444</v>
      </c>
      <c r="B2717" s="1" t="s">
        <v>5445</v>
      </c>
      <c r="C2717" s="3">
        <v>200</v>
      </c>
      <c r="D2717" s="3" t="str">
        <f ca="1">IF(B2717="","",IFERROR(_xludf.XLOOKUP(_xludf.XLOOKUP(B2717,Inventory!$A:$A,Inventory!$B:$B),Blades!$A:$A,Blades!$C:$C)+_xludf.XLOOKUP(_xludf.XLOOKUP(B2717,Inventory!$A:$A,Inventory!$C:$C),Motor!$A:$A,Motor!$C:$C)+_xludf.XLOOKUP(_xludf.XLOOKUP(B2717,Inventory!$A:$A,Inventory!$D:$D),Frame!$A:$A,Frame!$C:$C)+#REF!,""))</f>
        <v/>
      </c>
      <c r="E2717" s="4">
        <v>46065</v>
      </c>
      <c r="F2717" s="1" t="s">
        <v>20</v>
      </c>
    </row>
    <row r="2718" spans="1:6" x14ac:dyDescent="0.25">
      <c r="A2718" s="1" t="s">
        <v>5446</v>
      </c>
      <c r="B2718" s="1" t="s">
        <v>5447</v>
      </c>
      <c r="C2718" s="3">
        <v>200</v>
      </c>
      <c r="D2718" s="3" t="str">
        <f ca="1">IF(B2718="","",IFERROR(_xludf.XLOOKUP(_xludf.XLOOKUP(B2718,Inventory!$A:$A,Inventory!$B:$B),Blades!$A:$A,Blades!$C:$C)+_xludf.XLOOKUP(_xludf.XLOOKUP(B2718,Inventory!$A:$A,Inventory!$C:$C),Motor!$A:$A,Motor!$C:$C)+_xludf.XLOOKUP(_xludf.XLOOKUP(B2718,Inventory!$A:$A,Inventory!$D:$D),Frame!$A:$A,Frame!$C:$C)+#REF!,""))</f>
        <v/>
      </c>
      <c r="E2718" s="4">
        <v>46065</v>
      </c>
      <c r="F2718" s="1" t="s">
        <v>32</v>
      </c>
    </row>
    <row r="2719" spans="1:6" x14ac:dyDescent="0.25">
      <c r="A2719" s="1" t="s">
        <v>5448</v>
      </c>
      <c r="B2719" s="1" t="s">
        <v>5449</v>
      </c>
      <c r="C2719" s="3">
        <v>200</v>
      </c>
      <c r="D2719" s="3" t="str">
        <f ca="1">IF(B2719="","",IFERROR(_xludf.XLOOKUP(_xludf.XLOOKUP(B2719,Inventory!$A:$A,Inventory!$B:$B),Blades!$A:$A,Blades!$C:$C)+_xludf.XLOOKUP(_xludf.XLOOKUP(B2719,Inventory!$A:$A,Inventory!$C:$C),Motor!$A:$A,Motor!$C:$C)+_xludf.XLOOKUP(_xludf.XLOOKUP(B2719,Inventory!$A:$A,Inventory!$D:$D),Frame!$A:$A,Frame!$C:$C)+#REF!,""))</f>
        <v/>
      </c>
      <c r="E2719" s="4">
        <v>46066</v>
      </c>
      <c r="F2719" s="1" t="s">
        <v>20</v>
      </c>
    </row>
    <row r="2720" spans="1:6" x14ac:dyDescent="0.25">
      <c r="A2720" s="1" t="s">
        <v>5450</v>
      </c>
      <c r="B2720" s="1" t="s">
        <v>5451</v>
      </c>
      <c r="C2720" s="3">
        <v>200</v>
      </c>
      <c r="D2720" s="3" t="str">
        <f ca="1">IF(B2720="","",IFERROR(_xludf.XLOOKUP(_xludf.XLOOKUP(B2720,Inventory!$A:$A,Inventory!$B:$B),Blades!$A:$A,Blades!$C:$C)+_xludf.XLOOKUP(_xludf.XLOOKUP(B2720,Inventory!$A:$A,Inventory!$C:$C),Motor!$A:$A,Motor!$C:$C)+_xludf.XLOOKUP(_xludf.XLOOKUP(B2720,Inventory!$A:$A,Inventory!$D:$D),Frame!$A:$A,Frame!$C:$C)+#REF!,""))</f>
        <v/>
      </c>
      <c r="E2720" s="4">
        <v>46066</v>
      </c>
      <c r="F2720" s="1" t="s">
        <v>32</v>
      </c>
    </row>
    <row r="2721" spans="1:6" x14ac:dyDescent="0.25">
      <c r="A2721" s="1" t="s">
        <v>5452</v>
      </c>
      <c r="B2721" s="1" t="s">
        <v>5453</v>
      </c>
      <c r="C2721" s="3">
        <v>200</v>
      </c>
      <c r="D2721" s="3" t="str">
        <f ca="1">IF(B2721="","",IFERROR(_xludf.XLOOKUP(_xludf.XLOOKUP(B2721,Inventory!$A:$A,Inventory!$B:$B),Blades!$A:$A,Blades!$C:$C)+_xludf.XLOOKUP(_xludf.XLOOKUP(B2721,Inventory!$A:$A,Inventory!$C:$C),Motor!$A:$A,Motor!$C:$C)+_xludf.XLOOKUP(_xludf.XLOOKUP(B2721,Inventory!$A:$A,Inventory!$D:$D),Frame!$A:$A,Frame!$C:$C)+#REF!,""))</f>
        <v/>
      </c>
      <c r="E2721" s="4">
        <v>46066</v>
      </c>
      <c r="F2721" s="1" t="s">
        <v>32</v>
      </c>
    </row>
    <row r="2722" spans="1:6" x14ac:dyDescent="0.25">
      <c r="A2722" s="1" t="s">
        <v>5454</v>
      </c>
      <c r="B2722" s="1" t="s">
        <v>5455</v>
      </c>
      <c r="C2722" s="3">
        <v>200</v>
      </c>
      <c r="D2722" s="3" t="str">
        <f ca="1">IF(B2722="","",IFERROR(_xludf.XLOOKUP(_xludf.XLOOKUP(B2722,Inventory!$A:$A,Inventory!$B:$B),Blades!$A:$A,Blades!$C:$C)+_xludf.XLOOKUP(_xludf.XLOOKUP(B2722,Inventory!$A:$A,Inventory!$C:$C),Motor!$A:$A,Motor!$C:$C)+_xludf.XLOOKUP(_xludf.XLOOKUP(B2722,Inventory!$A:$A,Inventory!$D:$D),Frame!$A:$A,Frame!$C:$C)+#REF!,""))</f>
        <v/>
      </c>
      <c r="E2722" s="4">
        <v>46067</v>
      </c>
      <c r="F2722" s="1" t="s">
        <v>32</v>
      </c>
    </row>
    <row r="2723" spans="1:6" x14ac:dyDescent="0.25">
      <c r="A2723" s="1" t="s">
        <v>5456</v>
      </c>
      <c r="B2723" s="1" t="s">
        <v>5457</v>
      </c>
      <c r="C2723" s="3">
        <v>200</v>
      </c>
      <c r="D2723" s="3" t="str">
        <f ca="1">IF(B2723="","",IFERROR(_xludf.XLOOKUP(_xludf.XLOOKUP(B2723,Inventory!$A:$A,Inventory!$B:$B),Blades!$A:$A,Blades!$C:$C)+_xludf.XLOOKUP(_xludf.XLOOKUP(B2723,Inventory!$A:$A,Inventory!$C:$C),Motor!$A:$A,Motor!$C:$C)+_xludf.XLOOKUP(_xludf.XLOOKUP(B2723,Inventory!$A:$A,Inventory!$D:$D),Frame!$A:$A,Frame!$C:$C)+#REF!,""))</f>
        <v/>
      </c>
      <c r="E2723" s="4">
        <v>46068</v>
      </c>
      <c r="F2723" s="1" t="s">
        <v>32</v>
      </c>
    </row>
    <row r="2724" spans="1:6" x14ac:dyDescent="0.25">
      <c r="A2724" s="1" t="s">
        <v>5458</v>
      </c>
      <c r="B2724" s="1" t="s">
        <v>5459</v>
      </c>
      <c r="C2724" s="3">
        <v>200</v>
      </c>
      <c r="D2724" s="3" t="str">
        <f ca="1">IF(B2724="","",IFERROR(_xludf.XLOOKUP(_xludf.XLOOKUP(B2724,Inventory!$A:$A,Inventory!$B:$B),Blades!$A:$A,Blades!$C:$C)+_xludf.XLOOKUP(_xludf.XLOOKUP(B2724,Inventory!$A:$A,Inventory!$C:$C),Motor!$A:$A,Motor!$C:$C)+_xludf.XLOOKUP(_xludf.XLOOKUP(B2724,Inventory!$A:$A,Inventory!$D:$D),Frame!$A:$A,Frame!$C:$C)+#REF!,""))</f>
        <v/>
      </c>
      <c r="E2724" s="4">
        <v>46069</v>
      </c>
      <c r="F2724" s="1" t="s">
        <v>52</v>
      </c>
    </row>
    <row r="2725" spans="1:6" x14ac:dyDescent="0.25">
      <c r="A2725" s="1" t="s">
        <v>5460</v>
      </c>
      <c r="B2725" s="1" t="s">
        <v>5461</v>
      </c>
      <c r="C2725" s="3">
        <v>200</v>
      </c>
      <c r="D2725" s="3" t="str">
        <f ca="1">IF(B2725="","",IFERROR(_xludf.XLOOKUP(_xludf.XLOOKUP(B2725,Inventory!$A:$A,Inventory!$B:$B),Blades!$A:$A,Blades!$C:$C)+_xludf.XLOOKUP(_xludf.XLOOKUP(B2725,Inventory!$A:$A,Inventory!$C:$C),Motor!$A:$A,Motor!$C:$C)+_xludf.XLOOKUP(_xludf.XLOOKUP(B2725,Inventory!$A:$A,Inventory!$D:$D),Frame!$A:$A,Frame!$C:$C)+#REF!,""))</f>
        <v/>
      </c>
      <c r="E2725" s="4">
        <v>46069</v>
      </c>
      <c r="F2725" s="1" t="s">
        <v>11</v>
      </c>
    </row>
    <row r="2726" spans="1:6" x14ac:dyDescent="0.25">
      <c r="A2726" s="1" t="s">
        <v>5462</v>
      </c>
      <c r="B2726" s="1" t="s">
        <v>5463</v>
      </c>
      <c r="C2726" s="3">
        <v>200</v>
      </c>
      <c r="D2726" s="3" t="str">
        <f ca="1">IF(B2726="","",IFERROR(_xludf.XLOOKUP(_xludf.XLOOKUP(B2726,Inventory!$A:$A,Inventory!$B:$B),Blades!$A:$A,Blades!$C:$C)+_xludf.XLOOKUP(_xludf.XLOOKUP(B2726,Inventory!$A:$A,Inventory!$C:$C),Motor!$A:$A,Motor!$C:$C)+_xludf.XLOOKUP(_xludf.XLOOKUP(B2726,Inventory!$A:$A,Inventory!$D:$D),Frame!$A:$A,Frame!$C:$C)+#REF!,""))</f>
        <v/>
      </c>
      <c r="E2726" s="4">
        <v>46069</v>
      </c>
      <c r="F2726" s="1" t="s">
        <v>25</v>
      </c>
    </row>
    <row r="2727" spans="1:6" x14ac:dyDescent="0.25">
      <c r="A2727" s="1" t="s">
        <v>5464</v>
      </c>
      <c r="B2727" s="1" t="s">
        <v>5465</v>
      </c>
      <c r="C2727" s="3">
        <v>200</v>
      </c>
      <c r="D2727" s="3" t="str">
        <f ca="1">IF(B2727="","",IFERROR(_xludf.XLOOKUP(_xludf.XLOOKUP(B2727,Inventory!$A:$A,Inventory!$B:$B),Blades!$A:$A,Blades!$C:$C)+_xludf.XLOOKUP(_xludf.XLOOKUP(B2727,Inventory!$A:$A,Inventory!$C:$C),Motor!$A:$A,Motor!$C:$C)+_xludf.XLOOKUP(_xludf.XLOOKUP(B2727,Inventory!$A:$A,Inventory!$D:$D),Frame!$A:$A,Frame!$C:$C)+#REF!,""))</f>
        <v/>
      </c>
      <c r="E2727" s="4">
        <v>46071</v>
      </c>
      <c r="F2727" s="1" t="s">
        <v>52</v>
      </c>
    </row>
    <row r="2728" spans="1:6" x14ac:dyDescent="0.25">
      <c r="A2728" s="1" t="s">
        <v>5466</v>
      </c>
      <c r="B2728" s="1" t="s">
        <v>5467</v>
      </c>
      <c r="C2728" s="3">
        <v>200</v>
      </c>
      <c r="D2728" s="3" t="str">
        <f ca="1">IF(B2728="","",IFERROR(_xludf.XLOOKUP(_xludf.XLOOKUP(B2728,Inventory!$A:$A,Inventory!$B:$B),Blades!$A:$A,Blades!$C:$C)+_xludf.XLOOKUP(_xludf.XLOOKUP(B2728,Inventory!$A:$A,Inventory!$C:$C),Motor!$A:$A,Motor!$C:$C)+_xludf.XLOOKUP(_xludf.XLOOKUP(B2728,Inventory!$A:$A,Inventory!$D:$D),Frame!$A:$A,Frame!$C:$C)+#REF!,""))</f>
        <v/>
      </c>
      <c r="E2728" s="4">
        <v>46072</v>
      </c>
      <c r="F2728" s="1" t="s">
        <v>49</v>
      </c>
    </row>
    <row r="2729" spans="1:6" x14ac:dyDescent="0.25">
      <c r="A2729" s="1" t="s">
        <v>5468</v>
      </c>
      <c r="B2729" s="1" t="s">
        <v>5469</v>
      </c>
      <c r="C2729" s="3">
        <v>200</v>
      </c>
      <c r="D2729" s="3" t="str">
        <f ca="1">IF(B2729="","",IFERROR(_xludf.XLOOKUP(_xludf.XLOOKUP(B2729,Inventory!$A:$A,Inventory!$B:$B),Blades!$A:$A,Blades!$C:$C)+_xludf.XLOOKUP(_xludf.XLOOKUP(B2729,Inventory!$A:$A,Inventory!$C:$C),Motor!$A:$A,Motor!$C:$C)+_xludf.XLOOKUP(_xludf.XLOOKUP(B2729,Inventory!$A:$A,Inventory!$D:$D),Frame!$A:$A,Frame!$C:$C)+#REF!,""))</f>
        <v/>
      </c>
      <c r="E2729" s="4">
        <v>46072</v>
      </c>
      <c r="F2729" s="1" t="s">
        <v>20</v>
      </c>
    </row>
    <row r="2730" spans="1:6" x14ac:dyDescent="0.25">
      <c r="A2730" s="1" t="s">
        <v>5470</v>
      </c>
      <c r="B2730" s="1" t="s">
        <v>5471</v>
      </c>
      <c r="C2730" s="3">
        <v>200</v>
      </c>
      <c r="D2730" s="3" t="str">
        <f ca="1">IF(B2730="","",IFERROR(_xludf.XLOOKUP(_xludf.XLOOKUP(B2730,Inventory!$A:$A,Inventory!$B:$B),Blades!$A:$A,Blades!$C:$C)+_xludf.XLOOKUP(_xludf.XLOOKUP(B2730,Inventory!$A:$A,Inventory!$C:$C),Motor!$A:$A,Motor!$C:$C)+_xludf.XLOOKUP(_xludf.XLOOKUP(B2730,Inventory!$A:$A,Inventory!$D:$D),Frame!$A:$A,Frame!$C:$C)+#REF!,""))</f>
        <v/>
      </c>
      <c r="E2730" s="4">
        <v>46074</v>
      </c>
      <c r="F2730" s="1" t="s">
        <v>49</v>
      </c>
    </row>
    <row r="2731" spans="1:6" x14ac:dyDescent="0.25">
      <c r="A2731" s="1" t="s">
        <v>5472</v>
      </c>
      <c r="B2731" s="1" t="s">
        <v>5473</v>
      </c>
      <c r="C2731" s="3">
        <v>200</v>
      </c>
      <c r="D2731" s="3" t="str">
        <f ca="1">IF(B2731="","",IFERROR(_xludf.XLOOKUP(_xludf.XLOOKUP(B2731,Inventory!$A:$A,Inventory!$B:$B),Blades!$A:$A,Blades!$C:$C)+_xludf.XLOOKUP(_xludf.XLOOKUP(B2731,Inventory!$A:$A,Inventory!$C:$C),Motor!$A:$A,Motor!$C:$C)+_xludf.XLOOKUP(_xludf.XLOOKUP(B2731,Inventory!$A:$A,Inventory!$D:$D),Frame!$A:$A,Frame!$C:$C)+#REF!,""))</f>
        <v/>
      </c>
      <c r="E2731" s="4">
        <v>46076</v>
      </c>
      <c r="F2731" s="1" t="s">
        <v>52</v>
      </c>
    </row>
    <row r="2732" spans="1:6" x14ac:dyDescent="0.25">
      <c r="A2732" s="1" t="s">
        <v>5474</v>
      </c>
      <c r="B2732" s="1" t="s">
        <v>5475</v>
      </c>
      <c r="C2732" s="3">
        <v>200</v>
      </c>
      <c r="D2732" s="3" t="str">
        <f ca="1">IF(B2732="","",IFERROR(_xludf.XLOOKUP(_xludf.XLOOKUP(B2732,Inventory!$A:$A,Inventory!$B:$B),Blades!$A:$A,Blades!$C:$C)+_xludf.XLOOKUP(_xludf.XLOOKUP(B2732,Inventory!$A:$A,Inventory!$C:$C),Motor!$A:$A,Motor!$C:$C)+_xludf.XLOOKUP(_xludf.XLOOKUP(B2732,Inventory!$A:$A,Inventory!$D:$D),Frame!$A:$A,Frame!$C:$C)+#REF!,""))</f>
        <v/>
      </c>
      <c r="E2732" s="4">
        <v>46077</v>
      </c>
      <c r="F2732" s="1" t="s">
        <v>52</v>
      </c>
    </row>
    <row r="2733" spans="1:6" x14ac:dyDescent="0.25">
      <c r="A2733" s="1" t="s">
        <v>5476</v>
      </c>
      <c r="B2733" s="1" t="s">
        <v>5477</v>
      </c>
      <c r="C2733" s="3">
        <v>200</v>
      </c>
      <c r="D2733" s="3" t="str">
        <f ca="1">IF(B2733="","",IFERROR(_xludf.XLOOKUP(_xludf.XLOOKUP(B2733,Inventory!$A:$A,Inventory!$B:$B),Blades!$A:$A,Blades!$C:$C)+_xludf.XLOOKUP(_xludf.XLOOKUP(B2733,Inventory!$A:$A,Inventory!$C:$C),Motor!$A:$A,Motor!$C:$C)+_xludf.XLOOKUP(_xludf.XLOOKUP(B2733,Inventory!$A:$A,Inventory!$D:$D),Frame!$A:$A,Frame!$C:$C)+#REF!,""))</f>
        <v/>
      </c>
      <c r="E2733" s="4">
        <v>46077</v>
      </c>
      <c r="F2733" s="1" t="s">
        <v>11</v>
      </c>
    </row>
    <row r="2734" spans="1:6" x14ac:dyDescent="0.25">
      <c r="A2734" s="1" t="s">
        <v>5478</v>
      </c>
      <c r="B2734" s="1" t="s">
        <v>5479</v>
      </c>
      <c r="C2734" s="3">
        <v>200</v>
      </c>
      <c r="D2734" s="3" t="str">
        <f ca="1">IF(B2734="","",IFERROR(_xludf.XLOOKUP(_xludf.XLOOKUP(B2734,Inventory!$A:$A,Inventory!$B:$B),Blades!$A:$A,Blades!$C:$C)+_xludf.XLOOKUP(_xludf.XLOOKUP(B2734,Inventory!$A:$A,Inventory!$C:$C),Motor!$A:$A,Motor!$C:$C)+_xludf.XLOOKUP(_xludf.XLOOKUP(B2734,Inventory!$A:$A,Inventory!$D:$D),Frame!$A:$A,Frame!$C:$C)+#REF!,""))</f>
        <v/>
      </c>
      <c r="E2734" s="4">
        <v>46077</v>
      </c>
      <c r="F2734" s="1" t="s">
        <v>63</v>
      </c>
    </row>
    <row r="2735" spans="1:6" x14ac:dyDescent="0.25">
      <c r="A2735" s="1" t="s">
        <v>5480</v>
      </c>
      <c r="B2735" s="1" t="s">
        <v>5481</v>
      </c>
      <c r="C2735" s="3">
        <v>200</v>
      </c>
      <c r="D2735" s="3" t="str">
        <f ca="1">IF(B2735="","",IFERROR(_xludf.XLOOKUP(_xludf.XLOOKUP(B2735,Inventory!$A:$A,Inventory!$B:$B),Blades!$A:$A,Blades!$C:$C)+_xludf.XLOOKUP(_xludf.XLOOKUP(B2735,Inventory!$A:$A,Inventory!$C:$C),Motor!$A:$A,Motor!$C:$C)+_xludf.XLOOKUP(_xludf.XLOOKUP(B2735,Inventory!$A:$A,Inventory!$D:$D),Frame!$A:$A,Frame!$C:$C)+#REF!,""))</f>
        <v/>
      </c>
      <c r="E2735" s="4">
        <v>46078</v>
      </c>
      <c r="F2735" s="1" t="s">
        <v>11</v>
      </c>
    </row>
    <row r="2736" spans="1:6" x14ac:dyDescent="0.25">
      <c r="A2736" s="1" t="s">
        <v>5482</v>
      </c>
      <c r="B2736" s="1" t="s">
        <v>5483</v>
      </c>
      <c r="C2736" s="3">
        <v>200</v>
      </c>
      <c r="D2736" s="3" t="str">
        <f ca="1">IF(B2736="","",IFERROR(_xludf.XLOOKUP(_xludf.XLOOKUP(B2736,Inventory!$A:$A,Inventory!$B:$B),Blades!$A:$A,Blades!$C:$C)+_xludf.XLOOKUP(_xludf.XLOOKUP(B2736,Inventory!$A:$A,Inventory!$C:$C),Motor!$A:$A,Motor!$C:$C)+_xludf.XLOOKUP(_xludf.XLOOKUP(B2736,Inventory!$A:$A,Inventory!$D:$D),Frame!$A:$A,Frame!$C:$C)+#REF!,""))</f>
        <v/>
      </c>
      <c r="E2736" s="4">
        <v>46079</v>
      </c>
      <c r="F2736" s="1" t="s">
        <v>63</v>
      </c>
    </row>
    <row r="2737" spans="1:6" x14ac:dyDescent="0.25">
      <c r="A2737" s="1" t="s">
        <v>5484</v>
      </c>
      <c r="B2737" s="1" t="s">
        <v>5485</v>
      </c>
      <c r="C2737" s="3">
        <v>200</v>
      </c>
      <c r="D2737" s="3" t="str">
        <f ca="1">IF(B2737="","",IFERROR(_xludf.XLOOKUP(_xludf.XLOOKUP(B2737,Inventory!$A:$A,Inventory!$B:$B),Blades!$A:$A,Blades!$C:$C)+_xludf.XLOOKUP(_xludf.XLOOKUP(B2737,Inventory!$A:$A,Inventory!$C:$C),Motor!$A:$A,Motor!$C:$C)+_xludf.XLOOKUP(_xludf.XLOOKUP(B2737,Inventory!$A:$A,Inventory!$D:$D),Frame!$A:$A,Frame!$C:$C)+#REF!,""))</f>
        <v/>
      </c>
      <c r="E2737" s="4">
        <v>46080</v>
      </c>
      <c r="F2737" s="1" t="s">
        <v>11</v>
      </c>
    </row>
    <row r="2738" spans="1:6" x14ac:dyDescent="0.25">
      <c r="A2738" s="1" t="s">
        <v>5486</v>
      </c>
      <c r="B2738" s="1" t="s">
        <v>5487</v>
      </c>
      <c r="C2738" s="3">
        <v>200</v>
      </c>
      <c r="D2738" s="3" t="str">
        <f ca="1">IF(B2738="","",IFERROR(_xludf.XLOOKUP(_xludf.XLOOKUP(B2738,Inventory!$A:$A,Inventory!$B:$B),Blades!$A:$A,Blades!$C:$C)+_xludf.XLOOKUP(_xludf.XLOOKUP(B2738,Inventory!$A:$A,Inventory!$C:$C),Motor!$A:$A,Motor!$C:$C)+_xludf.XLOOKUP(_xludf.XLOOKUP(B2738,Inventory!$A:$A,Inventory!$D:$D),Frame!$A:$A,Frame!$C:$C)+#REF!,""))</f>
        <v/>
      </c>
      <c r="E2738" s="4">
        <v>46081</v>
      </c>
      <c r="F2738" s="1" t="s">
        <v>49</v>
      </c>
    </row>
    <row r="2739" spans="1:6" x14ac:dyDescent="0.25">
      <c r="A2739" s="1" t="s">
        <v>5488</v>
      </c>
      <c r="B2739" s="1" t="s">
        <v>5489</v>
      </c>
      <c r="C2739" s="3">
        <v>200</v>
      </c>
      <c r="D2739" s="3" t="str">
        <f ca="1">IF(B2739="","",IFERROR(_xludf.XLOOKUP(_xludf.XLOOKUP(B2739,Inventory!$A:$A,Inventory!$B:$B),Blades!$A:$A,Blades!$C:$C)+_xludf.XLOOKUP(_xludf.XLOOKUP(B2739,Inventory!$A:$A,Inventory!$C:$C),Motor!$A:$A,Motor!$C:$C)+_xludf.XLOOKUP(_xludf.XLOOKUP(B2739,Inventory!$A:$A,Inventory!$D:$D),Frame!$A:$A,Frame!$C:$C)+#REF!,""))</f>
        <v/>
      </c>
      <c r="E2739" s="4">
        <v>46081</v>
      </c>
      <c r="F2739" s="1" t="s">
        <v>49</v>
      </c>
    </row>
    <row r="2740" spans="1:6" x14ac:dyDescent="0.25">
      <c r="A2740" s="1" t="s">
        <v>5490</v>
      </c>
      <c r="B2740" s="1" t="s">
        <v>5491</v>
      </c>
      <c r="C2740" s="3">
        <v>200</v>
      </c>
      <c r="D2740" s="3" t="str">
        <f ca="1">IF(B2740="","",IFERROR(_xludf.XLOOKUP(_xludf.XLOOKUP(B2740,Inventory!$A:$A,Inventory!$B:$B),Blades!$A:$A,Blades!$C:$C)+_xludf.XLOOKUP(_xludf.XLOOKUP(B2740,Inventory!$A:$A,Inventory!$C:$C),Motor!$A:$A,Motor!$C:$C)+_xludf.XLOOKUP(_xludf.XLOOKUP(B2740,Inventory!$A:$A,Inventory!$D:$D),Frame!$A:$A,Frame!$C:$C)+#REF!,""))</f>
        <v/>
      </c>
      <c r="E2740" s="4">
        <v>46083</v>
      </c>
      <c r="F2740" s="1" t="s">
        <v>8</v>
      </c>
    </row>
    <row r="2741" spans="1:6" x14ac:dyDescent="0.25">
      <c r="A2741" s="1" t="s">
        <v>5492</v>
      </c>
      <c r="B2741" s="1" t="s">
        <v>5493</v>
      </c>
      <c r="C2741" s="3">
        <v>200</v>
      </c>
      <c r="D2741" s="3" t="str">
        <f ca="1">IF(B2741="","",IFERROR(_xludf.XLOOKUP(_xludf.XLOOKUP(B2741,Inventory!$A:$A,Inventory!$B:$B),Blades!$A:$A,Blades!$C:$C)+_xludf.XLOOKUP(_xludf.XLOOKUP(B2741,Inventory!$A:$A,Inventory!$C:$C),Motor!$A:$A,Motor!$C:$C)+_xludf.XLOOKUP(_xludf.XLOOKUP(B2741,Inventory!$A:$A,Inventory!$D:$D),Frame!$A:$A,Frame!$C:$C)+#REF!,""))</f>
        <v/>
      </c>
      <c r="E2741" s="4">
        <v>46084</v>
      </c>
      <c r="F2741" s="1" t="s">
        <v>25</v>
      </c>
    </row>
    <row r="2742" spans="1:6" x14ac:dyDescent="0.25">
      <c r="A2742" s="1" t="s">
        <v>5494</v>
      </c>
      <c r="B2742" s="1" t="s">
        <v>5495</v>
      </c>
      <c r="C2742" s="3">
        <v>200</v>
      </c>
      <c r="D2742" s="3" t="str">
        <f ca="1">IF(B2742="","",IFERROR(_xludf.XLOOKUP(_xludf.XLOOKUP(B2742,Inventory!$A:$A,Inventory!$B:$B),Blades!$A:$A,Blades!$C:$C)+_xludf.XLOOKUP(_xludf.XLOOKUP(B2742,Inventory!$A:$A,Inventory!$C:$C),Motor!$A:$A,Motor!$C:$C)+_xludf.XLOOKUP(_xludf.XLOOKUP(B2742,Inventory!$A:$A,Inventory!$D:$D),Frame!$A:$A,Frame!$C:$C)+#REF!,""))</f>
        <v/>
      </c>
      <c r="E2742" s="4">
        <v>46085</v>
      </c>
      <c r="F2742" s="1" t="s">
        <v>8</v>
      </c>
    </row>
    <row r="2743" spans="1:6" x14ac:dyDescent="0.25">
      <c r="A2743" s="1" t="s">
        <v>5496</v>
      </c>
      <c r="B2743" s="1" t="s">
        <v>5497</v>
      </c>
      <c r="C2743" s="3">
        <v>200</v>
      </c>
      <c r="D2743" s="3" t="str">
        <f ca="1">IF(B2743="","",IFERROR(_xludf.XLOOKUP(_xludf.XLOOKUP(B2743,Inventory!$A:$A,Inventory!$B:$B),Blades!$A:$A,Blades!$C:$C)+_xludf.XLOOKUP(_xludf.XLOOKUP(B2743,Inventory!$A:$A,Inventory!$C:$C),Motor!$A:$A,Motor!$C:$C)+_xludf.XLOOKUP(_xludf.XLOOKUP(B2743,Inventory!$A:$A,Inventory!$D:$D),Frame!$A:$A,Frame!$C:$C)+#REF!,""))</f>
        <v/>
      </c>
      <c r="E2743" s="4">
        <v>46085</v>
      </c>
      <c r="F2743" s="1" t="s">
        <v>11</v>
      </c>
    </row>
    <row r="2744" spans="1:6" x14ac:dyDescent="0.25">
      <c r="A2744" s="1" t="s">
        <v>5498</v>
      </c>
      <c r="B2744" s="1" t="s">
        <v>5499</v>
      </c>
      <c r="C2744" s="3">
        <v>200</v>
      </c>
      <c r="D2744" s="3" t="str">
        <f ca="1">IF(B2744="","",IFERROR(_xludf.XLOOKUP(_xludf.XLOOKUP(B2744,Inventory!$A:$A,Inventory!$B:$B),Blades!$A:$A,Blades!$C:$C)+_xludf.XLOOKUP(_xludf.XLOOKUP(B2744,Inventory!$A:$A,Inventory!$C:$C),Motor!$A:$A,Motor!$C:$C)+_xludf.XLOOKUP(_xludf.XLOOKUP(B2744,Inventory!$A:$A,Inventory!$D:$D),Frame!$A:$A,Frame!$C:$C)+#REF!,""))</f>
        <v/>
      </c>
      <c r="E2744" s="4">
        <v>46086</v>
      </c>
      <c r="F2744" s="1" t="s">
        <v>8</v>
      </c>
    </row>
    <row r="2745" spans="1:6" x14ac:dyDescent="0.25">
      <c r="A2745" s="1" t="s">
        <v>5500</v>
      </c>
      <c r="B2745" s="1" t="s">
        <v>5501</v>
      </c>
      <c r="C2745" s="3">
        <v>200</v>
      </c>
      <c r="D2745" s="3" t="str">
        <f ca="1">IF(B2745="","",IFERROR(_xludf.XLOOKUP(_xludf.XLOOKUP(B2745,Inventory!$A:$A,Inventory!$B:$B),Blades!$A:$A,Blades!$C:$C)+_xludf.XLOOKUP(_xludf.XLOOKUP(B2745,Inventory!$A:$A,Inventory!$C:$C),Motor!$A:$A,Motor!$C:$C)+_xludf.XLOOKUP(_xludf.XLOOKUP(B2745,Inventory!$A:$A,Inventory!$D:$D),Frame!$A:$A,Frame!$C:$C)+#REF!,""))</f>
        <v/>
      </c>
      <c r="E2745" s="4">
        <v>46087</v>
      </c>
      <c r="F2745" s="1" t="s">
        <v>11</v>
      </c>
    </row>
    <row r="2746" spans="1:6" x14ac:dyDescent="0.25">
      <c r="A2746" s="1" t="s">
        <v>5502</v>
      </c>
      <c r="B2746" s="1" t="s">
        <v>5503</v>
      </c>
      <c r="C2746" s="3">
        <v>200</v>
      </c>
      <c r="D2746" s="3" t="str">
        <f ca="1">IF(B2746="","",IFERROR(_xludf.XLOOKUP(_xludf.XLOOKUP(B2746,Inventory!$A:$A,Inventory!$B:$B),Blades!$A:$A,Blades!$C:$C)+_xludf.XLOOKUP(_xludf.XLOOKUP(B2746,Inventory!$A:$A,Inventory!$C:$C),Motor!$A:$A,Motor!$C:$C)+_xludf.XLOOKUP(_xludf.XLOOKUP(B2746,Inventory!$A:$A,Inventory!$D:$D),Frame!$A:$A,Frame!$C:$C)+#REF!,""))</f>
        <v/>
      </c>
      <c r="E2746" s="4">
        <v>46088</v>
      </c>
      <c r="F2746" s="1" t="s">
        <v>11</v>
      </c>
    </row>
    <row r="2747" spans="1:6" x14ac:dyDescent="0.25">
      <c r="A2747" s="1" t="s">
        <v>5504</v>
      </c>
      <c r="B2747" s="1" t="s">
        <v>5505</v>
      </c>
      <c r="C2747" s="3">
        <v>200</v>
      </c>
      <c r="D2747" s="3" t="str">
        <f ca="1">IF(B2747="","",IFERROR(_xludf.XLOOKUP(_xludf.XLOOKUP(B2747,Inventory!$A:$A,Inventory!$B:$B),Blades!$A:$A,Blades!$C:$C)+_xludf.XLOOKUP(_xludf.XLOOKUP(B2747,Inventory!$A:$A,Inventory!$C:$C),Motor!$A:$A,Motor!$C:$C)+_xludf.XLOOKUP(_xludf.XLOOKUP(B2747,Inventory!$A:$A,Inventory!$D:$D),Frame!$A:$A,Frame!$C:$C)+#REF!,""))</f>
        <v/>
      </c>
      <c r="E2747" s="4">
        <v>46088</v>
      </c>
      <c r="F2747" s="1" t="s">
        <v>8</v>
      </c>
    </row>
    <row r="2748" spans="1:6" x14ac:dyDescent="0.25">
      <c r="A2748" s="1" t="s">
        <v>5506</v>
      </c>
      <c r="B2748" s="1" t="s">
        <v>5507</v>
      </c>
      <c r="C2748" s="3">
        <v>200</v>
      </c>
      <c r="D2748" s="3" t="str">
        <f ca="1">IF(B2748="","",IFERROR(_xludf.XLOOKUP(_xludf.XLOOKUP(B2748,Inventory!$A:$A,Inventory!$B:$B),Blades!$A:$A,Blades!$C:$C)+_xludf.XLOOKUP(_xludf.XLOOKUP(B2748,Inventory!$A:$A,Inventory!$C:$C),Motor!$A:$A,Motor!$C:$C)+_xludf.XLOOKUP(_xludf.XLOOKUP(B2748,Inventory!$A:$A,Inventory!$D:$D),Frame!$A:$A,Frame!$C:$C)+#REF!,""))</f>
        <v/>
      </c>
      <c r="E2748" s="4">
        <v>46089</v>
      </c>
      <c r="F2748" s="1" t="s">
        <v>8</v>
      </c>
    </row>
    <row r="2749" spans="1:6" x14ac:dyDescent="0.25">
      <c r="A2749" s="1" t="s">
        <v>5508</v>
      </c>
      <c r="B2749" s="1" t="s">
        <v>5509</v>
      </c>
      <c r="C2749" s="3">
        <v>200</v>
      </c>
      <c r="D2749" s="3" t="str">
        <f ca="1">IF(B2749="","",IFERROR(_xludf.XLOOKUP(_xludf.XLOOKUP(B2749,Inventory!$A:$A,Inventory!$B:$B),Blades!$A:$A,Blades!$C:$C)+_xludf.XLOOKUP(_xludf.XLOOKUP(B2749,Inventory!$A:$A,Inventory!$C:$C),Motor!$A:$A,Motor!$C:$C)+_xludf.XLOOKUP(_xludf.XLOOKUP(B2749,Inventory!$A:$A,Inventory!$D:$D),Frame!$A:$A,Frame!$C:$C)+#REF!,""))</f>
        <v/>
      </c>
      <c r="E2749" s="4">
        <v>46089</v>
      </c>
      <c r="F2749" s="1" t="s">
        <v>32</v>
      </c>
    </row>
    <row r="2750" spans="1:6" x14ac:dyDescent="0.25">
      <c r="A2750" s="1" t="s">
        <v>5510</v>
      </c>
      <c r="B2750" s="1" t="s">
        <v>5511</v>
      </c>
      <c r="C2750" s="3">
        <v>200</v>
      </c>
      <c r="D2750" s="3" t="str">
        <f ca="1">IF(B2750="","",IFERROR(_xludf.XLOOKUP(_xludf.XLOOKUP(B2750,Inventory!$A:$A,Inventory!$B:$B),Blades!$A:$A,Blades!$C:$C)+_xludf.XLOOKUP(_xludf.XLOOKUP(B2750,Inventory!$A:$A,Inventory!$C:$C),Motor!$A:$A,Motor!$C:$C)+_xludf.XLOOKUP(_xludf.XLOOKUP(B2750,Inventory!$A:$A,Inventory!$D:$D),Frame!$A:$A,Frame!$C:$C)+#REF!,""))</f>
        <v/>
      </c>
      <c r="E2750" s="4">
        <v>46089</v>
      </c>
      <c r="F2750" s="1" t="s">
        <v>8</v>
      </c>
    </row>
    <row r="2751" spans="1:6" x14ac:dyDescent="0.25">
      <c r="A2751" s="1" t="s">
        <v>5512</v>
      </c>
      <c r="B2751" s="1" t="s">
        <v>5513</v>
      </c>
      <c r="C2751" s="3">
        <v>200</v>
      </c>
      <c r="D2751" s="3" t="str">
        <f ca="1">IF(B2751="","",IFERROR(_xludf.XLOOKUP(_xludf.XLOOKUP(B2751,Inventory!$A:$A,Inventory!$B:$B),Blades!$A:$A,Blades!$C:$C)+_xludf.XLOOKUP(_xludf.XLOOKUP(B2751,Inventory!$A:$A,Inventory!$C:$C),Motor!$A:$A,Motor!$C:$C)+_xludf.XLOOKUP(_xludf.XLOOKUP(B2751,Inventory!$A:$A,Inventory!$D:$D),Frame!$A:$A,Frame!$C:$C)+#REF!,""))</f>
        <v/>
      </c>
      <c r="E2751" s="4">
        <v>46090</v>
      </c>
      <c r="F2751" s="1" t="s">
        <v>20</v>
      </c>
    </row>
    <row r="2752" spans="1:6" x14ac:dyDescent="0.25">
      <c r="A2752" s="1" t="s">
        <v>5514</v>
      </c>
      <c r="B2752" s="1" t="s">
        <v>5515</v>
      </c>
      <c r="C2752" s="3">
        <v>200</v>
      </c>
      <c r="D2752" s="3" t="str">
        <f ca="1">IF(B2752="","",IFERROR(_xludf.XLOOKUP(_xludf.XLOOKUP(B2752,Inventory!$A:$A,Inventory!$B:$B),Blades!$A:$A,Blades!$C:$C)+_xludf.XLOOKUP(_xludf.XLOOKUP(B2752,Inventory!$A:$A,Inventory!$C:$C),Motor!$A:$A,Motor!$C:$C)+_xludf.XLOOKUP(_xludf.XLOOKUP(B2752,Inventory!$A:$A,Inventory!$D:$D),Frame!$A:$A,Frame!$C:$C)+#REF!,""))</f>
        <v/>
      </c>
      <c r="E2752" s="4">
        <v>46091</v>
      </c>
      <c r="F2752" s="1" t="s">
        <v>63</v>
      </c>
    </row>
    <row r="2753" spans="1:6" x14ac:dyDescent="0.25">
      <c r="A2753" s="1" t="s">
        <v>5516</v>
      </c>
      <c r="B2753" s="1" t="s">
        <v>5517</v>
      </c>
      <c r="C2753" s="3">
        <v>200</v>
      </c>
      <c r="D2753" s="3" t="str">
        <f ca="1">IF(B2753="","",IFERROR(_xludf.XLOOKUP(_xludf.XLOOKUP(B2753,Inventory!$A:$A,Inventory!$B:$B),Blades!$A:$A,Blades!$C:$C)+_xludf.XLOOKUP(_xludf.XLOOKUP(B2753,Inventory!$A:$A,Inventory!$C:$C),Motor!$A:$A,Motor!$C:$C)+_xludf.XLOOKUP(_xludf.XLOOKUP(B2753,Inventory!$A:$A,Inventory!$D:$D),Frame!$A:$A,Frame!$C:$C)+#REF!,""))</f>
        <v/>
      </c>
      <c r="E2753" s="4">
        <v>46092</v>
      </c>
      <c r="F2753" s="1" t="s">
        <v>8</v>
      </c>
    </row>
    <row r="2754" spans="1:6" x14ac:dyDescent="0.25">
      <c r="A2754" s="1" t="s">
        <v>5518</v>
      </c>
      <c r="B2754" s="1" t="s">
        <v>5519</v>
      </c>
      <c r="C2754" s="3">
        <v>200</v>
      </c>
      <c r="D2754" s="3" t="str">
        <f ca="1">IF(B2754="","",IFERROR(_xludf.XLOOKUP(_xludf.XLOOKUP(B2754,Inventory!$A:$A,Inventory!$B:$B),Blades!$A:$A,Blades!$C:$C)+_xludf.XLOOKUP(_xludf.XLOOKUP(B2754,Inventory!$A:$A,Inventory!$C:$C),Motor!$A:$A,Motor!$C:$C)+_xludf.XLOOKUP(_xludf.XLOOKUP(B2754,Inventory!$A:$A,Inventory!$D:$D),Frame!$A:$A,Frame!$C:$C)+#REF!,""))</f>
        <v/>
      </c>
      <c r="E2754" s="4">
        <v>46092</v>
      </c>
      <c r="F2754" s="1" t="s">
        <v>49</v>
      </c>
    </row>
    <row r="2755" spans="1:6" x14ac:dyDescent="0.25">
      <c r="A2755" s="1" t="s">
        <v>5520</v>
      </c>
      <c r="B2755" s="1" t="s">
        <v>5521</v>
      </c>
      <c r="C2755" s="3">
        <v>200</v>
      </c>
      <c r="D2755" s="3" t="str">
        <f ca="1">IF(B2755="","",IFERROR(_xludf.XLOOKUP(_xludf.XLOOKUP(B2755,Inventory!$A:$A,Inventory!$B:$B),Blades!$A:$A,Blades!$C:$C)+_xludf.XLOOKUP(_xludf.XLOOKUP(B2755,Inventory!$A:$A,Inventory!$C:$C),Motor!$A:$A,Motor!$C:$C)+_xludf.XLOOKUP(_xludf.XLOOKUP(B2755,Inventory!$A:$A,Inventory!$D:$D),Frame!$A:$A,Frame!$C:$C)+#REF!,""))</f>
        <v/>
      </c>
      <c r="E2755" s="4">
        <v>46094</v>
      </c>
      <c r="F2755" s="1" t="s">
        <v>11</v>
      </c>
    </row>
    <row r="2756" spans="1:6" x14ac:dyDescent="0.25">
      <c r="A2756" s="1" t="s">
        <v>5522</v>
      </c>
      <c r="B2756" s="1" t="s">
        <v>5523</v>
      </c>
      <c r="C2756" s="3">
        <v>200</v>
      </c>
      <c r="D2756" s="3" t="str">
        <f ca="1">IF(B2756="","",IFERROR(_xludf.XLOOKUP(_xludf.XLOOKUP(B2756,Inventory!$A:$A,Inventory!$B:$B),Blades!$A:$A,Blades!$C:$C)+_xludf.XLOOKUP(_xludf.XLOOKUP(B2756,Inventory!$A:$A,Inventory!$C:$C),Motor!$A:$A,Motor!$C:$C)+_xludf.XLOOKUP(_xludf.XLOOKUP(B2756,Inventory!$A:$A,Inventory!$D:$D),Frame!$A:$A,Frame!$C:$C)+#REF!,""))</f>
        <v/>
      </c>
      <c r="E2756" s="4">
        <v>46094</v>
      </c>
      <c r="F2756" s="1" t="s">
        <v>32</v>
      </c>
    </row>
    <row r="2757" spans="1:6" x14ac:dyDescent="0.25">
      <c r="A2757" s="1" t="s">
        <v>5524</v>
      </c>
      <c r="B2757" s="1" t="s">
        <v>5525</v>
      </c>
      <c r="C2757" s="3">
        <v>200</v>
      </c>
      <c r="D2757" s="3" t="str">
        <f ca="1">IF(B2757="","",IFERROR(_xludf.XLOOKUP(_xludf.XLOOKUP(B2757,Inventory!$A:$A,Inventory!$B:$B),Blades!$A:$A,Blades!$C:$C)+_xludf.XLOOKUP(_xludf.XLOOKUP(B2757,Inventory!$A:$A,Inventory!$C:$C),Motor!$A:$A,Motor!$C:$C)+_xludf.XLOOKUP(_xludf.XLOOKUP(B2757,Inventory!$A:$A,Inventory!$D:$D),Frame!$A:$A,Frame!$C:$C)+#REF!,""))</f>
        <v/>
      </c>
      <c r="E2757" s="4">
        <v>46095</v>
      </c>
      <c r="F2757" s="1" t="s">
        <v>49</v>
      </c>
    </row>
    <row r="2758" spans="1:6" x14ac:dyDescent="0.25">
      <c r="A2758" s="1" t="s">
        <v>5526</v>
      </c>
      <c r="B2758" s="1" t="s">
        <v>5527</v>
      </c>
      <c r="C2758" s="3">
        <v>200</v>
      </c>
      <c r="D2758" s="3" t="str">
        <f ca="1">IF(B2758="","",IFERROR(_xludf.XLOOKUP(_xludf.XLOOKUP(B2758,Inventory!$A:$A,Inventory!$B:$B),Blades!$A:$A,Blades!$C:$C)+_xludf.XLOOKUP(_xludf.XLOOKUP(B2758,Inventory!$A:$A,Inventory!$C:$C),Motor!$A:$A,Motor!$C:$C)+_xludf.XLOOKUP(_xludf.XLOOKUP(B2758,Inventory!$A:$A,Inventory!$D:$D),Frame!$A:$A,Frame!$C:$C)+#REF!,""))</f>
        <v/>
      </c>
      <c r="E2758" s="4">
        <v>46095</v>
      </c>
      <c r="F2758" s="1" t="s">
        <v>8</v>
      </c>
    </row>
    <row r="2759" spans="1:6" x14ac:dyDescent="0.25">
      <c r="A2759" s="1" t="s">
        <v>5528</v>
      </c>
      <c r="B2759" s="1" t="s">
        <v>5529</v>
      </c>
      <c r="C2759" s="3">
        <v>200</v>
      </c>
      <c r="D2759" s="3" t="str">
        <f ca="1">IF(B2759="","",IFERROR(_xludf.XLOOKUP(_xludf.XLOOKUP(B2759,Inventory!$A:$A,Inventory!$B:$B),Blades!$A:$A,Blades!$C:$C)+_xludf.XLOOKUP(_xludf.XLOOKUP(B2759,Inventory!$A:$A,Inventory!$C:$C),Motor!$A:$A,Motor!$C:$C)+_xludf.XLOOKUP(_xludf.XLOOKUP(B2759,Inventory!$A:$A,Inventory!$D:$D),Frame!$A:$A,Frame!$C:$C)+#REF!,""))</f>
        <v/>
      </c>
      <c r="E2759" s="4">
        <v>46095</v>
      </c>
      <c r="F2759" s="1" t="s">
        <v>32</v>
      </c>
    </row>
    <row r="2760" spans="1:6" x14ac:dyDescent="0.25">
      <c r="A2760" s="1" t="s">
        <v>5530</v>
      </c>
      <c r="B2760" s="1" t="s">
        <v>5531</v>
      </c>
      <c r="C2760" s="3">
        <v>200</v>
      </c>
      <c r="D2760" s="3" t="str">
        <f ca="1">IF(B2760="","",IFERROR(_xludf.XLOOKUP(_xludf.XLOOKUP(B2760,Inventory!$A:$A,Inventory!$B:$B),Blades!$A:$A,Blades!$C:$C)+_xludf.XLOOKUP(_xludf.XLOOKUP(B2760,Inventory!$A:$A,Inventory!$C:$C),Motor!$A:$A,Motor!$C:$C)+_xludf.XLOOKUP(_xludf.XLOOKUP(B2760,Inventory!$A:$A,Inventory!$D:$D),Frame!$A:$A,Frame!$C:$C)+#REF!,""))</f>
        <v/>
      </c>
      <c r="E2760" s="4">
        <v>46096</v>
      </c>
      <c r="F2760" s="1" t="s">
        <v>25</v>
      </c>
    </row>
    <row r="2761" spans="1:6" x14ac:dyDescent="0.25">
      <c r="A2761" s="1" t="s">
        <v>5532</v>
      </c>
      <c r="B2761" s="1" t="s">
        <v>5533</v>
      </c>
      <c r="C2761" s="3">
        <v>200</v>
      </c>
      <c r="D2761" s="3" t="str">
        <f ca="1">IF(B2761="","",IFERROR(_xludf.XLOOKUP(_xludf.XLOOKUP(B2761,Inventory!$A:$A,Inventory!$B:$B),Blades!$A:$A,Blades!$C:$C)+_xludf.XLOOKUP(_xludf.XLOOKUP(B2761,Inventory!$A:$A,Inventory!$C:$C),Motor!$A:$A,Motor!$C:$C)+_xludf.XLOOKUP(_xludf.XLOOKUP(B2761,Inventory!$A:$A,Inventory!$D:$D),Frame!$A:$A,Frame!$C:$C)+#REF!,""))</f>
        <v/>
      </c>
      <c r="E2761" s="4">
        <v>46096</v>
      </c>
      <c r="F2761" s="1" t="s">
        <v>25</v>
      </c>
    </row>
    <row r="2762" spans="1:6" x14ac:dyDescent="0.25">
      <c r="A2762" s="1" t="s">
        <v>5534</v>
      </c>
      <c r="B2762" s="1" t="s">
        <v>5535</v>
      </c>
      <c r="C2762" s="3">
        <v>200</v>
      </c>
      <c r="D2762" s="3" t="str">
        <f ca="1">IF(B2762="","",IFERROR(_xludf.XLOOKUP(_xludf.XLOOKUP(B2762,Inventory!$A:$A,Inventory!$B:$B),Blades!$A:$A,Blades!$C:$C)+_xludf.XLOOKUP(_xludf.XLOOKUP(B2762,Inventory!$A:$A,Inventory!$C:$C),Motor!$A:$A,Motor!$C:$C)+_xludf.XLOOKUP(_xludf.XLOOKUP(B2762,Inventory!$A:$A,Inventory!$D:$D),Frame!$A:$A,Frame!$C:$C)+#REF!,""))</f>
        <v/>
      </c>
      <c r="E2762" s="4">
        <v>46096</v>
      </c>
      <c r="F2762" s="1" t="s">
        <v>11</v>
      </c>
    </row>
    <row r="2763" spans="1:6" x14ac:dyDescent="0.25">
      <c r="A2763" s="1" t="s">
        <v>5536</v>
      </c>
      <c r="B2763" s="1" t="s">
        <v>5537</v>
      </c>
      <c r="C2763" s="3">
        <v>200</v>
      </c>
      <c r="D2763" s="3" t="str">
        <f ca="1">IF(B2763="","",IFERROR(_xludf.XLOOKUP(_xludf.XLOOKUP(B2763,Inventory!$A:$A,Inventory!$B:$B),Blades!$A:$A,Blades!$C:$C)+_xludf.XLOOKUP(_xludf.XLOOKUP(B2763,Inventory!$A:$A,Inventory!$C:$C),Motor!$A:$A,Motor!$C:$C)+_xludf.XLOOKUP(_xludf.XLOOKUP(B2763,Inventory!$A:$A,Inventory!$D:$D),Frame!$A:$A,Frame!$C:$C)+#REF!,""))</f>
        <v/>
      </c>
      <c r="E2763" s="4">
        <v>46096</v>
      </c>
      <c r="F2763" s="1" t="s">
        <v>20</v>
      </c>
    </row>
    <row r="2764" spans="1:6" x14ac:dyDescent="0.25">
      <c r="A2764" s="1" t="s">
        <v>5538</v>
      </c>
      <c r="B2764" s="1" t="s">
        <v>5539</v>
      </c>
      <c r="C2764" s="3">
        <v>200</v>
      </c>
      <c r="D2764" s="3" t="str">
        <f ca="1">IF(B2764="","",IFERROR(_xludf.XLOOKUP(_xludf.XLOOKUP(B2764,Inventory!$A:$A,Inventory!$B:$B),Blades!$A:$A,Blades!$C:$C)+_xludf.XLOOKUP(_xludf.XLOOKUP(B2764,Inventory!$A:$A,Inventory!$C:$C),Motor!$A:$A,Motor!$C:$C)+_xludf.XLOOKUP(_xludf.XLOOKUP(B2764,Inventory!$A:$A,Inventory!$D:$D),Frame!$A:$A,Frame!$C:$C)+#REF!,""))</f>
        <v/>
      </c>
      <c r="E2764" s="4">
        <v>46096</v>
      </c>
      <c r="F2764" s="1" t="s">
        <v>49</v>
      </c>
    </row>
    <row r="2765" spans="1:6" x14ac:dyDescent="0.25">
      <c r="A2765" s="1" t="s">
        <v>5540</v>
      </c>
      <c r="B2765" s="1" t="s">
        <v>5541</v>
      </c>
      <c r="C2765" s="3">
        <v>200</v>
      </c>
      <c r="D2765" s="3" t="str">
        <f ca="1">IF(B2765="","",IFERROR(_xludf.XLOOKUP(_xludf.XLOOKUP(B2765,Inventory!$A:$A,Inventory!$B:$B),Blades!$A:$A,Blades!$C:$C)+_xludf.XLOOKUP(_xludf.XLOOKUP(B2765,Inventory!$A:$A,Inventory!$C:$C),Motor!$A:$A,Motor!$C:$C)+_xludf.XLOOKUP(_xludf.XLOOKUP(B2765,Inventory!$A:$A,Inventory!$D:$D),Frame!$A:$A,Frame!$C:$C)+#REF!,""))</f>
        <v/>
      </c>
      <c r="E2765" s="4">
        <v>46096</v>
      </c>
      <c r="F2765" s="1" t="s">
        <v>32</v>
      </c>
    </row>
    <row r="2766" spans="1:6" x14ac:dyDescent="0.25">
      <c r="A2766" s="1" t="s">
        <v>5542</v>
      </c>
      <c r="B2766" s="1" t="s">
        <v>5543</v>
      </c>
      <c r="C2766" s="3">
        <v>200</v>
      </c>
      <c r="D2766" s="3" t="str">
        <f ca="1">IF(B2766="","",IFERROR(_xludf.XLOOKUP(_xludf.XLOOKUP(B2766,Inventory!$A:$A,Inventory!$B:$B),Blades!$A:$A,Blades!$C:$C)+_xludf.XLOOKUP(_xludf.XLOOKUP(B2766,Inventory!$A:$A,Inventory!$C:$C),Motor!$A:$A,Motor!$C:$C)+_xludf.XLOOKUP(_xludf.XLOOKUP(B2766,Inventory!$A:$A,Inventory!$D:$D),Frame!$A:$A,Frame!$C:$C)+#REF!,""))</f>
        <v/>
      </c>
      <c r="E2766" s="4">
        <v>46098</v>
      </c>
      <c r="F2766" s="1" t="s">
        <v>52</v>
      </c>
    </row>
    <row r="2767" spans="1:6" x14ac:dyDescent="0.25">
      <c r="A2767" s="1" t="s">
        <v>5544</v>
      </c>
      <c r="B2767" s="1" t="s">
        <v>5545</v>
      </c>
      <c r="C2767" s="3">
        <v>200</v>
      </c>
      <c r="D2767" s="3" t="str">
        <f ca="1">IF(B2767="","",IFERROR(_xludf.XLOOKUP(_xludf.XLOOKUP(B2767,Inventory!$A:$A,Inventory!$B:$B),Blades!$A:$A,Blades!$C:$C)+_xludf.XLOOKUP(_xludf.XLOOKUP(B2767,Inventory!$A:$A,Inventory!$C:$C),Motor!$A:$A,Motor!$C:$C)+_xludf.XLOOKUP(_xludf.XLOOKUP(B2767,Inventory!$A:$A,Inventory!$D:$D),Frame!$A:$A,Frame!$C:$C)+#REF!,""))</f>
        <v/>
      </c>
      <c r="E2767" s="4">
        <v>46099</v>
      </c>
      <c r="F2767" s="1" t="s">
        <v>63</v>
      </c>
    </row>
    <row r="2768" spans="1:6" x14ac:dyDescent="0.25">
      <c r="A2768" s="1" t="s">
        <v>5546</v>
      </c>
      <c r="B2768" s="1" t="s">
        <v>5547</v>
      </c>
      <c r="C2768" s="3">
        <v>200</v>
      </c>
      <c r="D2768" s="3" t="str">
        <f ca="1">IF(B2768="","",IFERROR(_xludf.XLOOKUP(_xludf.XLOOKUP(B2768,Inventory!$A:$A,Inventory!$B:$B),Blades!$A:$A,Blades!$C:$C)+_xludf.XLOOKUP(_xludf.XLOOKUP(B2768,Inventory!$A:$A,Inventory!$C:$C),Motor!$A:$A,Motor!$C:$C)+_xludf.XLOOKUP(_xludf.XLOOKUP(B2768,Inventory!$A:$A,Inventory!$D:$D),Frame!$A:$A,Frame!$C:$C)+#REF!,""))</f>
        <v/>
      </c>
      <c r="E2768" s="4">
        <v>46099</v>
      </c>
      <c r="F2768" s="1" t="s">
        <v>20</v>
      </c>
    </row>
    <row r="2769" spans="1:6" x14ac:dyDescent="0.25">
      <c r="A2769" s="1" t="s">
        <v>5548</v>
      </c>
      <c r="B2769" s="1" t="s">
        <v>5549</v>
      </c>
      <c r="C2769" s="3">
        <v>200</v>
      </c>
      <c r="D2769" s="3" t="str">
        <f ca="1">IF(B2769="","",IFERROR(_xludf.XLOOKUP(_xludf.XLOOKUP(B2769,Inventory!$A:$A,Inventory!$B:$B),Blades!$A:$A,Blades!$C:$C)+_xludf.XLOOKUP(_xludf.XLOOKUP(B2769,Inventory!$A:$A,Inventory!$C:$C),Motor!$A:$A,Motor!$C:$C)+_xludf.XLOOKUP(_xludf.XLOOKUP(B2769,Inventory!$A:$A,Inventory!$D:$D),Frame!$A:$A,Frame!$C:$C)+#REF!,""))</f>
        <v/>
      </c>
      <c r="E2769" s="4">
        <v>46099</v>
      </c>
      <c r="F2769" s="1" t="s">
        <v>63</v>
      </c>
    </row>
    <row r="2770" spans="1:6" x14ac:dyDescent="0.25">
      <c r="A2770" s="1" t="s">
        <v>5550</v>
      </c>
      <c r="B2770" s="1" t="s">
        <v>5551</v>
      </c>
      <c r="C2770" s="3">
        <v>200</v>
      </c>
      <c r="D2770" s="3" t="str">
        <f ca="1">IF(B2770="","",IFERROR(_xludf.XLOOKUP(_xludf.XLOOKUP(B2770,Inventory!$A:$A,Inventory!$B:$B),Blades!$A:$A,Blades!$C:$C)+_xludf.XLOOKUP(_xludf.XLOOKUP(B2770,Inventory!$A:$A,Inventory!$C:$C),Motor!$A:$A,Motor!$C:$C)+_xludf.XLOOKUP(_xludf.XLOOKUP(B2770,Inventory!$A:$A,Inventory!$D:$D),Frame!$A:$A,Frame!$C:$C)+#REF!,""))</f>
        <v/>
      </c>
      <c r="E2770" s="4">
        <v>46100</v>
      </c>
      <c r="F2770" s="1" t="s">
        <v>25</v>
      </c>
    </row>
    <row r="2771" spans="1:6" x14ac:dyDescent="0.25">
      <c r="A2771" s="1" t="s">
        <v>5552</v>
      </c>
      <c r="B2771" s="1" t="s">
        <v>5553</v>
      </c>
      <c r="C2771" s="3">
        <v>200</v>
      </c>
      <c r="D2771" s="3" t="str">
        <f ca="1">IF(B2771="","",IFERROR(_xludf.XLOOKUP(_xludf.XLOOKUP(B2771,Inventory!$A:$A,Inventory!$B:$B),Blades!$A:$A,Blades!$C:$C)+_xludf.XLOOKUP(_xludf.XLOOKUP(B2771,Inventory!$A:$A,Inventory!$C:$C),Motor!$A:$A,Motor!$C:$C)+_xludf.XLOOKUP(_xludf.XLOOKUP(B2771,Inventory!$A:$A,Inventory!$D:$D),Frame!$A:$A,Frame!$C:$C)+#REF!,""))</f>
        <v/>
      </c>
      <c r="E2771" s="4">
        <v>46100</v>
      </c>
      <c r="F2771" s="1" t="s">
        <v>63</v>
      </c>
    </row>
    <row r="2772" spans="1:6" x14ac:dyDescent="0.25">
      <c r="A2772" s="1" t="s">
        <v>5554</v>
      </c>
      <c r="B2772" s="1" t="s">
        <v>5555</v>
      </c>
      <c r="C2772" s="3">
        <v>200</v>
      </c>
      <c r="D2772" s="3" t="str">
        <f ca="1">IF(B2772="","",IFERROR(_xludf.XLOOKUP(_xludf.XLOOKUP(B2772,Inventory!$A:$A,Inventory!$B:$B),Blades!$A:$A,Blades!$C:$C)+_xludf.XLOOKUP(_xludf.XLOOKUP(B2772,Inventory!$A:$A,Inventory!$C:$C),Motor!$A:$A,Motor!$C:$C)+_xludf.XLOOKUP(_xludf.XLOOKUP(B2772,Inventory!$A:$A,Inventory!$D:$D),Frame!$A:$A,Frame!$C:$C)+#REF!,""))</f>
        <v/>
      </c>
      <c r="E2772" s="4">
        <v>46100</v>
      </c>
      <c r="F2772" s="1" t="s">
        <v>32</v>
      </c>
    </row>
    <row r="2773" spans="1:6" x14ac:dyDescent="0.25">
      <c r="A2773" s="1" t="s">
        <v>5556</v>
      </c>
      <c r="B2773" s="1" t="s">
        <v>5557</v>
      </c>
      <c r="C2773" s="3">
        <v>200</v>
      </c>
      <c r="D2773" s="3" t="str">
        <f ca="1">IF(B2773="","",IFERROR(_xludf.XLOOKUP(_xludf.XLOOKUP(B2773,Inventory!$A:$A,Inventory!$B:$B),Blades!$A:$A,Blades!$C:$C)+_xludf.XLOOKUP(_xludf.XLOOKUP(B2773,Inventory!$A:$A,Inventory!$C:$C),Motor!$A:$A,Motor!$C:$C)+_xludf.XLOOKUP(_xludf.XLOOKUP(B2773,Inventory!$A:$A,Inventory!$D:$D),Frame!$A:$A,Frame!$C:$C)+#REF!,""))</f>
        <v/>
      </c>
      <c r="E2773" s="4">
        <v>46100</v>
      </c>
      <c r="F2773" s="1" t="s">
        <v>52</v>
      </c>
    </row>
    <row r="2774" spans="1:6" x14ac:dyDescent="0.25">
      <c r="A2774" s="1" t="s">
        <v>5558</v>
      </c>
      <c r="B2774" s="1" t="s">
        <v>5559</v>
      </c>
      <c r="C2774" s="3">
        <v>200</v>
      </c>
      <c r="D2774" s="3" t="str">
        <f ca="1">IF(B2774="","",IFERROR(_xludf.XLOOKUP(_xludf.XLOOKUP(B2774,Inventory!$A:$A,Inventory!$B:$B),Blades!$A:$A,Blades!$C:$C)+_xludf.XLOOKUP(_xludf.XLOOKUP(B2774,Inventory!$A:$A,Inventory!$C:$C),Motor!$A:$A,Motor!$C:$C)+_xludf.XLOOKUP(_xludf.XLOOKUP(B2774,Inventory!$A:$A,Inventory!$D:$D),Frame!$A:$A,Frame!$C:$C)+#REF!,""))</f>
        <v/>
      </c>
      <c r="E2774" s="4">
        <v>46101</v>
      </c>
      <c r="F2774" s="1" t="s">
        <v>11</v>
      </c>
    </row>
    <row r="2775" spans="1:6" x14ac:dyDescent="0.25">
      <c r="A2775" s="1" t="s">
        <v>5560</v>
      </c>
      <c r="B2775" s="1" t="s">
        <v>5561</v>
      </c>
      <c r="C2775" s="3">
        <v>200</v>
      </c>
      <c r="D2775" s="3" t="str">
        <f ca="1">IF(B2775="","",IFERROR(_xludf.XLOOKUP(_xludf.XLOOKUP(B2775,Inventory!$A:$A,Inventory!$B:$B),Blades!$A:$A,Blades!$C:$C)+_xludf.XLOOKUP(_xludf.XLOOKUP(B2775,Inventory!$A:$A,Inventory!$C:$C),Motor!$A:$A,Motor!$C:$C)+_xludf.XLOOKUP(_xludf.XLOOKUP(B2775,Inventory!$A:$A,Inventory!$D:$D),Frame!$A:$A,Frame!$C:$C)+#REF!,""))</f>
        <v/>
      </c>
      <c r="E2775" s="4">
        <v>46101</v>
      </c>
      <c r="F2775" s="1" t="s">
        <v>11</v>
      </c>
    </row>
    <row r="2776" spans="1:6" x14ac:dyDescent="0.25">
      <c r="A2776" s="1" t="s">
        <v>5562</v>
      </c>
      <c r="B2776" s="1" t="s">
        <v>5563</v>
      </c>
      <c r="C2776" s="3">
        <v>200</v>
      </c>
      <c r="D2776" s="3" t="str">
        <f ca="1">IF(B2776="","",IFERROR(_xludf.XLOOKUP(_xludf.XLOOKUP(B2776,Inventory!$A:$A,Inventory!$B:$B),Blades!$A:$A,Blades!$C:$C)+_xludf.XLOOKUP(_xludf.XLOOKUP(B2776,Inventory!$A:$A,Inventory!$C:$C),Motor!$A:$A,Motor!$C:$C)+_xludf.XLOOKUP(_xludf.XLOOKUP(B2776,Inventory!$A:$A,Inventory!$D:$D),Frame!$A:$A,Frame!$C:$C)+#REF!,""))</f>
        <v/>
      </c>
      <c r="E2776" s="4">
        <v>46101</v>
      </c>
      <c r="F2776" s="1" t="s">
        <v>11</v>
      </c>
    </row>
    <row r="2777" spans="1:6" x14ac:dyDescent="0.25">
      <c r="A2777" s="1" t="s">
        <v>5564</v>
      </c>
      <c r="B2777" s="1" t="s">
        <v>5565</v>
      </c>
      <c r="C2777" s="3">
        <v>200</v>
      </c>
      <c r="D2777" s="3" t="str">
        <f ca="1">IF(B2777="","",IFERROR(_xludf.XLOOKUP(_xludf.XLOOKUP(B2777,Inventory!$A:$A,Inventory!$B:$B),Blades!$A:$A,Blades!$C:$C)+_xludf.XLOOKUP(_xludf.XLOOKUP(B2777,Inventory!$A:$A,Inventory!$C:$C),Motor!$A:$A,Motor!$C:$C)+_xludf.XLOOKUP(_xludf.XLOOKUP(B2777,Inventory!$A:$A,Inventory!$D:$D),Frame!$A:$A,Frame!$C:$C)+#REF!,""))</f>
        <v/>
      </c>
      <c r="E2777" s="4">
        <v>46101</v>
      </c>
      <c r="F2777" s="1" t="s">
        <v>32</v>
      </c>
    </row>
    <row r="2778" spans="1:6" x14ac:dyDescent="0.25">
      <c r="A2778" s="1" t="s">
        <v>5566</v>
      </c>
      <c r="B2778" s="1" t="s">
        <v>5567</v>
      </c>
      <c r="C2778" s="3">
        <v>200</v>
      </c>
      <c r="D2778" s="3" t="str">
        <f ca="1">IF(B2778="","",IFERROR(_xludf.XLOOKUP(_xludf.XLOOKUP(B2778,Inventory!$A:$A,Inventory!$B:$B),Blades!$A:$A,Blades!$C:$C)+_xludf.XLOOKUP(_xludf.XLOOKUP(B2778,Inventory!$A:$A,Inventory!$C:$C),Motor!$A:$A,Motor!$C:$C)+_xludf.XLOOKUP(_xludf.XLOOKUP(B2778,Inventory!$A:$A,Inventory!$D:$D),Frame!$A:$A,Frame!$C:$C)+#REF!,""))</f>
        <v/>
      </c>
      <c r="E2778" s="4">
        <v>46101</v>
      </c>
      <c r="F2778" s="1" t="s">
        <v>49</v>
      </c>
    </row>
    <row r="2779" spans="1:6" x14ac:dyDescent="0.25">
      <c r="A2779" s="1" t="s">
        <v>5568</v>
      </c>
      <c r="B2779" s="1" t="s">
        <v>5569</v>
      </c>
      <c r="C2779" s="3">
        <v>200</v>
      </c>
      <c r="D2779" s="3" t="str">
        <f ca="1">IF(B2779="","",IFERROR(_xludf.XLOOKUP(_xludf.XLOOKUP(B2779,Inventory!$A:$A,Inventory!$B:$B),Blades!$A:$A,Blades!$C:$C)+_xludf.XLOOKUP(_xludf.XLOOKUP(B2779,Inventory!$A:$A,Inventory!$C:$C),Motor!$A:$A,Motor!$C:$C)+_xludf.XLOOKUP(_xludf.XLOOKUP(B2779,Inventory!$A:$A,Inventory!$D:$D),Frame!$A:$A,Frame!$C:$C)+#REF!,""))</f>
        <v/>
      </c>
      <c r="E2779" s="4">
        <v>46102</v>
      </c>
      <c r="F2779" s="1" t="s">
        <v>20</v>
      </c>
    </row>
    <row r="2780" spans="1:6" x14ac:dyDescent="0.25">
      <c r="A2780" s="1" t="s">
        <v>5570</v>
      </c>
      <c r="B2780" s="1" t="s">
        <v>5571</v>
      </c>
      <c r="C2780" s="3">
        <v>200</v>
      </c>
      <c r="D2780" s="3" t="str">
        <f ca="1">IF(B2780="","",IFERROR(_xludf.XLOOKUP(_xludf.XLOOKUP(B2780,Inventory!$A:$A,Inventory!$B:$B),Blades!$A:$A,Blades!$C:$C)+_xludf.XLOOKUP(_xludf.XLOOKUP(B2780,Inventory!$A:$A,Inventory!$C:$C),Motor!$A:$A,Motor!$C:$C)+_xludf.XLOOKUP(_xludf.XLOOKUP(B2780,Inventory!$A:$A,Inventory!$D:$D),Frame!$A:$A,Frame!$C:$C)+#REF!,""))</f>
        <v/>
      </c>
      <c r="E2780" s="4">
        <v>46102</v>
      </c>
      <c r="F2780" s="1" t="s">
        <v>52</v>
      </c>
    </row>
    <row r="2781" spans="1:6" x14ac:dyDescent="0.25">
      <c r="A2781" s="1" t="s">
        <v>5572</v>
      </c>
      <c r="B2781" s="1" t="s">
        <v>5573</v>
      </c>
      <c r="C2781" s="3">
        <v>200</v>
      </c>
      <c r="D2781" s="3" t="str">
        <f ca="1">IF(B2781="","",IFERROR(_xludf.XLOOKUP(_xludf.XLOOKUP(B2781,Inventory!$A:$A,Inventory!$B:$B),Blades!$A:$A,Blades!$C:$C)+_xludf.XLOOKUP(_xludf.XLOOKUP(B2781,Inventory!$A:$A,Inventory!$C:$C),Motor!$A:$A,Motor!$C:$C)+_xludf.XLOOKUP(_xludf.XLOOKUP(B2781,Inventory!$A:$A,Inventory!$D:$D),Frame!$A:$A,Frame!$C:$C)+#REF!,""))</f>
        <v/>
      </c>
      <c r="E2781" s="4">
        <v>46103</v>
      </c>
      <c r="F2781" s="1" t="s">
        <v>52</v>
      </c>
    </row>
    <row r="2782" spans="1:6" x14ac:dyDescent="0.25">
      <c r="A2782" s="1" t="s">
        <v>5574</v>
      </c>
      <c r="B2782" s="1" t="s">
        <v>5575</v>
      </c>
      <c r="C2782" s="3">
        <v>200</v>
      </c>
      <c r="D2782" s="3" t="str">
        <f ca="1">IF(B2782="","",IFERROR(_xludf.XLOOKUP(_xludf.XLOOKUP(B2782,Inventory!$A:$A,Inventory!$B:$B),Blades!$A:$A,Blades!$C:$C)+_xludf.XLOOKUP(_xludf.XLOOKUP(B2782,Inventory!$A:$A,Inventory!$C:$C),Motor!$A:$A,Motor!$C:$C)+_xludf.XLOOKUP(_xludf.XLOOKUP(B2782,Inventory!$A:$A,Inventory!$D:$D),Frame!$A:$A,Frame!$C:$C)+#REF!,""))</f>
        <v/>
      </c>
      <c r="E2782" s="4">
        <v>46104</v>
      </c>
      <c r="F2782" s="1" t="s">
        <v>20</v>
      </c>
    </row>
    <row r="2783" spans="1:6" x14ac:dyDescent="0.25">
      <c r="A2783" s="1" t="s">
        <v>5576</v>
      </c>
      <c r="B2783" s="1" t="s">
        <v>5577</v>
      </c>
      <c r="C2783" s="3">
        <v>200</v>
      </c>
      <c r="D2783" s="3" t="str">
        <f ca="1">IF(B2783="","",IFERROR(_xludf.XLOOKUP(_xludf.XLOOKUP(B2783,Inventory!$A:$A,Inventory!$B:$B),Blades!$A:$A,Blades!$C:$C)+_xludf.XLOOKUP(_xludf.XLOOKUP(B2783,Inventory!$A:$A,Inventory!$C:$C),Motor!$A:$A,Motor!$C:$C)+_xludf.XLOOKUP(_xludf.XLOOKUP(B2783,Inventory!$A:$A,Inventory!$D:$D),Frame!$A:$A,Frame!$C:$C)+#REF!,""))</f>
        <v/>
      </c>
      <c r="E2783" s="4">
        <v>46104</v>
      </c>
      <c r="F2783" s="1" t="s">
        <v>63</v>
      </c>
    </row>
    <row r="2784" spans="1:6" x14ac:dyDescent="0.25">
      <c r="A2784" s="1" t="s">
        <v>5578</v>
      </c>
      <c r="B2784" s="1" t="s">
        <v>5579</v>
      </c>
      <c r="C2784" s="3">
        <v>200</v>
      </c>
      <c r="D2784" s="3" t="str">
        <f ca="1">IF(B2784="","",IFERROR(_xludf.XLOOKUP(_xludf.XLOOKUP(B2784,Inventory!$A:$A,Inventory!$B:$B),Blades!$A:$A,Blades!$C:$C)+_xludf.XLOOKUP(_xludf.XLOOKUP(B2784,Inventory!$A:$A,Inventory!$C:$C),Motor!$A:$A,Motor!$C:$C)+_xludf.XLOOKUP(_xludf.XLOOKUP(B2784,Inventory!$A:$A,Inventory!$D:$D),Frame!$A:$A,Frame!$C:$C)+#REF!,""))</f>
        <v/>
      </c>
      <c r="E2784" s="4">
        <v>46104</v>
      </c>
      <c r="F2784" s="1" t="s">
        <v>20</v>
      </c>
    </row>
    <row r="2785" spans="1:6" x14ac:dyDescent="0.25">
      <c r="A2785" s="1" t="s">
        <v>5580</v>
      </c>
      <c r="B2785" s="1" t="s">
        <v>5581</v>
      </c>
      <c r="C2785" s="3">
        <v>200</v>
      </c>
      <c r="D2785" s="3" t="str">
        <f ca="1">IF(B2785="","",IFERROR(_xludf.XLOOKUP(_xludf.XLOOKUP(B2785,Inventory!$A:$A,Inventory!$B:$B),Blades!$A:$A,Blades!$C:$C)+_xludf.XLOOKUP(_xludf.XLOOKUP(B2785,Inventory!$A:$A,Inventory!$C:$C),Motor!$A:$A,Motor!$C:$C)+_xludf.XLOOKUP(_xludf.XLOOKUP(B2785,Inventory!$A:$A,Inventory!$D:$D),Frame!$A:$A,Frame!$C:$C)+#REF!,""))</f>
        <v/>
      </c>
      <c r="E2785" s="4">
        <v>46104</v>
      </c>
      <c r="F2785" s="1" t="s">
        <v>32</v>
      </c>
    </row>
    <row r="2786" spans="1:6" x14ac:dyDescent="0.25">
      <c r="A2786" s="1" t="s">
        <v>5582</v>
      </c>
      <c r="B2786" s="1" t="s">
        <v>5583</v>
      </c>
      <c r="C2786" s="3">
        <v>200</v>
      </c>
      <c r="D2786" s="3" t="str">
        <f ca="1">IF(B2786="","",IFERROR(_xludf.XLOOKUP(_xludf.XLOOKUP(B2786,Inventory!$A:$A,Inventory!$B:$B),Blades!$A:$A,Blades!$C:$C)+_xludf.XLOOKUP(_xludf.XLOOKUP(B2786,Inventory!$A:$A,Inventory!$C:$C),Motor!$A:$A,Motor!$C:$C)+_xludf.XLOOKUP(_xludf.XLOOKUP(B2786,Inventory!$A:$A,Inventory!$D:$D),Frame!$A:$A,Frame!$C:$C)+#REF!,""))</f>
        <v/>
      </c>
      <c r="E2786" s="4">
        <v>46104</v>
      </c>
      <c r="F2786" s="1" t="s">
        <v>63</v>
      </c>
    </row>
    <row r="2787" spans="1:6" x14ac:dyDescent="0.25">
      <c r="A2787" s="1" t="s">
        <v>5584</v>
      </c>
      <c r="B2787" s="1" t="s">
        <v>5585</v>
      </c>
      <c r="C2787" s="3">
        <v>200</v>
      </c>
      <c r="D2787" s="3" t="str">
        <f ca="1">IF(B2787="","",IFERROR(_xludf.XLOOKUP(_xludf.XLOOKUP(B2787,Inventory!$A:$A,Inventory!$B:$B),Blades!$A:$A,Blades!$C:$C)+_xludf.XLOOKUP(_xludf.XLOOKUP(B2787,Inventory!$A:$A,Inventory!$C:$C),Motor!$A:$A,Motor!$C:$C)+_xludf.XLOOKUP(_xludf.XLOOKUP(B2787,Inventory!$A:$A,Inventory!$D:$D),Frame!$A:$A,Frame!$C:$C)+#REF!,""))</f>
        <v/>
      </c>
      <c r="E2787" s="4">
        <v>46105</v>
      </c>
      <c r="F2787" s="1" t="s">
        <v>63</v>
      </c>
    </row>
    <row r="2788" spans="1:6" x14ac:dyDescent="0.25">
      <c r="A2788" s="1" t="s">
        <v>5586</v>
      </c>
      <c r="B2788" s="1" t="s">
        <v>5587</v>
      </c>
      <c r="C2788" s="3">
        <v>200</v>
      </c>
      <c r="D2788" s="3" t="str">
        <f ca="1">IF(B2788="","",IFERROR(_xludf.XLOOKUP(_xludf.XLOOKUP(B2788,Inventory!$A:$A,Inventory!$B:$B),Blades!$A:$A,Blades!$C:$C)+_xludf.XLOOKUP(_xludf.XLOOKUP(B2788,Inventory!$A:$A,Inventory!$C:$C),Motor!$A:$A,Motor!$C:$C)+_xludf.XLOOKUP(_xludf.XLOOKUP(B2788,Inventory!$A:$A,Inventory!$D:$D),Frame!$A:$A,Frame!$C:$C)+#REF!,""))</f>
        <v/>
      </c>
      <c r="E2788" s="4">
        <v>46105</v>
      </c>
      <c r="F2788" s="1" t="s">
        <v>8</v>
      </c>
    </row>
    <row r="2789" spans="1:6" x14ac:dyDescent="0.25">
      <c r="A2789" s="1" t="s">
        <v>5588</v>
      </c>
      <c r="B2789" s="1" t="s">
        <v>5589</v>
      </c>
      <c r="C2789" s="3">
        <v>200</v>
      </c>
      <c r="D2789" s="3" t="str">
        <f ca="1">IF(B2789="","",IFERROR(_xludf.XLOOKUP(_xludf.XLOOKUP(B2789,Inventory!$A:$A,Inventory!$B:$B),Blades!$A:$A,Blades!$C:$C)+_xludf.XLOOKUP(_xludf.XLOOKUP(B2789,Inventory!$A:$A,Inventory!$C:$C),Motor!$A:$A,Motor!$C:$C)+_xludf.XLOOKUP(_xludf.XLOOKUP(B2789,Inventory!$A:$A,Inventory!$D:$D),Frame!$A:$A,Frame!$C:$C)+#REF!,""))</f>
        <v/>
      </c>
      <c r="E2789" s="4">
        <v>46105</v>
      </c>
      <c r="F2789" s="1" t="s">
        <v>32</v>
      </c>
    </row>
    <row r="2790" spans="1:6" x14ac:dyDescent="0.25">
      <c r="A2790" s="1" t="s">
        <v>5590</v>
      </c>
      <c r="B2790" s="1" t="s">
        <v>5591</v>
      </c>
      <c r="C2790" s="3">
        <v>200</v>
      </c>
      <c r="D2790" s="3" t="str">
        <f ca="1">IF(B2790="","",IFERROR(_xludf.XLOOKUP(_xludf.XLOOKUP(B2790,Inventory!$A:$A,Inventory!$B:$B),Blades!$A:$A,Blades!$C:$C)+_xludf.XLOOKUP(_xludf.XLOOKUP(B2790,Inventory!$A:$A,Inventory!$C:$C),Motor!$A:$A,Motor!$C:$C)+_xludf.XLOOKUP(_xludf.XLOOKUP(B2790,Inventory!$A:$A,Inventory!$D:$D),Frame!$A:$A,Frame!$C:$C)+#REF!,""))</f>
        <v/>
      </c>
      <c r="E2790" s="4">
        <v>46106</v>
      </c>
      <c r="F2790" s="1" t="s">
        <v>49</v>
      </c>
    </row>
    <row r="2791" spans="1:6" x14ac:dyDescent="0.25">
      <c r="A2791" s="1" t="s">
        <v>5592</v>
      </c>
      <c r="B2791" s="1" t="s">
        <v>5593</v>
      </c>
      <c r="C2791" s="3">
        <v>200</v>
      </c>
      <c r="D2791" s="3" t="str">
        <f ca="1">IF(B2791="","",IFERROR(_xludf.XLOOKUP(_xludf.XLOOKUP(B2791,Inventory!$A:$A,Inventory!$B:$B),Blades!$A:$A,Blades!$C:$C)+_xludf.XLOOKUP(_xludf.XLOOKUP(B2791,Inventory!$A:$A,Inventory!$C:$C),Motor!$A:$A,Motor!$C:$C)+_xludf.XLOOKUP(_xludf.XLOOKUP(B2791,Inventory!$A:$A,Inventory!$D:$D),Frame!$A:$A,Frame!$C:$C)+#REF!,""))</f>
        <v/>
      </c>
      <c r="E2791" s="4">
        <v>46106</v>
      </c>
      <c r="F2791" s="1" t="s">
        <v>63</v>
      </c>
    </row>
    <row r="2792" spans="1:6" x14ac:dyDescent="0.25">
      <c r="A2792" s="1" t="s">
        <v>5594</v>
      </c>
      <c r="B2792" s="1" t="s">
        <v>5595</v>
      </c>
      <c r="C2792" s="3">
        <v>200</v>
      </c>
      <c r="D2792" s="3" t="str">
        <f ca="1">IF(B2792="","",IFERROR(_xludf.XLOOKUP(_xludf.XLOOKUP(B2792,Inventory!$A:$A,Inventory!$B:$B),Blades!$A:$A,Blades!$C:$C)+_xludf.XLOOKUP(_xludf.XLOOKUP(B2792,Inventory!$A:$A,Inventory!$C:$C),Motor!$A:$A,Motor!$C:$C)+_xludf.XLOOKUP(_xludf.XLOOKUP(B2792,Inventory!$A:$A,Inventory!$D:$D),Frame!$A:$A,Frame!$C:$C)+#REF!,""))</f>
        <v/>
      </c>
      <c r="E2792" s="4">
        <v>46108</v>
      </c>
      <c r="F2792" s="1" t="s">
        <v>52</v>
      </c>
    </row>
    <row r="2793" spans="1:6" x14ac:dyDescent="0.25">
      <c r="A2793" s="1" t="s">
        <v>5596</v>
      </c>
      <c r="B2793" s="1" t="s">
        <v>5597</v>
      </c>
      <c r="C2793" s="3">
        <v>200</v>
      </c>
      <c r="D2793" s="3" t="str">
        <f ca="1">IF(B2793="","",IFERROR(_xludf.XLOOKUP(_xludf.XLOOKUP(B2793,Inventory!$A:$A,Inventory!$B:$B),Blades!$A:$A,Blades!$C:$C)+_xludf.XLOOKUP(_xludf.XLOOKUP(B2793,Inventory!$A:$A,Inventory!$C:$C),Motor!$A:$A,Motor!$C:$C)+_xludf.XLOOKUP(_xludf.XLOOKUP(B2793,Inventory!$A:$A,Inventory!$D:$D),Frame!$A:$A,Frame!$C:$C)+#REF!,""))</f>
        <v/>
      </c>
      <c r="E2793" s="4">
        <v>46109</v>
      </c>
      <c r="F2793" s="1" t="s">
        <v>52</v>
      </c>
    </row>
    <row r="2794" spans="1:6" x14ac:dyDescent="0.25">
      <c r="A2794" s="1" t="s">
        <v>5598</v>
      </c>
      <c r="B2794" s="1" t="s">
        <v>5599</v>
      </c>
      <c r="C2794" s="3">
        <v>200</v>
      </c>
      <c r="D2794" s="3" t="str">
        <f ca="1">IF(B2794="","",IFERROR(_xludf.XLOOKUP(_xludf.XLOOKUP(B2794,Inventory!$A:$A,Inventory!$B:$B),Blades!$A:$A,Blades!$C:$C)+_xludf.XLOOKUP(_xludf.XLOOKUP(B2794,Inventory!$A:$A,Inventory!$C:$C),Motor!$A:$A,Motor!$C:$C)+_xludf.XLOOKUP(_xludf.XLOOKUP(B2794,Inventory!$A:$A,Inventory!$D:$D),Frame!$A:$A,Frame!$C:$C)+#REF!,""))</f>
        <v/>
      </c>
      <c r="E2794" s="4">
        <v>46109</v>
      </c>
      <c r="F2794" s="1" t="s">
        <v>20</v>
      </c>
    </row>
    <row r="2795" spans="1:6" x14ac:dyDescent="0.25">
      <c r="A2795" s="1" t="s">
        <v>5600</v>
      </c>
      <c r="B2795" s="1" t="s">
        <v>5601</v>
      </c>
      <c r="C2795" s="3">
        <v>200</v>
      </c>
      <c r="D2795" s="3" t="str">
        <f ca="1">IF(B2795="","",IFERROR(_xludf.XLOOKUP(_xludf.XLOOKUP(B2795,Inventory!$A:$A,Inventory!$B:$B),Blades!$A:$A,Blades!$C:$C)+_xludf.XLOOKUP(_xludf.XLOOKUP(B2795,Inventory!$A:$A,Inventory!$C:$C),Motor!$A:$A,Motor!$C:$C)+_xludf.XLOOKUP(_xludf.XLOOKUP(B2795,Inventory!$A:$A,Inventory!$D:$D),Frame!$A:$A,Frame!$C:$C)+#REF!,""))</f>
        <v/>
      </c>
      <c r="E2795" s="4">
        <v>46110</v>
      </c>
      <c r="F2795" s="1" t="s">
        <v>52</v>
      </c>
    </row>
    <row r="2796" spans="1:6" x14ac:dyDescent="0.25">
      <c r="A2796" s="1" t="s">
        <v>5602</v>
      </c>
      <c r="B2796" s="1" t="s">
        <v>5603</v>
      </c>
      <c r="C2796" s="3">
        <v>200</v>
      </c>
      <c r="D2796" s="3" t="str">
        <f ca="1">IF(B2796="","",IFERROR(_xludf.XLOOKUP(_xludf.XLOOKUP(B2796,Inventory!$A:$A,Inventory!$B:$B),Blades!$A:$A,Blades!$C:$C)+_xludf.XLOOKUP(_xludf.XLOOKUP(B2796,Inventory!$A:$A,Inventory!$C:$C),Motor!$A:$A,Motor!$C:$C)+_xludf.XLOOKUP(_xludf.XLOOKUP(B2796,Inventory!$A:$A,Inventory!$D:$D),Frame!$A:$A,Frame!$C:$C)+#REF!,""))</f>
        <v/>
      </c>
      <c r="E2796" s="4">
        <v>46110</v>
      </c>
      <c r="F2796" s="1" t="s">
        <v>63</v>
      </c>
    </row>
    <row r="2797" spans="1:6" x14ac:dyDescent="0.25">
      <c r="A2797" s="1" t="s">
        <v>5604</v>
      </c>
      <c r="B2797" s="1" t="s">
        <v>5605</v>
      </c>
      <c r="C2797" s="3">
        <v>200</v>
      </c>
      <c r="D2797" s="3" t="str">
        <f ca="1">IF(B2797="","",IFERROR(_xludf.XLOOKUP(_xludf.XLOOKUP(B2797,Inventory!$A:$A,Inventory!$B:$B),Blades!$A:$A,Blades!$C:$C)+_xludf.XLOOKUP(_xludf.XLOOKUP(B2797,Inventory!$A:$A,Inventory!$C:$C),Motor!$A:$A,Motor!$C:$C)+_xludf.XLOOKUP(_xludf.XLOOKUP(B2797,Inventory!$A:$A,Inventory!$D:$D),Frame!$A:$A,Frame!$C:$C)+#REF!,""))</f>
        <v/>
      </c>
      <c r="E2797" s="4">
        <v>46111</v>
      </c>
      <c r="F2797" s="1" t="s">
        <v>49</v>
      </c>
    </row>
    <row r="2798" spans="1:6" x14ac:dyDescent="0.25">
      <c r="A2798" s="1" t="s">
        <v>5606</v>
      </c>
      <c r="B2798" s="1" t="s">
        <v>5607</v>
      </c>
      <c r="C2798" s="3">
        <v>200</v>
      </c>
      <c r="D2798" s="3" t="str">
        <f ca="1">IF(B2798="","",IFERROR(_xludf.XLOOKUP(_xludf.XLOOKUP(B2798,Inventory!$A:$A,Inventory!$B:$B),Blades!$A:$A,Blades!$C:$C)+_xludf.XLOOKUP(_xludf.XLOOKUP(B2798,Inventory!$A:$A,Inventory!$C:$C),Motor!$A:$A,Motor!$C:$C)+_xludf.XLOOKUP(_xludf.XLOOKUP(B2798,Inventory!$A:$A,Inventory!$D:$D),Frame!$A:$A,Frame!$C:$C)+#REF!,""))</f>
        <v/>
      </c>
      <c r="E2798" s="4">
        <v>46111</v>
      </c>
      <c r="F2798" s="1" t="s">
        <v>11</v>
      </c>
    </row>
    <row r="2799" spans="1:6" x14ac:dyDescent="0.25">
      <c r="A2799" s="1" t="s">
        <v>5608</v>
      </c>
      <c r="B2799" s="1" t="s">
        <v>5609</v>
      </c>
      <c r="C2799" s="3">
        <v>200</v>
      </c>
      <c r="D2799" s="3" t="str">
        <f ca="1">IF(B2799="","",IFERROR(_xludf.XLOOKUP(_xludf.XLOOKUP(B2799,Inventory!$A:$A,Inventory!$B:$B),Blades!$A:$A,Blades!$C:$C)+_xludf.XLOOKUP(_xludf.XLOOKUP(B2799,Inventory!$A:$A,Inventory!$C:$C),Motor!$A:$A,Motor!$C:$C)+_xludf.XLOOKUP(_xludf.XLOOKUP(B2799,Inventory!$A:$A,Inventory!$D:$D),Frame!$A:$A,Frame!$C:$C)+#REF!,""))</f>
        <v/>
      </c>
      <c r="E2799" s="4">
        <v>46112</v>
      </c>
      <c r="F2799" s="1" t="s">
        <v>52</v>
      </c>
    </row>
    <row r="2800" spans="1:6" x14ac:dyDescent="0.25">
      <c r="A2800" s="1" t="s">
        <v>5610</v>
      </c>
      <c r="B2800" s="1" t="s">
        <v>5611</v>
      </c>
      <c r="C2800" s="3">
        <v>200</v>
      </c>
      <c r="D2800" s="3" t="str">
        <f ca="1">IF(B2800="","",IFERROR(_xludf.XLOOKUP(_xludf.XLOOKUP(B2800,Inventory!$A:$A,Inventory!$B:$B),Blades!$A:$A,Blades!$C:$C)+_xludf.XLOOKUP(_xludf.XLOOKUP(B2800,Inventory!$A:$A,Inventory!$C:$C),Motor!$A:$A,Motor!$C:$C)+_xludf.XLOOKUP(_xludf.XLOOKUP(B2800,Inventory!$A:$A,Inventory!$D:$D),Frame!$A:$A,Frame!$C:$C)+#REF!,""))</f>
        <v/>
      </c>
      <c r="E2800" s="4">
        <v>46112</v>
      </c>
      <c r="F2800" s="1" t="s">
        <v>8</v>
      </c>
    </row>
    <row r="2801" spans="1:6" x14ac:dyDescent="0.25">
      <c r="A2801" s="1" t="s">
        <v>5612</v>
      </c>
      <c r="B2801" s="1" t="s">
        <v>5613</v>
      </c>
      <c r="C2801" s="3">
        <v>200</v>
      </c>
      <c r="D2801" s="3" t="str">
        <f ca="1">IF(B2801="","",IFERROR(_xludf.XLOOKUP(_xludf.XLOOKUP(B2801,Inventory!$A:$A,Inventory!$B:$B),Blades!$A:$A,Blades!$C:$C)+_xludf.XLOOKUP(_xludf.XLOOKUP(B2801,Inventory!$A:$A,Inventory!$C:$C),Motor!$A:$A,Motor!$C:$C)+_xludf.XLOOKUP(_xludf.XLOOKUP(B2801,Inventory!$A:$A,Inventory!$D:$D),Frame!$A:$A,Frame!$C:$C)+#REF!,""))</f>
        <v/>
      </c>
      <c r="E2801" s="4">
        <v>46112</v>
      </c>
      <c r="F2801" s="1" t="s">
        <v>8</v>
      </c>
    </row>
    <row r="2802" spans="1:6" x14ac:dyDescent="0.25">
      <c r="A2802" s="1" t="s">
        <v>5614</v>
      </c>
      <c r="B2802" s="1" t="s">
        <v>5615</v>
      </c>
      <c r="C2802" s="3">
        <v>200</v>
      </c>
      <c r="D2802" s="3" t="str">
        <f ca="1">IF(B2802="","",IFERROR(_xludf.XLOOKUP(_xludf.XLOOKUP(B2802,Inventory!$A:$A,Inventory!$B:$B),Blades!$A:$A,Blades!$C:$C)+_xludf.XLOOKUP(_xludf.XLOOKUP(B2802,Inventory!$A:$A,Inventory!$C:$C),Motor!$A:$A,Motor!$C:$C)+_xludf.XLOOKUP(_xludf.XLOOKUP(B2802,Inventory!$A:$A,Inventory!$D:$D),Frame!$A:$A,Frame!$C:$C)+#REF!,""))</f>
        <v/>
      </c>
      <c r="E2802" s="4">
        <v>46113</v>
      </c>
      <c r="F2802" s="1" t="s">
        <v>63</v>
      </c>
    </row>
    <row r="2803" spans="1:6" x14ac:dyDescent="0.25">
      <c r="A2803" s="1" t="s">
        <v>5616</v>
      </c>
      <c r="B2803" s="1" t="s">
        <v>5617</v>
      </c>
      <c r="C2803" s="3">
        <v>200</v>
      </c>
      <c r="D2803" s="3" t="str">
        <f ca="1">IF(B2803="","",IFERROR(_xludf.XLOOKUP(_xludf.XLOOKUP(B2803,Inventory!$A:$A,Inventory!$B:$B),Blades!$A:$A,Blades!$C:$C)+_xludf.XLOOKUP(_xludf.XLOOKUP(B2803,Inventory!$A:$A,Inventory!$C:$C),Motor!$A:$A,Motor!$C:$C)+_xludf.XLOOKUP(_xludf.XLOOKUP(B2803,Inventory!$A:$A,Inventory!$D:$D),Frame!$A:$A,Frame!$C:$C)+#REF!,""))</f>
        <v/>
      </c>
      <c r="E2803" s="4">
        <v>46113</v>
      </c>
      <c r="F2803" s="1" t="s">
        <v>20</v>
      </c>
    </row>
    <row r="2804" spans="1:6" x14ac:dyDescent="0.25">
      <c r="A2804" s="1" t="s">
        <v>5618</v>
      </c>
      <c r="B2804" s="1" t="s">
        <v>5619</v>
      </c>
      <c r="C2804" s="3">
        <v>200</v>
      </c>
      <c r="D2804" s="3" t="str">
        <f ca="1">IF(B2804="","",IFERROR(_xludf.XLOOKUP(_xludf.XLOOKUP(B2804,Inventory!$A:$A,Inventory!$B:$B),Blades!$A:$A,Blades!$C:$C)+_xludf.XLOOKUP(_xludf.XLOOKUP(B2804,Inventory!$A:$A,Inventory!$C:$C),Motor!$A:$A,Motor!$C:$C)+_xludf.XLOOKUP(_xludf.XLOOKUP(B2804,Inventory!$A:$A,Inventory!$D:$D),Frame!$A:$A,Frame!$C:$C)+#REF!,""))</f>
        <v/>
      </c>
      <c r="E2804" s="4">
        <v>46113</v>
      </c>
      <c r="F2804" s="1" t="s">
        <v>8</v>
      </c>
    </row>
    <row r="2805" spans="1:6" x14ac:dyDescent="0.25">
      <c r="A2805" s="1" t="s">
        <v>5620</v>
      </c>
      <c r="B2805" s="1" t="s">
        <v>5621</v>
      </c>
      <c r="C2805" s="3">
        <v>200</v>
      </c>
      <c r="D2805" s="3" t="str">
        <f ca="1">IF(B2805="","",IFERROR(_xludf.XLOOKUP(_xludf.XLOOKUP(B2805,Inventory!$A:$A,Inventory!$B:$B),Blades!$A:$A,Blades!$C:$C)+_xludf.XLOOKUP(_xludf.XLOOKUP(B2805,Inventory!$A:$A,Inventory!$C:$C),Motor!$A:$A,Motor!$C:$C)+_xludf.XLOOKUP(_xludf.XLOOKUP(B2805,Inventory!$A:$A,Inventory!$D:$D),Frame!$A:$A,Frame!$C:$C)+#REF!,""))</f>
        <v/>
      </c>
      <c r="E2805" s="4">
        <v>46115</v>
      </c>
      <c r="F2805" s="1" t="s">
        <v>63</v>
      </c>
    </row>
    <row r="2806" spans="1:6" x14ac:dyDescent="0.25">
      <c r="A2806" s="1" t="s">
        <v>5622</v>
      </c>
      <c r="B2806" s="1" t="s">
        <v>5623</v>
      </c>
      <c r="C2806" s="3">
        <v>200</v>
      </c>
      <c r="D2806" s="3" t="str">
        <f ca="1">IF(B2806="","",IFERROR(_xludf.XLOOKUP(_xludf.XLOOKUP(B2806,Inventory!$A:$A,Inventory!$B:$B),Blades!$A:$A,Blades!$C:$C)+_xludf.XLOOKUP(_xludf.XLOOKUP(B2806,Inventory!$A:$A,Inventory!$C:$C),Motor!$A:$A,Motor!$C:$C)+_xludf.XLOOKUP(_xludf.XLOOKUP(B2806,Inventory!$A:$A,Inventory!$D:$D),Frame!$A:$A,Frame!$C:$C)+#REF!,""))</f>
        <v/>
      </c>
      <c r="E2806" s="4">
        <v>46116</v>
      </c>
      <c r="F2806" s="1" t="s">
        <v>20</v>
      </c>
    </row>
    <row r="2807" spans="1:6" x14ac:dyDescent="0.25">
      <c r="A2807" s="1" t="s">
        <v>5624</v>
      </c>
      <c r="B2807" s="1" t="s">
        <v>5625</v>
      </c>
      <c r="C2807" s="3">
        <v>200</v>
      </c>
      <c r="D2807" s="3" t="str">
        <f ca="1">IF(B2807="","",IFERROR(_xludf.XLOOKUP(_xludf.XLOOKUP(B2807,Inventory!$A:$A,Inventory!$B:$B),Blades!$A:$A,Blades!$C:$C)+_xludf.XLOOKUP(_xludf.XLOOKUP(B2807,Inventory!$A:$A,Inventory!$C:$C),Motor!$A:$A,Motor!$C:$C)+_xludf.XLOOKUP(_xludf.XLOOKUP(B2807,Inventory!$A:$A,Inventory!$D:$D),Frame!$A:$A,Frame!$C:$C)+#REF!,""))</f>
        <v/>
      </c>
      <c r="E2807" s="4">
        <v>46117</v>
      </c>
      <c r="F2807" s="1" t="s">
        <v>20</v>
      </c>
    </row>
    <row r="2808" spans="1:6" x14ac:dyDescent="0.25">
      <c r="A2808" s="1" t="s">
        <v>5626</v>
      </c>
      <c r="B2808" s="1" t="s">
        <v>5627</v>
      </c>
      <c r="C2808" s="3">
        <v>200</v>
      </c>
      <c r="D2808" s="3" t="str">
        <f ca="1">IF(B2808="","",IFERROR(_xludf.XLOOKUP(_xludf.XLOOKUP(B2808,Inventory!$A:$A,Inventory!$B:$B),Blades!$A:$A,Blades!$C:$C)+_xludf.XLOOKUP(_xludf.XLOOKUP(B2808,Inventory!$A:$A,Inventory!$C:$C),Motor!$A:$A,Motor!$C:$C)+_xludf.XLOOKUP(_xludf.XLOOKUP(B2808,Inventory!$A:$A,Inventory!$D:$D),Frame!$A:$A,Frame!$C:$C)+#REF!,""))</f>
        <v/>
      </c>
      <c r="E2808" s="4">
        <v>46117</v>
      </c>
      <c r="F2808" s="1" t="s">
        <v>49</v>
      </c>
    </row>
    <row r="2809" spans="1:6" x14ac:dyDescent="0.25">
      <c r="A2809" s="1" t="s">
        <v>5628</v>
      </c>
      <c r="B2809" s="1" t="s">
        <v>5629</v>
      </c>
      <c r="C2809" s="3">
        <v>200</v>
      </c>
      <c r="D2809" s="3" t="str">
        <f ca="1">IF(B2809="","",IFERROR(_xludf.XLOOKUP(_xludf.XLOOKUP(B2809,Inventory!$A:$A,Inventory!$B:$B),Blades!$A:$A,Blades!$C:$C)+_xludf.XLOOKUP(_xludf.XLOOKUP(B2809,Inventory!$A:$A,Inventory!$C:$C),Motor!$A:$A,Motor!$C:$C)+_xludf.XLOOKUP(_xludf.XLOOKUP(B2809,Inventory!$A:$A,Inventory!$D:$D),Frame!$A:$A,Frame!$C:$C)+#REF!,""))</f>
        <v/>
      </c>
      <c r="E2809" s="4">
        <v>46117</v>
      </c>
      <c r="F2809" s="1" t="s">
        <v>11</v>
      </c>
    </row>
    <row r="2810" spans="1:6" x14ac:dyDescent="0.25">
      <c r="A2810" s="1" t="s">
        <v>5630</v>
      </c>
      <c r="B2810" s="1" t="s">
        <v>5631</v>
      </c>
      <c r="C2810" s="3">
        <v>200</v>
      </c>
      <c r="D2810" s="3" t="str">
        <f ca="1">IF(B2810="","",IFERROR(_xludf.XLOOKUP(_xludf.XLOOKUP(B2810,Inventory!$A:$A,Inventory!$B:$B),Blades!$A:$A,Blades!$C:$C)+_xludf.XLOOKUP(_xludf.XLOOKUP(B2810,Inventory!$A:$A,Inventory!$C:$C),Motor!$A:$A,Motor!$C:$C)+_xludf.XLOOKUP(_xludf.XLOOKUP(B2810,Inventory!$A:$A,Inventory!$D:$D),Frame!$A:$A,Frame!$C:$C)+#REF!,""))</f>
        <v/>
      </c>
      <c r="E2810" s="4">
        <v>46118</v>
      </c>
      <c r="F2810" s="1" t="s">
        <v>11</v>
      </c>
    </row>
    <row r="2811" spans="1:6" x14ac:dyDescent="0.25">
      <c r="A2811" s="1" t="s">
        <v>5632</v>
      </c>
      <c r="B2811" s="1" t="s">
        <v>5633</v>
      </c>
      <c r="C2811" s="3">
        <v>200</v>
      </c>
      <c r="D2811" s="3" t="str">
        <f ca="1">IF(B2811="","",IFERROR(_xludf.XLOOKUP(_xludf.XLOOKUP(B2811,Inventory!$A:$A,Inventory!$B:$B),Blades!$A:$A,Blades!$C:$C)+_xludf.XLOOKUP(_xludf.XLOOKUP(B2811,Inventory!$A:$A,Inventory!$C:$C),Motor!$A:$A,Motor!$C:$C)+_xludf.XLOOKUP(_xludf.XLOOKUP(B2811,Inventory!$A:$A,Inventory!$D:$D),Frame!$A:$A,Frame!$C:$C)+#REF!,""))</f>
        <v/>
      </c>
      <c r="E2811" s="4">
        <v>46118</v>
      </c>
      <c r="F2811" s="1" t="s">
        <v>25</v>
      </c>
    </row>
    <row r="2812" spans="1:6" x14ac:dyDescent="0.25">
      <c r="A2812" s="1" t="s">
        <v>5634</v>
      </c>
      <c r="B2812" s="1" t="s">
        <v>5635</v>
      </c>
      <c r="C2812" s="3">
        <v>200</v>
      </c>
      <c r="D2812" s="3" t="str">
        <f ca="1">IF(B2812="","",IFERROR(_xludf.XLOOKUP(_xludf.XLOOKUP(B2812,Inventory!$A:$A,Inventory!$B:$B),Blades!$A:$A,Blades!$C:$C)+_xludf.XLOOKUP(_xludf.XLOOKUP(B2812,Inventory!$A:$A,Inventory!$C:$C),Motor!$A:$A,Motor!$C:$C)+_xludf.XLOOKUP(_xludf.XLOOKUP(B2812,Inventory!$A:$A,Inventory!$D:$D),Frame!$A:$A,Frame!$C:$C)+#REF!,""))</f>
        <v/>
      </c>
      <c r="E2812" s="4">
        <v>46118</v>
      </c>
      <c r="F2812" s="1" t="s">
        <v>63</v>
      </c>
    </row>
    <row r="2813" spans="1:6" x14ac:dyDescent="0.25">
      <c r="A2813" s="1" t="s">
        <v>5636</v>
      </c>
      <c r="B2813" s="1" t="s">
        <v>5637</v>
      </c>
      <c r="C2813" s="3">
        <v>200</v>
      </c>
      <c r="D2813" s="3" t="str">
        <f ca="1">IF(B2813="","",IFERROR(_xludf.XLOOKUP(_xludf.XLOOKUP(B2813,Inventory!$A:$A,Inventory!$B:$B),Blades!$A:$A,Blades!$C:$C)+_xludf.XLOOKUP(_xludf.XLOOKUP(B2813,Inventory!$A:$A,Inventory!$C:$C),Motor!$A:$A,Motor!$C:$C)+_xludf.XLOOKUP(_xludf.XLOOKUP(B2813,Inventory!$A:$A,Inventory!$D:$D),Frame!$A:$A,Frame!$C:$C)+#REF!,""))</f>
        <v/>
      </c>
      <c r="E2813" s="4">
        <v>46119</v>
      </c>
      <c r="F2813" s="1" t="s">
        <v>63</v>
      </c>
    </row>
    <row r="2814" spans="1:6" x14ac:dyDescent="0.25">
      <c r="A2814" s="1" t="s">
        <v>5638</v>
      </c>
      <c r="B2814" s="1" t="s">
        <v>5639</v>
      </c>
      <c r="C2814" s="3">
        <v>200</v>
      </c>
      <c r="D2814" s="3" t="str">
        <f ca="1">IF(B2814="","",IFERROR(_xludf.XLOOKUP(_xludf.XLOOKUP(B2814,Inventory!$A:$A,Inventory!$B:$B),Blades!$A:$A,Blades!$C:$C)+_xludf.XLOOKUP(_xludf.XLOOKUP(B2814,Inventory!$A:$A,Inventory!$C:$C),Motor!$A:$A,Motor!$C:$C)+_xludf.XLOOKUP(_xludf.XLOOKUP(B2814,Inventory!$A:$A,Inventory!$D:$D),Frame!$A:$A,Frame!$C:$C)+#REF!,""))</f>
        <v/>
      </c>
      <c r="E2814" s="4">
        <v>46119</v>
      </c>
      <c r="F2814" s="1" t="s">
        <v>25</v>
      </c>
    </row>
    <row r="2815" spans="1:6" x14ac:dyDescent="0.25">
      <c r="A2815" s="1" t="s">
        <v>5640</v>
      </c>
      <c r="B2815" s="1" t="s">
        <v>5641</v>
      </c>
      <c r="C2815" s="3">
        <v>200</v>
      </c>
      <c r="D2815" s="3" t="str">
        <f ca="1">IF(B2815="","",IFERROR(_xludf.XLOOKUP(_xludf.XLOOKUP(B2815,Inventory!$A:$A,Inventory!$B:$B),Blades!$A:$A,Blades!$C:$C)+_xludf.XLOOKUP(_xludf.XLOOKUP(B2815,Inventory!$A:$A,Inventory!$C:$C),Motor!$A:$A,Motor!$C:$C)+_xludf.XLOOKUP(_xludf.XLOOKUP(B2815,Inventory!$A:$A,Inventory!$D:$D),Frame!$A:$A,Frame!$C:$C)+#REF!,""))</f>
        <v/>
      </c>
      <c r="E2815" s="4">
        <v>46119</v>
      </c>
      <c r="F2815" s="1" t="s">
        <v>20</v>
      </c>
    </row>
    <row r="2816" spans="1:6" x14ac:dyDescent="0.25">
      <c r="A2816" s="1" t="s">
        <v>5642</v>
      </c>
      <c r="B2816" s="1" t="s">
        <v>5643</v>
      </c>
      <c r="C2816" s="3">
        <v>200</v>
      </c>
      <c r="D2816" s="3" t="str">
        <f ca="1">IF(B2816="","",IFERROR(_xludf.XLOOKUP(_xludf.XLOOKUP(B2816,Inventory!$A:$A,Inventory!$B:$B),Blades!$A:$A,Blades!$C:$C)+_xludf.XLOOKUP(_xludf.XLOOKUP(B2816,Inventory!$A:$A,Inventory!$C:$C),Motor!$A:$A,Motor!$C:$C)+_xludf.XLOOKUP(_xludf.XLOOKUP(B2816,Inventory!$A:$A,Inventory!$D:$D),Frame!$A:$A,Frame!$C:$C)+#REF!,""))</f>
        <v/>
      </c>
      <c r="E2816" s="4">
        <v>46120</v>
      </c>
      <c r="F2816" s="1" t="s">
        <v>11</v>
      </c>
    </row>
    <row r="2817" spans="1:6" x14ac:dyDescent="0.25">
      <c r="A2817" s="1" t="s">
        <v>5644</v>
      </c>
      <c r="B2817" s="1" t="s">
        <v>5645</v>
      </c>
      <c r="C2817" s="3">
        <v>200</v>
      </c>
      <c r="D2817" s="3" t="str">
        <f ca="1">IF(B2817="","",IFERROR(_xludf.XLOOKUP(_xludf.XLOOKUP(B2817,Inventory!$A:$A,Inventory!$B:$B),Blades!$A:$A,Blades!$C:$C)+_xludf.XLOOKUP(_xludf.XLOOKUP(B2817,Inventory!$A:$A,Inventory!$C:$C),Motor!$A:$A,Motor!$C:$C)+_xludf.XLOOKUP(_xludf.XLOOKUP(B2817,Inventory!$A:$A,Inventory!$D:$D),Frame!$A:$A,Frame!$C:$C)+#REF!,""))</f>
        <v/>
      </c>
      <c r="E2817" s="4">
        <v>46120</v>
      </c>
      <c r="F2817" s="1" t="s">
        <v>8</v>
      </c>
    </row>
    <row r="2818" spans="1:6" x14ac:dyDescent="0.25">
      <c r="A2818" s="1" t="s">
        <v>5646</v>
      </c>
      <c r="B2818" s="1" t="s">
        <v>5647</v>
      </c>
      <c r="C2818" s="3">
        <v>200</v>
      </c>
      <c r="D2818" s="3" t="str">
        <f ca="1">IF(B2818="","",IFERROR(_xludf.XLOOKUP(_xludf.XLOOKUP(B2818,Inventory!$A:$A,Inventory!$B:$B),Blades!$A:$A,Blades!$C:$C)+_xludf.XLOOKUP(_xludf.XLOOKUP(B2818,Inventory!$A:$A,Inventory!$C:$C),Motor!$A:$A,Motor!$C:$C)+_xludf.XLOOKUP(_xludf.XLOOKUP(B2818,Inventory!$A:$A,Inventory!$D:$D),Frame!$A:$A,Frame!$C:$C)+#REF!,""))</f>
        <v/>
      </c>
      <c r="E2818" s="4">
        <v>46120</v>
      </c>
      <c r="F2818" s="1" t="s">
        <v>52</v>
      </c>
    </row>
    <row r="2819" spans="1:6" x14ac:dyDescent="0.25">
      <c r="A2819" s="1" t="s">
        <v>5648</v>
      </c>
      <c r="B2819" s="1" t="s">
        <v>5649</v>
      </c>
      <c r="C2819" s="3">
        <v>200</v>
      </c>
      <c r="D2819" s="3" t="str">
        <f ca="1">IF(B2819="","",IFERROR(_xludf.XLOOKUP(_xludf.XLOOKUP(B2819,Inventory!$A:$A,Inventory!$B:$B),Blades!$A:$A,Blades!$C:$C)+_xludf.XLOOKUP(_xludf.XLOOKUP(B2819,Inventory!$A:$A,Inventory!$C:$C),Motor!$A:$A,Motor!$C:$C)+_xludf.XLOOKUP(_xludf.XLOOKUP(B2819,Inventory!$A:$A,Inventory!$D:$D),Frame!$A:$A,Frame!$C:$C)+#REF!,""))</f>
        <v/>
      </c>
      <c r="E2819" s="4">
        <v>46121</v>
      </c>
      <c r="F2819" s="1" t="s">
        <v>52</v>
      </c>
    </row>
    <row r="2820" spans="1:6" x14ac:dyDescent="0.25">
      <c r="A2820" s="1" t="s">
        <v>5650</v>
      </c>
      <c r="B2820" s="1" t="s">
        <v>5651</v>
      </c>
      <c r="C2820" s="3">
        <v>200</v>
      </c>
      <c r="D2820" s="3" t="str">
        <f ca="1">IF(B2820="","",IFERROR(_xludf.XLOOKUP(_xludf.XLOOKUP(B2820,Inventory!$A:$A,Inventory!$B:$B),Blades!$A:$A,Blades!$C:$C)+_xludf.XLOOKUP(_xludf.XLOOKUP(B2820,Inventory!$A:$A,Inventory!$C:$C),Motor!$A:$A,Motor!$C:$C)+_xludf.XLOOKUP(_xludf.XLOOKUP(B2820,Inventory!$A:$A,Inventory!$D:$D),Frame!$A:$A,Frame!$C:$C)+#REF!,""))</f>
        <v/>
      </c>
      <c r="E2820" s="4">
        <v>46121</v>
      </c>
      <c r="F2820" s="1" t="s">
        <v>20</v>
      </c>
    </row>
    <row r="2821" spans="1:6" x14ac:dyDescent="0.25">
      <c r="A2821" s="1" t="s">
        <v>5652</v>
      </c>
      <c r="B2821" s="1" t="s">
        <v>5653</v>
      </c>
      <c r="C2821" s="3">
        <v>200</v>
      </c>
      <c r="D2821" s="3" t="str">
        <f ca="1">IF(B2821="","",IFERROR(_xludf.XLOOKUP(_xludf.XLOOKUP(B2821,Inventory!$A:$A,Inventory!$B:$B),Blades!$A:$A,Blades!$C:$C)+_xludf.XLOOKUP(_xludf.XLOOKUP(B2821,Inventory!$A:$A,Inventory!$C:$C),Motor!$A:$A,Motor!$C:$C)+_xludf.XLOOKUP(_xludf.XLOOKUP(B2821,Inventory!$A:$A,Inventory!$D:$D),Frame!$A:$A,Frame!$C:$C)+#REF!,""))</f>
        <v/>
      </c>
      <c r="E2821" s="4">
        <v>46121</v>
      </c>
      <c r="F2821" s="1" t="s">
        <v>52</v>
      </c>
    </row>
    <row r="2822" spans="1:6" x14ac:dyDescent="0.25">
      <c r="A2822" s="1" t="s">
        <v>5654</v>
      </c>
      <c r="B2822" s="1" t="s">
        <v>5655</v>
      </c>
      <c r="C2822" s="3">
        <v>200</v>
      </c>
      <c r="D2822" s="3" t="str">
        <f ca="1">IF(B2822="","",IFERROR(_xludf.XLOOKUP(_xludf.XLOOKUP(B2822,Inventory!$A:$A,Inventory!$B:$B),Blades!$A:$A,Blades!$C:$C)+_xludf.XLOOKUP(_xludf.XLOOKUP(B2822,Inventory!$A:$A,Inventory!$C:$C),Motor!$A:$A,Motor!$C:$C)+_xludf.XLOOKUP(_xludf.XLOOKUP(B2822,Inventory!$A:$A,Inventory!$D:$D),Frame!$A:$A,Frame!$C:$C)+#REF!,""))</f>
        <v/>
      </c>
      <c r="E2822" s="4">
        <v>46122</v>
      </c>
      <c r="F2822" s="1" t="s">
        <v>8</v>
      </c>
    </row>
    <row r="2823" spans="1:6" x14ac:dyDescent="0.25">
      <c r="A2823" s="1" t="s">
        <v>5656</v>
      </c>
      <c r="B2823" s="1" t="s">
        <v>5657</v>
      </c>
      <c r="C2823" s="3">
        <v>200</v>
      </c>
      <c r="D2823" s="3" t="str">
        <f ca="1">IF(B2823="","",IFERROR(_xludf.XLOOKUP(_xludf.XLOOKUP(B2823,Inventory!$A:$A,Inventory!$B:$B),Blades!$A:$A,Blades!$C:$C)+_xludf.XLOOKUP(_xludf.XLOOKUP(B2823,Inventory!$A:$A,Inventory!$C:$C),Motor!$A:$A,Motor!$C:$C)+_xludf.XLOOKUP(_xludf.XLOOKUP(B2823,Inventory!$A:$A,Inventory!$D:$D),Frame!$A:$A,Frame!$C:$C)+#REF!,""))</f>
        <v/>
      </c>
      <c r="E2823" s="4">
        <v>46122</v>
      </c>
      <c r="F2823" s="1" t="s">
        <v>20</v>
      </c>
    </row>
    <row r="2824" spans="1:6" x14ac:dyDescent="0.25">
      <c r="A2824" s="1" t="s">
        <v>5658</v>
      </c>
      <c r="B2824" s="1" t="s">
        <v>5659</v>
      </c>
      <c r="C2824" s="3">
        <v>200</v>
      </c>
      <c r="D2824" s="3" t="str">
        <f ca="1">IF(B2824="","",IFERROR(_xludf.XLOOKUP(_xludf.XLOOKUP(B2824,Inventory!$A:$A,Inventory!$B:$B),Blades!$A:$A,Blades!$C:$C)+_xludf.XLOOKUP(_xludf.XLOOKUP(B2824,Inventory!$A:$A,Inventory!$C:$C),Motor!$A:$A,Motor!$C:$C)+_xludf.XLOOKUP(_xludf.XLOOKUP(B2824,Inventory!$A:$A,Inventory!$D:$D),Frame!$A:$A,Frame!$C:$C)+#REF!,""))</f>
        <v/>
      </c>
      <c r="E2824" s="4">
        <v>46123</v>
      </c>
      <c r="F2824" s="1" t="s">
        <v>8</v>
      </c>
    </row>
    <row r="2825" spans="1:6" x14ac:dyDescent="0.25">
      <c r="A2825" s="1" t="s">
        <v>5660</v>
      </c>
      <c r="B2825" s="1" t="s">
        <v>5661</v>
      </c>
      <c r="C2825" s="3">
        <v>200</v>
      </c>
      <c r="D2825" s="3" t="str">
        <f ca="1">IF(B2825="","",IFERROR(_xludf.XLOOKUP(_xludf.XLOOKUP(B2825,Inventory!$A:$A,Inventory!$B:$B),Blades!$A:$A,Blades!$C:$C)+_xludf.XLOOKUP(_xludf.XLOOKUP(B2825,Inventory!$A:$A,Inventory!$C:$C),Motor!$A:$A,Motor!$C:$C)+_xludf.XLOOKUP(_xludf.XLOOKUP(B2825,Inventory!$A:$A,Inventory!$D:$D),Frame!$A:$A,Frame!$C:$C)+#REF!,""))</f>
        <v/>
      </c>
      <c r="E2825" s="4">
        <v>46124</v>
      </c>
      <c r="F2825" s="1" t="s">
        <v>25</v>
      </c>
    </row>
    <row r="2826" spans="1:6" x14ac:dyDescent="0.25">
      <c r="A2826" s="1" t="s">
        <v>5662</v>
      </c>
      <c r="B2826" s="1" t="s">
        <v>5663</v>
      </c>
      <c r="C2826" s="3">
        <v>200</v>
      </c>
      <c r="D2826" s="3" t="str">
        <f ca="1">IF(B2826="","",IFERROR(_xludf.XLOOKUP(_xludf.XLOOKUP(B2826,Inventory!$A:$A,Inventory!$B:$B),Blades!$A:$A,Blades!$C:$C)+_xludf.XLOOKUP(_xludf.XLOOKUP(B2826,Inventory!$A:$A,Inventory!$C:$C),Motor!$A:$A,Motor!$C:$C)+_xludf.XLOOKUP(_xludf.XLOOKUP(B2826,Inventory!$A:$A,Inventory!$D:$D),Frame!$A:$A,Frame!$C:$C)+#REF!,""))</f>
        <v/>
      </c>
      <c r="E2826" s="4">
        <v>46124</v>
      </c>
      <c r="F2826" s="1" t="s">
        <v>52</v>
      </c>
    </row>
    <row r="2827" spans="1:6" x14ac:dyDescent="0.25">
      <c r="A2827" s="1" t="s">
        <v>5664</v>
      </c>
      <c r="B2827" s="1" t="s">
        <v>5665</v>
      </c>
      <c r="C2827" s="3">
        <v>200</v>
      </c>
      <c r="D2827" s="3" t="str">
        <f ca="1">IF(B2827="","",IFERROR(_xludf.XLOOKUP(_xludf.XLOOKUP(B2827,Inventory!$A:$A,Inventory!$B:$B),Blades!$A:$A,Blades!$C:$C)+_xludf.XLOOKUP(_xludf.XLOOKUP(B2827,Inventory!$A:$A,Inventory!$C:$C),Motor!$A:$A,Motor!$C:$C)+_xludf.XLOOKUP(_xludf.XLOOKUP(B2827,Inventory!$A:$A,Inventory!$D:$D),Frame!$A:$A,Frame!$C:$C)+#REF!,""))</f>
        <v/>
      </c>
      <c r="E2827" s="4">
        <v>46124</v>
      </c>
      <c r="F2827" s="1" t="s">
        <v>20</v>
      </c>
    </row>
    <row r="2828" spans="1:6" x14ac:dyDescent="0.25">
      <c r="A2828" s="1" t="s">
        <v>5666</v>
      </c>
      <c r="B2828" s="1" t="s">
        <v>5667</v>
      </c>
      <c r="C2828" s="3">
        <v>200</v>
      </c>
      <c r="D2828" s="3" t="str">
        <f ca="1">IF(B2828="","",IFERROR(_xludf.XLOOKUP(_xludf.XLOOKUP(B2828,Inventory!$A:$A,Inventory!$B:$B),Blades!$A:$A,Blades!$C:$C)+_xludf.XLOOKUP(_xludf.XLOOKUP(B2828,Inventory!$A:$A,Inventory!$C:$C),Motor!$A:$A,Motor!$C:$C)+_xludf.XLOOKUP(_xludf.XLOOKUP(B2828,Inventory!$A:$A,Inventory!$D:$D),Frame!$A:$A,Frame!$C:$C)+#REF!,""))</f>
        <v/>
      </c>
      <c r="E2828" s="4">
        <v>46124</v>
      </c>
      <c r="F2828" s="1" t="s">
        <v>49</v>
      </c>
    </row>
    <row r="2829" spans="1:6" x14ac:dyDescent="0.25">
      <c r="A2829" s="1" t="s">
        <v>5668</v>
      </c>
      <c r="B2829" s="1" t="s">
        <v>5669</v>
      </c>
      <c r="C2829" s="3">
        <v>200</v>
      </c>
      <c r="D2829" s="3" t="str">
        <f ca="1">IF(B2829="","",IFERROR(_xludf.XLOOKUP(_xludf.XLOOKUP(B2829,Inventory!$A:$A,Inventory!$B:$B),Blades!$A:$A,Blades!$C:$C)+_xludf.XLOOKUP(_xludf.XLOOKUP(B2829,Inventory!$A:$A,Inventory!$C:$C),Motor!$A:$A,Motor!$C:$C)+_xludf.XLOOKUP(_xludf.XLOOKUP(B2829,Inventory!$A:$A,Inventory!$D:$D),Frame!$A:$A,Frame!$C:$C)+#REF!,""))</f>
        <v/>
      </c>
      <c r="E2829" s="4">
        <v>46125</v>
      </c>
      <c r="F2829" s="1" t="s">
        <v>52</v>
      </c>
    </row>
    <row r="2830" spans="1:6" x14ac:dyDescent="0.25">
      <c r="A2830" s="1" t="s">
        <v>5670</v>
      </c>
      <c r="B2830" s="1" t="s">
        <v>5671</v>
      </c>
      <c r="C2830" s="3">
        <v>200</v>
      </c>
      <c r="D2830" s="3" t="str">
        <f ca="1">IF(B2830="","",IFERROR(_xludf.XLOOKUP(_xludf.XLOOKUP(B2830,Inventory!$A:$A,Inventory!$B:$B),Blades!$A:$A,Blades!$C:$C)+_xludf.XLOOKUP(_xludf.XLOOKUP(B2830,Inventory!$A:$A,Inventory!$C:$C),Motor!$A:$A,Motor!$C:$C)+_xludf.XLOOKUP(_xludf.XLOOKUP(B2830,Inventory!$A:$A,Inventory!$D:$D),Frame!$A:$A,Frame!$C:$C)+#REF!,""))</f>
        <v/>
      </c>
      <c r="E2830" s="4">
        <v>46125</v>
      </c>
      <c r="F2830" s="1" t="s">
        <v>52</v>
      </c>
    </row>
    <row r="2831" spans="1:6" x14ac:dyDescent="0.25">
      <c r="A2831" s="1" t="s">
        <v>5672</v>
      </c>
      <c r="B2831" s="1" t="s">
        <v>5673</v>
      </c>
      <c r="C2831" s="3">
        <v>200</v>
      </c>
      <c r="D2831" s="3" t="str">
        <f ca="1">IF(B2831="","",IFERROR(_xludf.XLOOKUP(_xludf.XLOOKUP(B2831,Inventory!$A:$A,Inventory!$B:$B),Blades!$A:$A,Blades!$C:$C)+_xludf.XLOOKUP(_xludf.XLOOKUP(B2831,Inventory!$A:$A,Inventory!$C:$C),Motor!$A:$A,Motor!$C:$C)+_xludf.XLOOKUP(_xludf.XLOOKUP(B2831,Inventory!$A:$A,Inventory!$D:$D),Frame!$A:$A,Frame!$C:$C)+#REF!,""))</f>
        <v/>
      </c>
      <c r="E2831" s="4">
        <v>46125</v>
      </c>
      <c r="F2831" s="1" t="s">
        <v>25</v>
      </c>
    </row>
    <row r="2832" spans="1:6" x14ac:dyDescent="0.25">
      <c r="A2832" s="1" t="s">
        <v>5674</v>
      </c>
      <c r="B2832" s="1" t="s">
        <v>5675</v>
      </c>
      <c r="C2832" s="3">
        <v>200</v>
      </c>
      <c r="D2832" s="3" t="str">
        <f ca="1">IF(B2832="","",IFERROR(_xludf.XLOOKUP(_xludf.XLOOKUP(B2832,Inventory!$A:$A,Inventory!$B:$B),Blades!$A:$A,Blades!$C:$C)+_xludf.XLOOKUP(_xludf.XLOOKUP(B2832,Inventory!$A:$A,Inventory!$C:$C),Motor!$A:$A,Motor!$C:$C)+_xludf.XLOOKUP(_xludf.XLOOKUP(B2832,Inventory!$A:$A,Inventory!$D:$D),Frame!$A:$A,Frame!$C:$C)+#REF!,""))</f>
        <v/>
      </c>
      <c r="E2832" s="4">
        <v>46125</v>
      </c>
      <c r="F2832" s="1" t="s">
        <v>8</v>
      </c>
    </row>
    <row r="2833" spans="1:6" x14ac:dyDescent="0.25">
      <c r="A2833" s="1" t="s">
        <v>5676</v>
      </c>
      <c r="B2833" s="1" t="s">
        <v>5677</v>
      </c>
      <c r="C2833" s="3">
        <v>200</v>
      </c>
      <c r="D2833" s="3" t="str">
        <f ca="1">IF(B2833="","",IFERROR(_xludf.XLOOKUP(_xludf.XLOOKUP(B2833,Inventory!$A:$A,Inventory!$B:$B),Blades!$A:$A,Blades!$C:$C)+_xludf.XLOOKUP(_xludf.XLOOKUP(B2833,Inventory!$A:$A,Inventory!$C:$C),Motor!$A:$A,Motor!$C:$C)+_xludf.XLOOKUP(_xludf.XLOOKUP(B2833,Inventory!$A:$A,Inventory!$D:$D),Frame!$A:$A,Frame!$C:$C)+#REF!,""))</f>
        <v/>
      </c>
      <c r="E2833" s="4">
        <v>46126</v>
      </c>
      <c r="F2833" s="1" t="s">
        <v>20</v>
      </c>
    </row>
    <row r="2834" spans="1:6" x14ac:dyDescent="0.25">
      <c r="A2834" s="1" t="s">
        <v>5678</v>
      </c>
      <c r="B2834" s="1" t="s">
        <v>5679</v>
      </c>
      <c r="C2834" s="3">
        <v>200</v>
      </c>
      <c r="D2834" s="3" t="str">
        <f ca="1">IF(B2834="","",IFERROR(_xludf.XLOOKUP(_xludf.XLOOKUP(B2834,Inventory!$A:$A,Inventory!$B:$B),Blades!$A:$A,Blades!$C:$C)+_xludf.XLOOKUP(_xludf.XLOOKUP(B2834,Inventory!$A:$A,Inventory!$C:$C),Motor!$A:$A,Motor!$C:$C)+_xludf.XLOOKUP(_xludf.XLOOKUP(B2834,Inventory!$A:$A,Inventory!$D:$D),Frame!$A:$A,Frame!$C:$C)+#REF!,""))</f>
        <v/>
      </c>
      <c r="E2834" s="4">
        <v>46128</v>
      </c>
      <c r="F2834" s="1" t="s">
        <v>63</v>
      </c>
    </row>
    <row r="2835" spans="1:6" x14ac:dyDescent="0.25">
      <c r="A2835" s="1" t="s">
        <v>5680</v>
      </c>
      <c r="B2835" s="1" t="s">
        <v>5681</v>
      </c>
      <c r="C2835" s="3">
        <v>200</v>
      </c>
      <c r="D2835" s="3" t="str">
        <f ca="1">IF(B2835="","",IFERROR(_xludf.XLOOKUP(_xludf.XLOOKUP(B2835,Inventory!$A:$A,Inventory!$B:$B),Blades!$A:$A,Blades!$C:$C)+_xludf.XLOOKUP(_xludf.XLOOKUP(B2835,Inventory!$A:$A,Inventory!$C:$C),Motor!$A:$A,Motor!$C:$C)+_xludf.XLOOKUP(_xludf.XLOOKUP(B2835,Inventory!$A:$A,Inventory!$D:$D),Frame!$A:$A,Frame!$C:$C)+#REF!,""))</f>
        <v/>
      </c>
      <c r="E2835" s="4">
        <v>46128</v>
      </c>
      <c r="F2835" s="1" t="s">
        <v>52</v>
      </c>
    </row>
    <row r="2836" spans="1:6" x14ac:dyDescent="0.25">
      <c r="A2836" s="1" t="s">
        <v>5682</v>
      </c>
      <c r="B2836" s="1" t="s">
        <v>5683</v>
      </c>
      <c r="C2836" s="3">
        <v>200</v>
      </c>
      <c r="D2836" s="3" t="str">
        <f ca="1">IF(B2836="","",IFERROR(_xludf.XLOOKUP(_xludf.XLOOKUP(B2836,Inventory!$A:$A,Inventory!$B:$B),Blades!$A:$A,Blades!$C:$C)+_xludf.XLOOKUP(_xludf.XLOOKUP(B2836,Inventory!$A:$A,Inventory!$C:$C),Motor!$A:$A,Motor!$C:$C)+_xludf.XLOOKUP(_xludf.XLOOKUP(B2836,Inventory!$A:$A,Inventory!$D:$D),Frame!$A:$A,Frame!$C:$C)+#REF!,""))</f>
        <v/>
      </c>
      <c r="E2836" s="4">
        <v>46129</v>
      </c>
      <c r="F2836" s="1" t="s">
        <v>52</v>
      </c>
    </row>
    <row r="2837" spans="1:6" x14ac:dyDescent="0.25">
      <c r="A2837" s="1" t="s">
        <v>5684</v>
      </c>
      <c r="B2837" s="1" t="s">
        <v>5685</v>
      </c>
      <c r="C2837" s="3">
        <v>200</v>
      </c>
      <c r="D2837" s="3" t="str">
        <f ca="1">IF(B2837="","",IFERROR(_xludf.XLOOKUP(_xludf.XLOOKUP(B2837,Inventory!$A:$A,Inventory!$B:$B),Blades!$A:$A,Blades!$C:$C)+_xludf.XLOOKUP(_xludf.XLOOKUP(B2837,Inventory!$A:$A,Inventory!$C:$C),Motor!$A:$A,Motor!$C:$C)+_xludf.XLOOKUP(_xludf.XLOOKUP(B2837,Inventory!$A:$A,Inventory!$D:$D),Frame!$A:$A,Frame!$C:$C)+#REF!,""))</f>
        <v/>
      </c>
      <c r="E2837" s="4">
        <v>46130</v>
      </c>
      <c r="F2837" s="1" t="s">
        <v>25</v>
      </c>
    </row>
    <row r="2838" spans="1:6" x14ac:dyDescent="0.25">
      <c r="A2838" s="1" t="s">
        <v>5686</v>
      </c>
      <c r="B2838" s="1" t="s">
        <v>5687</v>
      </c>
      <c r="C2838" s="3">
        <v>200</v>
      </c>
      <c r="D2838" s="3" t="str">
        <f ca="1">IF(B2838="","",IFERROR(_xludf.XLOOKUP(_xludf.XLOOKUP(B2838,Inventory!$A:$A,Inventory!$B:$B),Blades!$A:$A,Blades!$C:$C)+_xludf.XLOOKUP(_xludf.XLOOKUP(B2838,Inventory!$A:$A,Inventory!$C:$C),Motor!$A:$A,Motor!$C:$C)+_xludf.XLOOKUP(_xludf.XLOOKUP(B2838,Inventory!$A:$A,Inventory!$D:$D),Frame!$A:$A,Frame!$C:$C)+#REF!,""))</f>
        <v/>
      </c>
      <c r="E2838" s="4">
        <v>46130</v>
      </c>
      <c r="F2838" s="1" t="s">
        <v>32</v>
      </c>
    </row>
    <row r="2839" spans="1:6" x14ac:dyDescent="0.25">
      <c r="A2839" s="1" t="s">
        <v>5688</v>
      </c>
      <c r="B2839" s="1" t="s">
        <v>5689</v>
      </c>
      <c r="C2839" s="3">
        <v>200</v>
      </c>
      <c r="D2839" s="3" t="str">
        <f ca="1">IF(B2839="","",IFERROR(_xludf.XLOOKUP(_xludf.XLOOKUP(B2839,Inventory!$A:$A,Inventory!$B:$B),Blades!$A:$A,Blades!$C:$C)+_xludf.XLOOKUP(_xludf.XLOOKUP(B2839,Inventory!$A:$A,Inventory!$C:$C),Motor!$A:$A,Motor!$C:$C)+_xludf.XLOOKUP(_xludf.XLOOKUP(B2839,Inventory!$A:$A,Inventory!$D:$D),Frame!$A:$A,Frame!$C:$C)+#REF!,""))</f>
        <v/>
      </c>
      <c r="E2839" s="4">
        <v>46130</v>
      </c>
      <c r="F2839" s="1" t="s">
        <v>32</v>
      </c>
    </row>
    <row r="2840" spans="1:6" x14ac:dyDescent="0.25">
      <c r="A2840" s="1" t="s">
        <v>5690</v>
      </c>
      <c r="B2840" s="1" t="s">
        <v>5691</v>
      </c>
      <c r="C2840" s="3">
        <v>200</v>
      </c>
      <c r="D2840" s="3" t="str">
        <f ca="1">IF(B2840="","",IFERROR(_xludf.XLOOKUP(_xludf.XLOOKUP(B2840,Inventory!$A:$A,Inventory!$B:$B),Blades!$A:$A,Blades!$C:$C)+_xludf.XLOOKUP(_xludf.XLOOKUP(B2840,Inventory!$A:$A,Inventory!$C:$C),Motor!$A:$A,Motor!$C:$C)+_xludf.XLOOKUP(_xludf.XLOOKUP(B2840,Inventory!$A:$A,Inventory!$D:$D),Frame!$A:$A,Frame!$C:$C)+#REF!,""))</f>
        <v/>
      </c>
      <c r="E2840" s="4">
        <v>46132</v>
      </c>
      <c r="F2840" s="1" t="s">
        <v>52</v>
      </c>
    </row>
    <row r="2841" spans="1:6" x14ac:dyDescent="0.25">
      <c r="A2841" s="1" t="s">
        <v>5692</v>
      </c>
      <c r="B2841" s="1" t="s">
        <v>5693</v>
      </c>
      <c r="C2841" s="3">
        <v>200</v>
      </c>
      <c r="D2841" s="3" t="str">
        <f ca="1">IF(B2841="","",IFERROR(_xludf.XLOOKUP(_xludf.XLOOKUP(B2841,Inventory!$A:$A,Inventory!$B:$B),Blades!$A:$A,Blades!$C:$C)+_xludf.XLOOKUP(_xludf.XLOOKUP(B2841,Inventory!$A:$A,Inventory!$C:$C),Motor!$A:$A,Motor!$C:$C)+_xludf.XLOOKUP(_xludf.XLOOKUP(B2841,Inventory!$A:$A,Inventory!$D:$D),Frame!$A:$A,Frame!$C:$C)+#REF!,""))</f>
        <v/>
      </c>
      <c r="E2841" s="4">
        <v>46132</v>
      </c>
      <c r="F2841" s="1" t="s">
        <v>32</v>
      </c>
    </row>
    <row r="2842" spans="1:6" x14ac:dyDescent="0.25">
      <c r="A2842" s="1" t="s">
        <v>5694</v>
      </c>
      <c r="B2842" s="1" t="s">
        <v>5695</v>
      </c>
      <c r="C2842" s="3">
        <v>200</v>
      </c>
      <c r="D2842" s="3" t="str">
        <f ca="1">IF(B2842="","",IFERROR(_xludf.XLOOKUP(_xludf.XLOOKUP(B2842,Inventory!$A:$A,Inventory!$B:$B),Blades!$A:$A,Blades!$C:$C)+_xludf.XLOOKUP(_xludf.XLOOKUP(B2842,Inventory!$A:$A,Inventory!$C:$C),Motor!$A:$A,Motor!$C:$C)+_xludf.XLOOKUP(_xludf.XLOOKUP(B2842,Inventory!$A:$A,Inventory!$D:$D),Frame!$A:$A,Frame!$C:$C)+#REF!,""))</f>
        <v/>
      </c>
      <c r="E2842" s="4">
        <v>46133</v>
      </c>
      <c r="F2842" s="1" t="s">
        <v>32</v>
      </c>
    </row>
    <row r="2843" spans="1:6" x14ac:dyDescent="0.25">
      <c r="A2843" s="1" t="s">
        <v>5696</v>
      </c>
      <c r="B2843" s="1" t="s">
        <v>5697</v>
      </c>
      <c r="C2843" s="3">
        <v>200</v>
      </c>
      <c r="D2843" s="3" t="str">
        <f ca="1">IF(B2843="","",IFERROR(_xludf.XLOOKUP(_xludf.XLOOKUP(B2843,Inventory!$A:$A,Inventory!$B:$B),Blades!$A:$A,Blades!$C:$C)+_xludf.XLOOKUP(_xludf.XLOOKUP(B2843,Inventory!$A:$A,Inventory!$C:$C),Motor!$A:$A,Motor!$C:$C)+_xludf.XLOOKUP(_xludf.XLOOKUP(B2843,Inventory!$A:$A,Inventory!$D:$D),Frame!$A:$A,Frame!$C:$C)+#REF!,""))</f>
        <v/>
      </c>
      <c r="E2843" s="4">
        <v>46134</v>
      </c>
      <c r="F2843" s="1" t="s">
        <v>11</v>
      </c>
    </row>
    <row r="2844" spans="1:6" x14ac:dyDescent="0.25">
      <c r="A2844" s="1" t="s">
        <v>5698</v>
      </c>
      <c r="B2844" s="1" t="s">
        <v>5699</v>
      </c>
      <c r="C2844" s="3">
        <v>200</v>
      </c>
      <c r="D2844" s="3" t="str">
        <f ca="1">IF(B2844="","",IFERROR(_xludf.XLOOKUP(_xludf.XLOOKUP(B2844,Inventory!$A:$A,Inventory!$B:$B),Blades!$A:$A,Blades!$C:$C)+_xludf.XLOOKUP(_xludf.XLOOKUP(B2844,Inventory!$A:$A,Inventory!$C:$C),Motor!$A:$A,Motor!$C:$C)+_xludf.XLOOKUP(_xludf.XLOOKUP(B2844,Inventory!$A:$A,Inventory!$D:$D),Frame!$A:$A,Frame!$C:$C)+#REF!,""))</f>
        <v/>
      </c>
      <c r="E2844" s="4">
        <v>46134</v>
      </c>
      <c r="F2844" s="1" t="s">
        <v>32</v>
      </c>
    </row>
    <row r="2845" spans="1:6" x14ac:dyDescent="0.25">
      <c r="A2845" s="1" t="s">
        <v>5700</v>
      </c>
      <c r="B2845" s="1" t="s">
        <v>5701</v>
      </c>
      <c r="C2845" s="3">
        <v>200</v>
      </c>
      <c r="D2845" s="3" t="str">
        <f ca="1">IF(B2845="","",IFERROR(_xludf.XLOOKUP(_xludf.XLOOKUP(B2845,Inventory!$A:$A,Inventory!$B:$B),Blades!$A:$A,Blades!$C:$C)+_xludf.XLOOKUP(_xludf.XLOOKUP(B2845,Inventory!$A:$A,Inventory!$C:$C),Motor!$A:$A,Motor!$C:$C)+_xludf.XLOOKUP(_xludf.XLOOKUP(B2845,Inventory!$A:$A,Inventory!$D:$D),Frame!$A:$A,Frame!$C:$C)+#REF!,""))</f>
        <v/>
      </c>
      <c r="E2845" s="4">
        <v>46134</v>
      </c>
      <c r="F2845" s="1" t="s">
        <v>49</v>
      </c>
    </row>
    <row r="2846" spans="1:6" x14ac:dyDescent="0.25">
      <c r="A2846" s="1" t="s">
        <v>5702</v>
      </c>
      <c r="B2846" s="1" t="s">
        <v>5703</v>
      </c>
      <c r="C2846" s="3">
        <v>200</v>
      </c>
      <c r="D2846" s="3" t="str">
        <f ca="1">IF(B2846="","",IFERROR(_xludf.XLOOKUP(_xludf.XLOOKUP(B2846,Inventory!$A:$A,Inventory!$B:$B),Blades!$A:$A,Blades!$C:$C)+_xludf.XLOOKUP(_xludf.XLOOKUP(B2846,Inventory!$A:$A,Inventory!$C:$C),Motor!$A:$A,Motor!$C:$C)+_xludf.XLOOKUP(_xludf.XLOOKUP(B2846,Inventory!$A:$A,Inventory!$D:$D),Frame!$A:$A,Frame!$C:$C)+#REF!,""))</f>
        <v/>
      </c>
      <c r="E2846" s="4">
        <v>46134</v>
      </c>
      <c r="F2846" s="1" t="s">
        <v>52</v>
      </c>
    </row>
    <row r="2847" spans="1:6" x14ac:dyDescent="0.25">
      <c r="A2847" s="1" t="s">
        <v>5704</v>
      </c>
      <c r="B2847" s="1" t="s">
        <v>5705</v>
      </c>
      <c r="C2847" s="3">
        <v>200</v>
      </c>
      <c r="D2847" s="3" t="str">
        <f ca="1">IF(B2847="","",IFERROR(_xludf.XLOOKUP(_xludf.XLOOKUP(B2847,Inventory!$A:$A,Inventory!$B:$B),Blades!$A:$A,Blades!$C:$C)+_xludf.XLOOKUP(_xludf.XLOOKUP(B2847,Inventory!$A:$A,Inventory!$C:$C),Motor!$A:$A,Motor!$C:$C)+_xludf.XLOOKUP(_xludf.XLOOKUP(B2847,Inventory!$A:$A,Inventory!$D:$D),Frame!$A:$A,Frame!$C:$C)+#REF!,""))</f>
        <v/>
      </c>
      <c r="E2847" s="4">
        <v>46137</v>
      </c>
      <c r="F2847" s="1" t="s">
        <v>63</v>
      </c>
    </row>
    <row r="2848" spans="1:6" x14ac:dyDescent="0.25">
      <c r="A2848" s="1" t="s">
        <v>5706</v>
      </c>
      <c r="B2848" s="1" t="s">
        <v>5707</v>
      </c>
      <c r="C2848" s="3">
        <v>200</v>
      </c>
      <c r="D2848" s="3" t="str">
        <f ca="1">IF(B2848="","",IFERROR(_xludf.XLOOKUP(_xludf.XLOOKUP(B2848,Inventory!$A:$A,Inventory!$B:$B),Blades!$A:$A,Blades!$C:$C)+_xludf.XLOOKUP(_xludf.XLOOKUP(B2848,Inventory!$A:$A,Inventory!$C:$C),Motor!$A:$A,Motor!$C:$C)+_xludf.XLOOKUP(_xludf.XLOOKUP(B2848,Inventory!$A:$A,Inventory!$D:$D),Frame!$A:$A,Frame!$C:$C)+#REF!,""))</f>
        <v/>
      </c>
      <c r="E2848" s="4">
        <v>46137</v>
      </c>
      <c r="F2848" s="1" t="s">
        <v>25</v>
      </c>
    </row>
    <row r="2849" spans="1:6" x14ac:dyDescent="0.25">
      <c r="A2849" s="1" t="s">
        <v>5708</v>
      </c>
      <c r="B2849" s="1" t="s">
        <v>5709</v>
      </c>
      <c r="C2849" s="3">
        <v>200</v>
      </c>
      <c r="D2849" s="3" t="str">
        <f ca="1">IF(B2849="","",IFERROR(_xludf.XLOOKUP(_xludf.XLOOKUP(B2849,Inventory!$A:$A,Inventory!$B:$B),Blades!$A:$A,Blades!$C:$C)+_xludf.XLOOKUP(_xludf.XLOOKUP(B2849,Inventory!$A:$A,Inventory!$C:$C),Motor!$A:$A,Motor!$C:$C)+_xludf.XLOOKUP(_xludf.XLOOKUP(B2849,Inventory!$A:$A,Inventory!$D:$D),Frame!$A:$A,Frame!$C:$C)+#REF!,""))</f>
        <v/>
      </c>
      <c r="E2849" s="4">
        <v>46138</v>
      </c>
      <c r="F2849" s="1" t="s">
        <v>32</v>
      </c>
    </row>
    <row r="2850" spans="1:6" x14ac:dyDescent="0.25">
      <c r="A2850" s="1" t="s">
        <v>5710</v>
      </c>
      <c r="B2850" s="1" t="s">
        <v>5711</v>
      </c>
      <c r="C2850" s="3">
        <v>200</v>
      </c>
      <c r="D2850" s="3" t="str">
        <f ca="1">IF(B2850="","",IFERROR(_xludf.XLOOKUP(_xludf.XLOOKUP(B2850,Inventory!$A:$A,Inventory!$B:$B),Blades!$A:$A,Blades!$C:$C)+_xludf.XLOOKUP(_xludf.XLOOKUP(B2850,Inventory!$A:$A,Inventory!$C:$C),Motor!$A:$A,Motor!$C:$C)+_xludf.XLOOKUP(_xludf.XLOOKUP(B2850,Inventory!$A:$A,Inventory!$D:$D),Frame!$A:$A,Frame!$C:$C)+#REF!,""))</f>
        <v/>
      </c>
      <c r="E2850" s="4">
        <v>46139</v>
      </c>
      <c r="F2850" s="1" t="s">
        <v>63</v>
      </c>
    </row>
    <row r="2851" spans="1:6" x14ac:dyDescent="0.25">
      <c r="A2851" s="1" t="s">
        <v>5712</v>
      </c>
      <c r="B2851" s="1" t="s">
        <v>5713</v>
      </c>
      <c r="C2851" s="3">
        <v>200</v>
      </c>
      <c r="D2851" s="3" t="str">
        <f ca="1">IF(B2851="","",IFERROR(_xludf.XLOOKUP(_xludf.XLOOKUP(B2851,Inventory!$A:$A,Inventory!$B:$B),Blades!$A:$A,Blades!$C:$C)+_xludf.XLOOKUP(_xludf.XLOOKUP(B2851,Inventory!$A:$A,Inventory!$C:$C),Motor!$A:$A,Motor!$C:$C)+_xludf.XLOOKUP(_xludf.XLOOKUP(B2851,Inventory!$A:$A,Inventory!$D:$D),Frame!$A:$A,Frame!$C:$C)+#REF!,""))</f>
        <v/>
      </c>
      <c r="E2851" s="4">
        <v>46139</v>
      </c>
      <c r="F2851" s="1" t="s">
        <v>52</v>
      </c>
    </row>
    <row r="2852" spans="1:6" x14ac:dyDescent="0.25">
      <c r="A2852" s="1" t="s">
        <v>5714</v>
      </c>
      <c r="B2852" s="1" t="s">
        <v>5715</v>
      </c>
      <c r="C2852" s="3">
        <v>200</v>
      </c>
      <c r="D2852" s="3" t="str">
        <f ca="1">IF(B2852="","",IFERROR(_xludf.XLOOKUP(_xludf.XLOOKUP(B2852,Inventory!$A:$A,Inventory!$B:$B),Blades!$A:$A,Blades!$C:$C)+_xludf.XLOOKUP(_xludf.XLOOKUP(B2852,Inventory!$A:$A,Inventory!$C:$C),Motor!$A:$A,Motor!$C:$C)+_xludf.XLOOKUP(_xludf.XLOOKUP(B2852,Inventory!$A:$A,Inventory!$D:$D),Frame!$A:$A,Frame!$C:$C)+#REF!,""))</f>
        <v/>
      </c>
      <c r="E2852" s="4">
        <v>46139</v>
      </c>
      <c r="F2852" s="1" t="s">
        <v>20</v>
      </c>
    </row>
    <row r="2853" spans="1:6" x14ac:dyDescent="0.25">
      <c r="A2853" s="1" t="s">
        <v>5716</v>
      </c>
      <c r="B2853" s="1" t="s">
        <v>5717</v>
      </c>
      <c r="C2853" s="3">
        <v>200</v>
      </c>
      <c r="D2853" s="3" t="str">
        <f ca="1">IF(B2853="","",IFERROR(_xludf.XLOOKUP(_xludf.XLOOKUP(B2853,Inventory!$A:$A,Inventory!$B:$B),Blades!$A:$A,Blades!$C:$C)+_xludf.XLOOKUP(_xludf.XLOOKUP(B2853,Inventory!$A:$A,Inventory!$C:$C),Motor!$A:$A,Motor!$C:$C)+_xludf.XLOOKUP(_xludf.XLOOKUP(B2853,Inventory!$A:$A,Inventory!$D:$D),Frame!$A:$A,Frame!$C:$C)+#REF!,""))</f>
        <v/>
      </c>
      <c r="E2853" s="4">
        <v>46139</v>
      </c>
      <c r="F2853" s="1" t="s">
        <v>8</v>
      </c>
    </row>
    <row r="2854" spans="1:6" x14ac:dyDescent="0.25">
      <c r="A2854" s="1" t="s">
        <v>5718</v>
      </c>
      <c r="B2854" s="1" t="s">
        <v>5719</v>
      </c>
      <c r="C2854" s="3">
        <v>200</v>
      </c>
      <c r="D2854" s="3" t="str">
        <f ca="1">IF(B2854="","",IFERROR(_xludf.XLOOKUP(_xludf.XLOOKUP(B2854,Inventory!$A:$A,Inventory!$B:$B),Blades!$A:$A,Blades!$C:$C)+_xludf.XLOOKUP(_xludf.XLOOKUP(B2854,Inventory!$A:$A,Inventory!$C:$C),Motor!$A:$A,Motor!$C:$C)+_xludf.XLOOKUP(_xludf.XLOOKUP(B2854,Inventory!$A:$A,Inventory!$D:$D),Frame!$A:$A,Frame!$C:$C)+#REF!,""))</f>
        <v/>
      </c>
      <c r="E2854" s="4">
        <v>46142</v>
      </c>
      <c r="F2854" s="1" t="s">
        <v>20</v>
      </c>
    </row>
    <row r="2855" spans="1:6" x14ac:dyDescent="0.25">
      <c r="A2855" s="1" t="s">
        <v>5720</v>
      </c>
      <c r="B2855" s="1" t="s">
        <v>5721</v>
      </c>
      <c r="C2855" s="3">
        <v>200</v>
      </c>
      <c r="D2855" s="3" t="str">
        <f ca="1">IF(B2855="","",IFERROR(_xludf.XLOOKUP(_xludf.XLOOKUP(B2855,Inventory!$A:$A,Inventory!$B:$B),Blades!$A:$A,Blades!$C:$C)+_xludf.XLOOKUP(_xludf.XLOOKUP(B2855,Inventory!$A:$A,Inventory!$C:$C),Motor!$A:$A,Motor!$C:$C)+_xludf.XLOOKUP(_xludf.XLOOKUP(B2855,Inventory!$A:$A,Inventory!$D:$D),Frame!$A:$A,Frame!$C:$C)+#REF!,""))</f>
        <v/>
      </c>
      <c r="E2855" s="4">
        <v>46142</v>
      </c>
      <c r="F2855" s="1" t="s">
        <v>49</v>
      </c>
    </row>
    <row r="2856" spans="1:6" x14ac:dyDescent="0.25">
      <c r="A2856" s="1" t="s">
        <v>5722</v>
      </c>
      <c r="B2856" s="1" t="s">
        <v>5723</v>
      </c>
      <c r="C2856" s="3">
        <v>200</v>
      </c>
      <c r="D2856" s="3" t="str">
        <f ca="1">IF(B2856="","",IFERROR(_xludf.XLOOKUP(_xludf.XLOOKUP(B2856,Inventory!$A:$A,Inventory!$B:$B),Blades!$A:$A,Blades!$C:$C)+_xludf.XLOOKUP(_xludf.XLOOKUP(B2856,Inventory!$A:$A,Inventory!$C:$C),Motor!$A:$A,Motor!$C:$C)+_xludf.XLOOKUP(_xludf.XLOOKUP(B2856,Inventory!$A:$A,Inventory!$D:$D),Frame!$A:$A,Frame!$C:$C)+#REF!,""))</f>
        <v/>
      </c>
      <c r="E2856" s="4">
        <v>46142</v>
      </c>
      <c r="F2856" s="1" t="s">
        <v>20</v>
      </c>
    </row>
    <row r="2857" spans="1:6" x14ac:dyDescent="0.25">
      <c r="A2857" s="1" t="s">
        <v>5724</v>
      </c>
      <c r="B2857" s="1" t="s">
        <v>5725</v>
      </c>
      <c r="C2857" s="3">
        <v>200</v>
      </c>
      <c r="D2857" s="3" t="str">
        <f ca="1">IF(B2857="","",IFERROR(_xludf.XLOOKUP(_xludf.XLOOKUP(B2857,Inventory!$A:$A,Inventory!$B:$B),Blades!$A:$A,Blades!$C:$C)+_xludf.XLOOKUP(_xludf.XLOOKUP(B2857,Inventory!$A:$A,Inventory!$C:$C),Motor!$A:$A,Motor!$C:$C)+_xludf.XLOOKUP(_xludf.XLOOKUP(B2857,Inventory!$A:$A,Inventory!$D:$D),Frame!$A:$A,Frame!$C:$C)+#REF!,""))</f>
        <v/>
      </c>
      <c r="E2857" s="4">
        <v>46143</v>
      </c>
      <c r="F2857" s="1" t="s">
        <v>8</v>
      </c>
    </row>
    <row r="2858" spans="1:6" x14ac:dyDescent="0.25">
      <c r="A2858" s="1" t="s">
        <v>5726</v>
      </c>
      <c r="B2858" s="1" t="s">
        <v>5727</v>
      </c>
      <c r="C2858" s="3">
        <v>200</v>
      </c>
      <c r="D2858" s="3" t="str">
        <f ca="1">IF(B2858="","",IFERROR(_xludf.XLOOKUP(_xludf.XLOOKUP(B2858,Inventory!$A:$A,Inventory!$B:$B),Blades!$A:$A,Blades!$C:$C)+_xludf.XLOOKUP(_xludf.XLOOKUP(B2858,Inventory!$A:$A,Inventory!$C:$C),Motor!$A:$A,Motor!$C:$C)+_xludf.XLOOKUP(_xludf.XLOOKUP(B2858,Inventory!$A:$A,Inventory!$D:$D),Frame!$A:$A,Frame!$C:$C)+#REF!,""))</f>
        <v/>
      </c>
      <c r="E2858" s="4">
        <v>46144</v>
      </c>
      <c r="F2858" s="1" t="s">
        <v>49</v>
      </c>
    </row>
    <row r="2859" spans="1:6" x14ac:dyDescent="0.25">
      <c r="A2859" s="1" t="s">
        <v>5728</v>
      </c>
      <c r="B2859" s="1" t="s">
        <v>5729</v>
      </c>
      <c r="C2859" s="3">
        <v>200</v>
      </c>
      <c r="D2859" s="3" t="str">
        <f ca="1">IF(B2859="","",IFERROR(_xludf.XLOOKUP(_xludf.XLOOKUP(B2859,Inventory!$A:$A,Inventory!$B:$B),Blades!$A:$A,Blades!$C:$C)+_xludf.XLOOKUP(_xludf.XLOOKUP(B2859,Inventory!$A:$A,Inventory!$C:$C),Motor!$A:$A,Motor!$C:$C)+_xludf.XLOOKUP(_xludf.XLOOKUP(B2859,Inventory!$A:$A,Inventory!$D:$D),Frame!$A:$A,Frame!$C:$C)+#REF!,""))</f>
        <v/>
      </c>
      <c r="E2859" s="4">
        <v>46144</v>
      </c>
      <c r="F2859" s="1" t="s">
        <v>20</v>
      </c>
    </row>
    <row r="2860" spans="1:6" x14ac:dyDescent="0.25">
      <c r="A2860" s="1" t="s">
        <v>5730</v>
      </c>
      <c r="B2860" s="1" t="s">
        <v>5731</v>
      </c>
      <c r="C2860" s="3">
        <v>200</v>
      </c>
      <c r="D2860" s="3" t="str">
        <f ca="1">IF(B2860="","",IFERROR(_xludf.XLOOKUP(_xludf.XLOOKUP(B2860,Inventory!$A:$A,Inventory!$B:$B),Blades!$A:$A,Blades!$C:$C)+_xludf.XLOOKUP(_xludf.XLOOKUP(B2860,Inventory!$A:$A,Inventory!$C:$C),Motor!$A:$A,Motor!$C:$C)+_xludf.XLOOKUP(_xludf.XLOOKUP(B2860,Inventory!$A:$A,Inventory!$D:$D),Frame!$A:$A,Frame!$C:$C)+#REF!,""))</f>
        <v/>
      </c>
      <c r="E2860" s="4">
        <v>46145</v>
      </c>
      <c r="F2860" s="1" t="s">
        <v>52</v>
      </c>
    </row>
    <row r="2861" spans="1:6" x14ac:dyDescent="0.25">
      <c r="A2861" s="1" t="s">
        <v>5732</v>
      </c>
      <c r="B2861" s="1" t="s">
        <v>5733</v>
      </c>
      <c r="C2861" s="3">
        <v>200</v>
      </c>
      <c r="D2861" s="3" t="str">
        <f ca="1">IF(B2861="","",IFERROR(_xludf.XLOOKUP(_xludf.XLOOKUP(B2861,Inventory!$A:$A,Inventory!$B:$B),Blades!$A:$A,Blades!$C:$C)+_xludf.XLOOKUP(_xludf.XLOOKUP(B2861,Inventory!$A:$A,Inventory!$C:$C),Motor!$A:$A,Motor!$C:$C)+_xludf.XLOOKUP(_xludf.XLOOKUP(B2861,Inventory!$A:$A,Inventory!$D:$D),Frame!$A:$A,Frame!$C:$C)+#REF!,""))</f>
        <v/>
      </c>
      <c r="E2861" s="4">
        <v>46146</v>
      </c>
      <c r="F2861" s="1" t="s">
        <v>32</v>
      </c>
    </row>
    <row r="2862" spans="1:6" x14ac:dyDescent="0.25">
      <c r="A2862" s="1" t="s">
        <v>5734</v>
      </c>
      <c r="B2862" s="1" t="s">
        <v>5735</v>
      </c>
      <c r="C2862" s="3">
        <v>200</v>
      </c>
      <c r="D2862" s="3" t="str">
        <f ca="1">IF(B2862="","",IFERROR(_xludf.XLOOKUP(_xludf.XLOOKUP(B2862,Inventory!$A:$A,Inventory!$B:$B),Blades!$A:$A,Blades!$C:$C)+_xludf.XLOOKUP(_xludf.XLOOKUP(B2862,Inventory!$A:$A,Inventory!$C:$C),Motor!$A:$A,Motor!$C:$C)+_xludf.XLOOKUP(_xludf.XLOOKUP(B2862,Inventory!$A:$A,Inventory!$D:$D),Frame!$A:$A,Frame!$C:$C)+#REF!,""))</f>
        <v/>
      </c>
      <c r="E2862" s="4">
        <v>46146</v>
      </c>
      <c r="F2862" s="1" t="s">
        <v>32</v>
      </c>
    </row>
    <row r="2863" spans="1:6" x14ac:dyDescent="0.25">
      <c r="A2863" s="1" t="s">
        <v>5736</v>
      </c>
      <c r="B2863" s="1" t="s">
        <v>5737</v>
      </c>
      <c r="C2863" s="3">
        <v>200</v>
      </c>
      <c r="D2863" s="3" t="str">
        <f ca="1">IF(B2863="","",IFERROR(_xludf.XLOOKUP(_xludf.XLOOKUP(B2863,Inventory!$A:$A,Inventory!$B:$B),Blades!$A:$A,Blades!$C:$C)+_xludf.XLOOKUP(_xludf.XLOOKUP(B2863,Inventory!$A:$A,Inventory!$C:$C),Motor!$A:$A,Motor!$C:$C)+_xludf.XLOOKUP(_xludf.XLOOKUP(B2863,Inventory!$A:$A,Inventory!$D:$D),Frame!$A:$A,Frame!$C:$C)+#REF!,""))</f>
        <v/>
      </c>
      <c r="E2863" s="4">
        <v>46147</v>
      </c>
      <c r="F2863" s="1" t="s">
        <v>25</v>
      </c>
    </row>
    <row r="2864" spans="1:6" x14ac:dyDescent="0.25">
      <c r="A2864" s="1" t="s">
        <v>5738</v>
      </c>
      <c r="B2864" s="1" t="s">
        <v>5739</v>
      </c>
      <c r="C2864" s="3">
        <v>200</v>
      </c>
      <c r="D2864" s="3" t="str">
        <f ca="1">IF(B2864="","",IFERROR(_xludf.XLOOKUP(_xludf.XLOOKUP(B2864,Inventory!$A:$A,Inventory!$B:$B),Blades!$A:$A,Blades!$C:$C)+_xludf.XLOOKUP(_xludf.XLOOKUP(B2864,Inventory!$A:$A,Inventory!$C:$C),Motor!$A:$A,Motor!$C:$C)+_xludf.XLOOKUP(_xludf.XLOOKUP(B2864,Inventory!$A:$A,Inventory!$D:$D),Frame!$A:$A,Frame!$C:$C)+#REF!,""))</f>
        <v/>
      </c>
      <c r="E2864" s="4">
        <v>46148</v>
      </c>
      <c r="F2864" s="1" t="s">
        <v>20</v>
      </c>
    </row>
    <row r="2865" spans="1:6" x14ac:dyDescent="0.25">
      <c r="A2865" s="1" t="s">
        <v>5740</v>
      </c>
      <c r="B2865" s="1" t="s">
        <v>5741</v>
      </c>
      <c r="C2865" s="3">
        <v>200</v>
      </c>
      <c r="D2865" s="3" t="str">
        <f ca="1">IF(B2865="","",IFERROR(_xludf.XLOOKUP(_xludf.XLOOKUP(B2865,Inventory!$A:$A,Inventory!$B:$B),Blades!$A:$A,Blades!$C:$C)+_xludf.XLOOKUP(_xludf.XLOOKUP(B2865,Inventory!$A:$A,Inventory!$C:$C),Motor!$A:$A,Motor!$C:$C)+_xludf.XLOOKUP(_xludf.XLOOKUP(B2865,Inventory!$A:$A,Inventory!$D:$D),Frame!$A:$A,Frame!$C:$C)+#REF!,""))</f>
        <v/>
      </c>
      <c r="E2865" s="4">
        <v>46148</v>
      </c>
      <c r="F2865" s="1" t="s">
        <v>8</v>
      </c>
    </row>
    <row r="2866" spans="1:6" x14ac:dyDescent="0.25">
      <c r="A2866" s="1" t="s">
        <v>5742</v>
      </c>
      <c r="B2866" s="1" t="s">
        <v>5743</v>
      </c>
      <c r="C2866" s="3">
        <v>200</v>
      </c>
      <c r="D2866" s="3" t="str">
        <f ca="1">IF(B2866="","",IFERROR(_xludf.XLOOKUP(_xludf.XLOOKUP(B2866,Inventory!$A:$A,Inventory!$B:$B),Blades!$A:$A,Blades!$C:$C)+_xludf.XLOOKUP(_xludf.XLOOKUP(B2866,Inventory!$A:$A,Inventory!$C:$C),Motor!$A:$A,Motor!$C:$C)+_xludf.XLOOKUP(_xludf.XLOOKUP(B2866,Inventory!$A:$A,Inventory!$D:$D),Frame!$A:$A,Frame!$C:$C)+#REF!,""))</f>
        <v/>
      </c>
      <c r="E2866" s="4">
        <v>46148</v>
      </c>
      <c r="F2866" s="1" t="s">
        <v>32</v>
      </c>
    </row>
    <row r="2867" spans="1:6" x14ac:dyDescent="0.25">
      <c r="A2867" s="1" t="s">
        <v>5744</v>
      </c>
      <c r="B2867" s="1" t="s">
        <v>5745</v>
      </c>
      <c r="C2867" s="3">
        <v>200</v>
      </c>
      <c r="D2867" s="3" t="str">
        <f ca="1">IF(B2867="","",IFERROR(_xludf.XLOOKUP(_xludf.XLOOKUP(B2867,Inventory!$A:$A,Inventory!$B:$B),Blades!$A:$A,Blades!$C:$C)+_xludf.XLOOKUP(_xludf.XLOOKUP(B2867,Inventory!$A:$A,Inventory!$C:$C),Motor!$A:$A,Motor!$C:$C)+_xludf.XLOOKUP(_xludf.XLOOKUP(B2867,Inventory!$A:$A,Inventory!$D:$D),Frame!$A:$A,Frame!$C:$C)+#REF!,""))</f>
        <v/>
      </c>
      <c r="E2867" s="4">
        <v>46149</v>
      </c>
      <c r="F2867" s="1" t="s">
        <v>25</v>
      </c>
    </row>
    <row r="2868" spans="1:6" x14ac:dyDescent="0.25">
      <c r="A2868" s="1" t="s">
        <v>5746</v>
      </c>
      <c r="B2868" s="1" t="s">
        <v>5747</v>
      </c>
      <c r="C2868" s="3">
        <v>200</v>
      </c>
      <c r="D2868" s="3" t="str">
        <f ca="1">IF(B2868="","",IFERROR(_xludf.XLOOKUP(_xludf.XLOOKUP(B2868,Inventory!$A:$A,Inventory!$B:$B),Blades!$A:$A,Blades!$C:$C)+_xludf.XLOOKUP(_xludf.XLOOKUP(B2868,Inventory!$A:$A,Inventory!$C:$C),Motor!$A:$A,Motor!$C:$C)+_xludf.XLOOKUP(_xludf.XLOOKUP(B2868,Inventory!$A:$A,Inventory!$D:$D),Frame!$A:$A,Frame!$C:$C)+#REF!,""))</f>
        <v/>
      </c>
      <c r="E2868" s="4">
        <v>46150</v>
      </c>
      <c r="F2868" s="1" t="s">
        <v>20</v>
      </c>
    </row>
    <row r="2869" spans="1:6" x14ac:dyDescent="0.25">
      <c r="A2869" s="1" t="s">
        <v>5748</v>
      </c>
      <c r="B2869" s="1" t="s">
        <v>5749</v>
      </c>
      <c r="C2869" s="3">
        <v>200</v>
      </c>
      <c r="D2869" s="3" t="str">
        <f ca="1">IF(B2869="","",IFERROR(_xludf.XLOOKUP(_xludf.XLOOKUP(B2869,Inventory!$A:$A,Inventory!$B:$B),Blades!$A:$A,Blades!$C:$C)+_xludf.XLOOKUP(_xludf.XLOOKUP(B2869,Inventory!$A:$A,Inventory!$C:$C),Motor!$A:$A,Motor!$C:$C)+_xludf.XLOOKUP(_xludf.XLOOKUP(B2869,Inventory!$A:$A,Inventory!$D:$D),Frame!$A:$A,Frame!$C:$C)+#REF!,""))</f>
        <v/>
      </c>
      <c r="E2869" s="4">
        <v>46151</v>
      </c>
      <c r="F2869" s="1" t="s">
        <v>8</v>
      </c>
    </row>
    <row r="2870" spans="1:6" x14ac:dyDescent="0.25">
      <c r="A2870" s="1" t="s">
        <v>5750</v>
      </c>
      <c r="B2870" s="1" t="s">
        <v>5751</v>
      </c>
      <c r="C2870" s="3">
        <v>200</v>
      </c>
      <c r="D2870" s="3" t="str">
        <f ca="1">IF(B2870="","",IFERROR(_xludf.XLOOKUP(_xludf.XLOOKUP(B2870,Inventory!$A:$A,Inventory!$B:$B),Blades!$A:$A,Blades!$C:$C)+_xludf.XLOOKUP(_xludf.XLOOKUP(B2870,Inventory!$A:$A,Inventory!$C:$C),Motor!$A:$A,Motor!$C:$C)+_xludf.XLOOKUP(_xludf.XLOOKUP(B2870,Inventory!$A:$A,Inventory!$D:$D),Frame!$A:$A,Frame!$C:$C)+#REF!,""))</f>
        <v/>
      </c>
      <c r="E2870" s="4">
        <v>46151</v>
      </c>
      <c r="F2870" s="1" t="s">
        <v>11</v>
      </c>
    </row>
    <row r="2871" spans="1:6" x14ac:dyDescent="0.25">
      <c r="A2871" s="1" t="s">
        <v>5752</v>
      </c>
      <c r="B2871" s="1" t="s">
        <v>5753</v>
      </c>
      <c r="C2871" s="3">
        <v>200</v>
      </c>
      <c r="D2871" s="3" t="str">
        <f ca="1">IF(B2871="","",IFERROR(_xludf.XLOOKUP(_xludf.XLOOKUP(B2871,Inventory!$A:$A,Inventory!$B:$B),Blades!$A:$A,Blades!$C:$C)+_xludf.XLOOKUP(_xludf.XLOOKUP(B2871,Inventory!$A:$A,Inventory!$C:$C),Motor!$A:$A,Motor!$C:$C)+_xludf.XLOOKUP(_xludf.XLOOKUP(B2871,Inventory!$A:$A,Inventory!$D:$D),Frame!$A:$A,Frame!$C:$C)+#REF!,""))</f>
        <v/>
      </c>
      <c r="E2871" s="4">
        <v>46151</v>
      </c>
      <c r="F2871" s="1" t="s">
        <v>32</v>
      </c>
    </row>
    <row r="2872" spans="1:6" x14ac:dyDescent="0.25">
      <c r="A2872" s="1" t="s">
        <v>5754</v>
      </c>
      <c r="B2872" s="1" t="s">
        <v>5755</v>
      </c>
      <c r="C2872" s="3">
        <v>200</v>
      </c>
      <c r="D2872" s="3" t="str">
        <f ca="1">IF(B2872="","",IFERROR(_xludf.XLOOKUP(_xludf.XLOOKUP(B2872,Inventory!$A:$A,Inventory!$B:$B),Blades!$A:$A,Blades!$C:$C)+_xludf.XLOOKUP(_xludf.XLOOKUP(B2872,Inventory!$A:$A,Inventory!$C:$C),Motor!$A:$A,Motor!$C:$C)+_xludf.XLOOKUP(_xludf.XLOOKUP(B2872,Inventory!$A:$A,Inventory!$D:$D),Frame!$A:$A,Frame!$C:$C)+#REF!,""))</f>
        <v/>
      </c>
      <c r="E2872" s="4">
        <v>46151</v>
      </c>
      <c r="F2872" s="1" t="s">
        <v>63</v>
      </c>
    </row>
    <row r="2873" spans="1:6" x14ac:dyDescent="0.25">
      <c r="A2873" s="1" t="s">
        <v>5756</v>
      </c>
      <c r="B2873" s="1" t="s">
        <v>5757</v>
      </c>
      <c r="C2873" s="3">
        <v>200</v>
      </c>
      <c r="D2873" s="3" t="str">
        <f ca="1">IF(B2873="","",IFERROR(_xludf.XLOOKUP(_xludf.XLOOKUP(B2873,Inventory!$A:$A,Inventory!$B:$B),Blades!$A:$A,Blades!$C:$C)+_xludf.XLOOKUP(_xludf.XLOOKUP(B2873,Inventory!$A:$A,Inventory!$C:$C),Motor!$A:$A,Motor!$C:$C)+_xludf.XLOOKUP(_xludf.XLOOKUP(B2873,Inventory!$A:$A,Inventory!$D:$D),Frame!$A:$A,Frame!$C:$C)+#REF!,""))</f>
        <v/>
      </c>
      <c r="E2873" s="4">
        <v>46152</v>
      </c>
      <c r="F2873" s="1" t="s">
        <v>49</v>
      </c>
    </row>
    <row r="2874" spans="1:6" x14ac:dyDescent="0.25">
      <c r="A2874" s="1" t="s">
        <v>5758</v>
      </c>
      <c r="B2874" s="1" t="s">
        <v>5759</v>
      </c>
      <c r="C2874" s="3">
        <v>200</v>
      </c>
      <c r="D2874" s="3" t="str">
        <f ca="1">IF(B2874="","",IFERROR(_xludf.XLOOKUP(_xludf.XLOOKUP(B2874,Inventory!$A:$A,Inventory!$B:$B),Blades!$A:$A,Blades!$C:$C)+_xludf.XLOOKUP(_xludf.XLOOKUP(B2874,Inventory!$A:$A,Inventory!$C:$C),Motor!$A:$A,Motor!$C:$C)+_xludf.XLOOKUP(_xludf.XLOOKUP(B2874,Inventory!$A:$A,Inventory!$D:$D),Frame!$A:$A,Frame!$C:$C)+#REF!,""))</f>
        <v/>
      </c>
      <c r="E2874" s="4">
        <v>46154</v>
      </c>
      <c r="F2874" s="1" t="s">
        <v>8</v>
      </c>
    </row>
    <row r="2875" spans="1:6" x14ac:dyDescent="0.25">
      <c r="A2875" s="1" t="s">
        <v>5760</v>
      </c>
      <c r="B2875" s="1" t="s">
        <v>5761</v>
      </c>
      <c r="C2875" s="3">
        <v>200</v>
      </c>
      <c r="D2875" s="3" t="str">
        <f ca="1">IF(B2875="","",IFERROR(_xludf.XLOOKUP(_xludf.XLOOKUP(B2875,Inventory!$A:$A,Inventory!$B:$B),Blades!$A:$A,Blades!$C:$C)+_xludf.XLOOKUP(_xludf.XLOOKUP(B2875,Inventory!$A:$A,Inventory!$C:$C),Motor!$A:$A,Motor!$C:$C)+_xludf.XLOOKUP(_xludf.XLOOKUP(B2875,Inventory!$A:$A,Inventory!$D:$D),Frame!$A:$A,Frame!$C:$C)+#REF!,""))</f>
        <v/>
      </c>
      <c r="E2875" s="4">
        <v>46156</v>
      </c>
      <c r="F2875" s="1" t="s">
        <v>11</v>
      </c>
    </row>
    <row r="2876" spans="1:6" x14ac:dyDescent="0.25">
      <c r="A2876" s="1" t="s">
        <v>5762</v>
      </c>
      <c r="B2876" s="1" t="s">
        <v>5763</v>
      </c>
      <c r="C2876" s="3">
        <v>200</v>
      </c>
      <c r="D2876" s="3" t="str">
        <f ca="1">IF(B2876="","",IFERROR(_xludf.XLOOKUP(_xludf.XLOOKUP(B2876,Inventory!$A:$A,Inventory!$B:$B),Blades!$A:$A,Blades!$C:$C)+_xludf.XLOOKUP(_xludf.XLOOKUP(B2876,Inventory!$A:$A,Inventory!$C:$C),Motor!$A:$A,Motor!$C:$C)+_xludf.XLOOKUP(_xludf.XLOOKUP(B2876,Inventory!$A:$A,Inventory!$D:$D),Frame!$A:$A,Frame!$C:$C)+#REF!,""))</f>
        <v/>
      </c>
      <c r="E2876" s="4">
        <v>46157</v>
      </c>
      <c r="F2876" s="1" t="s">
        <v>25</v>
      </c>
    </row>
    <row r="2877" spans="1:6" x14ac:dyDescent="0.25">
      <c r="A2877" s="1" t="s">
        <v>5764</v>
      </c>
      <c r="B2877" s="1" t="s">
        <v>5765</v>
      </c>
      <c r="C2877" s="3">
        <v>200</v>
      </c>
      <c r="D2877" s="3" t="str">
        <f ca="1">IF(B2877="","",IFERROR(_xludf.XLOOKUP(_xludf.XLOOKUP(B2877,Inventory!$A:$A,Inventory!$B:$B),Blades!$A:$A,Blades!$C:$C)+_xludf.XLOOKUP(_xludf.XLOOKUP(B2877,Inventory!$A:$A,Inventory!$C:$C),Motor!$A:$A,Motor!$C:$C)+_xludf.XLOOKUP(_xludf.XLOOKUP(B2877,Inventory!$A:$A,Inventory!$D:$D),Frame!$A:$A,Frame!$C:$C)+#REF!,""))</f>
        <v/>
      </c>
      <c r="E2877" s="4">
        <v>46157</v>
      </c>
      <c r="F2877" s="1" t="s">
        <v>11</v>
      </c>
    </row>
    <row r="2878" spans="1:6" x14ac:dyDescent="0.25">
      <c r="A2878" s="1" t="s">
        <v>5766</v>
      </c>
      <c r="B2878" s="1" t="s">
        <v>5767</v>
      </c>
      <c r="C2878" s="3">
        <v>200</v>
      </c>
      <c r="D2878" s="3" t="str">
        <f ca="1">IF(B2878="","",IFERROR(_xludf.XLOOKUP(_xludf.XLOOKUP(B2878,Inventory!$A:$A,Inventory!$B:$B),Blades!$A:$A,Blades!$C:$C)+_xludf.XLOOKUP(_xludf.XLOOKUP(B2878,Inventory!$A:$A,Inventory!$C:$C),Motor!$A:$A,Motor!$C:$C)+_xludf.XLOOKUP(_xludf.XLOOKUP(B2878,Inventory!$A:$A,Inventory!$D:$D),Frame!$A:$A,Frame!$C:$C)+#REF!,""))</f>
        <v/>
      </c>
      <c r="E2878" s="4">
        <v>46157</v>
      </c>
      <c r="F2878" s="1" t="s">
        <v>49</v>
      </c>
    </row>
    <row r="2879" spans="1:6" x14ac:dyDescent="0.25">
      <c r="A2879" s="1" t="s">
        <v>5768</v>
      </c>
      <c r="B2879" s="1" t="s">
        <v>5769</v>
      </c>
      <c r="C2879" s="3">
        <v>200</v>
      </c>
      <c r="D2879" s="3" t="str">
        <f ca="1">IF(B2879="","",IFERROR(_xludf.XLOOKUP(_xludf.XLOOKUP(B2879,Inventory!$A:$A,Inventory!$B:$B),Blades!$A:$A,Blades!$C:$C)+_xludf.XLOOKUP(_xludf.XLOOKUP(B2879,Inventory!$A:$A,Inventory!$C:$C),Motor!$A:$A,Motor!$C:$C)+_xludf.XLOOKUP(_xludf.XLOOKUP(B2879,Inventory!$A:$A,Inventory!$D:$D),Frame!$A:$A,Frame!$C:$C)+#REF!,""))</f>
        <v/>
      </c>
      <c r="E2879" s="4">
        <v>46159</v>
      </c>
      <c r="F2879" s="1" t="s">
        <v>63</v>
      </c>
    </row>
    <row r="2880" spans="1:6" x14ac:dyDescent="0.25">
      <c r="A2880" s="1" t="s">
        <v>5770</v>
      </c>
      <c r="B2880" s="1" t="s">
        <v>5771</v>
      </c>
      <c r="C2880" s="3">
        <v>200</v>
      </c>
      <c r="D2880" s="3" t="str">
        <f ca="1">IF(B2880="","",IFERROR(_xludf.XLOOKUP(_xludf.XLOOKUP(B2880,Inventory!$A:$A,Inventory!$B:$B),Blades!$A:$A,Blades!$C:$C)+_xludf.XLOOKUP(_xludf.XLOOKUP(B2880,Inventory!$A:$A,Inventory!$C:$C),Motor!$A:$A,Motor!$C:$C)+_xludf.XLOOKUP(_xludf.XLOOKUP(B2880,Inventory!$A:$A,Inventory!$D:$D),Frame!$A:$A,Frame!$C:$C)+#REF!,""))</f>
        <v/>
      </c>
      <c r="E2880" s="4">
        <v>46161</v>
      </c>
      <c r="F2880" s="1" t="s">
        <v>20</v>
      </c>
    </row>
    <row r="2881" spans="1:6" x14ac:dyDescent="0.25">
      <c r="A2881" s="1" t="s">
        <v>5772</v>
      </c>
      <c r="B2881" s="1" t="s">
        <v>5773</v>
      </c>
      <c r="C2881" s="3">
        <v>200</v>
      </c>
      <c r="D2881" s="3" t="str">
        <f ca="1">IF(B2881="","",IFERROR(_xludf.XLOOKUP(_xludf.XLOOKUP(B2881,Inventory!$A:$A,Inventory!$B:$B),Blades!$A:$A,Blades!$C:$C)+_xludf.XLOOKUP(_xludf.XLOOKUP(B2881,Inventory!$A:$A,Inventory!$C:$C),Motor!$A:$A,Motor!$C:$C)+_xludf.XLOOKUP(_xludf.XLOOKUP(B2881,Inventory!$A:$A,Inventory!$D:$D),Frame!$A:$A,Frame!$C:$C)+#REF!,""))</f>
        <v/>
      </c>
      <c r="E2881" s="4">
        <v>46161</v>
      </c>
      <c r="F2881" s="1" t="s">
        <v>25</v>
      </c>
    </row>
    <row r="2882" spans="1:6" x14ac:dyDescent="0.25">
      <c r="A2882" s="1" t="s">
        <v>5774</v>
      </c>
      <c r="B2882" s="1" t="s">
        <v>5775</v>
      </c>
      <c r="C2882" s="3">
        <v>200</v>
      </c>
      <c r="D2882" s="3" t="str">
        <f ca="1">IF(B2882="","",IFERROR(_xludf.XLOOKUP(_xludf.XLOOKUP(B2882,Inventory!$A:$A,Inventory!$B:$B),Blades!$A:$A,Blades!$C:$C)+_xludf.XLOOKUP(_xludf.XLOOKUP(B2882,Inventory!$A:$A,Inventory!$C:$C),Motor!$A:$A,Motor!$C:$C)+_xludf.XLOOKUP(_xludf.XLOOKUP(B2882,Inventory!$A:$A,Inventory!$D:$D),Frame!$A:$A,Frame!$C:$C)+#REF!,""))</f>
        <v/>
      </c>
      <c r="E2882" s="4">
        <v>46162</v>
      </c>
      <c r="F2882" s="1" t="s">
        <v>20</v>
      </c>
    </row>
    <row r="2883" spans="1:6" x14ac:dyDescent="0.25">
      <c r="A2883" s="1" t="s">
        <v>5776</v>
      </c>
      <c r="B2883" s="1" t="s">
        <v>5777</v>
      </c>
      <c r="C2883" s="3">
        <v>200</v>
      </c>
      <c r="D2883" s="3" t="str">
        <f ca="1">IF(B2883="","",IFERROR(_xludf.XLOOKUP(_xludf.XLOOKUP(B2883,Inventory!$A:$A,Inventory!$B:$B),Blades!$A:$A,Blades!$C:$C)+_xludf.XLOOKUP(_xludf.XLOOKUP(B2883,Inventory!$A:$A,Inventory!$C:$C),Motor!$A:$A,Motor!$C:$C)+_xludf.XLOOKUP(_xludf.XLOOKUP(B2883,Inventory!$A:$A,Inventory!$D:$D),Frame!$A:$A,Frame!$C:$C)+#REF!,""))</f>
        <v/>
      </c>
      <c r="E2883" s="4">
        <v>46162</v>
      </c>
      <c r="F2883" s="1" t="s">
        <v>63</v>
      </c>
    </row>
    <row r="2884" spans="1:6" x14ac:dyDescent="0.25">
      <c r="A2884" s="1" t="s">
        <v>5778</v>
      </c>
      <c r="B2884" s="1" t="s">
        <v>5779</v>
      </c>
      <c r="C2884" s="3">
        <v>200</v>
      </c>
      <c r="D2884" s="3" t="str">
        <f ca="1">IF(B2884="","",IFERROR(_xludf.XLOOKUP(_xludf.XLOOKUP(B2884,Inventory!$A:$A,Inventory!$B:$B),Blades!$A:$A,Blades!$C:$C)+_xludf.XLOOKUP(_xludf.XLOOKUP(B2884,Inventory!$A:$A,Inventory!$C:$C),Motor!$A:$A,Motor!$C:$C)+_xludf.XLOOKUP(_xludf.XLOOKUP(B2884,Inventory!$A:$A,Inventory!$D:$D),Frame!$A:$A,Frame!$C:$C)+#REF!,""))</f>
        <v/>
      </c>
      <c r="E2884" s="4">
        <v>46165</v>
      </c>
      <c r="F2884" s="1" t="s">
        <v>32</v>
      </c>
    </row>
    <row r="2885" spans="1:6" x14ac:dyDescent="0.25">
      <c r="A2885" s="1" t="s">
        <v>5780</v>
      </c>
      <c r="B2885" s="1" t="s">
        <v>5781</v>
      </c>
      <c r="C2885" s="3">
        <v>200</v>
      </c>
      <c r="D2885" s="3" t="str">
        <f ca="1">IF(B2885="","",IFERROR(_xludf.XLOOKUP(_xludf.XLOOKUP(B2885,Inventory!$A:$A,Inventory!$B:$B),Blades!$A:$A,Blades!$C:$C)+_xludf.XLOOKUP(_xludf.XLOOKUP(B2885,Inventory!$A:$A,Inventory!$C:$C),Motor!$A:$A,Motor!$C:$C)+_xludf.XLOOKUP(_xludf.XLOOKUP(B2885,Inventory!$A:$A,Inventory!$D:$D),Frame!$A:$A,Frame!$C:$C)+#REF!,""))</f>
        <v/>
      </c>
      <c r="E2885" s="4">
        <v>46166</v>
      </c>
      <c r="F2885" s="1" t="s">
        <v>11</v>
      </c>
    </row>
    <row r="2886" spans="1:6" x14ac:dyDescent="0.25">
      <c r="A2886" s="1" t="s">
        <v>5782</v>
      </c>
      <c r="B2886" s="1" t="s">
        <v>5783</v>
      </c>
      <c r="C2886" s="3">
        <v>200</v>
      </c>
      <c r="D2886" s="3" t="str">
        <f ca="1">IF(B2886="","",IFERROR(_xludf.XLOOKUP(_xludf.XLOOKUP(B2886,Inventory!$A:$A,Inventory!$B:$B),Blades!$A:$A,Blades!$C:$C)+_xludf.XLOOKUP(_xludf.XLOOKUP(B2886,Inventory!$A:$A,Inventory!$C:$C),Motor!$A:$A,Motor!$C:$C)+_xludf.XLOOKUP(_xludf.XLOOKUP(B2886,Inventory!$A:$A,Inventory!$D:$D),Frame!$A:$A,Frame!$C:$C)+#REF!,""))</f>
        <v/>
      </c>
      <c r="E2886" s="4">
        <v>46166</v>
      </c>
      <c r="F2886" s="1" t="s">
        <v>8</v>
      </c>
    </row>
    <row r="2887" spans="1:6" x14ac:dyDescent="0.25">
      <c r="A2887" s="1" t="s">
        <v>5784</v>
      </c>
      <c r="B2887" s="1" t="s">
        <v>5785</v>
      </c>
      <c r="C2887" s="3">
        <v>200</v>
      </c>
      <c r="D2887" s="3" t="str">
        <f ca="1">IF(B2887="","",IFERROR(_xludf.XLOOKUP(_xludf.XLOOKUP(B2887,Inventory!$A:$A,Inventory!$B:$B),Blades!$A:$A,Blades!$C:$C)+_xludf.XLOOKUP(_xludf.XLOOKUP(B2887,Inventory!$A:$A,Inventory!$C:$C),Motor!$A:$A,Motor!$C:$C)+_xludf.XLOOKUP(_xludf.XLOOKUP(B2887,Inventory!$A:$A,Inventory!$D:$D),Frame!$A:$A,Frame!$C:$C)+#REF!,""))</f>
        <v/>
      </c>
      <c r="E2887" s="4">
        <v>46166</v>
      </c>
      <c r="F2887" s="1" t="s">
        <v>49</v>
      </c>
    </row>
    <row r="2888" spans="1:6" x14ac:dyDescent="0.25">
      <c r="A2888" s="1" t="s">
        <v>5786</v>
      </c>
      <c r="B2888" s="1" t="s">
        <v>5787</v>
      </c>
      <c r="C2888" s="3">
        <v>200</v>
      </c>
      <c r="D2888" s="3" t="str">
        <f ca="1">IF(B2888="","",IFERROR(_xludf.XLOOKUP(_xludf.XLOOKUP(B2888,Inventory!$A:$A,Inventory!$B:$B),Blades!$A:$A,Blades!$C:$C)+_xludf.XLOOKUP(_xludf.XLOOKUP(B2888,Inventory!$A:$A,Inventory!$C:$C),Motor!$A:$A,Motor!$C:$C)+_xludf.XLOOKUP(_xludf.XLOOKUP(B2888,Inventory!$A:$A,Inventory!$D:$D),Frame!$A:$A,Frame!$C:$C)+#REF!,""))</f>
        <v/>
      </c>
      <c r="E2888" s="4">
        <v>46167</v>
      </c>
      <c r="F2888" s="1" t="s">
        <v>63</v>
      </c>
    </row>
    <row r="2889" spans="1:6" x14ac:dyDescent="0.25">
      <c r="A2889" s="1" t="s">
        <v>5788</v>
      </c>
      <c r="B2889" s="1" t="s">
        <v>5789</v>
      </c>
      <c r="C2889" s="3">
        <v>200</v>
      </c>
      <c r="D2889" s="3" t="str">
        <f ca="1">IF(B2889="","",IFERROR(_xludf.XLOOKUP(_xludf.XLOOKUP(B2889,Inventory!$A:$A,Inventory!$B:$B),Blades!$A:$A,Blades!$C:$C)+_xludf.XLOOKUP(_xludf.XLOOKUP(B2889,Inventory!$A:$A,Inventory!$C:$C),Motor!$A:$A,Motor!$C:$C)+_xludf.XLOOKUP(_xludf.XLOOKUP(B2889,Inventory!$A:$A,Inventory!$D:$D),Frame!$A:$A,Frame!$C:$C)+#REF!,""))</f>
        <v/>
      </c>
      <c r="E2889" s="4">
        <v>46167</v>
      </c>
      <c r="F2889" s="1" t="s">
        <v>49</v>
      </c>
    </row>
    <row r="2890" spans="1:6" x14ac:dyDescent="0.25">
      <c r="A2890" s="1" t="s">
        <v>5790</v>
      </c>
      <c r="B2890" s="1" t="s">
        <v>5791</v>
      </c>
      <c r="C2890" s="3">
        <v>200</v>
      </c>
      <c r="D2890" s="3" t="str">
        <f ca="1">IF(B2890="","",IFERROR(_xludf.XLOOKUP(_xludf.XLOOKUP(B2890,Inventory!$A:$A,Inventory!$B:$B),Blades!$A:$A,Blades!$C:$C)+_xludf.XLOOKUP(_xludf.XLOOKUP(B2890,Inventory!$A:$A,Inventory!$C:$C),Motor!$A:$A,Motor!$C:$C)+_xludf.XLOOKUP(_xludf.XLOOKUP(B2890,Inventory!$A:$A,Inventory!$D:$D),Frame!$A:$A,Frame!$C:$C)+#REF!,""))</f>
        <v/>
      </c>
      <c r="E2890" s="4">
        <v>46167</v>
      </c>
      <c r="F2890" s="1" t="s">
        <v>63</v>
      </c>
    </row>
    <row r="2891" spans="1:6" x14ac:dyDescent="0.25">
      <c r="A2891" s="1" t="s">
        <v>5792</v>
      </c>
      <c r="B2891" s="1" t="s">
        <v>5793</v>
      </c>
      <c r="C2891" s="3">
        <v>200</v>
      </c>
      <c r="D2891" s="3" t="str">
        <f ca="1">IF(B2891="","",IFERROR(_xludf.XLOOKUP(_xludf.XLOOKUP(B2891,Inventory!$A:$A,Inventory!$B:$B),Blades!$A:$A,Blades!$C:$C)+_xludf.XLOOKUP(_xludf.XLOOKUP(B2891,Inventory!$A:$A,Inventory!$C:$C),Motor!$A:$A,Motor!$C:$C)+_xludf.XLOOKUP(_xludf.XLOOKUP(B2891,Inventory!$A:$A,Inventory!$D:$D),Frame!$A:$A,Frame!$C:$C)+#REF!,""))</f>
        <v/>
      </c>
      <c r="E2891" s="4">
        <v>46167</v>
      </c>
      <c r="F2891" s="1" t="s">
        <v>25</v>
      </c>
    </row>
    <row r="2892" spans="1:6" x14ac:dyDescent="0.25">
      <c r="A2892" s="1" t="s">
        <v>5794</v>
      </c>
      <c r="B2892" s="1" t="s">
        <v>5795</v>
      </c>
      <c r="C2892" s="3">
        <v>200</v>
      </c>
      <c r="D2892" s="3" t="str">
        <f ca="1">IF(B2892="","",IFERROR(_xludf.XLOOKUP(_xludf.XLOOKUP(B2892,Inventory!$A:$A,Inventory!$B:$B),Blades!$A:$A,Blades!$C:$C)+_xludf.XLOOKUP(_xludf.XLOOKUP(B2892,Inventory!$A:$A,Inventory!$C:$C),Motor!$A:$A,Motor!$C:$C)+_xludf.XLOOKUP(_xludf.XLOOKUP(B2892,Inventory!$A:$A,Inventory!$D:$D),Frame!$A:$A,Frame!$C:$C)+#REF!,""))</f>
        <v/>
      </c>
      <c r="E2892" s="4">
        <v>46169</v>
      </c>
      <c r="F2892" s="1" t="s">
        <v>63</v>
      </c>
    </row>
    <row r="2893" spans="1:6" x14ac:dyDescent="0.25">
      <c r="A2893" s="1" t="s">
        <v>5796</v>
      </c>
      <c r="B2893" s="1" t="s">
        <v>5797</v>
      </c>
      <c r="C2893" s="3">
        <v>200</v>
      </c>
      <c r="D2893" s="3" t="str">
        <f ca="1">IF(B2893="","",IFERROR(_xludf.XLOOKUP(_xludf.XLOOKUP(B2893,Inventory!$A:$A,Inventory!$B:$B),Blades!$A:$A,Blades!$C:$C)+_xludf.XLOOKUP(_xludf.XLOOKUP(B2893,Inventory!$A:$A,Inventory!$C:$C),Motor!$A:$A,Motor!$C:$C)+_xludf.XLOOKUP(_xludf.XLOOKUP(B2893,Inventory!$A:$A,Inventory!$D:$D),Frame!$A:$A,Frame!$C:$C)+#REF!,""))</f>
        <v/>
      </c>
      <c r="E2893" s="4">
        <v>46169</v>
      </c>
      <c r="F2893" s="1" t="s">
        <v>63</v>
      </c>
    </row>
    <row r="2894" spans="1:6" x14ac:dyDescent="0.25">
      <c r="A2894" s="1" t="s">
        <v>5798</v>
      </c>
      <c r="B2894" s="1" t="s">
        <v>5799</v>
      </c>
      <c r="C2894" s="3">
        <v>200</v>
      </c>
      <c r="D2894" s="3" t="str">
        <f ca="1">IF(B2894="","",IFERROR(_xludf.XLOOKUP(_xludf.XLOOKUP(B2894,Inventory!$A:$A,Inventory!$B:$B),Blades!$A:$A,Blades!$C:$C)+_xludf.XLOOKUP(_xludf.XLOOKUP(B2894,Inventory!$A:$A,Inventory!$C:$C),Motor!$A:$A,Motor!$C:$C)+_xludf.XLOOKUP(_xludf.XLOOKUP(B2894,Inventory!$A:$A,Inventory!$D:$D),Frame!$A:$A,Frame!$C:$C)+#REF!,""))</f>
        <v/>
      </c>
      <c r="E2894" s="4">
        <v>46170</v>
      </c>
      <c r="F2894" s="1" t="s">
        <v>52</v>
      </c>
    </row>
    <row r="2895" spans="1:6" x14ac:dyDescent="0.25">
      <c r="A2895" s="1" t="s">
        <v>5800</v>
      </c>
      <c r="B2895" s="1" t="s">
        <v>5801</v>
      </c>
      <c r="C2895" s="3">
        <v>200</v>
      </c>
      <c r="D2895" s="3" t="str">
        <f ca="1">IF(B2895="","",IFERROR(_xludf.XLOOKUP(_xludf.XLOOKUP(B2895,Inventory!$A:$A,Inventory!$B:$B),Blades!$A:$A,Blades!$C:$C)+_xludf.XLOOKUP(_xludf.XLOOKUP(B2895,Inventory!$A:$A,Inventory!$C:$C),Motor!$A:$A,Motor!$C:$C)+_xludf.XLOOKUP(_xludf.XLOOKUP(B2895,Inventory!$A:$A,Inventory!$D:$D),Frame!$A:$A,Frame!$C:$C)+#REF!,""))</f>
        <v/>
      </c>
      <c r="E2895" s="4">
        <v>46170</v>
      </c>
      <c r="F2895" s="1" t="s">
        <v>8</v>
      </c>
    </row>
    <row r="2896" spans="1:6" x14ac:dyDescent="0.25">
      <c r="A2896" s="1" t="s">
        <v>5802</v>
      </c>
      <c r="B2896" s="1" t="s">
        <v>5803</v>
      </c>
      <c r="C2896" s="3">
        <v>200</v>
      </c>
      <c r="D2896" s="3" t="str">
        <f ca="1">IF(B2896="","",IFERROR(_xludf.XLOOKUP(_xludf.XLOOKUP(B2896,Inventory!$A:$A,Inventory!$B:$B),Blades!$A:$A,Blades!$C:$C)+_xludf.XLOOKUP(_xludf.XLOOKUP(B2896,Inventory!$A:$A,Inventory!$C:$C),Motor!$A:$A,Motor!$C:$C)+_xludf.XLOOKUP(_xludf.XLOOKUP(B2896,Inventory!$A:$A,Inventory!$D:$D),Frame!$A:$A,Frame!$C:$C)+#REF!,""))</f>
        <v/>
      </c>
      <c r="E2896" s="4">
        <v>46171</v>
      </c>
      <c r="F2896" s="1" t="s">
        <v>49</v>
      </c>
    </row>
    <row r="2897" spans="1:6" x14ac:dyDescent="0.25">
      <c r="A2897" s="1" t="s">
        <v>5804</v>
      </c>
      <c r="B2897" s="1" t="s">
        <v>5805</v>
      </c>
      <c r="C2897" s="3">
        <v>200</v>
      </c>
      <c r="D2897" s="3" t="str">
        <f ca="1">IF(B2897="","",IFERROR(_xludf.XLOOKUP(_xludf.XLOOKUP(B2897,Inventory!$A:$A,Inventory!$B:$B),Blades!$A:$A,Blades!$C:$C)+_xludf.XLOOKUP(_xludf.XLOOKUP(B2897,Inventory!$A:$A,Inventory!$C:$C),Motor!$A:$A,Motor!$C:$C)+_xludf.XLOOKUP(_xludf.XLOOKUP(B2897,Inventory!$A:$A,Inventory!$D:$D),Frame!$A:$A,Frame!$C:$C)+#REF!,""))</f>
        <v/>
      </c>
      <c r="E2897" s="4">
        <v>46171</v>
      </c>
      <c r="F2897" s="1" t="s">
        <v>63</v>
      </c>
    </row>
    <row r="2898" spans="1:6" x14ac:dyDescent="0.25">
      <c r="A2898" s="1" t="s">
        <v>5806</v>
      </c>
      <c r="B2898" s="1" t="s">
        <v>5807</v>
      </c>
      <c r="C2898" s="3">
        <v>200</v>
      </c>
      <c r="D2898" s="3" t="str">
        <f ca="1">IF(B2898="","",IFERROR(_xludf.XLOOKUP(_xludf.XLOOKUP(B2898,Inventory!$A:$A,Inventory!$B:$B),Blades!$A:$A,Blades!$C:$C)+_xludf.XLOOKUP(_xludf.XLOOKUP(B2898,Inventory!$A:$A,Inventory!$C:$C),Motor!$A:$A,Motor!$C:$C)+_xludf.XLOOKUP(_xludf.XLOOKUP(B2898,Inventory!$A:$A,Inventory!$D:$D),Frame!$A:$A,Frame!$C:$C)+#REF!,""))</f>
        <v/>
      </c>
      <c r="E2898" s="4">
        <v>46172</v>
      </c>
      <c r="F2898" s="1" t="s">
        <v>11</v>
      </c>
    </row>
    <row r="2899" spans="1:6" x14ac:dyDescent="0.25">
      <c r="A2899" s="1" t="s">
        <v>5808</v>
      </c>
      <c r="B2899" s="1" t="s">
        <v>5809</v>
      </c>
      <c r="C2899" s="3">
        <v>200</v>
      </c>
      <c r="D2899" s="3" t="str">
        <f ca="1">IF(B2899="","",IFERROR(_xludf.XLOOKUP(_xludf.XLOOKUP(B2899,Inventory!$A:$A,Inventory!$B:$B),Blades!$A:$A,Blades!$C:$C)+_xludf.XLOOKUP(_xludf.XLOOKUP(B2899,Inventory!$A:$A,Inventory!$C:$C),Motor!$A:$A,Motor!$C:$C)+_xludf.XLOOKUP(_xludf.XLOOKUP(B2899,Inventory!$A:$A,Inventory!$D:$D),Frame!$A:$A,Frame!$C:$C)+#REF!,""))</f>
        <v/>
      </c>
      <c r="E2899" s="4">
        <v>46172</v>
      </c>
      <c r="F2899" s="1" t="s">
        <v>20</v>
      </c>
    </row>
    <row r="2900" spans="1:6" x14ac:dyDescent="0.25">
      <c r="A2900" s="1" t="s">
        <v>5810</v>
      </c>
      <c r="B2900" s="1" t="s">
        <v>5811</v>
      </c>
      <c r="C2900" s="3">
        <v>200</v>
      </c>
      <c r="D2900" s="3" t="str">
        <f ca="1">IF(B2900="","",IFERROR(_xludf.XLOOKUP(_xludf.XLOOKUP(B2900,Inventory!$A:$A,Inventory!$B:$B),Blades!$A:$A,Blades!$C:$C)+_xludf.XLOOKUP(_xludf.XLOOKUP(B2900,Inventory!$A:$A,Inventory!$C:$C),Motor!$A:$A,Motor!$C:$C)+_xludf.XLOOKUP(_xludf.XLOOKUP(B2900,Inventory!$A:$A,Inventory!$D:$D),Frame!$A:$A,Frame!$C:$C)+#REF!,""))</f>
        <v/>
      </c>
      <c r="E2900" s="4">
        <v>46174</v>
      </c>
      <c r="F2900" s="1" t="s">
        <v>25</v>
      </c>
    </row>
    <row r="2901" spans="1:6" x14ac:dyDescent="0.25">
      <c r="A2901" s="1" t="s">
        <v>5812</v>
      </c>
      <c r="B2901" s="1" t="s">
        <v>5813</v>
      </c>
      <c r="C2901" s="3">
        <v>200</v>
      </c>
      <c r="D2901" s="3" t="str">
        <f ca="1">IF(B2901="","",IFERROR(_xludf.XLOOKUP(_xludf.XLOOKUP(B2901,Inventory!$A:$A,Inventory!$B:$B),Blades!$A:$A,Blades!$C:$C)+_xludf.XLOOKUP(_xludf.XLOOKUP(B2901,Inventory!$A:$A,Inventory!$C:$C),Motor!$A:$A,Motor!$C:$C)+_xludf.XLOOKUP(_xludf.XLOOKUP(B2901,Inventory!$A:$A,Inventory!$D:$D),Frame!$A:$A,Frame!$C:$C)+#REF!,""))</f>
        <v/>
      </c>
      <c r="E2901" s="4">
        <v>46176</v>
      </c>
      <c r="F2901" s="1" t="s">
        <v>8</v>
      </c>
    </row>
    <row r="2902" spans="1:6" x14ac:dyDescent="0.25">
      <c r="A2902" s="1" t="s">
        <v>5814</v>
      </c>
      <c r="B2902" s="1" t="s">
        <v>5815</v>
      </c>
      <c r="C2902" s="3">
        <v>200</v>
      </c>
      <c r="D2902" s="3" t="str">
        <f ca="1">IF(B2902="","",IFERROR(_xludf.XLOOKUP(_xludf.XLOOKUP(B2902,Inventory!$A:$A,Inventory!$B:$B),Blades!$A:$A,Blades!$C:$C)+_xludf.XLOOKUP(_xludf.XLOOKUP(B2902,Inventory!$A:$A,Inventory!$C:$C),Motor!$A:$A,Motor!$C:$C)+_xludf.XLOOKUP(_xludf.XLOOKUP(B2902,Inventory!$A:$A,Inventory!$D:$D),Frame!$A:$A,Frame!$C:$C)+#REF!,""))</f>
        <v/>
      </c>
      <c r="E2902" s="4">
        <v>46176</v>
      </c>
      <c r="F2902" s="1" t="s">
        <v>52</v>
      </c>
    </row>
    <row r="2903" spans="1:6" x14ac:dyDescent="0.25">
      <c r="A2903" s="1" t="s">
        <v>5816</v>
      </c>
      <c r="B2903" s="1" t="s">
        <v>5817</v>
      </c>
      <c r="C2903" s="3">
        <v>200</v>
      </c>
      <c r="D2903" s="3" t="str">
        <f ca="1">IF(B2903="","",IFERROR(_xludf.XLOOKUP(_xludf.XLOOKUP(B2903,Inventory!$A:$A,Inventory!$B:$B),Blades!$A:$A,Blades!$C:$C)+_xludf.XLOOKUP(_xludf.XLOOKUP(B2903,Inventory!$A:$A,Inventory!$C:$C),Motor!$A:$A,Motor!$C:$C)+_xludf.XLOOKUP(_xludf.XLOOKUP(B2903,Inventory!$A:$A,Inventory!$D:$D),Frame!$A:$A,Frame!$C:$C)+#REF!,""))</f>
        <v/>
      </c>
      <c r="E2903" s="4">
        <v>46176</v>
      </c>
      <c r="F2903" s="1" t="s">
        <v>32</v>
      </c>
    </row>
    <row r="2904" spans="1:6" x14ac:dyDescent="0.25">
      <c r="A2904" s="1" t="s">
        <v>5818</v>
      </c>
      <c r="B2904" s="1" t="s">
        <v>5819</v>
      </c>
      <c r="C2904" s="3">
        <v>200</v>
      </c>
      <c r="D2904" s="3" t="str">
        <f ca="1">IF(B2904="","",IFERROR(_xludf.XLOOKUP(_xludf.XLOOKUP(B2904,Inventory!$A:$A,Inventory!$B:$B),Blades!$A:$A,Blades!$C:$C)+_xludf.XLOOKUP(_xludf.XLOOKUP(B2904,Inventory!$A:$A,Inventory!$C:$C),Motor!$A:$A,Motor!$C:$C)+_xludf.XLOOKUP(_xludf.XLOOKUP(B2904,Inventory!$A:$A,Inventory!$D:$D),Frame!$A:$A,Frame!$C:$C)+#REF!,""))</f>
        <v/>
      </c>
      <c r="E2904" s="4">
        <v>46176</v>
      </c>
      <c r="F2904" s="1" t="s">
        <v>11</v>
      </c>
    </row>
    <row r="2905" spans="1:6" x14ac:dyDescent="0.25">
      <c r="A2905" s="1" t="s">
        <v>5820</v>
      </c>
      <c r="B2905" s="1" t="s">
        <v>5821</v>
      </c>
      <c r="C2905" s="3">
        <v>200</v>
      </c>
      <c r="D2905" s="3" t="str">
        <f ca="1">IF(B2905="","",IFERROR(_xludf.XLOOKUP(_xludf.XLOOKUP(B2905,Inventory!$A:$A,Inventory!$B:$B),Blades!$A:$A,Blades!$C:$C)+_xludf.XLOOKUP(_xludf.XLOOKUP(B2905,Inventory!$A:$A,Inventory!$C:$C),Motor!$A:$A,Motor!$C:$C)+_xludf.XLOOKUP(_xludf.XLOOKUP(B2905,Inventory!$A:$A,Inventory!$D:$D),Frame!$A:$A,Frame!$C:$C)+#REF!,""))</f>
        <v/>
      </c>
      <c r="E2905" s="4">
        <v>46177</v>
      </c>
      <c r="F2905" s="1" t="s">
        <v>32</v>
      </c>
    </row>
    <row r="2906" spans="1:6" x14ac:dyDescent="0.25">
      <c r="A2906" s="1" t="s">
        <v>5822</v>
      </c>
      <c r="B2906" s="1" t="s">
        <v>5823</v>
      </c>
      <c r="C2906" s="3">
        <v>200</v>
      </c>
      <c r="D2906" s="3" t="str">
        <f ca="1">IF(B2906="","",IFERROR(_xludf.XLOOKUP(_xludf.XLOOKUP(B2906,Inventory!$A:$A,Inventory!$B:$B),Blades!$A:$A,Blades!$C:$C)+_xludf.XLOOKUP(_xludf.XLOOKUP(B2906,Inventory!$A:$A,Inventory!$C:$C),Motor!$A:$A,Motor!$C:$C)+_xludf.XLOOKUP(_xludf.XLOOKUP(B2906,Inventory!$A:$A,Inventory!$D:$D),Frame!$A:$A,Frame!$C:$C)+#REF!,""))</f>
        <v/>
      </c>
      <c r="E2906" s="4">
        <v>46178</v>
      </c>
      <c r="F2906" s="1" t="s">
        <v>32</v>
      </c>
    </row>
    <row r="2907" spans="1:6" x14ac:dyDescent="0.25">
      <c r="A2907" s="1" t="s">
        <v>5824</v>
      </c>
      <c r="B2907" s="1" t="s">
        <v>5825</v>
      </c>
      <c r="C2907" s="3">
        <v>200</v>
      </c>
      <c r="D2907" s="3" t="str">
        <f ca="1">IF(B2907="","",IFERROR(_xludf.XLOOKUP(_xludf.XLOOKUP(B2907,Inventory!$A:$A,Inventory!$B:$B),Blades!$A:$A,Blades!$C:$C)+_xludf.XLOOKUP(_xludf.XLOOKUP(B2907,Inventory!$A:$A,Inventory!$C:$C),Motor!$A:$A,Motor!$C:$C)+_xludf.XLOOKUP(_xludf.XLOOKUP(B2907,Inventory!$A:$A,Inventory!$D:$D),Frame!$A:$A,Frame!$C:$C)+#REF!,""))</f>
        <v/>
      </c>
      <c r="E2907" s="4">
        <v>46178</v>
      </c>
      <c r="F2907" s="1" t="s">
        <v>32</v>
      </c>
    </row>
    <row r="2908" spans="1:6" x14ac:dyDescent="0.25">
      <c r="A2908" s="1" t="s">
        <v>5826</v>
      </c>
      <c r="B2908" s="1" t="s">
        <v>5827</v>
      </c>
      <c r="C2908" s="3">
        <v>200</v>
      </c>
      <c r="D2908" s="3" t="str">
        <f ca="1">IF(B2908="","",IFERROR(_xludf.XLOOKUP(_xludf.XLOOKUP(B2908,Inventory!$A:$A,Inventory!$B:$B),Blades!$A:$A,Blades!$C:$C)+_xludf.XLOOKUP(_xludf.XLOOKUP(B2908,Inventory!$A:$A,Inventory!$C:$C),Motor!$A:$A,Motor!$C:$C)+_xludf.XLOOKUP(_xludf.XLOOKUP(B2908,Inventory!$A:$A,Inventory!$D:$D),Frame!$A:$A,Frame!$C:$C)+#REF!,""))</f>
        <v/>
      </c>
      <c r="E2908" s="4">
        <v>46179</v>
      </c>
      <c r="F2908" s="1" t="s">
        <v>49</v>
      </c>
    </row>
    <row r="2909" spans="1:6" x14ac:dyDescent="0.25">
      <c r="A2909" s="1" t="s">
        <v>5828</v>
      </c>
      <c r="B2909" s="1" t="s">
        <v>5829</v>
      </c>
      <c r="C2909" s="3">
        <v>200</v>
      </c>
      <c r="D2909" s="3" t="str">
        <f ca="1">IF(B2909="","",IFERROR(_xludf.XLOOKUP(_xludf.XLOOKUP(B2909,Inventory!$A:$A,Inventory!$B:$B),Blades!$A:$A,Blades!$C:$C)+_xludf.XLOOKUP(_xludf.XLOOKUP(B2909,Inventory!$A:$A,Inventory!$C:$C),Motor!$A:$A,Motor!$C:$C)+_xludf.XLOOKUP(_xludf.XLOOKUP(B2909,Inventory!$A:$A,Inventory!$D:$D),Frame!$A:$A,Frame!$C:$C)+#REF!,""))</f>
        <v/>
      </c>
      <c r="E2909" s="4">
        <v>46180</v>
      </c>
      <c r="F2909" s="1" t="s">
        <v>63</v>
      </c>
    </row>
    <row r="2910" spans="1:6" x14ac:dyDescent="0.25">
      <c r="A2910" s="1" t="s">
        <v>5830</v>
      </c>
      <c r="B2910" s="1" t="s">
        <v>5831</v>
      </c>
      <c r="C2910" s="3">
        <v>200</v>
      </c>
      <c r="D2910" s="3" t="str">
        <f ca="1">IF(B2910="","",IFERROR(_xludf.XLOOKUP(_xludf.XLOOKUP(B2910,Inventory!$A:$A,Inventory!$B:$B),Blades!$A:$A,Blades!$C:$C)+_xludf.XLOOKUP(_xludf.XLOOKUP(B2910,Inventory!$A:$A,Inventory!$C:$C),Motor!$A:$A,Motor!$C:$C)+_xludf.XLOOKUP(_xludf.XLOOKUP(B2910,Inventory!$A:$A,Inventory!$D:$D),Frame!$A:$A,Frame!$C:$C)+#REF!,""))</f>
        <v/>
      </c>
      <c r="E2910" s="4">
        <v>46180</v>
      </c>
      <c r="F2910" s="1" t="s">
        <v>25</v>
      </c>
    </row>
    <row r="2911" spans="1:6" x14ac:dyDescent="0.25">
      <c r="A2911" s="1" t="s">
        <v>5832</v>
      </c>
      <c r="B2911" s="1" t="s">
        <v>5833</v>
      </c>
      <c r="C2911" s="3">
        <v>200</v>
      </c>
      <c r="D2911" s="3" t="str">
        <f ca="1">IF(B2911="","",IFERROR(_xludf.XLOOKUP(_xludf.XLOOKUP(B2911,Inventory!$A:$A,Inventory!$B:$B),Blades!$A:$A,Blades!$C:$C)+_xludf.XLOOKUP(_xludf.XLOOKUP(B2911,Inventory!$A:$A,Inventory!$C:$C),Motor!$A:$A,Motor!$C:$C)+_xludf.XLOOKUP(_xludf.XLOOKUP(B2911,Inventory!$A:$A,Inventory!$D:$D),Frame!$A:$A,Frame!$C:$C)+#REF!,""))</f>
        <v/>
      </c>
      <c r="E2911" s="4">
        <v>46180</v>
      </c>
      <c r="F2911" s="1" t="s">
        <v>32</v>
      </c>
    </row>
    <row r="2912" spans="1:6" x14ac:dyDescent="0.25">
      <c r="A2912" s="1" t="s">
        <v>5834</v>
      </c>
      <c r="B2912" s="1" t="s">
        <v>5835</v>
      </c>
      <c r="C2912" s="3">
        <v>200</v>
      </c>
      <c r="D2912" s="3" t="str">
        <f ca="1">IF(B2912="","",IFERROR(_xludf.XLOOKUP(_xludf.XLOOKUP(B2912,Inventory!$A:$A,Inventory!$B:$B),Blades!$A:$A,Blades!$C:$C)+_xludf.XLOOKUP(_xludf.XLOOKUP(B2912,Inventory!$A:$A,Inventory!$C:$C),Motor!$A:$A,Motor!$C:$C)+_xludf.XLOOKUP(_xludf.XLOOKUP(B2912,Inventory!$A:$A,Inventory!$D:$D),Frame!$A:$A,Frame!$C:$C)+#REF!,""))</f>
        <v/>
      </c>
      <c r="E2912" s="4">
        <v>46182</v>
      </c>
      <c r="F2912" s="1" t="s">
        <v>63</v>
      </c>
    </row>
    <row r="2913" spans="1:6" x14ac:dyDescent="0.25">
      <c r="A2913" s="1" t="s">
        <v>5836</v>
      </c>
      <c r="B2913" s="1" t="s">
        <v>5837</v>
      </c>
      <c r="C2913" s="3">
        <v>200</v>
      </c>
      <c r="D2913" s="3" t="str">
        <f ca="1">IF(B2913="","",IFERROR(_xludf.XLOOKUP(_xludf.XLOOKUP(B2913,Inventory!$A:$A,Inventory!$B:$B),Blades!$A:$A,Blades!$C:$C)+_xludf.XLOOKUP(_xludf.XLOOKUP(B2913,Inventory!$A:$A,Inventory!$C:$C),Motor!$A:$A,Motor!$C:$C)+_xludf.XLOOKUP(_xludf.XLOOKUP(B2913,Inventory!$A:$A,Inventory!$D:$D),Frame!$A:$A,Frame!$C:$C)+#REF!,""))</f>
        <v/>
      </c>
      <c r="E2913" s="4">
        <v>46183</v>
      </c>
      <c r="F2913" s="1" t="s">
        <v>63</v>
      </c>
    </row>
    <row r="2914" spans="1:6" x14ac:dyDescent="0.25">
      <c r="A2914" s="1" t="s">
        <v>5838</v>
      </c>
      <c r="B2914" s="1" t="s">
        <v>5839</v>
      </c>
      <c r="C2914" s="3">
        <v>200</v>
      </c>
      <c r="D2914" s="3" t="str">
        <f ca="1">IF(B2914="","",IFERROR(_xludf.XLOOKUP(_xludf.XLOOKUP(B2914,Inventory!$A:$A,Inventory!$B:$B),Blades!$A:$A,Blades!$C:$C)+_xludf.XLOOKUP(_xludf.XLOOKUP(B2914,Inventory!$A:$A,Inventory!$C:$C),Motor!$A:$A,Motor!$C:$C)+_xludf.XLOOKUP(_xludf.XLOOKUP(B2914,Inventory!$A:$A,Inventory!$D:$D),Frame!$A:$A,Frame!$C:$C)+#REF!,""))</f>
        <v/>
      </c>
      <c r="E2914" s="4">
        <v>46183</v>
      </c>
      <c r="F2914" s="1" t="s">
        <v>32</v>
      </c>
    </row>
    <row r="2915" spans="1:6" x14ac:dyDescent="0.25">
      <c r="A2915" s="1" t="s">
        <v>5840</v>
      </c>
      <c r="B2915" s="1" t="s">
        <v>5841</v>
      </c>
      <c r="C2915" s="3">
        <v>200</v>
      </c>
      <c r="D2915" s="3" t="str">
        <f ca="1">IF(B2915="","",IFERROR(_xludf.XLOOKUP(_xludf.XLOOKUP(B2915,Inventory!$A:$A,Inventory!$B:$B),Blades!$A:$A,Blades!$C:$C)+_xludf.XLOOKUP(_xludf.XLOOKUP(B2915,Inventory!$A:$A,Inventory!$C:$C),Motor!$A:$A,Motor!$C:$C)+_xludf.XLOOKUP(_xludf.XLOOKUP(B2915,Inventory!$A:$A,Inventory!$D:$D),Frame!$A:$A,Frame!$C:$C)+#REF!,""))</f>
        <v/>
      </c>
      <c r="E2915" s="4">
        <v>46183</v>
      </c>
      <c r="F2915" s="1" t="s">
        <v>52</v>
      </c>
    </row>
    <row r="2916" spans="1:6" x14ac:dyDescent="0.25">
      <c r="A2916" s="1" t="s">
        <v>5842</v>
      </c>
      <c r="B2916" s="1" t="s">
        <v>5843</v>
      </c>
      <c r="C2916" s="3">
        <v>200</v>
      </c>
      <c r="D2916" s="3" t="str">
        <f ca="1">IF(B2916="","",IFERROR(_xludf.XLOOKUP(_xludf.XLOOKUP(B2916,Inventory!$A:$A,Inventory!$B:$B),Blades!$A:$A,Blades!$C:$C)+_xludf.XLOOKUP(_xludf.XLOOKUP(B2916,Inventory!$A:$A,Inventory!$C:$C),Motor!$A:$A,Motor!$C:$C)+_xludf.XLOOKUP(_xludf.XLOOKUP(B2916,Inventory!$A:$A,Inventory!$D:$D),Frame!$A:$A,Frame!$C:$C)+#REF!,""))</f>
        <v/>
      </c>
      <c r="E2916" s="4">
        <v>46184</v>
      </c>
      <c r="F2916" s="1" t="s">
        <v>32</v>
      </c>
    </row>
    <row r="2917" spans="1:6" x14ac:dyDescent="0.25">
      <c r="A2917" s="1" t="s">
        <v>5844</v>
      </c>
      <c r="B2917" s="1" t="s">
        <v>5845</v>
      </c>
      <c r="C2917" s="3">
        <v>200</v>
      </c>
      <c r="D2917" s="3" t="str">
        <f ca="1">IF(B2917="","",IFERROR(_xludf.XLOOKUP(_xludf.XLOOKUP(B2917,Inventory!$A:$A,Inventory!$B:$B),Blades!$A:$A,Blades!$C:$C)+_xludf.XLOOKUP(_xludf.XLOOKUP(B2917,Inventory!$A:$A,Inventory!$C:$C),Motor!$A:$A,Motor!$C:$C)+_xludf.XLOOKUP(_xludf.XLOOKUP(B2917,Inventory!$A:$A,Inventory!$D:$D),Frame!$A:$A,Frame!$C:$C)+#REF!,""))</f>
        <v/>
      </c>
      <c r="E2917" s="4">
        <v>46184</v>
      </c>
      <c r="F2917" s="1" t="s">
        <v>63</v>
      </c>
    </row>
    <row r="2918" spans="1:6" x14ac:dyDescent="0.25">
      <c r="A2918" s="1" t="s">
        <v>5846</v>
      </c>
      <c r="B2918" s="1" t="s">
        <v>5847</v>
      </c>
      <c r="C2918" s="3">
        <v>200</v>
      </c>
      <c r="D2918" s="3" t="str">
        <f ca="1">IF(B2918="","",IFERROR(_xludf.XLOOKUP(_xludf.XLOOKUP(B2918,Inventory!$A:$A,Inventory!$B:$B),Blades!$A:$A,Blades!$C:$C)+_xludf.XLOOKUP(_xludf.XLOOKUP(B2918,Inventory!$A:$A,Inventory!$C:$C),Motor!$A:$A,Motor!$C:$C)+_xludf.XLOOKUP(_xludf.XLOOKUP(B2918,Inventory!$A:$A,Inventory!$D:$D),Frame!$A:$A,Frame!$C:$C)+#REF!,""))</f>
        <v/>
      </c>
      <c r="E2918" s="4">
        <v>46185</v>
      </c>
      <c r="F2918" s="1" t="s">
        <v>52</v>
      </c>
    </row>
    <row r="2919" spans="1:6" x14ac:dyDescent="0.25">
      <c r="A2919" s="1" t="s">
        <v>5848</v>
      </c>
      <c r="B2919" s="1" t="s">
        <v>5849</v>
      </c>
      <c r="C2919" s="3">
        <v>200</v>
      </c>
      <c r="D2919" s="3" t="str">
        <f ca="1">IF(B2919="","",IFERROR(_xludf.XLOOKUP(_xludf.XLOOKUP(B2919,Inventory!$A:$A,Inventory!$B:$B),Blades!$A:$A,Blades!$C:$C)+_xludf.XLOOKUP(_xludf.XLOOKUP(B2919,Inventory!$A:$A,Inventory!$C:$C),Motor!$A:$A,Motor!$C:$C)+_xludf.XLOOKUP(_xludf.XLOOKUP(B2919,Inventory!$A:$A,Inventory!$D:$D),Frame!$A:$A,Frame!$C:$C)+#REF!,""))</f>
        <v/>
      </c>
      <c r="E2919" s="4">
        <v>46185</v>
      </c>
      <c r="F2919" s="1" t="s">
        <v>52</v>
      </c>
    </row>
    <row r="2920" spans="1:6" x14ac:dyDescent="0.25">
      <c r="A2920" s="1" t="s">
        <v>5850</v>
      </c>
      <c r="B2920" s="1" t="s">
        <v>5851</v>
      </c>
      <c r="C2920" s="3">
        <v>200</v>
      </c>
      <c r="D2920" s="3" t="str">
        <f ca="1">IF(B2920="","",IFERROR(_xludf.XLOOKUP(_xludf.XLOOKUP(B2920,Inventory!$A:$A,Inventory!$B:$B),Blades!$A:$A,Blades!$C:$C)+_xludf.XLOOKUP(_xludf.XLOOKUP(B2920,Inventory!$A:$A,Inventory!$C:$C),Motor!$A:$A,Motor!$C:$C)+_xludf.XLOOKUP(_xludf.XLOOKUP(B2920,Inventory!$A:$A,Inventory!$D:$D),Frame!$A:$A,Frame!$C:$C)+#REF!,""))</f>
        <v/>
      </c>
      <c r="E2920" s="4">
        <v>46185</v>
      </c>
      <c r="F2920" s="1" t="s">
        <v>11</v>
      </c>
    </row>
    <row r="2921" spans="1:6" x14ac:dyDescent="0.25">
      <c r="A2921" s="1" t="s">
        <v>5852</v>
      </c>
      <c r="B2921" s="1" t="s">
        <v>5853</v>
      </c>
      <c r="C2921" s="3">
        <v>200</v>
      </c>
      <c r="D2921" s="3" t="str">
        <f ca="1">IF(B2921="","",IFERROR(_xludf.XLOOKUP(_xludf.XLOOKUP(B2921,Inventory!$A:$A,Inventory!$B:$B),Blades!$A:$A,Blades!$C:$C)+_xludf.XLOOKUP(_xludf.XLOOKUP(B2921,Inventory!$A:$A,Inventory!$C:$C),Motor!$A:$A,Motor!$C:$C)+_xludf.XLOOKUP(_xludf.XLOOKUP(B2921,Inventory!$A:$A,Inventory!$D:$D),Frame!$A:$A,Frame!$C:$C)+#REF!,""))</f>
        <v/>
      </c>
      <c r="E2921" s="4">
        <v>46185</v>
      </c>
      <c r="F2921" s="1" t="s">
        <v>8</v>
      </c>
    </row>
    <row r="2922" spans="1:6" x14ac:dyDescent="0.25">
      <c r="A2922" s="1" t="s">
        <v>5854</v>
      </c>
      <c r="B2922" s="1" t="s">
        <v>5855</v>
      </c>
      <c r="C2922" s="3">
        <v>200</v>
      </c>
      <c r="D2922" s="3" t="str">
        <f ca="1">IF(B2922="","",IFERROR(_xludf.XLOOKUP(_xludf.XLOOKUP(B2922,Inventory!$A:$A,Inventory!$B:$B),Blades!$A:$A,Blades!$C:$C)+_xludf.XLOOKUP(_xludf.XLOOKUP(B2922,Inventory!$A:$A,Inventory!$C:$C),Motor!$A:$A,Motor!$C:$C)+_xludf.XLOOKUP(_xludf.XLOOKUP(B2922,Inventory!$A:$A,Inventory!$D:$D),Frame!$A:$A,Frame!$C:$C)+#REF!,""))</f>
        <v/>
      </c>
      <c r="E2922" s="4">
        <v>46186</v>
      </c>
      <c r="F2922" s="1" t="s">
        <v>49</v>
      </c>
    </row>
    <row r="2923" spans="1:6" x14ac:dyDescent="0.25">
      <c r="A2923" s="1" t="s">
        <v>5856</v>
      </c>
      <c r="B2923" s="1" t="s">
        <v>5857</v>
      </c>
      <c r="C2923" s="3">
        <v>200</v>
      </c>
      <c r="D2923" s="3" t="str">
        <f ca="1">IF(B2923="","",IFERROR(_xludf.XLOOKUP(_xludf.XLOOKUP(B2923,Inventory!$A:$A,Inventory!$B:$B),Blades!$A:$A,Blades!$C:$C)+_xludf.XLOOKUP(_xludf.XLOOKUP(B2923,Inventory!$A:$A,Inventory!$C:$C),Motor!$A:$A,Motor!$C:$C)+_xludf.XLOOKUP(_xludf.XLOOKUP(B2923,Inventory!$A:$A,Inventory!$D:$D),Frame!$A:$A,Frame!$C:$C)+#REF!,""))</f>
        <v/>
      </c>
      <c r="E2923" s="4">
        <v>46186</v>
      </c>
      <c r="F2923" s="1" t="s">
        <v>20</v>
      </c>
    </row>
    <row r="2924" spans="1:6" x14ac:dyDescent="0.25">
      <c r="A2924" s="1" t="s">
        <v>5858</v>
      </c>
      <c r="B2924" s="1" t="s">
        <v>5859</v>
      </c>
      <c r="C2924" s="3">
        <v>200</v>
      </c>
      <c r="D2924" s="3" t="str">
        <f ca="1">IF(B2924="","",IFERROR(_xludf.XLOOKUP(_xludf.XLOOKUP(B2924,Inventory!$A:$A,Inventory!$B:$B),Blades!$A:$A,Blades!$C:$C)+_xludf.XLOOKUP(_xludf.XLOOKUP(B2924,Inventory!$A:$A,Inventory!$C:$C),Motor!$A:$A,Motor!$C:$C)+_xludf.XLOOKUP(_xludf.XLOOKUP(B2924,Inventory!$A:$A,Inventory!$D:$D),Frame!$A:$A,Frame!$C:$C)+#REF!,""))</f>
        <v/>
      </c>
      <c r="E2924" s="4">
        <v>46186</v>
      </c>
      <c r="F2924" s="1" t="s">
        <v>63</v>
      </c>
    </row>
    <row r="2925" spans="1:6" x14ac:dyDescent="0.25">
      <c r="A2925" s="1" t="s">
        <v>5860</v>
      </c>
      <c r="B2925" s="1" t="s">
        <v>5861</v>
      </c>
      <c r="C2925" s="3">
        <v>200</v>
      </c>
      <c r="D2925" s="3" t="str">
        <f ca="1">IF(B2925="","",IFERROR(_xludf.XLOOKUP(_xludf.XLOOKUP(B2925,Inventory!$A:$A,Inventory!$B:$B),Blades!$A:$A,Blades!$C:$C)+_xludf.XLOOKUP(_xludf.XLOOKUP(B2925,Inventory!$A:$A,Inventory!$C:$C),Motor!$A:$A,Motor!$C:$C)+_xludf.XLOOKUP(_xludf.XLOOKUP(B2925,Inventory!$A:$A,Inventory!$D:$D),Frame!$A:$A,Frame!$C:$C)+#REF!,""))</f>
        <v/>
      </c>
      <c r="E2925" s="4">
        <v>46186</v>
      </c>
      <c r="F2925" s="1" t="s">
        <v>25</v>
      </c>
    </row>
    <row r="2926" spans="1:6" x14ac:dyDescent="0.25">
      <c r="A2926" s="1" t="s">
        <v>5862</v>
      </c>
      <c r="B2926" s="1" t="s">
        <v>5863</v>
      </c>
      <c r="C2926" s="3">
        <v>200</v>
      </c>
      <c r="D2926" s="3" t="str">
        <f ca="1">IF(B2926="","",IFERROR(_xludf.XLOOKUP(_xludf.XLOOKUP(B2926,Inventory!$A:$A,Inventory!$B:$B),Blades!$A:$A,Blades!$C:$C)+_xludf.XLOOKUP(_xludf.XLOOKUP(B2926,Inventory!$A:$A,Inventory!$C:$C),Motor!$A:$A,Motor!$C:$C)+_xludf.XLOOKUP(_xludf.XLOOKUP(B2926,Inventory!$A:$A,Inventory!$D:$D),Frame!$A:$A,Frame!$C:$C)+#REF!,""))</f>
        <v/>
      </c>
      <c r="E2926" s="4">
        <v>46187</v>
      </c>
      <c r="F2926" s="1" t="s">
        <v>25</v>
      </c>
    </row>
    <row r="2927" spans="1:6" x14ac:dyDescent="0.25">
      <c r="A2927" s="1" t="s">
        <v>5864</v>
      </c>
      <c r="B2927" s="1" t="s">
        <v>5865</v>
      </c>
      <c r="C2927" s="3">
        <v>200</v>
      </c>
      <c r="D2927" s="3" t="str">
        <f ca="1">IF(B2927="","",IFERROR(_xludf.XLOOKUP(_xludf.XLOOKUP(B2927,Inventory!$A:$A,Inventory!$B:$B),Blades!$A:$A,Blades!$C:$C)+_xludf.XLOOKUP(_xludf.XLOOKUP(B2927,Inventory!$A:$A,Inventory!$C:$C),Motor!$A:$A,Motor!$C:$C)+_xludf.XLOOKUP(_xludf.XLOOKUP(B2927,Inventory!$A:$A,Inventory!$D:$D),Frame!$A:$A,Frame!$C:$C)+#REF!,""))</f>
        <v/>
      </c>
      <c r="E2927" s="4">
        <v>46187</v>
      </c>
      <c r="F2927" s="1" t="s">
        <v>32</v>
      </c>
    </row>
    <row r="2928" spans="1:6" x14ac:dyDescent="0.25">
      <c r="A2928" s="1" t="s">
        <v>5866</v>
      </c>
      <c r="B2928" s="1" t="s">
        <v>5867</v>
      </c>
      <c r="C2928" s="3">
        <v>200</v>
      </c>
      <c r="D2928" s="3" t="str">
        <f ca="1">IF(B2928="","",IFERROR(_xludf.XLOOKUP(_xludf.XLOOKUP(B2928,Inventory!$A:$A,Inventory!$B:$B),Blades!$A:$A,Blades!$C:$C)+_xludf.XLOOKUP(_xludf.XLOOKUP(B2928,Inventory!$A:$A,Inventory!$C:$C),Motor!$A:$A,Motor!$C:$C)+_xludf.XLOOKUP(_xludf.XLOOKUP(B2928,Inventory!$A:$A,Inventory!$D:$D),Frame!$A:$A,Frame!$C:$C)+#REF!,""))</f>
        <v/>
      </c>
      <c r="E2928" s="4">
        <v>46187</v>
      </c>
      <c r="F2928" s="1" t="s">
        <v>49</v>
      </c>
    </row>
    <row r="2929" spans="1:6" x14ac:dyDescent="0.25">
      <c r="A2929" s="1" t="s">
        <v>5868</v>
      </c>
      <c r="B2929" s="1" t="s">
        <v>5869</v>
      </c>
      <c r="C2929" s="3">
        <v>200</v>
      </c>
      <c r="D2929" s="3" t="str">
        <f ca="1">IF(B2929="","",IFERROR(_xludf.XLOOKUP(_xludf.XLOOKUP(B2929,Inventory!$A:$A,Inventory!$B:$B),Blades!$A:$A,Blades!$C:$C)+_xludf.XLOOKUP(_xludf.XLOOKUP(B2929,Inventory!$A:$A,Inventory!$C:$C),Motor!$A:$A,Motor!$C:$C)+_xludf.XLOOKUP(_xludf.XLOOKUP(B2929,Inventory!$A:$A,Inventory!$D:$D),Frame!$A:$A,Frame!$C:$C)+#REF!,""))</f>
        <v/>
      </c>
      <c r="E2929" s="4">
        <v>46187</v>
      </c>
      <c r="F2929" s="1" t="s">
        <v>20</v>
      </c>
    </row>
    <row r="2930" spans="1:6" x14ac:dyDescent="0.25">
      <c r="A2930" s="1" t="s">
        <v>5870</v>
      </c>
      <c r="B2930" s="1" t="s">
        <v>5871</v>
      </c>
      <c r="C2930" s="3">
        <v>200</v>
      </c>
      <c r="D2930" s="3" t="str">
        <f ca="1">IF(B2930="","",IFERROR(_xludf.XLOOKUP(_xludf.XLOOKUP(B2930,Inventory!$A:$A,Inventory!$B:$B),Blades!$A:$A,Blades!$C:$C)+_xludf.XLOOKUP(_xludf.XLOOKUP(B2930,Inventory!$A:$A,Inventory!$C:$C),Motor!$A:$A,Motor!$C:$C)+_xludf.XLOOKUP(_xludf.XLOOKUP(B2930,Inventory!$A:$A,Inventory!$D:$D),Frame!$A:$A,Frame!$C:$C)+#REF!,""))</f>
        <v/>
      </c>
      <c r="E2930" s="4">
        <v>46188</v>
      </c>
      <c r="F2930" s="1" t="s">
        <v>32</v>
      </c>
    </row>
    <row r="2931" spans="1:6" x14ac:dyDescent="0.25">
      <c r="A2931" s="1" t="s">
        <v>5872</v>
      </c>
      <c r="B2931" s="1" t="s">
        <v>5873</v>
      </c>
      <c r="C2931" s="3">
        <v>200</v>
      </c>
      <c r="D2931" s="3" t="str">
        <f ca="1">IF(B2931="","",IFERROR(_xludf.XLOOKUP(_xludf.XLOOKUP(B2931,Inventory!$A:$A,Inventory!$B:$B),Blades!$A:$A,Blades!$C:$C)+_xludf.XLOOKUP(_xludf.XLOOKUP(B2931,Inventory!$A:$A,Inventory!$C:$C),Motor!$A:$A,Motor!$C:$C)+_xludf.XLOOKUP(_xludf.XLOOKUP(B2931,Inventory!$A:$A,Inventory!$D:$D),Frame!$A:$A,Frame!$C:$C)+#REF!,""))</f>
        <v/>
      </c>
      <c r="E2931" s="4">
        <v>46189</v>
      </c>
      <c r="F2931" s="1" t="s">
        <v>20</v>
      </c>
    </row>
    <row r="2932" spans="1:6" x14ac:dyDescent="0.25">
      <c r="A2932" s="1" t="s">
        <v>5874</v>
      </c>
      <c r="B2932" s="1" t="s">
        <v>5875</v>
      </c>
      <c r="C2932" s="3">
        <v>200</v>
      </c>
      <c r="D2932" s="3" t="str">
        <f ca="1">IF(B2932="","",IFERROR(_xludf.XLOOKUP(_xludf.XLOOKUP(B2932,Inventory!$A:$A,Inventory!$B:$B),Blades!$A:$A,Blades!$C:$C)+_xludf.XLOOKUP(_xludf.XLOOKUP(B2932,Inventory!$A:$A,Inventory!$C:$C),Motor!$A:$A,Motor!$C:$C)+_xludf.XLOOKUP(_xludf.XLOOKUP(B2932,Inventory!$A:$A,Inventory!$D:$D),Frame!$A:$A,Frame!$C:$C)+#REF!,""))</f>
        <v/>
      </c>
      <c r="E2932" s="4">
        <v>46189</v>
      </c>
      <c r="F2932" s="1" t="s">
        <v>25</v>
      </c>
    </row>
    <row r="2933" spans="1:6" x14ac:dyDescent="0.25">
      <c r="A2933" s="1" t="s">
        <v>5876</v>
      </c>
      <c r="B2933" s="1" t="s">
        <v>5877</v>
      </c>
      <c r="C2933" s="3">
        <v>200</v>
      </c>
      <c r="D2933" s="3" t="str">
        <f ca="1">IF(B2933="","",IFERROR(_xludf.XLOOKUP(_xludf.XLOOKUP(B2933,Inventory!$A:$A,Inventory!$B:$B),Blades!$A:$A,Blades!$C:$C)+_xludf.XLOOKUP(_xludf.XLOOKUP(B2933,Inventory!$A:$A,Inventory!$C:$C),Motor!$A:$A,Motor!$C:$C)+_xludf.XLOOKUP(_xludf.XLOOKUP(B2933,Inventory!$A:$A,Inventory!$D:$D),Frame!$A:$A,Frame!$C:$C)+#REF!,""))</f>
        <v/>
      </c>
      <c r="E2933" s="4">
        <v>46190</v>
      </c>
      <c r="F2933" s="1" t="s">
        <v>63</v>
      </c>
    </row>
    <row r="2934" spans="1:6" x14ac:dyDescent="0.25">
      <c r="A2934" s="1" t="s">
        <v>5878</v>
      </c>
      <c r="B2934" s="1" t="s">
        <v>5879</v>
      </c>
      <c r="C2934" s="3">
        <v>200</v>
      </c>
      <c r="D2934" s="3" t="str">
        <f ca="1">IF(B2934="","",IFERROR(_xludf.XLOOKUP(_xludf.XLOOKUP(B2934,Inventory!$A:$A,Inventory!$B:$B),Blades!$A:$A,Blades!$C:$C)+_xludf.XLOOKUP(_xludf.XLOOKUP(B2934,Inventory!$A:$A,Inventory!$C:$C),Motor!$A:$A,Motor!$C:$C)+_xludf.XLOOKUP(_xludf.XLOOKUP(B2934,Inventory!$A:$A,Inventory!$D:$D),Frame!$A:$A,Frame!$C:$C)+#REF!,""))</f>
        <v/>
      </c>
      <c r="E2934" s="4">
        <v>46192</v>
      </c>
      <c r="F2934" s="1" t="s">
        <v>25</v>
      </c>
    </row>
    <row r="2935" spans="1:6" x14ac:dyDescent="0.25">
      <c r="A2935" s="1" t="s">
        <v>5880</v>
      </c>
      <c r="B2935" s="1" t="s">
        <v>5881</v>
      </c>
      <c r="C2935" s="3">
        <v>200</v>
      </c>
      <c r="D2935" s="3" t="str">
        <f ca="1">IF(B2935="","",IFERROR(_xludf.XLOOKUP(_xludf.XLOOKUP(B2935,Inventory!$A:$A,Inventory!$B:$B),Blades!$A:$A,Blades!$C:$C)+_xludf.XLOOKUP(_xludf.XLOOKUP(B2935,Inventory!$A:$A,Inventory!$C:$C),Motor!$A:$A,Motor!$C:$C)+_xludf.XLOOKUP(_xludf.XLOOKUP(B2935,Inventory!$A:$A,Inventory!$D:$D),Frame!$A:$A,Frame!$C:$C)+#REF!,""))</f>
        <v/>
      </c>
      <c r="E2935" s="4">
        <v>46192</v>
      </c>
      <c r="F2935" s="1" t="s">
        <v>49</v>
      </c>
    </row>
    <row r="2936" spans="1:6" x14ac:dyDescent="0.25">
      <c r="A2936" s="1" t="s">
        <v>5882</v>
      </c>
      <c r="B2936" s="1" t="s">
        <v>5883</v>
      </c>
      <c r="C2936" s="3">
        <v>200</v>
      </c>
      <c r="D2936" s="3" t="str">
        <f ca="1">IF(B2936="","",IFERROR(_xludf.XLOOKUP(_xludf.XLOOKUP(B2936,Inventory!$A:$A,Inventory!$B:$B),Blades!$A:$A,Blades!$C:$C)+_xludf.XLOOKUP(_xludf.XLOOKUP(B2936,Inventory!$A:$A,Inventory!$C:$C),Motor!$A:$A,Motor!$C:$C)+_xludf.XLOOKUP(_xludf.XLOOKUP(B2936,Inventory!$A:$A,Inventory!$D:$D),Frame!$A:$A,Frame!$C:$C)+#REF!,""))</f>
        <v/>
      </c>
      <c r="E2936" s="4">
        <v>46193</v>
      </c>
      <c r="F2936" s="1" t="s">
        <v>52</v>
      </c>
    </row>
    <row r="2937" spans="1:6" x14ac:dyDescent="0.25">
      <c r="A2937" s="1" t="s">
        <v>5884</v>
      </c>
      <c r="B2937" s="1" t="s">
        <v>5885</v>
      </c>
      <c r="C2937" s="3">
        <v>200</v>
      </c>
      <c r="D2937" s="3" t="str">
        <f ca="1">IF(B2937="","",IFERROR(_xludf.XLOOKUP(_xludf.XLOOKUP(B2937,Inventory!$A:$A,Inventory!$B:$B),Blades!$A:$A,Blades!$C:$C)+_xludf.XLOOKUP(_xludf.XLOOKUP(B2937,Inventory!$A:$A,Inventory!$C:$C),Motor!$A:$A,Motor!$C:$C)+_xludf.XLOOKUP(_xludf.XLOOKUP(B2937,Inventory!$A:$A,Inventory!$D:$D),Frame!$A:$A,Frame!$C:$C)+#REF!,""))</f>
        <v/>
      </c>
      <c r="E2937" s="4">
        <v>46194</v>
      </c>
      <c r="F2937" s="1" t="s">
        <v>63</v>
      </c>
    </row>
    <row r="2938" spans="1:6" x14ac:dyDescent="0.25">
      <c r="A2938" s="1" t="s">
        <v>5886</v>
      </c>
      <c r="B2938" s="1" t="s">
        <v>5887</v>
      </c>
      <c r="C2938" s="3">
        <v>200</v>
      </c>
      <c r="D2938" s="3" t="str">
        <f ca="1">IF(B2938="","",IFERROR(_xludf.XLOOKUP(_xludf.XLOOKUP(B2938,Inventory!$A:$A,Inventory!$B:$B),Blades!$A:$A,Blades!$C:$C)+_xludf.XLOOKUP(_xludf.XLOOKUP(B2938,Inventory!$A:$A,Inventory!$C:$C),Motor!$A:$A,Motor!$C:$C)+_xludf.XLOOKUP(_xludf.XLOOKUP(B2938,Inventory!$A:$A,Inventory!$D:$D),Frame!$A:$A,Frame!$C:$C)+#REF!,""))</f>
        <v/>
      </c>
      <c r="E2938" s="4">
        <v>46194</v>
      </c>
      <c r="F2938" s="1" t="s">
        <v>52</v>
      </c>
    </row>
    <row r="2939" spans="1:6" x14ac:dyDescent="0.25">
      <c r="A2939" s="1" t="s">
        <v>5888</v>
      </c>
      <c r="B2939" s="1" t="s">
        <v>5889</v>
      </c>
      <c r="C2939" s="3">
        <v>200</v>
      </c>
      <c r="D2939" s="3" t="str">
        <f ca="1">IF(B2939="","",IFERROR(_xludf.XLOOKUP(_xludf.XLOOKUP(B2939,Inventory!$A:$A,Inventory!$B:$B),Blades!$A:$A,Blades!$C:$C)+_xludf.XLOOKUP(_xludf.XLOOKUP(B2939,Inventory!$A:$A,Inventory!$C:$C),Motor!$A:$A,Motor!$C:$C)+_xludf.XLOOKUP(_xludf.XLOOKUP(B2939,Inventory!$A:$A,Inventory!$D:$D),Frame!$A:$A,Frame!$C:$C)+#REF!,""))</f>
        <v/>
      </c>
      <c r="E2939" s="4">
        <v>46195</v>
      </c>
      <c r="F2939" s="1" t="s">
        <v>8</v>
      </c>
    </row>
    <row r="2940" spans="1:6" x14ac:dyDescent="0.25">
      <c r="A2940" s="1" t="s">
        <v>5890</v>
      </c>
      <c r="B2940" s="1" t="s">
        <v>5891</v>
      </c>
      <c r="C2940" s="3">
        <v>200</v>
      </c>
      <c r="D2940" s="3" t="str">
        <f ca="1">IF(B2940="","",IFERROR(_xludf.XLOOKUP(_xludf.XLOOKUP(B2940,Inventory!$A:$A,Inventory!$B:$B),Blades!$A:$A,Blades!$C:$C)+_xludf.XLOOKUP(_xludf.XLOOKUP(B2940,Inventory!$A:$A,Inventory!$C:$C),Motor!$A:$A,Motor!$C:$C)+_xludf.XLOOKUP(_xludf.XLOOKUP(B2940,Inventory!$A:$A,Inventory!$D:$D),Frame!$A:$A,Frame!$C:$C)+#REF!,""))</f>
        <v/>
      </c>
      <c r="E2940" s="4">
        <v>46195</v>
      </c>
      <c r="F2940" s="1" t="s">
        <v>8</v>
      </c>
    </row>
    <row r="2941" spans="1:6" x14ac:dyDescent="0.25">
      <c r="A2941" s="1" t="s">
        <v>5892</v>
      </c>
      <c r="B2941" s="1" t="s">
        <v>5893</v>
      </c>
      <c r="C2941" s="3">
        <v>200</v>
      </c>
      <c r="D2941" s="3" t="str">
        <f ca="1">IF(B2941="","",IFERROR(_xludf.XLOOKUP(_xludf.XLOOKUP(B2941,Inventory!$A:$A,Inventory!$B:$B),Blades!$A:$A,Blades!$C:$C)+_xludf.XLOOKUP(_xludf.XLOOKUP(B2941,Inventory!$A:$A,Inventory!$C:$C),Motor!$A:$A,Motor!$C:$C)+_xludf.XLOOKUP(_xludf.XLOOKUP(B2941,Inventory!$A:$A,Inventory!$D:$D),Frame!$A:$A,Frame!$C:$C)+#REF!,""))</f>
        <v/>
      </c>
      <c r="E2941" s="4">
        <v>46195</v>
      </c>
      <c r="F2941" s="1" t="s">
        <v>11</v>
      </c>
    </row>
    <row r="2942" spans="1:6" x14ac:dyDescent="0.25">
      <c r="A2942" s="1" t="s">
        <v>5894</v>
      </c>
      <c r="B2942" s="1" t="s">
        <v>5895</v>
      </c>
      <c r="C2942" s="3">
        <v>200</v>
      </c>
      <c r="D2942" s="3" t="str">
        <f ca="1">IF(B2942="","",IFERROR(_xludf.XLOOKUP(_xludf.XLOOKUP(B2942,Inventory!$A:$A,Inventory!$B:$B),Blades!$A:$A,Blades!$C:$C)+_xludf.XLOOKUP(_xludf.XLOOKUP(B2942,Inventory!$A:$A,Inventory!$C:$C),Motor!$A:$A,Motor!$C:$C)+_xludf.XLOOKUP(_xludf.XLOOKUP(B2942,Inventory!$A:$A,Inventory!$D:$D),Frame!$A:$A,Frame!$C:$C)+#REF!,""))</f>
        <v/>
      </c>
      <c r="E2942" s="4">
        <v>46195</v>
      </c>
      <c r="F2942" s="1" t="s">
        <v>52</v>
      </c>
    </row>
    <row r="2943" spans="1:6" x14ac:dyDescent="0.25">
      <c r="A2943" s="1" t="s">
        <v>5896</v>
      </c>
      <c r="B2943" s="1" t="s">
        <v>5897</v>
      </c>
      <c r="C2943" s="3">
        <v>200</v>
      </c>
      <c r="D2943" s="3" t="str">
        <f ca="1">IF(B2943="","",IFERROR(_xludf.XLOOKUP(_xludf.XLOOKUP(B2943,Inventory!$A:$A,Inventory!$B:$B),Blades!$A:$A,Blades!$C:$C)+_xludf.XLOOKUP(_xludf.XLOOKUP(B2943,Inventory!$A:$A,Inventory!$C:$C),Motor!$A:$A,Motor!$C:$C)+_xludf.XLOOKUP(_xludf.XLOOKUP(B2943,Inventory!$A:$A,Inventory!$D:$D),Frame!$A:$A,Frame!$C:$C)+#REF!,""))</f>
        <v/>
      </c>
      <c r="E2943" s="4">
        <v>46196</v>
      </c>
      <c r="F2943" s="1" t="s">
        <v>63</v>
      </c>
    </row>
    <row r="2944" spans="1:6" x14ac:dyDescent="0.25">
      <c r="A2944" s="1" t="s">
        <v>5898</v>
      </c>
      <c r="B2944" s="1" t="s">
        <v>5899</v>
      </c>
      <c r="C2944" s="3">
        <v>200</v>
      </c>
      <c r="D2944" s="3" t="str">
        <f ca="1">IF(B2944="","",IFERROR(_xludf.XLOOKUP(_xludf.XLOOKUP(B2944,Inventory!$A:$A,Inventory!$B:$B),Blades!$A:$A,Blades!$C:$C)+_xludf.XLOOKUP(_xludf.XLOOKUP(B2944,Inventory!$A:$A,Inventory!$C:$C),Motor!$A:$A,Motor!$C:$C)+_xludf.XLOOKUP(_xludf.XLOOKUP(B2944,Inventory!$A:$A,Inventory!$D:$D),Frame!$A:$A,Frame!$C:$C)+#REF!,""))</f>
        <v/>
      </c>
      <c r="E2944" s="4">
        <v>46196</v>
      </c>
      <c r="F2944" s="1" t="s">
        <v>52</v>
      </c>
    </row>
    <row r="2945" spans="1:6" x14ac:dyDescent="0.25">
      <c r="A2945" s="1" t="s">
        <v>5900</v>
      </c>
      <c r="B2945" s="1" t="s">
        <v>5901</v>
      </c>
      <c r="C2945" s="3">
        <v>200</v>
      </c>
      <c r="D2945" s="3" t="str">
        <f ca="1">IF(B2945="","",IFERROR(_xludf.XLOOKUP(_xludf.XLOOKUP(B2945,Inventory!$A:$A,Inventory!$B:$B),Blades!$A:$A,Blades!$C:$C)+_xludf.XLOOKUP(_xludf.XLOOKUP(B2945,Inventory!$A:$A,Inventory!$C:$C),Motor!$A:$A,Motor!$C:$C)+_xludf.XLOOKUP(_xludf.XLOOKUP(B2945,Inventory!$A:$A,Inventory!$D:$D),Frame!$A:$A,Frame!$C:$C)+#REF!,""))</f>
        <v/>
      </c>
      <c r="E2945" s="4">
        <v>46196</v>
      </c>
      <c r="F2945" s="1" t="s">
        <v>25</v>
      </c>
    </row>
    <row r="2946" spans="1:6" x14ac:dyDescent="0.25">
      <c r="A2946" s="1" t="s">
        <v>5902</v>
      </c>
      <c r="B2946" s="1" t="s">
        <v>5903</v>
      </c>
      <c r="C2946" s="3">
        <v>200</v>
      </c>
      <c r="D2946" s="3" t="str">
        <f ca="1">IF(B2946="","",IFERROR(_xludf.XLOOKUP(_xludf.XLOOKUP(B2946,Inventory!$A:$A,Inventory!$B:$B),Blades!$A:$A,Blades!$C:$C)+_xludf.XLOOKUP(_xludf.XLOOKUP(B2946,Inventory!$A:$A,Inventory!$C:$C),Motor!$A:$A,Motor!$C:$C)+_xludf.XLOOKUP(_xludf.XLOOKUP(B2946,Inventory!$A:$A,Inventory!$D:$D),Frame!$A:$A,Frame!$C:$C)+#REF!,""))</f>
        <v/>
      </c>
      <c r="E2946" s="4">
        <v>46197</v>
      </c>
      <c r="F2946" s="1" t="s">
        <v>8</v>
      </c>
    </row>
    <row r="2947" spans="1:6" x14ac:dyDescent="0.25">
      <c r="A2947" s="1" t="s">
        <v>5904</v>
      </c>
      <c r="B2947" s="1" t="s">
        <v>5905</v>
      </c>
      <c r="C2947" s="3">
        <v>200</v>
      </c>
      <c r="D2947" s="3" t="str">
        <f ca="1">IF(B2947="","",IFERROR(_xludf.XLOOKUP(_xludf.XLOOKUP(B2947,Inventory!$A:$A,Inventory!$B:$B),Blades!$A:$A,Blades!$C:$C)+_xludf.XLOOKUP(_xludf.XLOOKUP(B2947,Inventory!$A:$A,Inventory!$C:$C),Motor!$A:$A,Motor!$C:$C)+_xludf.XLOOKUP(_xludf.XLOOKUP(B2947,Inventory!$A:$A,Inventory!$D:$D),Frame!$A:$A,Frame!$C:$C)+#REF!,""))</f>
        <v/>
      </c>
      <c r="E2947" s="4">
        <v>46197</v>
      </c>
      <c r="F2947" s="1" t="s">
        <v>11</v>
      </c>
    </row>
    <row r="2948" spans="1:6" x14ac:dyDescent="0.25">
      <c r="A2948" s="1" t="s">
        <v>5906</v>
      </c>
      <c r="B2948" s="1" t="s">
        <v>5907</v>
      </c>
      <c r="C2948" s="3">
        <v>200</v>
      </c>
      <c r="D2948" s="3" t="str">
        <f ca="1">IF(B2948="","",IFERROR(_xludf.XLOOKUP(_xludf.XLOOKUP(B2948,Inventory!$A:$A,Inventory!$B:$B),Blades!$A:$A,Blades!$C:$C)+_xludf.XLOOKUP(_xludf.XLOOKUP(B2948,Inventory!$A:$A,Inventory!$C:$C),Motor!$A:$A,Motor!$C:$C)+_xludf.XLOOKUP(_xludf.XLOOKUP(B2948,Inventory!$A:$A,Inventory!$D:$D),Frame!$A:$A,Frame!$C:$C)+#REF!,""))</f>
        <v/>
      </c>
      <c r="E2948" s="4">
        <v>46197</v>
      </c>
      <c r="F2948" s="1" t="s">
        <v>20</v>
      </c>
    </row>
    <row r="2949" spans="1:6" x14ac:dyDescent="0.25">
      <c r="A2949" s="1" t="s">
        <v>5908</v>
      </c>
      <c r="B2949" s="1" t="s">
        <v>5909</v>
      </c>
      <c r="C2949" s="3">
        <v>200</v>
      </c>
      <c r="D2949" s="3" t="str">
        <f ca="1">IF(B2949="","",IFERROR(_xludf.XLOOKUP(_xludf.XLOOKUP(B2949,Inventory!$A:$A,Inventory!$B:$B),Blades!$A:$A,Blades!$C:$C)+_xludf.XLOOKUP(_xludf.XLOOKUP(B2949,Inventory!$A:$A,Inventory!$C:$C),Motor!$A:$A,Motor!$C:$C)+_xludf.XLOOKUP(_xludf.XLOOKUP(B2949,Inventory!$A:$A,Inventory!$D:$D),Frame!$A:$A,Frame!$C:$C)+#REF!,""))</f>
        <v/>
      </c>
      <c r="E2949" s="4">
        <v>46198</v>
      </c>
      <c r="F2949" s="1" t="s">
        <v>63</v>
      </c>
    </row>
    <row r="2950" spans="1:6" x14ac:dyDescent="0.25">
      <c r="A2950" s="1" t="s">
        <v>5910</v>
      </c>
      <c r="B2950" s="1" t="s">
        <v>5911</v>
      </c>
      <c r="C2950" s="3">
        <v>200</v>
      </c>
      <c r="D2950" s="3" t="str">
        <f ca="1">IF(B2950="","",IFERROR(_xludf.XLOOKUP(_xludf.XLOOKUP(B2950,Inventory!$A:$A,Inventory!$B:$B),Blades!$A:$A,Blades!$C:$C)+_xludf.XLOOKUP(_xludf.XLOOKUP(B2950,Inventory!$A:$A,Inventory!$C:$C),Motor!$A:$A,Motor!$C:$C)+_xludf.XLOOKUP(_xludf.XLOOKUP(B2950,Inventory!$A:$A,Inventory!$D:$D),Frame!$A:$A,Frame!$C:$C)+#REF!,""))</f>
        <v/>
      </c>
      <c r="E2950" s="4">
        <v>46199</v>
      </c>
      <c r="F2950" s="1" t="s">
        <v>52</v>
      </c>
    </row>
    <row r="2951" spans="1:6" x14ac:dyDescent="0.25">
      <c r="A2951" s="1" t="s">
        <v>5912</v>
      </c>
      <c r="B2951" s="1" t="s">
        <v>5913</v>
      </c>
      <c r="C2951" s="3">
        <v>200</v>
      </c>
      <c r="D2951" s="3" t="str">
        <f ca="1">IF(B2951="","",IFERROR(_xludf.XLOOKUP(_xludf.XLOOKUP(B2951,Inventory!$A:$A,Inventory!$B:$B),Blades!$A:$A,Blades!$C:$C)+_xludf.XLOOKUP(_xludf.XLOOKUP(B2951,Inventory!$A:$A,Inventory!$C:$C),Motor!$A:$A,Motor!$C:$C)+_xludf.XLOOKUP(_xludf.XLOOKUP(B2951,Inventory!$A:$A,Inventory!$D:$D),Frame!$A:$A,Frame!$C:$C)+#REF!,""))</f>
        <v/>
      </c>
      <c r="E2951" s="4">
        <v>46199</v>
      </c>
      <c r="F2951" s="1" t="s">
        <v>52</v>
      </c>
    </row>
    <row r="2952" spans="1:6" x14ac:dyDescent="0.25">
      <c r="A2952" s="1" t="s">
        <v>5914</v>
      </c>
      <c r="B2952" s="1" t="s">
        <v>5915</v>
      </c>
      <c r="C2952" s="3">
        <v>200</v>
      </c>
      <c r="D2952" s="3" t="str">
        <f ca="1">IF(B2952="","",IFERROR(_xludf.XLOOKUP(_xludf.XLOOKUP(B2952,Inventory!$A:$A,Inventory!$B:$B),Blades!$A:$A,Blades!$C:$C)+_xludf.XLOOKUP(_xludf.XLOOKUP(B2952,Inventory!$A:$A,Inventory!$C:$C),Motor!$A:$A,Motor!$C:$C)+_xludf.XLOOKUP(_xludf.XLOOKUP(B2952,Inventory!$A:$A,Inventory!$D:$D),Frame!$A:$A,Frame!$C:$C)+#REF!,""))</f>
        <v/>
      </c>
      <c r="E2952" s="4">
        <v>46199</v>
      </c>
      <c r="F2952" s="1" t="s">
        <v>32</v>
      </c>
    </row>
    <row r="2953" spans="1:6" x14ac:dyDescent="0.25">
      <c r="A2953" s="1" t="s">
        <v>5916</v>
      </c>
      <c r="B2953" s="1" t="s">
        <v>5917</v>
      </c>
      <c r="C2953" s="3">
        <v>200</v>
      </c>
      <c r="D2953" s="3" t="str">
        <f ca="1">IF(B2953="","",IFERROR(_xludf.XLOOKUP(_xludf.XLOOKUP(B2953,Inventory!$A:$A,Inventory!$B:$B),Blades!$A:$A,Blades!$C:$C)+_xludf.XLOOKUP(_xludf.XLOOKUP(B2953,Inventory!$A:$A,Inventory!$C:$C),Motor!$A:$A,Motor!$C:$C)+_xludf.XLOOKUP(_xludf.XLOOKUP(B2953,Inventory!$A:$A,Inventory!$D:$D),Frame!$A:$A,Frame!$C:$C)+#REF!,""))</f>
        <v/>
      </c>
      <c r="E2953" s="4">
        <v>46199</v>
      </c>
      <c r="F2953" s="1" t="s">
        <v>11</v>
      </c>
    </row>
    <row r="2954" spans="1:6" x14ac:dyDescent="0.25">
      <c r="A2954" s="1" t="s">
        <v>5918</v>
      </c>
      <c r="B2954" s="1" t="s">
        <v>5919</v>
      </c>
      <c r="C2954" s="3">
        <v>200</v>
      </c>
      <c r="D2954" s="3" t="str">
        <f ca="1">IF(B2954="","",IFERROR(_xludf.XLOOKUP(_xludf.XLOOKUP(B2954,Inventory!$A:$A,Inventory!$B:$B),Blades!$A:$A,Blades!$C:$C)+_xludf.XLOOKUP(_xludf.XLOOKUP(B2954,Inventory!$A:$A,Inventory!$C:$C),Motor!$A:$A,Motor!$C:$C)+_xludf.XLOOKUP(_xludf.XLOOKUP(B2954,Inventory!$A:$A,Inventory!$D:$D),Frame!$A:$A,Frame!$C:$C)+#REF!,""))</f>
        <v/>
      </c>
      <c r="E2954" s="4">
        <v>46200</v>
      </c>
      <c r="F2954" s="1" t="s">
        <v>11</v>
      </c>
    </row>
    <row r="2955" spans="1:6" x14ac:dyDescent="0.25">
      <c r="A2955" s="1" t="s">
        <v>5920</v>
      </c>
      <c r="B2955" s="1" t="s">
        <v>5921</v>
      </c>
      <c r="C2955" s="3">
        <v>200</v>
      </c>
      <c r="D2955" s="3" t="str">
        <f ca="1">IF(B2955="","",IFERROR(_xludf.XLOOKUP(_xludf.XLOOKUP(B2955,Inventory!$A:$A,Inventory!$B:$B),Blades!$A:$A,Blades!$C:$C)+_xludf.XLOOKUP(_xludf.XLOOKUP(B2955,Inventory!$A:$A,Inventory!$C:$C),Motor!$A:$A,Motor!$C:$C)+_xludf.XLOOKUP(_xludf.XLOOKUP(B2955,Inventory!$A:$A,Inventory!$D:$D),Frame!$A:$A,Frame!$C:$C)+#REF!,""))</f>
        <v/>
      </c>
      <c r="E2955" s="4">
        <v>46202</v>
      </c>
      <c r="F2955" s="1" t="s">
        <v>63</v>
      </c>
    </row>
    <row r="2956" spans="1:6" x14ac:dyDescent="0.25">
      <c r="A2956" s="1" t="s">
        <v>5922</v>
      </c>
      <c r="B2956" s="1" t="s">
        <v>5923</v>
      </c>
      <c r="C2956" s="3">
        <v>200</v>
      </c>
      <c r="D2956" s="3" t="str">
        <f ca="1">IF(B2956="","",IFERROR(_xludf.XLOOKUP(_xludf.XLOOKUP(B2956,Inventory!$A:$A,Inventory!$B:$B),Blades!$A:$A,Blades!$C:$C)+_xludf.XLOOKUP(_xludf.XLOOKUP(B2956,Inventory!$A:$A,Inventory!$C:$C),Motor!$A:$A,Motor!$C:$C)+_xludf.XLOOKUP(_xludf.XLOOKUP(B2956,Inventory!$A:$A,Inventory!$D:$D),Frame!$A:$A,Frame!$C:$C)+#REF!,""))</f>
        <v/>
      </c>
      <c r="E2956" s="4">
        <v>46203</v>
      </c>
      <c r="F2956" s="1" t="s">
        <v>52</v>
      </c>
    </row>
    <row r="2957" spans="1:6" x14ac:dyDescent="0.25">
      <c r="A2957" s="1" t="s">
        <v>5924</v>
      </c>
      <c r="B2957" s="1" t="s">
        <v>5925</v>
      </c>
      <c r="C2957" s="3">
        <v>200</v>
      </c>
      <c r="D2957" s="3" t="str">
        <f ca="1">IF(B2957="","",IFERROR(_xludf.XLOOKUP(_xludf.XLOOKUP(B2957,Inventory!$A:$A,Inventory!$B:$B),Blades!$A:$A,Blades!$C:$C)+_xludf.XLOOKUP(_xludf.XLOOKUP(B2957,Inventory!$A:$A,Inventory!$C:$C),Motor!$A:$A,Motor!$C:$C)+_xludf.XLOOKUP(_xludf.XLOOKUP(B2957,Inventory!$A:$A,Inventory!$D:$D),Frame!$A:$A,Frame!$C:$C)+#REF!,""))</f>
        <v/>
      </c>
      <c r="E2957" s="4">
        <v>46203</v>
      </c>
      <c r="F2957" s="1" t="s">
        <v>63</v>
      </c>
    </row>
    <row r="2958" spans="1:6" x14ac:dyDescent="0.25">
      <c r="A2958" s="1" t="s">
        <v>5926</v>
      </c>
      <c r="B2958" s="1" t="s">
        <v>5927</v>
      </c>
      <c r="C2958" s="3">
        <v>200</v>
      </c>
      <c r="D2958" s="3" t="str">
        <f ca="1">IF(B2958="","",IFERROR(_xludf.XLOOKUP(_xludf.XLOOKUP(B2958,Inventory!$A:$A,Inventory!$B:$B),Blades!$A:$A,Blades!$C:$C)+_xludf.XLOOKUP(_xludf.XLOOKUP(B2958,Inventory!$A:$A,Inventory!$C:$C),Motor!$A:$A,Motor!$C:$C)+_xludf.XLOOKUP(_xludf.XLOOKUP(B2958,Inventory!$A:$A,Inventory!$D:$D),Frame!$A:$A,Frame!$C:$C)+#REF!,""))</f>
        <v/>
      </c>
      <c r="E2958" s="4">
        <v>46203</v>
      </c>
      <c r="F2958" s="1" t="s">
        <v>11</v>
      </c>
    </row>
    <row r="2959" spans="1:6" x14ac:dyDescent="0.25">
      <c r="A2959" s="1" t="s">
        <v>5928</v>
      </c>
      <c r="B2959" s="1" t="s">
        <v>5929</v>
      </c>
      <c r="C2959" s="3">
        <v>200</v>
      </c>
      <c r="D2959" s="3" t="str">
        <f ca="1">IF(B2959="","",IFERROR(_xludf.XLOOKUP(_xludf.XLOOKUP(B2959,Inventory!$A:$A,Inventory!$B:$B),Blades!$A:$A,Blades!$C:$C)+_xludf.XLOOKUP(_xludf.XLOOKUP(B2959,Inventory!$A:$A,Inventory!$C:$C),Motor!$A:$A,Motor!$C:$C)+_xludf.XLOOKUP(_xludf.XLOOKUP(B2959,Inventory!$A:$A,Inventory!$D:$D),Frame!$A:$A,Frame!$C:$C)+#REF!,""))</f>
        <v/>
      </c>
      <c r="E2959" s="4">
        <v>46204</v>
      </c>
      <c r="F2959" s="1" t="s">
        <v>25</v>
      </c>
    </row>
    <row r="2960" spans="1:6" x14ac:dyDescent="0.25">
      <c r="A2960" s="1" t="s">
        <v>5930</v>
      </c>
      <c r="B2960" s="1" t="s">
        <v>5931</v>
      </c>
      <c r="C2960" s="3">
        <v>200</v>
      </c>
      <c r="D2960" s="3" t="str">
        <f ca="1">IF(B2960="","",IFERROR(_xludf.XLOOKUP(_xludf.XLOOKUP(B2960,Inventory!$A:$A,Inventory!$B:$B),Blades!$A:$A,Blades!$C:$C)+_xludf.XLOOKUP(_xludf.XLOOKUP(B2960,Inventory!$A:$A,Inventory!$C:$C),Motor!$A:$A,Motor!$C:$C)+_xludf.XLOOKUP(_xludf.XLOOKUP(B2960,Inventory!$A:$A,Inventory!$D:$D),Frame!$A:$A,Frame!$C:$C)+#REF!,""))</f>
        <v/>
      </c>
      <c r="E2960" s="4">
        <v>46205</v>
      </c>
      <c r="F2960" s="1" t="s">
        <v>63</v>
      </c>
    </row>
    <row r="2961" spans="1:6" x14ac:dyDescent="0.25">
      <c r="A2961" s="1" t="s">
        <v>5932</v>
      </c>
      <c r="B2961" s="1" t="s">
        <v>5933</v>
      </c>
      <c r="C2961" s="3">
        <v>200</v>
      </c>
      <c r="D2961" s="3" t="str">
        <f ca="1">IF(B2961="","",IFERROR(_xludf.XLOOKUP(_xludf.XLOOKUP(B2961,Inventory!$A:$A,Inventory!$B:$B),Blades!$A:$A,Blades!$C:$C)+_xludf.XLOOKUP(_xludf.XLOOKUP(B2961,Inventory!$A:$A,Inventory!$C:$C),Motor!$A:$A,Motor!$C:$C)+_xludf.XLOOKUP(_xludf.XLOOKUP(B2961,Inventory!$A:$A,Inventory!$D:$D),Frame!$A:$A,Frame!$C:$C)+#REF!,""))</f>
        <v/>
      </c>
      <c r="E2961" s="4">
        <v>46206</v>
      </c>
      <c r="F2961" s="1" t="s">
        <v>11</v>
      </c>
    </row>
    <row r="2962" spans="1:6" x14ac:dyDescent="0.25">
      <c r="A2962" s="1" t="s">
        <v>5934</v>
      </c>
      <c r="B2962" s="1" t="s">
        <v>5935</v>
      </c>
      <c r="C2962" s="3">
        <v>200</v>
      </c>
      <c r="D2962" s="3" t="str">
        <f ca="1">IF(B2962="","",IFERROR(_xludf.XLOOKUP(_xludf.XLOOKUP(B2962,Inventory!$A:$A,Inventory!$B:$B),Blades!$A:$A,Blades!$C:$C)+_xludf.XLOOKUP(_xludf.XLOOKUP(B2962,Inventory!$A:$A,Inventory!$C:$C),Motor!$A:$A,Motor!$C:$C)+_xludf.XLOOKUP(_xludf.XLOOKUP(B2962,Inventory!$A:$A,Inventory!$D:$D),Frame!$A:$A,Frame!$C:$C)+#REF!,""))</f>
        <v/>
      </c>
      <c r="E2962" s="4">
        <v>46207</v>
      </c>
      <c r="F2962" s="1" t="s">
        <v>11</v>
      </c>
    </row>
    <row r="2963" spans="1:6" x14ac:dyDescent="0.25">
      <c r="A2963" s="1" t="s">
        <v>5936</v>
      </c>
      <c r="B2963" s="1" t="s">
        <v>5937</v>
      </c>
      <c r="C2963" s="3">
        <v>200</v>
      </c>
      <c r="D2963" s="3" t="str">
        <f ca="1">IF(B2963="","",IFERROR(_xludf.XLOOKUP(_xludf.XLOOKUP(B2963,Inventory!$A:$A,Inventory!$B:$B),Blades!$A:$A,Blades!$C:$C)+_xludf.XLOOKUP(_xludf.XLOOKUP(B2963,Inventory!$A:$A,Inventory!$C:$C),Motor!$A:$A,Motor!$C:$C)+_xludf.XLOOKUP(_xludf.XLOOKUP(B2963,Inventory!$A:$A,Inventory!$D:$D),Frame!$A:$A,Frame!$C:$C)+#REF!,""))</f>
        <v/>
      </c>
      <c r="E2963" s="4">
        <v>46208</v>
      </c>
      <c r="F2963" s="1" t="s">
        <v>49</v>
      </c>
    </row>
    <row r="2964" spans="1:6" x14ac:dyDescent="0.25">
      <c r="A2964" s="1" t="s">
        <v>5938</v>
      </c>
      <c r="B2964" s="1" t="s">
        <v>5939</v>
      </c>
      <c r="C2964" s="3">
        <v>200</v>
      </c>
      <c r="D2964" s="3" t="str">
        <f ca="1">IF(B2964="","",IFERROR(_xludf.XLOOKUP(_xludf.XLOOKUP(B2964,Inventory!$A:$A,Inventory!$B:$B),Blades!$A:$A,Blades!$C:$C)+_xludf.XLOOKUP(_xludf.XLOOKUP(B2964,Inventory!$A:$A,Inventory!$C:$C),Motor!$A:$A,Motor!$C:$C)+_xludf.XLOOKUP(_xludf.XLOOKUP(B2964,Inventory!$A:$A,Inventory!$D:$D),Frame!$A:$A,Frame!$C:$C)+#REF!,""))</f>
        <v/>
      </c>
      <c r="E2964" s="4">
        <v>46208</v>
      </c>
      <c r="F2964" s="1" t="s">
        <v>52</v>
      </c>
    </row>
    <row r="2965" spans="1:6" x14ac:dyDescent="0.25">
      <c r="A2965" s="1" t="s">
        <v>5940</v>
      </c>
      <c r="B2965" s="1" t="s">
        <v>5941</v>
      </c>
      <c r="C2965" s="3">
        <v>200</v>
      </c>
      <c r="D2965" s="3" t="str">
        <f ca="1">IF(B2965="","",IFERROR(_xludf.XLOOKUP(_xludf.XLOOKUP(B2965,Inventory!$A:$A,Inventory!$B:$B),Blades!$A:$A,Blades!$C:$C)+_xludf.XLOOKUP(_xludf.XLOOKUP(B2965,Inventory!$A:$A,Inventory!$C:$C),Motor!$A:$A,Motor!$C:$C)+_xludf.XLOOKUP(_xludf.XLOOKUP(B2965,Inventory!$A:$A,Inventory!$D:$D),Frame!$A:$A,Frame!$C:$C)+#REF!,""))</f>
        <v/>
      </c>
      <c r="E2965" s="4">
        <v>46208</v>
      </c>
      <c r="F2965" s="1" t="s">
        <v>11</v>
      </c>
    </row>
    <row r="2966" spans="1:6" x14ac:dyDescent="0.25">
      <c r="A2966" s="1" t="s">
        <v>5942</v>
      </c>
      <c r="B2966" s="1" t="s">
        <v>5943</v>
      </c>
      <c r="C2966" s="3">
        <v>200</v>
      </c>
      <c r="D2966" s="3" t="str">
        <f ca="1">IF(B2966="","",IFERROR(_xludf.XLOOKUP(_xludf.XLOOKUP(B2966,Inventory!$A:$A,Inventory!$B:$B),Blades!$A:$A,Blades!$C:$C)+_xludf.XLOOKUP(_xludf.XLOOKUP(B2966,Inventory!$A:$A,Inventory!$C:$C),Motor!$A:$A,Motor!$C:$C)+_xludf.XLOOKUP(_xludf.XLOOKUP(B2966,Inventory!$A:$A,Inventory!$D:$D),Frame!$A:$A,Frame!$C:$C)+#REF!,""))</f>
        <v/>
      </c>
      <c r="E2966" s="4">
        <v>46209</v>
      </c>
      <c r="F2966" s="1" t="s">
        <v>52</v>
      </c>
    </row>
    <row r="2967" spans="1:6" x14ac:dyDescent="0.25">
      <c r="A2967" s="1" t="s">
        <v>5944</v>
      </c>
      <c r="B2967" s="1" t="s">
        <v>5945</v>
      </c>
      <c r="C2967" s="3">
        <v>200</v>
      </c>
      <c r="D2967" s="3" t="str">
        <f ca="1">IF(B2967="","",IFERROR(_xludf.XLOOKUP(_xludf.XLOOKUP(B2967,Inventory!$A:$A,Inventory!$B:$B),Blades!$A:$A,Blades!$C:$C)+_xludf.XLOOKUP(_xludf.XLOOKUP(B2967,Inventory!$A:$A,Inventory!$C:$C),Motor!$A:$A,Motor!$C:$C)+_xludf.XLOOKUP(_xludf.XLOOKUP(B2967,Inventory!$A:$A,Inventory!$D:$D),Frame!$A:$A,Frame!$C:$C)+#REF!,""))</f>
        <v/>
      </c>
      <c r="E2967" s="4">
        <v>46209</v>
      </c>
      <c r="F2967" s="1" t="s">
        <v>25</v>
      </c>
    </row>
    <row r="2968" spans="1:6" x14ac:dyDescent="0.25">
      <c r="A2968" s="1" t="s">
        <v>5946</v>
      </c>
      <c r="B2968" s="1" t="s">
        <v>5947</v>
      </c>
      <c r="C2968" s="3">
        <v>200</v>
      </c>
      <c r="D2968" s="3" t="str">
        <f ca="1">IF(B2968="","",IFERROR(_xludf.XLOOKUP(_xludf.XLOOKUP(B2968,Inventory!$A:$A,Inventory!$B:$B),Blades!$A:$A,Blades!$C:$C)+_xludf.XLOOKUP(_xludf.XLOOKUP(B2968,Inventory!$A:$A,Inventory!$C:$C),Motor!$A:$A,Motor!$C:$C)+_xludf.XLOOKUP(_xludf.XLOOKUP(B2968,Inventory!$A:$A,Inventory!$D:$D),Frame!$A:$A,Frame!$C:$C)+#REF!,""))</f>
        <v/>
      </c>
      <c r="E2968" s="4">
        <v>46209</v>
      </c>
      <c r="F2968" s="1" t="s">
        <v>11</v>
      </c>
    </row>
    <row r="2969" spans="1:6" x14ac:dyDescent="0.25">
      <c r="A2969" s="1" t="s">
        <v>5948</v>
      </c>
      <c r="B2969" s="1" t="s">
        <v>5949</v>
      </c>
      <c r="C2969" s="3">
        <v>200</v>
      </c>
      <c r="D2969" s="3" t="str">
        <f ca="1">IF(B2969="","",IFERROR(_xludf.XLOOKUP(_xludf.XLOOKUP(B2969,Inventory!$A:$A,Inventory!$B:$B),Blades!$A:$A,Blades!$C:$C)+_xludf.XLOOKUP(_xludf.XLOOKUP(B2969,Inventory!$A:$A,Inventory!$C:$C),Motor!$A:$A,Motor!$C:$C)+_xludf.XLOOKUP(_xludf.XLOOKUP(B2969,Inventory!$A:$A,Inventory!$D:$D),Frame!$A:$A,Frame!$C:$C)+#REF!,""))</f>
        <v/>
      </c>
      <c r="E2969" s="4">
        <v>46210</v>
      </c>
      <c r="F2969" s="1" t="s">
        <v>32</v>
      </c>
    </row>
    <row r="2970" spans="1:6" x14ac:dyDescent="0.25">
      <c r="A2970" s="1" t="s">
        <v>5950</v>
      </c>
      <c r="B2970" s="1" t="s">
        <v>5951</v>
      </c>
      <c r="C2970" s="3">
        <v>200</v>
      </c>
      <c r="D2970" s="3" t="str">
        <f ca="1">IF(B2970="","",IFERROR(_xludf.XLOOKUP(_xludf.XLOOKUP(B2970,Inventory!$A:$A,Inventory!$B:$B),Blades!$A:$A,Blades!$C:$C)+_xludf.XLOOKUP(_xludf.XLOOKUP(B2970,Inventory!$A:$A,Inventory!$C:$C),Motor!$A:$A,Motor!$C:$C)+_xludf.XLOOKUP(_xludf.XLOOKUP(B2970,Inventory!$A:$A,Inventory!$D:$D),Frame!$A:$A,Frame!$C:$C)+#REF!,""))</f>
        <v/>
      </c>
      <c r="E2970" s="4">
        <v>46210</v>
      </c>
      <c r="F2970" s="1" t="s">
        <v>11</v>
      </c>
    </row>
    <row r="2971" spans="1:6" x14ac:dyDescent="0.25">
      <c r="A2971" s="1" t="s">
        <v>5952</v>
      </c>
      <c r="B2971" s="1" t="s">
        <v>5953</v>
      </c>
      <c r="C2971" s="3">
        <v>200</v>
      </c>
      <c r="D2971" s="3" t="str">
        <f ca="1">IF(B2971="","",IFERROR(_xludf.XLOOKUP(_xludf.XLOOKUP(B2971,Inventory!$A:$A,Inventory!$B:$B),Blades!$A:$A,Blades!$C:$C)+_xludf.XLOOKUP(_xludf.XLOOKUP(B2971,Inventory!$A:$A,Inventory!$C:$C),Motor!$A:$A,Motor!$C:$C)+_xludf.XLOOKUP(_xludf.XLOOKUP(B2971,Inventory!$A:$A,Inventory!$D:$D),Frame!$A:$A,Frame!$C:$C)+#REF!,""))</f>
        <v/>
      </c>
      <c r="E2971" s="4">
        <v>46211</v>
      </c>
      <c r="F2971" s="1" t="s">
        <v>8</v>
      </c>
    </row>
    <row r="2972" spans="1:6" x14ac:dyDescent="0.25">
      <c r="A2972" s="1" t="s">
        <v>5954</v>
      </c>
      <c r="B2972" s="1" t="s">
        <v>5955</v>
      </c>
      <c r="C2972" s="3">
        <v>200</v>
      </c>
      <c r="D2972" s="3" t="str">
        <f ca="1">IF(B2972="","",IFERROR(_xludf.XLOOKUP(_xludf.XLOOKUP(B2972,Inventory!$A:$A,Inventory!$B:$B),Blades!$A:$A,Blades!$C:$C)+_xludf.XLOOKUP(_xludf.XLOOKUP(B2972,Inventory!$A:$A,Inventory!$C:$C),Motor!$A:$A,Motor!$C:$C)+_xludf.XLOOKUP(_xludf.XLOOKUP(B2972,Inventory!$A:$A,Inventory!$D:$D),Frame!$A:$A,Frame!$C:$C)+#REF!,""))</f>
        <v/>
      </c>
      <c r="E2972" s="4">
        <v>46212</v>
      </c>
      <c r="F2972" s="1" t="s">
        <v>49</v>
      </c>
    </row>
    <row r="2973" spans="1:6" x14ac:dyDescent="0.25">
      <c r="A2973" s="1" t="s">
        <v>5956</v>
      </c>
      <c r="B2973" s="1" t="s">
        <v>5957</v>
      </c>
      <c r="C2973" s="3">
        <v>200</v>
      </c>
      <c r="D2973" s="3" t="str">
        <f ca="1">IF(B2973="","",IFERROR(_xludf.XLOOKUP(_xludf.XLOOKUP(B2973,Inventory!$A:$A,Inventory!$B:$B),Blades!$A:$A,Blades!$C:$C)+_xludf.XLOOKUP(_xludf.XLOOKUP(B2973,Inventory!$A:$A,Inventory!$C:$C),Motor!$A:$A,Motor!$C:$C)+_xludf.XLOOKUP(_xludf.XLOOKUP(B2973,Inventory!$A:$A,Inventory!$D:$D),Frame!$A:$A,Frame!$C:$C)+#REF!,""))</f>
        <v/>
      </c>
      <c r="E2973" s="4">
        <v>46212</v>
      </c>
      <c r="F2973" s="1" t="s">
        <v>25</v>
      </c>
    </row>
    <row r="2974" spans="1:6" x14ac:dyDescent="0.25">
      <c r="A2974" s="1" t="s">
        <v>5958</v>
      </c>
      <c r="B2974" s="1" t="s">
        <v>5959</v>
      </c>
      <c r="C2974" s="3">
        <v>200</v>
      </c>
      <c r="D2974" s="3" t="str">
        <f ca="1">IF(B2974="","",IFERROR(_xludf.XLOOKUP(_xludf.XLOOKUP(B2974,Inventory!$A:$A,Inventory!$B:$B),Blades!$A:$A,Blades!$C:$C)+_xludf.XLOOKUP(_xludf.XLOOKUP(B2974,Inventory!$A:$A,Inventory!$C:$C),Motor!$A:$A,Motor!$C:$C)+_xludf.XLOOKUP(_xludf.XLOOKUP(B2974,Inventory!$A:$A,Inventory!$D:$D),Frame!$A:$A,Frame!$C:$C)+#REF!,""))</f>
        <v/>
      </c>
      <c r="E2974" s="4">
        <v>46212</v>
      </c>
      <c r="F2974" s="1" t="s">
        <v>49</v>
      </c>
    </row>
    <row r="2975" spans="1:6" x14ac:dyDescent="0.25">
      <c r="A2975" s="1" t="s">
        <v>5960</v>
      </c>
      <c r="B2975" s="1" t="s">
        <v>5961</v>
      </c>
      <c r="C2975" s="3">
        <v>200</v>
      </c>
      <c r="D2975" s="3" t="str">
        <f ca="1">IF(B2975="","",IFERROR(_xludf.XLOOKUP(_xludf.XLOOKUP(B2975,Inventory!$A:$A,Inventory!$B:$B),Blades!$A:$A,Blades!$C:$C)+_xludf.XLOOKUP(_xludf.XLOOKUP(B2975,Inventory!$A:$A,Inventory!$C:$C),Motor!$A:$A,Motor!$C:$C)+_xludf.XLOOKUP(_xludf.XLOOKUP(B2975,Inventory!$A:$A,Inventory!$D:$D),Frame!$A:$A,Frame!$C:$C)+#REF!,""))</f>
        <v/>
      </c>
      <c r="E2975" s="4">
        <v>46212</v>
      </c>
      <c r="F2975" s="1" t="s">
        <v>49</v>
      </c>
    </row>
    <row r="2976" spans="1:6" x14ac:dyDescent="0.25">
      <c r="A2976" s="1" t="s">
        <v>5962</v>
      </c>
      <c r="B2976" s="1" t="s">
        <v>5963</v>
      </c>
      <c r="C2976" s="3">
        <v>200</v>
      </c>
      <c r="D2976" s="3" t="str">
        <f ca="1">IF(B2976="","",IFERROR(_xludf.XLOOKUP(_xludf.XLOOKUP(B2976,Inventory!$A:$A,Inventory!$B:$B),Blades!$A:$A,Blades!$C:$C)+_xludf.XLOOKUP(_xludf.XLOOKUP(B2976,Inventory!$A:$A,Inventory!$C:$C),Motor!$A:$A,Motor!$C:$C)+_xludf.XLOOKUP(_xludf.XLOOKUP(B2976,Inventory!$A:$A,Inventory!$D:$D),Frame!$A:$A,Frame!$C:$C)+#REF!,""))</f>
        <v/>
      </c>
      <c r="E2976" s="4">
        <v>46212</v>
      </c>
      <c r="F2976" s="1" t="s">
        <v>11</v>
      </c>
    </row>
    <row r="2977" spans="1:6" x14ac:dyDescent="0.25">
      <c r="A2977" s="1" t="s">
        <v>5964</v>
      </c>
      <c r="B2977" s="1" t="s">
        <v>5965</v>
      </c>
      <c r="C2977" s="3">
        <v>200</v>
      </c>
      <c r="D2977" s="3" t="str">
        <f ca="1">IF(B2977="","",IFERROR(_xludf.XLOOKUP(_xludf.XLOOKUP(B2977,Inventory!$A:$A,Inventory!$B:$B),Blades!$A:$A,Blades!$C:$C)+_xludf.XLOOKUP(_xludf.XLOOKUP(B2977,Inventory!$A:$A,Inventory!$C:$C),Motor!$A:$A,Motor!$C:$C)+_xludf.XLOOKUP(_xludf.XLOOKUP(B2977,Inventory!$A:$A,Inventory!$D:$D),Frame!$A:$A,Frame!$C:$C)+#REF!,""))</f>
        <v/>
      </c>
      <c r="E2977" s="4">
        <v>46212</v>
      </c>
      <c r="F2977" s="1" t="s">
        <v>49</v>
      </c>
    </row>
    <row r="2978" spans="1:6" x14ac:dyDescent="0.25">
      <c r="A2978" s="1" t="s">
        <v>5966</v>
      </c>
      <c r="B2978" s="1" t="s">
        <v>5967</v>
      </c>
      <c r="C2978" s="3">
        <v>200</v>
      </c>
      <c r="D2978" s="3" t="str">
        <f ca="1">IF(B2978="","",IFERROR(_xludf.XLOOKUP(_xludf.XLOOKUP(B2978,Inventory!$A:$A,Inventory!$B:$B),Blades!$A:$A,Blades!$C:$C)+_xludf.XLOOKUP(_xludf.XLOOKUP(B2978,Inventory!$A:$A,Inventory!$C:$C),Motor!$A:$A,Motor!$C:$C)+_xludf.XLOOKUP(_xludf.XLOOKUP(B2978,Inventory!$A:$A,Inventory!$D:$D),Frame!$A:$A,Frame!$C:$C)+#REF!,""))</f>
        <v/>
      </c>
      <c r="E2978" s="4">
        <v>46214</v>
      </c>
      <c r="F2978" s="1" t="s">
        <v>49</v>
      </c>
    </row>
    <row r="2979" spans="1:6" x14ac:dyDescent="0.25">
      <c r="A2979" s="1" t="s">
        <v>5968</v>
      </c>
      <c r="B2979" s="1" t="s">
        <v>5969</v>
      </c>
      <c r="C2979" s="3">
        <v>200</v>
      </c>
      <c r="D2979" s="3" t="str">
        <f ca="1">IF(B2979="","",IFERROR(_xludf.XLOOKUP(_xludf.XLOOKUP(B2979,Inventory!$A:$A,Inventory!$B:$B),Blades!$A:$A,Blades!$C:$C)+_xludf.XLOOKUP(_xludf.XLOOKUP(B2979,Inventory!$A:$A,Inventory!$C:$C),Motor!$A:$A,Motor!$C:$C)+_xludf.XLOOKUP(_xludf.XLOOKUP(B2979,Inventory!$A:$A,Inventory!$D:$D),Frame!$A:$A,Frame!$C:$C)+#REF!,""))</f>
        <v/>
      </c>
      <c r="E2979" s="4">
        <v>46214</v>
      </c>
      <c r="F2979" s="1" t="s">
        <v>25</v>
      </c>
    </row>
    <row r="2980" spans="1:6" x14ac:dyDescent="0.25">
      <c r="A2980" s="1" t="s">
        <v>5970</v>
      </c>
      <c r="B2980" s="1" t="s">
        <v>5971</v>
      </c>
      <c r="C2980" s="3">
        <v>200</v>
      </c>
      <c r="D2980" s="3" t="str">
        <f ca="1">IF(B2980="","",IFERROR(_xludf.XLOOKUP(_xludf.XLOOKUP(B2980,Inventory!$A:$A,Inventory!$B:$B),Blades!$A:$A,Blades!$C:$C)+_xludf.XLOOKUP(_xludf.XLOOKUP(B2980,Inventory!$A:$A,Inventory!$C:$C),Motor!$A:$A,Motor!$C:$C)+_xludf.XLOOKUP(_xludf.XLOOKUP(B2980,Inventory!$A:$A,Inventory!$D:$D),Frame!$A:$A,Frame!$C:$C)+#REF!,""))</f>
        <v/>
      </c>
      <c r="E2980" s="4">
        <v>46214</v>
      </c>
      <c r="F2980" s="1" t="s">
        <v>32</v>
      </c>
    </row>
    <row r="2981" spans="1:6" x14ac:dyDescent="0.25">
      <c r="A2981" s="1" t="s">
        <v>5972</v>
      </c>
      <c r="B2981" s="1" t="s">
        <v>5973</v>
      </c>
      <c r="C2981" s="3">
        <v>200</v>
      </c>
      <c r="D2981" s="3" t="str">
        <f ca="1">IF(B2981="","",IFERROR(_xludf.XLOOKUP(_xludf.XLOOKUP(B2981,Inventory!$A:$A,Inventory!$B:$B),Blades!$A:$A,Blades!$C:$C)+_xludf.XLOOKUP(_xludf.XLOOKUP(B2981,Inventory!$A:$A,Inventory!$C:$C),Motor!$A:$A,Motor!$C:$C)+_xludf.XLOOKUP(_xludf.XLOOKUP(B2981,Inventory!$A:$A,Inventory!$D:$D),Frame!$A:$A,Frame!$C:$C)+#REF!,""))</f>
        <v/>
      </c>
      <c r="E2981" s="4">
        <v>46215</v>
      </c>
      <c r="F2981" s="1" t="s">
        <v>63</v>
      </c>
    </row>
    <row r="2982" spans="1:6" x14ac:dyDescent="0.25">
      <c r="A2982" s="1" t="s">
        <v>5974</v>
      </c>
      <c r="B2982" s="1" t="s">
        <v>5975</v>
      </c>
      <c r="C2982" s="3">
        <v>200</v>
      </c>
      <c r="D2982" s="3" t="str">
        <f ca="1">IF(B2982="","",IFERROR(_xludf.XLOOKUP(_xludf.XLOOKUP(B2982,Inventory!$A:$A,Inventory!$B:$B),Blades!$A:$A,Blades!$C:$C)+_xludf.XLOOKUP(_xludf.XLOOKUP(B2982,Inventory!$A:$A,Inventory!$C:$C),Motor!$A:$A,Motor!$C:$C)+_xludf.XLOOKUP(_xludf.XLOOKUP(B2982,Inventory!$A:$A,Inventory!$D:$D),Frame!$A:$A,Frame!$C:$C)+#REF!,""))</f>
        <v/>
      </c>
      <c r="E2982" s="4">
        <v>46217</v>
      </c>
      <c r="F2982" s="1" t="s">
        <v>49</v>
      </c>
    </row>
    <row r="2983" spans="1:6" x14ac:dyDescent="0.25">
      <c r="A2983" s="1" t="s">
        <v>5976</v>
      </c>
      <c r="B2983" s="1" t="s">
        <v>5977</v>
      </c>
      <c r="C2983" s="3">
        <v>200</v>
      </c>
      <c r="D2983" s="3" t="str">
        <f ca="1">IF(B2983="","",IFERROR(_xludf.XLOOKUP(_xludf.XLOOKUP(B2983,Inventory!$A:$A,Inventory!$B:$B),Blades!$A:$A,Blades!$C:$C)+_xludf.XLOOKUP(_xludf.XLOOKUP(B2983,Inventory!$A:$A,Inventory!$C:$C),Motor!$A:$A,Motor!$C:$C)+_xludf.XLOOKUP(_xludf.XLOOKUP(B2983,Inventory!$A:$A,Inventory!$D:$D),Frame!$A:$A,Frame!$C:$C)+#REF!,""))</f>
        <v/>
      </c>
      <c r="E2983" s="4">
        <v>46217</v>
      </c>
      <c r="F2983" s="1" t="s">
        <v>25</v>
      </c>
    </row>
    <row r="2984" spans="1:6" x14ac:dyDescent="0.25">
      <c r="A2984" s="1" t="s">
        <v>5978</v>
      </c>
      <c r="B2984" s="1" t="s">
        <v>5979</v>
      </c>
      <c r="C2984" s="3">
        <v>200</v>
      </c>
      <c r="D2984" s="3" t="str">
        <f ca="1">IF(B2984="","",IFERROR(_xludf.XLOOKUP(_xludf.XLOOKUP(B2984,Inventory!$A:$A,Inventory!$B:$B),Blades!$A:$A,Blades!$C:$C)+_xludf.XLOOKUP(_xludf.XLOOKUP(B2984,Inventory!$A:$A,Inventory!$C:$C),Motor!$A:$A,Motor!$C:$C)+_xludf.XLOOKUP(_xludf.XLOOKUP(B2984,Inventory!$A:$A,Inventory!$D:$D),Frame!$A:$A,Frame!$C:$C)+#REF!,""))</f>
        <v/>
      </c>
      <c r="E2984" s="4">
        <v>46217</v>
      </c>
      <c r="F2984" s="1" t="s">
        <v>11</v>
      </c>
    </row>
    <row r="2985" spans="1:6" x14ac:dyDescent="0.25">
      <c r="A2985" s="1" t="s">
        <v>5980</v>
      </c>
      <c r="B2985" s="1" t="s">
        <v>5981</v>
      </c>
      <c r="C2985" s="3">
        <v>200</v>
      </c>
      <c r="D2985" s="3" t="str">
        <f ca="1">IF(B2985="","",IFERROR(_xludf.XLOOKUP(_xludf.XLOOKUP(B2985,Inventory!$A:$A,Inventory!$B:$B),Blades!$A:$A,Blades!$C:$C)+_xludf.XLOOKUP(_xludf.XLOOKUP(B2985,Inventory!$A:$A,Inventory!$C:$C),Motor!$A:$A,Motor!$C:$C)+_xludf.XLOOKUP(_xludf.XLOOKUP(B2985,Inventory!$A:$A,Inventory!$D:$D),Frame!$A:$A,Frame!$C:$C)+#REF!,""))</f>
        <v/>
      </c>
      <c r="E2985" s="4">
        <v>46217</v>
      </c>
      <c r="F2985" s="1" t="s">
        <v>11</v>
      </c>
    </row>
    <row r="2986" spans="1:6" x14ac:dyDescent="0.25">
      <c r="A2986" s="1" t="s">
        <v>5982</v>
      </c>
      <c r="B2986" s="1" t="s">
        <v>5983</v>
      </c>
      <c r="C2986" s="3">
        <v>200</v>
      </c>
      <c r="D2986" s="3" t="str">
        <f ca="1">IF(B2986="","",IFERROR(_xludf.XLOOKUP(_xludf.XLOOKUP(B2986,Inventory!$A:$A,Inventory!$B:$B),Blades!$A:$A,Blades!$C:$C)+_xludf.XLOOKUP(_xludf.XLOOKUP(B2986,Inventory!$A:$A,Inventory!$C:$C),Motor!$A:$A,Motor!$C:$C)+_xludf.XLOOKUP(_xludf.XLOOKUP(B2986,Inventory!$A:$A,Inventory!$D:$D),Frame!$A:$A,Frame!$C:$C)+#REF!,""))</f>
        <v/>
      </c>
      <c r="E2986" s="4">
        <v>46218</v>
      </c>
      <c r="F2986" s="1" t="s">
        <v>49</v>
      </c>
    </row>
    <row r="2987" spans="1:6" x14ac:dyDescent="0.25">
      <c r="A2987" s="1" t="s">
        <v>5984</v>
      </c>
      <c r="B2987" s="1" t="s">
        <v>5985</v>
      </c>
      <c r="C2987" s="3">
        <v>200</v>
      </c>
      <c r="D2987" s="3" t="str">
        <f ca="1">IF(B2987="","",IFERROR(_xludf.XLOOKUP(_xludf.XLOOKUP(B2987,Inventory!$A:$A,Inventory!$B:$B),Blades!$A:$A,Blades!$C:$C)+_xludf.XLOOKUP(_xludf.XLOOKUP(B2987,Inventory!$A:$A,Inventory!$C:$C),Motor!$A:$A,Motor!$C:$C)+_xludf.XLOOKUP(_xludf.XLOOKUP(B2987,Inventory!$A:$A,Inventory!$D:$D),Frame!$A:$A,Frame!$C:$C)+#REF!,""))</f>
        <v/>
      </c>
      <c r="E2987" s="4">
        <v>46218</v>
      </c>
      <c r="F2987" s="1" t="s">
        <v>11</v>
      </c>
    </row>
    <row r="2988" spans="1:6" x14ac:dyDescent="0.25">
      <c r="A2988" s="1" t="s">
        <v>5986</v>
      </c>
      <c r="B2988" s="1" t="s">
        <v>5987</v>
      </c>
      <c r="C2988" s="3">
        <v>200</v>
      </c>
      <c r="D2988" s="3" t="str">
        <f ca="1">IF(B2988="","",IFERROR(_xludf.XLOOKUP(_xludf.XLOOKUP(B2988,Inventory!$A:$A,Inventory!$B:$B),Blades!$A:$A,Blades!$C:$C)+_xludf.XLOOKUP(_xludf.XLOOKUP(B2988,Inventory!$A:$A,Inventory!$C:$C),Motor!$A:$A,Motor!$C:$C)+_xludf.XLOOKUP(_xludf.XLOOKUP(B2988,Inventory!$A:$A,Inventory!$D:$D),Frame!$A:$A,Frame!$C:$C)+#REF!,""))</f>
        <v/>
      </c>
      <c r="E2988" s="4">
        <v>46218</v>
      </c>
      <c r="F2988" s="1" t="s">
        <v>11</v>
      </c>
    </row>
    <row r="2989" spans="1:6" x14ac:dyDescent="0.25">
      <c r="A2989" s="1" t="s">
        <v>5988</v>
      </c>
      <c r="B2989" s="1" t="s">
        <v>5989</v>
      </c>
      <c r="C2989" s="3">
        <v>200</v>
      </c>
      <c r="D2989" s="3" t="str">
        <f ca="1">IF(B2989="","",IFERROR(_xludf.XLOOKUP(_xludf.XLOOKUP(B2989,Inventory!$A:$A,Inventory!$B:$B),Blades!$A:$A,Blades!$C:$C)+_xludf.XLOOKUP(_xludf.XLOOKUP(B2989,Inventory!$A:$A,Inventory!$C:$C),Motor!$A:$A,Motor!$C:$C)+_xludf.XLOOKUP(_xludf.XLOOKUP(B2989,Inventory!$A:$A,Inventory!$D:$D),Frame!$A:$A,Frame!$C:$C)+#REF!,""))</f>
        <v/>
      </c>
      <c r="E2989" s="4">
        <v>46219</v>
      </c>
      <c r="F2989" s="1" t="s">
        <v>63</v>
      </c>
    </row>
    <row r="2990" spans="1:6" x14ac:dyDescent="0.25">
      <c r="A2990" s="1" t="s">
        <v>5990</v>
      </c>
      <c r="B2990" s="1" t="s">
        <v>5991</v>
      </c>
      <c r="C2990" s="3">
        <v>200</v>
      </c>
      <c r="D2990" s="3" t="str">
        <f ca="1">IF(B2990="","",IFERROR(_xludf.XLOOKUP(_xludf.XLOOKUP(B2990,Inventory!$A:$A,Inventory!$B:$B),Blades!$A:$A,Blades!$C:$C)+_xludf.XLOOKUP(_xludf.XLOOKUP(B2990,Inventory!$A:$A,Inventory!$C:$C),Motor!$A:$A,Motor!$C:$C)+_xludf.XLOOKUP(_xludf.XLOOKUP(B2990,Inventory!$A:$A,Inventory!$D:$D),Frame!$A:$A,Frame!$C:$C)+#REF!,""))</f>
        <v/>
      </c>
      <c r="E2990" s="4">
        <v>46220</v>
      </c>
      <c r="F2990" s="1" t="s">
        <v>20</v>
      </c>
    </row>
    <row r="2991" spans="1:6" x14ac:dyDescent="0.25">
      <c r="A2991" s="1" t="s">
        <v>5992</v>
      </c>
      <c r="B2991" s="1" t="s">
        <v>5993</v>
      </c>
      <c r="C2991" s="3">
        <v>200</v>
      </c>
      <c r="D2991" s="3" t="str">
        <f ca="1">IF(B2991="","",IFERROR(_xludf.XLOOKUP(_xludf.XLOOKUP(B2991,Inventory!$A:$A,Inventory!$B:$B),Blades!$A:$A,Blades!$C:$C)+_xludf.XLOOKUP(_xludf.XLOOKUP(B2991,Inventory!$A:$A,Inventory!$C:$C),Motor!$A:$A,Motor!$C:$C)+_xludf.XLOOKUP(_xludf.XLOOKUP(B2991,Inventory!$A:$A,Inventory!$D:$D),Frame!$A:$A,Frame!$C:$C)+#REF!,""))</f>
        <v/>
      </c>
      <c r="E2991" s="4">
        <v>46220</v>
      </c>
      <c r="F2991" s="1" t="s">
        <v>20</v>
      </c>
    </row>
    <row r="2992" spans="1:6" x14ac:dyDescent="0.25">
      <c r="A2992" s="1" t="s">
        <v>5994</v>
      </c>
      <c r="B2992" s="1" t="s">
        <v>5995</v>
      </c>
      <c r="C2992" s="3">
        <v>200</v>
      </c>
      <c r="D2992" s="3" t="str">
        <f ca="1">IF(B2992="","",IFERROR(_xludf.XLOOKUP(_xludf.XLOOKUP(B2992,Inventory!$A:$A,Inventory!$B:$B),Blades!$A:$A,Blades!$C:$C)+_xludf.XLOOKUP(_xludf.XLOOKUP(B2992,Inventory!$A:$A,Inventory!$C:$C),Motor!$A:$A,Motor!$C:$C)+_xludf.XLOOKUP(_xludf.XLOOKUP(B2992,Inventory!$A:$A,Inventory!$D:$D),Frame!$A:$A,Frame!$C:$C)+#REF!,""))</f>
        <v/>
      </c>
      <c r="E2992" s="4">
        <v>46220</v>
      </c>
      <c r="F2992" s="1" t="s">
        <v>32</v>
      </c>
    </row>
    <row r="2993" spans="1:6" x14ac:dyDescent="0.25">
      <c r="A2993" s="1" t="s">
        <v>5996</v>
      </c>
      <c r="B2993" s="1" t="s">
        <v>5997</v>
      </c>
      <c r="C2993" s="3">
        <v>200</v>
      </c>
      <c r="D2993" s="3" t="str">
        <f ca="1">IF(B2993="","",IFERROR(_xludf.XLOOKUP(_xludf.XLOOKUP(B2993,Inventory!$A:$A,Inventory!$B:$B),Blades!$A:$A,Blades!$C:$C)+_xludf.XLOOKUP(_xludf.XLOOKUP(B2993,Inventory!$A:$A,Inventory!$C:$C),Motor!$A:$A,Motor!$C:$C)+_xludf.XLOOKUP(_xludf.XLOOKUP(B2993,Inventory!$A:$A,Inventory!$D:$D),Frame!$A:$A,Frame!$C:$C)+#REF!,""))</f>
        <v/>
      </c>
      <c r="E2993" s="4">
        <v>46221</v>
      </c>
      <c r="F2993" s="1" t="s">
        <v>11</v>
      </c>
    </row>
    <row r="2994" spans="1:6" x14ac:dyDescent="0.25">
      <c r="A2994" s="1" t="s">
        <v>5998</v>
      </c>
      <c r="B2994" s="1" t="s">
        <v>5999</v>
      </c>
      <c r="C2994" s="3">
        <v>200</v>
      </c>
      <c r="D2994" s="3" t="str">
        <f ca="1">IF(B2994="","",IFERROR(_xludf.XLOOKUP(_xludf.XLOOKUP(B2994,Inventory!$A:$A,Inventory!$B:$B),Blades!$A:$A,Blades!$C:$C)+_xludf.XLOOKUP(_xludf.XLOOKUP(B2994,Inventory!$A:$A,Inventory!$C:$C),Motor!$A:$A,Motor!$C:$C)+_xludf.XLOOKUP(_xludf.XLOOKUP(B2994,Inventory!$A:$A,Inventory!$D:$D),Frame!$A:$A,Frame!$C:$C)+#REF!,""))</f>
        <v/>
      </c>
      <c r="E2994" s="4">
        <v>46221</v>
      </c>
      <c r="F2994" s="1" t="s">
        <v>20</v>
      </c>
    </row>
    <row r="2995" spans="1:6" x14ac:dyDescent="0.25">
      <c r="A2995" s="1" t="s">
        <v>6000</v>
      </c>
      <c r="B2995" s="1" t="s">
        <v>6001</v>
      </c>
      <c r="C2995" s="3">
        <v>200</v>
      </c>
      <c r="D2995" s="3" t="str">
        <f ca="1">IF(B2995="","",IFERROR(_xludf.XLOOKUP(_xludf.XLOOKUP(B2995,Inventory!$A:$A,Inventory!$B:$B),Blades!$A:$A,Blades!$C:$C)+_xludf.XLOOKUP(_xludf.XLOOKUP(B2995,Inventory!$A:$A,Inventory!$C:$C),Motor!$A:$A,Motor!$C:$C)+_xludf.XLOOKUP(_xludf.XLOOKUP(B2995,Inventory!$A:$A,Inventory!$D:$D),Frame!$A:$A,Frame!$C:$C)+#REF!,""))</f>
        <v/>
      </c>
      <c r="E2995" s="4">
        <v>46221</v>
      </c>
      <c r="F2995" s="1" t="s">
        <v>52</v>
      </c>
    </row>
    <row r="2996" spans="1:6" x14ac:dyDescent="0.25">
      <c r="A2996" s="1" t="s">
        <v>6002</v>
      </c>
      <c r="B2996" s="1" t="s">
        <v>6003</v>
      </c>
      <c r="C2996" s="3">
        <v>200</v>
      </c>
      <c r="D2996" s="3" t="str">
        <f ca="1">IF(B2996="","",IFERROR(_xludf.XLOOKUP(_xludf.XLOOKUP(B2996,Inventory!$A:$A,Inventory!$B:$B),Blades!$A:$A,Blades!$C:$C)+_xludf.XLOOKUP(_xludf.XLOOKUP(B2996,Inventory!$A:$A,Inventory!$C:$C),Motor!$A:$A,Motor!$C:$C)+_xludf.XLOOKUP(_xludf.XLOOKUP(B2996,Inventory!$A:$A,Inventory!$D:$D),Frame!$A:$A,Frame!$C:$C)+#REF!,""))</f>
        <v/>
      </c>
      <c r="E2996" s="4">
        <v>46221</v>
      </c>
      <c r="F2996" s="1" t="s">
        <v>11</v>
      </c>
    </row>
    <row r="2997" spans="1:6" x14ac:dyDescent="0.25">
      <c r="A2997" s="1" t="s">
        <v>6004</v>
      </c>
      <c r="B2997" s="1" t="s">
        <v>6005</v>
      </c>
      <c r="C2997" s="3">
        <v>200</v>
      </c>
      <c r="D2997" s="3" t="str">
        <f ca="1">IF(B2997="","",IFERROR(_xludf.XLOOKUP(_xludf.XLOOKUP(B2997,Inventory!$A:$A,Inventory!$B:$B),Blades!$A:$A,Blades!$C:$C)+_xludf.XLOOKUP(_xludf.XLOOKUP(B2997,Inventory!$A:$A,Inventory!$C:$C),Motor!$A:$A,Motor!$C:$C)+_xludf.XLOOKUP(_xludf.XLOOKUP(B2997,Inventory!$A:$A,Inventory!$D:$D),Frame!$A:$A,Frame!$C:$C)+#REF!,""))</f>
        <v/>
      </c>
      <c r="E2997" s="4">
        <v>46221</v>
      </c>
      <c r="F2997" s="1" t="s">
        <v>32</v>
      </c>
    </row>
    <row r="2998" spans="1:6" x14ac:dyDescent="0.25">
      <c r="A2998" s="1" t="s">
        <v>6006</v>
      </c>
      <c r="B2998" s="1" t="s">
        <v>6007</v>
      </c>
      <c r="C2998" s="3">
        <v>200</v>
      </c>
      <c r="D2998" s="3" t="str">
        <f ca="1">IF(B2998="","",IFERROR(_xludf.XLOOKUP(_xludf.XLOOKUP(B2998,Inventory!$A:$A,Inventory!$B:$B),Blades!$A:$A,Blades!$C:$C)+_xludf.XLOOKUP(_xludf.XLOOKUP(B2998,Inventory!$A:$A,Inventory!$C:$C),Motor!$A:$A,Motor!$C:$C)+_xludf.XLOOKUP(_xludf.XLOOKUP(B2998,Inventory!$A:$A,Inventory!$D:$D),Frame!$A:$A,Frame!$C:$C)+#REF!,""))</f>
        <v/>
      </c>
      <c r="E2998" s="4">
        <v>46221</v>
      </c>
      <c r="F2998" s="1" t="s">
        <v>52</v>
      </c>
    </row>
    <row r="2999" spans="1:6" x14ac:dyDescent="0.25">
      <c r="A2999" s="1" t="s">
        <v>6008</v>
      </c>
      <c r="B2999" s="1" t="s">
        <v>6009</v>
      </c>
      <c r="C2999" s="3">
        <v>200</v>
      </c>
      <c r="D2999" s="3" t="str">
        <f ca="1">IF(B2999="","",IFERROR(_xludf.XLOOKUP(_xludf.XLOOKUP(B2999,Inventory!$A:$A,Inventory!$B:$B),Blades!$A:$A,Blades!$C:$C)+_xludf.XLOOKUP(_xludf.XLOOKUP(B2999,Inventory!$A:$A,Inventory!$C:$C),Motor!$A:$A,Motor!$C:$C)+_xludf.XLOOKUP(_xludf.XLOOKUP(B2999,Inventory!$A:$A,Inventory!$D:$D),Frame!$A:$A,Frame!$C:$C)+#REF!,""))</f>
        <v/>
      </c>
      <c r="E2999" s="4">
        <v>46223</v>
      </c>
      <c r="F2999" s="1" t="s">
        <v>63</v>
      </c>
    </row>
    <row r="3000" spans="1:6" x14ac:dyDescent="0.25">
      <c r="A3000" s="1" t="s">
        <v>6010</v>
      </c>
      <c r="B3000" s="1" t="s">
        <v>6011</v>
      </c>
      <c r="C3000" s="3">
        <v>200</v>
      </c>
      <c r="D3000" s="3" t="str">
        <f ca="1">IF(B3000="","",IFERROR(_xludf.XLOOKUP(_xludf.XLOOKUP(B3000,Inventory!$A:$A,Inventory!$B:$B),Blades!$A:$A,Blades!$C:$C)+_xludf.XLOOKUP(_xludf.XLOOKUP(B3000,Inventory!$A:$A,Inventory!$C:$C),Motor!$A:$A,Motor!$C:$C)+_xludf.XLOOKUP(_xludf.XLOOKUP(B3000,Inventory!$A:$A,Inventory!$D:$D),Frame!$A:$A,Frame!$C:$C)+#REF!,""))</f>
        <v/>
      </c>
      <c r="E3000" s="4">
        <v>46223</v>
      </c>
      <c r="F3000" s="1" t="s">
        <v>8</v>
      </c>
    </row>
    <row r="3001" spans="1:6" x14ac:dyDescent="0.25">
      <c r="A3001" s="1" t="s">
        <v>6012</v>
      </c>
      <c r="B3001" s="1" t="s">
        <v>6013</v>
      </c>
      <c r="C3001" s="3">
        <v>200</v>
      </c>
      <c r="D3001" s="3" t="str">
        <f ca="1">IF(B3001="","",IFERROR(_xludf.XLOOKUP(_xludf.XLOOKUP(B3001,Inventory!$A:$A,Inventory!$B:$B),Blades!$A:$A,Blades!$C:$C)+_xludf.XLOOKUP(_xludf.XLOOKUP(B3001,Inventory!$A:$A,Inventory!$C:$C),Motor!$A:$A,Motor!$C:$C)+_xludf.XLOOKUP(_xludf.XLOOKUP(B3001,Inventory!$A:$A,Inventory!$D:$D),Frame!$A:$A,Frame!$C:$C)+#REF!,""))</f>
        <v/>
      </c>
      <c r="E3001" s="4">
        <v>46223</v>
      </c>
      <c r="F3001" s="1" t="s">
        <v>20</v>
      </c>
    </row>
    <row r="3002" spans="1:6" x14ac:dyDescent="0.25">
      <c r="A3002" s="1" t="s">
        <v>6014</v>
      </c>
      <c r="B3002" s="1" t="s">
        <v>6015</v>
      </c>
      <c r="C3002" s="3">
        <v>200</v>
      </c>
      <c r="D3002" s="3" t="str">
        <f ca="1">IF(B3002="","",IFERROR(_xludf.XLOOKUP(_xludf.XLOOKUP(B3002,Inventory!$A:$A,Inventory!$B:$B),Blades!$A:$A,Blades!$C:$C)+_xludf.XLOOKUP(_xludf.XLOOKUP(B3002,Inventory!$A:$A,Inventory!$C:$C),Motor!$A:$A,Motor!$C:$C)+_xludf.XLOOKUP(_xludf.XLOOKUP(B3002,Inventory!$A:$A,Inventory!$D:$D),Frame!$A:$A,Frame!$C:$C)+#REF!,""))</f>
        <v/>
      </c>
      <c r="E3002" s="4">
        <v>46224</v>
      </c>
      <c r="F3002" s="1" t="s">
        <v>20</v>
      </c>
    </row>
    <row r="3003" spans="1:6" x14ac:dyDescent="0.25">
      <c r="A3003" s="1" t="s">
        <v>6016</v>
      </c>
      <c r="B3003" s="1" t="s">
        <v>6017</v>
      </c>
      <c r="C3003" s="3">
        <v>200</v>
      </c>
      <c r="D3003" s="3" t="str">
        <f ca="1">IF(B3003="","",IFERROR(_xludf.XLOOKUP(_xludf.XLOOKUP(B3003,Inventory!$A:$A,Inventory!$B:$B),Blades!$A:$A,Blades!$C:$C)+_xludf.XLOOKUP(_xludf.XLOOKUP(B3003,Inventory!$A:$A,Inventory!$C:$C),Motor!$A:$A,Motor!$C:$C)+_xludf.XLOOKUP(_xludf.XLOOKUP(B3003,Inventory!$A:$A,Inventory!$D:$D),Frame!$A:$A,Frame!$C:$C)+#REF!,""))</f>
        <v/>
      </c>
      <c r="E3003" s="4">
        <v>46224</v>
      </c>
      <c r="F3003" s="1" t="s">
        <v>63</v>
      </c>
    </row>
    <row r="3004" spans="1:6" x14ac:dyDescent="0.25">
      <c r="A3004" s="1" t="s">
        <v>6018</v>
      </c>
      <c r="B3004" s="1" t="s">
        <v>6019</v>
      </c>
      <c r="C3004" s="3">
        <v>200</v>
      </c>
      <c r="D3004" s="3" t="str">
        <f ca="1">IF(B3004="","",IFERROR(_xludf.XLOOKUP(_xludf.XLOOKUP(B3004,Inventory!$A:$A,Inventory!$B:$B),Blades!$A:$A,Blades!$C:$C)+_xludf.XLOOKUP(_xludf.XLOOKUP(B3004,Inventory!$A:$A,Inventory!$C:$C),Motor!$A:$A,Motor!$C:$C)+_xludf.XLOOKUP(_xludf.XLOOKUP(B3004,Inventory!$A:$A,Inventory!$D:$D),Frame!$A:$A,Frame!$C:$C)+#REF!,""))</f>
        <v/>
      </c>
      <c r="E3004" s="4">
        <v>46225</v>
      </c>
      <c r="F3004" s="1" t="s">
        <v>20</v>
      </c>
    </row>
    <row r="3005" spans="1:6" x14ac:dyDescent="0.25">
      <c r="A3005" s="1" t="s">
        <v>6020</v>
      </c>
      <c r="B3005" s="1" t="s">
        <v>6021</v>
      </c>
      <c r="C3005" s="3">
        <v>200</v>
      </c>
      <c r="D3005" s="3" t="str">
        <f ca="1">IF(B3005="","",IFERROR(_xludf.XLOOKUP(_xludf.XLOOKUP(B3005,Inventory!$A:$A,Inventory!$B:$B),Blades!$A:$A,Blades!$C:$C)+_xludf.XLOOKUP(_xludf.XLOOKUP(B3005,Inventory!$A:$A,Inventory!$C:$C),Motor!$A:$A,Motor!$C:$C)+_xludf.XLOOKUP(_xludf.XLOOKUP(B3005,Inventory!$A:$A,Inventory!$D:$D),Frame!$A:$A,Frame!$C:$C)+#REF!,""))</f>
        <v/>
      </c>
      <c r="E3005" s="4">
        <v>46227</v>
      </c>
      <c r="F3005" s="1" t="s">
        <v>11</v>
      </c>
    </row>
    <row r="3006" spans="1:6" x14ac:dyDescent="0.25">
      <c r="A3006" s="1" t="s">
        <v>6022</v>
      </c>
      <c r="B3006" s="1" t="s">
        <v>6023</v>
      </c>
      <c r="C3006" s="3">
        <v>200</v>
      </c>
      <c r="D3006" s="3" t="str">
        <f ca="1">IF(B3006="","",IFERROR(_xludf.XLOOKUP(_xludf.XLOOKUP(B3006,Inventory!$A:$A,Inventory!$B:$B),Blades!$A:$A,Blades!$C:$C)+_xludf.XLOOKUP(_xludf.XLOOKUP(B3006,Inventory!$A:$A,Inventory!$C:$C),Motor!$A:$A,Motor!$C:$C)+_xludf.XLOOKUP(_xludf.XLOOKUP(B3006,Inventory!$A:$A,Inventory!$D:$D),Frame!$A:$A,Frame!$C:$C)+#REF!,""))</f>
        <v/>
      </c>
      <c r="E3006" s="4">
        <v>46227</v>
      </c>
      <c r="F3006" s="1" t="s">
        <v>32</v>
      </c>
    </row>
    <row r="3007" spans="1:6" x14ac:dyDescent="0.25">
      <c r="A3007" s="1" t="s">
        <v>6024</v>
      </c>
      <c r="B3007" s="1" t="s">
        <v>6025</v>
      </c>
      <c r="C3007" s="3">
        <v>200</v>
      </c>
      <c r="D3007" s="3" t="str">
        <f ca="1">IF(B3007="","",IFERROR(_xludf.XLOOKUP(_xludf.XLOOKUP(B3007,Inventory!$A:$A,Inventory!$B:$B),Blades!$A:$A,Blades!$C:$C)+_xludf.XLOOKUP(_xludf.XLOOKUP(B3007,Inventory!$A:$A,Inventory!$C:$C),Motor!$A:$A,Motor!$C:$C)+_xludf.XLOOKUP(_xludf.XLOOKUP(B3007,Inventory!$A:$A,Inventory!$D:$D),Frame!$A:$A,Frame!$C:$C)+#REF!,""))</f>
        <v/>
      </c>
      <c r="E3007" s="4">
        <v>46228</v>
      </c>
      <c r="F3007" s="1" t="s">
        <v>52</v>
      </c>
    </row>
    <row r="3008" spans="1:6" x14ac:dyDescent="0.25">
      <c r="A3008" s="1" t="s">
        <v>6026</v>
      </c>
      <c r="B3008" s="1" t="s">
        <v>6027</v>
      </c>
      <c r="C3008" s="3">
        <v>200</v>
      </c>
      <c r="D3008" s="3" t="str">
        <f ca="1">IF(B3008="","",IFERROR(_xludf.XLOOKUP(_xludf.XLOOKUP(B3008,Inventory!$A:$A,Inventory!$B:$B),Blades!$A:$A,Blades!$C:$C)+_xludf.XLOOKUP(_xludf.XLOOKUP(B3008,Inventory!$A:$A,Inventory!$C:$C),Motor!$A:$A,Motor!$C:$C)+_xludf.XLOOKUP(_xludf.XLOOKUP(B3008,Inventory!$A:$A,Inventory!$D:$D),Frame!$A:$A,Frame!$C:$C)+#REF!,""))</f>
        <v/>
      </c>
      <c r="E3008" s="4">
        <v>46228</v>
      </c>
      <c r="F3008" s="1" t="s">
        <v>25</v>
      </c>
    </row>
    <row r="3009" spans="1:6" x14ac:dyDescent="0.25">
      <c r="A3009" s="1" t="s">
        <v>6028</v>
      </c>
      <c r="B3009" s="1" t="s">
        <v>6029</v>
      </c>
      <c r="C3009" s="3">
        <v>200</v>
      </c>
      <c r="D3009" s="3" t="str">
        <f ca="1">IF(B3009="","",IFERROR(_xludf.XLOOKUP(_xludf.XLOOKUP(B3009,Inventory!$A:$A,Inventory!$B:$B),Blades!$A:$A,Blades!$C:$C)+_xludf.XLOOKUP(_xludf.XLOOKUP(B3009,Inventory!$A:$A,Inventory!$C:$C),Motor!$A:$A,Motor!$C:$C)+_xludf.XLOOKUP(_xludf.XLOOKUP(B3009,Inventory!$A:$A,Inventory!$D:$D),Frame!$A:$A,Frame!$C:$C)+#REF!,""))</f>
        <v/>
      </c>
      <c r="E3009" s="4">
        <v>46229</v>
      </c>
      <c r="F3009" s="1" t="s">
        <v>52</v>
      </c>
    </row>
    <row r="3010" spans="1:6" x14ac:dyDescent="0.25">
      <c r="A3010" s="1" t="s">
        <v>6030</v>
      </c>
      <c r="B3010" s="1" t="s">
        <v>6031</v>
      </c>
      <c r="C3010" s="3">
        <v>200</v>
      </c>
      <c r="D3010" s="3" t="str">
        <f ca="1">IF(B3010="","",IFERROR(_xludf.XLOOKUP(_xludf.XLOOKUP(B3010,Inventory!$A:$A,Inventory!$B:$B),Blades!$A:$A,Blades!$C:$C)+_xludf.XLOOKUP(_xludf.XLOOKUP(B3010,Inventory!$A:$A,Inventory!$C:$C),Motor!$A:$A,Motor!$C:$C)+_xludf.XLOOKUP(_xludf.XLOOKUP(B3010,Inventory!$A:$A,Inventory!$D:$D),Frame!$A:$A,Frame!$C:$C)+#REF!,""))</f>
        <v/>
      </c>
      <c r="E3010" s="4">
        <v>46230</v>
      </c>
      <c r="F3010" s="1" t="s">
        <v>52</v>
      </c>
    </row>
    <row r="3011" spans="1:6" x14ac:dyDescent="0.25">
      <c r="A3011" s="1" t="s">
        <v>6032</v>
      </c>
      <c r="B3011" s="1" t="s">
        <v>6033</v>
      </c>
      <c r="C3011" s="3">
        <v>200</v>
      </c>
      <c r="D3011" s="3" t="str">
        <f ca="1">IF(B3011="","",IFERROR(_xludf.XLOOKUP(_xludf.XLOOKUP(B3011,Inventory!$A:$A,Inventory!$B:$B),Blades!$A:$A,Blades!$C:$C)+_xludf.XLOOKUP(_xludf.XLOOKUP(B3011,Inventory!$A:$A,Inventory!$C:$C),Motor!$A:$A,Motor!$C:$C)+_xludf.XLOOKUP(_xludf.XLOOKUP(B3011,Inventory!$A:$A,Inventory!$D:$D),Frame!$A:$A,Frame!$C:$C)+#REF!,""))</f>
        <v/>
      </c>
      <c r="E3011" s="4">
        <v>46231</v>
      </c>
      <c r="F3011" s="1" t="s">
        <v>11</v>
      </c>
    </row>
    <row r="3012" spans="1:6" x14ac:dyDescent="0.25">
      <c r="A3012" s="1" t="s">
        <v>6034</v>
      </c>
      <c r="B3012" s="1" t="s">
        <v>6035</v>
      </c>
      <c r="C3012" s="3">
        <v>200</v>
      </c>
      <c r="D3012" s="3" t="str">
        <f ca="1">IF(B3012="","",IFERROR(_xludf.XLOOKUP(_xludf.XLOOKUP(B3012,Inventory!$A:$A,Inventory!$B:$B),Blades!$A:$A,Blades!$C:$C)+_xludf.XLOOKUP(_xludf.XLOOKUP(B3012,Inventory!$A:$A,Inventory!$C:$C),Motor!$A:$A,Motor!$C:$C)+_xludf.XLOOKUP(_xludf.XLOOKUP(B3012,Inventory!$A:$A,Inventory!$D:$D),Frame!$A:$A,Frame!$C:$C)+#REF!,""))</f>
        <v/>
      </c>
      <c r="E3012" s="4">
        <v>46232</v>
      </c>
      <c r="F3012" s="1" t="s">
        <v>11</v>
      </c>
    </row>
    <row r="3013" spans="1:6" x14ac:dyDescent="0.25">
      <c r="A3013" s="1" t="s">
        <v>6036</v>
      </c>
      <c r="B3013" s="1" t="s">
        <v>6037</v>
      </c>
      <c r="C3013" s="3">
        <v>200</v>
      </c>
      <c r="D3013" s="3" t="str">
        <f ca="1">IF(B3013="","",IFERROR(_xludf.XLOOKUP(_xludf.XLOOKUP(B3013,Inventory!$A:$A,Inventory!$B:$B),Blades!$A:$A,Blades!$C:$C)+_xludf.XLOOKUP(_xludf.XLOOKUP(B3013,Inventory!$A:$A,Inventory!$C:$C),Motor!$A:$A,Motor!$C:$C)+_xludf.XLOOKUP(_xludf.XLOOKUP(B3013,Inventory!$A:$A,Inventory!$D:$D),Frame!$A:$A,Frame!$C:$C)+#REF!,""))</f>
        <v/>
      </c>
      <c r="E3013" s="4">
        <v>46232</v>
      </c>
      <c r="F3013" s="1" t="s">
        <v>63</v>
      </c>
    </row>
    <row r="3014" spans="1:6" x14ac:dyDescent="0.25">
      <c r="A3014" s="1" t="s">
        <v>6038</v>
      </c>
      <c r="B3014" s="1" t="s">
        <v>6039</v>
      </c>
      <c r="C3014" s="3">
        <v>200</v>
      </c>
      <c r="D3014" s="3" t="str">
        <f ca="1">IF(B3014="","",IFERROR(_xludf.XLOOKUP(_xludf.XLOOKUP(B3014,Inventory!$A:$A,Inventory!$B:$B),Blades!$A:$A,Blades!$C:$C)+_xludf.XLOOKUP(_xludf.XLOOKUP(B3014,Inventory!$A:$A,Inventory!$C:$C),Motor!$A:$A,Motor!$C:$C)+_xludf.XLOOKUP(_xludf.XLOOKUP(B3014,Inventory!$A:$A,Inventory!$D:$D),Frame!$A:$A,Frame!$C:$C)+#REF!,""))</f>
        <v/>
      </c>
      <c r="E3014" s="4">
        <v>46232</v>
      </c>
      <c r="F3014" s="1" t="s">
        <v>52</v>
      </c>
    </row>
    <row r="3015" spans="1:6" x14ac:dyDescent="0.25">
      <c r="A3015" s="1" t="s">
        <v>6040</v>
      </c>
      <c r="B3015" s="1" t="s">
        <v>6041</v>
      </c>
      <c r="C3015" s="3">
        <v>200</v>
      </c>
      <c r="D3015" s="3" t="str">
        <f ca="1">IF(B3015="","",IFERROR(_xludf.XLOOKUP(_xludf.XLOOKUP(B3015,Inventory!$A:$A,Inventory!$B:$B),Blades!$A:$A,Blades!$C:$C)+_xludf.XLOOKUP(_xludf.XLOOKUP(B3015,Inventory!$A:$A,Inventory!$C:$C),Motor!$A:$A,Motor!$C:$C)+_xludf.XLOOKUP(_xludf.XLOOKUP(B3015,Inventory!$A:$A,Inventory!$D:$D),Frame!$A:$A,Frame!$C:$C)+#REF!,""))</f>
        <v/>
      </c>
      <c r="E3015" s="4">
        <v>46232</v>
      </c>
      <c r="F3015" s="1" t="s">
        <v>52</v>
      </c>
    </row>
    <row r="3016" spans="1:6" x14ac:dyDescent="0.25">
      <c r="A3016" s="1" t="s">
        <v>6042</v>
      </c>
      <c r="B3016" s="1" t="s">
        <v>6043</v>
      </c>
      <c r="C3016" s="3">
        <v>200</v>
      </c>
      <c r="D3016" s="3" t="str">
        <f ca="1">IF(B3016="","",IFERROR(_xludf.XLOOKUP(_xludf.XLOOKUP(B3016,Inventory!$A:$A,Inventory!$B:$B),Blades!$A:$A,Blades!$C:$C)+_xludf.XLOOKUP(_xludf.XLOOKUP(B3016,Inventory!$A:$A,Inventory!$C:$C),Motor!$A:$A,Motor!$C:$C)+_xludf.XLOOKUP(_xludf.XLOOKUP(B3016,Inventory!$A:$A,Inventory!$D:$D),Frame!$A:$A,Frame!$C:$C)+#REF!,""))</f>
        <v/>
      </c>
      <c r="E3016" s="4">
        <v>46233</v>
      </c>
      <c r="F3016" s="1" t="s">
        <v>63</v>
      </c>
    </row>
    <row r="3017" spans="1:6" x14ac:dyDescent="0.25">
      <c r="A3017" s="1" t="s">
        <v>6044</v>
      </c>
      <c r="B3017" s="1" t="s">
        <v>6045</v>
      </c>
      <c r="C3017" s="3">
        <v>200</v>
      </c>
      <c r="D3017" s="3" t="str">
        <f ca="1">IF(B3017="","",IFERROR(_xludf.XLOOKUP(_xludf.XLOOKUP(B3017,Inventory!$A:$A,Inventory!$B:$B),Blades!$A:$A,Blades!$C:$C)+_xludf.XLOOKUP(_xludf.XLOOKUP(B3017,Inventory!$A:$A,Inventory!$C:$C),Motor!$A:$A,Motor!$C:$C)+_xludf.XLOOKUP(_xludf.XLOOKUP(B3017,Inventory!$A:$A,Inventory!$D:$D),Frame!$A:$A,Frame!$C:$C)+#REF!,""))</f>
        <v/>
      </c>
      <c r="E3017" s="4">
        <v>46233</v>
      </c>
      <c r="F3017" s="1" t="s">
        <v>25</v>
      </c>
    </row>
    <row r="3018" spans="1:6" x14ac:dyDescent="0.25">
      <c r="A3018" s="1" t="s">
        <v>6046</v>
      </c>
      <c r="B3018" s="1" t="s">
        <v>6047</v>
      </c>
      <c r="C3018" s="3">
        <v>200</v>
      </c>
      <c r="D3018" s="3" t="str">
        <f ca="1">IF(B3018="","",IFERROR(_xludf.XLOOKUP(_xludf.XLOOKUP(B3018,Inventory!$A:$A,Inventory!$B:$B),Blades!$A:$A,Blades!$C:$C)+_xludf.XLOOKUP(_xludf.XLOOKUP(B3018,Inventory!$A:$A,Inventory!$C:$C),Motor!$A:$A,Motor!$C:$C)+_xludf.XLOOKUP(_xludf.XLOOKUP(B3018,Inventory!$A:$A,Inventory!$D:$D),Frame!$A:$A,Frame!$C:$C)+#REF!,""))</f>
        <v/>
      </c>
      <c r="E3018" s="4">
        <v>46234</v>
      </c>
      <c r="F3018" s="1" t="s">
        <v>11</v>
      </c>
    </row>
    <row r="3019" spans="1:6" x14ac:dyDescent="0.25">
      <c r="A3019" s="1" t="s">
        <v>6048</v>
      </c>
      <c r="B3019" s="1" t="s">
        <v>6049</v>
      </c>
      <c r="C3019" s="3">
        <v>200</v>
      </c>
      <c r="D3019" s="3" t="str">
        <f ca="1">IF(B3019="","",IFERROR(_xludf.XLOOKUP(_xludf.XLOOKUP(B3019,Inventory!$A:$A,Inventory!$B:$B),Blades!$A:$A,Blades!$C:$C)+_xludf.XLOOKUP(_xludf.XLOOKUP(B3019,Inventory!$A:$A,Inventory!$C:$C),Motor!$A:$A,Motor!$C:$C)+_xludf.XLOOKUP(_xludf.XLOOKUP(B3019,Inventory!$A:$A,Inventory!$D:$D),Frame!$A:$A,Frame!$C:$C)+#REF!,""))</f>
        <v/>
      </c>
      <c r="E3019" s="4">
        <v>46234</v>
      </c>
      <c r="F3019" s="1" t="s">
        <v>20</v>
      </c>
    </row>
    <row r="3020" spans="1:6" x14ac:dyDescent="0.25">
      <c r="A3020" s="1" t="s">
        <v>6050</v>
      </c>
      <c r="B3020" s="1" t="s">
        <v>6051</v>
      </c>
      <c r="C3020" s="3">
        <v>200</v>
      </c>
      <c r="D3020" s="3" t="str">
        <f ca="1">IF(B3020="","",IFERROR(_xludf.XLOOKUP(_xludf.XLOOKUP(B3020,Inventory!$A:$A,Inventory!$B:$B),Blades!$A:$A,Blades!$C:$C)+_xludf.XLOOKUP(_xludf.XLOOKUP(B3020,Inventory!$A:$A,Inventory!$C:$C),Motor!$A:$A,Motor!$C:$C)+_xludf.XLOOKUP(_xludf.XLOOKUP(B3020,Inventory!$A:$A,Inventory!$D:$D),Frame!$A:$A,Frame!$C:$C)+#REF!,""))</f>
        <v/>
      </c>
      <c r="E3020" s="4">
        <v>46235</v>
      </c>
      <c r="F3020" s="1" t="s">
        <v>11</v>
      </c>
    </row>
    <row r="3021" spans="1:6" x14ac:dyDescent="0.25">
      <c r="A3021" s="1" t="s">
        <v>6052</v>
      </c>
      <c r="B3021" s="1" t="s">
        <v>6053</v>
      </c>
      <c r="C3021" s="3">
        <v>200</v>
      </c>
      <c r="D3021" s="3" t="str">
        <f ca="1">IF(B3021="","",IFERROR(_xludf.XLOOKUP(_xludf.XLOOKUP(B3021,Inventory!$A:$A,Inventory!$B:$B),Blades!$A:$A,Blades!$C:$C)+_xludf.XLOOKUP(_xludf.XLOOKUP(B3021,Inventory!$A:$A,Inventory!$C:$C),Motor!$A:$A,Motor!$C:$C)+_xludf.XLOOKUP(_xludf.XLOOKUP(B3021,Inventory!$A:$A,Inventory!$D:$D),Frame!$A:$A,Frame!$C:$C)+#REF!,""))</f>
        <v/>
      </c>
      <c r="E3021" s="4">
        <v>46236</v>
      </c>
      <c r="F3021" s="1" t="s">
        <v>8</v>
      </c>
    </row>
    <row r="3022" spans="1:6" x14ac:dyDescent="0.25">
      <c r="A3022" s="1" t="s">
        <v>6054</v>
      </c>
      <c r="B3022" s="1" t="s">
        <v>6055</v>
      </c>
      <c r="C3022" s="3">
        <v>200</v>
      </c>
      <c r="D3022" s="3" t="str">
        <f ca="1">IF(B3022="","",IFERROR(_xludf.XLOOKUP(_xludf.XLOOKUP(B3022,Inventory!$A:$A,Inventory!$B:$B),Blades!$A:$A,Blades!$C:$C)+_xludf.XLOOKUP(_xludf.XLOOKUP(B3022,Inventory!$A:$A,Inventory!$C:$C),Motor!$A:$A,Motor!$C:$C)+_xludf.XLOOKUP(_xludf.XLOOKUP(B3022,Inventory!$A:$A,Inventory!$D:$D),Frame!$A:$A,Frame!$C:$C)+#REF!,""))</f>
        <v/>
      </c>
      <c r="E3022" s="4">
        <v>46236</v>
      </c>
      <c r="F3022" s="1" t="s">
        <v>20</v>
      </c>
    </row>
    <row r="3023" spans="1:6" x14ac:dyDescent="0.25">
      <c r="A3023" s="1" t="s">
        <v>6056</v>
      </c>
      <c r="B3023" s="1" t="s">
        <v>6057</v>
      </c>
      <c r="C3023" s="3">
        <v>200</v>
      </c>
      <c r="D3023" s="3" t="str">
        <f ca="1">IF(B3023="","",IFERROR(_xludf.XLOOKUP(_xludf.XLOOKUP(B3023,Inventory!$A:$A,Inventory!$B:$B),Blades!$A:$A,Blades!$C:$C)+_xludf.XLOOKUP(_xludf.XLOOKUP(B3023,Inventory!$A:$A,Inventory!$C:$C),Motor!$A:$A,Motor!$C:$C)+_xludf.XLOOKUP(_xludf.XLOOKUP(B3023,Inventory!$A:$A,Inventory!$D:$D),Frame!$A:$A,Frame!$C:$C)+#REF!,""))</f>
        <v/>
      </c>
      <c r="E3023" s="4">
        <v>46236</v>
      </c>
      <c r="F3023" s="1" t="s">
        <v>32</v>
      </c>
    </row>
    <row r="3024" spans="1:6" x14ac:dyDescent="0.25">
      <c r="A3024" s="1" t="s">
        <v>6058</v>
      </c>
      <c r="B3024" s="1" t="s">
        <v>6059</v>
      </c>
      <c r="C3024" s="3">
        <v>200</v>
      </c>
      <c r="D3024" s="3" t="str">
        <f ca="1">IF(B3024="","",IFERROR(_xludf.XLOOKUP(_xludf.XLOOKUP(B3024,Inventory!$A:$A,Inventory!$B:$B),Blades!$A:$A,Blades!$C:$C)+_xludf.XLOOKUP(_xludf.XLOOKUP(B3024,Inventory!$A:$A,Inventory!$C:$C),Motor!$A:$A,Motor!$C:$C)+_xludf.XLOOKUP(_xludf.XLOOKUP(B3024,Inventory!$A:$A,Inventory!$D:$D),Frame!$A:$A,Frame!$C:$C)+#REF!,""))</f>
        <v/>
      </c>
      <c r="E3024" s="4">
        <v>46236</v>
      </c>
      <c r="F3024" s="1" t="s">
        <v>52</v>
      </c>
    </row>
    <row r="3025" spans="1:6" x14ac:dyDescent="0.25">
      <c r="A3025" s="1" t="s">
        <v>6060</v>
      </c>
      <c r="B3025" s="1" t="s">
        <v>6061</v>
      </c>
      <c r="C3025" s="3">
        <v>200</v>
      </c>
      <c r="D3025" s="3" t="str">
        <f ca="1">IF(B3025="","",IFERROR(_xludf.XLOOKUP(_xludf.XLOOKUP(B3025,Inventory!$A:$A,Inventory!$B:$B),Blades!$A:$A,Blades!$C:$C)+_xludf.XLOOKUP(_xludf.XLOOKUP(B3025,Inventory!$A:$A,Inventory!$C:$C),Motor!$A:$A,Motor!$C:$C)+_xludf.XLOOKUP(_xludf.XLOOKUP(B3025,Inventory!$A:$A,Inventory!$D:$D),Frame!$A:$A,Frame!$C:$C)+#REF!,""))</f>
        <v/>
      </c>
      <c r="E3025" s="4">
        <v>46237</v>
      </c>
      <c r="F3025" s="1" t="s">
        <v>32</v>
      </c>
    </row>
    <row r="3026" spans="1:6" x14ac:dyDescent="0.25">
      <c r="A3026" s="1" t="s">
        <v>6062</v>
      </c>
      <c r="B3026" s="1" t="s">
        <v>6063</v>
      </c>
      <c r="C3026" s="3">
        <v>200</v>
      </c>
      <c r="D3026" s="3" t="str">
        <f ca="1">IF(B3026="","",IFERROR(_xludf.XLOOKUP(_xludf.XLOOKUP(B3026,Inventory!$A:$A,Inventory!$B:$B),Blades!$A:$A,Blades!$C:$C)+_xludf.XLOOKUP(_xludf.XLOOKUP(B3026,Inventory!$A:$A,Inventory!$C:$C),Motor!$A:$A,Motor!$C:$C)+_xludf.XLOOKUP(_xludf.XLOOKUP(B3026,Inventory!$A:$A,Inventory!$D:$D),Frame!$A:$A,Frame!$C:$C)+#REF!,""))</f>
        <v/>
      </c>
      <c r="E3026" s="4">
        <v>46238</v>
      </c>
      <c r="F3026" s="1" t="s">
        <v>11</v>
      </c>
    </row>
    <row r="3027" spans="1:6" x14ac:dyDescent="0.25">
      <c r="A3027" s="1" t="s">
        <v>6064</v>
      </c>
      <c r="B3027" s="1" t="s">
        <v>6065</v>
      </c>
      <c r="C3027" s="3">
        <v>200</v>
      </c>
      <c r="D3027" s="3" t="str">
        <f ca="1">IF(B3027="","",IFERROR(_xludf.XLOOKUP(_xludf.XLOOKUP(B3027,Inventory!$A:$A,Inventory!$B:$B),Blades!$A:$A,Blades!$C:$C)+_xludf.XLOOKUP(_xludf.XLOOKUP(B3027,Inventory!$A:$A,Inventory!$C:$C),Motor!$A:$A,Motor!$C:$C)+_xludf.XLOOKUP(_xludf.XLOOKUP(B3027,Inventory!$A:$A,Inventory!$D:$D),Frame!$A:$A,Frame!$C:$C)+#REF!,""))</f>
        <v/>
      </c>
      <c r="E3027" s="4">
        <v>46240</v>
      </c>
      <c r="F3027" s="1" t="s">
        <v>20</v>
      </c>
    </row>
    <row r="3028" spans="1:6" x14ac:dyDescent="0.25">
      <c r="A3028" s="1" t="s">
        <v>6066</v>
      </c>
      <c r="B3028" s="1" t="s">
        <v>6067</v>
      </c>
      <c r="C3028" s="3">
        <v>200</v>
      </c>
      <c r="D3028" s="3" t="str">
        <f ca="1">IF(B3028="","",IFERROR(_xludf.XLOOKUP(_xludf.XLOOKUP(B3028,Inventory!$A:$A,Inventory!$B:$B),Blades!$A:$A,Blades!$C:$C)+_xludf.XLOOKUP(_xludf.XLOOKUP(B3028,Inventory!$A:$A,Inventory!$C:$C),Motor!$A:$A,Motor!$C:$C)+_xludf.XLOOKUP(_xludf.XLOOKUP(B3028,Inventory!$A:$A,Inventory!$D:$D),Frame!$A:$A,Frame!$C:$C)+#REF!,""))</f>
        <v/>
      </c>
      <c r="E3028" s="4">
        <v>46241</v>
      </c>
      <c r="F3028" s="1" t="s">
        <v>52</v>
      </c>
    </row>
    <row r="3029" spans="1:6" x14ac:dyDescent="0.25">
      <c r="A3029" s="1" t="s">
        <v>6068</v>
      </c>
      <c r="B3029" s="1" t="s">
        <v>6069</v>
      </c>
      <c r="C3029" s="3">
        <v>200</v>
      </c>
      <c r="D3029" s="3" t="str">
        <f ca="1">IF(B3029="","",IFERROR(_xludf.XLOOKUP(_xludf.XLOOKUP(B3029,Inventory!$A:$A,Inventory!$B:$B),Blades!$A:$A,Blades!$C:$C)+_xludf.XLOOKUP(_xludf.XLOOKUP(B3029,Inventory!$A:$A,Inventory!$C:$C),Motor!$A:$A,Motor!$C:$C)+_xludf.XLOOKUP(_xludf.XLOOKUP(B3029,Inventory!$A:$A,Inventory!$D:$D),Frame!$A:$A,Frame!$C:$C)+#REF!,""))</f>
        <v/>
      </c>
      <c r="E3029" s="4">
        <v>46242</v>
      </c>
      <c r="F3029" s="1" t="s">
        <v>32</v>
      </c>
    </row>
    <row r="3030" spans="1:6" x14ac:dyDescent="0.25">
      <c r="A3030" s="1" t="s">
        <v>6070</v>
      </c>
      <c r="B3030" s="1" t="s">
        <v>6071</v>
      </c>
      <c r="C3030" s="3">
        <v>200</v>
      </c>
      <c r="D3030" s="3" t="str">
        <f ca="1">IF(B3030="","",IFERROR(_xludf.XLOOKUP(_xludf.XLOOKUP(B3030,Inventory!$A:$A,Inventory!$B:$B),Blades!$A:$A,Blades!$C:$C)+_xludf.XLOOKUP(_xludf.XLOOKUP(B3030,Inventory!$A:$A,Inventory!$C:$C),Motor!$A:$A,Motor!$C:$C)+_xludf.XLOOKUP(_xludf.XLOOKUP(B3030,Inventory!$A:$A,Inventory!$D:$D),Frame!$A:$A,Frame!$C:$C)+#REF!,""))</f>
        <v/>
      </c>
      <c r="E3030" s="4">
        <v>46243</v>
      </c>
      <c r="F3030" s="1" t="s">
        <v>25</v>
      </c>
    </row>
    <row r="3031" spans="1:6" x14ac:dyDescent="0.25">
      <c r="A3031" s="1" t="s">
        <v>6072</v>
      </c>
      <c r="B3031" s="1" t="s">
        <v>6073</v>
      </c>
      <c r="C3031" s="3">
        <v>200</v>
      </c>
      <c r="D3031" s="3" t="str">
        <f ca="1">IF(B3031="","",IFERROR(_xludf.XLOOKUP(_xludf.XLOOKUP(B3031,Inventory!$A:$A,Inventory!$B:$B),Blades!$A:$A,Blades!$C:$C)+_xludf.XLOOKUP(_xludf.XLOOKUP(B3031,Inventory!$A:$A,Inventory!$C:$C),Motor!$A:$A,Motor!$C:$C)+_xludf.XLOOKUP(_xludf.XLOOKUP(B3031,Inventory!$A:$A,Inventory!$D:$D),Frame!$A:$A,Frame!$C:$C)+#REF!,""))</f>
        <v/>
      </c>
      <c r="E3031" s="4">
        <v>46244</v>
      </c>
      <c r="F3031" s="1" t="s">
        <v>49</v>
      </c>
    </row>
    <row r="3032" spans="1:6" x14ac:dyDescent="0.25">
      <c r="A3032" s="1" t="s">
        <v>6074</v>
      </c>
      <c r="B3032" s="1" t="s">
        <v>6075</v>
      </c>
      <c r="C3032" s="3">
        <v>200</v>
      </c>
      <c r="D3032" s="3" t="str">
        <f ca="1">IF(B3032="","",IFERROR(_xludf.XLOOKUP(_xludf.XLOOKUP(B3032,Inventory!$A:$A,Inventory!$B:$B),Blades!$A:$A,Blades!$C:$C)+_xludf.XLOOKUP(_xludf.XLOOKUP(B3032,Inventory!$A:$A,Inventory!$C:$C),Motor!$A:$A,Motor!$C:$C)+_xludf.XLOOKUP(_xludf.XLOOKUP(B3032,Inventory!$A:$A,Inventory!$D:$D),Frame!$A:$A,Frame!$C:$C)+#REF!,""))</f>
        <v/>
      </c>
      <c r="E3032" s="4">
        <v>46244</v>
      </c>
      <c r="F3032" s="1" t="s">
        <v>63</v>
      </c>
    </row>
    <row r="3033" spans="1:6" x14ac:dyDescent="0.25">
      <c r="A3033" s="1" t="s">
        <v>6076</v>
      </c>
      <c r="B3033" s="1" t="s">
        <v>6077</v>
      </c>
      <c r="C3033" s="3">
        <v>200</v>
      </c>
      <c r="D3033" s="3" t="str">
        <f ca="1">IF(B3033="","",IFERROR(_xludf.XLOOKUP(_xludf.XLOOKUP(B3033,Inventory!$A:$A,Inventory!$B:$B),Blades!$A:$A,Blades!$C:$C)+_xludf.XLOOKUP(_xludf.XLOOKUP(B3033,Inventory!$A:$A,Inventory!$C:$C),Motor!$A:$A,Motor!$C:$C)+_xludf.XLOOKUP(_xludf.XLOOKUP(B3033,Inventory!$A:$A,Inventory!$D:$D),Frame!$A:$A,Frame!$C:$C)+#REF!,""))</f>
        <v/>
      </c>
      <c r="E3033" s="4">
        <v>46244</v>
      </c>
      <c r="F3033" s="1" t="s">
        <v>63</v>
      </c>
    </row>
    <row r="3034" spans="1:6" x14ac:dyDescent="0.25">
      <c r="A3034" s="1" t="s">
        <v>6078</v>
      </c>
      <c r="B3034" s="1" t="s">
        <v>6079</v>
      </c>
      <c r="C3034" s="3">
        <v>200</v>
      </c>
      <c r="D3034" s="3" t="str">
        <f ca="1">IF(B3034="","",IFERROR(_xludf.XLOOKUP(_xludf.XLOOKUP(B3034,Inventory!$A:$A,Inventory!$B:$B),Blades!$A:$A,Blades!$C:$C)+_xludf.XLOOKUP(_xludf.XLOOKUP(B3034,Inventory!$A:$A,Inventory!$C:$C),Motor!$A:$A,Motor!$C:$C)+_xludf.XLOOKUP(_xludf.XLOOKUP(B3034,Inventory!$A:$A,Inventory!$D:$D),Frame!$A:$A,Frame!$C:$C)+#REF!,""))</f>
        <v/>
      </c>
      <c r="E3034" s="4">
        <v>46244</v>
      </c>
      <c r="F3034" s="1" t="s">
        <v>49</v>
      </c>
    </row>
    <row r="3035" spans="1:6" x14ac:dyDescent="0.25">
      <c r="A3035" s="1" t="s">
        <v>6080</v>
      </c>
      <c r="B3035" s="1" t="s">
        <v>6081</v>
      </c>
      <c r="C3035" s="3">
        <v>200</v>
      </c>
      <c r="D3035" s="3" t="str">
        <f ca="1">IF(B3035="","",IFERROR(_xludf.XLOOKUP(_xludf.XLOOKUP(B3035,Inventory!$A:$A,Inventory!$B:$B),Blades!$A:$A,Blades!$C:$C)+_xludf.XLOOKUP(_xludf.XLOOKUP(B3035,Inventory!$A:$A,Inventory!$C:$C),Motor!$A:$A,Motor!$C:$C)+_xludf.XLOOKUP(_xludf.XLOOKUP(B3035,Inventory!$A:$A,Inventory!$D:$D),Frame!$A:$A,Frame!$C:$C)+#REF!,""))</f>
        <v/>
      </c>
      <c r="E3035" s="4">
        <v>46244</v>
      </c>
      <c r="F3035" s="1" t="s">
        <v>52</v>
      </c>
    </row>
    <row r="3036" spans="1:6" x14ac:dyDescent="0.25">
      <c r="A3036" s="1" t="s">
        <v>6082</v>
      </c>
      <c r="B3036" s="1" t="s">
        <v>6083</v>
      </c>
      <c r="C3036" s="3">
        <v>200</v>
      </c>
      <c r="D3036" s="3" t="str">
        <f ca="1">IF(B3036="","",IFERROR(_xludf.XLOOKUP(_xludf.XLOOKUP(B3036,Inventory!$A:$A,Inventory!$B:$B),Blades!$A:$A,Blades!$C:$C)+_xludf.XLOOKUP(_xludf.XLOOKUP(B3036,Inventory!$A:$A,Inventory!$C:$C),Motor!$A:$A,Motor!$C:$C)+_xludf.XLOOKUP(_xludf.XLOOKUP(B3036,Inventory!$A:$A,Inventory!$D:$D),Frame!$A:$A,Frame!$C:$C)+#REF!,""))</f>
        <v/>
      </c>
      <c r="E3036" s="4">
        <v>46245</v>
      </c>
      <c r="F3036" s="1" t="s">
        <v>52</v>
      </c>
    </row>
    <row r="3037" spans="1:6" x14ac:dyDescent="0.25">
      <c r="A3037" s="1" t="s">
        <v>6084</v>
      </c>
      <c r="B3037" s="1" t="s">
        <v>6085</v>
      </c>
      <c r="C3037" s="3">
        <v>200</v>
      </c>
      <c r="D3037" s="3" t="str">
        <f ca="1">IF(B3037="","",IFERROR(_xludf.XLOOKUP(_xludf.XLOOKUP(B3037,Inventory!$A:$A,Inventory!$B:$B),Blades!$A:$A,Blades!$C:$C)+_xludf.XLOOKUP(_xludf.XLOOKUP(B3037,Inventory!$A:$A,Inventory!$C:$C),Motor!$A:$A,Motor!$C:$C)+_xludf.XLOOKUP(_xludf.XLOOKUP(B3037,Inventory!$A:$A,Inventory!$D:$D),Frame!$A:$A,Frame!$C:$C)+#REF!,""))</f>
        <v/>
      </c>
      <c r="E3037" s="4">
        <v>46245</v>
      </c>
      <c r="F3037" s="1" t="s">
        <v>25</v>
      </c>
    </row>
    <row r="3038" spans="1:6" x14ac:dyDescent="0.25">
      <c r="A3038" s="1" t="s">
        <v>6086</v>
      </c>
      <c r="B3038" s="1" t="s">
        <v>6087</v>
      </c>
      <c r="C3038" s="3">
        <v>200</v>
      </c>
      <c r="D3038" s="3" t="str">
        <f ca="1">IF(B3038="","",IFERROR(_xludf.XLOOKUP(_xludf.XLOOKUP(B3038,Inventory!$A:$A,Inventory!$B:$B),Blades!$A:$A,Blades!$C:$C)+_xludf.XLOOKUP(_xludf.XLOOKUP(B3038,Inventory!$A:$A,Inventory!$C:$C),Motor!$A:$A,Motor!$C:$C)+_xludf.XLOOKUP(_xludf.XLOOKUP(B3038,Inventory!$A:$A,Inventory!$D:$D),Frame!$A:$A,Frame!$C:$C)+#REF!,""))</f>
        <v/>
      </c>
      <c r="E3038" s="4">
        <v>46246</v>
      </c>
      <c r="F3038" s="1" t="s">
        <v>52</v>
      </c>
    </row>
    <row r="3039" spans="1:6" x14ac:dyDescent="0.25">
      <c r="A3039" s="1" t="s">
        <v>6088</v>
      </c>
      <c r="B3039" s="1" t="s">
        <v>6089</v>
      </c>
      <c r="C3039" s="3">
        <v>200</v>
      </c>
      <c r="D3039" s="3" t="str">
        <f ca="1">IF(B3039="","",IFERROR(_xludf.XLOOKUP(_xludf.XLOOKUP(B3039,Inventory!$A:$A,Inventory!$B:$B),Blades!$A:$A,Blades!$C:$C)+_xludf.XLOOKUP(_xludf.XLOOKUP(B3039,Inventory!$A:$A,Inventory!$C:$C),Motor!$A:$A,Motor!$C:$C)+_xludf.XLOOKUP(_xludf.XLOOKUP(B3039,Inventory!$A:$A,Inventory!$D:$D),Frame!$A:$A,Frame!$C:$C)+#REF!,""))</f>
        <v/>
      </c>
      <c r="E3039" s="4">
        <v>46247</v>
      </c>
      <c r="F3039" s="1" t="s">
        <v>11</v>
      </c>
    </row>
    <row r="3040" spans="1:6" x14ac:dyDescent="0.25">
      <c r="A3040" s="1" t="s">
        <v>6090</v>
      </c>
      <c r="B3040" s="1" t="s">
        <v>6091</v>
      </c>
      <c r="C3040" s="3">
        <v>200</v>
      </c>
      <c r="D3040" s="3" t="str">
        <f ca="1">IF(B3040="","",IFERROR(_xludf.XLOOKUP(_xludf.XLOOKUP(B3040,Inventory!$A:$A,Inventory!$B:$B),Blades!$A:$A,Blades!$C:$C)+_xludf.XLOOKUP(_xludf.XLOOKUP(B3040,Inventory!$A:$A,Inventory!$C:$C),Motor!$A:$A,Motor!$C:$C)+_xludf.XLOOKUP(_xludf.XLOOKUP(B3040,Inventory!$A:$A,Inventory!$D:$D),Frame!$A:$A,Frame!$C:$C)+#REF!,""))</f>
        <v/>
      </c>
      <c r="E3040" s="4">
        <v>46247</v>
      </c>
      <c r="F3040" s="1" t="s">
        <v>32</v>
      </c>
    </row>
    <row r="3041" spans="1:6" x14ac:dyDescent="0.25">
      <c r="A3041" s="1" t="s">
        <v>6092</v>
      </c>
      <c r="B3041" s="1" t="s">
        <v>6093</v>
      </c>
      <c r="C3041" s="3">
        <v>200</v>
      </c>
      <c r="D3041" s="3" t="str">
        <f ca="1">IF(B3041="","",IFERROR(_xludf.XLOOKUP(_xludf.XLOOKUP(B3041,Inventory!$A:$A,Inventory!$B:$B),Blades!$A:$A,Blades!$C:$C)+_xludf.XLOOKUP(_xludf.XLOOKUP(B3041,Inventory!$A:$A,Inventory!$C:$C),Motor!$A:$A,Motor!$C:$C)+_xludf.XLOOKUP(_xludf.XLOOKUP(B3041,Inventory!$A:$A,Inventory!$D:$D),Frame!$A:$A,Frame!$C:$C)+#REF!,""))</f>
        <v/>
      </c>
      <c r="E3041" s="4">
        <v>46248</v>
      </c>
      <c r="F3041" s="1" t="s">
        <v>25</v>
      </c>
    </row>
    <row r="3042" spans="1:6" x14ac:dyDescent="0.25">
      <c r="A3042" s="1" t="s">
        <v>6094</v>
      </c>
      <c r="B3042" s="1" t="s">
        <v>6095</v>
      </c>
      <c r="C3042" s="3">
        <v>200</v>
      </c>
      <c r="D3042" s="3" t="str">
        <f ca="1">IF(B3042="","",IFERROR(_xludf.XLOOKUP(_xludf.XLOOKUP(B3042,Inventory!$A:$A,Inventory!$B:$B),Blades!$A:$A,Blades!$C:$C)+_xludf.XLOOKUP(_xludf.XLOOKUP(B3042,Inventory!$A:$A,Inventory!$C:$C),Motor!$A:$A,Motor!$C:$C)+_xludf.XLOOKUP(_xludf.XLOOKUP(B3042,Inventory!$A:$A,Inventory!$D:$D),Frame!$A:$A,Frame!$C:$C)+#REF!,""))</f>
        <v/>
      </c>
      <c r="E3042" s="4">
        <v>46248</v>
      </c>
      <c r="F3042" s="1" t="s">
        <v>63</v>
      </c>
    </row>
    <row r="3043" spans="1:6" x14ac:dyDescent="0.25">
      <c r="A3043" s="1" t="s">
        <v>6096</v>
      </c>
      <c r="B3043" s="1" t="s">
        <v>6097</v>
      </c>
      <c r="C3043" s="3">
        <v>200</v>
      </c>
      <c r="D3043" s="3" t="str">
        <f ca="1">IF(B3043="","",IFERROR(_xludf.XLOOKUP(_xludf.XLOOKUP(B3043,Inventory!$A:$A,Inventory!$B:$B),Blades!$A:$A,Blades!$C:$C)+_xludf.XLOOKUP(_xludf.XLOOKUP(B3043,Inventory!$A:$A,Inventory!$C:$C),Motor!$A:$A,Motor!$C:$C)+_xludf.XLOOKUP(_xludf.XLOOKUP(B3043,Inventory!$A:$A,Inventory!$D:$D),Frame!$A:$A,Frame!$C:$C)+#REF!,""))</f>
        <v/>
      </c>
      <c r="E3043" s="4">
        <v>46249</v>
      </c>
      <c r="F3043" s="1" t="s">
        <v>11</v>
      </c>
    </row>
    <row r="3044" spans="1:6" x14ac:dyDescent="0.25">
      <c r="A3044" s="1" t="s">
        <v>6098</v>
      </c>
      <c r="B3044" s="1" t="s">
        <v>6099</v>
      </c>
      <c r="C3044" s="3">
        <v>200</v>
      </c>
      <c r="D3044" s="3" t="str">
        <f ca="1">IF(B3044="","",IFERROR(_xludf.XLOOKUP(_xludf.XLOOKUP(B3044,Inventory!$A:$A,Inventory!$B:$B),Blades!$A:$A,Blades!$C:$C)+_xludf.XLOOKUP(_xludf.XLOOKUP(B3044,Inventory!$A:$A,Inventory!$C:$C),Motor!$A:$A,Motor!$C:$C)+_xludf.XLOOKUP(_xludf.XLOOKUP(B3044,Inventory!$A:$A,Inventory!$D:$D),Frame!$A:$A,Frame!$C:$C)+#REF!,""))</f>
        <v/>
      </c>
      <c r="E3044" s="4">
        <v>46249</v>
      </c>
      <c r="F3044" s="1" t="s">
        <v>63</v>
      </c>
    </row>
    <row r="3045" spans="1:6" x14ac:dyDescent="0.25">
      <c r="A3045" s="1" t="s">
        <v>6100</v>
      </c>
      <c r="B3045" s="1" t="s">
        <v>6101</v>
      </c>
      <c r="C3045" s="3">
        <v>200</v>
      </c>
      <c r="D3045" s="3" t="str">
        <f ca="1">IF(B3045="","",IFERROR(_xludf.XLOOKUP(_xludf.XLOOKUP(B3045,Inventory!$A:$A,Inventory!$B:$B),Blades!$A:$A,Blades!$C:$C)+_xludf.XLOOKUP(_xludf.XLOOKUP(B3045,Inventory!$A:$A,Inventory!$C:$C),Motor!$A:$A,Motor!$C:$C)+_xludf.XLOOKUP(_xludf.XLOOKUP(B3045,Inventory!$A:$A,Inventory!$D:$D),Frame!$A:$A,Frame!$C:$C)+#REF!,""))</f>
        <v/>
      </c>
      <c r="E3045" s="4">
        <v>46249</v>
      </c>
      <c r="F3045" s="1" t="s">
        <v>52</v>
      </c>
    </row>
    <row r="3046" spans="1:6" x14ac:dyDescent="0.25">
      <c r="A3046" s="1" t="s">
        <v>6102</v>
      </c>
      <c r="B3046" s="1" t="s">
        <v>6103</v>
      </c>
      <c r="C3046" s="3">
        <v>200</v>
      </c>
      <c r="D3046" s="3" t="str">
        <f ca="1">IF(B3046="","",IFERROR(_xludf.XLOOKUP(_xludf.XLOOKUP(B3046,Inventory!$A:$A,Inventory!$B:$B),Blades!$A:$A,Blades!$C:$C)+_xludf.XLOOKUP(_xludf.XLOOKUP(B3046,Inventory!$A:$A,Inventory!$C:$C),Motor!$A:$A,Motor!$C:$C)+_xludf.XLOOKUP(_xludf.XLOOKUP(B3046,Inventory!$A:$A,Inventory!$D:$D),Frame!$A:$A,Frame!$C:$C)+#REF!,""))</f>
        <v/>
      </c>
      <c r="E3046" s="4">
        <v>46250</v>
      </c>
      <c r="F3046" s="1" t="s">
        <v>25</v>
      </c>
    </row>
    <row r="3047" spans="1:6" x14ac:dyDescent="0.25">
      <c r="A3047" s="1" t="s">
        <v>6104</v>
      </c>
      <c r="B3047" s="1" t="s">
        <v>6105</v>
      </c>
      <c r="C3047" s="3">
        <v>200</v>
      </c>
      <c r="D3047" s="3" t="str">
        <f ca="1">IF(B3047="","",IFERROR(_xludf.XLOOKUP(_xludf.XLOOKUP(B3047,Inventory!$A:$A,Inventory!$B:$B),Blades!$A:$A,Blades!$C:$C)+_xludf.XLOOKUP(_xludf.XLOOKUP(B3047,Inventory!$A:$A,Inventory!$C:$C),Motor!$A:$A,Motor!$C:$C)+_xludf.XLOOKUP(_xludf.XLOOKUP(B3047,Inventory!$A:$A,Inventory!$D:$D),Frame!$A:$A,Frame!$C:$C)+#REF!,""))</f>
        <v/>
      </c>
      <c r="E3047" s="4">
        <v>46250</v>
      </c>
      <c r="F3047" s="1" t="s">
        <v>20</v>
      </c>
    </row>
    <row r="3048" spans="1:6" x14ac:dyDescent="0.25">
      <c r="A3048" s="1" t="s">
        <v>6106</v>
      </c>
      <c r="B3048" s="1" t="s">
        <v>6107</v>
      </c>
      <c r="C3048" s="3">
        <v>200</v>
      </c>
      <c r="D3048" s="3" t="str">
        <f ca="1">IF(B3048="","",IFERROR(_xludf.XLOOKUP(_xludf.XLOOKUP(B3048,Inventory!$A:$A,Inventory!$B:$B),Blades!$A:$A,Blades!$C:$C)+_xludf.XLOOKUP(_xludf.XLOOKUP(B3048,Inventory!$A:$A,Inventory!$C:$C),Motor!$A:$A,Motor!$C:$C)+_xludf.XLOOKUP(_xludf.XLOOKUP(B3048,Inventory!$A:$A,Inventory!$D:$D),Frame!$A:$A,Frame!$C:$C)+#REF!,""))</f>
        <v/>
      </c>
      <c r="E3048" s="4">
        <v>46251</v>
      </c>
      <c r="F3048" s="1" t="s">
        <v>52</v>
      </c>
    </row>
    <row r="3049" spans="1:6" x14ac:dyDescent="0.25">
      <c r="A3049" s="1" t="s">
        <v>6108</v>
      </c>
      <c r="B3049" s="1" t="s">
        <v>6109</v>
      </c>
      <c r="C3049" s="3">
        <v>200</v>
      </c>
      <c r="D3049" s="3" t="str">
        <f ca="1">IF(B3049="","",IFERROR(_xludf.XLOOKUP(_xludf.XLOOKUP(B3049,Inventory!$A:$A,Inventory!$B:$B),Blades!$A:$A,Blades!$C:$C)+_xludf.XLOOKUP(_xludf.XLOOKUP(B3049,Inventory!$A:$A,Inventory!$C:$C),Motor!$A:$A,Motor!$C:$C)+_xludf.XLOOKUP(_xludf.XLOOKUP(B3049,Inventory!$A:$A,Inventory!$D:$D),Frame!$A:$A,Frame!$C:$C)+#REF!,""))</f>
        <v/>
      </c>
      <c r="E3049" s="4">
        <v>46251</v>
      </c>
      <c r="F3049" s="1" t="s">
        <v>49</v>
      </c>
    </row>
    <row r="3050" spans="1:6" x14ac:dyDescent="0.25">
      <c r="A3050" s="1" t="s">
        <v>6110</v>
      </c>
      <c r="B3050" s="1" t="s">
        <v>6111</v>
      </c>
      <c r="C3050" s="3">
        <v>200</v>
      </c>
      <c r="D3050" s="3" t="str">
        <f ca="1">IF(B3050="","",IFERROR(_xludf.XLOOKUP(_xludf.XLOOKUP(B3050,Inventory!$A:$A,Inventory!$B:$B),Blades!$A:$A,Blades!$C:$C)+_xludf.XLOOKUP(_xludf.XLOOKUP(B3050,Inventory!$A:$A,Inventory!$C:$C),Motor!$A:$A,Motor!$C:$C)+_xludf.XLOOKUP(_xludf.XLOOKUP(B3050,Inventory!$A:$A,Inventory!$D:$D),Frame!$A:$A,Frame!$C:$C)+#REF!,""))</f>
        <v/>
      </c>
      <c r="E3050" s="4">
        <v>46251</v>
      </c>
      <c r="F3050" s="1" t="s">
        <v>32</v>
      </c>
    </row>
    <row r="3051" spans="1:6" x14ac:dyDescent="0.25">
      <c r="A3051" s="1" t="s">
        <v>6112</v>
      </c>
      <c r="B3051" s="1" t="s">
        <v>6113</v>
      </c>
      <c r="C3051" s="3">
        <v>200</v>
      </c>
      <c r="D3051" s="3" t="str">
        <f ca="1">IF(B3051="","",IFERROR(_xludf.XLOOKUP(_xludf.XLOOKUP(B3051,Inventory!$A:$A,Inventory!$B:$B),Blades!$A:$A,Blades!$C:$C)+_xludf.XLOOKUP(_xludf.XLOOKUP(B3051,Inventory!$A:$A,Inventory!$C:$C),Motor!$A:$A,Motor!$C:$C)+_xludf.XLOOKUP(_xludf.XLOOKUP(B3051,Inventory!$A:$A,Inventory!$D:$D),Frame!$A:$A,Frame!$C:$C)+#REF!,""))</f>
        <v/>
      </c>
      <c r="E3051" s="4">
        <v>46252</v>
      </c>
      <c r="F3051" s="1" t="s">
        <v>25</v>
      </c>
    </row>
    <row r="3052" spans="1:6" x14ac:dyDescent="0.25">
      <c r="A3052" s="1" t="s">
        <v>6114</v>
      </c>
      <c r="B3052" s="1" t="s">
        <v>6115</v>
      </c>
      <c r="C3052" s="3">
        <v>200</v>
      </c>
      <c r="D3052" s="3" t="str">
        <f ca="1">IF(B3052="","",IFERROR(_xludf.XLOOKUP(_xludf.XLOOKUP(B3052,Inventory!$A:$A,Inventory!$B:$B),Blades!$A:$A,Blades!$C:$C)+_xludf.XLOOKUP(_xludf.XLOOKUP(B3052,Inventory!$A:$A,Inventory!$C:$C),Motor!$A:$A,Motor!$C:$C)+_xludf.XLOOKUP(_xludf.XLOOKUP(B3052,Inventory!$A:$A,Inventory!$D:$D),Frame!$A:$A,Frame!$C:$C)+#REF!,""))</f>
        <v/>
      </c>
      <c r="E3052" s="4">
        <v>46252</v>
      </c>
      <c r="F3052" s="1" t="s">
        <v>52</v>
      </c>
    </row>
    <row r="3053" spans="1:6" x14ac:dyDescent="0.25">
      <c r="A3053" s="1" t="s">
        <v>6116</v>
      </c>
      <c r="B3053" s="1" t="s">
        <v>6117</v>
      </c>
      <c r="C3053" s="3">
        <v>200</v>
      </c>
      <c r="D3053" s="3" t="str">
        <f ca="1">IF(B3053="","",IFERROR(_xludf.XLOOKUP(_xludf.XLOOKUP(B3053,Inventory!$A:$A,Inventory!$B:$B),Blades!$A:$A,Blades!$C:$C)+_xludf.XLOOKUP(_xludf.XLOOKUP(B3053,Inventory!$A:$A,Inventory!$C:$C),Motor!$A:$A,Motor!$C:$C)+_xludf.XLOOKUP(_xludf.XLOOKUP(B3053,Inventory!$A:$A,Inventory!$D:$D),Frame!$A:$A,Frame!$C:$C)+#REF!,""))</f>
        <v/>
      </c>
      <c r="E3053" s="4">
        <v>46253</v>
      </c>
      <c r="F3053" s="1" t="s">
        <v>52</v>
      </c>
    </row>
    <row r="3054" spans="1:6" x14ac:dyDescent="0.25">
      <c r="A3054" s="1" t="s">
        <v>6118</v>
      </c>
      <c r="B3054" s="1" t="s">
        <v>6119</v>
      </c>
      <c r="C3054" s="3">
        <v>200</v>
      </c>
      <c r="D3054" s="3" t="str">
        <f ca="1">IF(B3054="","",IFERROR(_xludf.XLOOKUP(_xludf.XLOOKUP(B3054,Inventory!$A:$A,Inventory!$B:$B),Blades!$A:$A,Blades!$C:$C)+_xludf.XLOOKUP(_xludf.XLOOKUP(B3054,Inventory!$A:$A,Inventory!$C:$C),Motor!$A:$A,Motor!$C:$C)+_xludf.XLOOKUP(_xludf.XLOOKUP(B3054,Inventory!$A:$A,Inventory!$D:$D),Frame!$A:$A,Frame!$C:$C)+#REF!,""))</f>
        <v/>
      </c>
      <c r="E3054" s="4">
        <v>46253</v>
      </c>
      <c r="F3054" s="1" t="s">
        <v>8</v>
      </c>
    </row>
    <row r="3055" spans="1:6" x14ac:dyDescent="0.25">
      <c r="A3055" s="1" t="s">
        <v>6120</v>
      </c>
      <c r="B3055" s="1" t="s">
        <v>6121</v>
      </c>
      <c r="C3055" s="3">
        <v>200</v>
      </c>
      <c r="D3055" s="3" t="str">
        <f ca="1">IF(B3055="","",IFERROR(_xludf.XLOOKUP(_xludf.XLOOKUP(B3055,Inventory!$A:$A,Inventory!$B:$B),Blades!$A:$A,Blades!$C:$C)+_xludf.XLOOKUP(_xludf.XLOOKUP(B3055,Inventory!$A:$A,Inventory!$C:$C),Motor!$A:$A,Motor!$C:$C)+_xludf.XLOOKUP(_xludf.XLOOKUP(B3055,Inventory!$A:$A,Inventory!$D:$D),Frame!$A:$A,Frame!$C:$C)+#REF!,""))</f>
        <v/>
      </c>
      <c r="E3055" s="4">
        <v>46253</v>
      </c>
      <c r="F3055" s="1" t="s">
        <v>52</v>
      </c>
    </row>
    <row r="3056" spans="1:6" x14ac:dyDescent="0.25">
      <c r="A3056" s="1" t="s">
        <v>6122</v>
      </c>
      <c r="B3056" s="1" t="s">
        <v>6123</v>
      </c>
      <c r="C3056" s="3">
        <v>200</v>
      </c>
      <c r="D3056" s="3" t="str">
        <f ca="1">IF(B3056="","",IFERROR(_xludf.XLOOKUP(_xludf.XLOOKUP(B3056,Inventory!$A:$A,Inventory!$B:$B),Blades!$A:$A,Blades!$C:$C)+_xludf.XLOOKUP(_xludf.XLOOKUP(B3056,Inventory!$A:$A,Inventory!$C:$C),Motor!$A:$A,Motor!$C:$C)+_xludf.XLOOKUP(_xludf.XLOOKUP(B3056,Inventory!$A:$A,Inventory!$D:$D),Frame!$A:$A,Frame!$C:$C)+#REF!,""))</f>
        <v/>
      </c>
      <c r="E3056" s="4">
        <v>46254</v>
      </c>
      <c r="F3056" s="1" t="s">
        <v>20</v>
      </c>
    </row>
    <row r="3057" spans="1:6" x14ac:dyDescent="0.25">
      <c r="A3057" s="1" t="s">
        <v>6124</v>
      </c>
      <c r="B3057" s="1" t="s">
        <v>6125</v>
      </c>
      <c r="C3057" s="3">
        <v>200</v>
      </c>
      <c r="D3057" s="3" t="str">
        <f ca="1">IF(B3057="","",IFERROR(_xludf.XLOOKUP(_xludf.XLOOKUP(B3057,Inventory!$A:$A,Inventory!$B:$B),Blades!$A:$A,Blades!$C:$C)+_xludf.XLOOKUP(_xludf.XLOOKUP(B3057,Inventory!$A:$A,Inventory!$C:$C),Motor!$A:$A,Motor!$C:$C)+_xludf.XLOOKUP(_xludf.XLOOKUP(B3057,Inventory!$A:$A,Inventory!$D:$D),Frame!$A:$A,Frame!$C:$C)+#REF!,""))</f>
        <v/>
      </c>
      <c r="E3057" s="4">
        <v>46254</v>
      </c>
      <c r="F3057" s="1" t="s">
        <v>8</v>
      </c>
    </row>
    <row r="3058" spans="1:6" x14ac:dyDescent="0.25">
      <c r="A3058" s="1" t="s">
        <v>6126</v>
      </c>
      <c r="B3058" s="1" t="s">
        <v>6127</v>
      </c>
      <c r="C3058" s="3">
        <v>200</v>
      </c>
      <c r="D3058" s="3" t="str">
        <f ca="1">IF(B3058="","",IFERROR(_xludf.XLOOKUP(_xludf.XLOOKUP(B3058,Inventory!$A:$A,Inventory!$B:$B),Blades!$A:$A,Blades!$C:$C)+_xludf.XLOOKUP(_xludf.XLOOKUP(B3058,Inventory!$A:$A,Inventory!$C:$C),Motor!$A:$A,Motor!$C:$C)+_xludf.XLOOKUP(_xludf.XLOOKUP(B3058,Inventory!$A:$A,Inventory!$D:$D),Frame!$A:$A,Frame!$C:$C)+#REF!,""))</f>
        <v/>
      </c>
      <c r="E3058" s="4">
        <v>46254</v>
      </c>
      <c r="F3058" s="1" t="s">
        <v>32</v>
      </c>
    </row>
    <row r="3059" spans="1:6" x14ac:dyDescent="0.25">
      <c r="A3059" s="1" t="s">
        <v>6128</v>
      </c>
      <c r="B3059" s="1" t="s">
        <v>6129</v>
      </c>
      <c r="C3059" s="3">
        <v>200</v>
      </c>
      <c r="D3059" s="3" t="str">
        <f ca="1">IF(B3059="","",IFERROR(_xludf.XLOOKUP(_xludf.XLOOKUP(B3059,Inventory!$A:$A,Inventory!$B:$B),Blades!$A:$A,Blades!$C:$C)+_xludf.XLOOKUP(_xludf.XLOOKUP(B3059,Inventory!$A:$A,Inventory!$C:$C),Motor!$A:$A,Motor!$C:$C)+_xludf.XLOOKUP(_xludf.XLOOKUP(B3059,Inventory!$A:$A,Inventory!$D:$D),Frame!$A:$A,Frame!$C:$C)+#REF!,""))</f>
        <v/>
      </c>
      <c r="E3059" s="4">
        <v>46255</v>
      </c>
      <c r="F3059" s="1" t="s">
        <v>32</v>
      </c>
    </row>
    <row r="3060" spans="1:6" x14ac:dyDescent="0.25">
      <c r="A3060" s="1" t="s">
        <v>6130</v>
      </c>
      <c r="B3060" s="1" t="s">
        <v>6131</v>
      </c>
      <c r="C3060" s="3">
        <v>200</v>
      </c>
      <c r="D3060" s="3" t="str">
        <f ca="1">IF(B3060="","",IFERROR(_xludf.XLOOKUP(_xludf.XLOOKUP(B3060,Inventory!$A:$A,Inventory!$B:$B),Blades!$A:$A,Blades!$C:$C)+_xludf.XLOOKUP(_xludf.XLOOKUP(B3060,Inventory!$A:$A,Inventory!$C:$C),Motor!$A:$A,Motor!$C:$C)+_xludf.XLOOKUP(_xludf.XLOOKUP(B3060,Inventory!$A:$A,Inventory!$D:$D),Frame!$A:$A,Frame!$C:$C)+#REF!,""))</f>
        <v/>
      </c>
      <c r="E3060" s="4">
        <v>46255</v>
      </c>
      <c r="F3060" s="1" t="s">
        <v>52</v>
      </c>
    </row>
    <row r="3061" spans="1:6" x14ac:dyDescent="0.25">
      <c r="A3061" s="1" t="s">
        <v>6132</v>
      </c>
      <c r="B3061" s="1" t="s">
        <v>6133</v>
      </c>
      <c r="C3061" s="3">
        <v>200</v>
      </c>
      <c r="D3061" s="3" t="str">
        <f ca="1">IF(B3061="","",IFERROR(_xludf.XLOOKUP(_xludf.XLOOKUP(B3061,Inventory!$A:$A,Inventory!$B:$B),Blades!$A:$A,Blades!$C:$C)+_xludf.XLOOKUP(_xludf.XLOOKUP(B3061,Inventory!$A:$A,Inventory!$C:$C),Motor!$A:$A,Motor!$C:$C)+_xludf.XLOOKUP(_xludf.XLOOKUP(B3061,Inventory!$A:$A,Inventory!$D:$D),Frame!$A:$A,Frame!$C:$C)+#REF!,""))</f>
        <v/>
      </c>
      <c r="E3061" s="4">
        <v>46257</v>
      </c>
      <c r="F3061" s="1" t="s">
        <v>49</v>
      </c>
    </row>
    <row r="3062" spans="1:6" x14ac:dyDescent="0.25">
      <c r="A3062" s="1" t="s">
        <v>6134</v>
      </c>
      <c r="B3062" s="1" t="s">
        <v>6135</v>
      </c>
      <c r="C3062" s="3">
        <v>200</v>
      </c>
      <c r="D3062" s="3" t="str">
        <f ca="1">IF(B3062="","",IFERROR(_xludf.XLOOKUP(_xludf.XLOOKUP(B3062,Inventory!$A:$A,Inventory!$B:$B),Blades!$A:$A,Blades!$C:$C)+_xludf.XLOOKUP(_xludf.XLOOKUP(B3062,Inventory!$A:$A,Inventory!$C:$C),Motor!$A:$A,Motor!$C:$C)+_xludf.XLOOKUP(_xludf.XLOOKUP(B3062,Inventory!$A:$A,Inventory!$D:$D),Frame!$A:$A,Frame!$C:$C)+#REF!,""))</f>
        <v/>
      </c>
      <c r="E3062" s="4">
        <v>46258</v>
      </c>
      <c r="F3062" s="1" t="s">
        <v>52</v>
      </c>
    </row>
    <row r="3063" spans="1:6" x14ac:dyDescent="0.25">
      <c r="A3063" s="1" t="s">
        <v>6136</v>
      </c>
      <c r="B3063" s="1" t="s">
        <v>6137</v>
      </c>
      <c r="C3063" s="3">
        <v>200</v>
      </c>
      <c r="D3063" s="3" t="str">
        <f ca="1">IF(B3063="","",IFERROR(_xludf.XLOOKUP(_xludf.XLOOKUP(B3063,Inventory!$A:$A,Inventory!$B:$B),Blades!$A:$A,Blades!$C:$C)+_xludf.XLOOKUP(_xludf.XLOOKUP(B3063,Inventory!$A:$A,Inventory!$C:$C),Motor!$A:$A,Motor!$C:$C)+_xludf.XLOOKUP(_xludf.XLOOKUP(B3063,Inventory!$A:$A,Inventory!$D:$D),Frame!$A:$A,Frame!$C:$C)+#REF!,""))</f>
        <v/>
      </c>
      <c r="E3063" s="4">
        <v>46258</v>
      </c>
      <c r="F3063" s="1" t="s">
        <v>8</v>
      </c>
    </row>
    <row r="3064" spans="1:6" x14ac:dyDescent="0.25">
      <c r="A3064" s="1" t="s">
        <v>6138</v>
      </c>
      <c r="B3064" s="1" t="s">
        <v>6139</v>
      </c>
      <c r="C3064" s="3">
        <v>200</v>
      </c>
      <c r="D3064" s="3" t="str">
        <f ca="1">IF(B3064="","",IFERROR(_xludf.XLOOKUP(_xludf.XLOOKUP(B3064,Inventory!$A:$A,Inventory!$B:$B),Blades!$A:$A,Blades!$C:$C)+_xludf.XLOOKUP(_xludf.XLOOKUP(B3064,Inventory!$A:$A,Inventory!$C:$C),Motor!$A:$A,Motor!$C:$C)+_xludf.XLOOKUP(_xludf.XLOOKUP(B3064,Inventory!$A:$A,Inventory!$D:$D),Frame!$A:$A,Frame!$C:$C)+#REF!,""))</f>
        <v/>
      </c>
      <c r="E3064" s="4">
        <v>46258</v>
      </c>
      <c r="F3064" s="1" t="s">
        <v>25</v>
      </c>
    </row>
    <row r="3065" spans="1:6" x14ac:dyDescent="0.25">
      <c r="A3065" s="1" t="s">
        <v>6140</v>
      </c>
      <c r="B3065" s="1" t="s">
        <v>6141</v>
      </c>
      <c r="C3065" s="3">
        <v>200</v>
      </c>
      <c r="D3065" s="3" t="str">
        <f ca="1">IF(B3065="","",IFERROR(_xludf.XLOOKUP(_xludf.XLOOKUP(B3065,Inventory!$A:$A,Inventory!$B:$B),Blades!$A:$A,Blades!$C:$C)+_xludf.XLOOKUP(_xludf.XLOOKUP(B3065,Inventory!$A:$A,Inventory!$C:$C),Motor!$A:$A,Motor!$C:$C)+_xludf.XLOOKUP(_xludf.XLOOKUP(B3065,Inventory!$A:$A,Inventory!$D:$D),Frame!$A:$A,Frame!$C:$C)+#REF!,""))</f>
        <v/>
      </c>
      <c r="E3065" s="4">
        <v>46259</v>
      </c>
      <c r="F3065" s="1" t="s">
        <v>8</v>
      </c>
    </row>
    <row r="3066" spans="1:6" x14ac:dyDescent="0.25">
      <c r="A3066" s="1" t="s">
        <v>6142</v>
      </c>
      <c r="B3066" s="1" t="s">
        <v>6143</v>
      </c>
      <c r="C3066" s="3">
        <v>200</v>
      </c>
      <c r="D3066" s="3" t="str">
        <f ca="1">IF(B3066="","",IFERROR(_xludf.XLOOKUP(_xludf.XLOOKUP(B3066,Inventory!$A:$A,Inventory!$B:$B),Blades!$A:$A,Blades!$C:$C)+_xludf.XLOOKUP(_xludf.XLOOKUP(B3066,Inventory!$A:$A,Inventory!$C:$C),Motor!$A:$A,Motor!$C:$C)+_xludf.XLOOKUP(_xludf.XLOOKUP(B3066,Inventory!$A:$A,Inventory!$D:$D),Frame!$A:$A,Frame!$C:$C)+#REF!,""))</f>
        <v/>
      </c>
      <c r="E3066" s="4">
        <v>46259</v>
      </c>
      <c r="F3066" s="1" t="s">
        <v>32</v>
      </c>
    </row>
    <row r="3067" spans="1:6" x14ac:dyDescent="0.25">
      <c r="A3067" s="1" t="s">
        <v>6144</v>
      </c>
      <c r="B3067" s="1" t="s">
        <v>6145</v>
      </c>
      <c r="C3067" s="3">
        <v>200</v>
      </c>
      <c r="D3067" s="3" t="str">
        <f ca="1">IF(B3067="","",IFERROR(_xludf.XLOOKUP(_xludf.XLOOKUP(B3067,Inventory!$A:$A,Inventory!$B:$B),Blades!$A:$A,Blades!$C:$C)+_xludf.XLOOKUP(_xludf.XLOOKUP(B3067,Inventory!$A:$A,Inventory!$C:$C),Motor!$A:$A,Motor!$C:$C)+_xludf.XLOOKUP(_xludf.XLOOKUP(B3067,Inventory!$A:$A,Inventory!$D:$D),Frame!$A:$A,Frame!$C:$C)+#REF!,""))</f>
        <v/>
      </c>
      <c r="E3067" s="4">
        <v>46260</v>
      </c>
      <c r="F3067" s="1" t="s">
        <v>11</v>
      </c>
    </row>
    <row r="3068" spans="1:6" x14ac:dyDescent="0.25">
      <c r="A3068" s="1" t="s">
        <v>6146</v>
      </c>
      <c r="B3068" s="1" t="s">
        <v>6147</v>
      </c>
      <c r="C3068" s="3">
        <v>200</v>
      </c>
      <c r="D3068" s="3" t="str">
        <f ca="1">IF(B3068="","",IFERROR(_xludf.XLOOKUP(_xludf.XLOOKUP(B3068,Inventory!$A:$A,Inventory!$B:$B),Blades!$A:$A,Blades!$C:$C)+_xludf.XLOOKUP(_xludf.XLOOKUP(B3068,Inventory!$A:$A,Inventory!$C:$C),Motor!$A:$A,Motor!$C:$C)+_xludf.XLOOKUP(_xludf.XLOOKUP(B3068,Inventory!$A:$A,Inventory!$D:$D),Frame!$A:$A,Frame!$C:$C)+#REF!,""))</f>
        <v/>
      </c>
      <c r="E3068" s="4">
        <v>46260</v>
      </c>
      <c r="F3068" s="1" t="s">
        <v>32</v>
      </c>
    </row>
    <row r="3069" spans="1:6" x14ac:dyDescent="0.25">
      <c r="A3069" s="1" t="s">
        <v>6148</v>
      </c>
      <c r="B3069" s="1" t="s">
        <v>6149</v>
      </c>
      <c r="C3069" s="3">
        <v>200</v>
      </c>
      <c r="D3069" s="3" t="str">
        <f ca="1">IF(B3069="","",IFERROR(_xludf.XLOOKUP(_xludf.XLOOKUP(B3069,Inventory!$A:$A,Inventory!$B:$B),Blades!$A:$A,Blades!$C:$C)+_xludf.XLOOKUP(_xludf.XLOOKUP(B3069,Inventory!$A:$A,Inventory!$C:$C),Motor!$A:$A,Motor!$C:$C)+_xludf.XLOOKUP(_xludf.XLOOKUP(B3069,Inventory!$A:$A,Inventory!$D:$D),Frame!$A:$A,Frame!$C:$C)+#REF!,""))</f>
        <v/>
      </c>
      <c r="E3069" s="4">
        <v>46260</v>
      </c>
      <c r="F3069" s="1" t="s">
        <v>32</v>
      </c>
    </row>
    <row r="3070" spans="1:6" x14ac:dyDescent="0.25">
      <c r="A3070" s="1" t="s">
        <v>6150</v>
      </c>
      <c r="B3070" s="1" t="s">
        <v>6151</v>
      </c>
      <c r="C3070" s="3">
        <v>200</v>
      </c>
      <c r="D3070" s="3" t="str">
        <f ca="1">IF(B3070="","",IFERROR(_xludf.XLOOKUP(_xludf.XLOOKUP(B3070,Inventory!$A:$A,Inventory!$B:$B),Blades!$A:$A,Blades!$C:$C)+_xludf.XLOOKUP(_xludf.XLOOKUP(B3070,Inventory!$A:$A,Inventory!$C:$C),Motor!$A:$A,Motor!$C:$C)+_xludf.XLOOKUP(_xludf.XLOOKUP(B3070,Inventory!$A:$A,Inventory!$D:$D),Frame!$A:$A,Frame!$C:$C)+#REF!,""))</f>
        <v/>
      </c>
      <c r="E3070" s="4">
        <v>46260</v>
      </c>
      <c r="F3070" s="1" t="s">
        <v>11</v>
      </c>
    </row>
    <row r="3071" spans="1:6" x14ac:dyDescent="0.25">
      <c r="A3071" s="1" t="s">
        <v>6152</v>
      </c>
      <c r="B3071" s="1" t="s">
        <v>6153</v>
      </c>
      <c r="C3071" s="3">
        <v>200</v>
      </c>
      <c r="D3071" s="3" t="str">
        <f ca="1">IF(B3071="","",IFERROR(_xludf.XLOOKUP(_xludf.XLOOKUP(B3071,Inventory!$A:$A,Inventory!$B:$B),Blades!$A:$A,Blades!$C:$C)+_xludf.XLOOKUP(_xludf.XLOOKUP(B3071,Inventory!$A:$A,Inventory!$C:$C),Motor!$A:$A,Motor!$C:$C)+_xludf.XLOOKUP(_xludf.XLOOKUP(B3071,Inventory!$A:$A,Inventory!$D:$D),Frame!$A:$A,Frame!$C:$C)+#REF!,""))</f>
        <v/>
      </c>
      <c r="E3071" s="4">
        <v>46261</v>
      </c>
      <c r="F3071" s="1" t="s">
        <v>11</v>
      </c>
    </row>
    <row r="3072" spans="1:6" x14ac:dyDescent="0.25">
      <c r="A3072" s="1" t="s">
        <v>6154</v>
      </c>
      <c r="B3072" s="1" t="s">
        <v>6155</v>
      </c>
      <c r="C3072" s="3">
        <v>200</v>
      </c>
      <c r="D3072" s="3" t="str">
        <f ca="1">IF(B3072="","",IFERROR(_xludf.XLOOKUP(_xludf.XLOOKUP(B3072,Inventory!$A:$A,Inventory!$B:$B),Blades!$A:$A,Blades!$C:$C)+_xludf.XLOOKUP(_xludf.XLOOKUP(B3072,Inventory!$A:$A,Inventory!$C:$C),Motor!$A:$A,Motor!$C:$C)+_xludf.XLOOKUP(_xludf.XLOOKUP(B3072,Inventory!$A:$A,Inventory!$D:$D),Frame!$A:$A,Frame!$C:$C)+#REF!,""))</f>
        <v/>
      </c>
      <c r="E3072" s="4">
        <v>46262</v>
      </c>
      <c r="F3072" s="1" t="s">
        <v>32</v>
      </c>
    </row>
    <row r="3073" spans="1:6" x14ac:dyDescent="0.25">
      <c r="A3073" s="1" t="s">
        <v>6156</v>
      </c>
      <c r="B3073" s="1" t="s">
        <v>6157</v>
      </c>
      <c r="C3073" s="3">
        <v>200</v>
      </c>
      <c r="D3073" s="3" t="str">
        <f ca="1">IF(B3073="","",IFERROR(_xludf.XLOOKUP(_xludf.XLOOKUP(B3073,Inventory!$A:$A,Inventory!$B:$B),Blades!$A:$A,Blades!$C:$C)+_xludf.XLOOKUP(_xludf.XLOOKUP(B3073,Inventory!$A:$A,Inventory!$C:$C),Motor!$A:$A,Motor!$C:$C)+_xludf.XLOOKUP(_xludf.XLOOKUP(B3073,Inventory!$A:$A,Inventory!$D:$D),Frame!$A:$A,Frame!$C:$C)+#REF!,""))</f>
        <v/>
      </c>
      <c r="E3073" s="4">
        <v>46263</v>
      </c>
      <c r="F3073" s="1" t="s">
        <v>32</v>
      </c>
    </row>
    <row r="3074" spans="1:6" x14ac:dyDescent="0.25">
      <c r="A3074" s="1" t="s">
        <v>6158</v>
      </c>
      <c r="B3074" s="1" t="s">
        <v>6159</v>
      </c>
      <c r="C3074" s="3">
        <v>200</v>
      </c>
      <c r="D3074" s="3" t="str">
        <f ca="1">IF(B3074="","",IFERROR(_xludf.XLOOKUP(_xludf.XLOOKUP(B3074,Inventory!$A:$A,Inventory!$B:$B),Blades!$A:$A,Blades!$C:$C)+_xludf.XLOOKUP(_xludf.XLOOKUP(B3074,Inventory!$A:$A,Inventory!$C:$C),Motor!$A:$A,Motor!$C:$C)+_xludf.XLOOKUP(_xludf.XLOOKUP(B3074,Inventory!$A:$A,Inventory!$D:$D),Frame!$A:$A,Frame!$C:$C)+#REF!,""))</f>
        <v/>
      </c>
      <c r="E3074" s="4">
        <v>46263</v>
      </c>
      <c r="F3074" s="1" t="s">
        <v>32</v>
      </c>
    </row>
    <row r="3075" spans="1:6" x14ac:dyDescent="0.25">
      <c r="A3075" s="1" t="s">
        <v>6160</v>
      </c>
      <c r="B3075" s="1" t="s">
        <v>6161</v>
      </c>
      <c r="C3075" s="3">
        <v>200</v>
      </c>
      <c r="D3075" s="3" t="str">
        <f ca="1">IF(B3075="","",IFERROR(_xludf.XLOOKUP(_xludf.XLOOKUP(B3075,Inventory!$A:$A,Inventory!$B:$B),Blades!$A:$A,Blades!$C:$C)+_xludf.XLOOKUP(_xludf.XLOOKUP(B3075,Inventory!$A:$A,Inventory!$C:$C),Motor!$A:$A,Motor!$C:$C)+_xludf.XLOOKUP(_xludf.XLOOKUP(B3075,Inventory!$A:$A,Inventory!$D:$D),Frame!$A:$A,Frame!$C:$C)+#REF!,""))</f>
        <v/>
      </c>
      <c r="E3075" s="4">
        <v>46263</v>
      </c>
      <c r="F3075" s="1" t="s">
        <v>11</v>
      </c>
    </row>
    <row r="3076" spans="1:6" x14ac:dyDescent="0.25">
      <c r="A3076" s="1" t="s">
        <v>6162</v>
      </c>
      <c r="B3076" s="1" t="s">
        <v>6163</v>
      </c>
      <c r="C3076" s="3">
        <v>200</v>
      </c>
      <c r="D3076" s="3" t="str">
        <f ca="1">IF(B3076="","",IFERROR(_xludf.XLOOKUP(_xludf.XLOOKUP(B3076,Inventory!$A:$A,Inventory!$B:$B),Blades!$A:$A,Blades!$C:$C)+_xludf.XLOOKUP(_xludf.XLOOKUP(B3076,Inventory!$A:$A,Inventory!$C:$C),Motor!$A:$A,Motor!$C:$C)+_xludf.XLOOKUP(_xludf.XLOOKUP(B3076,Inventory!$A:$A,Inventory!$D:$D),Frame!$A:$A,Frame!$C:$C)+#REF!,""))</f>
        <v/>
      </c>
      <c r="E3076" s="4">
        <v>46263</v>
      </c>
      <c r="F3076" s="1" t="s">
        <v>63</v>
      </c>
    </row>
    <row r="3077" spans="1:6" x14ac:dyDescent="0.25">
      <c r="A3077" s="1" t="s">
        <v>6164</v>
      </c>
      <c r="B3077" s="1" t="s">
        <v>6165</v>
      </c>
      <c r="C3077" s="3">
        <v>200</v>
      </c>
      <c r="D3077" s="3" t="str">
        <f ca="1">IF(B3077="","",IFERROR(_xludf.XLOOKUP(_xludf.XLOOKUP(B3077,Inventory!$A:$A,Inventory!$B:$B),Blades!$A:$A,Blades!$C:$C)+_xludf.XLOOKUP(_xludf.XLOOKUP(B3077,Inventory!$A:$A,Inventory!$C:$C),Motor!$A:$A,Motor!$C:$C)+_xludf.XLOOKUP(_xludf.XLOOKUP(B3077,Inventory!$A:$A,Inventory!$D:$D),Frame!$A:$A,Frame!$C:$C)+#REF!,""))</f>
        <v/>
      </c>
      <c r="E3077" s="4">
        <v>46264</v>
      </c>
      <c r="F3077" s="1" t="s">
        <v>25</v>
      </c>
    </row>
    <row r="3078" spans="1:6" x14ac:dyDescent="0.25">
      <c r="A3078" s="1" t="s">
        <v>6166</v>
      </c>
      <c r="B3078" s="1" t="s">
        <v>6167</v>
      </c>
      <c r="C3078" s="3">
        <v>200</v>
      </c>
      <c r="D3078" s="3" t="str">
        <f ca="1">IF(B3078="","",IFERROR(_xludf.XLOOKUP(_xludf.XLOOKUP(B3078,Inventory!$A:$A,Inventory!$B:$B),Blades!$A:$A,Blades!$C:$C)+_xludf.XLOOKUP(_xludf.XLOOKUP(B3078,Inventory!$A:$A,Inventory!$C:$C),Motor!$A:$A,Motor!$C:$C)+_xludf.XLOOKUP(_xludf.XLOOKUP(B3078,Inventory!$A:$A,Inventory!$D:$D),Frame!$A:$A,Frame!$C:$C)+#REF!,""))</f>
        <v/>
      </c>
      <c r="E3078" s="4">
        <v>46265</v>
      </c>
      <c r="F3078" s="1" t="s">
        <v>25</v>
      </c>
    </row>
    <row r="3079" spans="1:6" x14ac:dyDescent="0.25">
      <c r="A3079" s="1" t="s">
        <v>6168</v>
      </c>
      <c r="B3079" s="1" t="s">
        <v>6169</v>
      </c>
      <c r="C3079" s="3">
        <v>200</v>
      </c>
      <c r="D3079" s="3" t="str">
        <f ca="1">IF(B3079="","",IFERROR(_xludf.XLOOKUP(_xludf.XLOOKUP(B3079,Inventory!$A:$A,Inventory!$B:$B),Blades!$A:$A,Blades!$C:$C)+_xludf.XLOOKUP(_xludf.XLOOKUP(B3079,Inventory!$A:$A,Inventory!$C:$C),Motor!$A:$A,Motor!$C:$C)+_xludf.XLOOKUP(_xludf.XLOOKUP(B3079,Inventory!$A:$A,Inventory!$D:$D),Frame!$A:$A,Frame!$C:$C)+#REF!,""))</f>
        <v/>
      </c>
      <c r="E3079" s="4">
        <v>46265</v>
      </c>
      <c r="F3079" s="1" t="s">
        <v>11</v>
      </c>
    </row>
    <row r="3080" spans="1:6" x14ac:dyDescent="0.25">
      <c r="A3080" s="1" t="s">
        <v>6170</v>
      </c>
      <c r="B3080" s="1" t="s">
        <v>6171</v>
      </c>
      <c r="C3080" s="3">
        <v>200</v>
      </c>
      <c r="D3080" s="3" t="str">
        <f ca="1">IF(B3080="","",IFERROR(_xludf.XLOOKUP(_xludf.XLOOKUP(B3080,Inventory!$A:$A,Inventory!$B:$B),Blades!$A:$A,Blades!$C:$C)+_xludf.XLOOKUP(_xludf.XLOOKUP(B3080,Inventory!$A:$A,Inventory!$C:$C),Motor!$A:$A,Motor!$C:$C)+_xludf.XLOOKUP(_xludf.XLOOKUP(B3080,Inventory!$A:$A,Inventory!$D:$D),Frame!$A:$A,Frame!$C:$C)+#REF!,""))</f>
        <v/>
      </c>
      <c r="E3080" s="4">
        <v>46266</v>
      </c>
      <c r="F3080" s="1" t="s">
        <v>11</v>
      </c>
    </row>
    <row r="3081" spans="1:6" x14ac:dyDescent="0.25">
      <c r="A3081" s="1" t="s">
        <v>6172</v>
      </c>
      <c r="B3081" s="1" t="s">
        <v>6173</v>
      </c>
      <c r="C3081" s="3">
        <v>200</v>
      </c>
      <c r="D3081" s="3" t="str">
        <f ca="1">IF(B3081="","",IFERROR(_xludf.XLOOKUP(_xludf.XLOOKUP(B3081,Inventory!$A:$A,Inventory!$B:$B),Blades!$A:$A,Blades!$C:$C)+_xludf.XLOOKUP(_xludf.XLOOKUP(B3081,Inventory!$A:$A,Inventory!$C:$C),Motor!$A:$A,Motor!$C:$C)+_xludf.XLOOKUP(_xludf.XLOOKUP(B3081,Inventory!$A:$A,Inventory!$D:$D),Frame!$A:$A,Frame!$C:$C)+#REF!,""))</f>
        <v/>
      </c>
      <c r="E3081" s="4">
        <v>46266</v>
      </c>
      <c r="F3081" s="1" t="s">
        <v>25</v>
      </c>
    </row>
    <row r="3082" spans="1:6" x14ac:dyDescent="0.25">
      <c r="A3082" s="1" t="s">
        <v>6174</v>
      </c>
      <c r="B3082" s="1" t="s">
        <v>6175</v>
      </c>
      <c r="C3082" s="3">
        <v>200</v>
      </c>
      <c r="D3082" s="3" t="str">
        <f ca="1">IF(B3082="","",IFERROR(_xludf.XLOOKUP(_xludf.XLOOKUP(B3082,Inventory!$A:$A,Inventory!$B:$B),Blades!$A:$A,Blades!$C:$C)+_xludf.XLOOKUP(_xludf.XLOOKUP(B3082,Inventory!$A:$A,Inventory!$C:$C),Motor!$A:$A,Motor!$C:$C)+_xludf.XLOOKUP(_xludf.XLOOKUP(B3082,Inventory!$A:$A,Inventory!$D:$D),Frame!$A:$A,Frame!$C:$C)+#REF!,""))</f>
        <v/>
      </c>
      <c r="E3082" s="4">
        <v>46266</v>
      </c>
      <c r="F3082" s="1" t="s">
        <v>32</v>
      </c>
    </row>
    <row r="3083" spans="1:6" x14ac:dyDescent="0.25">
      <c r="A3083" s="1" t="s">
        <v>6176</v>
      </c>
      <c r="B3083" s="1" t="s">
        <v>6177</v>
      </c>
      <c r="C3083" s="3">
        <v>200</v>
      </c>
      <c r="D3083" s="3" t="str">
        <f ca="1">IF(B3083="","",IFERROR(_xludf.XLOOKUP(_xludf.XLOOKUP(B3083,Inventory!$A:$A,Inventory!$B:$B),Blades!$A:$A,Blades!$C:$C)+_xludf.XLOOKUP(_xludf.XLOOKUP(B3083,Inventory!$A:$A,Inventory!$C:$C),Motor!$A:$A,Motor!$C:$C)+_xludf.XLOOKUP(_xludf.XLOOKUP(B3083,Inventory!$A:$A,Inventory!$D:$D),Frame!$A:$A,Frame!$C:$C)+#REF!,""))</f>
        <v/>
      </c>
      <c r="E3083" s="4">
        <v>46266</v>
      </c>
      <c r="F3083" s="1" t="s">
        <v>63</v>
      </c>
    </row>
    <row r="3084" spans="1:6" x14ac:dyDescent="0.25">
      <c r="A3084" s="1" t="s">
        <v>6178</v>
      </c>
      <c r="B3084" s="1" t="s">
        <v>6179</v>
      </c>
      <c r="C3084" s="3">
        <v>200</v>
      </c>
      <c r="D3084" s="3" t="str">
        <f ca="1">IF(B3084="","",IFERROR(_xludf.XLOOKUP(_xludf.XLOOKUP(B3084,Inventory!$A:$A,Inventory!$B:$B),Blades!$A:$A,Blades!$C:$C)+_xludf.XLOOKUP(_xludf.XLOOKUP(B3084,Inventory!$A:$A,Inventory!$C:$C),Motor!$A:$A,Motor!$C:$C)+_xludf.XLOOKUP(_xludf.XLOOKUP(B3084,Inventory!$A:$A,Inventory!$D:$D),Frame!$A:$A,Frame!$C:$C)+#REF!,""))</f>
        <v/>
      </c>
      <c r="E3084" s="4">
        <v>46267</v>
      </c>
      <c r="F3084" s="1" t="s">
        <v>32</v>
      </c>
    </row>
    <row r="3085" spans="1:6" x14ac:dyDescent="0.25">
      <c r="A3085" s="1" t="s">
        <v>6180</v>
      </c>
      <c r="B3085" s="1" t="s">
        <v>6181</v>
      </c>
      <c r="C3085" s="3">
        <v>200</v>
      </c>
      <c r="D3085" s="3" t="str">
        <f ca="1">IF(B3085="","",IFERROR(_xludf.XLOOKUP(_xludf.XLOOKUP(B3085,Inventory!$A:$A,Inventory!$B:$B),Blades!$A:$A,Blades!$C:$C)+_xludf.XLOOKUP(_xludf.XLOOKUP(B3085,Inventory!$A:$A,Inventory!$C:$C),Motor!$A:$A,Motor!$C:$C)+_xludf.XLOOKUP(_xludf.XLOOKUP(B3085,Inventory!$A:$A,Inventory!$D:$D),Frame!$A:$A,Frame!$C:$C)+#REF!,""))</f>
        <v/>
      </c>
      <c r="E3085" s="4">
        <v>46267</v>
      </c>
      <c r="F3085" s="1" t="s">
        <v>8</v>
      </c>
    </row>
    <row r="3086" spans="1:6" x14ac:dyDescent="0.25">
      <c r="A3086" s="1" t="s">
        <v>6182</v>
      </c>
      <c r="B3086" s="1" t="s">
        <v>6183</v>
      </c>
      <c r="C3086" s="3">
        <v>200</v>
      </c>
      <c r="D3086" s="3" t="str">
        <f ca="1">IF(B3086="","",IFERROR(_xludf.XLOOKUP(_xludf.XLOOKUP(B3086,Inventory!$A:$A,Inventory!$B:$B),Blades!$A:$A,Blades!$C:$C)+_xludf.XLOOKUP(_xludf.XLOOKUP(B3086,Inventory!$A:$A,Inventory!$C:$C),Motor!$A:$A,Motor!$C:$C)+_xludf.XLOOKUP(_xludf.XLOOKUP(B3086,Inventory!$A:$A,Inventory!$D:$D),Frame!$A:$A,Frame!$C:$C)+#REF!,""))</f>
        <v/>
      </c>
      <c r="E3086" s="4">
        <v>46268</v>
      </c>
      <c r="F3086" s="1" t="s">
        <v>63</v>
      </c>
    </row>
    <row r="3087" spans="1:6" x14ac:dyDescent="0.25">
      <c r="A3087" s="1" t="s">
        <v>6184</v>
      </c>
      <c r="B3087" s="1" t="s">
        <v>6185</v>
      </c>
      <c r="C3087" s="3">
        <v>200</v>
      </c>
      <c r="D3087" s="3" t="str">
        <f ca="1">IF(B3087="","",IFERROR(_xludf.XLOOKUP(_xludf.XLOOKUP(B3087,Inventory!$A:$A,Inventory!$B:$B),Blades!$A:$A,Blades!$C:$C)+_xludf.XLOOKUP(_xludf.XLOOKUP(B3087,Inventory!$A:$A,Inventory!$C:$C),Motor!$A:$A,Motor!$C:$C)+_xludf.XLOOKUP(_xludf.XLOOKUP(B3087,Inventory!$A:$A,Inventory!$D:$D),Frame!$A:$A,Frame!$C:$C)+#REF!,""))</f>
        <v/>
      </c>
      <c r="E3087" s="4">
        <v>46268</v>
      </c>
      <c r="F3087" s="1" t="s">
        <v>8</v>
      </c>
    </row>
    <row r="3088" spans="1:6" x14ac:dyDescent="0.25">
      <c r="A3088" s="1" t="s">
        <v>6186</v>
      </c>
      <c r="B3088" s="1" t="s">
        <v>6187</v>
      </c>
      <c r="C3088" s="3">
        <v>200</v>
      </c>
      <c r="D3088" s="3" t="str">
        <f ca="1">IF(B3088="","",IFERROR(_xludf.XLOOKUP(_xludf.XLOOKUP(B3088,Inventory!$A:$A,Inventory!$B:$B),Blades!$A:$A,Blades!$C:$C)+_xludf.XLOOKUP(_xludf.XLOOKUP(B3088,Inventory!$A:$A,Inventory!$C:$C),Motor!$A:$A,Motor!$C:$C)+_xludf.XLOOKUP(_xludf.XLOOKUP(B3088,Inventory!$A:$A,Inventory!$D:$D),Frame!$A:$A,Frame!$C:$C)+#REF!,""))</f>
        <v/>
      </c>
      <c r="E3088" s="4">
        <v>46272</v>
      </c>
      <c r="F3088" s="1" t="s">
        <v>25</v>
      </c>
    </row>
    <row r="3089" spans="1:6" x14ac:dyDescent="0.25">
      <c r="A3089" s="1" t="s">
        <v>6188</v>
      </c>
      <c r="B3089" s="1" t="s">
        <v>6189</v>
      </c>
      <c r="C3089" s="3">
        <v>200</v>
      </c>
      <c r="D3089" s="3" t="str">
        <f ca="1">IF(B3089="","",IFERROR(_xludf.XLOOKUP(_xludf.XLOOKUP(B3089,Inventory!$A:$A,Inventory!$B:$B),Blades!$A:$A,Blades!$C:$C)+_xludf.XLOOKUP(_xludf.XLOOKUP(B3089,Inventory!$A:$A,Inventory!$C:$C),Motor!$A:$A,Motor!$C:$C)+_xludf.XLOOKUP(_xludf.XLOOKUP(B3089,Inventory!$A:$A,Inventory!$D:$D),Frame!$A:$A,Frame!$C:$C)+#REF!,""))</f>
        <v/>
      </c>
      <c r="E3089" s="4">
        <v>46272</v>
      </c>
      <c r="F3089" s="1" t="s">
        <v>49</v>
      </c>
    </row>
    <row r="3090" spans="1:6" x14ac:dyDescent="0.25">
      <c r="A3090" s="1" t="s">
        <v>6190</v>
      </c>
      <c r="B3090" s="1" t="s">
        <v>6191</v>
      </c>
      <c r="C3090" s="3">
        <v>200</v>
      </c>
      <c r="D3090" s="3" t="str">
        <f ca="1">IF(B3090="","",IFERROR(_xludf.XLOOKUP(_xludf.XLOOKUP(B3090,Inventory!$A:$A,Inventory!$B:$B),Blades!$A:$A,Blades!$C:$C)+_xludf.XLOOKUP(_xludf.XLOOKUP(B3090,Inventory!$A:$A,Inventory!$C:$C),Motor!$A:$A,Motor!$C:$C)+_xludf.XLOOKUP(_xludf.XLOOKUP(B3090,Inventory!$A:$A,Inventory!$D:$D),Frame!$A:$A,Frame!$C:$C)+#REF!,""))</f>
        <v/>
      </c>
      <c r="E3090" s="4">
        <v>46272</v>
      </c>
      <c r="F3090" s="1" t="s">
        <v>63</v>
      </c>
    </row>
    <row r="3091" spans="1:6" x14ac:dyDescent="0.25">
      <c r="A3091" s="1" t="s">
        <v>6192</v>
      </c>
      <c r="B3091" s="1" t="s">
        <v>6193</v>
      </c>
      <c r="C3091" s="3">
        <v>200</v>
      </c>
      <c r="D3091" s="3" t="str">
        <f ca="1">IF(B3091="","",IFERROR(_xludf.XLOOKUP(_xludf.XLOOKUP(B3091,Inventory!$A:$A,Inventory!$B:$B),Blades!$A:$A,Blades!$C:$C)+_xludf.XLOOKUP(_xludf.XLOOKUP(B3091,Inventory!$A:$A,Inventory!$C:$C),Motor!$A:$A,Motor!$C:$C)+_xludf.XLOOKUP(_xludf.XLOOKUP(B3091,Inventory!$A:$A,Inventory!$D:$D),Frame!$A:$A,Frame!$C:$C)+#REF!,""))</f>
        <v/>
      </c>
      <c r="E3091" s="4">
        <v>46273</v>
      </c>
      <c r="F3091" s="1" t="s">
        <v>52</v>
      </c>
    </row>
    <row r="3092" spans="1:6" x14ac:dyDescent="0.25">
      <c r="A3092" s="1" t="s">
        <v>6194</v>
      </c>
      <c r="B3092" s="1" t="s">
        <v>6195</v>
      </c>
      <c r="C3092" s="3">
        <v>200</v>
      </c>
      <c r="D3092" s="3" t="str">
        <f ca="1">IF(B3092="","",IFERROR(_xludf.XLOOKUP(_xludf.XLOOKUP(B3092,Inventory!$A:$A,Inventory!$B:$B),Blades!$A:$A,Blades!$C:$C)+_xludf.XLOOKUP(_xludf.XLOOKUP(B3092,Inventory!$A:$A,Inventory!$C:$C),Motor!$A:$A,Motor!$C:$C)+_xludf.XLOOKUP(_xludf.XLOOKUP(B3092,Inventory!$A:$A,Inventory!$D:$D),Frame!$A:$A,Frame!$C:$C)+#REF!,""))</f>
        <v/>
      </c>
      <c r="E3092" s="4">
        <v>46273</v>
      </c>
      <c r="F3092" s="1" t="s">
        <v>49</v>
      </c>
    </row>
    <row r="3093" spans="1:6" x14ac:dyDescent="0.25">
      <c r="A3093" s="1" t="s">
        <v>6196</v>
      </c>
      <c r="B3093" s="1" t="s">
        <v>6197</v>
      </c>
      <c r="C3093" s="3">
        <v>200</v>
      </c>
      <c r="D3093" s="3" t="str">
        <f ca="1">IF(B3093="","",IFERROR(_xludf.XLOOKUP(_xludf.XLOOKUP(B3093,Inventory!$A:$A,Inventory!$B:$B),Blades!$A:$A,Blades!$C:$C)+_xludf.XLOOKUP(_xludf.XLOOKUP(B3093,Inventory!$A:$A,Inventory!$C:$C),Motor!$A:$A,Motor!$C:$C)+_xludf.XLOOKUP(_xludf.XLOOKUP(B3093,Inventory!$A:$A,Inventory!$D:$D),Frame!$A:$A,Frame!$C:$C)+#REF!,""))</f>
        <v/>
      </c>
      <c r="E3093" s="4">
        <v>46273</v>
      </c>
      <c r="F3093" s="1" t="s">
        <v>32</v>
      </c>
    </row>
    <row r="3094" spans="1:6" x14ac:dyDescent="0.25">
      <c r="A3094" s="1" t="s">
        <v>6198</v>
      </c>
      <c r="B3094" s="1" t="s">
        <v>6199</v>
      </c>
      <c r="C3094" s="3">
        <v>200</v>
      </c>
      <c r="D3094" s="3" t="str">
        <f ca="1">IF(B3094="","",IFERROR(_xludf.XLOOKUP(_xludf.XLOOKUP(B3094,Inventory!$A:$A,Inventory!$B:$B),Blades!$A:$A,Blades!$C:$C)+_xludf.XLOOKUP(_xludf.XLOOKUP(B3094,Inventory!$A:$A,Inventory!$C:$C),Motor!$A:$A,Motor!$C:$C)+_xludf.XLOOKUP(_xludf.XLOOKUP(B3094,Inventory!$A:$A,Inventory!$D:$D),Frame!$A:$A,Frame!$C:$C)+#REF!,""))</f>
        <v/>
      </c>
      <c r="E3094" s="4">
        <v>46274</v>
      </c>
      <c r="F3094" s="1" t="s">
        <v>25</v>
      </c>
    </row>
    <row r="3095" spans="1:6" x14ac:dyDescent="0.25">
      <c r="A3095" s="1" t="s">
        <v>6200</v>
      </c>
      <c r="B3095" s="1" t="s">
        <v>6201</v>
      </c>
      <c r="C3095" s="3">
        <v>200</v>
      </c>
      <c r="D3095" s="3" t="str">
        <f ca="1">IF(B3095="","",IFERROR(_xludf.XLOOKUP(_xludf.XLOOKUP(B3095,Inventory!$A:$A,Inventory!$B:$B),Blades!$A:$A,Blades!$C:$C)+_xludf.XLOOKUP(_xludf.XLOOKUP(B3095,Inventory!$A:$A,Inventory!$C:$C),Motor!$A:$A,Motor!$C:$C)+_xludf.XLOOKUP(_xludf.XLOOKUP(B3095,Inventory!$A:$A,Inventory!$D:$D),Frame!$A:$A,Frame!$C:$C)+#REF!,""))</f>
        <v/>
      </c>
      <c r="E3095" s="4">
        <v>46274</v>
      </c>
      <c r="F3095" s="1" t="s">
        <v>20</v>
      </c>
    </row>
    <row r="3096" spans="1:6" x14ac:dyDescent="0.25">
      <c r="A3096" s="1" t="s">
        <v>6202</v>
      </c>
      <c r="B3096" s="1" t="s">
        <v>6203</v>
      </c>
      <c r="C3096" s="3">
        <v>200</v>
      </c>
      <c r="D3096" s="3" t="str">
        <f ca="1">IF(B3096="","",IFERROR(_xludf.XLOOKUP(_xludf.XLOOKUP(B3096,Inventory!$A:$A,Inventory!$B:$B),Blades!$A:$A,Blades!$C:$C)+_xludf.XLOOKUP(_xludf.XLOOKUP(B3096,Inventory!$A:$A,Inventory!$C:$C),Motor!$A:$A,Motor!$C:$C)+_xludf.XLOOKUP(_xludf.XLOOKUP(B3096,Inventory!$A:$A,Inventory!$D:$D),Frame!$A:$A,Frame!$C:$C)+#REF!,""))</f>
        <v/>
      </c>
      <c r="E3096" s="4">
        <v>46274</v>
      </c>
      <c r="F3096" s="1" t="s">
        <v>49</v>
      </c>
    </row>
    <row r="3097" spans="1:6" x14ac:dyDescent="0.25">
      <c r="A3097" s="1" t="s">
        <v>6204</v>
      </c>
      <c r="B3097" s="1" t="s">
        <v>6205</v>
      </c>
      <c r="C3097" s="3">
        <v>200</v>
      </c>
      <c r="D3097" s="3" t="str">
        <f ca="1">IF(B3097="","",IFERROR(_xludf.XLOOKUP(_xludf.XLOOKUP(B3097,Inventory!$A:$A,Inventory!$B:$B),Blades!$A:$A,Blades!$C:$C)+_xludf.XLOOKUP(_xludf.XLOOKUP(B3097,Inventory!$A:$A,Inventory!$C:$C),Motor!$A:$A,Motor!$C:$C)+_xludf.XLOOKUP(_xludf.XLOOKUP(B3097,Inventory!$A:$A,Inventory!$D:$D),Frame!$A:$A,Frame!$C:$C)+#REF!,""))</f>
        <v/>
      </c>
      <c r="E3097" s="4">
        <v>46275</v>
      </c>
      <c r="F3097" s="1" t="s">
        <v>32</v>
      </c>
    </row>
    <row r="3098" spans="1:6" x14ac:dyDescent="0.25">
      <c r="A3098" s="1" t="s">
        <v>6206</v>
      </c>
      <c r="B3098" s="1" t="s">
        <v>6207</v>
      </c>
      <c r="C3098" s="3">
        <v>200</v>
      </c>
      <c r="D3098" s="3" t="str">
        <f ca="1">IF(B3098="","",IFERROR(_xludf.XLOOKUP(_xludf.XLOOKUP(B3098,Inventory!$A:$A,Inventory!$B:$B),Blades!$A:$A,Blades!$C:$C)+_xludf.XLOOKUP(_xludf.XLOOKUP(B3098,Inventory!$A:$A,Inventory!$C:$C),Motor!$A:$A,Motor!$C:$C)+_xludf.XLOOKUP(_xludf.XLOOKUP(B3098,Inventory!$A:$A,Inventory!$D:$D),Frame!$A:$A,Frame!$C:$C)+#REF!,""))</f>
        <v/>
      </c>
      <c r="E3098" s="4">
        <v>46276</v>
      </c>
      <c r="F3098" s="1" t="s">
        <v>11</v>
      </c>
    </row>
    <row r="3099" spans="1:6" x14ac:dyDescent="0.25">
      <c r="A3099" s="1" t="s">
        <v>6208</v>
      </c>
      <c r="B3099" s="1" t="s">
        <v>6209</v>
      </c>
      <c r="C3099" s="3">
        <v>200</v>
      </c>
      <c r="D3099" s="3" t="str">
        <f ca="1">IF(B3099="","",IFERROR(_xludf.XLOOKUP(_xludf.XLOOKUP(B3099,Inventory!$A:$A,Inventory!$B:$B),Blades!$A:$A,Blades!$C:$C)+_xludf.XLOOKUP(_xludf.XLOOKUP(B3099,Inventory!$A:$A,Inventory!$C:$C),Motor!$A:$A,Motor!$C:$C)+_xludf.XLOOKUP(_xludf.XLOOKUP(B3099,Inventory!$A:$A,Inventory!$D:$D),Frame!$A:$A,Frame!$C:$C)+#REF!,""))</f>
        <v/>
      </c>
      <c r="E3099" s="4">
        <v>46276</v>
      </c>
      <c r="F3099" s="1" t="s">
        <v>25</v>
      </c>
    </row>
    <row r="3100" spans="1:6" x14ac:dyDescent="0.25">
      <c r="A3100" s="1" t="s">
        <v>6210</v>
      </c>
      <c r="B3100" s="1" t="s">
        <v>6211</v>
      </c>
      <c r="C3100" s="3">
        <v>200</v>
      </c>
      <c r="D3100" s="3" t="str">
        <f ca="1">IF(B3100="","",IFERROR(_xludf.XLOOKUP(_xludf.XLOOKUP(B3100,Inventory!$A:$A,Inventory!$B:$B),Blades!$A:$A,Blades!$C:$C)+_xludf.XLOOKUP(_xludf.XLOOKUP(B3100,Inventory!$A:$A,Inventory!$C:$C),Motor!$A:$A,Motor!$C:$C)+_xludf.XLOOKUP(_xludf.XLOOKUP(B3100,Inventory!$A:$A,Inventory!$D:$D),Frame!$A:$A,Frame!$C:$C)+#REF!,""))</f>
        <v/>
      </c>
      <c r="E3100" s="4">
        <v>46276</v>
      </c>
      <c r="F3100" s="1" t="s">
        <v>32</v>
      </c>
    </row>
    <row r="3101" spans="1:6" x14ac:dyDescent="0.25">
      <c r="A3101" s="1" t="s">
        <v>6212</v>
      </c>
      <c r="B3101" s="1" t="s">
        <v>6213</v>
      </c>
      <c r="C3101" s="3">
        <v>200</v>
      </c>
      <c r="D3101" s="3" t="str">
        <f ca="1">IF(B3101="","",IFERROR(_xludf.XLOOKUP(_xludf.XLOOKUP(B3101,Inventory!$A:$A,Inventory!$B:$B),Blades!$A:$A,Blades!$C:$C)+_xludf.XLOOKUP(_xludf.XLOOKUP(B3101,Inventory!$A:$A,Inventory!$C:$C),Motor!$A:$A,Motor!$C:$C)+_xludf.XLOOKUP(_xludf.XLOOKUP(B3101,Inventory!$A:$A,Inventory!$D:$D),Frame!$A:$A,Frame!$C:$C)+#REF!,""))</f>
        <v/>
      </c>
      <c r="E3101" s="4">
        <v>46277</v>
      </c>
      <c r="F3101" s="1" t="s">
        <v>52</v>
      </c>
    </row>
    <row r="3102" spans="1:6" x14ac:dyDescent="0.25">
      <c r="A3102" s="1" t="s">
        <v>6214</v>
      </c>
      <c r="B3102" s="1" t="s">
        <v>6215</v>
      </c>
      <c r="C3102" s="3">
        <v>200</v>
      </c>
      <c r="D3102" s="3" t="str">
        <f ca="1">IF(B3102="","",IFERROR(_xludf.XLOOKUP(_xludf.XLOOKUP(B3102,Inventory!$A:$A,Inventory!$B:$B),Blades!$A:$A,Blades!$C:$C)+_xludf.XLOOKUP(_xludf.XLOOKUP(B3102,Inventory!$A:$A,Inventory!$C:$C),Motor!$A:$A,Motor!$C:$C)+_xludf.XLOOKUP(_xludf.XLOOKUP(B3102,Inventory!$A:$A,Inventory!$D:$D),Frame!$A:$A,Frame!$C:$C)+#REF!,""))</f>
        <v/>
      </c>
      <c r="E3102" s="4">
        <v>46278</v>
      </c>
      <c r="F3102" s="1" t="s">
        <v>11</v>
      </c>
    </row>
    <row r="3103" spans="1:6" x14ac:dyDescent="0.25">
      <c r="A3103" s="1" t="s">
        <v>6216</v>
      </c>
      <c r="B3103" s="1" t="s">
        <v>6217</v>
      </c>
      <c r="C3103" s="3">
        <v>200</v>
      </c>
      <c r="D3103" s="3" t="str">
        <f ca="1">IF(B3103="","",IFERROR(_xludf.XLOOKUP(_xludf.XLOOKUP(B3103,Inventory!$A:$A,Inventory!$B:$B),Blades!$A:$A,Blades!$C:$C)+_xludf.XLOOKUP(_xludf.XLOOKUP(B3103,Inventory!$A:$A,Inventory!$C:$C),Motor!$A:$A,Motor!$C:$C)+_xludf.XLOOKUP(_xludf.XLOOKUP(B3103,Inventory!$A:$A,Inventory!$D:$D),Frame!$A:$A,Frame!$C:$C)+#REF!,""))</f>
        <v/>
      </c>
      <c r="E3103" s="4">
        <v>46278</v>
      </c>
      <c r="F3103" s="1" t="s">
        <v>32</v>
      </c>
    </row>
    <row r="3104" spans="1:6" x14ac:dyDescent="0.25">
      <c r="A3104" s="1" t="s">
        <v>6218</v>
      </c>
      <c r="B3104" s="1" t="s">
        <v>6219</v>
      </c>
      <c r="C3104" s="3">
        <v>200</v>
      </c>
      <c r="D3104" s="3" t="str">
        <f ca="1">IF(B3104="","",IFERROR(_xludf.XLOOKUP(_xludf.XLOOKUP(B3104,Inventory!$A:$A,Inventory!$B:$B),Blades!$A:$A,Blades!$C:$C)+_xludf.XLOOKUP(_xludf.XLOOKUP(B3104,Inventory!$A:$A,Inventory!$C:$C),Motor!$A:$A,Motor!$C:$C)+_xludf.XLOOKUP(_xludf.XLOOKUP(B3104,Inventory!$A:$A,Inventory!$D:$D),Frame!$A:$A,Frame!$C:$C)+#REF!,""))</f>
        <v/>
      </c>
      <c r="E3104" s="4">
        <v>46280</v>
      </c>
      <c r="F3104" s="1" t="s">
        <v>32</v>
      </c>
    </row>
    <row r="3105" spans="1:6" x14ac:dyDescent="0.25">
      <c r="A3105" s="1" t="s">
        <v>6220</v>
      </c>
      <c r="B3105" s="1" t="s">
        <v>6221</v>
      </c>
      <c r="C3105" s="3">
        <v>200</v>
      </c>
      <c r="D3105" s="3" t="str">
        <f ca="1">IF(B3105="","",IFERROR(_xludf.XLOOKUP(_xludf.XLOOKUP(B3105,Inventory!$A:$A,Inventory!$B:$B),Blades!$A:$A,Blades!$C:$C)+_xludf.XLOOKUP(_xludf.XLOOKUP(B3105,Inventory!$A:$A,Inventory!$C:$C),Motor!$A:$A,Motor!$C:$C)+_xludf.XLOOKUP(_xludf.XLOOKUP(B3105,Inventory!$A:$A,Inventory!$D:$D),Frame!$A:$A,Frame!$C:$C)+#REF!,""))</f>
        <v/>
      </c>
      <c r="E3105" s="4">
        <v>46281</v>
      </c>
      <c r="F3105" s="1" t="s">
        <v>63</v>
      </c>
    </row>
    <row r="3106" spans="1:6" x14ac:dyDescent="0.25">
      <c r="A3106" s="1" t="s">
        <v>6222</v>
      </c>
      <c r="B3106" s="1" t="s">
        <v>6223</v>
      </c>
      <c r="C3106" s="3">
        <v>200</v>
      </c>
      <c r="D3106" s="3" t="str">
        <f ca="1">IF(B3106="","",IFERROR(_xludf.XLOOKUP(_xludf.XLOOKUP(B3106,Inventory!$A:$A,Inventory!$B:$B),Blades!$A:$A,Blades!$C:$C)+_xludf.XLOOKUP(_xludf.XLOOKUP(B3106,Inventory!$A:$A,Inventory!$C:$C),Motor!$A:$A,Motor!$C:$C)+_xludf.XLOOKUP(_xludf.XLOOKUP(B3106,Inventory!$A:$A,Inventory!$D:$D),Frame!$A:$A,Frame!$C:$C)+#REF!,""))</f>
        <v/>
      </c>
      <c r="E3106" s="4">
        <v>46282</v>
      </c>
      <c r="F3106" s="1" t="s">
        <v>20</v>
      </c>
    </row>
    <row r="3107" spans="1:6" x14ac:dyDescent="0.25">
      <c r="A3107" s="1" t="s">
        <v>6224</v>
      </c>
      <c r="B3107" s="1" t="s">
        <v>6225</v>
      </c>
      <c r="C3107" s="3">
        <v>200</v>
      </c>
      <c r="D3107" s="3" t="str">
        <f ca="1">IF(B3107="","",IFERROR(_xludf.XLOOKUP(_xludf.XLOOKUP(B3107,Inventory!$A:$A,Inventory!$B:$B),Blades!$A:$A,Blades!$C:$C)+_xludf.XLOOKUP(_xludf.XLOOKUP(B3107,Inventory!$A:$A,Inventory!$C:$C),Motor!$A:$A,Motor!$C:$C)+_xludf.XLOOKUP(_xludf.XLOOKUP(B3107,Inventory!$A:$A,Inventory!$D:$D),Frame!$A:$A,Frame!$C:$C)+#REF!,""))</f>
        <v/>
      </c>
      <c r="E3107" s="4">
        <v>46282</v>
      </c>
      <c r="F3107" s="1" t="s">
        <v>20</v>
      </c>
    </row>
    <row r="3108" spans="1:6" x14ac:dyDescent="0.25">
      <c r="A3108" s="1" t="s">
        <v>6226</v>
      </c>
      <c r="B3108" s="1" t="s">
        <v>6227</v>
      </c>
      <c r="C3108" s="3">
        <v>200</v>
      </c>
      <c r="D3108" s="3" t="str">
        <f ca="1">IF(B3108="","",IFERROR(_xludf.XLOOKUP(_xludf.XLOOKUP(B3108,Inventory!$A:$A,Inventory!$B:$B),Blades!$A:$A,Blades!$C:$C)+_xludf.XLOOKUP(_xludf.XLOOKUP(B3108,Inventory!$A:$A,Inventory!$C:$C),Motor!$A:$A,Motor!$C:$C)+_xludf.XLOOKUP(_xludf.XLOOKUP(B3108,Inventory!$A:$A,Inventory!$D:$D),Frame!$A:$A,Frame!$C:$C)+#REF!,""))</f>
        <v/>
      </c>
      <c r="E3108" s="4">
        <v>46283</v>
      </c>
      <c r="F3108" s="1" t="s">
        <v>11</v>
      </c>
    </row>
    <row r="3109" spans="1:6" x14ac:dyDescent="0.25">
      <c r="A3109" s="1" t="s">
        <v>6228</v>
      </c>
      <c r="B3109" s="1" t="s">
        <v>6229</v>
      </c>
      <c r="C3109" s="3">
        <v>200</v>
      </c>
      <c r="D3109" s="3" t="str">
        <f ca="1">IF(B3109="","",IFERROR(_xludf.XLOOKUP(_xludf.XLOOKUP(B3109,Inventory!$A:$A,Inventory!$B:$B),Blades!$A:$A,Blades!$C:$C)+_xludf.XLOOKUP(_xludf.XLOOKUP(B3109,Inventory!$A:$A,Inventory!$C:$C),Motor!$A:$A,Motor!$C:$C)+_xludf.XLOOKUP(_xludf.XLOOKUP(B3109,Inventory!$A:$A,Inventory!$D:$D),Frame!$A:$A,Frame!$C:$C)+#REF!,""))</f>
        <v/>
      </c>
      <c r="E3109" s="4">
        <v>46285</v>
      </c>
      <c r="F3109" s="1" t="s">
        <v>20</v>
      </c>
    </row>
    <row r="3110" spans="1:6" x14ac:dyDescent="0.25">
      <c r="A3110" s="1" t="s">
        <v>6230</v>
      </c>
      <c r="B3110" s="1" t="s">
        <v>6231</v>
      </c>
      <c r="C3110" s="3">
        <v>200</v>
      </c>
      <c r="D3110" s="3" t="str">
        <f ca="1">IF(B3110="","",IFERROR(_xludf.XLOOKUP(_xludf.XLOOKUP(B3110,Inventory!$A:$A,Inventory!$B:$B),Blades!$A:$A,Blades!$C:$C)+_xludf.XLOOKUP(_xludf.XLOOKUP(B3110,Inventory!$A:$A,Inventory!$C:$C),Motor!$A:$A,Motor!$C:$C)+_xludf.XLOOKUP(_xludf.XLOOKUP(B3110,Inventory!$A:$A,Inventory!$D:$D),Frame!$A:$A,Frame!$C:$C)+#REF!,""))</f>
        <v/>
      </c>
      <c r="E3110" s="4">
        <v>46285</v>
      </c>
      <c r="F3110" s="1" t="s">
        <v>63</v>
      </c>
    </row>
    <row r="3111" spans="1:6" x14ac:dyDescent="0.25">
      <c r="A3111" s="1" t="s">
        <v>6232</v>
      </c>
      <c r="B3111" s="1" t="s">
        <v>6233</v>
      </c>
      <c r="C3111" s="3">
        <v>200</v>
      </c>
      <c r="D3111" s="3" t="str">
        <f ca="1">IF(B3111="","",IFERROR(_xludf.XLOOKUP(_xludf.XLOOKUP(B3111,Inventory!$A:$A,Inventory!$B:$B),Blades!$A:$A,Blades!$C:$C)+_xludf.XLOOKUP(_xludf.XLOOKUP(B3111,Inventory!$A:$A,Inventory!$C:$C),Motor!$A:$A,Motor!$C:$C)+_xludf.XLOOKUP(_xludf.XLOOKUP(B3111,Inventory!$A:$A,Inventory!$D:$D),Frame!$A:$A,Frame!$C:$C)+#REF!,""))</f>
        <v/>
      </c>
      <c r="E3111" s="4">
        <v>46287</v>
      </c>
      <c r="F3111" s="1" t="s">
        <v>52</v>
      </c>
    </row>
    <row r="3112" spans="1:6" x14ac:dyDescent="0.25">
      <c r="A3112" s="1" t="s">
        <v>6234</v>
      </c>
      <c r="B3112" s="1" t="s">
        <v>6235</v>
      </c>
      <c r="C3112" s="3">
        <v>200</v>
      </c>
      <c r="D3112" s="3" t="str">
        <f ca="1">IF(B3112="","",IFERROR(_xludf.XLOOKUP(_xludf.XLOOKUP(B3112,Inventory!$A:$A,Inventory!$B:$B),Blades!$A:$A,Blades!$C:$C)+_xludf.XLOOKUP(_xludf.XLOOKUP(B3112,Inventory!$A:$A,Inventory!$C:$C),Motor!$A:$A,Motor!$C:$C)+_xludf.XLOOKUP(_xludf.XLOOKUP(B3112,Inventory!$A:$A,Inventory!$D:$D),Frame!$A:$A,Frame!$C:$C)+#REF!,""))</f>
        <v/>
      </c>
      <c r="E3112" s="4">
        <v>46288</v>
      </c>
      <c r="F3112" s="1" t="s">
        <v>32</v>
      </c>
    </row>
    <row r="3113" spans="1:6" x14ac:dyDescent="0.25">
      <c r="A3113" s="1" t="s">
        <v>6236</v>
      </c>
      <c r="B3113" s="1" t="s">
        <v>6237</v>
      </c>
      <c r="C3113" s="3">
        <v>200</v>
      </c>
      <c r="D3113" s="3" t="str">
        <f ca="1">IF(B3113="","",IFERROR(_xludf.XLOOKUP(_xludf.XLOOKUP(B3113,Inventory!$A:$A,Inventory!$B:$B),Blades!$A:$A,Blades!$C:$C)+_xludf.XLOOKUP(_xludf.XLOOKUP(B3113,Inventory!$A:$A,Inventory!$C:$C),Motor!$A:$A,Motor!$C:$C)+_xludf.XLOOKUP(_xludf.XLOOKUP(B3113,Inventory!$A:$A,Inventory!$D:$D),Frame!$A:$A,Frame!$C:$C)+#REF!,""))</f>
        <v/>
      </c>
      <c r="E3113" s="4">
        <v>46288</v>
      </c>
      <c r="F3113" s="1" t="s">
        <v>25</v>
      </c>
    </row>
    <row r="3114" spans="1:6" x14ac:dyDescent="0.25">
      <c r="A3114" s="1" t="s">
        <v>6238</v>
      </c>
      <c r="B3114" s="1" t="s">
        <v>6239</v>
      </c>
      <c r="C3114" s="3">
        <v>200</v>
      </c>
      <c r="D3114" s="3" t="str">
        <f ca="1">IF(B3114="","",IFERROR(_xludf.XLOOKUP(_xludf.XLOOKUP(B3114,Inventory!$A:$A,Inventory!$B:$B),Blades!$A:$A,Blades!$C:$C)+_xludf.XLOOKUP(_xludf.XLOOKUP(B3114,Inventory!$A:$A,Inventory!$C:$C),Motor!$A:$A,Motor!$C:$C)+_xludf.XLOOKUP(_xludf.XLOOKUP(B3114,Inventory!$A:$A,Inventory!$D:$D),Frame!$A:$A,Frame!$C:$C)+#REF!,""))</f>
        <v/>
      </c>
      <c r="E3114" s="4">
        <v>46289</v>
      </c>
      <c r="F3114" s="1" t="s">
        <v>63</v>
      </c>
    </row>
    <row r="3115" spans="1:6" x14ac:dyDescent="0.25">
      <c r="A3115" s="1" t="s">
        <v>6240</v>
      </c>
      <c r="B3115" s="1" t="s">
        <v>6241</v>
      </c>
      <c r="C3115" s="3">
        <v>200</v>
      </c>
      <c r="D3115" s="3" t="str">
        <f ca="1">IF(B3115="","",IFERROR(_xludf.XLOOKUP(_xludf.XLOOKUP(B3115,Inventory!$A:$A,Inventory!$B:$B),Blades!$A:$A,Blades!$C:$C)+_xludf.XLOOKUP(_xludf.XLOOKUP(B3115,Inventory!$A:$A,Inventory!$C:$C),Motor!$A:$A,Motor!$C:$C)+_xludf.XLOOKUP(_xludf.XLOOKUP(B3115,Inventory!$A:$A,Inventory!$D:$D),Frame!$A:$A,Frame!$C:$C)+#REF!,""))</f>
        <v/>
      </c>
      <c r="E3115" s="4">
        <v>46293</v>
      </c>
      <c r="F3115" s="1" t="s">
        <v>25</v>
      </c>
    </row>
    <row r="3116" spans="1:6" x14ac:dyDescent="0.25">
      <c r="A3116" s="1" t="s">
        <v>6242</v>
      </c>
      <c r="B3116" s="1" t="s">
        <v>6243</v>
      </c>
      <c r="C3116" s="3">
        <v>200</v>
      </c>
      <c r="D3116" s="3" t="str">
        <f ca="1">IF(B3116="","",IFERROR(_xludf.XLOOKUP(_xludf.XLOOKUP(B3116,Inventory!$A:$A,Inventory!$B:$B),Blades!$A:$A,Blades!$C:$C)+_xludf.XLOOKUP(_xludf.XLOOKUP(B3116,Inventory!$A:$A,Inventory!$C:$C),Motor!$A:$A,Motor!$C:$C)+_xludf.XLOOKUP(_xludf.XLOOKUP(B3116,Inventory!$A:$A,Inventory!$D:$D),Frame!$A:$A,Frame!$C:$C)+#REF!,""))</f>
        <v/>
      </c>
      <c r="E3116" s="4">
        <v>46294</v>
      </c>
      <c r="F3116" s="1" t="s">
        <v>32</v>
      </c>
    </row>
    <row r="3117" spans="1:6" x14ac:dyDescent="0.25">
      <c r="A3117" s="1" t="s">
        <v>6244</v>
      </c>
      <c r="B3117" s="1" t="s">
        <v>6245</v>
      </c>
      <c r="C3117" s="3">
        <v>200</v>
      </c>
      <c r="D3117" s="3" t="str">
        <f ca="1">IF(B3117="","",IFERROR(_xludf.XLOOKUP(_xludf.XLOOKUP(B3117,Inventory!$A:$A,Inventory!$B:$B),Blades!$A:$A,Blades!$C:$C)+_xludf.XLOOKUP(_xludf.XLOOKUP(B3117,Inventory!$A:$A,Inventory!$C:$C),Motor!$A:$A,Motor!$C:$C)+_xludf.XLOOKUP(_xludf.XLOOKUP(B3117,Inventory!$A:$A,Inventory!$D:$D),Frame!$A:$A,Frame!$C:$C)+#REF!,""))</f>
        <v/>
      </c>
      <c r="E3117" s="4">
        <v>46294</v>
      </c>
      <c r="F3117" s="1" t="s">
        <v>32</v>
      </c>
    </row>
    <row r="3118" spans="1:6" x14ac:dyDescent="0.25">
      <c r="A3118" s="1" t="s">
        <v>6246</v>
      </c>
      <c r="B3118" s="1" t="s">
        <v>6247</v>
      </c>
      <c r="C3118" s="3">
        <v>200</v>
      </c>
      <c r="D3118" s="3" t="str">
        <f ca="1">IF(B3118="","",IFERROR(_xludf.XLOOKUP(_xludf.XLOOKUP(B3118,Inventory!$A:$A,Inventory!$B:$B),Blades!$A:$A,Blades!$C:$C)+_xludf.XLOOKUP(_xludf.XLOOKUP(B3118,Inventory!$A:$A,Inventory!$C:$C),Motor!$A:$A,Motor!$C:$C)+_xludf.XLOOKUP(_xludf.XLOOKUP(B3118,Inventory!$A:$A,Inventory!$D:$D),Frame!$A:$A,Frame!$C:$C)+#REF!,""))</f>
        <v/>
      </c>
      <c r="E3118" s="4">
        <v>46294</v>
      </c>
      <c r="F3118" s="1" t="s">
        <v>49</v>
      </c>
    </row>
    <row r="3119" spans="1:6" x14ac:dyDescent="0.25">
      <c r="A3119" s="1" t="s">
        <v>6248</v>
      </c>
      <c r="B3119" s="1" t="s">
        <v>6249</v>
      </c>
      <c r="C3119" s="3">
        <v>200</v>
      </c>
      <c r="D3119" s="3" t="str">
        <f ca="1">IF(B3119="","",IFERROR(_xludf.XLOOKUP(_xludf.XLOOKUP(B3119,Inventory!$A:$A,Inventory!$B:$B),Blades!$A:$A,Blades!$C:$C)+_xludf.XLOOKUP(_xludf.XLOOKUP(B3119,Inventory!$A:$A,Inventory!$C:$C),Motor!$A:$A,Motor!$C:$C)+_xludf.XLOOKUP(_xludf.XLOOKUP(B3119,Inventory!$A:$A,Inventory!$D:$D),Frame!$A:$A,Frame!$C:$C)+#REF!,""))</f>
        <v/>
      </c>
      <c r="E3119" s="4">
        <v>46294</v>
      </c>
      <c r="F3119" s="1" t="s">
        <v>63</v>
      </c>
    </row>
    <row r="3120" spans="1:6" x14ac:dyDescent="0.25">
      <c r="A3120" s="1" t="s">
        <v>6250</v>
      </c>
      <c r="B3120" s="1" t="s">
        <v>6251</v>
      </c>
      <c r="C3120" s="3">
        <v>200</v>
      </c>
      <c r="D3120" s="3" t="str">
        <f ca="1">IF(B3120="","",IFERROR(_xludf.XLOOKUP(_xludf.XLOOKUP(B3120,Inventory!$A:$A,Inventory!$B:$B),Blades!$A:$A,Blades!$C:$C)+_xludf.XLOOKUP(_xludf.XLOOKUP(B3120,Inventory!$A:$A,Inventory!$C:$C),Motor!$A:$A,Motor!$C:$C)+_xludf.XLOOKUP(_xludf.XLOOKUP(B3120,Inventory!$A:$A,Inventory!$D:$D),Frame!$A:$A,Frame!$C:$C)+#REF!,""))</f>
        <v/>
      </c>
      <c r="E3120" s="4">
        <v>46294</v>
      </c>
      <c r="F3120" s="1" t="s">
        <v>49</v>
      </c>
    </row>
    <row r="3121" spans="1:6" x14ac:dyDescent="0.25">
      <c r="A3121" s="1" t="s">
        <v>6252</v>
      </c>
      <c r="B3121" s="1" t="s">
        <v>6253</v>
      </c>
      <c r="C3121" s="3">
        <v>200</v>
      </c>
      <c r="D3121" s="3" t="str">
        <f ca="1">IF(B3121="","",IFERROR(_xludf.XLOOKUP(_xludf.XLOOKUP(B3121,Inventory!$A:$A,Inventory!$B:$B),Blades!$A:$A,Blades!$C:$C)+_xludf.XLOOKUP(_xludf.XLOOKUP(B3121,Inventory!$A:$A,Inventory!$C:$C),Motor!$A:$A,Motor!$C:$C)+_xludf.XLOOKUP(_xludf.XLOOKUP(B3121,Inventory!$A:$A,Inventory!$D:$D),Frame!$A:$A,Frame!$C:$C)+#REF!,""))</f>
        <v/>
      </c>
      <c r="E3121" s="4">
        <v>46295</v>
      </c>
      <c r="F3121" s="1" t="s">
        <v>11</v>
      </c>
    </row>
    <row r="3122" spans="1:6" x14ac:dyDescent="0.25">
      <c r="A3122" s="1" t="s">
        <v>6254</v>
      </c>
      <c r="B3122" s="1" t="s">
        <v>6255</v>
      </c>
      <c r="C3122" s="3">
        <v>200</v>
      </c>
      <c r="D3122" s="3" t="str">
        <f ca="1">IF(B3122="","",IFERROR(_xludf.XLOOKUP(_xludf.XLOOKUP(B3122,Inventory!$A:$A,Inventory!$B:$B),Blades!$A:$A,Blades!$C:$C)+_xludf.XLOOKUP(_xludf.XLOOKUP(B3122,Inventory!$A:$A,Inventory!$C:$C),Motor!$A:$A,Motor!$C:$C)+_xludf.XLOOKUP(_xludf.XLOOKUP(B3122,Inventory!$A:$A,Inventory!$D:$D),Frame!$A:$A,Frame!$C:$C)+#REF!,""))</f>
        <v/>
      </c>
      <c r="E3122" s="4">
        <v>46296</v>
      </c>
      <c r="F3122" s="1" t="s">
        <v>11</v>
      </c>
    </row>
    <row r="3123" spans="1:6" x14ac:dyDescent="0.25">
      <c r="A3123" s="1" t="s">
        <v>6256</v>
      </c>
      <c r="B3123" s="1" t="s">
        <v>6257</v>
      </c>
      <c r="C3123" s="3">
        <v>200</v>
      </c>
      <c r="D3123" s="3" t="str">
        <f ca="1">IF(B3123="","",IFERROR(_xludf.XLOOKUP(_xludf.XLOOKUP(B3123,Inventory!$A:$A,Inventory!$B:$B),Blades!$A:$A,Blades!$C:$C)+_xludf.XLOOKUP(_xludf.XLOOKUP(B3123,Inventory!$A:$A,Inventory!$C:$C),Motor!$A:$A,Motor!$C:$C)+_xludf.XLOOKUP(_xludf.XLOOKUP(B3123,Inventory!$A:$A,Inventory!$D:$D),Frame!$A:$A,Frame!$C:$C)+#REF!,""))</f>
        <v/>
      </c>
      <c r="E3123" s="4">
        <v>46297</v>
      </c>
      <c r="F3123" s="1" t="s">
        <v>8</v>
      </c>
    </row>
    <row r="3124" spans="1:6" x14ac:dyDescent="0.25">
      <c r="A3124" s="1" t="s">
        <v>6258</v>
      </c>
      <c r="B3124" s="1" t="s">
        <v>6259</v>
      </c>
      <c r="C3124" s="3">
        <v>200</v>
      </c>
      <c r="D3124" s="3" t="str">
        <f ca="1">IF(B3124="","",IFERROR(_xludf.XLOOKUP(_xludf.XLOOKUP(B3124,Inventory!$A:$A,Inventory!$B:$B),Blades!$A:$A,Blades!$C:$C)+_xludf.XLOOKUP(_xludf.XLOOKUP(B3124,Inventory!$A:$A,Inventory!$C:$C),Motor!$A:$A,Motor!$C:$C)+_xludf.XLOOKUP(_xludf.XLOOKUP(B3124,Inventory!$A:$A,Inventory!$D:$D),Frame!$A:$A,Frame!$C:$C)+#REF!,""))</f>
        <v/>
      </c>
      <c r="E3124" s="4">
        <v>46300</v>
      </c>
      <c r="F3124" s="1" t="s">
        <v>52</v>
      </c>
    </row>
    <row r="3125" spans="1:6" x14ac:dyDescent="0.25">
      <c r="A3125" s="1" t="s">
        <v>6260</v>
      </c>
      <c r="B3125" s="1" t="s">
        <v>6261</v>
      </c>
      <c r="C3125" s="3">
        <v>200</v>
      </c>
      <c r="D3125" s="3" t="str">
        <f ca="1">IF(B3125="","",IFERROR(_xludf.XLOOKUP(_xludf.XLOOKUP(B3125,Inventory!$A:$A,Inventory!$B:$B),Blades!$A:$A,Blades!$C:$C)+_xludf.XLOOKUP(_xludf.XLOOKUP(B3125,Inventory!$A:$A,Inventory!$C:$C),Motor!$A:$A,Motor!$C:$C)+_xludf.XLOOKUP(_xludf.XLOOKUP(B3125,Inventory!$A:$A,Inventory!$D:$D),Frame!$A:$A,Frame!$C:$C)+#REF!,""))</f>
        <v/>
      </c>
      <c r="E3125" s="4">
        <v>46300</v>
      </c>
      <c r="F3125" s="1" t="s">
        <v>8</v>
      </c>
    </row>
    <row r="3126" spans="1:6" x14ac:dyDescent="0.25">
      <c r="A3126" s="1" t="s">
        <v>6262</v>
      </c>
      <c r="B3126" s="1" t="s">
        <v>6263</v>
      </c>
      <c r="C3126" s="3">
        <v>200</v>
      </c>
      <c r="D3126" s="3" t="str">
        <f ca="1">IF(B3126="","",IFERROR(_xludf.XLOOKUP(_xludf.XLOOKUP(B3126,Inventory!$A:$A,Inventory!$B:$B),Blades!$A:$A,Blades!$C:$C)+_xludf.XLOOKUP(_xludf.XLOOKUP(B3126,Inventory!$A:$A,Inventory!$C:$C),Motor!$A:$A,Motor!$C:$C)+_xludf.XLOOKUP(_xludf.XLOOKUP(B3126,Inventory!$A:$A,Inventory!$D:$D),Frame!$A:$A,Frame!$C:$C)+#REF!,""))</f>
        <v/>
      </c>
      <c r="E3126" s="4">
        <v>46300</v>
      </c>
      <c r="F3126" s="1" t="s">
        <v>52</v>
      </c>
    </row>
    <row r="3127" spans="1:6" x14ac:dyDescent="0.25">
      <c r="A3127" s="1" t="s">
        <v>6264</v>
      </c>
      <c r="B3127" s="1" t="s">
        <v>6265</v>
      </c>
      <c r="C3127" s="3">
        <v>200</v>
      </c>
      <c r="D3127" s="3" t="str">
        <f ca="1">IF(B3127="","",IFERROR(_xludf.XLOOKUP(_xludf.XLOOKUP(B3127,Inventory!$A:$A,Inventory!$B:$B),Blades!$A:$A,Blades!$C:$C)+_xludf.XLOOKUP(_xludf.XLOOKUP(B3127,Inventory!$A:$A,Inventory!$C:$C),Motor!$A:$A,Motor!$C:$C)+_xludf.XLOOKUP(_xludf.XLOOKUP(B3127,Inventory!$A:$A,Inventory!$D:$D),Frame!$A:$A,Frame!$C:$C)+#REF!,""))</f>
        <v/>
      </c>
      <c r="E3127" s="4">
        <v>46302</v>
      </c>
      <c r="F3127" s="1" t="s">
        <v>11</v>
      </c>
    </row>
    <row r="3128" spans="1:6" x14ac:dyDescent="0.25">
      <c r="A3128" s="1" t="s">
        <v>6266</v>
      </c>
      <c r="B3128" s="1" t="s">
        <v>6267</v>
      </c>
      <c r="C3128" s="3">
        <v>200</v>
      </c>
      <c r="D3128" s="3" t="str">
        <f ca="1">IF(B3128="","",IFERROR(_xludf.XLOOKUP(_xludf.XLOOKUP(B3128,Inventory!$A:$A,Inventory!$B:$B),Blades!$A:$A,Blades!$C:$C)+_xludf.XLOOKUP(_xludf.XLOOKUP(B3128,Inventory!$A:$A,Inventory!$C:$C),Motor!$A:$A,Motor!$C:$C)+_xludf.XLOOKUP(_xludf.XLOOKUP(B3128,Inventory!$A:$A,Inventory!$D:$D),Frame!$A:$A,Frame!$C:$C)+#REF!,""))</f>
        <v/>
      </c>
      <c r="E3128" s="4">
        <v>46302</v>
      </c>
      <c r="F3128" s="1" t="s">
        <v>8</v>
      </c>
    </row>
    <row r="3129" spans="1:6" x14ac:dyDescent="0.25">
      <c r="A3129" s="1" t="s">
        <v>6268</v>
      </c>
      <c r="B3129" s="1" t="s">
        <v>6269</v>
      </c>
      <c r="C3129" s="3">
        <v>200</v>
      </c>
      <c r="D3129" s="3" t="str">
        <f ca="1">IF(B3129="","",IFERROR(_xludf.XLOOKUP(_xludf.XLOOKUP(B3129,Inventory!$A:$A,Inventory!$B:$B),Blades!$A:$A,Blades!$C:$C)+_xludf.XLOOKUP(_xludf.XLOOKUP(B3129,Inventory!$A:$A,Inventory!$C:$C),Motor!$A:$A,Motor!$C:$C)+_xludf.XLOOKUP(_xludf.XLOOKUP(B3129,Inventory!$A:$A,Inventory!$D:$D),Frame!$A:$A,Frame!$C:$C)+#REF!,""))</f>
        <v/>
      </c>
      <c r="E3129" s="4">
        <v>46303</v>
      </c>
      <c r="F3129" s="1" t="s">
        <v>8</v>
      </c>
    </row>
    <row r="3130" spans="1:6" x14ac:dyDescent="0.25">
      <c r="A3130" s="1" t="s">
        <v>6270</v>
      </c>
      <c r="B3130" s="1" t="s">
        <v>6271</v>
      </c>
      <c r="C3130" s="3">
        <v>200</v>
      </c>
      <c r="D3130" s="3" t="str">
        <f ca="1">IF(B3130="","",IFERROR(_xludf.XLOOKUP(_xludf.XLOOKUP(B3130,Inventory!$A:$A,Inventory!$B:$B),Blades!$A:$A,Blades!$C:$C)+_xludf.XLOOKUP(_xludf.XLOOKUP(B3130,Inventory!$A:$A,Inventory!$C:$C),Motor!$A:$A,Motor!$C:$C)+_xludf.XLOOKUP(_xludf.XLOOKUP(B3130,Inventory!$A:$A,Inventory!$D:$D),Frame!$A:$A,Frame!$C:$C)+#REF!,""))</f>
        <v/>
      </c>
      <c r="E3130" s="4">
        <v>46303</v>
      </c>
      <c r="F3130" s="1" t="s">
        <v>25</v>
      </c>
    </row>
    <row r="3131" spans="1:6" x14ac:dyDescent="0.25">
      <c r="A3131" s="1" t="s">
        <v>6272</v>
      </c>
      <c r="B3131" s="1" t="s">
        <v>6273</v>
      </c>
      <c r="C3131" s="3">
        <v>200</v>
      </c>
      <c r="D3131" s="3" t="str">
        <f ca="1">IF(B3131="","",IFERROR(_xludf.XLOOKUP(_xludf.XLOOKUP(B3131,Inventory!$A:$A,Inventory!$B:$B),Blades!$A:$A,Blades!$C:$C)+_xludf.XLOOKUP(_xludf.XLOOKUP(B3131,Inventory!$A:$A,Inventory!$C:$C),Motor!$A:$A,Motor!$C:$C)+_xludf.XLOOKUP(_xludf.XLOOKUP(B3131,Inventory!$A:$A,Inventory!$D:$D),Frame!$A:$A,Frame!$C:$C)+#REF!,""))</f>
        <v/>
      </c>
      <c r="E3131" s="4">
        <v>46304</v>
      </c>
      <c r="F3131" s="1" t="s">
        <v>25</v>
      </c>
    </row>
    <row r="3132" spans="1:6" x14ac:dyDescent="0.25">
      <c r="A3132" s="1" t="s">
        <v>6274</v>
      </c>
      <c r="B3132" s="1" t="s">
        <v>6275</v>
      </c>
      <c r="C3132" s="3">
        <v>200</v>
      </c>
      <c r="D3132" s="3" t="str">
        <f ca="1">IF(B3132="","",IFERROR(_xludf.XLOOKUP(_xludf.XLOOKUP(B3132,Inventory!$A:$A,Inventory!$B:$B),Blades!$A:$A,Blades!$C:$C)+_xludf.XLOOKUP(_xludf.XLOOKUP(B3132,Inventory!$A:$A,Inventory!$C:$C),Motor!$A:$A,Motor!$C:$C)+_xludf.XLOOKUP(_xludf.XLOOKUP(B3132,Inventory!$A:$A,Inventory!$D:$D),Frame!$A:$A,Frame!$C:$C)+#REF!,""))</f>
        <v/>
      </c>
      <c r="E3132" s="4">
        <v>46305</v>
      </c>
      <c r="F3132" s="1" t="s">
        <v>32</v>
      </c>
    </row>
    <row r="3133" spans="1:6" x14ac:dyDescent="0.25">
      <c r="A3133" s="1" t="s">
        <v>6276</v>
      </c>
      <c r="B3133" s="1" t="s">
        <v>6277</v>
      </c>
      <c r="C3133" s="3">
        <v>200</v>
      </c>
      <c r="D3133" s="3" t="str">
        <f ca="1">IF(B3133="","",IFERROR(_xludf.XLOOKUP(_xludf.XLOOKUP(B3133,Inventory!$A:$A,Inventory!$B:$B),Blades!$A:$A,Blades!$C:$C)+_xludf.XLOOKUP(_xludf.XLOOKUP(B3133,Inventory!$A:$A,Inventory!$C:$C),Motor!$A:$A,Motor!$C:$C)+_xludf.XLOOKUP(_xludf.XLOOKUP(B3133,Inventory!$A:$A,Inventory!$D:$D),Frame!$A:$A,Frame!$C:$C)+#REF!,""))</f>
        <v/>
      </c>
      <c r="E3133" s="4">
        <v>46305</v>
      </c>
      <c r="F3133" s="1" t="s">
        <v>20</v>
      </c>
    </row>
    <row r="3134" spans="1:6" x14ac:dyDescent="0.25">
      <c r="A3134" s="1" t="s">
        <v>6278</v>
      </c>
      <c r="B3134" s="1" t="s">
        <v>6279</v>
      </c>
      <c r="C3134" s="3">
        <v>200</v>
      </c>
      <c r="D3134" s="3" t="str">
        <f ca="1">IF(B3134="","",IFERROR(_xludf.XLOOKUP(_xludf.XLOOKUP(B3134,Inventory!$A:$A,Inventory!$B:$B),Blades!$A:$A,Blades!$C:$C)+_xludf.XLOOKUP(_xludf.XLOOKUP(B3134,Inventory!$A:$A,Inventory!$C:$C),Motor!$A:$A,Motor!$C:$C)+_xludf.XLOOKUP(_xludf.XLOOKUP(B3134,Inventory!$A:$A,Inventory!$D:$D),Frame!$A:$A,Frame!$C:$C)+#REF!,""))</f>
        <v/>
      </c>
      <c r="E3134" s="4">
        <v>46305</v>
      </c>
      <c r="F3134" s="1" t="s">
        <v>63</v>
      </c>
    </row>
    <row r="3135" spans="1:6" x14ac:dyDescent="0.25">
      <c r="A3135" s="1" t="s">
        <v>6280</v>
      </c>
      <c r="B3135" s="1" t="s">
        <v>6281</v>
      </c>
      <c r="C3135" s="3">
        <v>200</v>
      </c>
      <c r="D3135" s="3" t="str">
        <f ca="1">IF(B3135="","",IFERROR(_xludf.XLOOKUP(_xludf.XLOOKUP(B3135,Inventory!$A:$A,Inventory!$B:$B),Blades!$A:$A,Blades!$C:$C)+_xludf.XLOOKUP(_xludf.XLOOKUP(B3135,Inventory!$A:$A,Inventory!$C:$C),Motor!$A:$A,Motor!$C:$C)+_xludf.XLOOKUP(_xludf.XLOOKUP(B3135,Inventory!$A:$A,Inventory!$D:$D),Frame!$A:$A,Frame!$C:$C)+#REF!,""))</f>
        <v/>
      </c>
      <c r="E3135" s="4">
        <v>46305</v>
      </c>
      <c r="F3135" s="1" t="s">
        <v>20</v>
      </c>
    </row>
    <row r="3136" spans="1:6" x14ac:dyDescent="0.25">
      <c r="A3136" s="1" t="s">
        <v>6282</v>
      </c>
      <c r="B3136" s="1" t="s">
        <v>6283</v>
      </c>
      <c r="C3136" s="3">
        <v>200</v>
      </c>
      <c r="D3136" s="3" t="str">
        <f ca="1">IF(B3136="","",IFERROR(_xludf.XLOOKUP(_xludf.XLOOKUP(B3136,Inventory!$A:$A,Inventory!$B:$B),Blades!$A:$A,Blades!$C:$C)+_xludf.XLOOKUP(_xludf.XLOOKUP(B3136,Inventory!$A:$A,Inventory!$C:$C),Motor!$A:$A,Motor!$C:$C)+_xludf.XLOOKUP(_xludf.XLOOKUP(B3136,Inventory!$A:$A,Inventory!$D:$D),Frame!$A:$A,Frame!$C:$C)+#REF!,""))</f>
        <v/>
      </c>
      <c r="E3136" s="4">
        <v>46308</v>
      </c>
      <c r="F3136" s="1" t="s">
        <v>20</v>
      </c>
    </row>
    <row r="3137" spans="1:6" x14ac:dyDescent="0.25">
      <c r="A3137" s="1" t="s">
        <v>6284</v>
      </c>
      <c r="B3137" s="1" t="s">
        <v>6285</v>
      </c>
      <c r="C3137" s="3">
        <v>200</v>
      </c>
      <c r="D3137" s="3" t="str">
        <f ca="1">IF(B3137="","",IFERROR(_xludf.XLOOKUP(_xludf.XLOOKUP(B3137,Inventory!$A:$A,Inventory!$B:$B),Blades!$A:$A,Blades!$C:$C)+_xludf.XLOOKUP(_xludf.XLOOKUP(B3137,Inventory!$A:$A,Inventory!$C:$C),Motor!$A:$A,Motor!$C:$C)+_xludf.XLOOKUP(_xludf.XLOOKUP(B3137,Inventory!$A:$A,Inventory!$D:$D),Frame!$A:$A,Frame!$C:$C)+#REF!,""))</f>
        <v/>
      </c>
      <c r="E3137" s="4">
        <v>46310</v>
      </c>
      <c r="F3137" s="1" t="s">
        <v>25</v>
      </c>
    </row>
    <row r="3138" spans="1:6" x14ac:dyDescent="0.25">
      <c r="A3138" s="1" t="s">
        <v>6286</v>
      </c>
      <c r="B3138" s="1" t="s">
        <v>6287</v>
      </c>
      <c r="C3138" s="3">
        <v>200</v>
      </c>
      <c r="D3138" s="3" t="str">
        <f ca="1">IF(B3138="","",IFERROR(_xludf.XLOOKUP(_xludf.XLOOKUP(B3138,Inventory!$A:$A,Inventory!$B:$B),Blades!$A:$A,Blades!$C:$C)+_xludf.XLOOKUP(_xludf.XLOOKUP(B3138,Inventory!$A:$A,Inventory!$C:$C),Motor!$A:$A,Motor!$C:$C)+_xludf.XLOOKUP(_xludf.XLOOKUP(B3138,Inventory!$A:$A,Inventory!$D:$D),Frame!$A:$A,Frame!$C:$C)+#REF!,""))</f>
        <v/>
      </c>
      <c r="E3138" s="4">
        <v>46310</v>
      </c>
      <c r="F3138" s="1" t="s">
        <v>63</v>
      </c>
    </row>
    <row r="3139" spans="1:6" x14ac:dyDescent="0.25">
      <c r="A3139" s="1" t="s">
        <v>6288</v>
      </c>
      <c r="B3139" s="1" t="s">
        <v>6289</v>
      </c>
      <c r="C3139" s="3">
        <v>200</v>
      </c>
      <c r="D3139" s="3" t="str">
        <f ca="1">IF(B3139="","",IFERROR(_xludf.XLOOKUP(_xludf.XLOOKUP(B3139,Inventory!$A:$A,Inventory!$B:$B),Blades!$A:$A,Blades!$C:$C)+_xludf.XLOOKUP(_xludf.XLOOKUP(B3139,Inventory!$A:$A,Inventory!$C:$C),Motor!$A:$A,Motor!$C:$C)+_xludf.XLOOKUP(_xludf.XLOOKUP(B3139,Inventory!$A:$A,Inventory!$D:$D),Frame!$A:$A,Frame!$C:$C)+#REF!,""))</f>
        <v/>
      </c>
      <c r="E3139" s="4">
        <v>46311</v>
      </c>
      <c r="F3139" s="1" t="s">
        <v>8</v>
      </c>
    </row>
    <row r="3140" spans="1:6" x14ac:dyDescent="0.25">
      <c r="A3140" s="1" t="s">
        <v>6290</v>
      </c>
      <c r="B3140" s="1" t="s">
        <v>6291</v>
      </c>
      <c r="C3140" s="3">
        <v>200</v>
      </c>
      <c r="D3140" s="3" t="str">
        <f ca="1">IF(B3140="","",IFERROR(_xludf.XLOOKUP(_xludf.XLOOKUP(B3140,Inventory!$A:$A,Inventory!$B:$B),Blades!$A:$A,Blades!$C:$C)+_xludf.XLOOKUP(_xludf.XLOOKUP(B3140,Inventory!$A:$A,Inventory!$C:$C),Motor!$A:$A,Motor!$C:$C)+_xludf.XLOOKUP(_xludf.XLOOKUP(B3140,Inventory!$A:$A,Inventory!$D:$D),Frame!$A:$A,Frame!$C:$C)+#REF!,""))</f>
        <v/>
      </c>
      <c r="E3140" s="4">
        <v>46311</v>
      </c>
      <c r="F3140" s="1" t="s">
        <v>20</v>
      </c>
    </row>
    <row r="3141" spans="1:6" x14ac:dyDescent="0.25">
      <c r="A3141" s="1" t="s">
        <v>6292</v>
      </c>
      <c r="B3141" s="1" t="s">
        <v>6293</v>
      </c>
      <c r="C3141" s="3">
        <v>200</v>
      </c>
      <c r="D3141" s="3" t="str">
        <f ca="1">IF(B3141="","",IFERROR(_xludf.XLOOKUP(_xludf.XLOOKUP(B3141,Inventory!$A:$A,Inventory!$B:$B),Blades!$A:$A,Blades!$C:$C)+_xludf.XLOOKUP(_xludf.XLOOKUP(B3141,Inventory!$A:$A,Inventory!$C:$C),Motor!$A:$A,Motor!$C:$C)+_xludf.XLOOKUP(_xludf.XLOOKUP(B3141,Inventory!$A:$A,Inventory!$D:$D),Frame!$A:$A,Frame!$C:$C)+#REF!,""))</f>
        <v/>
      </c>
      <c r="E3141" s="4">
        <v>46311</v>
      </c>
      <c r="F3141" s="1" t="s">
        <v>52</v>
      </c>
    </row>
    <row r="3142" spans="1:6" x14ac:dyDescent="0.25">
      <c r="A3142" s="1" t="s">
        <v>6294</v>
      </c>
      <c r="B3142" s="1" t="s">
        <v>6295</v>
      </c>
      <c r="C3142" s="3">
        <v>200</v>
      </c>
      <c r="D3142" s="3" t="str">
        <f ca="1">IF(B3142="","",IFERROR(_xludf.XLOOKUP(_xludf.XLOOKUP(B3142,Inventory!$A:$A,Inventory!$B:$B),Blades!$A:$A,Blades!$C:$C)+_xludf.XLOOKUP(_xludf.XLOOKUP(B3142,Inventory!$A:$A,Inventory!$C:$C),Motor!$A:$A,Motor!$C:$C)+_xludf.XLOOKUP(_xludf.XLOOKUP(B3142,Inventory!$A:$A,Inventory!$D:$D),Frame!$A:$A,Frame!$C:$C)+#REF!,""))</f>
        <v/>
      </c>
      <c r="E3142" s="4">
        <v>46312</v>
      </c>
      <c r="F3142" s="1" t="s">
        <v>8</v>
      </c>
    </row>
    <row r="3143" spans="1:6" x14ac:dyDescent="0.25">
      <c r="A3143" s="1" t="s">
        <v>6296</v>
      </c>
      <c r="B3143" s="1" t="s">
        <v>6297</v>
      </c>
      <c r="C3143" s="3">
        <v>200</v>
      </c>
      <c r="D3143" s="3" t="str">
        <f ca="1">IF(B3143="","",IFERROR(_xludf.XLOOKUP(_xludf.XLOOKUP(B3143,Inventory!$A:$A,Inventory!$B:$B),Blades!$A:$A,Blades!$C:$C)+_xludf.XLOOKUP(_xludf.XLOOKUP(B3143,Inventory!$A:$A,Inventory!$C:$C),Motor!$A:$A,Motor!$C:$C)+_xludf.XLOOKUP(_xludf.XLOOKUP(B3143,Inventory!$A:$A,Inventory!$D:$D),Frame!$A:$A,Frame!$C:$C)+#REF!,""))</f>
        <v/>
      </c>
      <c r="E3143" s="4">
        <v>46313</v>
      </c>
      <c r="F3143" s="1" t="s">
        <v>63</v>
      </c>
    </row>
    <row r="3144" spans="1:6" x14ac:dyDescent="0.25">
      <c r="A3144" s="1" t="s">
        <v>6298</v>
      </c>
      <c r="B3144" s="1" t="s">
        <v>6299</v>
      </c>
      <c r="C3144" s="3">
        <v>200</v>
      </c>
      <c r="D3144" s="3" t="str">
        <f ca="1">IF(B3144="","",IFERROR(_xludf.XLOOKUP(_xludf.XLOOKUP(B3144,Inventory!$A:$A,Inventory!$B:$B),Blades!$A:$A,Blades!$C:$C)+_xludf.XLOOKUP(_xludf.XLOOKUP(B3144,Inventory!$A:$A,Inventory!$C:$C),Motor!$A:$A,Motor!$C:$C)+_xludf.XLOOKUP(_xludf.XLOOKUP(B3144,Inventory!$A:$A,Inventory!$D:$D),Frame!$A:$A,Frame!$C:$C)+#REF!,""))</f>
        <v/>
      </c>
      <c r="E3144" s="4">
        <v>46313</v>
      </c>
      <c r="F3144" s="1" t="s">
        <v>63</v>
      </c>
    </row>
    <row r="3145" spans="1:6" x14ac:dyDescent="0.25">
      <c r="A3145" s="1" t="s">
        <v>6300</v>
      </c>
      <c r="B3145" s="1" t="s">
        <v>6301</v>
      </c>
      <c r="C3145" s="3">
        <v>200</v>
      </c>
      <c r="D3145" s="3" t="str">
        <f ca="1">IF(B3145="","",IFERROR(_xludf.XLOOKUP(_xludf.XLOOKUP(B3145,Inventory!$A:$A,Inventory!$B:$B),Blades!$A:$A,Blades!$C:$C)+_xludf.XLOOKUP(_xludf.XLOOKUP(B3145,Inventory!$A:$A,Inventory!$C:$C),Motor!$A:$A,Motor!$C:$C)+_xludf.XLOOKUP(_xludf.XLOOKUP(B3145,Inventory!$A:$A,Inventory!$D:$D),Frame!$A:$A,Frame!$C:$C)+#REF!,""))</f>
        <v/>
      </c>
      <c r="E3145" s="4">
        <v>46313</v>
      </c>
      <c r="F3145" s="1" t="s">
        <v>25</v>
      </c>
    </row>
    <row r="3146" spans="1:6" x14ac:dyDescent="0.25">
      <c r="A3146" s="1" t="s">
        <v>6302</v>
      </c>
      <c r="B3146" s="1" t="s">
        <v>6303</v>
      </c>
      <c r="C3146" s="3">
        <v>200</v>
      </c>
      <c r="D3146" s="3" t="str">
        <f ca="1">IF(B3146="","",IFERROR(_xludf.XLOOKUP(_xludf.XLOOKUP(B3146,Inventory!$A:$A,Inventory!$B:$B),Blades!$A:$A,Blades!$C:$C)+_xludf.XLOOKUP(_xludf.XLOOKUP(B3146,Inventory!$A:$A,Inventory!$C:$C),Motor!$A:$A,Motor!$C:$C)+_xludf.XLOOKUP(_xludf.XLOOKUP(B3146,Inventory!$A:$A,Inventory!$D:$D),Frame!$A:$A,Frame!$C:$C)+#REF!,""))</f>
        <v/>
      </c>
      <c r="E3146" s="4">
        <v>46314</v>
      </c>
      <c r="F3146" s="1" t="s">
        <v>49</v>
      </c>
    </row>
    <row r="3147" spans="1:6" x14ac:dyDescent="0.25">
      <c r="A3147" s="1" t="s">
        <v>6304</v>
      </c>
      <c r="B3147" s="1" t="s">
        <v>6305</v>
      </c>
      <c r="C3147" s="3">
        <v>200</v>
      </c>
      <c r="D3147" s="3" t="str">
        <f ca="1">IF(B3147="","",IFERROR(_xludf.XLOOKUP(_xludf.XLOOKUP(B3147,Inventory!$A:$A,Inventory!$B:$B),Blades!$A:$A,Blades!$C:$C)+_xludf.XLOOKUP(_xludf.XLOOKUP(B3147,Inventory!$A:$A,Inventory!$C:$C),Motor!$A:$A,Motor!$C:$C)+_xludf.XLOOKUP(_xludf.XLOOKUP(B3147,Inventory!$A:$A,Inventory!$D:$D),Frame!$A:$A,Frame!$C:$C)+#REF!,""))</f>
        <v/>
      </c>
      <c r="E3147" s="4">
        <v>46314</v>
      </c>
      <c r="F3147" s="1" t="s">
        <v>25</v>
      </c>
    </row>
    <row r="3148" spans="1:6" x14ac:dyDescent="0.25">
      <c r="A3148" s="1" t="s">
        <v>6306</v>
      </c>
      <c r="B3148" s="1" t="s">
        <v>6307</v>
      </c>
      <c r="C3148" s="3">
        <v>200</v>
      </c>
      <c r="D3148" s="3" t="str">
        <f ca="1">IF(B3148="","",IFERROR(_xludf.XLOOKUP(_xludf.XLOOKUP(B3148,Inventory!$A:$A,Inventory!$B:$B),Blades!$A:$A,Blades!$C:$C)+_xludf.XLOOKUP(_xludf.XLOOKUP(B3148,Inventory!$A:$A,Inventory!$C:$C),Motor!$A:$A,Motor!$C:$C)+_xludf.XLOOKUP(_xludf.XLOOKUP(B3148,Inventory!$A:$A,Inventory!$D:$D),Frame!$A:$A,Frame!$C:$C)+#REF!,""))</f>
        <v/>
      </c>
      <c r="E3148" s="4">
        <v>46314</v>
      </c>
      <c r="F3148" s="1" t="s">
        <v>20</v>
      </c>
    </row>
    <row r="3149" spans="1:6" x14ac:dyDescent="0.25">
      <c r="A3149" s="1" t="s">
        <v>6308</v>
      </c>
      <c r="B3149" s="1" t="s">
        <v>6309</v>
      </c>
      <c r="C3149" s="3">
        <v>200</v>
      </c>
      <c r="D3149" s="3" t="str">
        <f ca="1">IF(B3149="","",IFERROR(_xludf.XLOOKUP(_xludf.XLOOKUP(B3149,Inventory!$A:$A,Inventory!$B:$B),Blades!$A:$A,Blades!$C:$C)+_xludf.XLOOKUP(_xludf.XLOOKUP(B3149,Inventory!$A:$A,Inventory!$C:$C),Motor!$A:$A,Motor!$C:$C)+_xludf.XLOOKUP(_xludf.XLOOKUP(B3149,Inventory!$A:$A,Inventory!$D:$D),Frame!$A:$A,Frame!$C:$C)+#REF!,""))</f>
        <v/>
      </c>
      <c r="E3149" s="4">
        <v>46315</v>
      </c>
      <c r="F3149" s="1" t="s">
        <v>52</v>
      </c>
    </row>
    <row r="3150" spans="1:6" x14ac:dyDescent="0.25">
      <c r="A3150" s="1" t="s">
        <v>6310</v>
      </c>
      <c r="B3150" s="1" t="s">
        <v>6311</v>
      </c>
      <c r="C3150" s="3">
        <v>200</v>
      </c>
      <c r="D3150" s="3" t="str">
        <f ca="1">IF(B3150="","",IFERROR(_xludf.XLOOKUP(_xludf.XLOOKUP(B3150,Inventory!$A:$A,Inventory!$B:$B),Blades!$A:$A,Blades!$C:$C)+_xludf.XLOOKUP(_xludf.XLOOKUP(B3150,Inventory!$A:$A,Inventory!$C:$C),Motor!$A:$A,Motor!$C:$C)+_xludf.XLOOKUP(_xludf.XLOOKUP(B3150,Inventory!$A:$A,Inventory!$D:$D),Frame!$A:$A,Frame!$C:$C)+#REF!,""))</f>
        <v/>
      </c>
      <c r="E3150" s="4">
        <v>46315</v>
      </c>
      <c r="F3150" s="1" t="s">
        <v>49</v>
      </c>
    </row>
    <row r="3151" spans="1:6" x14ac:dyDescent="0.25">
      <c r="A3151" s="1" t="s">
        <v>6312</v>
      </c>
      <c r="B3151" s="1" t="s">
        <v>6313</v>
      </c>
      <c r="C3151" s="3">
        <v>200</v>
      </c>
      <c r="D3151" s="3" t="str">
        <f ca="1">IF(B3151="","",IFERROR(_xludf.XLOOKUP(_xludf.XLOOKUP(B3151,Inventory!$A:$A,Inventory!$B:$B),Blades!$A:$A,Blades!$C:$C)+_xludf.XLOOKUP(_xludf.XLOOKUP(B3151,Inventory!$A:$A,Inventory!$C:$C),Motor!$A:$A,Motor!$C:$C)+_xludf.XLOOKUP(_xludf.XLOOKUP(B3151,Inventory!$A:$A,Inventory!$D:$D),Frame!$A:$A,Frame!$C:$C)+#REF!,""))</f>
        <v/>
      </c>
      <c r="E3151" s="4">
        <v>46315</v>
      </c>
      <c r="F3151" s="1" t="s">
        <v>25</v>
      </c>
    </row>
    <row r="3152" spans="1:6" x14ac:dyDescent="0.25">
      <c r="A3152" s="1" t="s">
        <v>6314</v>
      </c>
      <c r="B3152" s="1" t="s">
        <v>6315</v>
      </c>
      <c r="C3152" s="3">
        <v>200</v>
      </c>
      <c r="D3152" s="3" t="str">
        <f ca="1">IF(B3152="","",IFERROR(_xludf.XLOOKUP(_xludf.XLOOKUP(B3152,Inventory!$A:$A,Inventory!$B:$B),Blades!$A:$A,Blades!$C:$C)+_xludf.XLOOKUP(_xludf.XLOOKUP(B3152,Inventory!$A:$A,Inventory!$C:$C),Motor!$A:$A,Motor!$C:$C)+_xludf.XLOOKUP(_xludf.XLOOKUP(B3152,Inventory!$A:$A,Inventory!$D:$D),Frame!$A:$A,Frame!$C:$C)+#REF!,""))</f>
        <v/>
      </c>
      <c r="E3152" s="4">
        <v>46316</v>
      </c>
      <c r="F3152" s="1" t="s">
        <v>52</v>
      </c>
    </row>
    <row r="3153" spans="1:6" x14ac:dyDescent="0.25">
      <c r="A3153" s="1" t="s">
        <v>6316</v>
      </c>
      <c r="B3153" s="1" t="s">
        <v>6317</v>
      </c>
      <c r="C3153" s="3">
        <v>200</v>
      </c>
      <c r="D3153" s="3" t="str">
        <f ca="1">IF(B3153="","",IFERROR(_xludf.XLOOKUP(_xludf.XLOOKUP(B3153,Inventory!$A:$A,Inventory!$B:$B),Blades!$A:$A,Blades!$C:$C)+_xludf.XLOOKUP(_xludf.XLOOKUP(B3153,Inventory!$A:$A,Inventory!$C:$C),Motor!$A:$A,Motor!$C:$C)+_xludf.XLOOKUP(_xludf.XLOOKUP(B3153,Inventory!$A:$A,Inventory!$D:$D),Frame!$A:$A,Frame!$C:$C)+#REF!,""))</f>
        <v/>
      </c>
      <c r="E3153" s="4">
        <v>46317</v>
      </c>
      <c r="F3153" s="1" t="s">
        <v>49</v>
      </c>
    </row>
    <row r="3154" spans="1:6" x14ac:dyDescent="0.25">
      <c r="A3154" s="1" t="s">
        <v>6318</v>
      </c>
      <c r="B3154" s="1" t="s">
        <v>6319</v>
      </c>
      <c r="C3154" s="3">
        <v>200</v>
      </c>
      <c r="D3154" s="3" t="str">
        <f ca="1">IF(B3154="","",IFERROR(_xludf.XLOOKUP(_xludf.XLOOKUP(B3154,Inventory!$A:$A,Inventory!$B:$B),Blades!$A:$A,Blades!$C:$C)+_xludf.XLOOKUP(_xludf.XLOOKUP(B3154,Inventory!$A:$A,Inventory!$C:$C),Motor!$A:$A,Motor!$C:$C)+_xludf.XLOOKUP(_xludf.XLOOKUP(B3154,Inventory!$A:$A,Inventory!$D:$D),Frame!$A:$A,Frame!$C:$C)+#REF!,""))</f>
        <v/>
      </c>
      <c r="E3154" s="4">
        <v>46317</v>
      </c>
      <c r="F3154" s="1" t="s">
        <v>32</v>
      </c>
    </row>
    <row r="3155" spans="1:6" x14ac:dyDescent="0.25">
      <c r="A3155" s="1" t="s">
        <v>6320</v>
      </c>
      <c r="B3155" s="1" t="s">
        <v>6321</v>
      </c>
      <c r="C3155" s="3">
        <v>200</v>
      </c>
      <c r="D3155" s="3" t="str">
        <f ca="1">IF(B3155="","",IFERROR(_xludf.XLOOKUP(_xludf.XLOOKUP(B3155,Inventory!$A:$A,Inventory!$B:$B),Blades!$A:$A,Blades!$C:$C)+_xludf.XLOOKUP(_xludf.XLOOKUP(B3155,Inventory!$A:$A,Inventory!$C:$C),Motor!$A:$A,Motor!$C:$C)+_xludf.XLOOKUP(_xludf.XLOOKUP(B3155,Inventory!$A:$A,Inventory!$D:$D),Frame!$A:$A,Frame!$C:$C)+#REF!,""))</f>
        <v/>
      </c>
      <c r="E3155" s="4">
        <v>46321</v>
      </c>
      <c r="F3155" s="1" t="s">
        <v>8</v>
      </c>
    </row>
    <row r="3156" spans="1:6" x14ac:dyDescent="0.25">
      <c r="A3156" s="1" t="s">
        <v>6322</v>
      </c>
      <c r="B3156" s="1" t="s">
        <v>6323</v>
      </c>
      <c r="C3156" s="3">
        <v>200</v>
      </c>
      <c r="D3156" s="3" t="str">
        <f ca="1">IF(B3156="","",IFERROR(_xludf.XLOOKUP(_xludf.XLOOKUP(B3156,Inventory!$A:$A,Inventory!$B:$B),Blades!$A:$A,Blades!$C:$C)+_xludf.XLOOKUP(_xludf.XLOOKUP(B3156,Inventory!$A:$A,Inventory!$C:$C),Motor!$A:$A,Motor!$C:$C)+_xludf.XLOOKUP(_xludf.XLOOKUP(B3156,Inventory!$A:$A,Inventory!$D:$D),Frame!$A:$A,Frame!$C:$C)+#REF!,""))</f>
        <v/>
      </c>
      <c r="E3156" s="4">
        <v>46321</v>
      </c>
      <c r="F3156" s="1" t="s">
        <v>52</v>
      </c>
    </row>
    <row r="3157" spans="1:6" x14ac:dyDescent="0.25">
      <c r="A3157" s="1" t="s">
        <v>6324</v>
      </c>
      <c r="B3157" s="1" t="s">
        <v>6325</v>
      </c>
      <c r="C3157" s="3">
        <v>200</v>
      </c>
      <c r="D3157" s="3" t="str">
        <f ca="1">IF(B3157="","",IFERROR(_xludf.XLOOKUP(_xludf.XLOOKUP(B3157,Inventory!$A:$A,Inventory!$B:$B),Blades!$A:$A,Blades!$C:$C)+_xludf.XLOOKUP(_xludf.XLOOKUP(B3157,Inventory!$A:$A,Inventory!$C:$C),Motor!$A:$A,Motor!$C:$C)+_xludf.XLOOKUP(_xludf.XLOOKUP(B3157,Inventory!$A:$A,Inventory!$D:$D),Frame!$A:$A,Frame!$C:$C)+#REF!,""))</f>
        <v/>
      </c>
      <c r="E3157" s="4">
        <v>46322</v>
      </c>
      <c r="F3157" s="1" t="s">
        <v>25</v>
      </c>
    </row>
    <row r="3158" spans="1:6" x14ac:dyDescent="0.25">
      <c r="A3158" s="1" t="s">
        <v>6326</v>
      </c>
      <c r="B3158" s="1" t="s">
        <v>6327</v>
      </c>
      <c r="C3158" s="3">
        <v>200</v>
      </c>
      <c r="D3158" s="3" t="str">
        <f ca="1">IF(B3158="","",IFERROR(_xludf.XLOOKUP(_xludf.XLOOKUP(B3158,Inventory!$A:$A,Inventory!$B:$B),Blades!$A:$A,Blades!$C:$C)+_xludf.XLOOKUP(_xludf.XLOOKUP(B3158,Inventory!$A:$A,Inventory!$C:$C),Motor!$A:$A,Motor!$C:$C)+_xludf.XLOOKUP(_xludf.XLOOKUP(B3158,Inventory!$A:$A,Inventory!$D:$D),Frame!$A:$A,Frame!$C:$C)+#REF!,""))</f>
        <v/>
      </c>
      <c r="E3158" s="4">
        <v>46323</v>
      </c>
      <c r="F3158" s="1" t="s">
        <v>8</v>
      </c>
    </row>
    <row r="3159" spans="1:6" x14ac:dyDescent="0.25">
      <c r="A3159" s="1" t="s">
        <v>6328</v>
      </c>
      <c r="B3159" s="1" t="s">
        <v>6329</v>
      </c>
      <c r="C3159" s="3">
        <v>200</v>
      </c>
      <c r="D3159" s="3" t="str">
        <f ca="1">IF(B3159="","",IFERROR(_xludf.XLOOKUP(_xludf.XLOOKUP(B3159,Inventory!$A:$A,Inventory!$B:$B),Blades!$A:$A,Blades!$C:$C)+_xludf.XLOOKUP(_xludf.XLOOKUP(B3159,Inventory!$A:$A,Inventory!$C:$C),Motor!$A:$A,Motor!$C:$C)+_xludf.XLOOKUP(_xludf.XLOOKUP(B3159,Inventory!$A:$A,Inventory!$D:$D),Frame!$A:$A,Frame!$C:$C)+#REF!,""))</f>
        <v/>
      </c>
      <c r="E3159" s="4">
        <v>46323</v>
      </c>
      <c r="F3159" s="1" t="s">
        <v>32</v>
      </c>
    </row>
    <row r="3160" spans="1:6" x14ac:dyDescent="0.25">
      <c r="A3160" s="1" t="s">
        <v>6330</v>
      </c>
      <c r="B3160" s="1" t="s">
        <v>6331</v>
      </c>
      <c r="C3160" s="3">
        <v>200</v>
      </c>
      <c r="D3160" s="3" t="str">
        <f ca="1">IF(B3160="","",IFERROR(_xludf.XLOOKUP(_xludf.XLOOKUP(B3160,Inventory!$A:$A,Inventory!$B:$B),Blades!$A:$A,Blades!$C:$C)+_xludf.XLOOKUP(_xludf.XLOOKUP(B3160,Inventory!$A:$A,Inventory!$C:$C),Motor!$A:$A,Motor!$C:$C)+_xludf.XLOOKUP(_xludf.XLOOKUP(B3160,Inventory!$A:$A,Inventory!$D:$D),Frame!$A:$A,Frame!$C:$C)+#REF!,""))</f>
        <v/>
      </c>
      <c r="E3160" s="4">
        <v>46324</v>
      </c>
      <c r="F3160" s="1" t="s">
        <v>11</v>
      </c>
    </row>
    <row r="3161" spans="1:6" x14ac:dyDescent="0.25">
      <c r="A3161" s="1" t="s">
        <v>6332</v>
      </c>
      <c r="B3161" s="1" t="s">
        <v>6333</v>
      </c>
      <c r="C3161" s="3">
        <v>200</v>
      </c>
      <c r="D3161" s="3" t="str">
        <f ca="1">IF(B3161="","",IFERROR(_xludf.XLOOKUP(_xludf.XLOOKUP(B3161,Inventory!$A:$A,Inventory!$B:$B),Blades!$A:$A,Blades!$C:$C)+_xludf.XLOOKUP(_xludf.XLOOKUP(B3161,Inventory!$A:$A,Inventory!$C:$C),Motor!$A:$A,Motor!$C:$C)+_xludf.XLOOKUP(_xludf.XLOOKUP(B3161,Inventory!$A:$A,Inventory!$D:$D),Frame!$A:$A,Frame!$C:$C)+#REF!,""))</f>
        <v/>
      </c>
      <c r="E3161" s="4">
        <v>46325</v>
      </c>
      <c r="F3161" s="1" t="s">
        <v>25</v>
      </c>
    </row>
    <row r="3162" spans="1:6" x14ac:dyDescent="0.25">
      <c r="A3162" s="1" t="s">
        <v>6334</v>
      </c>
      <c r="B3162" s="1" t="s">
        <v>6335</v>
      </c>
      <c r="C3162" s="3">
        <v>200</v>
      </c>
      <c r="D3162" s="3" t="str">
        <f ca="1">IF(B3162="","",IFERROR(_xludf.XLOOKUP(_xludf.XLOOKUP(B3162,Inventory!$A:$A,Inventory!$B:$B),Blades!$A:$A,Blades!$C:$C)+_xludf.XLOOKUP(_xludf.XLOOKUP(B3162,Inventory!$A:$A,Inventory!$C:$C),Motor!$A:$A,Motor!$C:$C)+_xludf.XLOOKUP(_xludf.XLOOKUP(B3162,Inventory!$A:$A,Inventory!$D:$D),Frame!$A:$A,Frame!$C:$C)+#REF!,""))</f>
        <v/>
      </c>
      <c r="E3162" s="4">
        <v>46326</v>
      </c>
      <c r="F3162" s="1" t="s">
        <v>11</v>
      </c>
    </row>
    <row r="3163" spans="1:6" x14ac:dyDescent="0.25">
      <c r="A3163" s="1" t="s">
        <v>6336</v>
      </c>
      <c r="B3163" s="1" t="s">
        <v>6337</v>
      </c>
      <c r="C3163" s="3">
        <v>200</v>
      </c>
      <c r="D3163" s="3" t="str">
        <f ca="1">IF(B3163="","",IFERROR(_xludf.XLOOKUP(_xludf.XLOOKUP(B3163,Inventory!$A:$A,Inventory!$B:$B),Blades!$A:$A,Blades!$C:$C)+_xludf.XLOOKUP(_xludf.XLOOKUP(B3163,Inventory!$A:$A,Inventory!$C:$C),Motor!$A:$A,Motor!$C:$C)+_xludf.XLOOKUP(_xludf.XLOOKUP(B3163,Inventory!$A:$A,Inventory!$D:$D),Frame!$A:$A,Frame!$C:$C)+#REF!,""))</f>
        <v/>
      </c>
      <c r="E3163" s="4">
        <v>46326</v>
      </c>
      <c r="F3163" s="1" t="s">
        <v>25</v>
      </c>
    </row>
    <row r="3164" spans="1:6" x14ac:dyDescent="0.25">
      <c r="A3164" s="1" t="s">
        <v>6338</v>
      </c>
      <c r="B3164" s="1" t="s">
        <v>6339</v>
      </c>
      <c r="C3164" s="3">
        <v>200</v>
      </c>
      <c r="D3164" s="3" t="str">
        <f ca="1">IF(B3164="","",IFERROR(_xludf.XLOOKUP(_xludf.XLOOKUP(B3164,Inventory!$A:$A,Inventory!$B:$B),Blades!$A:$A,Blades!$C:$C)+_xludf.XLOOKUP(_xludf.XLOOKUP(B3164,Inventory!$A:$A,Inventory!$C:$C),Motor!$A:$A,Motor!$C:$C)+_xludf.XLOOKUP(_xludf.XLOOKUP(B3164,Inventory!$A:$A,Inventory!$D:$D),Frame!$A:$A,Frame!$C:$C)+#REF!,""))</f>
        <v/>
      </c>
      <c r="E3164" s="4">
        <v>46326</v>
      </c>
      <c r="F3164" s="1" t="s">
        <v>32</v>
      </c>
    </row>
    <row r="3165" spans="1:6" x14ac:dyDescent="0.25">
      <c r="A3165" s="1" t="s">
        <v>6340</v>
      </c>
      <c r="B3165" s="1" t="s">
        <v>6341</v>
      </c>
      <c r="C3165" s="3">
        <v>200</v>
      </c>
      <c r="D3165" s="3" t="str">
        <f ca="1">IF(B3165="","",IFERROR(_xludf.XLOOKUP(_xludf.XLOOKUP(B3165,Inventory!$A:$A,Inventory!$B:$B),Blades!$A:$A,Blades!$C:$C)+_xludf.XLOOKUP(_xludf.XLOOKUP(B3165,Inventory!$A:$A,Inventory!$C:$C),Motor!$A:$A,Motor!$C:$C)+_xludf.XLOOKUP(_xludf.XLOOKUP(B3165,Inventory!$A:$A,Inventory!$D:$D),Frame!$A:$A,Frame!$C:$C)+#REF!,""))</f>
        <v/>
      </c>
      <c r="E3165" s="4">
        <v>46328</v>
      </c>
      <c r="F3165" s="1" t="s">
        <v>20</v>
      </c>
    </row>
    <row r="3166" spans="1:6" x14ac:dyDescent="0.25">
      <c r="A3166" s="1" t="s">
        <v>6342</v>
      </c>
      <c r="B3166" s="1" t="s">
        <v>6343</v>
      </c>
      <c r="C3166" s="3">
        <v>200</v>
      </c>
      <c r="D3166" s="3" t="str">
        <f ca="1">IF(B3166="","",IFERROR(_xludf.XLOOKUP(_xludf.XLOOKUP(B3166,Inventory!$A:$A,Inventory!$B:$B),Blades!$A:$A,Blades!$C:$C)+_xludf.XLOOKUP(_xludf.XLOOKUP(B3166,Inventory!$A:$A,Inventory!$C:$C),Motor!$A:$A,Motor!$C:$C)+_xludf.XLOOKUP(_xludf.XLOOKUP(B3166,Inventory!$A:$A,Inventory!$D:$D),Frame!$A:$A,Frame!$C:$C)+#REF!,""))</f>
        <v/>
      </c>
      <c r="E3166" s="4">
        <v>46329</v>
      </c>
      <c r="F3166" s="1" t="s">
        <v>63</v>
      </c>
    </row>
    <row r="3167" spans="1:6" x14ac:dyDescent="0.25">
      <c r="A3167" s="1" t="s">
        <v>6344</v>
      </c>
      <c r="B3167" s="1" t="s">
        <v>6345</v>
      </c>
      <c r="C3167" s="3">
        <v>200</v>
      </c>
      <c r="D3167" s="3" t="str">
        <f ca="1">IF(B3167="","",IFERROR(_xludf.XLOOKUP(_xludf.XLOOKUP(B3167,Inventory!$A:$A,Inventory!$B:$B),Blades!$A:$A,Blades!$C:$C)+_xludf.XLOOKUP(_xludf.XLOOKUP(B3167,Inventory!$A:$A,Inventory!$C:$C),Motor!$A:$A,Motor!$C:$C)+_xludf.XLOOKUP(_xludf.XLOOKUP(B3167,Inventory!$A:$A,Inventory!$D:$D),Frame!$A:$A,Frame!$C:$C)+#REF!,""))</f>
        <v/>
      </c>
      <c r="E3167" s="4">
        <v>46330</v>
      </c>
      <c r="F3167" s="1" t="s">
        <v>8</v>
      </c>
    </row>
    <row r="3168" spans="1:6" x14ac:dyDescent="0.25">
      <c r="A3168" s="1" t="s">
        <v>6346</v>
      </c>
      <c r="B3168" s="1" t="s">
        <v>6347</v>
      </c>
      <c r="C3168" s="3">
        <v>200</v>
      </c>
      <c r="D3168" s="3" t="str">
        <f ca="1">IF(B3168="","",IFERROR(_xludf.XLOOKUP(_xludf.XLOOKUP(B3168,Inventory!$A:$A,Inventory!$B:$B),Blades!$A:$A,Blades!$C:$C)+_xludf.XLOOKUP(_xludf.XLOOKUP(B3168,Inventory!$A:$A,Inventory!$C:$C),Motor!$A:$A,Motor!$C:$C)+_xludf.XLOOKUP(_xludf.XLOOKUP(B3168,Inventory!$A:$A,Inventory!$D:$D),Frame!$A:$A,Frame!$C:$C)+#REF!,""))</f>
        <v/>
      </c>
      <c r="E3168" s="4">
        <v>46331</v>
      </c>
      <c r="F3168" s="1" t="s">
        <v>49</v>
      </c>
    </row>
    <row r="3169" spans="1:6" x14ac:dyDescent="0.25">
      <c r="A3169" s="1" t="s">
        <v>6348</v>
      </c>
      <c r="B3169" s="1" t="s">
        <v>6349</v>
      </c>
      <c r="C3169" s="3">
        <v>200</v>
      </c>
      <c r="D3169" s="3" t="str">
        <f ca="1">IF(B3169="","",IFERROR(_xludf.XLOOKUP(_xludf.XLOOKUP(B3169,Inventory!$A:$A,Inventory!$B:$B),Blades!$A:$A,Blades!$C:$C)+_xludf.XLOOKUP(_xludf.XLOOKUP(B3169,Inventory!$A:$A,Inventory!$C:$C),Motor!$A:$A,Motor!$C:$C)+_xludf.XLOOKUP(_xludf.XLOOKUP(B3169,Inventory!$A:$A,Inventory!$D:$D),Frame!$A:$A,Frame!$C:$C)+#REF!,""))</f>
        <v/>
      </c>
      <c r="E3169" s="4">
        <v>46331</v>
      </c>
      <c r="F3169" s="1" t="s">
        <v>32</v>
      </c>
    </row>
    <row r="3170" spans="1:6" x14ac:dyDescent="0.25">
      <c r="A3170" s="1" t="s">
        <v>6350</v>
      </c>
      <c r="B3170" s="1" t="s">
        <v>6351</v>
      </c>
      <c r="C3170" s="3">
        <v>200</v>
      </c>
      <c r="D3170" s="3" t="str">
        <f ca="1">IF(B3170="","",IFERROR(_xludf.XLOOKUP(_xludf.XLOOKUP(B3170,Inventory!$A:$A,Inventory!$B:$B),Blades!$A:$A,Blades!$C:$C)+_xludf.XLOOKUP(_xludf.XLOOKUP(B3170,Inventory!$A:$A,Inventory!$C:$C),Motor!$A:$A,Motor!$C:$C)+_xludf.XLOOKUP(_xludf.XLOOKUP(B3170,Inventory!$A:$A,Inventory!$D:$D),Frame!$A:$A,Frame!$C:$C)+#REF!,""))</f>
        <v/>
      </c>
      <c r="E3170" s="4">
        <v>46332</v>
      </c>
      <c r="F3170" s="1" t="s">
        <v>63</v>
      </c>
    </row>
    <row r="3171" spans="1:6" x14ac:dyDescent="0.25">
      <c r="A3171" s="1" t="s">
        <v>6352</v>
      </c>
      <c r="B3171" s="1" t="s">
        <v>6353</v>
      </c>
      <c r="C3171" s="3">
        <v>200</v>
      </c>
      <c r="D3171" s="3" t="str">
        <f ca="1">IF(B3171="","",IFERROR(_xludf.XLOOKUP(_xludf.XLOOKUP(B3171,Inventory!$A:$A,Inventory!$B:$B),Blades!$A:$A,Blades!$C:$C)+_xludf.XLOOKUP(_xludf.XLOOKUP(B3171,Inventory!$A:$A,Inventory!$C:$C),Motor!$A:$A,Motor!$C:$C)+_xludf.XLOOKUP(_xludf.XLOOKUP(B3171,Inventory!$A:$A,Inventory!$D:$D),Frame!$A:$A,Frame!$C:$C)+#REF!,""))</f>
        <v/>
      </c>
      <c r="E3171" s="4">
        <v>46333</v>
      </c>
      <c r="F3171" s="1" t="s">
        <v>32</v>
      </c>
    </row>
    <row r="3172" spans="1:6" x14ac:dyDescent="0.25">
      <c r="A3172" s="1" t="s">
        <v>6354</v>
      </c>
      <c r="B3172" s="1" t="s">
        <v>6355</v>
      </c>
      <c r="C3172" s="3">
        <v>200</v>
      </c>
      <c r="D3172" s="3" t="str">
        <f ca="1">IF(B3172="","",IFERROR(_xludf.XLOOKUP(_xludf.XLOOKUP(B3172,Inventory!$A:$A,Inventory!$B:$B),Blades!$A:$A,Blades!$C:$C)+_xludf.XLOOKUP(_xludf.XLOOKUP(B3172,Inventory!$A:$A,Inventory!$C:$C),Motor!$A:$A,Motor!$C:$C)+_xludf.XLOOKUP(_xludf.XLOOKUP(B3172,Inventory!$A:$A,Inventory!$D:$D),Frame!$A:$A,Frame!$C:$C)+#REF!,""))</f>
        <v/>
      </c>
      <c r="E3172" s="4">
        <v>46333</v>
      </c>
      <c r="F3172" s="1" t="s">
        <v>52</v>
      </c>
    </row>
    <row r="3173" spans="1:6" x14ac:dyDescent="0.25">
      <c r="A3173" s="1" t="s">
        <v>6356</v>
      </c>
      <c r="B3173" s="1" t="s">
        <v>6357</v>
      </c>
      <c r="C3173" s="3">
        <v>200</v>
      </c>
      <c r="D3173" s="3" t="str">
        <f ca="1">IF(B3173="","",IFERROR(_xludf.XLOOKUP(_xludf.XLOOKUP(B3173,Inventory!$A:$A,Inventory!$B:$B),Blades!$A:$A,Blades!$C:$C)+_xludf.XLOOKUP(_xludf.XLOOKUP(B3173,Inventory!$A:$A,Inventory!$C:$C),Motor!$A:$A,Motor!$C:$C)+_xludf.XLOOKUP(_xludf.XLOOKUP(B3173,Inventory!$A:$A,Inventory!$D:$D),Frame!$A:$A,Frame!$C:$C)+#REF!,""))</f>
        <v/>
      </c>
      <c r="E3173" s="4">
        <v>46334</v>
      </c>
      <c r="F3173" s="1" t="s">
        <v>20</v>
      </c>
    </row>
    <row r="3174" spans="1:6" x14ac:dyDescent="0.25">
      <c r="A3174" s="1" t="s">
        <v>6358</v>
      </c>
      <c r="B3174" s="1" t="s">
        <v>6359</v>
      </c>
      <c r="C3174" s="3">
        <v>200</v>
      </c>
      <c r="D3174" s="3" t="str">
        <f ca="1">IF(B3174="","",IFERROR(_xludf.XLOOKUP(_xludf.XLOOKUP(B3174,Inventory!$A:$A,Inventory!$B:$B),Blades!$A:$A,Blades!$C:$C)+_xludf.XLOOKUP(_xludf.XLOOKUP(B3174,Inventory!$A:$A,Inventory!$C:$C),Motor!$A:$A,Motor!$C:$C)+_xludf.XLOOKUP(_xludf.XLOOKUP(B3174,Inventory!$A:$A,Inventory!$D:$D),Frame!$A:$A,Frame!$C:$C)+#REF!,""))</f>
        <v/>
      </c>
      <c r="E3174" s="4">
        <v>46335</v>
      </c>
      <c r="F3174" s="1" t="s">
        <v>25</v>
      </c>
    </row>
    <row r="3175" spans="1:6" x14ac:dyDescent="0.25">
      <c r="A3175" s="1" t="s">
        <v>6360</v>
      </c>
      <c r="B3175" s="1" t="s">
        <v>6361</v>
      </c>
      <c r="C3175" s="3">
        <v>200</v>
      </c>
      <c r="D3175" s="3" t="str">
        <f ca="1">IF(B3175="","",IFERROR(_xludf.XLOOKUP(_xludf.XLOOKUP(B3175,Inventory!$A:$A,Inventory!$B:$B),Blades!$A:$A,Blades!$C:$C)+_xludf.XLOOKUP(_xludf.XLOOKUP(B3175,Inventory!$A:$A,Inventory!$C:$C),Motor!$A:$A,Motor!$C:$C)+_xludf.XLOOKUP(_xludf.XLOOKUP(B3175,Inventory!$A:$A,Inventory!$D:$D),Frame!$A:$A,Frame!$C:$C)+#REF!,""))</f>
        <v/>
      </c>
      <c r="E3175" s="4">
        <v>46336</v>
      </c>
      <c r="F3175" s="1" t="s">
        <v>11</v>
      </c>
    </row>
    <row r="3176" spans="1:6" x14ac:dyDescent="0.25">
      <c r="A3176" s="1" t="s">
        <v>6362</v>
      </c>
      <c r="B3176" s="1" t="s">
        <v>6363</v>
      </c>
      <c r="C3176" s="3">
        <v>200</v>
      </c>
      <c r="D3176" s="3" t="str">
        <f ca="1">IF(B3176="","",IFERROR(_xludf.XLOOKUP(_xludf.XLOOKUP(B3176,Inventory!$A:$A,Inventory!$B:$B),Blades!$A:$A,Blades!$C:$C)+_xludf.XLOOKUP(_xludf.XLOOKUP(B3176,Inventory!$A:$A,Inventory!$C:$C),Motor!$A:$A,Motor!$C:$C)+_xludf.XLOOKUP(_xludf.XLOOKUP(B3176,Inventory!$A:$A,Inventory!$D:$D),Frame!$A:$A,Frame!$C:$C)+#REF!,""))</f>
        <v/>
      </c>
      <c r="E3176" s="4">
        <v>46336</v>
      </c>
      <c r="F3176" s="1" t="s">
        <v>8</v>
      </c>
    </row>
    <row r="3177" spans="1:6" x14ac:dyDescent="0.25">
      <c r="A3177" s="1" t="s">
        <v>6364</v>
      </c>
      <c r="B3177" s="1" t="s">
        <v>6365</v>
      </c>
      <c r="C3177" s="3">
        <v>200</v>
      </c>
      <c r="D3177" s="3" t="str">
        <f ca="1">IF(B3177="","",IFERROR(_xludf.XLOOKUP(_xludf.XLOOKUP(B3177,Inventory!$A:$A,Inventory!$B:$B),Blades!$A:$A,Blades!$C:$C)+_xludf.XLOOKUP(_xludf.XLOOKUP(B3177,Inventory!$A:$A,Inventory!$C:$C),Motor!$A:$A,Motor!$C:$C)+_xludf.XLOOKUP(_xludf.XLOOKUP(B3177,Inventory!$A:$A,Inventory!$D:$D),Frame!$A:$A,Frame!$C:$C)+#REF!,""))</f>
        <v/>
      </c>
      <c r="E3177" s="4">
        <v>46336</v>
      </c>
      <c r="F3177" s="1" t="s">
        <v>52</v>
      </c>
    </row>
    <row r="3178" spans="1:6" x14ac:dyDescent="0.25">
      <c r="A3178" s="1" t="s">
        <v>6366</v>
      </c>
      <c r="B3178" s="1" t="s">
        <v>6367</v>
      </c>
      <c r="C3178" s="3">
        <v>200</v>
      </c>
      <c r="D3178" s="3" t="str">
        <f ca="1">IF(B3178="","",IFERROR(_xludf.XLOOKUP(_xludf.XLOOKUP(B3178,Inventory!$A:$A,Inventory!$B:$B),Blades!$A:$A,Blades!$C:$C)+_xludf.XLOOKUP(_xludf.XLOOKUP(B3178,Inventory!$A:$A,Inventory!$C:$C),Motor!$A:$A,Motor!$C:$C)+_xludf.XLOOKUP(_xludf.XLOOKUP(B3178,Inventory!$A:$A,Inventory!$D:$D),Frame!$A:$A,Frame!$C:$C)+#REF!,""))</f>
        <v/>
      </c>
      <c r="E3178" s="4">
        <v>46336</v>
      </c>
      <c r="F3178" s="1" t="s">
        <v>49</v>
      </c>
    </row>
    <row r="3179" spans="1:6" x14ac:dyDescent="0.25">
      <c r="A3179" s="1" t="s">
        <v>6368</v>
      </c>
      <c r="B3179" s="1" t="s">
        <v>6369</v>
      </c>
      <c r="C3179" s="3">
        <v>200</v>
      </c>
      <c r="D3179" s="3" t="str">
        <f ca="1">IF(B3179="","",IFERROR(_xludf.XLOOKUP(_xludf.XLOOKUP(B3179,Inventory!$A:$A,Inventory!$B:$B),Blades!$A:$A,Blades!$C:$C)+_xludf.XLOOKUP(_xludf.XLOOKUP(B3179,Inventory!$A:$A,Inventory!$C:$C),Motor!$A:$A,Motor!$C:$C)+_xludf.XLOOKUP(_xludf.XLOOKUP(B3179,Inventory!$A:$A,Inventory!$D:$D),Frame!$A:$A,Frame!$C:$C)+#REF!,""))</f>
        <v/>
      </c>
      <c r="E3179" s="4">
        <v>46338</v>
      </c>
      <c r="F3179" s="1" t="s">
        <v>25</v>
      </c>
    </row>
    <row r="3180" spans="1:6" x14ac:dyDescent="0.25">
      <c r="A3180" s="1" t="s">
        <v>6370</v>
      </c>
      <c r="B3180" s="1" t="s">
        <v>6371</v>
      </c>
      <c r="C3180" s="3">
        <v>200</v>
      </c>
      <c r="D3180" s="3" t="str">
        <f ca="1">IF(B3180="","",IFERROR(_xludf.XLOOKUP(_xludf.XLOOKUP(B3180,Inventory!$A:$A,Inventory!$B:$B),Blades!$A:$A,Blades!$C:$C)+_xludf.XLOOKUP(_xludf.XLOOKUP(B3180,Inventory!$A:$A,Inventory!$C:$C),Motor!$A:$A,Motor!$C:$C)+_xludf.XLOOKUP(_xludf.XLOOKUP(B3180,Inventory!$A:$A,Inventory!$D:$D),Frame!$A:$A,Frame!$C:$C)+#REF!,""))</f>
        <v/>
      </c>
      <c r="E3180" s="4">
        <v>46338</v>
      </c>
      <c r="F3180" s="1" t="s">
        <v>49</v>
      </c>
    </row>
    <row r="3181" spans="1:6" x14ac:dyDescent="0.25">
      <c r="A3181" s="1" t="s">
        <v>6372</v>
      </c>
      <c r="B3181" s="1" t="s">
        <v>6373</v>
      </c>
      <c r="C3181" s="3">
        <v>200</v>
      </c>
      <c r="D3181" s="3" t="str">
        <f ca="1">IF(B3181="","",IFERROR(_xludf.XLOOKUP(_xludf.XLOOKUP(B3181,Inventory!$A:$A,Inventory!$B:$B),Blades!$A:$A,Blades!$C:$C)+_xludf.XLOOKUP(_xludf.XLOOKUP(B3181,Inventory!$A:$A,Inventory!$C:$C),Motor!$A:$A,Motor!$C:$C)+_xludf.XLOOKUP(_xludf.XLOOKUP(B3181,Inventory!$A:$A,Inventory!$D:$D),Frame!$A:$A,Frame!$C:$C)+#REF!,""))</f>
        <v/>
      </c>
      <c r="E3181" s="4">
        <v>46339</v>
      </c>
      <c r="F3181" s="1" t="s">
        <v>32</v>
      </c>
    </row>
    <row r="3182" spans="1:6" x14ac:dyDescent="0.25">
      <c r="A3182" s="1" t="s">
        <v>6374</v>
      </c>
      <c r="B3182" s="1" t="s">
        <v>6375</v>
      </c>
      <c r="C3182" s="3">
        <v>200</v>
      </c>
      <c r="D3182" s="3" t="str">
        <f ca="1">IF(B3182="","",IFERROR(_xludf.XLOOKUP(_xludf.XLOOKUP(B3182,Inventory!$A:$A,Inventory!$B:$B),Blades!$A:$A,Blades!$C:$C)+_xludf.XLOOKUP(_xludf.XLOOKUP(B3182,Inventory!$A:$A,Inventory!$C:$C),Motor!$A:$A,Motor!$C:$C)+_xludf.XLOOKUP(_xludf.XLOOKUP(B3182,Inventory!$A:$A,Inventory!$D:$D),Frame!$A:$A,Frame!$C:$C)+#REF!,""))</f>
        <v/>
      </c>
      <c r="E3182" s="4">
        <v>46339</v>
      </c>
      <c r="F3182" s="1" t="s">
        <v>25</v>
      </c>
    </row>
    <row r="3183" spans="1:6" x14ac:dyDescent="0.25">
      <c r="A3183" s="1" t="s">
        <v>6376</v>
      </c>
      <c r="B3183" s="1" t="s">
        <v>6377</v>
      </c>
      <c r="C3183" s="3">
        <v>200</v>
      </c>
      <c r="D3183" s="3" t="str">
        <f ca="1">IF(B3183="","",IFERROR(_xludf.XLOOKUP(_xludf.XLOOKUP(B3183,Inventory!$A:$A,Inventory!$B:$B),Blades!$A:$A,Blades!$C:$C)+_xludf.XLOOKUP(_xludf.XLOOKUP(B3183,Inventory!$A:$A,Inventory!$C:$C),Motor!$A:$A,Motor!$C:$C)+_xludf.XLOOKUP(_xludf.XLOOKUP(B3183,Inventory!$A:$A,Inventory!$D:$D),Frame!$A:$A,Frame!$C:$C)+#REF!,""))</f>
        <v/>
      </c>
      <c r="E3183" s="4">
        <v>46339</v>
      </c>
      <c r="F3183" s="1" t="s">
        <v>49</v>
      </c>
    </row>
    <row r="3184" spans="1:6" x14ac:dyDescent="0.25">
      <c r="A3184" s="1" t="s">
        <v>6378</v>
      </c>
      <c r="B3184" s="1" t="s">
        <v>6379</v>
      </c>
      <c r="C3184" s="3">
        <v>200</v>
      </c>
      <c r="D3184" s="3" t="str">
        <f ca="1">IF(B3184="","",IFERROR(_xludf.XLOOKUP(_xludf.XLOOKUP(B3184,Inventory!$A:$A,Inventory!$B:$B),Blades!$A:$A,Blades!$C:$C)+_xludf.XLOOKUP(_xludf.XLOOKUP(B3184,Inventory!$A:$A,Inventory!$C:$C),Motor!$A:$A,Motor!$C:$C)+_xludf.XLOOKUP(_xludf.XLOOKUP(B3184,Inventory!$A:$A,Inventory!$D:$D),Frame!$A:$A,Frame!$C:$C)+#REF!,""))</f>
        <v/>
      </c>
      <c r="E3184" s="4">
        <v>46339</v>
      </c>
      <c r="F3184" s="1" t="s">
        <v>11</v>
      </c>
    </row>
    <row r="3185" spans="1:6" x14ac:dyDescent="0.25">
      <c r="A3185" s="1" t="s">
        <v>6380</v>
      </c>
      <c r="B3185" s="1" t="s">
        <v>6381</v>
      </c>
      <c r="C3185" s="3">
        <v>200</v>
      </c>
      <c r="D3185" s="3" t="str">
        <f ca="1">IF(B3185="","",IFERROR(_xludf.XLOOKUP(_xludf.XLOOKUP(B3185,Inventory!$A:$A,Inventory!$B:$B),Blades!$A:$A,Blades!$C:$C)+_xludf.XLOOKUP(_xludf.XLOOKUP(B3185,Inventory!$A:$A,Inventory!$C:$C),Motor!$A:$A,Motor!$C:$C)+_xludf.XLOOKUP(_xludf.XLOOKUP(B3185,Inventory!$A:$A,Inventory!$D:$D),Frame!$A:$A,Frame!$C:$C)+#REF!,""))</f>
        <v/>
      </c>
      <c r="E3185" s="4">
        <v>46339</v>
      </c>
      <c r="F3185" s="1" t="s">
        <v>20</v>
      </c>
    </row>
    <row r="3186" spans="1:6" x14ac:dyDescent="0.25">
      <c r="A3186" s="1" t="s">
        <v>6382</v>
      </c>
      <c r="B3186" s="1" t="s">
        <v>6383</v>
      </c>
      <c r="C3186" s="3">
        <v>200</v>
      </c>
      <c r="D3186" s="3" t="str">
        <f ca="1">IF(B3186="","",IFERROR(_xludf.XLOOKUP(_xludf.XLOOKUP(B3186,Inventory!$A:$A,Inventory!$B:$B),Blades!$A:$A,Blades!$C:$C)+_xludf.XLOOKUP(_xludf.XLOOKUP(B3186,Inventory!$A:$A,Inventory!$C:$C),Motor!$A:$A,Motor!$C:$C)+_xludf.XLOOKUP(_xludf.XLOOKUP(B3186,Inventory!$A:$A,Inventory!$D:$D),Frame!$A:$A,Frame!$C:$C)+#REF!,""))</f>
        <v/>
      </c>
      <c r="E3186" s="4">
        <v>46340</v>
      </c>
      <c r="F3186" s="1" t="s">
        <v>8</v>
      </c>
    </row>
    <row r="3187" spans="1:6" x14ac:dyDescent="0.25">
      <c r="A3187" s="1" t="s">
        <v>6384</v>
      </c>
      <c r="B3187" s="1" t="s">
        <v>6385</v>
      </c>
      <c r="C3187" s="3">
        <v>200</v>
      </c>
      <c r="D3187" s="3" t="str">
        <f ca="1">IF(B3187="","",IFERROR(_xludf.XLOOKUP(_xludf.XLOOKUP(B3187,Inventory!$A:$A,Inventory!$B:$B),Blades!$A:$A,Blades!$C:$C)+_xludf.XLOOKUP(_xludf.XLOOKUP(B3187,Inventory!$A:$A,Inventory!$C:$C),Motor!$A:$A,Motor!$C:$C)+_xludf.XLOOKUP(_xludf.XLOOKUP(B3187,Inventory!$A:$A,Inventory!$D:$D),Frame!$A:$A,Frame!$C:$C)+#REF!,""))</f>
        <v/>
      </c>
      <c r="E3187" s="4">
        <v>46341</v>
      </c>
      <c r="F3187" s="1" t="s">
        <v>32</v>
      </c>
    </row>
    <row r="3188" spans="1:6" x14ac:dyDescent="0.25">
      <c r="A3188" s="1" t="s">
        <v>6386</v>
      </c>
      <c r="B3188" s="1" t="s">
        <v>6387</v>
      </c>
      <c r="C3188" s="3">
        <v>200</v>
      </c>
      <c r="D3188" s="3" t="str">
        <f ca="1">IF(B3188="","",IFERROR(_xludf.XLOOKUP(_xludf.XLOOKUP(B3188,Inventory!$A:$A,Inventory!$B:$B),Blades!$A:$A,Blades!$C:$C)+_xludf.XLOOKUP(_xludf.XLOOKUP(B3188,Inventory!$A:$A,Inventory!$C:$C),Motor!$A:$A,Motor!$C:$C)+_xludf.XLOOKUP(_xludf.XLOOKUP(B3188,Inventory!$A:$A,Inventory!$D:$D),Frame!$A:$A,Frame!$C:$C)+#REF!,""))</f>
        <v/>
      </c>
      <c r="E3188" s="4">
        <v>46342</v>
      </c>
      <c r="F3188" s="1" t="s">
        <v>49</v>
      </c>
    </row>
    <row r="3189" spans="1:6" x14ac:dyDescent="0.25">
      <c r="A3189" s="1" t="s">
        <v>6388</v>
      </c>
      <c r="B3189" s="1" t="s">
        <v>6389</v>
      </c>
      <c r="C3189" s="3">
        <v>200</v>
      </c>
      <c r="D3189" s="3" t="str">
        <f ca="1">IF(B3189="","",IFERROR(_xludf.XLOOKUP(_xludf.XLOOKUP(B3189,Inventory!$A:$A,Inventory!$B:$B),Blades!$A:$A,Blades!$C:$C)+_xludf.XLOOKUP(_xludf.XLOOKUP(B3189,Inventory!$A:$A,Inventory!$C:$C),Motor!$A:$A,Motor!$C:$C)+_xludf.XLOOKUP(_xludf.XLOOKUP(B3189,Inventory!$A:$A,Inventory!$D:$D),Frame!$A:$A,Frame!$C:$C)+#REF!,""))</f>
        <v/>
      </c>
      <c r="E3189" s="4">
        <v>46342</v>
      </c>
      <c r="F3189" s="1" t="s">
        <v>52</v>
      </c>
    </row>
    <row r="3190" spans="1:6" x14ac:dyDescent="0.25">
      <c r="A3190" s="1" t="s">
        <v>6390</v>
      </c>
      <c r="B3190" s="1" t="s">
        <v>6391</v>
      </c>
      <c r="C3190" s="3">
        <v>200</v>
      </c>
      <c r="D3190" s="3" t="str">
        <f ca="1">IF(B3190="","",IFERROR(_xludf.XLOOKUP(_xludf.XLOOKUP(B3190,Inventory!$A:$A,Inventory!$B:$B),Blades!$A:$A,Blades!$C:$C)+_xludf.XLOOKUP(_xludf.XLOOKUP(B3190,Inventory!$A:$A,Inventory!$C:$C),Motor!$A:$A,Motor!$C:$C)+_xludf.XLOOKUP(_xludf.XLOOKUP(B3190,Inventory!$A:$A,Inventory!$D:$D),Frame!$A:$A,Frame!$C:$C)+#REF!,""))</f>
        <v/>
      </c>
      <c r="E3190" s="4">
        <v>46342</v>
      </c>
      <c r="F3190" s="1" t="s">
        <v>63</v>
      </c>
    </row>
    <row r="3191" spans="1:6" x14ac:dyDescent="0.25">
      <c r="A3191" s="1" t="s">
        <v>6392</v>
      </c>
      <c r="B3191" s="1" t="s">
        <v>6393</v>
      </c>
      <c r="C3191" s="3">
        <v>200</v>
      </c>
      <c r="D3191" s="3" t="str">
        <f ca="1">IF(B3191="","",IFERROR(_xludf.XLOOKUP(_xludf.XLOOKUP(B3191,Inventory!$A:$A,Inventory!$B:$B),Blades!$A:$A,Blades!$C:$C)+_xludf.XLOOKUP(_xludf.XLOOKUP(B3191,Inventory!$A:$A,Inventory!$C:$C),Motor!$A:$A,Motor!$C:$C)+_xludf.XLOOKUP(_xludf.XLOOKUP(B3191,Inventory!$A:$A,Inventory!$D:$D),Frame!$A:$A,Frame!$C:$C)+#REF!,""))</f>
        <v/>
      </c>
      <c r="E3191" s="4">
        <v>46342</v>
      </c>
      <c r="F3191" s="1" t="s">
        <v>25</v>
      </c>
    </row>
    <row r="3192" spans="1:6" x14ac:dyDescent="0.25">
      <c r="A3192" s="1" t="s">
        <v>6394</v>
      </c>
      <c r="B3192" s="1" t="s">
        <v>6395</v>
      </c>
      <c r="C3192" s="3">
        <v>200</v>
      </c>
      <c r="D3192" s="3" t="str">
        <f ca="1">IF(B3192="","",IFERROR(_xludf.XLOOKUP(_xludf.XLOOKUP(B3192,Inventory!$A:$A,Inventory!$B:$B),Blades!$A:$A,Blades!$C:$C)+_xludf.XLOOKUP(_xludf.XLOOKUP(B3192,Inventory!$A:$A,Inventory!$C:$C),Motor!$A:$A,Motor!$C:$C)+_xludf.XLOOKUP(_xludf.XLOOKUP(B3192,Inventory!$A:$A,Inventory!$D:$D),Frame!$A:$A,Frame!$C:$C)+#REF!,""))</f>
        <v/>
      </c>
      <c r="E3192" s="4">
        <v>46343</v>
      </c>
      <c r="F3192" s="1" t="s">
        <v>25</v>
      </c>
    </row>
    <row r="3193" spans="1:6" x14ac:dyDescent="0.25">
      <c r="A3193" s="1" t="s">
        <v>6396</v>
      </c>
      <c r="B3193" s="1" t="s">
        <v>6397</v>
      </c>
      <c r="C3193" s="3">
        <v>200</v>
      </c>
      <c r="D3193" s="3" t="str">
        <f ca="1">IF(B3193="","",IFERROR(_xludf.XLOOKUP(_xludf.XLOOKUP(B3193,Inventory!$A:$A,Inventory!$B:$B),Blades!$A:$A,Blades!$C:$C)+_xludf.XLOOKUP(_xludf.XLOOKUP(B3193,Inventory!$A:$A,Inventory!$C:$C),Motor!$A:$A,Motor!$C:$C)+_xludf.XLOOKUP(_xludf.XLOOKUP(B3193,Inventory!$A:$A,Inventory!$D:$D),Frame!$A:$A,Frame!$C:$C)+#REF!,""))</f>
        <v/>
      </c>
      <c r="E3193" s="4">
        <v>46343</v>
      </c>
      <c r="F3193" s="1" t="s">
        <v>20</v>
      </c>
    </row>
    <row r="3194" spans="1:6" x14ac:dyDescent="0.25">
      <c r="A3194" s="1" t="s">
        <v>6398</v>
      </c>
      <c r="B3194" s="1" t="s">
        <v>6399</v>
      </c>
      <c r="C3194" s="3">
        <v>200</v>
      </c>
      <c r="D3194" s="3" t="str">
        <f ca="1">IF(B3194="","",IFERROR(_xludf.XLOOKUP(_xludf.XLOOKUP(B3194,Inventory!$A:$A,Inventory!$B:$B),Blades!$A:$A,Blades!$C:$C)+_xludf.XLOOKUP(_xludf.XLOOKUP(B3194,Inventory!$A:$A,Inventory!$C:$C),Motor!$A:$A,Motor!$C:$C)+_xludf.XLOOKUP(_xludf.XLOOKUP(B3194,Inventory!$A:$A,Inventory!$D:$D),Frame!$A:$A,Frame!$C:$C)+#REF!,""))</f>
        <v/>
      </c>
      <c r="E3194" s="4">
        <v>46343</v>
      </c>
      <c r="F3194" s="1" t="s">
        <v>11</v>
      </c>
    </row>
    <row r="3195" spans="1:6" x14ac:dyDescent="0.25">
      <c r="A3195" s="1" t="s">
        <v>6400</v>
      </c>
      <c r="B3195" s="1" t="s">
        <v>6401</v>
      </c>
      <c r="C3195" s="3">
        <v>200</v>
      </c>
      <c r="D3195" s="3" t="str">
        <f ca="1">IF(B3195="","",IFERROR(_xludf.XLOOKUP(_xludf.XLOOKUP(B3195,Inventory!$A:$A,Inventory!$B:$B),Blades!$A:$A,Blades!$C:$C)+_xludf.XLOOKUP(_xludf.XLOOKUP(B3195,Inventory!$A:$A,Inventory!$C:$C),Motor!$A:$A,Motor!$C:$C)+_xludf.XLOOKUP(_xludf.XLOOKUP(B3195,Inventory!$A:$A,Inventory!$D:$D),Frame!$A:$A,Frame!$C:$C)+#REF!,""))</f>
        <v/>
      </c>
      <c r="E3195" s="4">
        <v>46344</v>
      </c>
      <c r="F3195" s="1" t="s">
        <v>11</v>
      </c>
    </row>
    <row r="3196" spans="1:6" x14ac:dyDescent="0.25">
      <c r="A3196" s="1" t="s">
        <v>6402</v>
      </c>
      <c r="B3196" s="1" t="s">
        <v>6403</v>
      </c>
      <c r="C3196" s="3">
        <v>200</v>
      </c>
      <c r="D3196" s="3" t="str">
        <f ca="1">IF(B3196="","",IFERROR(_xludf.XLOOKUP(_xludf.XLOOKUP(B3196,Inventory!$A:$A,Inventory!$B:$B),Blades!$A:$A,Blades!$C:$C)+_xludf.XLOOKUP(_xludf.XLOOKUP(B3196,Inventory!$A:$A,Inventory!$C:$C),Motor!$A:$A,Motor!$C:$C)+_xludf.XLOOKUP(_xludf.XLOOKUP(B3196,Inventory!$A:$A,Inventory!$D:$D),Frame!$A:$A,Frame!$C:$C)+#REF!,""))</f>
        <v/>
      </c>
      <c r="E3196" s="4">
        <v>46344</v>
      </c>
      <c r="F3196" s="1" t="s">
        <v>25</v>
      </c>
    </row>
    <row r="3197" spans="1:6" x14ac:dyDescent="0.25">
      <c r="A3197" s="1" t="s">
        <v>6404</v>
      </c>
      <c r="B3197" s="1" t="s">
        <v>6405</v>
      </c>
      <c r="C3197" s="3">
        <v>200</v>
      </c>
      <c r="D3197" s="3" t="str">
        <f ca="1">IF(B3197="","",IFERROR(_xludf.XLOOKUP(_xludf.XLOOKUP(B3197,Inventory!$A:$A,Inventory!$B:$B),Blades!$A:$A,Blades!$C:$C)+_xludf.XLOOKUP(_xludf.XLOOKUP(B3197,Inventory!$A:$A,Inventory!$C:$C),Motor!$A:$A,Motor!$C:$C)+_xludf.XLOOKUP(_xludf.XLOOKUP(B3197,Inventory!$A:$A,Inventory!$D:$D),Frame!$A:$A,Frame!$C:$C)+#REF!,""))</f>
        <v/>
      </c>
      <c r="E3197" s="4">
        <v>46344</v>
      </c>
      <c r="F3197" s="1" t="s">
        <v>63</v>
      </c>
    </row>
    <row r="3198" spans="1:6" x14ac:dyDescent="0.25">
      <c r="A3198" s="1" t="s">
        <v>6406</v>
      </c>
      <c r="B3198" s="1" t="s">
        <v>6407</v>
      </c>
      <c r="C3198" s="3">
        <v>200</v>
      </c>
      <c r="D3198" s="3" t="str">
        <f ca="1">IF(B3198="","",IFERROR(_xludf.XLOOKUP(_xludf.XLOOKUP(B3198,Inventory!$A:$A,Inventory!$B:$B),Blades!$A:$A,Blades!$C:$C)+_xludf.XLOOKUP(_xludf.XLOOKUP(B3198,Inventory!$A:$A,Inventory!$C:$C),Motor!$A:$A,Motor!$C:$C)+_xludf.XLOOKUP(_xludf.XLOOKUP(B3198,Inventory!$A:$A,Inventory!$D:$D),Frame!$A:$A,Frame!$C:$C)+#REF!,""))</f>
        <v/>
      </c>
      <c r="E3198" s="4">
        <v>46344</v>
      </c>
      <c r="F3198" s="1" t="s">
        <v>49</v>
      </c>
    </row>
    <row r="3199" spans="1:6" x14ac:dyDescent="0.25">
      <c r="A3199" s="1" t="s">
        <v>6408</v>
      </c>
      <c r="B3199" s="1" t="s">
        <v>6409</v>
      </c>
      <c r="C3199" s="3">
        <v>200</v>
      </c>
      <c r="D3199" s="3" t="str">
        <f ca="1">IF(B3199="","",IFERROR(_xludf.XLOOKUP(_xludf.XLOOKUP(B3199,Inventory!$A:$A,Inventory!$B:$B),Blades!$A:$A,Blades!$C:$C)+_xludf.XLOOKUP(_xludf.XLOOKUP(B3199,Inventory!$A:$A,Inventory!$C:$C),Motor!$A:$A,Motor!$C:$C)+_xludf.XLOOKUP(_xludf.XLOOKUP(B3199,Inventory!$A:$A,Inventory!$D:$D),Frame!$A:$A,Frame!$C:$C)+#REF!,""))</f>
        <v/>
      </c>
      <c r="E3199" s="4">
        <v>46345</v>
      </c>
      <c r="F3199" s="1" t="s">
        <v>52</v>
      </c>
    </row>
    <row r="3200" spans="1:6" x14ac:dyDescent="0.25">
      <c r="A3200" s="1" t="s">
        <v>6410</v>
      </c>
      <c r="B3200" s="1" t="s">
        <v>6411</v>
      </c>
      <c r="C3200" s="3">
        <v>200</v>
      </c>
      <c r="D3200" s="3" t="str">
        <f ca="1">IF(B3200="","",IFERROR(_xludf.XLOOKUP(_xludf.XLOOKUP(B3200,Inventory!$A:$A,Inventory!$B:$B),Blades!$A:$A,Blades!$C:$C)+_xludf.XLOOKUP(_xludf.XLOOKUP(B3200,Inventory!$A:$A,Inventory!$C:$C),Motor!$A:$A,Motor!$C:$C)+_xludf.XLOOKUP(_xludf.XLOOKUP(B3200,Inventory!$A:$A,Inventory!$D:$D),Frame!$A:$A,Frame!$C:$C)+#REF!,""))</f>
        <v/>
      </c>
      <c r="E3200" s="4">
        <v>46346</v>
      </c>
      <c r="F3200" s="1" t="s">
        <v>32</v>
      </c>
    </row>
    <row r="3201" spans="1:6" x14ac:dyDescent="0.25">
      <c r="A3201" s="1" t="s">
        <v>6412</v>
      </c>
      <c r="B3201" s="1" t="s">
        <v>6413</v>
      </c>
      <c r="C3201" s="3">
        <v>200</v>
      </c>
      <c r="D3201" s="3" t="str">
        <f ca="1">IF(B3201="","",IFERROR(_xludf.XLOOKUP(_xludf.XLOOKUP(B3201,Inventory!$A:$A,Inventory!$B:$B),Blades!$A:$A,Blades!$C:$C)+_xludf.XLOOKUP(_xludf.XLOOKUP(B3201,Inventory!$A:$A,Inventory!$C:$C),Motor!$A:$A,Motor!$C:$C)+_xludf.XLOOKUP(_xludf.XLOOKUP(B3201,Inventory!$A:$A,Inventory!$D:$D),Frame!$A:$A,Frame!$C:$C)+#REF!,""))</f>
        <v/>
      </c>
      <c r="E3201" s="4">
        <v>46346</v>
      </c>
      <c r="F3201" s="1" t="s">
        <v>63</v>
      </c>
    </row>
    <row r="3202" spans="1:6" x14ac:dyDescent="0.25">
      <c r="A3202" s="1" t="s">
        <v>6414</v>
      </c>
      <c r="B3202" s="1" t="s">
        <v>6415</v>
      </c>
      <c r="C3202" s="3">
        <v>200</v>
      </c>
      <c r="D3202" s="3" t="str">
        <f ca="1">IF(B3202="","",IFERROR(_xludf.XLOOKUP(_xludf.XLOOKUP(B3202,Inventory!$A:$A,Inventory!$B:$B),Blades!$A:$A,Blades!$C:$C)+_xludf.XLOOKUP(_xludf.XLOOKUP(B3202,Inventory!$A:$A,Inventory!$C:$C),Motor!$A:$A,Motor!$C:$C)+_xludf.XLOOKUP(_xludf.XLOOKUP(B3202,Inventory!$A:$A,Inventory!$D:$D),Frame!$A:$A,Frame!$C:$C)+#REF!,""))</f>
        <v/>
      </c>
      <c r="E3202" s="4">
        <v>46346</v>
      </c>
      <c r="F3202" s="1" t="s">
        <v>63</v>
      </c>
    </row>
    <row r="3203" spans="1:6" x14ac:dyDescent="0.25">
      <c r="A3203" s="1" t="s">
        <v>6416</v>
      </c>
      <c r="B3203" s="1" t="s">
        <v>6417</v>
      </c>
      <c r="C3203" s="3">
        <v>200</v>
      </c>
      <c r="D3203" s="3" t="str">
        <f ca="1">IF(B3203="","",IFERROR(_xludf.XLOOKUP(_xludf.XLOOKUP(B3203,Inventory!$A:$A,Inventory!$B:$B),Blades!$A:$A,Blades!$C:$C)+_xludf.XLOOKUP(_xludf.XLOOKUP(B3203,Inventory!$A:$A,Inventory!$C:$C),Motor!$A:$A,Motor!$C:$C)+_xludf.XLOOKUP(_xludf.XLOOKUP(B3203,Inventory!$A:$A,Inventory!$D:$D),Frame!$A:$A,Frame!$C:$C)+#REF!,""))</f>
        <v/>
      </c>
      <c r="E3203" s="4">
        <v>46347</v>
      </c>
      <c r="F3203" s="1" t="s">
        <v>32</v>
      </c>
    </row>
    <row r="3204" spans="1:6" x14ac:dyDescent="0.25">
      <c r="A3204" s="1" t="s">
        <v>6418</v>
      </c>
      <c r="B3204" s="1" t="s">
        <v>6419</v>
      </c>
      <c r="C3204" s="3">
        <v>200</v>
      </c>
      <c r="D3204" s="3" t="str">
        <f ca="1">IF(B3204="","",IFERROR(_xludf.XLOOKUP(_xludf.XLOOKUP(B3204,Inventory!$A:$A,Inventory!$B:$B),Blades!$A:$A,Blades!$C:$C)+_xludf.XLOOKUP(_xludf.XLOOKUP(B3204,Inventory!$A:$A,Inventory!$C:$C),Motor!$A:$A,Motor!$C:$C)+_xludf.XLOOKUP(_xludf.XLOOKUP(B3204,Inventory!$A:$A,Inventory!$D:$D),Frame!$A:$A,Frame!$C:$C)+#REF!,""))</f>
        <v/>
      </c>
      <c r="E3204" s="4">
        <v>46347</v>
      </c>
      <c r="F3204" s="1" t="s">
        <v>32</v>
      </c>
    </row>
    <row r="3205" spans="1:6" x14ac:dyDescent="0.25">
      <c r="A3205" s="1" t="s">
        <v>6420</v>
      </c>
      <c r="B3205" s="1" t="s">
        <v>6421</v>
      </c>
      <c r="C3205" s="3">
        <v>200</v>
      </c>
      <c r="D3205" s="3" t="str">
        <f ca="1">IF(B3205="","",IFERROR(_xludf.XLOOKUP(_xludf.XLOOKUP(B3205,Inventory!$A:$A,Inventory!$B:$B),Blades!$A:$A,Blades!$C:$C)+_xludf.XLOOKUP(_xludf.XLOOKUP(B3205,Inventory!$A:$A,Inventory!$C:$C),Motor!$A:$A,Motor!$C:$C)+_xludf.XLOOKUP(_xludf.XLOOKUP(B3205,Inventory!$A:$A,Inventory!$D:$D),Frame!$A:$A,Frame!$C:$C)+#REF!,""))</f>
        <v/>
      </c>
      <c r="E3205" s="4">
        <v>46348</v>
      </c>
      <c r="F3205" s="1" t="s">
        <v>11</v>
      </c>
    </row>
    <row r="3206" spans="1:6" x14ac:dyDescent="0.25">
      <c r="A3206" s="1" t="s">
        <v>6422</v>
      </c>
      <c r="B3206" s="1" t="s">
        <v>6423</v>
      </c>
      <c r="C3206" s="3">
        <v>200</v>
      </c>
      <c r="D3206" s="3" t="str">
        <f ca="1">IF(B3206="","",IFERROR(_xludf.XLOOKUP(_xludf.XLOOKUP(B3206,Inventory!$A:$A,Inventory!$B:$B),Blades!$A:$A,Blades!$C:$C)+_xludf.XLOOKUP(_xludf.XLOOKUP(B3206,Inventory!$A:$A,Inventory!$C:$C),Motor!$A:$A,Motor!$C:$C)+_xludf.XLOOKUP(_xludf.XLOOKUP(B3206,Inventory!$A:$A,Inventory!$D:$D),Frame!$A:$A,Frame!$C:$C)+#REF!,""))</f>
        <v/>
      </c>
      <c r="E3206" s="4">
        <v>46348</v>
      </c>
      <c r="F3206" s="1" t="s">
        <v>8</v>
      </c>
    </row>
    <row r="3207" spans="1:6" x14ac:dyDescent="0.25">
      <c r="A3207" s="1" t="s">
        <v>6424</v>
      </c>
      <c r="B3207" s="1" t="s">
        <v>6425</v>
      </c>
      <c r="C3207" s="3">
        <v>200</v>
      </c>
      <c r="D3207" s="3" t="str">
        <f ca="1">IF(B3207="","",IFERROR(_xludf.XLOOKUP(_xludf.XLOOKUP(B3207,Inventory!$A:$A,Inventory!$B:$B),Blades!$A:$A,Blades!$C:$C)+_xludf.XLOOKUP(_xludf.XLOOKUP(B3207,Inventory!$A:$A,Inventory!$C:$C),Motor!$A:$A,Motor!$C:$C)+_xludf.XLOOKUP(_xludf.XLOOKUP(B3207,Inventory!$A:$A,Inventory!$D:$D),Frame!$A:$A,Frame!$C:$C)+#REF!,""))</f>
        <v/>
      </c>
      <c r="E3207" s="4">
        <v>46349</v>
      </c>
      <c r="F3207" s="1" t="s">
        <v>11</v>
      </c>
    </row>
    <row r="3208" spans="1:6" x14ac:dyDescent="0.25">
      <c r="A3208" s="1" t="s">
        <v>6426</v>
      </c>
      <c r="B3208" s="1" t="s">
        <v>6427</v>
      </c>
      <c r="C3208" s="3">
        <v>200</v>
      </c>
      <c r="D3208" s="3" t="str">
        <f ca="1">IF(B3208="","",IFERROR(_xludf.XLOOKUP(_xludf.XLOOKUP(B3208,Inventory!$A:$A,Inventory!$B:$B),Blades!$A:$A,Blades!$C:$C)+_xludf.XLOOKUP(_xludf.XLOOKUP(B3208,Inventory!$A:$A,Inventory!$C:$C),Motor!$A:$A,Motor!$C:$C)+_xludf.XLOOKUP(_xludf.XLOOKUP(B3208,Inventory!$A:$A,Inventory!$D:$D),Frame!$A:$A,Frame!$C:$C)+#REF!,""))</f>
        <v/>
      </c>
      <c r="E3208" s="4">
        <v>46350</v>
      </c>
      <c r="F3208" s="1" t="s">
        <v>63</v>
      </c>
    </row>
    <row r="3209" spans="1:6" x14ac:dyDescent="0.25">
      <c r="A3209" s="1" t="s">
        <v>6428</v>
      </c>
      <c r="B3209" s="1" t="s">
        <v>6429</v>
      </c>
      <c r="C3209" s="3">
        <v>200</v>
      </c>
      <c r="D3209" s="3" t="str">
        <f ca="1">IF(B3209="","",IFERROR(_xludf.XLOOKUP(_xludf.XLOOKUP(B3209,Inventory!$A:$A,Inventory!$B:$B),Blades!$A:$A,Blades!$C:$C)+_xludf.XLOOKUP(_xludf.XLOOKUP(B3209,Inventory!$A:$A,Inventory!$C:$C),Motor!$A:$A,Motor!$C:$C)+_xludf.XLOOKUP(_xludf.XLOOKUP(B3209,Inventory!$A:$A,Inventory!$D:$D),Frame!$A:$A,Frame!$C:$C)+#REF!,""))</f>
        <v/>
      </c>
      <c r="E3209" s="4">
        <v>46351</v>
      </c>
      <c r="F3209" s="1" t="s">
        <v>52</v>
      </c>
    </row>
    <row r="3210" spans="1:6" x14ac:dyDescent="0.25">
      <c r="A3210" s="1" t="s">
        <v>6430</v>
      </c>
      <c r="B3210" s="1" t="s">
        <v>6431</v>
      </c>
      <c r="C3210" s="3">
        <v>200</v>
      </c>
      <c r="D3210" s="3" t="str">
        <f ca="1">IF(B3210="","",IFERROR(_xludf.XLOOKUP(_xludf.XLOOKUP(B3210,Inventory!$A:$A,Inventory!$B:$B),Blades!$A:$A,Blades!$C:$C)+_xludf.XLOOKUP(_xludf.XLOOKUP(B3210,Inventory!$A:$A,Inventory!$C:$C),Motor!$A:$A,Motor!$C:$C)+_xludf.XLOOKUP(_xludf.XLOOKUP(B3210,Inventory!$A:$A,Inventory!$D:$D),Frame!$A:$A,Frame!$C:$C)+#REF!,""))</f>
        <v/>
      </c>
      <c r="E3210" s="4">
        <v>46352</v>
      </c>
      <c r="F3210" s="1" t="s">
        <v>49</v>
      </c>
    </row>
    <row r="3211" spans="1:6" x14ac:dyDescent="0.25">
      <c r="A3211" s="1" t="s">
        <v>6432</v>
      </c>
      <c r="B3211" s="1" t="s">
        <v>6433</v>
      </c>
      <c r="C3211" s="3">
        <v>200</v>
      </c>
      <c r="D3211" s="3" t="str">
        <f ca="1">IF(B3211="","",IFERROR(_xludf.XLOOKUP(_xludf.XLOOKUP(B3211,Inventory!$A:$A,Inventory!$B:$B),Blades!$A:$A,Blades!$C:$C)+_xludf.XLOOKUP(_xludf.XLOOKUP(B3211,Inventory!$A:$A,Inventory!$C:$C),Motor!$A:$A,Motor!$C:$C)+_xludf.XLOOKUP(_xludf.XLOOKUP(B3211,Inventory!$A:$A,Inventory!$D:$D),Frame!$A:$A,Frame!$C:$C)+#REF!,""))</f>
        <v/>
      </c>
      <c r="E3211" s="4">
        <v>46352</v>
      </c>
      <c r="F3211" s="1" t="s">
        <v>20</v>
      </c>
    </row>
    <row r="3212" spans="1:6" x14ac:dyDescent="0.25">
      <c r="A3212" s="1" t="s">
        <v>6434</v>
      </c>
      <c r="B3212" s="1" t="s">
        <v>6435</v>
      </c>
      <c r="C3212" s="3">
        <v>200</v>
      </c>
      <c r="D3212" s="3" t="str">
        <f ca="1">IF(B3212="","",IFERROR(_xludf.XLOOKUP(_xludf.XLOOKUP(B3212,Inventory!$A:$A,Inventory!$B:$B),Blades!$A:$A,Blades!$C:$C)+_xludf.XLOOKUP(_xludf.XLOOKUP(B3212,Inventory!$A:$A,Inventory!$C:$C),Motor!$A:$A,Motor!$C:$C)+_xludf.XLOOKUP(_xludf.XLOOKUP(B3212,Inventory!$A:$A,Inventory!$D:$D),Frame!$A:$A,Frame!$C:$C)+#REF!,""))</f>
        <v/>
      </c>
      <c r="E3212" s="4">
        <v>46353</v>
      </c>
      <c r="F3212" s="1" t="s">
        <v>25</v>
      </c>
    </row>
    <row r="3213" spans="1:6" x14ac:dyDescent="0.25">
      <c r="A3213" s="1" t="s">
        <v>6436</v>
      </c>
      <c r="B3213" s="1" t="s">
        <v>6437</v>
      </c>
      <c r="C3213" s="3">
        <v>200</v>
      </c>
      <c r="D3213" s="3" t="str">
        <f ca="1">IF(B3213="","",IFERROR(_xludf.XLOOKUP(_xludf.XLOOKUP(B3213,Inventory!$A:$A,Inventory!$B:$B),Blades!$A:$A,Blades!$C:$C)+_xludf.XLOOKUP(_xludf.XLOOKUP(B3213,Inventory!$A:$A,Inventory!$C:$C),Motor!$A:$A,Motor!$C:$C)+_xludf.XLOOKUP(_xludf.XLOOKUP(B3213,Inventory!$A:$A,Inventory!$D:$D),Frame!$A:$A,Frame!$C:$C)+#REF!,""))</f>
        <v/>
      </c>
      <c r="E3213" s="4">
        <v>46355</v>
      </c>
      <c r="F3213" s="1" t="s">
        <v>11</v>
      </c>
    </row>
    <row r="3214" spans="1:6" x14ac:dyDescent="0.25">
      <c r="A3214" s="1" t="s">
        <v>6438</v>
      </c>
      <c r="B3214" s="1" t="s">
        <v>6439</v>
      </c>
      <c r="C3214" s="3">
        <v>200</v>
      </c>
      <c r="D3214" s="3" t="str">
        <f ca="1">IF(B3214="","",IFERROR(_xludf.XLOOKUP(_xludf.XLOOKUP(B3214,Inventory!$A:$A,Inventory!$B:$B),Blades!$A:$A,Blades!$C:$C)+_xludf.XLOOKUP(_xludf.XLOOKUP(B3214,Inventory!$A:$A,Inventory!$C:$C),Motor!$A:$A,Motor!$C:$C)+_xludf.XLOOKUP(_xludf.XLOOKUP(B3214,Inventory!$A:$A,Inventory!$D:$D),Frame!$A:$A,Frame!$C:$C)+#REF!,""))</f>
        <v/>
      </c>
      <c r="E3214" s="4">
        <v>46355</v>
      </c>
      <c r="F3214" s="1" t="s">
        <v>52</v>
      </c>
    </row>
    <row r="3215" spans="1:6" x14ac:dyDescent="0.25">
      <c r="A3215" s="1" t="s">
        <v>6440</v>
      </c>
      <c r="B3215" s="1" t="s">
        <v>6441</v>
      </c>
      <c r="C3215" s="3">
        <v>200</v>
      </c>
      <c r="D3215" s="3" t="str">
        <f ca="1">IF(B3215="","",IFERROR(_xludf.XLOOKUP(_xludf.XLOOKUP(B3215,Inventory!$A:$A,Inventory!$B:$B),Blades!$A:$A,Blades!$C:$C)+_xludf.XLOOKUP(_xludf.XLOOKUP(B3215,Inventory!$A:$A,Inventory!$C:$C),Motor!$A:$A,Motor!$C:$C)+_xludf.XLOOKUP(_xludf.XLOOKUP(B3215,Inventory!$A:$A,Inventory!$D:$D),Frame!$A:$A,Frame!$C:$C)+#REF!,""))</f>
        <v/>
      </c>
      <c r="E3215" s="4">
        <v>46356</v>
      </c>
      <c r="F3215" s="1" t="s">
        <v>49</v>
      </c>
    </row>
    <row r="3216" spans="1:6" x14ac:dyDescent="0.25">
      <c r="A3216" s="1" t="s">
        <v>6442</v>
      </c>
      <c r="B3216" s="1" t="s">
        <v>6443</v>
      </c>
      <c r="C3216" s="3">
        <v>200</v>
      </c>
      <c r="D3216" s="3" t="str">
        <f ca="1">IF(B3216="","",IFERROR(_xludf.XLOOKUP(_xludf.XLOOKUP(B3216,Inventory!$A:$A,Inventory!$B:$B),Blades!$A:$A,Blades!$C:$C)+_xludf.XLOOKUP(_xludf.XLOOKUP(B3216,Inventory!$A:$A,Inventory!$C:$C),Motor!$A:$A,Motor!$C:$C)+_xludf.XLOOKUP(_xludf.XLOOKUP(B3216,Inventory!$A:$A,Inventory!$D:$D),Frame!$A:$A,Frame!$C:$C)+#REF!,""))</f>
        <v/>
      </c>
      <c r="E3216" s="4">
        <v>46358</v>
      </c>
      <c r="F3216" s="1" t="s">
        <v>49</v>
      </c>
    </row>
    <row r="3217" spans="1:6" x14ac:dyDescent="0.25">
      <c r="A3217" s="1" t="s">
        <v>6444</v>
      </c>
      <c r="B3217" s="1" t="s">
        <v>6445</v>
      </c>
      <c r="C3217" s="3">
        <v>200</v>
      </c>
      <c r="D3217" s="3" t="str">
        <f ca="1">IF(B3217="","",IFERROR(_xludf.XLOOKUP(_xludf.XLOOKUP(B3217,Inventory!$A:$A,Inventory!$B:$B),Blades!$A:$A,Blades!$C:$C)+_xludf.XLOOKUP(_xludf.XLOOKUP(B3217,Inventory!$A:$A,Inventory!$C:$C),Motor!$A:$A,Motor!$C:$C)+_xludf.XLOOKUP(_xludf.XLOOKUP(B3217,Inventory!$A:$A,Inventory!$D:$D),Frame!$A:$A,Frame!$C:$C)+#REF!,""))</f>
        <v/>
      </c>
      <c r="E3217" s="4">
        <v>46359</v>
      </c>
      <c r="F3217" s="1" t="s">
        <v>63</v>
      </c>
    </row>
    <row r="3218" spans="1:6" x14ac:dyDescent="0.25">
      <c r="A3218" s="1" t="s">
        <v>6446</v>
      </c>
      <c r="B3218" s="1" t="s">
        <v>6447</v>
      </c>
      <c r="C3218" s="3">
        <v>200</v>
      </c>
      <c r="D3218" s="3" t="str">
        <f ca="1">IF(B3218="","",IFERROR(_xludf.XLOOKUP(_xludf.XLOOKUP(B3218,Inventory!$A:$A,Inventory!$B:$B),Blades!$A:$A,Blades!$C:$C)+_xludf.XLOOKUP(_xludf.XLOOKUP(B3218,Inventory!$A:$A,Inventory!$C:$C),Motor!$A:$A,Motor!$C:$C)+_xludf.XLOOKUP(_xludf.XLOOKUP(B3218,Inventory!$A:$A,Inventory!$D:$D),Frame!$A:$A,Frame!$C:$C)+#REF!,""))</f>
        <v/>
      </c>
      <c r="E3218" s="4">
        <v>46359</v>
      </c>
      <c r="F3218" s="1" t="s">
        <v>32</v>
      </c>
    </row>
    <row r="3219" spans="1:6" x14ac:dyDescent="0.25">
      <c r="A3219" s="1" t="s">
        <v>6448</v>
      </c>
      <c r="B3219" s="1" t="s">
        <v>6449</v>
      </c>
      <c r="C3219" s="3">
        <v>200</v>
      </c>
      <c r="D3219" s="3" t="str">
        <f ca="1">IF(B3219="","",IFERROR(_xludf.XLOOKUP(_xludf.XLOOKUP(B3219,Inventory!$A:$A,Inventory!$B:$B),Blades!$A:$A,Blades!$C:$C)+_xludf.XLOOKUP(_xludf.XLOOKUP(B3219,Inventory!$A:$A,Inventory!$C:$C),Motor!$A:$A,Motor!$C:$C)+_xludf.XLOOKUP(_xludf.XLOOKUP(B3219,Inventory!$A:$A,Inventory!$D:$D),Frame!$A:$A,Frame!$C:$C)+#REF!,""))</f>
        <v/>
      </c>
      <c r="E3219" s="4">
        <v>46360</v>
      </c>
      <c r="F3219" s="1" t="s">
        <v>20</v>
      </c>
    </row>
    <row r="3220" spans="1:6" x14ac:dyDescent="0.25">
      <c r="A3220" s="1" t="s">
        <v>6450</v>
      </c>
      <c r="B3220" s="1" t="s">
        <v>6451</v>
      </c>
      <c r="C3220" s="3">
        <v>200</v>
      </c>
      <c r="D3220" s="3" t="str">
        <f ca="1">IF(B3220="","",IFERROR(_xludf.XLOOKUP(_xludf.XLOOKUP(B3220,Inventory!$A:$A,Inventory!$B:$B),Blades!$A:$A,Blades!$C:$C)+_xludf.XLOOKUP(_xludf.XLOOKUP(B3220,Inventory!$A:$A,Inventory!$C:$C),Motor!$A:$A,Motor!$C:$C)+_xludf.XLOOKUP(_xludf.XLOOKUP(B3220,Inventory!$A:$A,Inventory!$D:$D),Frame!$A:$A,Frame!$C:$C)+#REF!,""))</f>
        <v/>
      </c>
      <c r="E3220" s="4">
        <v>46360</v>
      </c>
      <c r="F3220" s="1" t="s">
        <v>20</v>
      </c>
    </row>
    <row r="3221" spans="1:6" x14ac:dyDescent="0.25">
      <c r="A3221" s="1" t="s">
        <v>6452</v>
      </c>
      <c r="B3221" s="1" t="s">
        <v>6453</v>
      </c>
      <c r="C3221" s="3">
        <v>200</v>
      </c>
      <c r="D3221" s="3" t="str">
        <f ca="1">IF(B3221="","",IFERROR(_xludf.XLOOKUP(_xludf.XLOOKUP(B3221,Inventory!$A:$A,Inventory!$B:$B),Blades!$A:$A,Blades!$C:$C)+_xludf.XLOOKUP(_xludf.XLOOKUP(B3221,Inventory!$A:$A,Inventory!$C:$C),Motor!$A:$A,Motor!$C:$C)+_xludf.XLOOKUP(_xludf.XLOOKUP(B3221,Inventory!$A:$A,Inventory!$D:$D),Frame!$A:$A,Frame!$C:$C)+#REF!,""))</f>
        <v/>
      </c>
      <c r="E3221" s="4">
        <v>46360</v>
      </c>
      <c r="F3221" s="1" t="s">
        <v>52</v>
      </c>
    </row>
    <row r="3222" spans="1:6" x14ac:dyDescent="0.25">
      <c r="A3222" s="1" t="s">
        <v>6454</v>
      </c>
      <c r="B3222" s="1" t="s">
        <v>6455</v>
      </c>
      <c r="C3222" s="3">
        <v>200</v>
      </c>
      <c r="D3222" s="3" t="str">
        <f ca="1">IF(B3222="","",IFERROR(_xludf.XLOOKUP(_xludf.XLOOKUP(B3222,Inventory!$A:$A,Inventory!$B:$B),Blades!$A:$A,Blades!$C:$C)+_xludf.XLOOKUP(_xludf.XLOOKUP(B3222,Inventory!$A:$A,Inventory!$C:$C),Motor!$A:$A,Motor!$C:$C)+_xludf.XLOOKUP(_xludf.XLOOKUP(B3222,Inventory!$A:$A,Inventory!$D:$D),Frame!$A:$A,Frame!$C:$C)+#REF!,""))</f>
        <v/>
      </c>
      <c r="E3222" s="4">
        <v>46361</v>
      </c>
      <c r="F3222" s="1" t="s">
        <v>11</v>
      </c>
    </row>
    <row r="3223" spans="1:6" x14ac:dyDescent="0.25">
      <c r="A3223" s="1" t="s">
        <v>6456</v>
      </c>
      <c r="B3223" s="1" t="s">
        <v>6457</v>
      </c>
      <c r="C3223" s="3">
        <v>200</v>
      </c>
      <c r="D3223" s="3" t="str">
        <f ca="1">IF(B3223="","",IFERROR(_xludf.XLOOKUP(_xludf.XLOOKUP(B3223,Inventory!$A:$A,Inventory!$B:$B),Blades!$A:$A,Blades!$C:$C)+_xludf.XLOOKUP(_xludf.XLOOKUP(B3223,Inventory!$A:$A,Inventory!$C:$C),Motor!$A:$A,Motor!$C:$C)+_xludf.XLOOKUP(_xludf.XLOOKUP(B3223,Inventory!$A:$A,Inventory!$D:$D),Frame!$A:$A,Frame!$C:$C)+#REF!,""))</f>
        <v/>
      </c>
      <c r="E3223" s="4">
        <v>46362</v>
      </c>
      <c r="F3223" s="1" t="s">
        <v>8</v>
      </c>
    </row>
    <row r="3224" spans="1:6" x14ac:dyDescent="0.25">
      <c r="A3224" s="1" t="s">
        <v>6458</v>
      </c>
      <c r="B3224" s="1" t="s">
        <v>6459</v>
      </c>
      <c r="C3224" s="3">
        <v>200</v>
      </c>
      <c r="D3224" s="3" t="str">
        <f ca="1">IF(B3224="","",IFERROR(_xludf.XLOOKUP(_xludf.XLOOKUP(B3224,Inventory!$A:$A,Inventory!$B:$B),Blades!$A:$A,Blades!$C:$C)+_xludf.XLOOKUP(_xludf.XLOOKUP(B3224,Inventory!$A:$A,Inventory!$C:$C),Motor!$A:$A,Motor!$C:$C)+_xludf.XLOOKUP(_xludf.XLOOKUP(B3224,Inventory!$A:$A,Inventory!$D:$D),Frame!$A:$A,Frame!$C:$C)+#REF!,""))</f>
        <v/>
      </c>
      <c r="E3224" s="4">
        <v>46362</v>
      </c>
      <c r="F3224" s="1" t="s">
        <v>25</v>
      </c>
    </row>
    <row r="3225" spans="1:6" x14ac:dyDescent="0.25">
      <c r="A3225" s="1" t="s">
        <v>6460</v>
      </c>
      <c r="B3225" s="1" t="s">
        <v>6461</v>
      </c>
      <c r="C3225" s="3">
        <v>200</v>
      </c>
      <c r="D3225" s="3" t="str">
        <f ca="1">IF(B3225="","",IFERROR(_xludf.XLOOKUP(_xludf.XLOOKUP(B3225,Inventory!$A:$A,Inventory!$B:$B),Blades!$A:$A,Blades!$C:$C)+_xludf.XLOOKUP(_xludf.XLOOKUP(B3225,Inventory!$A:$A,Inventory!$C:$C),Motor!$A:$A,Motor!$C:$C)+_xludf.XLOOKUP(_xludf.XLOOKUP(B3225,Inventory!$A:$A,Inventory!$D:$D),Frame!$A:$A,Frame!$C:$C)+#REF!,""))</f>
        <v/>
      </c>
      <c r="E3225" s="4">
        <v>46363</v>
      </c>
      <c r="F3225" s="1" t="s">
        <v>32</v>
      </c>
    </row>
    <row r="3226" spans="1:6" x14ac:dyDescent="0.25">
      <c r="A3226" s="1" t="s">
        <v>6462</v>
      </c>
      <c r="B3226" s="1" t="s">
        <v>6463</v>
      </c>
      <c r="C3226" s="3">
        <v>200</v>
      </c>
      <c r="D3226" s="3" t="str">
        <f ca="1">IF(B3226="","",IFERROR(_xludf.XLOOKUP(_xludf.XLOOKUP(B3226,Inventory!$A:$A,Inventory!$B:$B),Blades!$A:$A,Blades!$C:$C)+_xludf.XLOOKUP(_xludf.XLOOKUP(B3226,Inventory!$A:$A,Inventory!$C:$C),Motor!$A:$A,Motor!$C:$C)+_xludf.XLOOKUP(_xludf.XLOOKUP(B3226,Inventory!$A:$A,Inventory!$D:$D),Frame!$A:$A,Frame!$C:$C)+#REF!,""))</f>
        <v/>
      </c>
      <c r="E3226" s="4">
        <v>46363</v>
      </c>
      <c r="F3226" s="1" t="s">
        <v>20</v>
      </c>
    </row>
    <row r="3227" spans="1:6" x14ac:dyDescent="0.25">
      <c r="A3227" s="1" t="s">
        <v>6464</v>
      </c>
      <c r="B3227" s="1" t="s">
        <v>6465</v>
      </c>
      <c r="C3227" s="3">
        <v>200</v>
      </c>
      <c r="D3227" s="3" t="str">
        <f ca="1">IF(B3227="","",IFERROR(_xludf.XLOOKUP(_xludf.XLOOKUP(B3227,Inventory!$A:$A,Inventory!$B:$B),Blades!$A:$A,Blades!$C:$C)+_xludf.XLOOKUP(_xludf.XLOOKUP(B3227,Inventory!$A:$A,Inventory!$C:$C),Motor!$A:$A,Motor!$C:$C)+_xludf.XLOOKUP(_xludf.XLOOKUP(B3227,Inventory!$A:$A,Inventory!$D:$D),Frame!$A:$A,Frame!$C:$C)+#REF!,""))</f>
        <v/>
      </c>
      <c r="E3227" s="4">
        <v>46363</v>
      </c>
      <c r="F3227" s="1" t="s">
        <v>8</v>
      </c>
    </row>
    <row r="3228" spans="1:6" x14ac:dyDescent="0.25">
      <c r="A3228" s="1" t="s">
        <v>6466</v>
      </c>
      <c r="B3228" s="1" t="s">
        <v>6467</v>
      </c>
      <c r="C3228" s="3">
        <v>200</v>
      </c>
      <c r="D3228" s="3" t="str">
        <f ca="1">IF(B3228="","",IFERROR(_xludf.XLOOKUP(_xludf.XLOOKUP(B3228,Inventory!$A:$A,Inventory!$B:$B),Blades!$A:$A,Blades!$C:$C)+_xludf.XLOOKUP(_xludf.XLOOKUP(B3228,Inventory!$A:$A,Inventory!$C:$C),Motor!$A:$A,Motor!$C:$C)+_xludf.XLOOKUP(_xludf.XLOOKUP(B3228,Inventory!$A:$A,Inventory!$D:$D),Frame!$A:$A,Frame!$C:$C)+#REF!,""))</f>
        <v/>
      </c>
      <c r="E3228" s="4">
        <v>46364</v>
      </c>
      <c r="F3228" s="1" t="s">
        <v>20</v>
      </c>
    </row>
    <row r="3229" spans="1:6" x14ac:dyDescent="0.25">
      <c r="A3229" s="1" t="s">
        <v>6468</v>
      </c>
      <c r="B3229" s="1" t="s">
        <v>6469</v>
      </c>
      <c r="C3229" s="3">
        <v>200</v>
      </c>
      <c r="D3229" s="3" t="str">
        <f ca="1">IF(B3229="","",IFERROR(_xludf.XLOOKUP(_xludf.XLOOKUP(B3229,Inventory!$A:$A,Inventory!$B:$B),Blades!$A:$A,Blades!$C:$C)+_xludf.XLOOKUP(_xludf.XLOOKUP(B3229,Inventory!$A:$A,Inventory!$C:$C),Motor!$A:$A,Motor!$C:$C)+_xludf.XLOOKUP(_xludf.XLOOKUP(B3229,Inventory!$A:$A,Inventory!$D:$D),Frame!$A:$A,Frame!$C:$C)+#REF!,""))</f>
        <v/>
      </c>
      <c r="E3229" s="4">
        <v>46364</v>
      </c>
      <c r="F3229" s="1" t="s">
        <v>52</v>
      </c>
    </row>
    <row r="3230" spans="1:6" x14ac:dyDescent="0.25">
      <c r="A3230" s="1" t="s">
        <v>6470</v>
      </c>
      <c r="B3230" s="1" t="s">
        <v>6471</v>
      </c>
      <c r="C3230" s="3">
        <v>200</v>
      </c>
      <c r="D3230" s="3" t="str">
        <f ca="1">IF(B3230="","",IFERROR(_xludf.XLOOKUP(_xludf.XLOOKUP(B3230,Inventory!$A:$A,Inventory!$B:$B),Blades!$A:$A,Blades!$C:$C)+_xludf.XLOOKUP(_xludf.XLOOKUP(B3230,Inventory!$A:$A,Inventory!$C:$C),Motor!$A:$A,Motor!$C:$C)+_xludf.XLOOKUP(_xludf.XLOOKUP(B3230,Inventory!$A:$A,Inventory!$D:$D),Frame!$A:$A,Frame!$C:$C)+#REF!,""))</f>
        <v/>
      </c>
      <c r="E3230" s="4">
        <v>46365</v>
      </c>
      <c r="F3230" s="1" t="s">
        <v>49</v>
      </c>
    </row>
    <row r="3231" spans="1:6" x14ac:dyDescent="0.25">
      <c r="A3231" s="1" t="s">
        <v>6472</v>
      </c>
      <c r="B3231" s="1" t="s">
        <v>6473</v>
      </c>
      <c r="C3231" s="3">
        <v>200</v>
      </c>
      <c r="D3231" s="3" t="str">
        <f ca="1">IF(B3231="","",IFERROR(_xludf.XLOOKUP(_xludf.XLOOKUP(B3231,Inventory!$A:$A,Inventory!$B:$B),Blades!$A:$A,Blades!$C:$C)+_xludf.XLOOKUP(_xludf.XLOOKUP(B3231,Inventory!$A:$A,Inventory!$C:$C),Motor!$A:$A,Motor!$C:$C)+_xludf.XLOOKUP(_xludf.XLOOKUP(B3231,Inventory!$A:$A,Inventory!$D:$D),Frame!$A:$A,Frame!$C:$C)+#REF!,""))</f>
        <v/>
      </c>
      <c r="E3231" s="4">
        <v>46366</v>
      </c>
      <c r="F3231" s="1" t="s">
        <v>8</v>
      </c>
    </row>
    <row r="3232" spans="1:6" x14ac:dyDescent="0.25">
      <c r="A3232" s="1" t="s">
        <v>6474</v>
      </c>
      <c r="B3232" s="1" t="s">
        <v>6475</v>
      </c>
      <c r="C3232" s="3">
        <v>200</v>
      </c>
      <c r="D3232" s="3" t="str">
        <f ca="1">IF(B3232="","",IFERROR(_xludf.XLOOKUP(_xludf.XLOOKUP(B3232,Inventory!$A:$A,Inventory!$B:$B),Blades!$A:$A,Blades!$C:$C)+_xludf.XLOOKUP(_xludf.XLOOKUP(B3232,Inventory!$A:$A,Inventory!$C:$C),Motor!$A:$A,Motor!$C:$C)+_xludf.XLOOKUP(_xludf.XLOOKUP(B3232,Inventory!$A:$A,Inventory!$D:$D),Frame!$A:$A,Frame!$C:$C)+#REF!,""))</f>
        <v/>
      </c>
      <c r="E3232" s="4">
        <v>46366</v>
      </c>
      <c r="F3232" s="1" t="s">
        <v>20</v>
      </c>
    </row>
    <row r="3233" spans="1:6" x14ac:dyDescent="0.25">
      <c r="A3233" s="1" t="s">
        <v>6476</v>
      </c>
      <c r="B3233" s="1" t="s">
        <v>6477</v>
      </c>
      <c r="C3233" s="3">
        <v>200</v>
      </c>
      <c r="D3233" s="3" t="str">
        <f ca="1">IF(B3233="","",IFERROR(_xludf.XLOOKUP(_xludf.XLOOKUP(B3233,Inventory!$A:$A,Inventory!$B:$B),Blades!$A:$A,Blades!$C:$C)+_xludf.XLOOKUP(_xludf.XLOOKUP(B3233,Inventory!$A:$A,Inventory!$C:$C),Motor!$A:$A,Motor!$C:$C)+_xludf.XLOOKUP(_xludf.XLOOKUP(B3233,Inventory!$A:$A,Inventory!$D:$D),Frame!$A:$A,Frame!$C:$C)+#REF!,""))</f>
        <v/>
      </c>
      <c r="E3233" s="4">
        <v>46367</v>
      </c>
      <c r="F3233" s="1" t="s">
        <v>8</v>
      </c>
    </row>
    <row r="3234" spans="1:6" x14ac:dyDescent="0.25">
      <c r="A3234" s="1" t="s">
        <v>6478</v>
      </c>
      <c r="B3234" s="1" t="s">
        <v>6479</v>
      </c>
      <c r="C3234" s="3">
        <v>200</v>
      </c>
      <c r="D3234" s="3" t="str">
        <f ca="1">IF(B3234="","",IFERROR(_xludf.XLOOKUP(_xludf.XLOOKUP(B3234,Inventory!$A:$A,Inventory!$B:$B),Blades!$A:$A,Blades!$C:$C)+_xludf.XLOOKUP(_xludf.XLOOKUP(B3234,Inventory!$A:$A,Inventory!$C:$C),Motor!$A:$A,Motor!$C:$C)+_xludf.XLOOKUP(_xludf.XLOOKUP(B3234,Inventory!$A:$A,Inventory!$D:$D),Frame!$A:$A,Frame!$C:$C)+#REF!,""))</f>
        <v/>
      </c>
      <c r="E3234" s="4">
        <v>46368</v>
      </c>
      <c r="F3234" s="1" t="s">
        <v>52</v>
      </c>
    </row>
    <row r="3235" spans="1:6" x14ac:dyDescent="0.25">
      <c r="A3235" s="1" t="s">
        <v>6480</v>
      </c>
      <c r="B3235" s="1" t="s">
        <v>6481</v>
      </c>
      <c r="C3235" s="3">
        <v>200</v>
      </c>
      <c r="D3235" s="3" t="str">
        <f ca="1">IF(B3235="","",IFERROR(_xludf.XLOOKUP(_xludf.XLOOKUP(B3235,Inventory!$A:$A,Inventory!$B:$B),Blades!$A:$A,Blades!$C:$C)+_xludf.XLOOKUP(_xludf.XLOOKUP(B3235,Inventory!$A:$A,Inventory!$C:$C),Motor!$A:$A,Motor!$C:$C)+_xludf.XLOOKUP(_xludf.XLOOKUP(B3235,Inventory!$A:$A,Inventory!$D:$D),Frame!$A:$A,Frame!$C:$C)+#REF!,""))</f>
        <v/>
      </c>
      <c r="E3235" s="4">
        <v>46368</v>
      </c>
      <c r="F3235" s="1" t="s">
        <v>25</v>
      </c>
    </row>
    <row r="3236" spans="1:6" x14ac:dyDescent="0.25">
      <c r="A3236" s="1" t="s">
        <v>6482</v>
      </c>
      <c r="B3236" s="1" t="s">
        <v>6483</v>
      </c>
      <c r="C3236" s="3">
        <v>200</v>
      </c>
      <c r="D3236" s="3" t="str">
        <f ca="1">IF(B3236="","",IFERROR(_xludf.XLOOKUP(_xludf.XLOOKUP(B3236,Inventory!$A:$A,Inventory!$B:$B),Blades!$A:$A,Blades!$C:$C)+_xludf.XLOOKUP(_xludf.XLOOKUP(B3236,Inventory!$A:$A,Inventory!$C:$C),Motor!$A:$A,Motor!$C:$C)+_xludf.XLOOKUP(_xludf.XLOOKUP(B3236,Inventory!$A:$A,Inventory!$D:$D),Frame!$A:$A,Frame!$C:$C)+#REF!,""))</f>
        <v/>
      </c>
      <c r="E3236" s="4">
        <v>46369</v>
      </c>
      <c r="F3236" s="1" t="s">
        <v>11</v>
      </c>
    </row>
    <row r="3237" spans="1:6" x14ac:dyDescent="0.25">
      <c r="A3237" s="1" t="s">
        <v>6484</v>
      </c>
      <c r="B3237" s="1" t="s">
        <v>6485</v>
      </c>
      <c r="C3237" s="3">
        <v>200</v>
      </c>
      <c r="D3237" s="3" t="str">
        <f ca="1">IF(B3237="","",IFERROR(_xludf.XLOOKUP(_xludf.XLOOKUP(B3237,Inventory!$A:$A,Inventory!$B:$B),Blades!$A:$A,Blades!$C:$C)+_xludf.XLOOKUP(_xludf.XLOOKUP(B3237,Inventory!$A:$A,Inventory!$C:$C),Motor!$A:$A,Motor!$C:$C)+_xludf.XLOOKUP(_xludf.XLOOKUP(B3237,Inventory!$A:$A,Inventory!$D:$D),Frame!$A:$A,Frame!$C:$C)+#REF!,""))</f>
        <v/>
      </c>
      <c r="E3237" s="4">
        <v>46369</v>
      </c>
      <c r="F3237" s="1" t="s">
        <v>49</v>
      </c>
    </row>
    <row r="3238" spans="1:6" x14ac:dyDescent="0.25">
      <c r="A3238" s="1" t="s">
        <v>6486</v>
      </c>
      <c r="B3238" s="1" t="s">
        <v>6487</v>
      </c>
      <c r="C3238" s="3">
        <v>200</v>
      </c>
      <c r="D3238" s="3" t="str">
        <f ca="1">IF(B3238="","",IFERROR(_xludf.XLOOKUP(_xludf.XLOOKUP(B3238,Inventory!$A:$A,Inventory!$B:$B),Blades!$A:$A,Blades!$C:$C)+_xludf.XLOOKUP(_xludf.XLOOKUP(B3238,Inventory!$A:$A,Inventory!$C:$C),Motor!$A:$A,Motor!$C:$C)+_xludf.XLOOKUP(_xludf.XLOOKUP(B3238,Inventory!$A:$A,Inventory!$D:$D),Frame!$A:$A,Frame!$C:$C)+#REF!,""))</f>
        <v/>
      </c>
      <c r="E3238" s="4">
        <v>46369</v>
      </c>
      <c r="F3238" s="1" t="s">
        <v>49</v>
      </c>
    </row>
    <row r="3239" spans="1:6" x14ac:dyDescent="0.25">
      <c r="A3239" s="1" t="s">
        <v>6488</v>
      </c>
      <c r="B3239" s="1" t="s">
        <v>6489</v>
      </c>
      <c r="C3239" s="3">
        <v>200</v>
      </c>
      <c r="D3239" s="3" t="str">
        <f ca="1">IF(B3239="","",IFERROR(_xludf.XLOOKUP(_xludf.XLOOKUP(B3239,Inventory!$A:$A,Inventory!$B:$B),Blades!$A:$A,Blades!$C:$C)+_xludf.XLOOKUP(_xludf.XLOOKUP(B3239,Inventory!$A:$A,Inventory!$C:$C),Motor!$A:$A,Motor!$C:$C)+_xludf.XLOOKUP(_xludf.XLOOKUP(B3239,Inventory!$A:$A,Inventory!$D:$D),Frame!$A:$A,Frame!$C:$C)+#REF!,""))</f>
        <v/>
      </c>
      <c r="E3239" s="4">
        <v>46370</v>
      </c>
      <c r="F3239" s="1" t="s">
        <v>11</v>
      </c>
    </row>
    <row r="3240" spans="1:6" x14ac:dyDescent="0.25">
      <c r="A3240" s="1" t="s">
        <v>6490</v>
      </c>
      <c r="B3240" s="1" t="s">
        <v>6491</v>
      </c>
      <c r="C3240" s="3">
        <v>200</v>
      </c>
      <c r="D3240" s="3" t="str">
        <f ca="1">IF(B3240="","",IFERROR(_xludf.XLOOKUP(_xludf.XLOOKUP(B3240,Inventory!$A:$A,Inventory!$B:$B),Blades!$A:$A,Blades!$C:$C)+_xludf.XLOOKUP(_xludf.XLOOKUP(B3240,Inventory!$A:$A,Inventory!$C:$C),Motor!$A:$A,Motor!$C:$C)+_xludf.XLOOKUP(_xludf.XLOOKUP(B3240,Inventory!$A:$A,Inventory!$D:$D),Frame!$A:$A,Frame!$C:$C)+#REF!,""))</f>
        <v/>
      </c>
      <c r="E3240" s="4">
        <v>46371</v>
      </c>
      <c r="F3240" s="1" t="s">
        <v>11</v>
      </c>
    </row>
    <row r="3241" spans="1:6" x14ac:dyDescent="0.25">
      <c r="A3241" s="1" t="s">
        <v>6492</v>
      </c>
      <c r="B3241" s="1" t="s">
        <v>6493</v>
      </c>
      <c r="C3241" s="3">
        <v>200</v>
      </c>
      <c r="D3241" s="3" t="str">
        <f ca="1">IF(B3241="","",IFERROR(_xludf.XLOOKUP(_xludf.XLOOKUP(B3241,Inventory!$A:$A,Inventory!$B:$B),Blades!$A:$A,Blades!$C:$C)+_xludf.XLOOKUP(_xludf.XLOOKUP(B3241,Inventory!$A:$A,Inventory!$C:$C),Motor!$A:$A,Motor!$C:$C)+_xludf.XLOOKUP(_xludf.XLOOKUP(B3241,Inventory!$A:$A,Inventory!$D:$D),Frame!$A:$A,Frame!$C:$C)+#REF!,""))</f>
        <v/>
      </c>
      <c r="E3241" s="4">
        <v>46371</v>
      </c>
      <c r="F3241" s="1" t="s">
        <v>32</v>
      </c>
    </row>
    <row r="3242" spans="1:6" x14ac:dyDescent="0.25">
      <c r="A3242" s="1" t="s">
        <v>6494</v>
      </c>
      <c r="B3242" s="1" t="s">
        <v>6495</v>
      </c>
      <c r="C3242" s="3">
        <v>200</v>
      </c>
      <c r="D3242" s="3" t="str">
        <f ca="1">IF(B3242="","",IFERROR(_xludf.XLOOKUP(_xludf.XLOOKUP(B3242,Inventory!$A:$A,Inventory!$B:$B),Blades!$A:$A,Blades!$C:$C)+_xludf.XLOOKUP(_xludf.XLOOKUP(B3242,Inventory!$A:$A,Inventory!$C:$C),Motor!$A:$A,Motor!$C:$C)+_xludf.XLOOKUP(_xludf.XLOOKUP(B3242,Inventory!$A:$A,Inventory!$D:$D),Frame!$A:$A,Frame!$C:$C)+#REF!,""))</f>
        <v/>
      </c>
      <c r="E3242" s="4">
        <v>46372</v>
      </c>
      <c r="F3242" s="1" t="s">
        <v>25</v>
      </c>
    </row>
    <row r="3243" spans="1:6" x14ac:dyDescent="0.25">
      <c r="A3243" s="1" t="s">
        <v>6496</v>
      </c>
      <c r="B3243" s="1" t="s">
        <v>6497</v>
      </c>
      <c r="C3243" s="3">
        <v>200</v>
      </c>
      <c r="D3243" s="3" t="str">
        <f ca="1">IF(B3243="","",IFERROR(_xludf.XLOOKUP(_xludf.XLOOKUP(B3243,Inventory!$A:$A,Inventory!$B:$B),Blades!$A:$A,Blades!$C:$C)+_xludf.XLOOKUP(_xludf.XLOOKUP(B3243,Inventory!$A:$A,Inventory!$C:$C),Motor!$A:$A,Motor!$C:$C)+_xludf.XLOOKUP(_xludf.XLOOKUP(B3243,Inventory!$A:$A,Inventory!$D:$D),Frame!$A:$A,Frame!$C:$C)+#REF!,""))</f>
        <v/>
      </c>
      <c r="E3243" s="4">
        <v>46372</v>
      </c>
      <c r="F3243" s="1" t="s">
        <v>52</v>
      </c>
    </row>
    <row r="3244" spans="1:6" x14ac:dyDescent="0.25">
      <c r="A3244" s="1" t="s">
        <v>6498</v>
      </c>
      <c r="B3244" s="1" t="s">
        <v>6499</v>
      </c>
      <c r="C3244" s="3">
        <v>200</v>
      </c>
      <c r="D3244" s="3" t="str">
        <f ca="1">IF(B3244="","",IFERROR(_xludf.XLOOKUP(_xludf.XLOOKUP(B3244,Inventory!$A:$A,Inventory!$B:$B),Blades!$A:$A,Blades!$C:$C)+_xludf.XLOOKUP(_xludf.XLOOKUP(B3244,Inventory!$A:$A,Inventory!$C:$C),Motor!$A:$A,Motor!$C:$C)+_xludf.XLOOKUP(_xludf.XLOOKUP(B3244,Inventory!$A:$A,Inventory!$D:$D),Frame!$A:$A,Frame!$C:$C)+#REF!,""))</f>
        <v/>
      </c>
      <c r="E3244" s="4">
        <v>46373</v>
      </c>
      <c r="F3244" s="1" t="s">
        <v>25</v>
      </c>
    </row>
    <row r="3245" spans="1:6" x14ac:dyDescent="0.25">
      <c r="A3245" s="1" t="s">
        <v>6500</v>
      </c>
      <c r="B3245" s="1" t="s">
        <v>6501</v>
      </c>
      <c r="C3245" s="3">
        <v>200</v>
      </c>
      <c r="D3245" s="3" t="str">
        <f ca="1">IF(B3245="","",IFERROR(_xludf.XLOOKUP(_xludf.XLOOKUP(B3245,Inventory!$A:$A,Inventory!$B:$B),Blades!$A:$A,Blades!$C:$C)+_xludf.XLOOKUP(_xludf.XLOOKUP(B3245,Inventory!$A:$A,Inventory!$C:$C),Motor!$A:$A,Motor!$C:$C)+_xludf.XLOOKUP(_xludf.XLOOKUP(B3245,Inventory!$A:$A,Inventory!$D:$D),Frame!$A:$A,Frame!$C:$C)+#REF!,""))</f>
        <v/>
      </c>
      <c r="E3245" s="4">
        <v>46373</v>
      </c>
      <c r="F3245" s="1" t="s">
        <v>49</v>
      </c>
    </row>
    <row r="3246" spans="1:6" x14ac:dyDescent="0.25">
      <c r="A3246" s="1" t="s">
        <v>6502</v>
      </c>
      <c r="B3246" s="1" t="s">
        <v>6503</v>
      </c>
      <c r="C3246" s="3">
        <v>200</v>
      </c>
      <c r="D3246" s="3" t="str">
        <f ca="1">IF(B3246="","",IFERROR(_xludf.XLOOKUP(_xludf.XLOOKUP(B3246,Inventory!$A:$A,Inventory!$B:$B),Blades!$A:$A,Blades!$C:$C)+_xludf.XLOOKUP(_xludf.XLOOKUP(B3246,Inventory!$A:$A,Inventory!$C:$C),Motor!$A:$A,Motor!$C:$C)+_xludf.XLOOKUP(_xludf.XLOOKUP(B3246,Inventory!$A:$A,Inventory!$D:$D),Frame!$A:$A,Frame!$C:$C)+#REF!,""))</f>
        <v/>
      </c>
      <c r="E3246" s="4">
        <v>46373</v>
      </c>
      <c r="F3246" s="1" t="s">
        <v>52</v>
      </c>
    </row>
    <row r="3247" spans="1:6" x14ac:dyDescent="0.25">
      <c r="A3247" s="1" t="s">
        <v>6504</v>
      </c>
      <c r="B3247" s="1" t="s">
        <v>6505</v>
      </c>
      <c r="C3247" s="3">
        <v>200</v>
      </c>
      <c r="D3247" s="3" t="str">
        <f ca="1">IF(B3247="","",IFERROR(_xludf.XLOOKUP(_xludf.XLOOKUP(B3247,Inventory!$A:$A,Inventory!$B:$B),Blades!$A:$A,Blades!$C:$C)+_xludf.XLOOKUP(_xludf.XLOOKUP(B3247,Inventory!$A:$A,Inventory!$C:$C),Motor!$A:$A,Motor!$C:$C)+_xludf.XLOOKUP(_xludf.XLOOKUP(B3247,Inventory!$A:$A,Inventory!$D:$D),Frame!$A:$A,Frame!$C:$C)+#REF!,""))</f>
        <v/>
      </c>
      <c r="E3247" s="4">
        <v>46374</v>
      </c>
      <c r="F3247" s="1" t="s">
        <v>63</v>
      </c>
    </row>
    <row r="3248" spans="1:6" x14ac:dyDescent="0.25">
      <c r="A3248" s="1" t="s">
        <v>6506</v>
      </c>
      <c r="B3248" s="1" t="s">
        <v>6507</v>
      </c>
      <c r="C3248" s="3">
        <v>200</v>
      </c>
      <c r="D3248" s="3" t="str">
        <f ca="1">IF(B3248="","",IFERROR(_xludf.XLOOKUP(_xludf.XLOOKUP(B3248,Inventory!$A:$A,Inventory!$B:$B),Blades!$A:$A,Blades!$C:$C)+_xludf.XLOOKUP(_xludf.XLOOKUP(B3248,Inventory!$A:$A,Inventory!$C:$C),Motor!$A:$A,Motor!$C:$C)+_xludf.XLOOKUP(_xludf.XLOOKUP(B3248,Inventory!$A:$A,Inventory!$D:$D),Frame!$A:$A,Frame!$C:$C)+#REF!,""))</f>
        <v/>
      </c>
      <c r="E3248" s="4">
        <v>46374</v>
      </c>
      <c r="F3248" s="1" t="s">
        <v>49</v>
      </c>
    </row>
    <row r="3249" spans="1:6" x14ac:dyDescent="0.25">
      <c r="A3249" s="1" t="s">
        <v>6508</v>
      </c>
      <c r="B3249" s="1" t="s">
        <v>6509</v>
      </c>
      <c r="C3249" s="3">
        <v>200</v>
      </c>
      <c r="D3249" s="3" t="str">
        <f ca="1">IF(B3249="","",IFERROR(_xludf.XLOOKUP(_xludf.XLOOKUP(B3249,Inventory!$A:$A,Inventory!$B:$B),Blades!$A:$A,Blades!$C:$C)+_xludf.XLOOKUP(_xludf.XLOOKUP(B3249,Inventory!$A:$A,Inventory!$C:$C),Motor!$A:$A,Motor!$C:$C)+_xludf.XLOOKUP(_xludf.XLOOKUP(B3249,Inventory!$A:$A,Inventory!$D:$D),Frame!$A:$A,Frame!$C:$C)+#REF!,""))</f>
        <v/>
      </c>
      <c r="E3249" s="4">
        <v>46375</v>
      </c>
      <c r="F3249" s="1" t="s">
        <v>11</v>
      </c>
    </row>
    <row r="3250" spans="1:6" x14ac:dyDescent="0.25">
      <c r="A3250" s="1" t="s">
        <v>6510</v>
      </c>
      <c r="B3250" s="1" t="s">
        <v>6511</v>
      </c>
      <c r="C3250" s="3">
        <v>200</v>
      </c>
      <c r="D3250" s="3" t="str">
        <f ca="1">IF(B3250="","",IFERROR(_xludf.XLOOKUP(_xludf.XLOOKUP(B3250,Inventory!$A:$A,Inventory!$B:$B),Blades!$A:$A,Blades!$C:$C)+_xludf.XLOOKUP(_xludf.XLOOKUP(B3250,Inventory!$A:$A,Inventory!$C:$C),Motor!$A:$A,Motor!$C:$C)+_xludf.XLOOKUP(_xludf.XLOOKUP(B3250,Inventory!$A:$A,Inventory!$D:$D),Frame!$A:$A,Frame!$C:$C)+#REF!,""))</f>
        <v/>
      </c>
      <c r="E3250" s="4">
        <v>46375</v>
      </c>
      <c r="F3250" s="1" t="s">
        <v>8</v>
      </c>
    </row>
    <row r="3251" spans="1:6" x14ac:dyDescent="0.25">
      <c r="A3251" s="1" t="s">
        <v>6512</v>
      </c>
      <c r="B3251" s="1" t="s">
        <v>6513</v>
      </c>
      <c r="C3251" s="3">
        <v>200</v>
      </c>
      <c r="D3251" s="3" t="str">
        <f ca="1">IF(B3251="","",IFERROR(_xludf.XLOOKUP(_xludf.XLOOKUP(B3251,Inventory!$A:$A,Inventory!$B:$B),Blades!$A:$A,Blades!$C:$C)+_xludf.XLOOKUP(_xludf.XLOOKUP(B3251,Inventory!$A:$A,Inventory!$C:$C),Motor!$A:$A,Motor!$C:$C)+_xludf.XLOOKUP(_xludf.XLOOKUP(B3251,Inventory!$A:$A,Inventory!$D:$D),Frame!$A:$A,Frame!$C:$C)+#REF!,""))</f>
        <v/>
      </c>
      <c r="E3251" s="4">
        <v>46375</v>
      </c>
      <c r="F3251" s="1" t="s">
        <v>8</v>
      </c>
    </row>
    <row r="3252" spans="1:6" x14ac:dyDescent="0.25">
      <c r="A3252" s="1" t="s">
        <v>6514</v>
      </c>
      <c r="B3252" s="1" t="s">
        <v>6515</v>
      </c>
      <c r="C3252" s="3">
        <v>200</v>
      </c>
      <c r="D3252" s="3" t="str">
        <f ca="1">IF(B3252="","",IFERROR(_xludf.XLOOKUP(_xludf.XLOOKUP(B3252,Inventory!$A:$A,Inventory!$B:$B),Blades!$A:$A,Blades!$C:$C)+_xludf.XLOOKUP(_xludf.XLOOKUP(B3252,Inventory!$A:$A,Inventory!$C:$C),Motor!$A:$A,Motor!$C:$C)+_xludf.XLOOKUP(_xludf.XLOOKUP(B3252,Inventory!$A:$A,Inventory!$D:$D),Frame!$A:$A,Frame!$C:$C)+#REF!,""))</f>
        <v/>
      </c>
      <c r="E3252" s="4">
        <v>46376</v>
      </c>
      <c r="F3252" s="1" t="s">
        <v>20</v>
      </c>
    </row>
    <row r="3253" spans="1:6" x14ac:dyDescent="0.25">
      <c r="A3253" s="1" t="s">
        <v>6516</v>
      </c>
      <c r="B3253" s="1" t="s">
        <v>6517</v>
      </c>
      <c r="C3253" s="3">
        <v>200</v>
      </c>
      <c r="D3253" s="3" t="str">
        <f ca="1">IF(B3253="","",IFERROR(_xludf.XLOOKUP(_xludf.XLOOKUP(B3253,Inventory!$A:$A,Inventory!$B:$B),Blades!$A:$A,Blades!$C:$C)+_xludf.XLOOKUP(_xludf.XLOOKUP(B3253,Inventory!$A:$A,Inventory!$C:$C),Motor!$A:$A,Motor!$C:$C)+_xludf.XLOOKUP(_xludf.XLOOKUP(B3253,Inventory!$A:$A,Inventory!$D:$D),Frame!$A:$A,Frame!$C:$C)+#REF!,""))</f>
        <v/>
      </c>
      <c r="E3253" s="4">
        <v>46376</v>
      </c>
      <c r="F3253" s="1" t="s">
        <v>32</v>
      </c>
    </row>
    <row r="3254" spans="1:6" x14ac:dyDescent="0.25">
      <c r="A3254" s="1" t="s">
        <v>6518</v>
      </c>
      <c r="B3254" s="1" t="s">
        <v>6519</v>
      </c>
      <c r="C3254" s="3">
        <v>200</v>
      </c>
      <c r="D3254" s="3" t="str">
        <f ca="1">IF(B3254="","",IFERROR(_xludf.XLOOKUP(_xludf.XLOOKUP(B3254,Inventory!$A:$A,Inventory!$B:$B),Blades!$A:$A,Blades!$C:$C)+_xludf.XLOOKUP(_xludf.XLOOKUP(B3254,Inventory!$A:$A,Inventory!$C:$C),Motor!$A:$A,Motor!$C:$C)+_xludf.XLOOKUP(_xludf.XLOOKUP(B3254,Inventory!$A:$A,Inventory!$D:$D),Frame!$A:$A,Frame!$C:$C)+#REF!,""))</f>
        <v/>
      </c>
      <c r="E3254" s="4">
        <v>46378</v>
      </c>
      <c r="F3254" s="1" t="s">
        <v>11</v>
      </c>
    </row>
    <row r="3255" spans="1:6" x14ac:dyDescent="0.25">
      <c r="A3255" s="1" t="s">
        <v>6520</v>
      </c>
      <c r="B3255" s="1" t="s">
        <v>6521</v>
      </c>
      <c r="C3255" s="3">
        <v>200</v>
      </c>
      <c r="D3255" s="3" t="str">
        <f ca="1">IF(B3255="","",IFERROR(_xludf.XLOOKUP(_xludf.XLOOKUP(B3255,Inventory!$A:$A,Inventory!$B:$B),Blades!$A:$A,Blades!$C:$C)+_xludf.XLOOKUP(_xludf.XLOOKUP(B3255,Inventory!$A:$A,Inventory!$C:$C),Motor!$A:$A,Motor!$C:$C)+_xludf.XLOOKUP(_xludf.XLOOKUP(B3255,Inventory!$A:$A,Inventory!$D:$D),Frame!$A:$A,Frame!$C:$C)+#REF!,""))</f>
        <v/>
      </c>
      <c r="E3255" s="4">
        <v>46378</v>
      </c>
      <c r="F3255" s="1" t="s">
        <v>8</v>
      </c>
    </row>
    <row r="3256" spans="1:6" x14ac:dyDescent="0.25">
      <c r="A3256" s="1" t="s">
        <v>6522</v>
      </c>
      <c r="B3256" s="1" t="s">
        <v>6523</v>
      </c>
      <c r="C3256" s="3">
        <v>200</v>
      </c>
      <c r="D3256" s="3" t="str">
        <f ca="1">IF(B3256="","",IFERROR(_xludf.XLOOKUP(_xludf.XLOOKUP(B3256,Inventory!$A:$A,Inventory!$B:$B),Blades!$A:$A,Blades!$C:$C)+_xludf.XLOOKUP(_xludf.XLOOKUP(B3256,Inventory!$A:$A,Inventory!$C:$C),Motor!$A:$A,Motor!$C:$C)+_xludf.XLOOKUP(_xludf.XLOOKUP(B3256,Inventory!$A:$A,Inventory!$D:$D),Frame!$A:$A,Frame!$C:$C)+#REF!,""))</f>
        <v/>
      </c>
      <c r="E3256" s="4">
        <v>46378</v>
      </c>
      <c r="F3256" s="1" t="s">
        <v>32</v>
      </c>
    </row>
    <row r="3257" spans="1:6" x14ac:dyDescent="0.25">
      <c r="A3257" s="1" t="s">
        <v>6524</v>
      </c>
      <c r="B3257" s="1" t="s">
        <v>6525</v>
      </c>
      <c r="C3257" s="3">
        <v>200</v>
      </c>
      <c r="D3257" s="3" t="str">
        <f ca="1">IF(B3257="","",IFERROR(_xludf.XLOOKUP(_xludf.XLOOKUP(B3257,Inventory!$A:$A,Inventory!$B:$B),Blades!$A:$A,Blades!$C:$C)+_xludf.XLOOKUP(_xludf.XLOOKUP(B3257,Inventory!$A:$A,Inventory!$C:$C),Motor!$A:$A,Motor!$C:$C)+_xludf.XLOOKUP(_xludf.XLOOKUP(B3257,Inventory!$A:$A,Inventory!$D:$D),Frame!$A:$A,Frame!$C:$C)+#REF!,""))</f>
        <v/>
      </c>
      <c r="E3257" s="4">
        <v>46379</v>
      </c>
      <c r="F3257" s="1" t="s">
        <v>8</v>
      </c>
    </row>
    <row r="3258" spans="1:6" x14ac:dyDescent="0.25">
      <c r="A3258" s="1" t="s">
        <v>6526</v>
      </c>
      <c r="B3258" s="1" t="s">
        <v>6527</v>
      </c>
      <c r="C3258" s="3">
        <v>200</v>
      </c>
      <c r="D3258" s="3" t="str">
        <f ca="1">IF(B3258="","",IFERROR(_xludf.XLOOKUP(_xludf.XLOOKUP(B3258,Inventory!$A:$A,Inventory!$B:$B),Blades!$A:$A,Blades!$C:$C)+_xludf.XLOOKUP(_xludf.XLOOKUP(B3258,Inventory!$A:$A,Inventory!$C:$C),Motor!$A:$A,Motor!$C:$C)+_xludf.XLOOKUP(_xludf.XLOOKUP(B3258,Inventory!$A:$A,Inventory!$D:$D),Frame!$A:$A,Frame!$C:$C)+#REF!,""))</f>
        <v/>
      </c>
      <c r="E3258" s="4">
        <v>46380</v>
      </c>
      <c r="F3258" s="1" t="s">
        <v>49</v>
      </c>
    </row>
    <row r="3259" spans="1:6" x14ac:dyDescent="0.25">
      <c r="A3259" s="1" t="s">
        <v>6528</v>
      </c>
      <c r="B3259" s="1" t="s">
        <v>6529</v>
      </c>
      <c r="C3259" s="3">
        <v>200</v>
      </c>
      <c r="D3259" s="3" t="str">
        <f ca="1">IF(B3259="","",IFERROR(_xludf.XLOOKUP(_xludf.XLOOKUP(B3259,Inventory!$A:$A,Inventory!$B:$B),Blades!$A:$A,Blades!$C:$C)+_xludf.XLOOKUP(_xludf.XLOOKUP(B3259,Inventory!$A:$A,Inventory!$C:$C),Motor!$A:$A,Motor!$C:$C)+_xludf.XLOOKUP(_xludf.XLOOKUP(B3259,Inventory!$A:$A,Inventory!$D:$D),Frame!$A:$A,Frame!$C:$C)+#REF!,""))</f>
        <v/>
      </c>
      <c r="E3259" s="4">
        <v>46381</v>
      </c>
      <c r="F3259" s="1" t="s">
        <v>25</v>
      </c>
    </row>
    <row r="3260" spans="1:6" x14ac:dyDescent="0.25">
      <c r="A3260" s="1" t="s">
        <v>6530</v>
      </c>
      <c r="B3260" s="1" t="s">
        <v>6531</v>
      </c>
      <c r="C3260" s="3">
        <v>200</v>
      </c>
      <c r="D3260" s="3" t="str">
        <f ca="1">IF(B3260="","",IFERROR(_xludf.XLOOKUP(_xludf.XLOOKUP(B3260,Inventory!$A:$A,Inventory!$B:$B),Blades!$A:$A,Blades!$C:$C)+_xludf.XLOOKUP(_xludf.XLOOKUP(B3260,Inventory!$A:$A,Inventory!$C:$C),Motor!$A:$A,Motor!$C:$C)+_xludf.XLOOKUP(_xludf.XLOOKUP(B3260,Inventory!$A:$A,Inventory!$D:$D),Frame!$A:$A,Frame!$C:$C)+#REF!,""))</f>
        <v/>
      </c>
      <c r="E3260" s="4">
        <v>46381</v>
      </c>
      <c r="F3260" s="1" t="s">
        <v>25</v>
      </c>
    </row>
    <row r="3261" spans="1:6" x14ac:dyDescent="0.25">
      <c r="A3261" s="1" t="s">
        <v>6532</v>
      </c>
      <c r="B3261" s="1" t="s">
        <v>6533</v>
      </c>
      <c r="C3261" s="3">
        <v>200</v>
      </c>
      <c r="D3261" s="3" t="str">
        <f ca="1">IF(B3261="","",IFERROR(_xludf.XLOOKUP(_xludf.XLOOKUP(B3261,Inventory!$A:$A,Inventory!$B:$B),Blades!$A:$A,Blades!$C:$C)+_xludf.XLOOKUP(_xludf.XLOOKUP(B3261,Inventory!$A:$A,Inventory!$C:$C),Motor!$A:$A,Motor!$C:$C)+_xludf.XLOOKUP(_xludf.XLOOKUP(B3261,Inventory!$A:$A,Inventory!$D:$D),Frame!$A:$A,Frame!$C:$C)+#REF!,""))</f>
        <v/>
      </c>
      <c r="E3261" s="4">
        <v>46381</v>
      </c>
      <c r="F3261" s="1" t="s">
        <v>52</v>
      </c>
    </row>
    <row r="3262" spans="1:6" x14ac:dyDescent="0.25">
      <c r="A3262" s="1" t="s">
        <v>6534</v>
      </c>
      <c r="B3262" s="1" t="s">
        <v>6535</v>
      </c>
      <c r="C3262" s="3">
        <v>200</v>
      </c>
      <c r="D3262" s="3" t="str">
        <f ca="1">IF(B3262="","",IFERROR(_xludf.XLOOKUP(_xludf.XLOOKUP(B3262,Inventory!$A:$A,Inventory!$B:$B),Blades!$A:$A,Blades!$C:$C)+_xludf.XLOOKUP(_xludf.XLOOKUP(B3262,Inventory!$A:$A,Inventory!$C:$C),Motor!$A:$A,Motor!$C:$C)+_xludf.XLOOKUP(_xludf.XLOOKUP(B3262,Inventory!$A:$A,Inventory!$D:$D),Frame!$A:$A,Frame!$C:$C)+#REF!,""))</f>
        <v/>
      </c>
      <c r="E3262" s="4">
        <v>46382</v>
      </c>
      <c r="F3262" s="1" t="s">
        <v>49</v>
      </c>
    </row>
    <row r="3263" spans="1:6" x14ac:dyDescent="0.25">
      <c r="A3263" s="1" t="s">
        <v>6536</v>
      </c>
      <c r="B3263" s="1" t="s">
        <v>6537</v>
      </c>
      <c r="C3263" s="3">
        <v>200</v>
      </c>
      <c r="D3263" s="3" t="str">
        <f ca="1">IF(B3263="","",IFERROR(_xludf.XLOOKUP(_xludf.XLOOKUP(B3263,Inventory!$A:$A,Inventory!$B:$B),Blades!$A:$A,Blades!$C:$C)+_xludf.XLOOKUP(_xludf.XLOOKUP(B3263,Inventory!$A:$A,Inventory!$C:$C),Motor!$A:$A,Motor!$C:$C)+_xludf.XLOOKUP(_xludf.XLOOKUP(B3263,Inventory!$A:$A,Inventory!$D:$D),Frame!$A:$A,Frame!$C:$C)+#REF!,""))</f>
        <v/>
      </c>
      <c r="E3263" s="4">
        <v>46383</v>
      </c>
      <c r="F3263" s="1" t="s">
        <v>49</v>
      </c>
    </row>
    <row r="3264" spans="1:6" x14ac:dyDescent="0.25">
      <c r="A3264" s="1" t="s">
        <v>6538</v>
      </c>
      <c r="B3264" s="1" t="s">
        <v>6539</v>
      </c>
      <c r="C3264" s="3">
        <v>200</v>
      </c>
      <c r="D3264" s="3" t="str">
        <f ca="1">IF(B3264="","",IFERROR(_xludf.XLOOKUP(_xludf.XLOOKUP(B3264,Inventory!$A:$A,Inventory!$B:$B),Blades!$A:$A,Blades!$C:$C)+_xludf.XLOOKUP(_xludf.XLOOKUP(B3264,Inventory!$A:$A,Inventory!$C:$C),Motor!$A:$A,Motor!$C:$C)+_xludf.XLOOKUP(_xludf.XLOOKUP(B3264,Inventory!$A:$A,Inventory!$D:$D),Frame!$A:$A,Frame!$C:$C)+#REF!,""))</f>
        <v/>
      </c>
      <c r="E3264" s="4">
        <v>46383</v>
      </c>
      <c r="F3264" s="1" t="s">
        <v>11</v>
      </c>
    </row>
    <row r="3265" spans="1:6" x14ac:dyDescent="0.25">
      <c r="A3265" s="1" t="s">
        <v>6540</v>
      </c>
      <c r="B3265" s="1" t="s">
        <v>6541</v>
      </c>
      <c r="C3265" s="3">
        <v>200</v>
      </c>
      <c r="D3265" s="3" t="str">
        <f ca="1">IF(B3265="","",IFERROR(_xludf.XLOOKUP(_xludf.XLOOKUP(B3265,Inventory!$A:$A,Inventory!$B:$B),Blades!$A:$A,Blades!$C:$C)+_xludf.XLOOKUP(_xludf.XLOOKUP(B3265,Inventory!$A:$A,Inventory!$C:$C),Motor!$A:$A,Motor!$C:$C)+_xludf.XLOOKUP(_xludf.XLOOKUP(B3265,Inventory!$A:$A,Inventory!$D:$D),Frame!$A:$A,Frame!$C:$C)+#REF!,""))</f>
        <v/>
      </c>
      <c r="E3265" s="4">
        <v>46384</v>
      </c>
      <c r="F3265" s="1" t="s">
        <v>49</v>
      </c>
    </row>
    <row r="3266" spans="1:6" x14ac:dyDescent="0.25">
      <c r="A3266" s="1" t="s">
        <v>6542</v>
      </c>
      <c r="B3266" s="1" t="s">
        <v>6543</v>
      </c>
      <c r="C3266" s="3">
        <v>200</v>
      </c>
      <c r="D3266" s="3" t="str">
        <f ca="1">IF(B3266="","",IFERROR(_xludf.XLOOKUP(_xludf.XLOOKUP(B3266,Inventory!$A:$A,Inventory!$B:$B),Blades!$A:$A,Blades!$C:$C)+_xludf.XLOOKUP(_xludf.XLOOKUP(B3266,Inventory!$A:$A,Inventory!$C:$C),Motor!$A:$A,Motor!$C:$C)+_xludf.XLOOKUP(_xludf.XLOOKUP(B3266,Inventory!$A:$A,Inventory!$D:$D),Frame!$A:$A,Frame!$C:$C)+#REF!,""))</f>
        <v/>
      </c>
      <c r="E3266" s="4">
        <v>46384</v>
      </c>
      <c r="F3266" s="1" t="s">
        <v>20</v>
      </c>
    </row>
    <row r="3267" spans="1:6" x14ac:dyDescent="0.25">
      <c r="A3267" s="1" t="s">
        <v>6544</v>
      </c>
      <c r="B3267" s="1" t="s">
        <v>6545</v>
      </c>
      <c r="C3267" s="3">
        <v>200</v>
      </c>
      <c r="D3267" s="3" t="str">
        <f ca="1">IF(B3267="","",IFERROR(_xludf.XLOOKUP(_xludf.XLOOKUP(B3267,Inventory!$A:$A,Inventory!$B:$B),Blades!$A:$A,Blades!$C:$C)+_xludf.XLOOKUP(_xludf.XLOOKUP(B3267,Inventory!$A:$A,Inventory!$C:$C),Motor!$A:$A,Motor!$C:$C)+_xludf.XLOOKUP(_xludf.XLOOKUP(B3267,Inventory!$A:$A,Inventory!$D:$D),Frame!$A:$A,Frame!$C:$C)+#REF!,""))</f>
        <v/>
      </c>
      <c r="E3267" s="4">
        <v>46385</v>
      </c>
      <c r="F3267" s="1" t="s">
        <v>63</v>
      </c>
    </row>
    <row r="3268" spans="1:6" x14ac:dyDescent="0.25">
      <c r="A3268" s="1" t="s">
        <v>6546</v>
      </c>
      <c r="B3268" s="1" t="s">
        <v>6547</v>
      </c>
      <c r="C3268" s="3">
        <v>200</v>
      </c>
      <c r="D3268" s="3" t="str">
        <f ca="1">IF(B3268="","",IFERROR(_xludf.XLOOKUP(_xludf.XLOOKUP(B3268,Inventory!$A:$A,Inventory!$B:$B),Blades!$A:$A,Blades!$C:$C)+_xludf.XLOOKUP(_xludf.XLOOKUP(B3268,Inventory!$A:$A,Inventory!$C:$C),Motor!$A:$A,Motor!$C:$C)+_xludf.XLOOKUP(_xludf.XLOOKUP(B3268,Inventory!$A:$A,Inventory!$D:$D),Frame!$A:$A,Frame!$C:$C)+#REF!,""))</f>
        <v/>
      </c>
      <c r="E3268" s="4">
        <v>46385</v>
      </c>
      <c r="F3268" s="1" t="s">
        <v>63</v>
      </c>
    </row>
    <row r="3269" spans="1:6" x14ac:dyDescent="0.25">
      <c r="A3269" s="1" t="s">
        <v>6548</v>
      </c>
      <c r="B3269" s="1" t="s">
        <v>6549</v>
      </c>
      <c r="C3269" s="3">
        <v>200</v>
      </c>
      <c r="D3269" s="3" t="str">
        <f ca="1">IF(B3269="","",IFERROR(_xludf.XLOOKUP(_xludf.XLOOKUP(B3269,Inventory!$A:$A,Inventory!$B:$B),Blades!$A:$A,Blades!$C:$C)+_xludf.XLOOKUP(_xludf.XLOOKUP(B3269,Inventory!$A:$A,Inventory!$C:$C),Motor!$A:$A,Motor!$C:$C)+_xludf.XLOOKUP(_xludf.XLOOKUP(B3269,Inventory!$A:$A,Inventory!$D:$D),Frame!$A:$A,Frame!$C:$C)+#REF!,""))</f>
        <v/>
      </c>
      <c r="E3269" s="4">
        <v>46386</v>
      </c>
      <c r="F3269" s="1" t="s">
        <v>52</v>
      </c>
    </row>
    <row r="3270" spans="1:6" x14ac:dyDescent="0.25">
      <c r="A3270" s="1" t="s">
        <v>6550</v>
      </c>
      <c r="B3270" s="1" t="s">
        <v>6551</v>
      </c>
      <c r="C3270" s="3">
        <v>200</v>
      </c>
      <c r="D3270" s="3" t="str">
        <f ca="1">IF(B3270="","",IFERROR(_xludf.XLOOKUP(_xludf.XLOOKUP(B3270,Inventory!$A:$A,Inventory!$B:$B),Blades!$A:$A,Blades!$C:$C)+_xludf.XLOOKUP(_xludf.XLOOKUP(B3270,Inventory!$A:$A,Inventory!$C:$C),Motor!$A:$A,Motor!$C:$C)+_xludf.XLOOKUP(_xludf.XLOOKUP(B3270,Inventory!$A:$A,Inventory!$D:$D),Frame!$A:$A,Frame!$C:$C)+#REF!,""))</f>
        <v/>
      </c>
      <c r="E3270" s="4">
        <v>46387</v>
      </c>
      <c r="F3270" s="1" t="s">
        <v>11</v>
      </c>
    </row>
    <row r="3271" spans="1:6" x14ac:dyDescent="0.25">
      <c r="A3271" s="1" t="s">
        <v>6552</v>
      </c>
      <c r="B3271" s="1" t="s">
        <v>6553</v>
      </c>
      <c r="C3271" s="3">
        <v>200</v>
      </c>
      <c r="D3271" s="3" t="str">
        <f ca="1">IF(B3271="","",IFERROR(_xludf.XLOOKUP(_xludf.XLOOKUP(B3271,Inventory!$A:$A,Inventory!$B:$B),Blades!$A:$A,Blades!$C:$C)+_xludf.XLOOKUP(_xludf.XLOOKUP(B3271,Inventory!$A:$A,Inventory!$C:$C),Motor!$A:$A,Motor!$C:$C)+_xludf.XLOOKUP(_xludf.XLOOKUP(B3271,Inventory!$A:$A,Inventory!$D:$D),Frame!$A:$A,Frame!$C:$C)+#REF!,""))</f>
        <v/>
      </c>
      <c r="E3271" s="4">
        <v>46387</v>
      </c>
      <c r="F3271" s="1" t="s">
        <v>49</v>
      </c>
    </row>
  </sheetData>
  <dataValidations count="1">
    <dataValidation type="list" allowBlank="1" sqref="F2:F3271" xr:uid="{00000000-0002-0000-0100-000000000000}">
      <formula1>#REF!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71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4" width="20" customWidth="1"/>
  </cols>
  <sheetData>
    <row r="1" spans="1:4" x14ac:dyDescent="0.25">
      <c r="A1" s="2" t="s">
        <v>1</v>
      </c>
      <c r="B1" s="2" t="s">
        <v>6554</v>
      </c>
      <c r="C1" s="2" t="s">
        <v>6555</v>
      </c>
      <c r="D1" s="2" t="s">
        <v>6556</v>
      </c>
    </row>
    <row r="2" spans="1:4" x14ac:dyDescent="0.25">
      <c r="A2" s="1" t="s">
        <v>7</v>
      </c>
      <c r="B2" s="1" t="s">
        <v>6557</v>
      </c>
      <c r="C2" s="1" t="s">
        <v>6558</v>
      </c>
      <c r="D2" s="1" t="s">
        <v>6559</v>
      </c>
    </row>
    <row r="3" spans="1:4" x14ac:dyDescent="0.25">
      <c r="A3" s="1" t="s">
        <v>10</v>
      </c>
      <c r="B3" s="1" t="s">
        <v>6560</v>
      </c>
      <c r="C3" s="1" t="s">
        <v>6561</v>
      </c>
      <c r="D3" s="1" t="s">
        <v>6562</v>
      </c>
    </row>
    <row r="4" spans="1:4" x14ac:dyDescent="0.25">
      <c r="A4" s="1" t="s">
        <v>13</v>
      </c>
      <c r="B4" s="1" t="s">
        <v>6563</v>
      </c>
      <c r="C4" s="1" t="s">
        <v>6564</v>
      </c>
      <c r="D4" s="1" t="s">
        <v>6565</v>
      </c>
    </row>
    <row r="5" spans="1:4" x14ac:dyDescent="0.25">
      <c r="A5" s="1" t="s">
        <v>15</v>
      </c>
      <c r="B5" s="1" t="s">
        <v>6566</v>
      </c>
      <c r="C5" s="1" t="s">
        <v>6567</v>
      </c>
      <c r="D5" s="1" t="s">
        <v>6568</v>
      </c>
    </row>
    <row r="6" spans="1:4" x14ac:dyDescent="0.25">
      <c r="A6" s="1" t="s">
        <v>17</v>
      </c>
      <c r="B6" s="1" t="s">
        <v>6569</v>
      </c>
      <c r="C6" s="1" t="s">
        <v>6570</v>
      </c>
      <c r="D6" s="1" t="s">
        <v>6571</v>
      </c>
    </row>
    <row r="7" spans="1:4" x14ac:dyDescent="0.25">
      <c r="A7" s="1" t="s">
        <v>19</v>
      </c>
      <c r="B7" s="1" t="s">
        <v>6572</v>
      </c>
      <c r="C7" s="1" t="s">
        <v>6573</v>
      </c>
      <c r="D7" s="1" t="s">
        <v>6574</v>
      </c>
    </row>
    <row r="8" spans="1:4" x14ac:dyDescent="0.25">
      <c r="A8" s="1" t="s">
        <v>22</v>
      </c>
      <c r="B8" s="1" t="s">
        <v>6575</v>
      </c>
      <c r="C8" s="1" t="s">
        <v>6576</v>
      </c>
      <c r="D8" s="1" t="s">
        <v>6577</v>
      </c>
    </row>
    <row r="9" spans="1:4" x14ac:dyDescent="0.25">
      <c r="A9" s="1" t="s">
        <v>24</v>
      </c>
      <c r="B9" s="1" t="s">
        <v>6578</v>
      </c>
      <c r="C9" s="1" t="s">
        <v>6579</v>
      </c>
      <c r="D9" s="1" t="s">
        <v>6580</v>
      </c>
    </row>
    <row r="10" spans="1:4" x14ac:dyDescent="0.25">
      <c r="A10" s="1" t="s">
        <v>27</v>
      </c>
      <c r="B10" s="1" t="s">
        <v>6581</v>
      </c>
      <c r="C10" s="1" t="s">
        <v>6582</v>
      </c>
      <c r="D10" s="1" t="s">
        <v>6583</v>
      </c>
    </row>
    <row r="11" spans="1:4" x14ac:dyDescent="0.25">
      <c r="A11" s="1" t="s">
        <v>29</v>
      </c>
      <c r="B11" s="1" t="s">
        <v>6584</v>
      </c>
      <c r="C11" s="1" t="s">
        <v>6585</v>
      </c>
      <c r="D11" s="1" t="s">
        <v>6586</v>
      </c>
    </row>
    <row r="12" spans="1:4" x14ac:dyDescent="0.25">
      <c r="A12" s="1" t="s">
        <v>31</v>
      </c>
      <c r="B12" s="1" t="s">
        <v>6587</v>
      </c>
      <c r="C12" s="1" t="s">
        <v>6588</v>
      </c>
      <c r="D12" s="1" t="s">
        <v>6589</v>
      </c>
    </row>
    <row r="13" spans="1:4" x14ac:dyDescent="0.25">
      <c r="A13" s="1" t="s">
        <v>34</v>
      </c>
      <c r="B13" s="1" t="s">
        <v>6590</v>
      </c>
      <c r="C13" s="1" t="s">
        <v>6591</v>
      </c>
      <c r="D13" s="1" t="s">
        <v>6592</v>
      </c>
    </row>
    <row r="14" spans="1:4" x14ac:dyDescent="0.25">
      <c r="A14" s="1" t="s">
        <v>36</v>
      </c>
      <c r="B14" s="1" t="s">
        <v>6593</v>
      </c>
      <c r="C14" s="1" t="s">
        <v>6594</v>
      </c>
      <c r="D14" s="1" t="s">
        <v>6595</v>
      </c>
    </row>
    <row r="15" spans="1:4" x14ac:dyDescent="0.25">
      <c r="A15" s="1" t="s">
        <v>38</v>
      </c>
      <c r="B15" s="1" t="s">
        <v>6596</v>
      </c>
      <c r="C15" s="1" t="s">
        <v>6597</v>
      </c>
      <c r="D15" s="1" t="s">
        <v>6598</v>
      </c>
    </row>
    <row r="16" spans="1:4" x14ac:dyDescent="0.25">
      <c r="A16" s="1" t="s">
        <v>40</v>
      </c>
      <c r="B16" s="1" t="s">
        <v>6599</v>
      </c>
      <c r="C16" s="1" t="s">
        <v>6600</v>
      </c>
      <c r="D16" s="1" t="s">
        <v>6601</v>
      </c>
    </row>
    <row r="17" spans="1:4" x14ac:dyDescent="0.25">
      <c r="A17" s="1" t="s">
        <v>42</v>
      </c>
      <c r="B17" s="1" t="s">
        <v>6602</v>
      </c>
      <c r="C17" s="1" t="s">
        <v>6603</v>
      </c>
      <c r="D17" s="1" t="s">
        <v>6604</v>
      </c>
    </row>
    <row r="18" spans="1:4" x14ac:dyDescent="0.25">
      <c r="A18" s="1" t="s">
        <v>44</v>
      </c>
      <c r="B18" s="1" t="s">
        <v>6605</v>
      </c>
      <c r="C18" s="1" t="s">
        <v>6606</v>
      </c>
      <c r="D18" s="1" t="s">
        <v>6607</v>
      </c>
    </row>
    <row r="19" spans="1:4" x14ac:dyDescent="0.25">
      <c r="A19" s="1" t="s">
        <v>46</v>
      </c>
      <c r="B19" s="1" t="s">
        <v>6608</v>
      </c>
      <c r="C19" s="1" t="s">
        <v>6609</v>
      </c>
      <c r="D19" s="1" t="s">
        <v>6610</v>
      </c>
    </row>
    <row r="20" spans="1:4" x14ac:dyDescent="0.25">
      <c r="A20" s="1" t="s">
        <v>48</v>
      </c>
      <c r="B20" s="1" t="s">
        <v>6611</v>
      </c>
      <c r="C20" s="1" t="s">
        <v>6612</v>
      </c>
      <c r="D20" s="1" t="s">
        <v>6613</v>
      </c>
    </row>
    <row r="21" spans="1:4" x14ac:dyDescent="0.25">
      <c r="A21" s="1" t="s">
        <v>51</v>
      </c>
      <c r="B21" s="1" t="s">
        <v>6614</v>
      </c>
      <c r="C21" s="1" t="s">
        <v>6615</v>
      </c>
      <c r="D21" s="1" t="s">
        <v>6616</v>
      </c>
    </row>
    <row r="22" spans="1:4" x14ac:dyDescent="0.25">
      <c r="A22" s="1" t="s">
        <v>54</v>
      </c>
      <c r="B22" s="1" t="s">
        <v>6617</v>
      </c>
      <c r="C22" s="1" t="s">
        <v>6618</v>
      </c>
      <c r="D22" s="1" t="s">
        <v>6619</v>
      </c>
    </row>
    <row r="23" spans="1:4" x14ac:dyDescent="0.25">
      <c r="A23" s="1" t="s">
        <v>56</v>
      </c>
      <c r="B23" s="1" t="s">
        <v>6620</v>
      </c>
      <c r="C23" s="1" t="s">
        <v>6621</v>
      </c>
      <c r="D23" s="1" t="s">
        <v>6622</v>
      </c>
    </row>
    <row r="24" spans="1:4" x14ac:dyDescent="0.25">
      <c r="A24" s="1" t="s">
        <v>58</v>
      </c>
      <c r="B24" s="1" t="s">
        <v>6623</v>
      </c>
      <c r="C24" s="1" t="s">
        <v>6624</v>
      </c>
      <c r="D24" s="1" t="s">
        <v>6625</v>
      </c>
    </row>
    <row r="25" spans="1:4" x14ac:dyDescent="0.25">
      <c r="A25" s="1" t="s">
        <v>60</v>
      </c>
      <c r="B25" s="1" t="s">
        <v>6626</v>
      </c>
      <c r="C25" s="1" t="s">
        <v>6627</v>
      </c>
      <c r="D25" s="1" t="s">
        <v>6628</v>
      </c>
    </row>
    <row r="26" spans="1:4" x14ac:dyDescent="0.25">
      <c r="A26" s="1" t="s">
        <v>62</v>
      </c>
      <c r="B26" s="1" t="s">
        <v>6629</v>
      </c>
      <c r="C26" s="1" t="s">
        <v>6630</v>
      </c>
      <c r="D26" s="1" t="s">
        <v>6631</v>
      </c>
    </row>
    <row r="27" spans="1:4" x14ac:dyDescent="0.25">
      <c r="A27" s="1" t="s">
        <v>65</v>
      </c>
      <c r="B27" s="1" t="s">
        <v>6632</v>
      </c>
      <c r="C27" s="1" t="s">
        <v>6633</v>
      </c>
      <c r="D27" s="1" t="s">
        <v>6634</v>
      </c>
    </row>
    <row r="28" spans="1:4" x14ac:dyDescent="0.25">
      <c r="A28" s="1" t="s">
        <v>67</v>
      </c>
      <c r="B28" s="1" t="s">
        <v>6635</v>
      </c>
      <c r="C28" s="1" t="s">
        <v>6636</v>
      </c>
      <c r="D28" s="1" t="s">
        <v>6637</v>
      </c>
    </row>
    <row r="29" spans="1:4" x14ac:dyDescent="0.25">
      <c r="A29" s="1" t="s">
        <v>69</v>
      </c>
      <c r="B29" s="1" t="s">
        <v>6638</v>
      </c>
      <c r="C29" s="1" t="s">
        <v>6639</v>
      </c>
      <c r="D29" s="1" t="s">
        <v>6640</v>
      </c>
    </row>
    <row r="30" spans="1:4" x14ac:dyDescent="0.25">
      <c r="A30" s="1" t="s">
        <v>71</v>
      </c>
      <c r="B30" s="1" t="s">
        <v>6641</v>
      </c>
      <c r="C30" s="1" t="s">
        <v>6642</v>
      </c>
      <c r="D30" s="1" t="s">
        <v>6643</v>
      </c>
    </row>
    <row r="31" spans="1:4" x14ac:dyDescent="0.25">
      <c r="A31" s="1" t="s">
        <v>73</v>
      </c>
      <c r="B31" s="1" t="s">
        <v>6644</v>
      </c>
      <c r="C31" s="1" t="s">
        <v>6645</v>
      </c>
      <c r="D31" s="1" t="s">
        <v>6646</v>
      </c>
    </row>
    <row r="32" spans="1:4" x14ac:dyDescent="0.25">
      <c r="A32" s="1" t="s">
        <v>75</v>
      </c>
      <c r="B32" s="1" t="s">
        <v>6647</v>
      </c>
      <c r="C32" s="1" t="s">
        <v>6648</v>
      </c>
      <c r="D32" s="1" t="s">
        <v>6649</v>
      </c>
    </row>
    <row r="33" spans="1:4" x14ac:dyDescent="0.25">
      <c r="A33" s="1" t="s">
        <v>77</v>
      </c>
      <c r="B33" s="1" t="s">
        <v>6650</v>
      </c>
      <c r="C33" s="1" t="s">
        <v>6651</v>
      </c>
      <c r="D33" s="1" t="s">
        <v>6652</v>
      </c>
    </row>
    <row r="34" spans="1:4" x14ac:dyDescent="0.25">
      <c r="A34" s="1" t="s">
        <v>79</v>
      </c>
      <c r="B34" s="1" t="s">
        <v>6653</v>
      </c>
      <c r="C34" s="1" t="s">
        <v>6654</v>
      </c>
      <c r="D34" s="1" t="s">
        <v>6655</v>
      </c>
    </row>
    <row r="35" spans="1:4" x14ac:dyDescent="0.25">
      <c r="A35" s="1" t="s">
        <v>81</v>
      </c>
      <c r="B35" s="1" t="s">
        <v>6656</v>
      </c>
      <c r="C35" s="1" t="s">
        <v>6657</v>
      </c>
      <c r="D35" s="1" t="s">
        <v>6658</v>
      </c>
    </row>
    <row r="36" spans="1:4" x14ac:dyDescent="0.25">
      <c r="A36" s="1" t="s">
        <v>83</v>
      </c>
      <c r="B36" s="1" t="s">
        <v>6659</v>
      </c>
      <c r="C36" s="1" t="s">
        <v>6660</v>
      </c>
      <c r="D36" s="1" t="s">
        <v>6661</v>
      </c>
    </row>
    <row r="37" spans="1:4" x14ac:dyDescent="0.25">
      <c r="A37" s="1" t="s">
        <v>85</v>
      </c>
      <c r="B37" s="1" t="s">
        <v>6662</v>
      </c>
      <c r="C37" s="1" t="s">
        <v>6663</v>
      </c>
      <c r="D37" s="1" t="s">
        <v>6664</v>
      </c>
    </row>
    <row r="38" spans="1:4" x14ac:dyDescent="0.25">
      <c r="A38" s="1" t="s">
        <v>87</v>
      </c>
      <c r="B38" s="1" t="s">
        <v>6665</v>
      </c>
      <c r="C38" s="1" t="s">
        <v>6666</v>
      </c>
      <c r="D38" s="1" t="s">
        <v>6667</v>
      </c>
    </row>
    <row r="39" spans="1:4" x14ac:dyDescent="0.25">
      <c r="A39" s="1" t="s">
        <v>89</v>
      </c>
      <c r="B39" s="1" t="s">
        <v>6668</v>
      </c>
      <c r="C39" s="1" t="s">
        <v>6669</v>
      </c>
      <c r="D39" s="1" t="s">
        <v>6670</v>
      </c>
    </row>
    <row r="40" spans="1:4" x14ac:dyDescent="0.25">
      <c r="A40" s="1" t="s">
        <v>91</v>
      </c>
      <c r="B40" s="1" t="s">
        <v>6671</v>
      </c>
      <c r="C40" s="1" t="s">
        <v>6672</v>
      </c>
      <c r="D40" s="1" t="s">
        <v>6673</v>
      </c>
    </row>
    <row r="41" spans="1:4" x14ac:dyDescent="0.25">
      <c r="A41" s="1" t="s">
        <v>93</v>
      </c>
      <c r="B41" s="1" t="s">
        <v>6674</v>
      </c>
      <c r="C41" s="1" t="s">
        <v>6675</v>
      </c>
      <c r="D41" s="1" t="s">
        <v>6676</v>
      </c>
    </row>
    <row r="42" spans="1:4" x14ac:dyDescent="0.25">
      <c r="A42" s="1" t="s">
        <v>95</v>
      </c>
      <c r="B42" s="1" t="s">
        <v>6677</v>
      </c>
      <c r="C42" s="1" t="s">
        <v>6678</v>
      </c>
      <c r="D42" s="1" t="s">
        <v>6679</v>
      </c>
    </row>
    <row r="43" spans="1:4" x14ac:dyDescent="0.25">
      <c r="A43" s="1" t="s">
        <v>97</v>
      </c>
      <c r="B43" s="1" t="s">
        <v>6680</v>
      </c>
      <c r="C43" s="1" t="s">
        <v>6681</v>
      </c>
      <c r="D43" s="1" t="s">
        <v>6682</v>
      </c>
    </row>
    <row r="44" spans="1:4" x14ac:dyDescent="0.25">
      <c r="A44" s="1" t="s">
        <v>99</v>
      </c>
      <c r="B44" s="1" t="s">
        <v>6683</v>
      </c>
      <c r="C44" s="1" t="s">
        <v>6684</v>
      </c>
      <c r="D44" s="1" t="s">
        <v>6685</v>
      </c>
    </row>
    <row r="45" spans="1:4" x14ac:dyDescent="0.25">
      <c r="A45" s="1" t="s">
        <v>101</v>
      </c>
      <c r="B45" s="1" t="s">
        <v>6686</v>
      </c>
      <c r="C45" s="1" t="s">
        <v>6687</v>
      </c>
      <c r="D45" s="1" t="s">
        <v>6688</v>
      </c>
    </row>
    <row r="46" spans="1:4" x14ac:dyDescent="0.25">
      <c r="A46" s="1" t="s">
        <v>103</v>
      </c>
      <c r="B46" s="1" t="s">
        <v>6689</v>
      </c>
      <c r="C46" s="1" t="s">
        <v>6690</v>
      </c>
      <c r="D46" s="1" t="s">
        <v>6691</v>
      </c>
    </row>
    <row r="47" spans="1:4" x14ac:dyDescent="0.25">
      <c r="A47" s="1" t="s">
        <v>105</v>
      </c>
      <c r="B47" s="1" t="s">
        <v>6692</v>
      </c>
      <c r="C47" s="1" t="s">
        <v>6693</v>
      </c>
      <c r="D47" s="1" t="s">
        <v>6694</v>
      </c>
    </row>
    <row r="48" spans="1:4" x14ac:dyDescent="0.25">
      <c r="A48" s="1" t="s">
        <v>107</v>
      </c>
      <c r="B48" s="1" t="s">
        <v>6695</v>
      </c>
      <c r="C48" s="1" t="s">
        <v>6696</v>
      </c>
      <c r="D48" s="1" t="s">
        <v>6697</v>
      </c>
    </row>
    <row r="49" spans="1:4" x14ac:dyDescent="0.25">
      <c r="A49" s="1" t="s">
        <v>109</v>
      </c>
      <c r="B49" s="1" t="s">
        <v>6698</v>
      </c>
      <c r="C49" s="1" t="s">
        <v>6699</v>
      </c>
      <c r="D49" s="1" t="s">
        <v>6700</v>
      </c>
    </row>
    <row r="50" spans="1:4" x14ac:dyDescent="0.25">
      <c r="A50" s="1" t="s">
        <v>111</v>
      </c>
      <c r="B50" s="1" t="s">
        <v>6701</v>
      </c>
      <c r="C50" s="1" t="s">
        <v>6702</v>
      </c>
      <c r="D50" s="1" t="s">
        <v>6703</v>
      </c>
    </row>
    <row r="51" spans="1:4" x14ac:dyDescent="0.25">
      <c r="A51" s="1" t="s">
        <v>113</v>
      </c>
      <c r="B51" s="1" t="s">
        <v>6704</v>
      </c>
      <c r="C51" s="1" t="s">
        <v>6705</v>
      </c>
      <c r="D51" s="1" t="s">
        <v>6706</v>
      </c>
    </row>
    <row r="52" spans="1:4" x14ac:dyDescent="0.25">
      <c r="A52" s="1" t="s">
        <v>115</v>
      </c>
      <c r="B52" s="1" t="s">
        <v>6707</v>
      </c>
      <c r="C52" s="1" t="s">
        <v>6708</v>
      </c>
      <c r="D52" s="1" t="s">
        <v>6709</v>
      </c>
    </row>
    <row r="53" spans="1:4" x14ac:dyDescent="0.25">
      <c r="A53" s="1" t="s">
        <v>117</v>
      </c>
      <c r="B53" s="1" t="s">
        <v>6710</v>
      </c>
      <c r="C53" s="1" t="s">
        <v>6711</v>
      </c>
      <c r="D53" s="1" t="s">
        <v>6712</v>
      </c>
    </row>
    <row r="54" spans="1:4" x14ac:dyDescent="0.25">
      <c r="A54" s="1" t="s">
        <v>119</v>
      </c>
      <c r="B54" s="1" t="s">
        <v>6713</v>
      </c>
      <c r="C54" s="1" t="s">
        <v>6714</v>
      </c>
      <c r="D54" s="1" t="s">
        <v>6715</v>
      </c>
    </row>
    <row r="55" spans="1:4" x14ac:dyDescent="0.25">
      <c r="A55" s="1" t="s">
        <v>121</v>
      </c>
      <c r="B55" s="1" t="s">
        <v>6716</v>
      </c>
      <c r="C55" s="1" t="s">
        <v>6717</v>
      </c>
      <c r="D55" s="1" t="s">
        <v>6718</v>
      </c>
    </row>
    <row r="56" spans="1:4" x14ac:dyDescent="0.25">
      <c r="A56" s="1" t="s">
        <v>123</v>
      </c>
      <c r="B56" s="1" t="s">
        <v>6719</v>
      </c>
      <c r="C56" s="1" t="s">
        <v>6720</v>
      </c>
      <c r="D56" s="1" t="s">
        <v>6721</v>
      </c>
    </row>
    <row r="57" spans="1:4" x14ac:dyDescent="0.25">
      <c r="A57" s="1" t="s">
        <v>125</v>
      </c>
      <c r="B57" s="1" t="s">
        <v>6722</v>
      </c>
      <c r="C57" s="1" t="s">
        <v>6723</v>
      </c>
      <c r="D57" s="1" t="s">
        <v>6724</v>
      </c>
    </row>
    <row r="58" spans="1:4" x14ac:dyDescent="0.25">
      <c r="A58" s="1" t="s">
        <v>127</v>
      </c>
      <c r="B58" s="1" t="s">
        <v>6725</v>
      </c>
      <c r="C58" s="1" t="s">
        <v>6726</v>
      </c>
      <c r="D58" s="1" t="s">
        <v>6727</v>
      </c>
    </row>
    <row r="59" spans="1:4" x14ac:dyDescent="0.25">
      <c r="A59" s="1" t="s">
        <v>129</v>
      </c>
      <c r="B59" s="1" t="s">
        <v>6728</v>
      </c>
      <c r="C59" s="1" t="s">
        <v>6729</v>
      </c>
      <c r="D59" s="1" t="s">
        <v>6730</v>
      </c>
    </row>
    <row r="60" spans="1:4" x14ac:dyDescent="0.25">
      <c r="A60" s="1" t="s">
        <v>131</v>
      </c>
      <c r="B60" s="1" t="s">
        <v>6731</v>
      </c>
      <c r="C60" s="1" t="s">
        <v>6732</v>
      </c>
      <c r="D60" s="1" t="s">
        <v>6733</v>
      </c>
    </row>
    <row r="61" spans="1:4" x14ac:dyDescent="0.25">
      <c r="A61" s="1" t="s">
        <v>133</v>
      </c>
      <c r="B61" s="1" t="s">
        <v>6734</v>
      </c>
      <c r="C61" s="1" t="s">
        <v>6735</v>
      </c>
      <c r="D61" s="1" t="s">
        <v>6736</v>
      </c>
    </row>
    <row r="62" spans="1:4" x14ac:dyDescent="0.25">
      <c r="A62" s="1" t="s">
        <v>135</v>
      </c>
      <c r="B62" s="1" t="s">
        <v>6737</v>
      </c>
      <c r="C62" s="1" t="s">
        <v>6738</v>
      </c>
      <c r="D62" s="1" t="s">
        <v>6739</v>
      </c>
    </row>
    <row r="63" spans="1:4" x14ac:dyDescent="0.25">
      <c r="A63" s="1" t="s">
        <v>137</v>
      </c>
      <c r="B63" s="1" t="s">
        <v>6740</v>
      </c>
      <c r="C63" s="1" t="s">
        <v>6741</v>
      </c>
      <c r="D63" s="1" t="s">
        <v>6742</v>
      </c>
    </row>
    <row r="64" spans="1:4" x14ac:dyDescent="0.25">
      <c r="A64" s="1" t="s">
        <v>139</v>
      </c>
      <c r="B64" s="1" t="s">
        <v>6743</v>
      </c>
      <c r="C64" s="1" t="s">
        <v>6744</v>
      </c>
      <c r="D64" s="1" t="s">
        <v>6745</v>
      </c>
    </row>
    <row r="65" spans="1:4" x14ac:dyDescent="0.25">
      <c r="A65" s="1" t="s">
        <v>141</v>
      </c>
      <c r="B65" s="1" t="s">
        <v>6746</v>
      </c>
      <c r="C65" s="1" t="s">
        <v>6747</v>
      </c>
      <c r="D65" s="1" t="s">
        <v>6748</v>
      </c>
    </row>
    <row r="66" spans="1:4" x14ac:dyDescent="0.25">
      <c r="A66" s="1" t="s">
        <v>143</v>
      </c>
      <c r="B66" s="1" t="s">
        <v>6749</v>
      </c>
      <c r="C66" s="1" t="s">
        <v>6750</v>
      </c>
      <c r="D66" s="1" t="s">
        <v>6751</v>
      </c>
    </row>
    <row r="67" spans="1:4" x14ac:dyDescent="0.25">
      <c r="A67" s="1" t="s">
        <v>145</v>
      </c>
      <c r="B67" s="1" t="s">
        <v>6752</v>
      </c>
      <c r="C67" s="1" t="s">
        <v>6753</v>
      </c>
      <c r="D67" s="1" t="s">
        <v>6754</v>
      </c>
    </row>
    <row r="68" spans="1:4" x14ac:dyDescent="0.25">
      <c r="A68" s="1" t="s">
        <v>147</v>
      </c>
      <c r="B68" s="1" t="s">
        <v>6755</v>
      </c>
      <c r="C68" s="1" t="s">
        <v>6756</v>
      </c>
      <c r="D68" s="1" t="s">
        <v>6757</v>
      </c>
    </row>
    <row r="69" spans="1:4" x14ac:dyDescent="0.25">
      <c r="A69" s="1" t="s">
        <v>149</v>
      </c>
      <c r="B69" s="1" t="s">
        <v>6758</v>
      </c>
      <c r="C69" s="1" t="s">
        <v>6759</v>
      </c>
      <c r="D69" s="1" t="s">
        <v>6760</v>
      </c>
    </row>
    <row r="70" spans="1:4" x14ac:dyDescent="0.25">
      <c r="A70" s="1" t="s">
        <v>151</v>
      </c>
      <c r="B70" s="1" t="s">
        <v>6761</v>
      </c>
      <c r="C70" s="1" t="s">
        <v>6762</v>
      </c>
      <c r="D70" s="1" t="s">
        <v>6763</v>
      </c>
    </row>
    <row r="71" spans="1:4" x14ac:dyDescent="0.25">
      <c r="A71" s="1" t="s">
        <v>153</v>
      </c>
      <c r="B71" s="1" t="s">
        <v>6764</v>
      </c>
      <c r="C71" s="1" t="s">
        <v>6765</v>
      </c>
      <c r="D71" s="1" t="s">
        <v>6766</v>
      </c>
    </row>
    <row r="72" spans="1:4" x14ac:dyDescent="0.25">
      <c r="A72" s="1" t="s">
        <v>155</v>
      </c>
      <c r="B72" s="1" t="s">
        <v>6767</v>
      </c>
      <c r="C72" s="1" t="s">
        <v>6768</v>
      </c>
      <c r="D72" s="1" t="s">
        <v>6769</v>
      </c>
    </row>
    <row r="73" spans="1:4" x14ac:dyDescent="0.25">
      <c r="A73" s="1" t="s">
        <v>157</v>
      </c>
      <c r="B73" s="1" t="s">
        <v>6770</v>
      </c>
      <c r="C73" s="1" t="s">
        <v>6771</v>
      </c>
      <c r="D73" s="1" t="s">
        <v>6772</v>
      </c>
    </row>
    <row r="74" spans="1:4" x14ac:dyDescent="0.25">
      <c r="A74" s="1" t="s">
        <v>159</v>
      </c>
      <c r="B74" s="1" t="s">
        <v>6773</v>
      </c>
      <c r="C74" s="1" t="s">
        <v>6774</v>
      </c>
      <c r="D74" s="1" t="s">
        <v>6775</v>
      </c>
    </row>
    <row r="75" spans="1:4" x14ac:dyDescent="0.25">
      <c r="A75" s="1" t="s">
        <v>161</v>
      </c>
      <c r="B75" s="1" t="s">
        <v>6776</v>
      </c>
      <c r="C75" s="1" t="s">
        <v>6777</v>
      </c>
      <c r="D75" s="1" t="s">
        <v>6778</v>
      </c>
    </row>
    <row r="76" spans="1:4" x14ac:dyDescent="0.25">
      <c r="A76" s="1" t="s">
        <v>163</v>
      </c>
      <c r="B76" s="1" t="s">
        <v>6779</v>
      </c>
      <c r="C76" s="1" t="s">
        <v>6780</v>
      </c>
      <c r="D76" s="1" t="s">
        <v>6781</v>
      </c>
    </row>
    <row r="77" spans="1:4" x14ac:dyDescent="0.25">
      <c r="A77" s="1" t="s">
        <v>165</v>
      </c>
      <c r="B77" s="1" t="s">
        <v>6782</v>
      </c>
      <c r="C77" s="1" t="s">
        <v>6783</v>
      </c>
      <c r="D77" s="1" t="s">
        <v>6784</v>
      </c>
    </row>
    <row r="78" spans="1:4" x14ac:dyDescent="0.25">
      <c r="A78" s="1" t="s">
        <v>167</v>
      </c>
      <c r="B78" s="1" t="s">
        <v>6785</v>
      </c>
      <c r="C78" s="1" t="s">
        <v>6786</v>
      </c>
      <c r="D78" s="1" t="s">
        <v>6787</v>
      </c>
    </row>
    <row r="79" spans="1:4" x14ac:dyDescent="0.25">
      <c r="A79" s="1" t="s">
        <v>169</v>
      </c>
      <c r="B79" s="1" t="s">
        <v>6788</v>
      </c>
      <c r="C79" s="1" t="s">
        <v>6789</v>
      </c>
      <c r="D79" s="1" t="s">
        <v>6790</v>
      </c>
    </row>
    <row r="80" spans="1:4" x14ac:dyDescent="0.25">
      <c r="A80" s="1" t="s">
        <v>171</v>
      </c>
      <c r="B80" s="1" t="s">
        <v>6791</v>
      </c>
      <c r="C80" s="1" t="s">
        <v>6792</v>
      </c>
      <c r="D80" s="1" t="s">
        <v>6793</v>
      </c>
    </row>
    <row r="81" spans="1:4" x14ac:dyDescent="0.25">
      <c r="A81" s="1" t="s">
        <v>173</v>
      </c>
      <c r="B81" s="1" t="s">
        <v>6794</v>
      </c>
      <c r="C81" s="1" t="s">
        <v>6795</v>
      </c>
      <c r="D81" s="1" t="s">
        <v>6796</v>
      </c>
    </row>
    <row r="82" spans="1:4" x14ac:dyDescent="0.25">
      <c r="A82" s="1" t="s">
        <v>175</v>
      </c>
      <c r="B82" s="1" t="s">
        <v>6797</v>
      </c>
      <c r="C82" s="1" t="s">
        <v>6798</v>
      </c>
      <c r="D82" s="1" t="s">
        <v>6799</v>
      </c>
    </row>
    <row r="83" spans="1:4" x14ac:dyDescent="0.25">
      <c r="A83" s="1" t="s">
        <v>177</v>
      </c>
      <c r="B83" s="1" t="s">
        <v>6800</v>
      </c>
      <c r="C83" s="1" t="s">
        <v>6801</v>
      </c>
      <c r="D83" s="1" t="s">
        <v>6802</v>
      </c>
    </row>
    <row r="84" spans="1:4" x14ac:dyDescent="0.25">
      <c r="A84" s="1" t="s">
        <v>179</v>
      </c>
      <c r="B84" s="1" t="s">
        <v>6803</v>
      </c>
      <c r="C84" s="1" t="s">
        <v>6804</v>
      </c>
      <c r="D84" s="1" t="s">
        <v>6805</v>
      </c>
    </row>
    <row r="85" spans="1:4" x14ac:dyDescent="0.25">
      <c r="A85" s="1" t="s">
        <v>181</v>
      </c>
      <c r="B85" s="1" t="s">
        <v>6806</v>
      </c>
      <c r="C85" s="1" t="s">
        <v>6807</v>
      </c>
      <c r="D85" s="1" t="s">
        <v>6808</v>
      </c>
    </row>
    <row r="86" spans="1:4" x14ac:dyDescent="0.25">
      <c r="A86" s="1" t="s">
        <v>183</v>
      </c>
      <c r="B86" s="1" t="s">
        <v>6809</v>
      </c>
      <c r="C86" s="1" t="s">
        <v>6810</v>
      </c>
      <c r="D86" s="1" t="s">
        <v>6811</v>
      </c>
    </row>
    <row r="87" spans="1:4" x14ac:dyDescent="0.25">
      <c r="A87" s="1" t="s">
        <v>185</v>
      </c>
      <c r="B87" s="1" t="s">
        <v>6812</v>
      </c>
      <c r="C87" s="1" t="s">
        <v>6813</v>
      </c>
      <c r="D87" s="1" t="s">
        <v>6814</v>
      </c>
    </row>
    <row r="88" spans="1:4" x14ac:dyDescent="0.25">
      <c r="A88" s="1" t="s">
        <v>187</v>
      </c>
      <c r="B88" s="1" t="s">
        <v>6815</v>
      </c>
      <c r="C88" s="1" t="s">
        <v>6816</v>
      </c>
      <c r="D88" s="1" t="s">
        <v>6817</v>
      </c>
    </row>
    <row r="89" spans="1:4" x14ac:dyDescent="0.25">
      <c r="A89" s="1" t="s">
        <v>189</v>
      </c>
      <c r="B89" s="1" t="s">
        <v>6818</v>
      </c>
      <c r="C89" s="1" t="s">
        <v>6819</v>
      </c>
      <c r="D89" s="1" t="s">
        <v>6820</v>
      </c>
    </row>
    <row r="90" spans="1:4" x14ac:dyDescent="0.25">
      <c r="A90" s="1" t="s">
        <v>191</v>
      </c>
      <c r="B90" s="1" t="s">
        <v>6821</v>
      </c>
      <c r="C90" s="1" t="s">
        <v>6822</v>
      </c>
      <c r="D90" s="1" t="s">
        <v>6823</v>
      </c>
    </row>
    <row r="91" spans="1:4" x14ac:dyDescent="0.25">
      <c r="A91" s="1" t="s">
        <v>193</v>
      </c>
      <c r="B91" s="1" t="s">
        <v>6824</v>
      </c>
      <c r="C91" s="1" t="s">
        <v>6825</v>
      </c>
      <c r="D91" s="1" t="s">
        <v>6826</v>
      </c>
    </row>
    <row r="92" spans="1:4" x14ac:dyDescent="0.25">
      <c r="A92" s="1" t="s">
        <v>195</v>
      </c>
      <c r="B92" s="1" t="s">
        <v>6827</v>
      </c>
      <c r="C92" s="1" t="s">
        <v>6828</v>
      </c>
      <c r="D92" s="1" t="s">
        <v>6829</v>
      </c>
    </row>
    <row r="93" spans="1:4" x14ac:dyDescent="0.25">
      <c r="A93" s="1" t="s">
        <v>197</v>
      </c>
      <c r="B93" s="1" t="s">
        <v>6830</v>
      </c>
      <c r="C93" s="1" t="s">
        <v>6831</v>
      </c>
      <c r="D93" s="1" t="s">
        <v>6832</v>
      </c>
    </row>
    <row r="94" spans="1:4" x14ac:dyDescent="0.25">
      <c r="A94" s="1" t="s">
        <v>199</v>
      </c>
      <c r="B94" s="1" t="s">
        <v>6833</v>
      </c>
      <c r="C94" s="1" t="s">
        <v>6834</v>
      </c>
      <c r="D94" s="1" t="s">
        <v>6835</v>
      </c>
    </row>
    <row r="95" spans="1:4" x14ac:dyDescent="0.25">
      <c r="A95" s="1" t="s">
        <v>201</v>
      </c>
      <c r="B95" s="1" t="s">
        <v>6836</v>
      </c>
      <c r="C95" s="1" t="s">
        <v>6837</v>
      </c>
      <c r="D95" s="1" t="s">
        <v>6838</v>
      </c>
    </row>
    <row r="96" spans="1:4" x14ac:dyDescent="0.25">
      <c r="A96" s="1" t="s">
        <v>203</v>
      </c>
      <c r="B96" s="1" t="s">
        <v>6839</v>
      </c>
      <c r="C96" s="1" t="s">
        <v>6840</v>
      </c>
      <c r="D96" s="1" t="s">
        <v>6841</v>
      </c>
    </row>
    <row r="97" spans="1:4" x14ac:dyDescent="0.25">
      <c r="A97" s="1" t="s">
        <v>205</v>
      </c>
      <c r="B97" s="1" t="s">
        <v>6842</v>
      </c>
      <c r="C97" s="1" t="s">
        <v>6843</v>
      </c>
      <c r="D97" s="1" t="s">
        <v>6844</v>
      </c>
    </row>
    <row r="98" spans="1:4" x14ac:dyDescent="0.25">
      <c r="A98" s="1" t="s">
        <v>207</v>
      </c>
      <c r="B98" s="1" t="s">
        <v>6845</v>
      </c>
      <c r="C98" s="1" t="s">
        <v>6846</v>
      </c>
      <c r="D98" s="1" t="s">
        <v>6847</v>
      </c>
    </row>
    <row r="99" spans="1:4" x14ac:dyDescent="0.25">
      <c r="A99" s="1" t="s">
        <v>209</v>
      </c>
      <c r="B99" s="1" t="s">
        <v>6848</v>
      </c>
      <c r="C99" s="1" t="s">
        <v>6849</v>
      </c>
      <c r="D99" s="1" t="s">
        <v>6850</v>
      </c>
    </row>
    <row r="100" spans="1:4" x14ac:dyDescent="0.25">
      <c r="A100" s="1" t="s">
        <v>211</v>
      </c>
      <c r="B100" s="1" t="s">
        <v>6851</v>
      </c>
      <c r="C100" s="1" t="s">
        <v>6852</v>
      </c>
      <c r="D100" s="1" t="s">
        <v>6853</v>
      </c>
    </row>
    <row r="101" spans="1:4" x14ac:dyDescent="0.25">
      <c r="A101" s="1" t="s">
        <v>213</v>
      </c>
      <c r="B101" s="1" t="s">
        <v>6854</v>
      </c>
      <c r="C101" s="1" t="s">
        <v>6855</v>
      </c>
      <c r="D101" s="1" t="s">
        <v>6856</v>
      </c>
    </row>
    <row r="102" spans="1:4" x14ac:dyDescent="0.25">
      <c r="A102" s="1" t="s">
        <v>215</v>
      </c>
      <c r="B102" s="1" t="s">
        <v>6857</v>
      </c>
      <c r="C102" s="1" t="s">
        <v>6858</v>
      </c>
      <c r="D102" s="1" t="s">
        <v>6859</v>
      </c>
    </row>
    <row r="103" spans="1:4" x14ac:dyDescent="0.25">
      <c r="A103" s="1" t="s">
        <v>217</v>
      </c>
      <c r="B103" s="1" t="s">
        <v>6860</v>
      </c>
      <c r="C103" s="1" t="s">
        <v>6861</v>
      </c>
      <c r="D103" s="1" t="s">
        <v>6862</v>
      </c>
    </row>
    <row r="104" spans="1:4" x14ac:dyDescent="0.25">
      <c r="A104" s="1" t="s">
        <v>219</v>
      </c>
      <c r="B104" s="1" t="s">
        <v>6863</v>
      </c>
      <c r="C104" s="1" t="s">
        <v>6864</v>
      </c>
      <c r="D104" s="1" t="s">
        <v>6865</v>
      </c>
    </row>
    <row r="105" spans="1:4" x14ac:dyDescent="0.25">
      <c r="A105" s="1" t="s">
        <v>221</v>
      </c>
      <c r="B105" s="1" t="s">
        <v>6866</v>
      </c>
      <c r="C105" s="1" t="s">
        <v>6867</v>
      </c>
      <c r="D105" s="1" t="s">
        <v>6868</v>
      </c>
    </row>
    <row r="106" spans="1:4" x14ac:dyDescent="0.25">
      <c r="A106" s="1" t="s">
        <v>223</v>
      </c>
      <c r="B106" s="1" t="s">
        <v>6869</v>
      </c>
      <c r="C106" s="1" t="s">
        <v>6870</v>
      </c>
      <c r="D106" s="1" t="s">
        <v>6871</v>
      </c>
    </row>
    <row r="107" spans="1:4" x14ac:dyDescent="0.25">
      <c r="A107" s="1" t="s">
        <v>225</v>
      </c>
      <c r="B107" s="1" t="s">
        <v>6872</v>
      </c>
      <c r="C107" s="1" t="s">
        <v>6873</v>
      </c>
      <c r="D107" s="1" t="s">
        <v>6874</v>
      </c>
    </row>
    <row r="108" spans="1:4" x14ac:dyDescent="0.25">
      <c r="A108" s="1" t="s">
        <v>227</v>
      </c>
      <c r="B108" s="1" t="s">
        <v>6875</v>
      </c>
      <c r="C108" s="1" t="s">
        <v>6876</v>
      </c>
      <c r="D108" s="1" t="s">
        <v>6877</v>
      </c>
    </row>
    <row r="109" spans="1:4" x14ac:dyDescent="0.25">
      <c r="A109" s="1" t="s">
        <v>229</v>
      </c>
      <c r="B109" s="1" t="s">
        <v>6878</v>
      </c>
      <c r="C109" s="1" t="s">
        <v>6879</v>
      </c>
      <c r="D109" s="1" t="s">
        <v>6880</v>
      </c>
    </row>
    <row r="110" spans="1:4" x14ac:dyDescent="0.25">
      <c r="A110" s="1" t="s">
        <v>231</v>
      </c>
      <c r="B110" s="1" t="s">
        <v>6881</v>
      </c>
      <c r="C110" s="1" t="s">
        <v>6882</v>
      </c>
      <c r="D110" s="1" t="s">
        <v>6883</v>
      </c>
    </row>
    <row r="111" spans="1:4" x14ac:dyDescent="0.25">
      <c r="A111" s="1" t="s">
        <v>233</v>
      </c>
      <c r="B111" s="1" t="s">
        <v>6884</v>
      </c>
      <c r="C111" s="1" t="s">
        <v>6885</v>
      </c>
      <c r="D111" s="1" t="s">
        <v>6886</v>
      </c>
    </row>
    <row r="112" spans="1:4" x14ac:dyDescent="0.25">
      <c r="A112" s="1" t="s">
        <v>235</v>
      </c>
      <c r="B112" s="1" t="s">
        <v>6887</v>
      </c>
      <c r="C112" s="1" t="s">
        <v>6888</v>
      </c>
      <c r="D112" s="1" t="s">
        <v>6889</v>
      </c>
    </row>
    <row r="113" spans="1:4" x14ac:dyDescent="0.25">
      <c r="A113" s="1" t="s">
        <v>237</v>
      </c>
      <c r="B113" s="1" t="s">
        <v>6890</v>
      </c>
      <c r="C113" s="1" t="s">
        <v>6891</v>
      </c>
      <c r="D113" s="1" t="s">
        <v>6892</v>
      </c>
    </row>
    <row r="114" spans="1:4" x14ac:dyDescent="0.25">
      <c r="A114" s="1" t="s">
        <v>239</v>
      </c>
      <c r="B114" s="1" t="s">
        <v>6893</v>
      </c>
      <c r="C114" s="1" t="s">
        <v>6894</v>
      </c>
      <c r="D114" s="1" t="s">
        <v>6895</v>
      </c>
    </row>
    <row r="115" spans="1:4" x14ac:dyDescent="0.25">
      <c r="A115" s="1" t="s">
        <v>241</v>
      </c>
      <c r="B115" s="1" t="s">
        <v>6896</v>
      </c>
      <c r="C115" s="1" t="s">
        <v>6897</v>
      </c>
      <c r="D115" s="1" t="s">
        <v>6898</v>
      </c>
    </row>
    <row r="116" spans="1:4" x14ac:dyDescent="0.25">
      <c r="A116" s="1" t="s">
        <v>243</v>
      </c>
      <c r="B116" s="1" t="s">
        <v>6899</v>
      </c>
      <c r="C116" s="1" t="s">
        <v>6900</v>
      </c>
      <c r="D116" s="1" t="s">
        <v>6901</v>
      </c>
    </row>
    <row r="117" spans="1:4" x14ac:dyDescent="0.25">
      <c r="A117" s="1" t="s">
        <v>245</v>
      </c>
      <c r="B117" s="1" t="s">
        <v>6902</v>
      </c>
      <c r="C117" s="1" t="s">
        <v>6903</v>
      </c>
      <c r="D117" s="1" t="s">
        <v>6904</v>
      </c>
    </row>
    <row r="118" spans="1:4" x14ac:dyDescent="0.25">
      <c r="A118" s="1" t="s">
        <v>247</v>
      </c>
      <c r="B118" s="1" t="s">
        <v>6905</v>
      </c>
      <c r="C118" s="1" t="s">
        <v>6906</v>
      </c>
      <c r="D118" s="1" t="s">
        <v>6907</v>
      </c>
    </row>
    <row r="119" spans="1:4" x14ac:dyDescent="0.25">
      <c r="A119" s="1" t="s">
        <v>249</v>
      </c>
      <c r="B119" s="1" t="s">
        <v>6908</v>
      </c>
      <c r="C119" s="1" t="s">
        <v>6909</v>
      </c>
      <c r="D119" s="1" t="s">
        <v>6910</v>
      </c>
    </row>
    <row r="120" spans="1:4" x14ac:dyDescent="0.25">
      <c r="A120" s="1" t="s">
        <v>251</v>
      </c>
      <c r="B120" s="1" t="s">
        <v>6911</v>
      </c>
      <c r="C120" s="1" t="s">
        <v>6912</v>
      </c>
      <c r="D120" s="1" t="s">
        <v>6913</v>
      </c>
    </row>
    <row r="121" spans="1:4" x14ac:dyDescent="0.25">
      <c r="A121" s="1" t="s">
        <v>253</v>
      </c>
      <c r="B121" s="1" t="s">
        <v>6914</v>
      </c>
      <c r="C121" s="1" t="s">
        <v>6915</v>
      </c>
      <c r="D121" s="1" t="s">
        <v>6916</v>
      </c>
    </row>
    <row r="122" spans="1:4" x14ac:dyDescent="0.25">
      <c r="A122" s="1" t="s">
        <v>255</v>
      </c>
      <c r="B122" s="1" t="s">
        <v>6917</v>
      </c>
      <c r="C122" s="1" t="s">
        <v>6918</v>
      </c>
      <c r="D122" s="1" t="s">
        <v>6919</v>
      </c>
    </row>
    <row r="123" spans="1:4" x14ac:dyDescent="0.25">
      <c r="A123" s="1" t="s">
        <v>257</v>
      </c>
      <c r="B123" s="1" t="s">
        <v>6920</v>
      </c>
      <c r="C123" s="1" t="s">
        <v>6921</v>
      </c>
      <c r="D123" s="1" t="s">
        <v>6922</v>
      </c>
    </row>
    <row r="124" spans="1:4" x14ac:dyDescent="0.25">
      <c r="A124" s="1" t="s">
        <v>259</v>
      </c>
      <c r="B124" s="1" t="s">
        <v>6923</v>
      </c>
      <c r="C124" s="1" t="s">
        <v>6924</v>
      </c>
      <c r="D124" s="1" t="s">
        <v>6925</v>
      </c>
    </row>
    <row r="125" spans="1:4" x14ac:dyDescent="0.25">
      <c r="A125" s="1" t="s">
        <v>261</v>
      </c>
      <c r="B125" s="1" t="s">
        <v>6926</v>
      </c>
      <c r="C125" s="1" t="s">
        <v>6927</v>
      </c>
      <c r="D125" s="1" t="s">
        <v>6928</v>
      </c>
    </row>
    <row r="126" spans="1:4" x14ac:dyDescent="0.25">
      <c r="A126" s="1" t="s">
        <v>263</v>
      </c>
      <c r="B126" s="1" t="s">
        <v>6929</v>
      </c>
      <c r="C126" s="1" t="s">
        <v>6930</v>
      </c>
      <c r="D126" s="1" t="s">
        <v>6931</v>
      </c>
    </row>
    <row r="127" spans="1:4" x14ac:dyDescent="0.25">
      <c r="A127" s="1" t="s">
        <v>265</v>
      </c>
      <c r="B127" s="1" t="s">
        <v>6932</v>
      </c>
      <c r="C127" s="1" t="s">
        <v>6933</v>
      </c>
      <c r="D127" s="1" t="s">
        <v>6934</v>
      </c>
    </row>
    <row r="128" spans="1:4" x14ac:dyDescent="0.25">
      <c r="A128" s="1" t="s">
        <v>267</v>
      </c>
      <c r="B128" s="1" t="s">
        <v>6935</v>
      </c>
      <c r="C128" s="1" t="s">
        <v>6936</v>
      </c>
      <c r="D128" s="1" t="s">
        <v>6937</v>
      </c>
    </row>
    <row r="129" spans="1:4" x14ac:dyDescent="0.25">
      <c r="A129" s="1" t="s">
        <v>269</v>
      </c>
      <c r="B129" s="1" t="s">
        <v>6938</v>
      </c>
      <c r="C129" s="1" t="s">
        <v>6939</v>
      </c>
      <c r="D129" s="1" t="s">
        <v>6940</v>
      </c>
    </row>
    <row r="130" spans="1:4" x14ac:dyDescent="0.25">
      <c r="A130" s="1" t="s">
        <v>271</v>
      </c>
      <c r="B130" s="1" t="s">
        <v>6941</v>
      </c>
      <c r="C130" s="1" t="s">
        <v>6942</v>
      </c>
      <c r="D130" s="1" t="s">
        <v>6943</v>
      </c>
    </row>
    <row r="131" spans="1:4" x14ac:dyDescent="0.25">
      <c r="A131" s="1" t="s">
        <v>273</v>
      </c>
      <c r="B131" s="1" t="s">
        <v>6944</v>
      </c>
      <c r="C131" s="1" t="s">
        <v>6945</v>
      </c>
      <c r="D131" s="1" t="s">
        <v>6946</v>
      </c>
    </row>
    <row r="132" spans="1:4" x14ac:dyDescent="0.25">
      <c r="A132" s="1" t="s">
        <v>275</v>
      </c>
      <c r="B132" s="1" t="s">
        <v>6947</v>
      </c>
      <c r="C132" s="1" t="s">
        <v>6948</v>
      </c>
      <c r="D132" s="1" t="s">
        <v>6949</v>
      </c>
    </row>
    <row r="133" spans="1:4" x14ac:dyDescent="0.25">
      <c r="A133" s="1" t="s">
        <v>277</v>
      </c>
      <c r="B133" s="1" t="s">
        <v>6950</v>
      </c>
      <c r="C133" s="1" t="s">
        <v>6951</v>
      </c>
      <c r="D133" s="1" t="s">
        <v>6952</v>
      </c>
    </row>
    <row r="134" spans="1:4" x14ac:dyDescent="0.25">
      <c r="A134" s="1" t="s">
        <v>279</v>
      </c>
      <c r="B134" s="1" t="s">
        <v>6953</v>
      </c>
      <c r="C134" s="1" t="s">
        <v>6954</v>
      </c>
      <c r="D134" s="1" t="s">
        <v>6955</v>
      </c>
    </row>
    <row r="135" spans="1:4" x14ac:dyDescent="0.25">
      <c r="A135" s="1" t="s">
        <v>281</v>
      </c>
      <c r="B135" s="1" t="s">
        <v>6956</v>
      </c>
      <c r="C135" s="1" t="s">
        <v>6957</v>
      </c>
      <c r="D135" s="1" t="s">
        <v>6958</v>
      </c>
    </row>
    <row r="136" spans="1:4" x14ac:dyDescent="0.25">
      <c r="A136" s="1" t="s">
        <v>283</v>
      </c>
      <c r="B136" s="1" t="s">
        <v>6959</v>
      </c>
      <c r="C136" s="1" t="s">
        <v>6960</v>
      </c>
      <c r="D136" s="1" t="s">
        <v>6961</v>
      </c>
    </row>
    <row r="137" spans="1:4" x14ac:dyDescent="0.25">
      <c r="A137" s="1" t="s">
        <v>285</v>
      </c>
      <c r="B137" s="1" t="s">
        <v>6962</v>
      </c>
      <c r="C137" s="1" t="s">
        <v>6963</v>
      </c>
      <c r="D137" s="1" t="s">
        <v>6964</v>
      </c>
    </row>
    <row r="138" spans="1:4" x14ac:dyDescent="0.25">
      <c r="A138" s="1" t="s">
        <v>287</v>
      </c>
      <c r="B138" s="1" t="s">
        <v>6965</v>
      </c>
      <c r="C138" s="1" t="s">
        <v>6966</v>
      </c>
      <c r="D138" s="1" t="s">
        <v>6967</v>
      </c>
    </row>
    <row r="139" spans="1:4" x14ac:dyDescent="0.25">
      <c r="A139" s="1" t="s">
        <v>289</v>
      </c>
      <c r="B139" s="1" t="s">
        <v>6968</v>
      </c>
      <c r="C139" s="1" t="s">
        <v>6969</v>
      </c>
      <c r="D139" s="1" t="s">
        <v>6970</v>
      </c>
    </row>
    <row r="140" spans="1:4" x14ac:dyDescent="0.25">
      <c r="A140" s="1" t="s">
        <v>291</v>
      </c>
      <c r="B140" s="1" t="s">
        <v>6971</v>
      </c>
      <c r="C140" s="1" t="s">
        <v>6972</v>
      </c>
      <c r="D140" s="1" t="s">
        <v>6973</v>
      </c>
    </row>
    <row r="141" spans="1:4" x14ac:dyDescent="0.25">
      <c r="A141" s="1" t="s">
        <v>293</v>
      </c>
      <c r="B141" s="1" t="s">
        <v>6974</v>
      </c>
      <c r="C141" s="1" t="s">
        <v>6975</v>
      </c>
      <c r="D141" s="1" t="s">
        <v>6976</v>
      </c>
    </row>
    <row r="142" spans="1:4" x14ac:dyDescent="0.25">
      <c r="A142" s="1" t="s">
        <v>295</v>
      </c>
      <c r="B142" s="1" t="s">
        <v>6977</v>
      </c>
      <c r="C142" s="1" t="s">
        <v>6978</v>
      </c>
      <c r="D142" s="1" t="s">
        <v>6979</v>
      </c>
    </row>
    <row r="143" spans="1:4" x14ac:dyDescent="0.25">
      <c r="A143" s="1" t="s">
        <v>297</v>
      </c>
      <c r="B143" s="1" t="s">
        <v>6980</v>
      </c>
      <c r="C143" s="1" t="s">
        <v>6981</v>
      </c>
      <c r="D143" s="1" t="s">
        <v>6982</v>
      </c>
    </row>
    <row r="144" spans="1:4" x14ac:dyDescent="0.25">
      <c r="A144" s="1" t="s">
        <v>299</v>
      </c>
      <c r="B144" s="1" t="s">
        <v>6983</v>
      </c>
      <c r="C144" s="1" t="s">
        <v>6984</v>
      </c>
      <c r="D144" s="1" t="s">
        <v>6985</v>
      </c>
    </row>
    <row r="145" spans="1:4" x14ac:dyDescent="0.25">
      <c r="A145" s="1" t="s">
        <v>301</v>
      </c>
      <c r="B145" s="1" t="s">
        <v>6986</v>
      </c>
      <c r="C145" s="1" t="s">
        <v>6987</v>
      </c>
      <c r="D145" s="1" t="s">
        <v>6988</v>
      </c>
    </row>
    <row r="146" spans="1:4" x14ac:dyDescent="0.25">
      <c r="A146" s="1" t="s">
        <v>303</v>
      </c>
      <c r="B146" s="1" t="s">
        <v>6989</v>
      </c>
      <c r="C146" s="1" t="s">
        <v>6990</v>
      </c>
      <c r="D146" s="1" t="s">
        <v>6991</v>
      </c>
    </row>
    <row r="147" spans="1:4" x14ac:dyDescent="0.25">
      <c r="A147" s="1" t="s">
        <v>305</v>
      </c>
      <c r="B147" s="1" t="s">
        <v>6992</v>
      </c>
      <c r="C147" s="1" t="s">
        <v>6993</v>
      </c>
      <c r="D147" s="1" t="s">
        <v>6994</v>
      </c>
    </row>
    <row r="148" spans="1:4" x14ac:dyDescent="0.25">
      <c r="A148" s="1" t="s">
        <v>307</v>
      </c>
      <c r="B148" s="1" t="s">
        <v>6995</v>
      </c>
      <c r="C148" s="1" t="s">
        <v>6996</v>
      </c>
      <c r="D148" s="1" t="s">
        <v>6997</v>
      </c>
    </row>
    <row r="149" spans="1:4" x14ac:dyDescent="0.25">
      <c r="A149" s="1" t="s">
        <v>309</v>
      </c>
      <c r="B149" s="1" t="s">
        <v>6998</v>
      </c>
      <c r="C149" s="1" t="s">
        <v>6999</v>
      </c>
      <c r="D149" s="1" t="s">
        <v>7000</v>
      </c>
    </row>
    <row r="150" spans="1:4" x14ac:dyDescent="0.25">
      <c r="A150" s="1" t="s">
        <v>311</v>
      </c>
      <c r="B150" s="1" t="s">
        <v>7001</v>
      </c>
      <c r="C150" s="1" t="s">
        <v>7002</v>
      </c>
      <c r="D150" s="1" t="s">
        <v>7003</v>
      </c>
    </row>
    <row r="151" spans="1:4" x14ac:dyDescent="0.25">
      <c r="A151" s="1" t="s">
        <v>313</v>
      </c>
      <c r="B151" s="1" t="s">
        <v>7004</v>
      </c>
      <c r="C151" s="1" t="s">
        <v>7005</v>
      </c>
      <c r="D151" s="1" t="s">
        <v>7006</v>
      </c>
    </row>
    <row r="152" spans="1:4" x14ac:dyDescent="0.25">
      <c r="A152" s="1" t="s">
        <v>315</v>
      </c>
      <c r="B152" s="1" t="s">
        <v>7007</v>
      </c>
      <c r="C152" s="1" t="s">
        <v>7008</v>
      </c>
      <c r="D152" s="1" t="s">
        <v>7009</v>
      </c>
    </row>
    <row r="153" spans="1:4" x14ac:dyDescent="0.25">
      <c r="A153" s="1" t="s">
        <v>317</v>
      </c>
      <c r="B153" s="1" t="s">
        <v>7010</v>
      </c>
      <c r="C153" s="1" t="s">
        <v>7011</v>
      </c>
      <c r="D153" s="1" t="s">
        <v>7012</v>
      </c>
    </row>
    <row r="154" spans="1:4" x14ac:dyDescent="0.25">
      <c r="A154" s="1" t="s">
        <v>319</v>
      </c>
      <c r="B154" s="1" t="s">
        <v>7013</v>
      </c>
      <c r="C154" s="1" t="s">
        <v>7014</v>
      </c>
      <c r="D154" s="1" t="s">
        <v>7015</v>
      </c>
    </row>
    <row r="155" spans="1:4" x14ac:dyDescent="0.25">
      <c r="A155" s="1" t="s">
        <v>321</v>
      </c>
      <c r="B155" s="1" t="s">
        <v>7016</v>
      </c>
      <c r="C155" s="1" t="s">
        <v>7017</v>
      </c>
      <c r="D155" s="1" t="s">
        <v>7018</v>
      </c>
    </row>
    <row r="156" spans="1:4" x14ac:dyDescent="0.25">
      <c r="A156" s="1" t="s">
        <v>323</v>
      </c>
      <c r="B156" s="1" t="s">
        <v>7019</v>
      </c>
      <c r="C156" s="1" t="s">
        <v>7020</v>
      </c>
      <c r="D156" s="1" t="s">
        <v>7021</v>
      </c>
    </row>
    <row r="157" spans="1:4" x14ac:dyDescent="0.25">
      <c r="A157" s="1" t="s">
        <v>325</v>
      </c>
      <c r="B157" s="1" t="s">
        <v>7022</v>
      </c>
      <c r="C157" s="1" t="s">
        <v>7023</v>
      </c>
      <c r="D157" s="1" t="s">
        <v>7024</v>
      </c>
    </row>
    <row r="158" spans="1:4" x14ac:dyDescent="0.25">
      <c r="A158" s="1" t="s">
        <v>327</v>
      </c>
      <c r="B158" s="1" t="s">
        <v>7025</v>
      </c>
      <c r="C158" s="1" t="s">
        <v>7026</v>
      </c>
      <c r="D158" s="1" t="s">
        <v>7027</v>
      </c>
    </row>
    <row r="159" spans="1:4" x14ac:dyDescent="0.25">
      <c r="A159" s="1" t="s">
        <v>329</v>
      </c>
      <c r="B159" s="1" t="s">
        <v>7028</v>
      </c>
      <c r="C159" s="1" t="s">
        <v>7029</v>
      </c>
      <c r="D159" s="1" t="s">
        <v>7030</v>
      </c>
    </row>
    <row r="160" spans="1:4" x14ac:dyDescent="0.25">
      <c r="A160" s="1" t="s">
        <v>331</v>
      </c>
      <c r="B160" s="1" t="s">
        <v>7031</v>
      </c>
      <c r="C160" s="1" t="s">
        <v>7032</v>
      </c>
      <c r="D160" s="1" t="s">
        <v>7033</v>
      </c>
    </row>
    <row r="161" spans="1:4" x14ac:dyDescent="0.25">
      <c r="A161" s="1" t="s">
        <v>333</v>
      </c>
      <c r="B161" s="1" t="s">
        <v>7034</v>
      </c>
      <c r="C161" s="1" t="s">
        <v>7035</v>
      </c>
      <c r="D161" s="1" t="s">
        <v>7036</v>
      </c>
    </row>
    <row r="162" spans="1:4" x14ac:dyDescent="0.25">
      <c r="A162" s="1" t="s">
        <v>335</v>
      </c>
      <c r="B162" s="1" t="s">
        <v>7037</v>
      </c>
      <c r="C162" s="1" t="s">
        <v>7038</v>
      </c>
      <c r="D162" s="1" t="s">
        <v>7039</v>
      </c>
    </row>
    <row r="163" spans="1:4" x14ac:dyDescent="0.25">
      <c r="A163" s="1" t="s">
        <v>337</v>
      </c>
      <c r="B163" s="1" t="s">
        <v>7040</v>
      </c>
      <c r="C163" s="1" t="s">
        <v>7041</v>
      </c>
      <c r="D163" s="1" t="s">
        <v>7042</v>
      </c>
    </row>
    <row r="164" spans="1:4" x14ac:dyDescent="0.25">
      <c r="A164" s="1" t="s">
        <v>339</v>
      </c>
      <c r="B164" s="1" t="s">
        <v>7043</v>
      </c>
      <c r="C164" s="1" t="s">
        <v>7044</v>
      </c>
      <c r="D164" s="1" t="s">
        <v>7045</v>
      </c>
    </row>
    <row r="165" spans="1:4" x14ac:dyDescent="0.25">
      <c r="A165" s="1" t="s">
        <v>341</v>
      </c>
      <c r="B165" s="1" t="s">
        <v>7046</v>
      </c>
      <c r="C165" s="1" t="s">
        <v>7047</v>
      </c>
      <c r="D165" s="1" t="s">
        <v>7048</v>
      </c>
    </row>
    <row r="166" spans="1:4" x14ac:dyDescent="0.25">
      <c r="A166" s="1" t="s">
        <v>343</v>
      </c>
      <c r="B166" s="1" t="s">
        <v>7049</v>
      </c>
      <c r="C166" s="1" t="s">
        <v>7050</v>
      </c>
      <c r="D166" s="1" t="s">
        <v>7051</v>
      </c>
    </row>
    <row r="167" spans="1:4" x14ac:dyDescent="0.25">
      <c r="A167" s="1" t="s">
        <v>345</v>
      </c>
      <c r="B167" s="1" t="s">
        <v>7052</v>
      </c>
      <c r="C167" s="1" t="s">
        <v>7053</v>
      </c>
      <c r="D167" s="1" t="s">
        <v>7054</v>
      </c>
    </row>
    <row r="168" spans="1:4" x14ac:dyDescent="0.25">
      <c r="A168" s="1" t="s">
        <v>347</v>
      </c>
      <c r="B168" s="1" t="s">
        <v>7055</v>
      </c>
      <c r="C168" s="1" t="s">
        <v>7056</v>
      </c>
      <c r="D168" s="1" t="s">
        <v>7057</v>
      </c>
    </row>
    <row r="169" spans="1:4" x14ac:dyDescent="0.25">
      <c r="A169" s="1" t="s">
        <v>349</v>
      </c>
      <c r="B169" s="1" t="s">
        <v>7058</v>
      </c>
      <c r="C169" s="1" t="s">
        <v>7059</v>
      </c>
      <c r="D169" s="1" t="s">
        <v>7060</v>
      </c>
    </row>
    <row r="170" spans="1:4" x14ac:dyDescent="0.25">
      <c r="A170" s="1" t="s">
        <v>351</v>
      </c>
      <c r="B170" s="1" t="s">
        <v>7061</v>
      </c>
      <c r="C170" s="1" t="s">
        <v>7062</v>
      </c>
      <c r="D170" s="1" t="s">
        <v>7063</v>
      </c>
    </row>
    <row r="171" spans="1:4" x14ac:dyDescent="0.25">
      <c r="A171" s="1" t="s">
        <v>353</v>
      </c>
      <c r="B171" s="1" t="s">
        <v>7064</v>
      </c>
      <c r="C171" s="1" t="s">
        <v>7065</v>
      </c>
      <c r="D171" s="1" t="s">
        <v>7066</v>
      </c>
    </row>
    <row r="172" spans="1:4" x14ac:dyDescent="0.25">
      <c r="A172" s="1" t="s">
        <v>355</v>
      </c>
      <c r="B172" s="1" t="s">
        <v>7067</v>
      </c>
      <c r="C172" s="1" t="s">
        <v>7068</v>
      </c>
      <c r="D172" s="1" t="s">
        <v>7069</v>
      </c>
    </row>
    <row r="173" spans="1:4" x14ac:dyDescent="0.25">
      <c r="A173" s="1" t="s">
        <v>357</v>
      </c>
      <c r="B173" s="1" t="s">
        <v>7070</v>
      </c>
      <c r="C173" s="1" t="s">
        <v>7071</v>
      </c>
      <c r="D173" s="1" t="s">
        <v>7072</v>
      </c>
    </row>
    <row r="174" spans="1:4" x14ac:dyDescent="0.25">
      <c r="A174" s="1" t="s">
        <v>359</v>
      </c>
      <c r="B174" s="1" t="s">
        <v>7073</v>
      </c>
      <c r="C174" s="1" t="s">
        <v>7074</v>
      </c>
      <c r="D174" s="1" t="s">
        <v>7075</v>
      </c>
    </row>
    <row r="175" spans="1:4" x14ac:dyDescent="0.25">
      <c r="A175" s="1" t="s">
        <v>361</v>
      </c>
      <c r="B175" s="1" t="s">
        <v>7076</v>
      </c>
      <c r="C175" s="1" t="s">
        <v>7077</v>
      </c>
      <c r="D175" s="1" t="s">
        <v>7078</v>
      </c>
    </row>
    <row r="176" spans="1:4" x14ac:dyDescent="0.25">
      <c r="A176" s="1" t="s">
        <v>363</v>
      </c>
      <c r="B176" s="1" t="s">
        <v>7079</v>
      </c>
      <c r="C176" s="1" t="s">
        <v>7080</v>
      </c>
      <c r="D176" s="1" t="s">
        <v>7081</v>
      </c>
    </row>
    <row r="177" spans="1:4" x14ac:dyDescent="0.25">
      <c r="A177" s="1" t="s">
        <v>365</v>
      </c>
      <c r="B177" s="1" t="s">
        <v>7082</v>
      </c>
      <c r="C177" s="1" t="s">
        <v>7083</v>
      </c>
      <c r="D177" s="1" t="s">
        <v>7084</v>
      </c>
    </row>
    <row r="178" spans="1:4" x14ac:dyDescent="0.25">
      <c r="A178" s="1" t="s">
        <v>367</v>
      </c>
      <c r="B178" s="1" t="s">
        <v>7085</v>
      </c>
      <c r="C178" s="1" t="s">
        <v>7086</v>
      </c>
      <c r="D178" s="1" t="s">
        <v>7087</v>
      </c>
    </row>
    <row r="179" spans="1:4" x14ac:dyDescent="0.25">
      <c r="A179" s="1" t="s">
        <v>369</v>
      </c>
      <c r="B179" s="1" t="s">
        <v>7088</v>
      </c>
      <c r="C179" s="1" t="s">
        <v>7089</v>
      </c>
      <c r="D179" s="1" t="s">
        <v>7090</v>
      </c>
    </row>
    <row r="180" spans="1:4" x14ac:dyDescent="0.25">
      <c r="A180" s="1" t="s">
        <v>371</v>
      </c>
      <c r="B180" s="1" t="s">
        <v>7091</v>
      </c>
      <c r="C180" s="1" t="s">
        <v>7092</v>
      </c>
      <c r="D180" s="1" t="s">
        <v>7093</v>
      </c>
    </row>
    <row r="181" spans="1:4" x14ac:dyDescent="0.25">
      <c r="A181" s="1" t="s">
        <v>373</v>
      </c>
      <c r="B181" s="1" t="s">
        <v>7094</v>
      </c>
      <c r="C181" s="1" t="s">
        <v>7095</v>
      </c>
      <c r="D181" s="1" t="s">
        <v>7096</v>
      </c>
    </row>
    <row r="182" spans="1:4" x14ac:dyDescent="0.25">
      <c r="A182" s="1" t="s">
        <v>375</v>
      </c>
      <c r="B182" s="1" t="s">
        <v>7097</v>
      </c>
      <c r="C182" s="1" t="s">
        <v>7098</v>
      </c>
      <c r="D182" s="1" t="s">
        <v>7099</v>
      </c>
    </row>
    <row r="183" spans="1:4" x14ac:dyDescent="0.25">
      <c r="A183" s="1" t="s">
        <v>377</v>
      </c>
      <c r="B183" s="1" t="s">
        <v>7100</v>
      </c>
      <c r="C183" s="1" t="s">
        <v>7101</v>
      </c>
      <c r="D183" s="1" t="s">
        <v>7102</v>
      </c>
    </row>
    <row r="184" spans="1:4" x14ac:dyDescent="0.25">
      <c r="A184" s="1" t="s">
        <v>379</v>
      </c>
      <c r="B184" s="1" t="s">
        <v>7103</v>
      </c>
      <c r="C184" s="1" t="s">
        <v>7104</v>
      </c>
      <c r="D184" s="1" t="s">
        <v>7105</v>
      </c>
    </row>
    <row r="185" spans="1:4" x14ac:dyDescent="0.25">
      <c r="A185" s="1" t="s">
        <v>381</v>
      </c>
      <c r="B185" s="1" t="s">
        <v>7106</v>
      </c>
      <c r="C185" s="1" t="s">
        <v>7107</v>
      </c>
      <c r="D185" s="1" t="s">
        <v>7108</v>
      </c>
    </row>
    <row r="186" spans="1:4" x14ac:dyDescent="0.25">
      <c r="A186" s="1" t="s">
        <v>383</v>
      </c>
      <c r="B186" s="1" t="s">
        <v>7109</v>
      </c>
      <c r="C186" s="1" t="s">
        <v>7110</v>
      </c>
      <c r="D186" s="1" t="s">
        <v>7111</v>
      </c>
    </row>
    <row r="187" spans="1:4" x14ac:dyDescent="0.25">
      <c r="A187" s="1" t="s">
        <v>385</v>
      </c>
      <c r="B187" s="1" t="s">
        <v>7112</v>
      </c>
      <c r="C187" s="1" t="s">
        <v>7113</v>
      </c>
      <c r="D187" s="1" t="s">
        <v>7114</v>
      </c>
    </row>
    <row r="188" spans="1:4" x14ac:dyDescent="0.25">
      <c r="A188" s="1" t="s">
        <v>387</v>
      </c>
      <c r="B188" s="1" t="s">
        <v>7115</v>
      </c>
      <c r="C188" s="1" t="s">
        <v>7116</v>
      </c>
      <c r="D188" s="1" t="s">
        <v>7117</v>
      </c>
    </row>
    <row r="189" spans="1:4" x14ac:dyDescent="0.25">
      <c r="A189" s="1" t="s">
        <v>389</v>
      </c>
      <c r="B189" s="1" t="s">
        <v>7118</v>
      </c>
      <c r="C189" s="1" t="s">
        <v>7119</v>
      </c>
      <c r="D189" s="1" t="s">
        <v>7120</v>
      </c>
    </row>
    <row r="190" spans="1:4" x14ac:dyDescent="0.25">
      <c r="A190" s="1" t="s">
        <v>391</v>
      </c>
      <c r="B190" s="1" t="s">
        <v>7121</v>
      </c>
      <c r="C190" s="1" t="s">
        <v>7122</v>
      </c>
      <c r="D190" s="1" t="s">
        <v>7123</v>
      </c>
    </row>
    <row r="191" spans="1:4" x14ac:dyDescent="0.25">
      <c r="A191" s="1" t="s">
        <v>393</v>
      </c>
      <c r="B191" s="1" t="s">
        <v>7124</v>
      </c>
      <c r="C191" s="1" t="s">
        <v>7125</v>
      </c>
      <c r="D191" s="1" t="s">
        <v>7126</v>
      </c>
    </row>
    <row r="192" spans="1:4" x14ac:dyDescent="0.25">
      <c r="A192" s="1" t="s">
        <v>395</v>
      </c>
      <c r="B192" s="1" t="s">
        <v>7127</v>
      </c>
      <c r="C192" s="1" t="s">
        <v>7128</v>
      </c>
      <c r="D192" s="1" t="s">
        <v>7129</v>
      </c>
    </row>
    <row r="193" spans="1:4" x14ac:dyDescent="0.25">
      <c r="A193" s="1" t="s">
        <v>397</v>
      </c>
      <c r="B193" s="1" t="s">
        <v>7130</v>
      </c>
      <c r="C193" s="1" t="s">
        <v>7131</v>
      </c>
      <c r="D193" s="1" t="s">
        <v>7132</v>
      </c>
    </row>
    <row r="194" spans="1:4" x14ac:dyDescent="0.25">
      <c r="A194" s="1" t="s">
        <v>399</v>
      </c>
      <c r="B194" s="1" t="s">
        <v>7133</v>
      </c>
      <c r="C194" s="1" t="s">
        <v>7134</v>
      </c>
      <c r="D194" s="1" t="s">
        <v>7135</v>
      </c>
    </row>
    <row r="195" spans="1:4" x14ac:dyDescent="0.25">
      <c r="A195" s="1" t="s">
        <v>401</v>
      </c>
      <c r="B195" s="1" t="s">
        <v>7136</v>
      </c>
      <c r="C195" s="1" t="s">
        <v>7137</v>
      </c>
      <c r="D195" s="1" t="s">
        <v>7138</v>
      </c>
    </row>
    <row r="196" spans="1:4" x14ac:dyDescent="0.25">
      <c r="A196" s="1" t="s">
        <v>403</v>
      </c>
      <c r="B196" s="1" t="s">
        <v>7139</v>
      </c>
      <c r="C196" s="1" t="s">
        <v>7140</v>
      </c>
      <c r="D196" s="1" t="s">
        <v>7141</v>
      </c>
    </row>
    <row r="197" spans="1:4" x14ac:dyDescent="0.25">
      <c r="A197" s="1" t="s">
        <v>405</v>
      </c>
      <c r="B197" s="1" t="s">
        <v>7142</v>
      </c>
      <c r="C197" s="1" t="s">
        <v>7143</v>
      </c>
      <c r="D197" s="1" t="s">
        <v>7144</v>
      </c>
    </row>
    <row r="198" spans="1:4" x14ac:dyDescent="0.25">
      <c r="A198" s="1" t="s">
        <v>407</v>
      </c>
      <c r="B198" s="1" t="s">
        <v>7145</v>
      </c>
      <c r="C198" s="1" t="s">
        <v>7146</v>
      </c>
      <c r="D198" s="1" t="s">
        <v>7147</v>
      </c>
    </row>
    <row r="199" spans="1:4" x14ac:dyDescent="0.25">
      <c r="A199" s="1" t="s">
        <v>409</v>
      </c>
      <c r="B199" s="1" t="s">
        <v>7148</v>
      </c>
      <c r="C199" s="1" t="s">
        <v>7149</v>
      </c>
      <c r="D199" s="1" t="s">
        <v>7150</v>
      </c>
    </row>
    <row r="200" spans="1:4" x14ac:dyDescent="0.25">
      <c r="A200" s="1" t="s">
        <v>411</v>
      </c>
      <c r="B200" s="1" t="s">
        <v>7151</v>
      </c>
      <c r="C200" s="1" t="s">
        <v>7152</v>
      </c>
      <c r="D200" s="1" t="s">
        <v>7153</v>
      </c>
    </row>
    <row r="201" spans="1:4" x14ac:dyDescent="0.25">
      <c r="A201" s="1" t="s">
        <v>413</v>
      </c>
      <c r="B201" s="1" t="s">
        <v>7154</v>
      </c>
      <c r="C201" s="1" t="s">
        <v>7155</v>
      </c>
      <c r="D201" s="1" t="s">
        <v>7156</v>
      </c>
    </row>
    <row r="202" spans="1:4" x14ac:dyDescent="0.25">
      <c r="A202" s="1" t="s">
        <v>415</v>
      </c>
      <c r="B202" s="1" t="s">
        <v>7157</v>
      </c>
      <c r="C202" s="1" t="s">
        <v>7158</v>
      </c>
      <c r="D202" s="1" t="s">
        <v>7159</v>
      </c>
    </row>
    <row r="203" spans="1:4" x14ac:dyDescent="0.25">
      <c r="A203" s="1" t="s">
        <v>417</v>
      </c>
      <c r="B203" s="1" t="s">
        <v>7160</v>
      </c>
      <c r="C203" s="1" t="s">
        <v>7161</v>
      </c>
      <c r="D203" s="1" t="s">
        <v>7162</v>
      </c>
    </row>
    <row r="204" spans="1:4" x14ac:dyDescent="0.25">
      <c r="A204" s="1" t="s">
        <v>419</v>
      </c>
      <c r="B204" s="1" t="s">
        <v>7163</v>
      </c>
      <c r="C204" s="1" t="s">
        <v>7164</v>
      </c>
      <c r="D204" s="1" t="s">
        <v>7165</v>
      </c>
    </row>
    <row r="205" spans="1:4" x14ac:dyDescent="0.25">
      <c r="A205" s="1" t="s">
        <v>421</v>
      </c>
      <c r="B205" s="1" t="s">
        <v>7166</v>
      </c>
      <c r="C205" s="1" t="s">
        <v>7167</v>
      </c>
      <c r="D205" s="1" t="s">
        <v>7168</v>
      </c>
    </row>
    <row r="206" spans="1:4" x14ac:dyDescent="0.25">
      <c r="A206" s="1" t="s">
        <v>423</v>
      </c>
      <c r="B206" s="1" t="s">
        <v>7169</v>
      </c>
      <c r="C206" s="1" t="s">
        <v>7170</v>
      </c>
      <c r="D206" s="1" t="s">
        <v>7171</v>
      </c>
    </row>
    <row r="207" spans="1:4" x14ac:dyDescent="0.25">
      <c r="A207" s="1" t="s">
        <v>425</v>
      </c>
      <c r="B207" s="1" t="s">
        <v>7172</v>
      </c>
      <c r="C207" s="1" t="s">
        <v>7173</v>
      </c>
      <c r="D207" s="1" t="s">
        <v>7174</v>
      </c>
    </row>
    <row r="208" spans="1:4" x14ac:dyDescent="0.25">
      <c r="A208" s="1" t="s">
        <v>427</v>
      </c>
      <c r="B208" s="1" t="s">
        <v>7175</v>
      </c>
      <c r="C208" s="1" t="s">
        <v>7176</v>
      </c>
      <c r="D208" s="1" t="s">
        <v>7177</v>
      </c>
    </row>
    <row r="209" spans="1:4" x14ac:dyDescent="0.25">
      <c r="A209" s="1" t="s">
        <v>429</v>
      </c>
      <c r="B209" s="1" t="s">
        <v>7178</v>
      </c>
      <c r="C209" s="1" t="s">
        <v>7179</v>
      </c>
      <c r="D209" s="1" t="s">
        <v>7180</v>
      </c>
    </row>
    <row r="210" spans="1:4" x14ac:dyDescent="0.25">
      <c r="A210" s="1" t="s">
        <v>431</v>
      </c>
      <c r="B210" s="1" t="s">
        <v>7181</v>
      </c>
      <c r="C210" s="1" t="s">
        <v>7182</v>
      </c>
      <c r="D210" s="1" t="s">
        <v>7183</v>
      </c>
    </row>
    <row r="211" spans="1:4" x14ac:dyDescent="0.25">
      <c r="A211" s="1" t="s">
        <v>433</v>
      </c>
      <c r="B211" s="1" t="s">
        <v>7184</v>
      </c>
      <c r="C211" s="1" t="s">
        <v>7185</v>
      </c>
      <c r="D211" s="1" t="s">
        <v>7186</v>
      </c>
    </row>
    <row r="212" spans="1:4" x14ac:dyDescent="0.25">
      <c r="A212" s="1" t="s">
        <v>435</v>
      </c>
      <c r="B212" s="1" t="s">
        <v>7187</v>
      </c>
      <c r="C212" s="1" t="s">
        <v>7188</v>
      </c>
      <c r="D212" s="1" t="s">
        <v>7189</v>
      </c>
    </row>
    <row r="213" spans="1:4" x14ac:dyDescent="0.25">
      <c r="A213" s="1" t="s">
        <v>437</v>
      </c>
      <c r="B213" s="1" t="s">
        <v>7190</v>
      </c>
      <c r="C213" s="1" t="s">
        <v>7191</v>
      </c>
      <c r="D213" s="1" t="s">
        <v>7192</v>
      </c>
    </row>
    <row r="214" spans="1:4" x14ac:dyDescent="0.25">
      <c r="A214" s="1" t="s">
        <v>439</v>
      </c>
      <c r="B214" s="1" t="s">
        <v>7193</v>
      </c>
      <c r="C214" s="1" t="s">
        <v>7194</v>
      </c>
      <c r="D214" s="1" t="s">
        <v>7195</v>
      </c>
    </row>
    <row r="215" spans="1:4" x14ac:dyDescent="0.25">
      <c r="A215" s="1" t="s">
        <v>441</v>
      </c>
      <c r="B215" s="1" t="s">
        <v>7196</v>
      </c>
      <c r="C215" s="1" t="s">
        <v>7197</v>
      </c>
      <c r="D215" s="1" t="s">
        <v>7198</v>
      </c>
    </row>
    <row r="216" spans="1:4" x14ac:dyDescent="0.25">
      <c r="A216" s="1" t="s">
        <v>443</v>
      </c>
      <c r="B216" s="1" t="s">
        <v>7199</v>
      </c>
      <c r="C216" s="1" t="s">
        <v>7200</v>
      </c>
      <c r="D216" s="1" t="s">
        <v>7201</v>
      </c>
    </row>
    <row r="217" spans="1:4" x14ac:dyDescent="0.25">
      <c r="A217" s="1" t="s">
        <v>445</v>
      </c>
      <c r="B217" s="1" t="s">
        <v>7202</v>
      </c>
      <c r="C217" s="1" t="s">
        <v>7203</v>
      </c>
      <c r="D217" s="1" t="s">
        <v>7204</v>
      </c>
    </row>
    <row r="218" spans="1:4" x14ac:dyDescent="0.25">
      <c r="A218" s="1" t="s">
        <v>447</v>
      </c>
      <c r="B218" s="1" t="s">
        <v>7205</v>
      </c>
      <c r="C218" s="1" t="s">
        <v>7206</v>
      </c>
      <c r="D218" s="1" t="s">
        <v>7207</v>
      </c>
    </row>
    <row r="219" spans="1:4" x14ac:dyDescent="0.25">
      <c r="A219" s="1" t="s">
        <v>449</v>
      </c>
      <c r="B219" s="1" t="s">
        <v>7208</v>
      </c>
      <c r="C219" s="1" t="s">
        <v>7209</v>
      </c>
      <c r="D219" s="1" t="s">
        <v>7210</v>
      </c>
    </row>
    <row r="220" spans="1:4" x14ac:dyDescent="0.25">
      <c r="A220" s="1" t="s">
        <v>451</v>
      </c>
      <c r="B220" s="1" t="s">
        <v>7211</v>
      </c>
      <c r="C220" s="1" t="s">
        <v>7212</v>
      </c>
      <c r="D220" s="1" t="s">
        <v>7213</v>
      </c>
    </row>
    <row r="221" spans="1:4" x14ac:dyDescent="0.25">
      <c r="A221" s="1" t="s">
        <v>453</v>
      </c>
      <c r="B221" s="1" t="s">
        <v>7214</v>
      </c>
      <c r="C221" s="1" t="s">
        <v>7215</v>
      </c>
      <c r="D221" s="1" t="s">
        <v>7216</v>
      </c>
    </row>
    <row r="222" spans="1:4" x14ac:dyDescent="0.25">
      <c r="A222" s="1" t="s">
        <v>455</v>
      </c>
      <c r="B222" s="1" t="s">
        <v>7217</v>
      </c>
      <c r="C222" s="1" t="s">
        <v>7218</v>
      </c>
      <c r="D222" s="1" t="s">
        <v>7219</v>
      </c>
    </row>
    <row r="223" spans="1:4" x14ac:dyDescent="0.25">
      <c r="A223" s="1" t="s">
        <v>457</v>
      </c>
      <c r="B223" s="1" t="s">
        <v>7220</v>
      </c>
      <c r="C223" s="1" t="s">
        <v>7221</v>
      </c>
      <c r="D223" s="1" t="s">
        <v>7222</v>
      </c>
    </row>
    <row r="224" spans="1:4" x14ac:dyDescent="0.25">
      <c r="A224" s="1" t="s">
        <v>459</v>
      </c>
      <c r="B224" s="1" t="s">
        <v>7223</v>
      </c>
      <c r="C224" s="1" t="s">
        <v>7224</v>
      </c>
      <c r="D224" s="1" t="s">
        <v>7225</v>
      </c>
    </row>
    <row r="225" spans="1:4" x14ac:dyDescent="0.25">
      <c r="A225" s="1" t="s">
        <v>461</v>
      </c>
      <c r="B225" s="1" t="s">
        <v>7226</v>
      </c>
      <c r="C225" s="1" t="s">
        <v>7227</v>
      </c>
      <c r="D225" s="1" t="s">
        <v>7228</v>
      </c>
    </row>
    <row r="226" spans="1:4" x14ac:dyDescent="0.25">
      <c r="A226" s="1" t="s">
        <v>463</v>
      </c>
      <c r="B226" s="1" t="s">
        <v>7229</v>
      </c>
      <c r="C226" s="1" t="s">
        <v>7230</v>
      </c>
      <c r="D226" s="1" t="s">
        <v>7231</v>
      </c>
    </row>
    <row r="227" spans="1:4" x14ac:dyDescent="0.25">
      <c r="A227" s="1" t="s">
        <v>465</v>
      </c>
      <c r="B227" s="1" t="s">
        <v>7232</v>
      </c>
      <c r="C227" s="1" t="s">
        <v>7233</v>
      </c>
      <c r="D227" s="1" t="s">
        <v>7234</v>
      </c>
    </row>
    <row r="228" spans="1:4" x14ac:dyDescent="0.25">
      <c r="A228" s="1" t="s">
        <v>467</v>
      </c>
      <c r="B228" s="1" t="s">
        <v>7235</v>
      </c>
      <c r="C228" s="1" t="s">
        <v>7236</v>
      </c>
      <c r="D228" s="1" t="s">
        <v>7237</v>
      </c>
    </row>
    <row r="229" spans="1:4" x14ac:dyDescent="0.25">
      <c r="A229" s="1" t="s">
        <v>469</v>
      </c>
      <c r="B229" s="1" t="s">
        <v>7238</v>
      </c>
      <c r="C229" s="1" t="s">
        <v>7239</v>
      </c>
      <c r="D229" s="1" t="s">
        <v>7240</v>
      </c>
    </row>
    <row r="230" spans="1:4" x14ac:dyDescent="0.25">
      <c r="A230" s="1" t="s">
        <v>471</v>
      </c>
      <c r="B230" s="1" t="s">
        <v>7241</v>
      </c>
      <c r="C230" s="1" t="s">
        <v>7242</v>
      </c>
      <c r="D230" s="1" t="s">
        <v>7243</v>
      </c>
    </row>
    <row r="231" spans="1:4" x14ac:dyDescent="0.25">
      <c r="A231" s="1" t="s">
        <v>473</v>
      </c>
      <c r="B231" s="1" t="s">
        <v>7244</v>
      </c>
      <c r="C231" s="1" t="s">
        <v>7245</v>
      </c>
      <c r="D231" s="1" t="s">
        <v>7246</v>
      </c>
    </row>
    <row r="232" spans="1:4" x14ac:dyDescent="0.25">
      <c r="A232" s="1" t="s">
        <v>475</v>
      </c>
      <c r="B232" s="1" t="s">
        <v>7247</v>
      </c>
      <c r="C232" s="1" t="s">
        <v>7248</v>
      </c>
      <c r="D232" s="1" t="s">
        <v>7249</v>
      </c>
    </row>
    <row r="233" spans="1:4" x14ac:dyDescent="0.25">
      <c r="A233" s="1" t="s">
        <v>477</v>
      </c>
      <c r="B233" s="1" t="s">
        <v>7250</v>
      </c>
      <c r="C233" s="1" t="s">
        <v>7251</v>
      </c>
      <c r="D233" s="1" t="s">
        <v>7252</v>
      </c>
    </row>
    <row r="234" spans="1:4" x14ac:dyDescent="0.25">
      <c r="A234" s="1" t="s">
        <v>479</v>
      </c>
      <c r="B234" s="1" t="s">
        <v>7253</v>
      </c>
      <c r="C234" s="1" t="s">
        <v>7254</v>
      </c>
      <c r="D234" s="1" t="s">
        <v>7255</v>
      </c>
    </row>
    <row r="235" spans="1:4" x14ac:dyDescent="0.25">
      <c r="A235" s="1" t="s">
        <v>481</v>
      </c>
      <c r="B235" s="1" t="s">
        <v>7256</v>
      </c>
      <c r="C235" s="1" t="s">
        <v>7257</v>
      </c>
      <c r="D235" s="1" t="s">
        <v>7258</v>
      </c>
    </row>
    <row r="236" spans="1:4" x14ac:dyDescent="0.25">
      <c r="A236" s="1" t="s">
        <v>483</v>
      </c>
      <c r="B236" s="1" t="s">
        <v>7259</v>
      </c>
      <c r="C236" s="1" t="s">
        <v>7260</v>
      </c>
      <c r="D236" s="1" t="s">
        <v>7261</v>
      </c>
    </row>
    <row r="237" spans="1:4" x14ac:dyDescent="0.25">
      <c r="A237" s="1" t="s">
        <v>485</v>
      </c>
      <c r="B237" s="1" t="s">
        <v>7262</v>
      </c>
      <c r="C237" s="1" t="s">
        <v>7263</v>
      </c>
      <c r="D237" s="1" t="s">
        <v>7264</v>
      </c>
    </row>
    <row r="238" spans="1:4" x14ac:dyDescent="0.25">
      <c r="A238" s="1" t="s">
        <v>487</v>
      </c>
      <c r="B238" s="1" t="s">
        <v>7265</v>
      </c>
      <c r="C238" s="1" t="s">
        <v>7266</v>
      </c>
      <c r="D238" s="1" t="s">
        <v>7267</v>
      </c>
    </row>
    <row r="239" spans="1:4" x14ac:dyDescent="0.25">
      <c r="A239" s="1" t="s">
        <v>489</v>
      </c>
      <c r="B239" s="1" t="s">
        <v>7268</v>
      </c>
      <c r="C239" s="1" t="s">
        <v>7269</v>
      </c>
      <c r="D239" s="1" t="s">
        <v>7270</v>
      </c>
    </row>
    <row r="240" spans="1:4" x14ac:dyDescent="0.25">
      <c r="A240" s="1" t="s">
        <v>491</v>
      </c>
      <c r="B240" s="1" t="s">
        <v>7271</v>
      </c>
      <c r="C240" s="1" t="s">
        <v>7272</v>
      </c>
      <c r="D240" s="1" t="s">
        <v>7273</v>
      </c>
    </row>
    <row r="241" spans="1:4" x14ac:dyDescent="0.25">
      <c r="A241" s="1" t="s">
        <v>493</v>
      </c>
      <c r="B241" s="1" t="s">
        <v>7274</v>
      </c>
      <c r="C241" s="1" t="s">
        <v>7275</v>
      </c>
      <c r="D241" s="1" t="s">
        <v>7276</v>
      </c>
    </row>
    <row r="242" spans="1:4" x14ac:dyDescent="0.25">
      <c r="A242" s="1" t="s">
        <v>495</v>
      </c>
      <c r="B242" s="1" t="s">
        <v>7277</v>
      </c>
      <c r="C242" s="1" t="s">
        <v>7278</v>
      </c>
      <c r="D242" s="1" t="s">
        <v>7279</v>
      </c>
    </row>
    <row r="243" spans="1:4" x14ac:dyDescent="0.25">
      <c r="A243" s="1" t="s">
        <v>497</v>
      </c>
      <c r="B243" s="1" t="s">
        <v>7280</v>
      </c>
      <c r="C243" s="1" t="s">
        <v>7281</v>
      </c>
      <c r="D243" s="1" t="s">
        <v>7282</v>
      </c>
    </row>
    <row r="244" spans="1:4" x14ac:dyDescent="0.25">
      <c r="A244" s="1" t="s">
        <v>499</v>
      </c>
      <c r="B244" s="1" t="s">
        <v>7283</v>
      </c>
      <c r="C244" s="1" t="s">
        <v>7284</v>
      </c>
      <c r="D244" s="1" t="s">
        <v>7285</v>
      </c>
    </row>
    <row r="245" spans="1:4" x14ac:dyDescent="0.25">
      <c r="A245" s="1" t="s">
        <v>501</v>
      </c>
      <c r="B245" s="1" t="s">
        <v>7286</v>
      </c>
      <c r="C245" s="1" t="s">
        <v>7287</v>
      </c>
      <c r="D245" s="1" t="s">
        <v>7288</v>
      </c>
    </row>
    <row r="246" spans="1:4" x14ac:dyDescent="0.25">
      <c r="A246" s="1" t="s">
        <v>503</v>
      </c>
      <c r="B246" s="1" t="s">
        <v>7289</v>
      </c>
      <c r="C246" s="1" t="s">
        <v>7290</v>
      </c>
      <c r="D246" s="1" t="s">
        <v>7291</v>
      </c>
    </row>
    <row r="247" spans="1:4" x14ac:dyDescent="0.25">
      <c r="A247" s="1" t="s">
        <v>505</v>
      </c>
      <c r="B247" s="1" t="s">
        <v>7292</v>
      </c>
      <c r="C247" s="1" t="s">
        <v>7293</v>
      </c>
      <c r="D247" s="1" t="s">
        <v>7294</v>
      </c>
    </row>
    <row r="248" spans="1:4" x14ac:dyDescent="0.25">
      <c r="A248" s="1" t="s">
        <v>507</v>
      </c>
      <c r="B248" s="1" t="s">
        <v>7295</v>
      </c>
      <c r="C248" s="1" t="s">
        <v>7296</v>
      </c>
      <c r="D248" s="1" t="s">
        <v>7297</v>
      </c>
    </row>
    <row r="249" spans="1:4" x14ac:dyDescent="0.25">
      <c r="A249" s="1" t="s">
        <v>509</v>
      </c>
      <c r="B249" s="1" t="s">
        <v>7298</v>
      </c>
      <c r="C249" s="1" t="s">
        <v>7299</v>
      </c>
      <c r="D249" s="1" t="s">
        <v>7300</v>
      </c>
    </row>
    <row r="250" spans="1:4" x14ac:dyDescent="0.25">
      <c r="A250" s="1" t="s">
        <v>511</v>
      </c>
      <c r="B250" s="1" t="s">
        <v>7301</v>
      </c>
      <c r="C250" s="1" t="s">
        <v>7302</v>
      </c>
      <c r="D250" s="1" t="s">
        <v>7303</v>
      </c>
    </row>
    <row r="251" spans="1:4" x14ac:dyDescent="0.25">
      <c r="A251" s="1" t="s">
        <v>513</v>
      </c>
      <c r="B251" s="1" t="s">
        <v>7304</v>
      </c>
      <c r="C251" s="1" t="s">
        <v>7305</v>
      </c>
      <c r="D251" s="1" t="s">
        <v>7306</v>
      </c>
    </row>
    <row r="252" spans="1:4" x14ac:dyDescent="0.25">
      <c r="A252" s="1" t="s">
        <v>515</v>
      </c>
      <c r="B252" s="1" t="s">
        <v>7307</v>
      </c>
      <c r="C252" s="1" t="s">
        <v>7308</v>
      </c>
      <c r="D252" s="1" t="s">
        <v>7309</v>
      </c>
    </row>
    <row r="253" spans="1:4" x14ac:dyDescent="0.25">
      <c r="A253" s="1" t="s">
        <v>517</v>
      </c>
      <c r="B253" s="1" t="s">
        <v>7310</v>
      </c>
      <c r="C253" s="1" t="s">
        <v>7311</v>
      </c>
      <c r="D253" s="1" t="s">
        <v>7312</v>
      </c>
    </row>
    <row r="254" spans="1:4" x14ac:dyDescent="0.25">
      <c r="A254" s="1" t="s">
        <v>519</v>
      </c>
      <c r="B254" s="1" t="s">
        <v>7313</v>
      </c>
      <c r="C254" s="1" t="s">
        <v>7314</v>
      </c>
      <c r="D254" s="1" t="s">
        <v>7315</v>
      </c>
    </row>
    <row r="255" spans="1:4" x14ac:dyDescent="0.25">
      <c r="A255" s="1" t="s">
        <v>521</v>
      </c>
      <c r="B255" s="1" t="s">
        <v>7316</v>
      </c>
      <c r="C255" s="1" t="s">
        <v>7317</v>
      </c>
      <c r="D255" s="1" t="s">
        <v>7318</v>
      </c>
    </row>
    <row r="256" spans="1:4" x14ac:dyDescent="0.25">
      <c r="A256" s="1" t="s">
        <v>523</v>
      </c>
      <c r="B256" s="1" t="s">
        <v>7319</v>
      </c>
      <c r="C256" s="1" t="s">
        <v>7320</v>
      </c>
      <c r="D256" s="1" t="s">
        <v>7321</v>
      </c>
    </row>
    <row r="257" spans="1:4" x14ac:dyDescent="0.25">
      <c r="A257" s="1" t="s">
        <v>525</v>
      </c>
      <c r="B257" s="1" t="s">
        <v>7322</v>
      </c>
      <c r="C257" s="1" t="s">
        <v>7323</v>
      </c>
      <c r="D257" s="1" t="s">
        <v>7324</v>
      </c>
    </row>
    <row r="258" spans="1:4" x14ac:dyDescent="0.25">
      <c r="A258" s="1" t="s">
        <v>527</v>
      </c>
      <c r="B258" s="1" t="s">
        <v>7325</v>
      </c>
      <c r="C258" s="1" t="s">
        <v>7326</v>
      </c>
      <c r="D258" s="1" t="s">
        <v>7327</v>
      </c>
    </row>
    <row r="259" spans="1:4" x14ac:dyDescent="0.25">
      <c r="A259" s="1" t="s">
        <v>529</v>
      </c>
      <c r="B259" s="1" t="s">
        <v>7328</v>
      </c>
      <c r="C259" s="1" t="s">
        <v>7329</v>
      </c>
      <c r="D259" s="1" t="s">
        <v>7330</v>
      </c>
    </row>
    <row r="260" spans="1:4" x14ac:dyDescent="0.25">
      <c r="A260" s="1" t="s">
        <v>531</v>
      </c>
      <c r="B260" s="1" t="s">
        <v>7331</v>
      </c>
      <c r="C260" s="1" t="s">
        <v>7332</v>
      </c>
      <c r="D260" s="1" t="s">
        <v>7333</v>
      </c>
    </row>
    <row r="261" spans="1:4" x14ac:dyDescent="0.25">
      <c r="A261" s="1" t="s">
        <v>533</v>
      </c>
      <c r="B261" s="1" t="s">
        <v>7334</v>
      </c>
      <c r="C261" s="1" t="s">
        <v>7335</v>
      </c>
      <c r="D261" s="1" t="s">
        <v>7336</v>
      </c>
    </row>
    <row r="262" spans="1:4" x14ac:dyDescent="0.25">
      <c r="A262" s="1" t="s">
        <v>535</v>
      </c>
      <c r="B262" s="1" t="s">
        <v>7337</v>
      </c>
      <c r="C262" s="1" t="s">
        <v>7338</v>
      </c>
      <c r="D262" s="1" t="s">
        <v>7339</v>
      </c>
    </row>
    <row r="263" spans="1:4" x14ac:dyDescent="0.25">
      <c r="A263" s="1" t="s">
        <v>537</v>
      </c>
      <c r="B263" s="1" t="s">
        <v>7340</v>
      </c>
      <c r="C263" s="1" t="s">
        <v>7341</v>
      </c>
      <c r="D263" s="1" t="s">
        <v>7342</v>
      </c>
    </row>
    <row r="264" spans="1:4" x14ac:dyDescent="0.25">
      <c r="A264" s="1" t="s">
        <v>539</v>
      </c>
      <c r="B264" s="1" t="s">
        <v>7343</v>
      </c>
      <c r="C264" s="1" t="s">
        <v>7344</v>
      </c>
      <c r="D264" s="1" t="s">
        <v>7345</v>
      </c>
    </row>
    <row r="265" spans="1:4" x14ac:dyDescent="0.25">
      <c r="A265" s="1" t="s">
        <v>541</v>
      </c>
      <c r="B265" s="1" t="s">
        <v>7346</v>
      </c>
      <c r="C265" s="1" t="s">
        <v>7347</v>
      </c>
      <c r="D265" s="1" t="s">
        <v>7348</v>
      </c>
    </row>
    <row r="266" spans="1:4" x14ac:dyDescent="0.25">
      <c r="A266" s="1" t="s">
        <v>543</v>
      </c>
      <c r="B266" s="1" t="s">
        <v>7349</v>
      </c>
      <c r="C266" s="1" t="s">
        <v>7350</v>
      </c>
      <c r="D266" s="1" t="s">
        <v>7351</v>
      </c>
    </row>
    <row r="267" spans="1:4" x14ac:dyDescent="0.25">
      <c r="A267" s="1" t="s">
        <v>545</v>
      </c>
      <c r="B267" s="1" t="s">
        <v>7352</v>
      </c>
      <c r="C267" s="1" t="s">
        <v>7353</v>
      </c>
      <c r="D267" s="1" t="s">
        <v>7354</v>
      </c>
    </row>
    <row r="268" spans="1:4" x14ac:dyDescent="0.25">
      <c r="A268" s="1" t="s">
        <v>547</v>
      </c>
      <c r="B268" s="1" t="s">
        <v>7355</v>
      </c>
      <c r="C268" s="1" t="s">
        <v>7356</v>
      </c>
      <c r="D268" s="1" t="s">
        <v>7357</v>
      </c>
    </row>
    <row r="269" spans="1:4" x14ac:dyDescent="0.25">
      <c r="A269" s="1" t="s">
        <v>549</v>
      </c>
      <c r="B269" s="1" t="s">
        <v>7358</v>
      </c>
      <c r="C269" s="1" t="s">
        <v>7359</v>
      </c>
      <c r="D269" s="1" t="s">
        <v>7360</v>
      </c>
    </row>
    <row r="270" spans="1:4" x14ac:dyDescent="0.25">
      <c r="A270" s="1" t="s">
        <v>551</v>
      </c>
      <c r="B270" s="1" t="s">
        <v>7361</v>
      </c>
      <c r="C270" s="1" t="s">
        <v>7362</v>
      </c>
      <c r="D270" s="1" t="s">
        <v>7363</v>
      </c>
    </row>
    <row r="271" spans="1:4" x14ac:dyDescent="0.25">
      <c r="A271" s="1" t="s">
        <v>553</v>
      </c>
      <c r="B271" s="1" t="s">
        <v>7364</v>
      </c>
      <c r="C271" s="1" t="s">
        <v>7365</v>
      </c>
      <c r="D271" s="1" t="s">
        <v>7366</v>
      </c>
    </row>
    <row r="272" spans="1:4" x14ac:dyDescent="0.25">
      <c r="A272" s="1" t="s">
        <v>555</v>
      </c>
      <c r="B272" s="1" t="s">
        <v>7367</v>
      </c>
      <c r="C272" s="1" t="s">
        <v>7368</v>
      </c>
      <c r="D272" s="1" t="s">
        <v>7369</v>
      </c>
    </row>
    <row r="273" spans="1:4" x14ac:dyDescent="0.25">
      <c r="A273" s="1" t="s">
        <v>557</v>
      </c>
      <c r="B273" s="1" t="s">
        <v>7370</v>
      </c>
      <c r="C273" s="1" t="s">
        <v>7371</v>
      </c>
      <c r="D273" s="1" t="s">
        <v>7372</v>
      </c>
    </row>
    <row r="274" spans="1:4" x14ac:dyDescent="0.25">
      <c r="A274" s="1" t="s">
        <v>559</v>
      </c>
      <c r="B274" s="1" t="s">
        <v>7373</v>
      </c>
      <c r="C274" s="1" t="s">
        <v>7374</v>
      </c>
      <c r="D274" s="1" t="s">
        <v>7375</v>
      </c>
    </row>
    <row r="275" spans="1:4" x14ac:dyDescent="0.25">
      <c r="A275" s="1" t="s">
        <v>561</v>
      </c>
      <c r="B275" s="1" t="s">
        <v>7376</v>
      </c>
      <c r="C275" s="1" t="s">
        <v>7377</v>
      </c>
      <c r="D275" s="1" t="s">
        <v>7378</v>
      </c>
    </row>
    <row r="276" spans="1:4" x14ac:dyDescent="0.25">
      <c r="A276" s="1" t="s">
        <v>563</v>
      </c>
      <c r="B276" s="1" t="s">
        <v>7379</v>
      </c>
      <c r="C276" s="1" t="s">
        <v>7380</v>
      </c>
      <c r="D276" s="1" t="s">
        <v>7381</v>
      </c>
    </row>
    <row r="277" spans="1:4" x14ac:dyDescent="0.25">
      <c r="A277" s="1" t="s">
        <v>565</v>
      </c>
      <c r="B277" s="1" t="s">
        <v>7382</v>
      </c>
      <c r="C277" s="1" t="s">
        <v>7383</v>
      </c>
      <c r="D277" s="1" t="s">
        <v>7384</v>
      </c>
    </row>
    <row r="278" spans="1:4" x14ac:dyDescent="0.25">
      <c r="A278" s="1" t="s">
        <v>567</v>
      </c>
      <c r="B278" s="1" t="s">
        <v>7385</v>
      </c>
      <c r="C278" s="1" t="s">
        <v>7386</v>
      </c>
      <c r="D278" s="1" t="s">
        <v>7387</v>
      </c>
    </row>
    <row r="279" spans="1:4" x14ac:dyDescent="0.25">
      <c r="A279" s="1" t="s">
        <v>569</v>
      </c>
      <c r="B279" s="1" t="s">
        <v>7388</v>
      </c>
      <c r="C279" s="1" t="s">
        <v>7389</v>
      </c>
      <c r="D279" s="1" t="s">
        <v>7390</v>
      </c>
    </row>
    <row r="280" spans="1:4" x14ac:dyDescent="0.25">
      <c r="A280" s="1" t="s">
        <v>571</v>
      </c>
      <c r="B280" s="1" t="s">
        <v>7391</v>
      </c>
      <c r="C280" s="1" t="s">
        <v>7392</v>
      </c>
      <c r="D280" s="1" t="s">
        <v>7393</v>
      </c>
    </row>
    <row r="281" spans="1:4" x14ac:dyDescent="0.25">
      <c r="A281" s="1" t="s">
        <v>573</v>
      </c>
      <c r="B281" s="1" t="s">
        <v>7394</v>
      </c>
      <c r="C281" s="1" t="s">
        <v>7395</v>
      </c>
      <c r="D281" s="1" t="s">
        <v>7396</v>
      </c>
    </row>
    <row r="282" spans="1:4" x14ac:dyDescent="0.25">
      <c r="A282" s="1" t="s">
        <v>575</v>
      </c>
      <c r="B282" s="1" t="s">
        <v>7397</v>
      </c>
      <c r="C282" s="1" t="s">
        <v>7398</v>
      </c>
      <c r="D282" s="1" t="s">
        <v>7399</v>
      </c>
    </row>
    <row r="283" spans="1:4" x14ac:dyDescent="0.25">
      <c r="A283" s="1" t="s">
        <v>577</v>
      </c>
      <c r="B283" s="1" t="s">
        <v>7400</v>
      </c>
      <c r="C283" s="1" t="s">
        <v>7401</v>
      </c>
      <c r="D283" s="1" t="s">
        <v>7402</v>
      </c>
    </row>
    <row r="284" spans="1:4" x14ac:dyDescent="0.25">
      <c r="A284" s="1" t="s">
        <v>579</v>
      </c>
      <c r="B284" s="1" t="s">
        <v>7403</v>
      </c>
      <c r="C284" s="1" t="s">
        <v>7404</v>
      </c>
      <c r="D284" s="1" t="s">
        <v>7405</v>
      </c>
    </row>
    <row r="285" spans="1:4" x14ac:dyDescent="0.25">
      <c r="A285" s="1" t="s">
        <v>581</v>
      </c>
      <c r="B285" s="1" t="s">
        <v>7406</v>
      </c>
      <c r="C285" s="1" t="s">
        <v>7407</v>
      </c>
      <c r="D285" s="1" t="s">
        <v>7408</v>
      </c>
    </row>
    <row r="286" spans="1:4" x14ac:dyDescent="0.25">
      <c r="A286" s="1" t="s">
        <v>583</v>
      </c>
      <c r="B286" s="1" t="s">
        <v>7409</v>
      </c>
      <c r="C286" s="1" t="s">
        <v>7410</v>
      </c>
      <c r="D286" s="1" t="s">
        <v>7411</v>
      </c>
    </row>
    <row r="287" spans="1:4" x14ac:dyDescent="0.25">
      <c r="A287" s="1" t="s">
        <v>585</v>
      </c>
      <c r="B287" s="1" t="s">
        <v>7412</v>
      </c>
      <c r="C287" s="1" t="s">
        <v>7413</v>
      </c>
      <c r="D287" s="1" t="s">
        <v>7414</v>
      </c>
    </row>
    <row r="288" spans="1:4" x14ac:dyDescent="0.25">
      <c r="A288" s="1" t="s">
        <v>587</v>
      </c>
      <c r="B288" s="1" t="s">
        <v>7415</v>
      </c>
      <c r="C288" s="1" t="s">
        <v>7416</v>
      </c>
      <c r="D288" s="1" t="s">
        <v>7417</v>
      </c>
    </row>
    <row r="289" spans="1:4" x14ac:dyDescent="0.25">
      <c r="A289" s="1" t="s">
        <v>589</v>
      </c>
      <c r="B289" s="1" t="s">
        <v>7418</v>
      </c>
      <c r="C289" s="1" t="s">
        <v>7419</v>
      </c>
      <c r="D289" s="1" t="s">
        <v>7420</v>
      </c>
    </row>
    <row r="290" spans="1:4" x14ac:dyDescent="0.25">
      <c r="A290" s="1" t="s">
        <v>591</v>
      </c>
      <c r="B290" s="1" t="s">
        <v>7421</v>
      </c>
      <c r="C290" s="1" t="s">
        <v>7422</v>
      </c>
      <c r="D290" s="1" t="s">
        <v>7423</v>
      </c>
    </row>
    <row r="291" spans="1:4" x14ac:dyDescent="0.25">
      <c r="A291" s="1" t="s">
        <v>593</v>
      </c>
      <c r="B291" s="1" t="s">
        <v>7424</v>
      </c>
      <c r="C291" s="1" t="s">
        <v>7425</v>
      </c>
      <c r="D291" s="1" t="s">
        <v>7426</v>
      </c>
    </row>
    <row r="292" spans="1:4" x14ac:dyDescent="0.25">
      <c r="A292" s="1" t="s">
        <v>595</v>
      </c>
      <c r="B292" s="1" t="s">
        <v>7427</v>
      </c>
      <c r="C292" s="1" t="s">
        <v>7428</v>
      </c>
      <c r="D292" s="1" t="s">
        <v>7429</v>
      </c>
    </row>
    <row r="293" spans="1:4" x14ac:dyDescent="0.25">
      <c r="A293" s="1" t="s">
        <v>597</v>
      </c>
      <c r="B293" s="1" t="s">
        <v>7430</v>
      </c>
      <c r="C293" s="1" t="s">
        <v>7431</v>
      </c>
      <c r="D293" s="1" t="s">
        <v>7432</v>
      </c>
    </row>
    <row r="294" spans="1:4" x14ac:dyDescent="0.25">
      <c r="A294" s="1" t="s">
        <v>599</v>
      </c>
      <c r="B294" s="1" t="s">
        <v>7433</v>
      </c>
      <c r="C294" s="1" t="s">
        <v>7434</v>
      </c>
      <c r="D294" s="1" t="s">
        <v>7435</v>
      </c>
    </row>
    <row r="295" spans="1:4" x14ac:dyDescent="0.25">
      <c r="A295" s="1" t="s">
        <v>601</v>
      </c>
      <c r="B295" s="1" t="s">
        <v>7436</v>
      </c>
      <c r="C295" s="1" t="s">
        <v>7437</v>
      </c>
      <c r="D295" s="1" t="s">
        <v>7438</v>
      </c>
    </row>
    <row r="296" spans="1:4" x14ac:dyDescent="0.25">
      <c r="A296" s="1" t="s">
        <v>603</v>
      </c>
      <c r="B296" s="1" t="s">
        <v>7439</v>
      </c>
      <c r="C296" s="1" t="s">
        <v>7440</v>
      </c>
      <c r="D296" s="1" t="s">
        <v>7441</v>
      </c>
    </row>
    <row r="297" spans="1:4" x14ac:dyDescent="0.25">
      <c r="A297" s="1" t="s">
        <v>605</v>
      </c>
      <c r="B297" s="1" t="s">
        <v>7442</v>
      </c>
      <c r="C297" s="1" t="s">
        <v>7443</v>
      </c>
      <c r="D297" s="1" t="s">
        <v>7444</v>
      </c>
    </row>
    <row r="298" spans="1:4" x14ac:dyDescent="0.25">
      <c r="A298" s="1" t="s">
        <v>607</v>
      </c>
      <c r="B298" s="1" t="s">
        <v>7445</v>
      </c>
      <c r="C298" s="1" t="s">
        <v>7446</v>
      </c>
      <c r="D298" s="1" t="s">
        <v>7447</v>
      </c>
    </row>
    <row r="299" spans="1:4" x14ac:dyDescent="0.25">
      <c r="A299" s="1" t="s">
        <v>609</v>
      </c>
      <c r="B299" s="1" t="s">
        <v>7448</v>
      </c>
      <c r="C299" s="1" t="s">
        <v>7449</v>
      </c>
      <c r="D299" s="1" t="s">
        <v>7450</v>
      </c>
    </row>
    <row r="300" spans="1:4" x14ac:dyDescent="0.25">
      <c r="A300" s="1" t="s">
        <v>611</v>
      </c>
      <c r="B300" s="1" t="s">
        <v>7451</v>
      </c>
      <c r="C300" s="1" t="s">
        <v>7452</v>
      </c>
      <c r="D300" s="1" t="s">
        <v>7453</v>
      </c>
    </row>
    <row r="301" spans="1:4" x14ac:dyDescent="0.25">
      <c r="A301" s="1" t="s">
        <v>613</v>
      </c>
      <c r="B301" s="1" t="s">
        <v>7454</v>
      </c>
      <c r="C301" s="1" t="s">
        <v>7455</v>
      </c>
      <c r="D301" s="1" t="s">
        <v>7456</v>
      </c>
    </row>
    <row r="302" spans="1:4" x14ac:dyDescent="0.25">
      <c r="A302" s="1" t="s">
        <v>615</v>
      </c>
      <c r="B302" s="1" t="s">
        <v>7457</v>
      </c>
      <c r="C302" s="1" t="s">
        <v>7458</v>
      </c>
      <c r="D302" s="1" t="s">
        <v>7459</v>
      </c>
    </row>
    <row r="303" spans="1:4" x14ac:dyDescent="0.25">
      <c r="A303" s="1" t="s">
        <v>617</v>
      </c>
      <c r="B303" s="1" t="s">
        <v>7460</v>
      </c>
      <c r="C303" s="1" t="s">
        <v>7461</v>
      </c>
      <c r="D303" s="1" t="s">
        <v>7462</v>
      </c>
    </row>
    <row r="304" spans="1:4" x14ac:dyDescent="0.25">
      <c r="A304" s="1" t="s">
        <v>619</v>
      </c>
      <c r="B304" s="1" t="s">
        <v>7463</v>
      </c>
      <c r="C304" s="1" t="s">
        <v>7464</v>
      </c>
      <c r="D304" s="1" t="s">
        <v>7465</v>
      </c>
    </row>
    <row r="305" spans="1:4" x14ac:dyDescent="0.25">
      <c r="A305" s="1" t="s">
        <v>621</v>
      </c>
      <c r="B305" s="1" t="s">
        <v>7466</v>
      </c>
      <c r="C305" s="1" t="s">
        <v>7467</v>
      </c>
      <c r="D305" s="1" t="s">
        <v>7468</v>
      </c>
    </row>
    <row r="306" spans="1:4" x14ac:dyDescent="0.25">
      <c r="A306" s="1" t="s">
        <v>623</v>
      </c>
      <c r="B306" s="1" t="s">
        <v>7469</v>
      </c>
      <c r="C306" s="1" t="s">
        <v>7470</v>
      </c>
      <c r="D306" s="1" t="s">
        <v>7471</v>
      </c>
    </row>
    <row r="307" spans="1:4" x14ac:dyDescent="0.25">
      <c r="A307" s="1" t="s">
        <v>625</v>
      </c>
      <c r="B307" s="1" t="s">
        <v>7472</v>
      </c>
      <c r="C307" s="1" t="s">
        <v>7473</v>
      </c>
      <c r="D307" s="1" t="s">
        <v>7474</v>
      </c>
    </row>
    <row r="308" spans="1:4" x14ac:dyDescent="0.25">
      <c r="A308" s="1" t="s">
        <v>627</v>
      </c>
      <c r="B308" s="1" t="s">
        <v>7475</v>
      </c>
      <c r="C308" s="1" t="s">
        <v>7476</v>
      </c>
      <c r="D308" s="1" t="s">
        <v>7477</v>
      </c>
    </row>
    <row r="309" spans="1:4" x14ac:dyDescent="0.25">
      <c r="A309" s="1" t="s">
        <v>629</v>
      </c>
      <c r="B309" s="1" t="s">
        <v>7478</v>
      </c>
      <c r="C309" s="1" t="s">
        <v>7479</v>
      </c>
      <c r="D309" s="1" t="s">
        <v>7480</v>
      </c>
    </row>
    <row r="310" spans="1:4" x14ac:dyDescent="0.25">
      <c r="A310" s="1" t="s">
        <v>631</v>
      </c>
      <c r="B310" s="1" t="s">
        <v>7481</v>
      </c>
      <c r="C310" s="1" t="s">
        <v>7482</v>
      </c>
      <c r="D310" s="1" t="s">
        <v>7483</v>
      </c>
    </row>
    <row r="311" spans="1:4" x14ac:dyDescent="0.25">
      <c r="A311" s="1" t="s">
        <v>633</v>
      </c>
      <c r="B311" s="1" t="s">
        <v>7484</v>
      </c>
      <c r="C311" s="1" t="s">
        <v>7485</v>
      </c>
      <c r="D311" s="1" t="s">
        <v>7486</v>
      </c>
    </row>
    <row r="312" spans="1:4" x14ac:dyDescent="0.25">
      <c r="A312" s="1" t="s">
        <v>635</v>
      </c>
      <c r="B312" s="1" t="s">
        <v>7487</v>
      </c>
      <c r="C312" s="1" t="s">
        <v>7488</v>
      </c>
      <c r="D312" s="1" t="s">
        <v>7489</v>
      </c>
    </row>
    <row r="313" spans="1:4" x14ac:dyDescent="0.25">
      <c r="A313" s="1" t="s">
        <v>637</v>
      </c>
      <c r="B313" s="1" t="s">
        <v>7490</v>
      </c>
      <c r="C313" s="1" t="s">
        <v>7491</v>
      </c>
      <c r="D313" s="1" t="s">
        <v>7492</v>
      </c>
    </row>
    <row r="314" spans="1:4" x14ac:dyDescent="0.25">
      <c r="A314" s="1" t="s">
        <v>639</v>
      </c>
      <c r="B314" s="1" t="s">
        <v>7493</v>
      </c>
      <c r="C314" s="1" t="s">
        <v>7494</v>
      </c>
      <c r="D314" s="1" t="s">
        <v>7495</v>
      </c>
    </row>
    <row r="315" spans="1:4" x14ac:dyDescent="0.25">
      <c r="A315" s="1" t="s">
        <v>641</v>
      </c>
      <c r="B315" s="1" t="s">
        <v>7496</v>
      </c>
      <c r="C315" s="1" t="s">
        <v>7497</v>
      </c>
      <c r="D315" s="1" t="s">
        <v>7498</v>
      </c>
    </row>
    <row r="316" spans="1:4" x14ac:dyDescent="0.25">
      <c r="A316" s="1" t="s">
        <v>643</v>
      </c>
      <c r="B316" s="1" t="s">
        <v>7499</v>
      </c>
      <c r="C316" s="1" t="s">
        <v>7500</v>
      </c>
      <c r="D316" s="1" t="s">
        <v>7501</v>
      </c>
    </row>
    <row r="317" spans="1:4" x14ac:dyDescent="0.25">
      <c r="A317" s="1" t="s">
        <v>645</v>
      </c>
      <c r="B317" s="1" t="s">
        <v>7502</v>
      </c>
      <c r="C317" s="1" t="s">
        <v>7503</v>
      </c>
      <c r="D317" s="1" t="s">
        <v>7504</v>
      </c>
    </row>
    <row r="318" spans="1:4" x14ac:dyDescent="0.25">
      <c r="A318" s="1" t="s">
        <v>647</v>
      </c>
      <c r="B318" s="1" t="s">
        <v>7505</v>
      </c>
      <c r="C318" s="1" t="s">
        <v>7506</v>
      </c>
      <c r="D318" s="1" t="s">
        <v>7507</v>
      </c>
    </row>
    <row r="319" spans="1:4" x14ac:dyDescent="0.25">
      <c r="A319" s="1" t="s">
        <v>649</v>
      </c>
      <c r="B319" s="1" t="s">
        <v>7508</v>
      </c>
      <c r="C319" s="1" t="s">
        <v>7509</v>
      </c>
      <c r="D319" s="1" t="s">
        <v>7510</v>
      </c>
    </row>
    <row r="320" spans="1:4" x14ac:dyDescent="0.25">
      <c r="A320" s="1" t="s">
        <v>651</v>
      </c>
      <c r="B320" s="1" t="s">
        <v>7511</v>
      </c>
      <c r="C320" s="1" t="s">
        <v>7512</v>
      </c>
      <c r="D320" s="1" t="s">
        <v>7513</v>
      </c>
    </row>
    <row r="321" spans="1:4" x14ac:dyDescent="0.25">
      <c r="A321" s="1" t="s">
        <v>653</v>
      </c>
      <c r="B321" s="1" t="s">
        <v>7514</v>
      </c>
      <c r="C321" s="1" t="s">
        <v>7515</v>
      </c>
      <c r="D321" s="1" t="s">
        <v>7516</v>
      </c>
    </row>
    <row r="322" spans="1:4" x14ac:dyDescent="0.25">
      <c r="A322" s="1" t="s">
        <v>655</v>
      </c>
      <c r="B322" s="1" t="s">
        <v>7517</v>
      </c>
      <c r="C322" s="1" t="s">
        <v>7518</v>
      </c>
      <c r="D322" s="1" t="s">
        <v>7519</v>
      </c>
    </row>
    <row r="323" spans="1:4" x14ac:dyDescent="0.25">
      <c r="A323" s="1" t="s">
        <v>657</v>
      </c>
      <c r="B323" s="1" t="s">
        <v>7520</v>
      </c>
      <c r="C323" s="1" t="s">
        <v>7521</v>
      </c>
      <c r="D323" s="1" t="s">
        <v>7522</v>
      </c>
    </row>
    <row r="324" spans="1:4" x14ac:dyDescent="0.25">
      <c r="A324" s="1" t="s">
        <v>659</v>
      </c>
      <c r="B324" s="1" t="s">
        <v>7523</v>
      </c>
      <c r="C324" s="1" t="s">
        <v>7524</v>
      </c>
      <c r="D324" s="1" t="s">
        <v>7525</v>
      </c>
    </row>
    <row r="325" spans="1:4" x14ac:dyDescent="0.25">
      <c r="A325" s="1" t="s">
        <v>661</v>
      </c>
      <c r="B325" s="1" t="s">
        <v>7526</v>
      </c>
      <c r="C325" s="1" t="s">
        <v>7527</v>
      </c>
      <c r="D325" s="1" t="s">
        <v>7528</v>
      </c>
    </row>
    <row r="326" spans="1:4" x14ac:dyDescent="0.25">
      <c r="A326" s="1" t="s">
        <v>663</v>
      </c>
      <c r="B326" s="1" t="s">
        <v>7529</v>
      </c>
      <c r="C326" s="1" t="s">
        <v>7530</v>
      </c>
      <c r="D326" s="1" t="s">
        <v>7531</v>
      </c>
    </row>
    <row r="327" spans="1:4" x14ac:dyDescent="0.25">
      <c r="A327" s="1" t="s">
        <v>665</v>
      </c>
      <c r="B327" s="1" t="s">
        <v>7532</v>
      </c>
      <c r="C327" s="1" t="s">
        <v>7533</v>
      </c>
      <c r="D327" s="1" t="s">
        <v>7534</v>
      </c>
    </row>
    <row r="328" spans="1:4" x14ac:dyDescent="0.25">
      <c r="A328" s="1" t="s">
        <v>667</v>
      </c>
      <c r="B328" s="1" t="s">
        <v>7535</v>
      </c>
      <c r="C328" s="1" t="s">
        <v>7536</v>
      </c>
      <c r="D328" s="1" t="s">
        <v>7537</v>
      </c>
    </row>
    <row r="329" spans="1:4" x14ac:dyDescent="0.25">
      <c r="A329" s="1" t="s">
        <v>669</v>
      </c>
      <c r="B329" s="1" t="s">
        <v>7538</v>
      </c>
      <c r="C329" s="1" t="s">
        <v>7539</v>
      </c>
      <c r="D329" s="1" t="s">
        <v>7540</v>
      </c>
    </row>
    <row r="330" spans="1:4" x14ac:dyDescent="0.25">
      <c r="A330" s="1" t="s">
        <v>671</v>
      </c>
      <c r="B330" s="1" t="s">
        <v>7541</v>
      </c>
      <c r="C330" s="1" t="s">
        <v>7542</v>
      </c>
      <c r="D330" s="1" t="s">
        <v>7543</v>
      </c>
    </row>
    <row r="331" spans="1:4" x14ac:dyDescent="0.25">
      <c r="A331" s="1" t="s">
        <v>673</v>
      </c>
      <c r="B331" s="1" t="s">
        <v>7544</v>
      </c>
      <c r="C331" s="1" t="s">
        <v>7545</v>
      </c>
      <c r="D331" s="1" t="s">
        <v>7546</v>
      </c>
    </row>
    <row r="332" spans="1:4" x14ac:dyDescent="0.25">
      <c r="A332" s="1" t="s">
        <v>675</v>
      </c>
      <c r="B332" s="1" t="s">
        <v>7547</v>
      </c>
      <c r="C332" s="1" t="s">
        <v>7548</v>
      </c>
      <c r="D332" s="1" t="s">
        <v>7549</v>
      </c>
    </row>
    <row r="333" spans="1:4" x14ac:dyDescent="0.25">
      <c r="A333" s="1" t="s">
        <v>677</v>
      </c>
      <c r="B333" s="1" t="s">
        <v>7550</v>
      </c>
      <c r="C333" s="1" t="s">
        <v>7551</v>
      </c>
      <c r="D333" s="1" t="s">
        <v>7552</v>
      </c>
    </row>
    <row r="334" spans="1:4" x14ac:dyDescent="0.25">
      <c r="A334" s="1" t="s">
        <v>679</v>
      </c>
      <c r="B334" s="1" t="s">
        <v>7553</v>
      </c>
      <c r="C334" s="1" t="s">
        <v>7554</v>
      </c>
      <c r="D334" s="1" t="s">
        <v>7555</v>
      </c>
    </row>
    <row r="335" spans="1:4" x14ac:dyDescent="0.25">
      <c r="A335" s="1" t="s">
        <v>681</v>
      </c>
      <c r="B335" s="1" t="s">
        <v>7556</v>
      </c>
      <c r="C335" s="1" t="s">
        <v>7557</v>
      </c>
      <c r="D335" s="1" t="s">
        <v>7558</v>
      </c>
    </row>
    <row r="336" spans="1:4" x14ac:dyDescent="0.25">
      <c r="A336" s="1" t="s">
        <v>683</v>
      </c>
      <c r="B336" s="1" t="s">
        <v>7559</v>
      </c>
      <c r="C336" s="1" t="s">
        <v>7560</v>
      </c>
      <c r="D336" s="1" t="s">
        <v>7561</v>
      </c>
    </row>
    <row r="337" spans="1:4" x14ac:dyDescent="0.25">
      <c r="A337" s="1" t="s">
        <v>685</v>
      </c>
      <c r="B337" s="1" t="s">
        <v>7562</v>
      </c>
      <c r="C337" s="1" t="s">
        <v>7563</v>
      </c>
      <c r="D337" s="1" t="s">
        <v>7564</v>
      </c>
    </row>
    <row r="338" spans="1:4" x14ac:dyDescent="0.25">
      <c r="A338" s="1" t="s">
        <v>687</v>
      </c>
      <c r="B338" s="1" t="s">
        <v>7565</v>
      </c>
      <c r="C338" s="1" t="s">
        <v>7566</v>
      </c>
      <c r="D338" s="1" t="s">
        <v>7567</v>
      </c>
    </row>
    <row r="339" spans="1:4" x14ac:dyDescent="0.25">
      <c r="A339" s="1" t="s">
        <v>689</v>
      </c>
      <c r="B339" s="1" t="s">
        <v>7568</v>
      </c>
      <c r="C339" s="1" t="s">
        <v>7569</v>
      </c>
      <c r="D339" s="1" t="s">
        <v>7570</v>
      </c>
    </row>
    <row r="340" spans="1:4" x14ac:dyDescent="0.25">
      <c r="A340" s="1" t="s">
        <v>691</v>
      </c>
      <c r="B340" s="1" t="s">
        <v>7571</v>
      </c>
      <c r="C340" s="1" t="s">
        <v>7572</v>
      </c>
      <c r="D340" s="1" t="s">
        <v>7573</v>
      </c>
    </row>
    <row r="341" spans="1:4" x14ac:dyDescent="0.25">
      <c r="A341" s="1" t="s">
        <v>693</v>
      </c>
      <c r="B341" s="1" t="s">
        <v>7574</v>
      </c>
      <c r="C341" s="1" t="s">
        <v>7575</v>
      </c>
      <c r="D341" s="1" t="s">
        <v>7576</v>
      </c>
    </row>
    <row r="342" spans="1:4" x14ac:dyDescent="0.25">
      <c r="A342" s="1" t="s">
        <v>695</v>
      </c>
      <c r="B342" s="1" t="s">
        <v>7577</v>
      </c>
      <c r="C342" s="1" t="s">
        <v>7578</v>
      </c>
      <c r="D342" s="1" t="s">
        <v>7579</v>
      </c>
    </row>
    <row r="343" spans="1:4" x14ac:dyDescent="0.25">
      <c r="A343" s="1" t="s">
        <v>697</v>
      </c>
      <c r="B343" s="1" t="s">
        <v>7580</v>
      </c>
      <c r="C343" s="1" t="s">
        <v>7581</v>
      </c>
      <c r="D343" s="1" t="s">
        <v>7582</v>
      </c>
    </row>
    <row r="344" spans="1:4" x14ac:dyDescent="0.25">
      <c r="A344" s="1" t="s">
        <v>699</v>
      </c>
      <c r="B344" s="1" t="s">
        <v>7583</v>
      </c>
      <c r="C344" s="1" t="s">
        <v>7584</v>
      </c>
      <c r="D344" s="1" t="s">
        <v>7585</v>
      </c>
    </row>
    <row r="345" spans="1:4" x14ac:dyDescent="0.25">
      <c r="A345" s="1" t="s">
        <v>701</v>
      </c>
      <c r="B345" s="1" t="s">
        <v>7586</v>
      </c>
      <c r="C345" s="1" t="s">
        <v>7587</v>
      </c>
      <c r="D345" s="1" t="s">
        <v>7588</v>
      </c>
    </row>
    <row r="346" spans="1:4" x14ac:dyDescent="0.25">
      <c r="A346" s="1" t="s">
        <v>703</v>
      </c>
      <c r="B346" s="1" t="s">
        <v>7589</v>
      </c>
      <c r="C346" s="1" t="s">
        <v>7590</v>
      </c>
      <c r="D346" s="1" t="s">
        <v>7591</v>
      </c>
    </row>
    <row r="347" spans="1:4" x14ac:dyDescent="0.25">
      <c r="A347" s="1" t="s">
        <v>705</v>
      </c>
      <c r="B347" s="1" t="s">
        <v>7592</v>
      </c>
      <c r="C347" s="1" t="s">
        <v>7593</v>
      </c>
      <c r="D347" s="1" t="s">
        <v>7594</v>
      </c>
    </row>
    <row r="348" spans="1:4" x14ac:dyDescent="0.25">
      <c r="A348" s="1" t="s">
        <v>707</v>
      </c>
      <c r="B348" s="1" t="s">
        <v>7595</v>
      </c>
      <c r="C348" s="1" t="s">
        <v>7596</v>
      </c>
      <c r="D348" s="1" t="s">
        <v>7597</v>
      </c>
    </row>
    <row r="349" spans="1:4" x14ac:dyDescent="0.25">
      <c r="A349" s="1" t="s">
        <v>709</v>
      </c>
      <c r="B349" s="1" t="s">
        <v>7598</v>
      </c>
      <c r="C349" s="1" t="s">
        <v>7599</v>
      </c>
      <c r="D349" s="1" t="s">
        <v>7600</v>
      </c>
    </row>
    <row r="350" spans="1:4" x14ac:dyDescent="0.25">
      <c r="A350" s="1" t="s">
        <v>711</v>
      </c>
      <c r="B350" s="1" t="s">
        <v>7601</v>
      </c>
      <c r="C350" s="1" t="s">
        <v>7602</v>
      </c>
      <c r="D350" s="1" t="s">
        <v>7603</v>
      </c>
    </row>
    <row r="351" spans="1:4" x14ac:dyDescent="0.25">
      <c r="A351" s="1" t="s">
        <v>713</v>
      </c>
      <c r="B351" s="1" t="s">
        <v>7604</v>
      </c>
      <c r="C351" s="1" t="s">
        <v>7605</v>
      </c>
      <c r="D351" s="1" t="s">
        <v>7606</v>
      </c>
    </row>
    <row r="352" spans="1:4" x14ac:dyDescent="0.25">
      <c r="A352" s="1" t="s">
        <v>715</v>
      </c>
      <c r="B352" s="1" t="s">
        <v>7607</v>
      </c>
      <c r="C352" s="1" t="s">
        <v>7608</v>
      </c>
      <c r="D352" s="1" t="s">
        <v>7609</v>
      </c>
    </row>
    <row r="353" spans="1:4" x14ac:dyDescent="0.25">
      <c r="A353" s="1" t="s">
        <v>717</v>
      </c>
      <c r="B353" s="1" t="s">
        <v>7610</v>
      </c>
      <c r="C353" s="1" t="s">
        <v>7611</v>
      </c>
      <c r="D353" s="1" t="s">
        <v>7612</v>
      </c>
    </row>
    <row r="354" spans="1:4" x14ac:dyDescent="0.25">
      <c r="A354" s="1" t="s">
        <v>719</v>
      </c>
      <c r="B354" s="1" t="s">
        <v>7613</v>
      </c>
      <c r="C354" s="1" t="s">
        <v>7614</v>
      </c>
      <c r="D354" s="1" t="s">
        <v>7615</v>
      </c>
    </row>
    <row r="355" spans="1:4" x14ac:dyDescent="0.25">
      <c r="A355" s="1" t="s">
        <v>721</v>
      </c>
      <c r="B355" s="1" t="s">
        <v>7616</v>
      </c>
      <c r="C355" s="1" t="s">
        <v>7617</v>
      </c>
      <c r="D355" s="1" t="s">
        <v>7618</v>
      </c>
    </row>
    <row r="356" spans="1:4" x14ac:dyDescent="0.25">
      <c r="A356" s="1" t="s">
        <v>723</v>
      </c>
      <c r="B356" s="1" t="s">
        <v>7619</v>
      </c>
      <c r="C356" s="1" t="s">
        <v>7620</v>
      </c>
      <c r="D356" s="1" t="s">
        <v>7621</v>
      </c>
    </row>
    <row r="357" spans="1:4" x14ac:dyDescent="0.25">
      <c r="A357" s="1" t="s">
        <v>725</v>
      </c>
      <c r="B357" s="1" t="s">
        <v>7622</v>
      </c>
      <c r="C357" s="1" t="s">
        <v>7623</v>
      </c>
      <c r="D357" s="1" t="s">
        <v>7624</v>
      </c>
    </row>
    <row r="358" spans="1:4" x14ac:dyDescent="0.25">
      <c r="A358" s="1" t="s">
        <v>727</v>
      </c>
      <c r="B358" s="1" t="s">
        <v>7625</v>
      </c>
      <c r="C358" s="1" t="s">
        <v>7626</v>
      </c>
      <c r="D358" s="1" t="s">
        <v>7627</v>
      </c>
    </row>
    <row r="359" spans="1:4" x14ac:dyDescent="0.25">
      <c r="A359" s="1" t="s">
        <v>729</v>
      </c>
      <c r="B359" s="1" t="s">
        <v>7628</v>
      </c>
      <c r="C359" s="1" t="s">
        <v>7629</v>
      </c>
      <c r="D359" s="1" t="s">
        <v>7630</v>
      </c>
    </row>
    <row r="360" spans="1:4" x14ac:dyDescent="0.25">
      <c r="A360" s="1" t="s">
        <v>731</v>
      </c>
      <c r="B360" s="1" t="s">
        <v>7631</v>
      </c>
      <c r="C360" s="1" t="s">
        <v>7632</v>
      </c>
      <c r="D360" s="1" t="s">
        <v>7633</v>
      </c>
    </row>
    <row r="361" spans="1:4" x14ac:dyDescent="0.25">
      <c r="A361" s="1" t="s">
        <v>733</v>
      </c>
      <c r="B361" s="1" t="s">
        <v>7634</v>
      </c>
      <c r="C361" s="1" t="s">
        <v>7635</v>
      </c>
      <c r="D361" s="1" t="s">
        <v>7636</v>
      </c>
    </row>
    <row r="362" spans="1:4" x14ac:dyDescent="0.25">
      <c r="A362" s="1" t="s">
        <v>735</v>
      </c>
      <c r="B362" s="1" t="s">
        <v>7637</v>
      </c>
      <c r="C362" s="1" t="s">
        <v>7638</v>
      </c>
      <c r="D362" s="1" t="s">
        <v>7639</v>
      </c>
    </row>
    <row r="363" spans="1:4" x14ac:dyDescent="0.25">
      <c r="A363" s="1" t="s">
        <v>737</v>
      </c>
      <c r="B363" s="1" t="s">
        <v>7640</v>
      </c>
      <c r="C363" s="1" t="s">
        <v>7641</v>
      </c>
      <c r="D363" s="1" t="s">
        <v>7642</v>
      </c>
    </row>
    <row r="364" spans="1:4" x14ac:dyDescent="0.25">
      <c r="A364" s="1" t="s">
        <v>739</v>
      </c>
      <c r="B364" s="1" t="s">
        <v>7643</v>
      </c>
      <c r="C364" s="1" t="s">
        <v>7644</v>
      </c>
      <c r="D364" s="1" t="s">
        <v>7645</v>
      </c>
    </row>
    <row r="365" spans="1:4" x14ac:dyDescent="0.25">
      <c r="A365" s="1" t="s">
        <v>741</v>
      </c>
      <c r="B365" s="1" t="s">
        <v>7646</v>
      </c>
      <c r="C365" s="1" t="s">
        <v>7647</v>
      </c>
      <c r="D365" s="1" t="s">
        <v>7648</v>
      </c>
    </row>
    <row r="366" spans="1:4" x14ac:dyDescent="0.25">
      <c r="A366" s="1" t="s">
        <v>743</v>
      </c>
      <c r="B366" s="1" t="s">
        <v>7649</v>
      </c>
      <c r="C366" s="1" t="s">
        <v>7650</v>
      </c>
      <c r="D366" s="1" t="s">
        <v>7651</v>
      </c>
    </row>
    <row r="367" spans="1:4" x14ac:dyDescent="0.25">
      <c r="A367" s="1" t="s">
        <v>745</v>
      </c>
      <c r="B367" s="1" t="s">
        <v>7652</v>
      </c>
      <c r="C367" s="1" t="s">
        <v>7653</v>
      </c>
      <c r="D367" s="1" t="s">
        <v>7654</v>
      </c>
    </row>
    <row r="368" spans="1:4" x14ac:dyDescent="0.25">
      <c r="A368" s="1" t="s">
        <v>747</v>
      </c>
      <c r="B368" s="1" t="s">
        <v>7655</v>
      </c>
      <c r="C368" s="1" t="s">
        <v>7656</v>
      </c>
      <c r="D368" s="1" t="s">
        <v>7657</v>
      </c>
    </row>
    <row r="369" spans="1:4" x14ac:dyDescent="0.25">
      <c r="A369" s="1" t="s">
        <v>749</v>
      </c>
      <c r="B369" s="1" t="s">
        <v>7658</v>
      </c>
      <c r="C369" s="1" t="s">
        <v>7659</v>
      </c>
      <c r="D369" s="1" t="s">
        <v>7660</v>
      </c>
    </row>
    <row r="370" spans="1:4" x14ac:dyDescent="0.25">
      <c r="A370" s="1" t="s">
        <v>751</v>
      </c>
      <c r="B370" s="1" t="s">
        <v>7661</v>
      </c>
      <c r="C370" s="1" t="s">
        <v>7662</v>
      </c>
      <c r="D370" s="1" t="s">
        <v>7663</v>
      </c>
    </row>
    <row r="371" spans="1:4" x14ac:dyDescent="0.25">
      <c r="A371" s="1" t="s">
        <v>753</v>
      </c>
      <c r="B371" s="1" t="s">
        <v>7664</v>
      </c>
      <c r="C371" s="1" t="s">
        <v>7665</v>
      </c>
      <c r="D371" s="1" t="s">
        <v>7666</v>
      </c>
    </row>
    <row r="372" spans="1:4" x14ac:dyDescent="0.25">
      <c r="A372" s="1" t="s">
        <v>755</v>
      </c>
      <c r="B372" s="1" t="s">
        <v>7667</v>
      </c>
      <c r="C372" s="1" t="s">
        <v>7668</v>
      </c>
      <c r="D372" s="1" t="s">
        <v>7669</v>
      </c>
    </row>
    <row r="373" spans="1:4" x14ac:dyDescent="0.25">
      <c r="A373" s="1" t="s">
        <v>757</v>
      </c>
      <c r="B373" s="1" t="s">
        <v>7670</v>
      </c>
      <c r="C373" s="1" t="s">
        <v>7671</v>
      </c>
      <c r="D373" s="1" t="s">
        <v>7672</v>
      </c>
    </row>
    <row r="374" spans="1:4" x14ac:dyDescent="0.25">
      <c r="A374" s="1" t="s">
        <v>759</v>
      </c>
      <c r="B374" s="1" t="s">
        <v>7673</v>
      </c>
      <c r="C374" s="1" t="s">
        <v>7674</v>
      </c>
      <c r="D374" s="1" t="s">
        <v>7675</v>
      </c>
    </row>
    <row r="375" spans="1:4" x14ac:dyDescent="0.25">
      <c r="A375" s="1" t="s">
        <v>761</v>
      </c>
      <c r="B375" s="1" t="s">
        <v>7676</v>
      </c>
      <c r="C375" s="1" t="s">
        <v>7677</v>
      </c>
      <c r="D375" s="1" t="s">
        <v>7678</v>
      </c>
    </row>
    <row r="376" spans="1:4" x14ac:dyDescent="0.25">
      <c r="A376" s="1" t="s">
        <v>763</v>
      </c>
      <c r="B376" s="1" t="s">
        <v>7679</v>
      </c>
      <c r="C376" s="1" t="s">
        <v>7680</v>
      </c>
      <c r="D376" s="1" t="s">
        <v>7681</v>
      </c>
    </row>
    <row r="377" spans="1:4" x14ac:dyDescent="0.25">
      <c r="A377" s="1" t="s">
        <v>765</v>
      </c>
      <c r="B377" s="1" t="s">
        <v>7682</v>
      </c>
      <c r="C377" s="1" t="s">
        <v>7683</v>
      </c>
      <c r="D377" s="1" t="s">
        <v>7684</v>
      </c>
    </row>
    <row r="378" spans="1:4" x14ac:dyDescent="0.25">
      <c r="A378" s="1" t="s">
        <v>767</v>
      </c>
      <c r="B378" s="1" t="s">
        <v>7685</v>
      </c>
      <c r="C378" s="1" t="s">
        <v>7686</v>
      </c>
      <c r="D378" s="1" t="s">
        <v>7687</v>
      </c>
    </row>
    <row r="379" spans="1:4" x14ac:dyDescent="0.25">
      <c r="A379" s="1" t="s">
        <v>769</v>
      </c>
      <c r="B379" s="1" t="s">
        <v>7688</v>
      </c>
      <c r="C379" s="1" t="s">
        <v>7689</v>
      </c>
      <c r="D379" s="1" t="s">
        <v>7690</v>
      </c>
    </row>
    <row r="380" spans="1:4" x14ac:dyDescent="0.25">
      <c r="A380" s="1" t="s">
        <v>771</v>
      </c>
      <c r="B380" s="1" t="s">
        <v>7691</v>
      </c>
      <c r="C380" s="1" t="s">
        <v>7692</v>
      </c>
      <c r="D380" s="1" t="s">
        <v>7693</v>
      </c>
    </row>
    <row r="381" spans="1:4" x14ac:dyDescent="0.25">
      <c r="A381" s="1" t="s">
        <v>773</v>
      </c>
      <c r="B381" s="1" t="s">
        <v>7694</v>
      </c>
      <c r="C381" s="1" t="s">
        <v>7695</v>
      </c>
      <c r="D381" s="1" t="s">
        <v>7696</v>
      </c>
    </row>
    <row r="382" spans="1:4" x14ac:dyDescent="0.25">
      <c r="A382" s="1" t="s">
        <v>775</v>
      </c>
      <c r="B382" s="1" t="s">
        <v>7697</v>
      </c>
      <c r="C382" s="1" t="s">
        <v>7698</v>
      </c>
      <c r="D382" s="1" t="s">
        <v>7699</v>
      </c>
    </row>
    <row r="383" spans="1:4" x14ac:dyDescent="0.25">
      <c r="A383" s="1" t="s">
        <v>777</v>
      </c>
      <c r="B383" s="1" t="s">
        <v>7700</v>
      </c>
      <c r="C383" s="1" t="s">
        <v>7701</v>
      </c>
      <c r="D383" s="1" t="s">
        <v>7702</v>
      </c>
    </row>
    <row r="384" spans="1:4" x14ac:dyDescent="0.25">
      <c r="A384" s="1" t="s">
        <v>779</v>
      </c>
      <c r="B384" s="1" t="s">
        <v>7703</v>
      </c>
      <c r="C384" s="1" t="s">
        <v>7704</v>
      </c>
      <c r="D384" s="1" t="s">
        <v>7705</v>
      </c>
    </row>
    <row r="385" spans="1:4" x14ac:dyDescent="0.25">
      <c r="A385" s="1" t="s">
        <v>781</v>
      </c>
      <c r="B385" s="1" t="s">
        <v>7706</v>
      </c>
      <c r="C385" s="1" t="s">
        <v>7707</v>
      </c>
      <c r="D385" s="1" t="s">
        <v>7708</v>
      </c>
    </row>
    <row r="386" spans="1:4" x14ac:dyDescent="0.25">
      <c r="A386" s="1" t="s">
        <v>783</v>
      </c>
      <c r="B386" s="1" t="s">
        <v>7709</v>
      </c>
      <c r="C386" s="1" t="s">
        <v>7710</v>
      </c>
      <c r="D386" s="1" t="s">
        <v>7711</v>
      </c>
    </row>
    <row r="387" spans="1:4" x14ac:dyDescent="0.25">
      <c r="A387" s="1" t="s">
        <v>785</v>
      </c>
      <c r="B387" s="1" t="s">
        <v>7712</v>
      </c>
      <c r="C387" s="1" t="s">
        <v>7713</v>
      </c>
      <c r="D387" s="1" t="s">
        <v>7714</v>
      </c>
    </row>
    <row r="388" spans="1:4" x14ac:dyDescent="0.25">
      <c r="A388" s="1" t="s">
        <v>787</v>
      </c>
      <c r="B388" s="1" t="s">
        <v>7715</v>
      </c>
      <c r="C388" s="1" t="s">
        <v>7716</v>
      </c>
      <c r="D388" s="1" t="s">
        <v>7717</v>
      </c>
    </row>
    <row r="389" spans="1:4" x14ac:dyDescent="0.25">
      <c r="A389" s="1" t="s">
        <v>789</v>
      </c>
      <c r="B389" s="1" t="s">
        <v>7718</v>
      </c>
      <c r="C389" s="1" t="s">
        <v>7719</v>
      </c>
      <c r="D389" s="1" t="s">
        <v>7720</v>
      </c>
    </row>
    <row r="390" spans="1:4" x14ac:dyDescent="0.25">
      <c r="A390" s="1" t="s">
        <v>791</v>
      </c>
      <c r="B390" s="1" t="s">
        <v>7721</v>
      </c>
      <c r="C390" s="1" t="s">
        <v>7722</v>
      </c>
      <c r="D390" s="1" t="s">
        <v>7723</v>
      </c>
    </row>
    <row r="391" spans="1:4" x14ac:dyDescent="0.25">
      <c r="A391" s="1" t="s">
        <v>793</v>
      </c>
      <c r="B391" s="1" t="s">
        <v>7724</v>
      </c>
      <c r="C391" s="1" t="s">
        <v>7725</v>
      </c>
      <c r="D391" s="1" t="s">
        <v>7726</v>
      </c>
    </row>
    <row r="392" spans="1:4" x14ac:dyDescent="0.25">
      <c r="A392" s="1" t="s">
        <v>795</v>
      </c>
      <c r="B392" s="1" t="s">
        <v>7727</v>
      </c>
      <c r="C392" s="1" t="s">
        <v>7728</v>
      </c>
      <c r="D392" s="1" t="s">
        <v>7729</v>
      </c>
    </row>
    <row r="393" spans="1:4" x14ac:dyDescent="0.25">
      <c r="A393" s="1" t="s">
        <v>797</v>
      </c>
      <c r="B393" s="1" t="s">
        <v>7730</v>
      </c>
      <c r="C393" s="1" t="s">
        <v>7731</v>
      </c>
      <c r="D393" s="1" t="s">
        <v>7732</v>
      </c>
    </row>
    <row r="394" spans="1:4" x14ac:dyDescent="0.25">
      <c r="A394" s="1" t="s">
        <v>799</v>
      </c>
      <c r="B394" s="1" t="s">
        <v>7733</v>
      </c>
      <c r="C394" s="1" t="s">
        <v>7734</v>
      </c>
      <c r="D394" s="1" t="s">
        <v>7735</v>
      </c>
    </row>
    <row r="395" spans="1:4" x14ac:dyDescent="0.25">
      <c r="A395" s="1" t="s">
        <v>801</v>
      </c>
      <c r="B395" s="1" t="s">
        <v>7736</v>
      </c>
      <c r="C395" s="1" t="s">
        <v>7737</v>
      </c>
      <c r="D395" s="1" t="s">
        <v>7738</v>
      </c>
    </row>
    <row r="396" spans="1:4" x14ac:dyDescent="0.25">
      <c r="A396" s="1" t="s">
        <v>803</v>
      </c>
      <c r="B396" s="1" t="s">
        <v>7739</v>
      </c>
      <c r="C396" s="1" t="s">
        <v>7740</v>
      </c>
      <c r="D396" s="1" t="s">
        <v>7741</v>
      </c>
    </row>
    <row r="397" spans="1:4" x14ac:dyDescent="0.25">
      <c r="A397" s="1" t="s">
        <v>805</v>
      </c>
      <c r="B397" s="1" t="s">
        <v>7742</v>
      </c>
      <c r="C397" s="1" t="s">
        <v>7743</v>
      </c>
      <c r="D397" s="1" t="s">
        <v>7744</v>
      </c>
    </row>
    <row r="398" spans="1:4" x14ac:dyDescent="0.25">
      <c r="A398" s="1" t="s">
        <v>807</v>
      </c>
      <c r="B398" s="1" t="s">
        <v>7745</v>
      </c>
      <c r="C398" s="1" t="s">
        <v>7746</v>
      </c>
      <c r="D398" s="1" t="s">
        <v>7747</v>
      </c>
    </row>
    <row r="399" spans="1:4" x14ac:dyDescent="0.25">
      <c r="A399" s="1" t="s">
        <v>809</v>
      </c>
      <c r="B399" s="1" t="s">
        <v>7748</v>
      </c>
      <c r="C399" s="1" t="s">
        <v>7749</v>
      </c>
      <c r="D399" s="1" t="s">
        <v>7750</v>
      </c>
    </row>
    <row r="400" spans="1:4" x14ac:dyDescent="0.25">
      <c r="A400" s="1" t="s">
        <v>811</v>
      </c>
      <c r="B400" s="1" t="s">
        <v>7751</v>
      </c>
      <c r="C400" s="1" t="s">
        <v>7752</v>
      </c>
      <c r="D400" s="1" t="s">
        <v>7753</v>
      </c>
    </row>
    <row r="401" spans="1:4" x14ac:dyDescent="0.25">
      <c r="A401" s="1" t="s">
        <v>813</v>
      </c>
      <c r="B401" s="1" t="s">
        <v>7754</v>
      </c>
      <c r="C401" s="1" t="s">
        <v>7755</v>
      </c>
      <c r="D401" s="1" t="s">
        <v>7756</v>
      </c>
    </row>
    <row r="402" spans="1:4" x14ac:dyDescent="0.25">
      <c r="A402" s="1" t="s">
        <v>815</v>
      </c>
      <c r="B402" s="1" t="s">
        <v>7757</v>
      </c>
      <c r="C402" s="1" t="s">
        <v>7758</v>
      </c>
      <c r="D402" s="1" t="s">
        <v>7759</v>
      </c>
    </row>
    <row r="403" spans="1:4" x14ac:dyDescent="0.25">
      <c r="A403" s="1" t="s">
        <v>817</v>
      </c>
      <c r="B403" s="1" t="s">
        <v>7760</v>
      </c>
      <c r="C403" s="1" t="s">
        <v>7761</v>
      </c>
      <c r="D403" s="1" t="s">
        <v>7762</v>
      </c>
    </row>
    <row r="404" spans="1:4" x14ac:dyDescent="0.25">
      <c r="A404" s="1" t="s">
        <v>819</v>
      </c>
      <c r="B404" s="1" t="s">
        <v>7763</v>
      </c>
      <c r="C404" s="1" t="s">
        <v>7764</v>
      </c>
      <c r="D404" s="1" t="s">
        <v>7765</v>
      </c>
    </row>
    <row r="405" spans="1:4" x14ac:dyDescent="0.25">
      <c r="A405" s="1" t="s">
        <v>821</v>
      </c>
      <c r="B405" s="1" t="s">
        <v>7766</v>
      </c>
      <c r="C405" s="1" t="s">
        <v>7767</v>
      </c>
      <c r="D405" s="1" t="s">
        <v>7768</v>
      </c>
    </row>
    <row r="406" spans="1:4" x14ac:dyDescent="0.25">
      <c r="A406" s="1" t="s">
        <v>823</v>
      </c>
      <c r="B406" s="1" t="s">
        <v>7769</v>
      </c>
      <c r="C406" s="1" t="s">
        <v>7770</v>
      </c>
      <c r="D406" s="1" t="s">
        <v>7771</v>
      </c>
    </row>
    <row r="407" spans="1:4" x14ac:dyDescent="0.25">
      <c r="A407" s="1" t="s">
        <v>825</v>
      </c>
      <c r="B407" s="1" t="s">
        <v>7772</v>
      </c>
      <c r="C407" s="1" t="s">
        <v>7773</v>
      </c>
      <c r="D407" s="1" t="s">
        <v>7774</v>
      </c>
    </row>
    <row r="408" spans="1:4" x14ac:dyDescent="0.25">
      <c r="A408" s="1" t="s">
        <v>827</v>
      </c>
      <c r="B408" s="1" t="s">
        <v>7775</v>
      </c>
      <c r="C408" s="1" t="s">
        <v>7776</v>
      </c>
      <c r="D408" s="1" t="s">
        <v>7777</v>
      </c>
    </row>
    <row r="409" spans="1:4" x14ac:dyDescent="0.25">
      <c r="A409" s="1" t="s">
        <v>829</v>
      </c>
      <c r="B409" s="1" t="s">
        <v>7778</v>
      </c>
      <c r="C409" s="1" t="s">
        <v>7779</v>
      </c>
      <c r="D409" s="1" t="s">
        <v>7780</v>
      </c>
    </row>
    <row r="410" spans="1:4" x14ac:dyDescent="0.25">
      <c r="A410" s="1" t="s">
        <v>831</v>
      </c>
      <c r="B410" s="1" t="s">
        <v>7781</v>
      </c>
      <c r="C410" s="1" t="s">
        <v>7782</v>
      </c>
      <c r="D410" s="1" t="s">
        <v>7783</v>
      </c>
    </row>
    <row r="411" spans="1:4" x14ac:dyDescent="0.25">
      <c r="A411" s="1" t="s">
        <v>833</v>
      </c>
      <c r="B411" s="1" t="s">
        <v>7784</v>
      </c>
      <c r="C411" s="1" t="s">
        <v>7785</v>
      </c>
      <c r="D411" s="1" t="s">
        <v>7786</v>
      </c>
    </row>
    <row r="412" spans="1:4" x14ac:dyDescent="0.25">
      <c r="A412" s="1" t="s">
        <v>835</v>
      </c>
      <c r="B412" s="1" t="s">
        <v>7787</v>
      </c>
      <c r="C412" s="1" t="s">
        <v>7788</v>
      </c>
      <c r="D412" s="1" t="s">
        <v>7789</v>
      </c>
    </row>
    <row r="413" spans="1:4" x14ac:dyDescent="0.25">
      <c r="A413" s="1" t="s">
        <v>837</v>
      </c>
      <c r="B413" s="1" t="s">
        <v>7790</v>
      </c>
      <c r="C413" s="1" t="s">
        <v>7791</v>
      </c>
      <c r="D413" s="1" t="s">
        <v>7792</v>
      </c>
    </row>
    <row r="414" spans="1:4" x14ac:dyDescent="0.25">
      <c r="A414" s="1" t="s">
        <v>839</v>
      </c>
      <c r="B414" s="1" t="s">
        <v>7793</v>
      </c>
      <c r="C414" s="1" t="s">
        <v>7794</v>
      </c>
      <c r="D414" s="1" t="s">
        <v>7795</v>
      </c>
    </row>
    <row r="415" spans="1:4" x14ac:dyDescent="0.25">
      <c r="A415" s="1" t="s">
        <v>841</v>
      </c>
      <c r="B415" s="1" t="s">
        <v>7796</v>
      </c>
      <c r="C415" s="1" t="s">
        <v>7797</v>
      </c>
      <c r="D415" s="1" t="s">
        <v>7798</v>
      </c>
    </row>
    <row r="416" spans="1:4" x14ac:dyDescent="0.25">
      <c r="A416" s="1" t="s">
        <v>843</v>
      </c>
      <c r="B416" s="1" t="s">
        <v>7799</v>
      </c>
      <c r="C416" s="1" t="s">
        <v>7800</v>
      </c>
      <c r="D416" s="1" t="s">
        <v>7801</v>
      </c>
    </row>
    <row r="417" spans="1:4" x14ac:dyDescent="0.25">
      <c r="A417" s="1" t="s">
        <v>845</v>
      </c>
      <c r="B417" s="1" t="s">
        <v>7802</v>
      </c>
      <c r="C417" s="1" t="s">
        <v>7803</v>
      </c>
      <c r="D417" s="1" t="s">
        <v>7804</v>
      </c>
    </row>
    <row r="418" spans="1:4" x14ac:dyDescent="0.25">
      <c r="A418" s="1" t="s">
        <v>847</v>
      </c>
      <c r="B418" s="1" t="s">
        <v>7805</v>
      </c>
      <c r="C418" s="1" t="s">
        <v>7806</v>
      </c>
      <c r="D418" s="1" t="s">
        <v>7807</v>
      </c>
    </row>
    <row r="419" spans="1:4" x14ac:dyDescent="0.25">
      <c r="A419" s="1" t="s">
        <v>849</v>
      </c>
      <c r="B419" s="1" t="s">
        <v>7808</v>
      </c>
      <c r="C419" s="1" t="s">
        <v>7809</v>
      </c>
      <c r="D419" s="1" t="s">
        <v>7810</v>
      </c>
    </row>
    <row r="420" spans="1:4" x14ac:dyDescent="0.25">
      <c r="A420" s="1" t="s">
        <v>851</v>
      </c>
      <c r="B420" s="1" t="s">
        <v>7811</v>
      </c>
      <c r="C420" s="1" t="s">
        <v>7812</v>
      </c>
      <c r="D420" s="1" t="s">
        <v>7813</v>
      </c>
    </row>
    <row r="421" spans="1:4" x14ac:dyDescent="0.25">
      <c r="A421" s="1" t="s">
        <v>853</v>
      </c>
      <c r="B421" s="1" t="s">
        <v>7814</v>
      </c>
      <c r="C421" s="1" t="s">
        <v>7815</v>
      </c>
      <c r="D421" s="1" t="s">
        <v>7816</v>
      </c>
    </row>
    <row r="422" spans="1:4" x14ac:dyDescent="0.25">
      <c r="A422" s="1" t="s">
        <v>855</v>
      </c>
      <c r="B422" s="1" t="s">
        <v>7817</v>
      </c>
      <c r="C422" s="1" t="s">
        <v>7818</v>
      </c>
      <c r="D422" s="1" t="s">
        <v>7819</v>
      </c>
    </row>
    <row r="423" spans="1:4" x14ac:dyDescent="0.25">
      <c r="A423" s="1" t="s">
        <v>857</v>
      </c>
      <c r="B423" s="1" t="s">
        <v>7820</v>
      </c>
      <c r="C423" s="1" t="s">
        <v>7821</v>
      </c>
      <c r="D423" s="1" t="s">
        <v>7822</v>
      </c>
    </row>
    <row r="424" spans="1:4" x14ac:dyDescent="0.25">
      <c r="A424" s="1" t="s">
        <v>859</v>
      </c>
      <c r="B424" s="1" t="s">
        <v>7823</v>
      </c>
      <c r="C424" s="1" t="s">
        <v>7824</v>
      </c>
      <c r="D424" s="1" t="s">
        <v>7825</v>
      </c>
    </row>
    <row r="425" spans="1:4" x14ac:dyDescent="0.25">
      <c r="A425" s="1" t="s">
        <v>861</v>
      </c>
      <c r="B425" s="1" t="s">
        <v>7826</v>
      </c>
      <c r="C425" s="1" t="s">
        <v>7827</v>
      </c>
      <c r="D425" s="1" t="s">
        <v>7828</v>
      </c>
    </row>
    <row r="426" spans="1:4" x14ac:dyDescent="0.25">
      <c r="A426" s="1" t="s">
        <v>863</v>
      </c>
      <c r="B426" s="1" t="s">
        <v>7829</v>
      </c>
      <c r="C426" s="1" t="s">
        <v>7830</v>
      </c>
      <c r="D426" s="1" t="s">
        <v>7831</v>
      </c>
    </row>
    <row r="427" spans="1:4" x14ac:dyDescent="0.25">
      <c r="A427" s="1" t="s">
        <v>865</v>
      </c>
      <c r="B427" s="1" t="s">
        <v>7832</v>
      </c>
      <c r="C427" s="1" t="s">
        <v>7833</v>
      </c>
      <c r="D427" s="1" t="s">
        <v>7834</v>
      </c>
    </row>
    <row r="428" spans="1:4" x14ac:dyDescent="0.25">
      <c r="A428" s="1" t="s">
        <v>867</v>
      </c>
      <c r="B428" s="1" t="s">
        <v>7835</v>
      </c>
      <c r="C428" s="1" t="s">
        <v>7836</v>
      </c>
      <c r="D428" s="1" t="s">
        <v>7837</v>
      </c>
    </row>
    <row r="429" spans="1:4" x14ac:dyDescent="0.25">
      <c r="A429" s="1" t="s">
        <v>869</v>
      </c>
      <c r="B429" s="1" t="s">
        <v>7838</v>
      </c>
      <c r="C429" s="1" t="s">
        <v>7839</v>
      </c>
      <c r="D429" s="1" t="s">
        <v>7840</v>
      </c>
    </row>
    <row r="430" spans="1:4" x14ac:dyDescent="0.25">
      <c r="A430" s="1" t="s">
        <v>871</v>
      </c>
      <c r="B430" s="1" t="s">
        <v>7841</v>
      </c>
      <c r="C430" s="1" t="s">
        <v>7842</v>
      </c>
      <c r="D430" s="1" t="s">
        <v>7843</v>
      </c>
    </row>
    <row r="431" spans="1:4" x14ac:dyDescent="0.25">
      <c r="A431" s="1" t="s">
        <v>873</v>
      </c>
      <c r="B431" s="1" t="s">
        <v>7844</v>
      </c>
      <c r="C431" s="1" t="s">
        <v>7845</v>
      </c>
      <c r="D431" s="1" t="s">
        <v>7846</v>
      </c>
    </row>
    <row r="432" spans="1:4" x14ac:dyDescent="0.25">
      <c r="A432" s="1" t="s">
        <v>875</v>
      </c>
      <c r="B432" s="1" t="s">
        <v>7847</v>
      </c>
      <c r="C432" s="1" t="s">
        <v>7848</v>
      </c>
      <c r="D432" s="1" t="s">
        <v>7849</v>
      </c>
    </row>
    <row r="433" spans="1:4" x14ac:dyDescent="0.25">
      <c r="A433" s="1" t="s">
        <v>877</v>
      </c>
      <c r="B433" s="1" t="s">
        <v>7850</v>
      </c>
      <c r="C433" s="1" t="s">
        <v>7851</v>
      </c>
      <c r="D433" s="1" t="s">
        <v>7852</v>
      </c>
    </row>
    <row r="434" spans="1:4" x14ac:dyDescent="0.25">
      <c r="A434" s="1" t="s">
        <v>879</v>
      </c>
      <c r="B434" s="1" t="s">
        <v>7853</v>
      </c>
      <c r="C434" s="1" t="s">
        <v>7854</v>
      </c>
      <c r="D434" s="1" t="s">
        <v>7855</v>
      </c>
    </row>
    <row r="435" spans="1:4" x14ac:dyDescent="0.25">
      <c r="A435" s="1" t="s">
        <v>881</v>
      </c>
      <c r="B435" s="1" t="s">
        <v>7856</v>
      </c>
      <c r="C435" s="1" t="s">
        <v>7857</v>
      </c>
      <c r="D435" s="1" t="s">
        <v>7858</v>
      </c>
    </row>
    <row r="436" spans="1:4" x14ac:dyDescent="0.25">
      <c r="A436" s="1" t="s">
        <v>883</v>
      </c>
      <c r="B436" s="1" t="s">
        <v>7859</v>
      </c>
      <c r="C436" s="1" t="s">
        <v>7860</v>
      </c>
      <c r="D436" s="1" t="s">
        <v>7861</v>
      </c>
    </row>
    <row r="437" spans="1:4" x14ac:dyDescent="0.25">
      <c r="A437" s="1" t="s">
        <v>885</v>
      </c>
      <c r="B437" s="1" t="s">
        <v>7862</v>
      </c>
      <c r="C437" s="1" t="s">
        <v>7863</v>
      </c>
      <c r="D437" s="1" t="s">
        <v>7864</v>
      </c>
    </row>
    <row r="438" spans="1:4" x14ac:dyDescent="0.25">
      <c r="A438" s="1" t="s">
        <v>887</v>
      </c>
      <c r="B438" s="1" t="s">
        <v>7865</v>
      </c>
      <c r="C438" s="1" t="s">
        <v>7866</v>
      </c>
      <c r="D438" s="1" t="s">
        <v>7867</v>
      </c>
    </row>
    <row r="439" spans="1:4" x14ac:dyDescent="0.25">
      <c r="A439" s="1" t="s">
        <v>889</v>
      </c>
      <c r="B439" s="1" t="s">
        <v>7868</v>
      </c>
      <c r="C439" s="1" t="s">
        <v>7869</v>
      </c>
      <c r="D439" s="1" t="s">
        <v>7870</v>
      </c>
    </row>
    <row r="440" spans="1:4" x14ac:dyDescent="0.25">
      <c r="A440" s="1" t="s">
        <v>891</v>
      </c>
      <c r="B440" s="1" t="s">
        <v>7871</v>
      </c>
      <c r="C440" s="1" t="s">
        <v>7872</v>
      </c>
      <c r="D440" s="1" t="s">
        <v>7873</v>
      </c>
    </row>
    <row r="441" spans="1:4" x14ac:dyDescent="0.25">
      <c r="A441" s="1" t="s">
        <v>893</v>
      </c>
      <c r="B441" s="1" t="s">
        <v>7874</v>
      </c>
      <c r="C441" s="1" t="s">
        <v>7875</v>
      </c>
      <c r="D441" s="1" t="s">
        <v>7876</v>
      </c>
    </row>
    <row r="442" spans="1:4" x14ac:dyDescent="0.25">
      <c r="A442" s="1" t="s">
        <v>895</v>
      </c>
      <c r="B442" s="1" t="s">
        <v>7877</v>
      </c>
      <c r="C442" s="1" t="s">
        <v>7878</v>
      </c>
      <c r="D442" s="1" t="s">
        <v>7879</v>
      </c>
    </row>
    <row r="443" spans="1:4" x14ac:dyDescent="0.25">
      <c r="A443" s="1" t="s">
        <v>897</v>
      </c>
      <c r="B443" s="1" t="s">
        <v>7880</v>
      </c>
      <c r="C443" s="1" t="s">
        <v>7881</v>
      </c>
      <c r="D443" s="1" t="s">
        <v>7882</v>
      </c>
    </row>
    <row r="444" spans="1:4" x14ac:dyDescent="0.25">
      <c r="A444" s="1" t="s">
        <v>899</v>
      </c>
      <c r="B444" s="1" t="s">
        <v>7883</v>
      </c>
      <c r="C444" s="1" t="s">
        <v>7884</v>
      </c>
      <c r="D444" s="1" t="s">
        <v>7885</v>
      </c>
    </row>
    <row r="445" spans="1:4" x14ac:dyDescent="0.25">
      <c r="A445" s="1" t="s">
        <v>901</v>
      </c>
      <c r="B445" s="1" t="s">
        <v>7886</v>
      </c>
      <c r="C445" s="1" t="s">
        <v>7887</v>
      </c>
      <c r="D445" s="1" t="s">
        <v>7888</v>
      </c>
    </row>
    <row r="446" spans="1:4" x14ac:dyDescent="0.25">
      <c r="A446" s="1" t="s">
        <v>903</v>
      </c>
      <c r="B446" s="1" t="s">
        <v>7889</v>
      </c>
      <c r="C446" s="1" t="s">
        <v>7890</v>
      </c>
      <c r="D446" s="1" t="s">
        <v>7891</v>
      </c>
    </row>
    <row r="447" spans="1:4" x14ac:dyDescent="0.25">
      <c r="A447" s="1" t="s">
        <v>905</v>
      </c>
      <c r="B447" s="1" t="s">
        <v>7892</v>
      </c>
      <c r="C447" s="1" t="s">
        <v>7893</v>
      </c>
      <c r="D447" s="1" t="s">
        <v>7894</v>
      </c>
    </row>
    <row r="448" spans="1:4" x14ac:dyDescent="0.25">
      <c r="A448" s="1" t="s">
        <v>907</v>
      </c>
      <c r="B448" s="1" t="s">
        <v>7895</v>
      </c>
      <c r="C448" s="1" t="s">
        <v>7896</v>
      </c>
      <c r="D448" s="1" t="s">
        <v>7897</v>
      </c>
    </row>
    <row r="449" spans="1:4" x14ac:dyDescent="0.25">
      <c r="A449" s="1" t="s">
        <v>909</v>
      </c>
      <c r="B449" s="1" t="s">
        <v>7898</v>
      </c>
      <c r="C449" s="1" t="s">
        <v>7899</v>
      </c>
      <c r="D449" s="1" t="s">
        <v>7900</v>
      </c>
    </row>
    <row r="450" spans="1:4" x14ac:dyDescent="0.25">
      <c r="A450" s="1" t="s">
        <v>911</v>
      </c>
      <c r="B450" s="1" t="s">
        <v>7901</v>
      </c>
      <c r="C450" s="1" t="s">
        <v>7902</v>
      </c>
      <c r="D450" s="1" t="s">
        <v>7903</v>
      </c>
    </row>
    <row r="451" spans="1:4" x14ac:dyDescent="0.25">
      <c r="A451" s="1" t="s">
        <v>913</v>
      </c>
      <c r="B451" s="1" t="s">
        <v>7904</v>
      </c>
      <c r="C451" s="1" t="s">
        <v>7905</v>
      </c>
      <c r="D451" s="1" t="s">
        <v>7906</v>
      </c>
    </row>
    <row r="452" spans="1:4" x14ac:dyDescent="0.25">
      <c r="A452" s="1" t="s">
        <v>915</v>
      </c>
      <c r="B452" s="1" t="s">
        <v>7907</v>
      </c>
      <c r="C452" s="1" t="s">
        <v>7908</v>
      </c>
      <c r="D452" s="1" t="s">
        <v>7909</v>
      </c>
    </row>
    <row r="453" spans="1:4" x14ac:dyDescent="0.25">
      <c r="A453" s="1" t="s">
        <v>917</v>
      </c>
      <c r="B453" s="1" t="s">
        <v>7910</v>
      </c>
      <c r="C453" s="1" t="s">
        <v>7911</v>
      </c>
      <c r="D453" s="1" t="s">
        <v>7912</v>
      </c>
    </row>
    <row r="454" spans="1:4" x14ac:dyDescent="0.25">
      <c r="A454" s="1" t="s">
        <v>919</v>
      </c>
      <c r="B454" s="1" t="s">
        <v>7913</v>
      </c>
      <c r="C454" s="1" t="s">
        <v>7914</v>
      </c>
      <c r="D454" s="1" t="s">
        <v>7915</v>
      </c>
    </row>
    <row r="455" spans="1:4" x14ac:dyDescent="0.25">
      <c r="A455" s="1" t="s">
        <v>921</v>
      </c>
      <c r="B455" s="1" t="s">
        <v>7916</v>
      </c>
      <c r="C455" s="1" t="s">
        <v>7917</v>
      </c>
      <c r="D455" s="1" t="s">
        <v>7918</v>
      </c>
    </row>
    <row r="456" spans="1:4" x14ac:dyDescent="0.25">
      <c r="A456" s="1" t="s">
        <v>923</v>
      </c>
      <c r="B456" s="1" t="s">
        <v>7919</v>
      </c>
      <c r="C456" s="1" t="s">
        <v>7920</v>
      </c>
      <c r="D456" s="1" t="s">
        <v>7921</v>
      </c>
    </row>
    <row r="457" spans="1:4" x14ac:dyDescent="0.25">
      <c r="A457" s="1" t="s">
        <v>925</v>
      </c>
      <c r="B457" s="1" t="s">
        <v>7922</v>
      </c>
      <c r="C457" s="1" t="s">
        <v>7923</v>
      </c>
      <c r="D457" s="1" t="s">
        <v>7924</v>
      </c>
    </row>
    <row r="458" spans="1:4" x14ac:dyDescent="0.25">
      <c r="A458" s="1" t="s">
        <v>927</v>
      </c>
      <c r="B458" s="1" t="s">
        <v>7925</v>
      </c>
      <c r="C458" s="1" t="s">
        <v>7926</v>
      </c>
      <c r="D458" s="1" t="s">
        <v>7927</v>
      </c>
    </row>
    <row r="459" spans="1:4" x14ac:dyDescent="0.25">
      <c r="A459" s="1" t="s">
        <v>929</v>
      </c>
      <c r="B459" s="1" t="s">
        <v>7928</v>
      </c>
      <c r="C459" s="1" t="s">
        <v>7929</v>
      </c>
      <c r="D459" s="1" t="s">
        <v>7930</v>
      </c>
    </row>
    <row r="460" spans="1:4" x14ac:dyDescent="0.25">
      <c r="A460" s="1" t="s">
        <v>931</v>
      </c>
      <c r="B460" s="1" t="s">
        <v>7931</v>
      </c>
      <c r="C460" s="1" t="s">
        <v>7932</v>
      </c>
      <c r="D460" s="1" t="s">
        <v>7933</v>
      </c>
    </row>
    <row r="461" spans="1:4" x14ac:dyDescent="0.25">
      <c r="A461" s="1" t="s">
        <v>933</v>
      </c>
      <c r="B461" s="1" t="s">
        <v>7934</v>
      </c>
      <c r="C461" s="1" t="s">
        <v>7935</v>
      </c>
      <c r="D461" s="1" t="s">
        <v>7936</v>
      </c>
    </row>
    <row r="462" spans="1:4" x14ac:dyDescent="0.25">
      <c r="A462" s="1" t="s">
        <v>935</v>
      </c>
      <c r="B462" s="1" t="s">
        <v>7937</v>
      </c>
      <c r="C462" s="1" t="s">
        <v>7938</v>
      </c>
      <c r="D462" s="1" t="s">
        <v>7939</v>
      </c>
    </row>
    <row r="463" spans="1:4" x14ac:dyDescent="0.25">
      <c r="A463" s="1" t="s">
        <v>937</v>
      </c>
      <c r="B463" s="1" t="s">
        <v>7940</v>
      </c>
      <c r="C463" s="1" t="s">
        <v>7941</v>
      </c>
      <c r="D463" s="1" t="s">
        <v>7942</v>
      </c>
    </row>
    <row r="464" spans="1:4" x14ac:dyDescent="0.25">
      <c r="A464" s="1" t="s">
        <v>939</v>
      </c>
      <c r="B464" s="1" t="s">
        <v>7943</v>
      </c>
      <c r="C464" s="1" t="s">
        <v>7944</v>
      </c>
      <c r="D464" s="1" t="s">
        <v>7945</v>
      </c>
    </row>
    <row r="465" spans="1:4" x14ac:dyDescent="0.25">
      <c r="A465" s="1" t="s">
        <v>941</v>
      </c>
      <c r="B465" s="1" t="s">
        <v>7946</v>
      </c>
      <c r="C465" s="1" t="s">
        <v>7947</v>
      </c>
      <c r="D465" s="1" t="s">
        <v>7948</v>
      </c>
    </row>
    <row r="466" spans="1:4" x14ac:dyDescent="0.25">
      <c r="A466" s="1" t="s">
        <v>943</v>
      </c>
      <c r="B466" s="1" t="s">
        <v>7949</v>
      </c>
      <c r="C466" s="1" t="s">
        <v>7950</v>
      </c>
      <c r="D466" s="1" t="s">
        <v>7951</v>
      </c>
    </row>
    <row r="467" spans="1:4" x14ac:dyDescent="0.25">
      <c r="A467" s="1" t="s">
        <v>945</v>
      </c>
      <c r="B467" s="1" t="s">
        <v>7952</v>
      </c>
      <c r="C467" s="1" t="s">
        <v>7953</v>
      </c>
      <c r="D467" s="1" t="s">
        <v>7954</v>
      </c>
    </row>
    <row r="468" spans="1:4" x14ac:dyDescent="0.25">
      <c r="A468" s="1" t="s">
        <v>947</v>
      </c>
      <c r="B468" s="1" t="s">
        <v>7955</v>
      </c>
      <c r="C468" s="1" t="s">
        <v>7956</v>
      </c>
      <c r="D468" s="1" t="s">
        <v>7957</v>
      </c>
    </row>
    <row r="469" spans="1:4" x14ac:dyDescent="0.25">
      <c r="A469" s="1" t="s">
        <v>949</v>
      </c>
      <c r="B469" s="1" t="s">
        <v>7958</v>
      </c>
      <c r="C469" s="1" t="s">
        <v>7959</v>
      </c>
      <c r="D469" s="1" t="s">
        <v>7960</v>
      </c>
    </row>
    <row r="470" spans="1:4" x14ac:dyDescent="0.25">
      <c r="A470" s="1" t="s">
        <v>951</v>
      </c>
      <c r="B470" s="1" t="s">
        <v>7961</v>
      </c>
      <c r="C470" s="1" t="s">
        <v>7962</v>
      </c>
      <c r="D470" s="1" t="s">
        <v>7963</v>
      </c>
    </row>
    <row r="471" spans="1:4" x14ac:dyDescent="0.25">
      <c r="A471" s="1" t="s">
        <v>953</v>
      </c>
      <c r="B471" s="1" t="s">
        <v>7964</v>
      </c>
      <c r="C471" s="1" t="s">
        <v>7965</v>
      </c>
      <c r="D471" s="1" t="s">
        <v>7966</v>
      </c>
    </row>
    <row r="472" spans="1:4" x14ac:dyDescent="0.25">
      <c r="A472" s="1" t="s">
        <v>955</v>
      </c>
      <c r="B472" s="1" t="s">
        <v>7967</v>
      </c>
      <c r="C472" s="1" t="s">
        <v>7968</v>
      </c>
      <c r="D472" s="1" t="s">
        <v>7969</v>
      </c>
    </row>
    <row r="473" spans="1:4" x14ac:dyDescent="0.25">
      <c r="A473" s="1" t="s">
        <v>957</v>
      </c>
      <c r="B473" s="1" t="s">
        <v>7970</v>
      </c>
      <c r="C473" s="1" t="s">
        <v>7971</v>
      </c>
      <c r="D473" s="1" t="s">
        <v>7972</v>
      </c>
    </row>
    <row r="474" spans="1:4" x14ac:dyDescent="0.25">
      <c r="A474" s="1" t="s">
        <v>959</v>
      </c>
      <c r="B474" s="1" t="s">
        <v>7973</v>
      </c>
      <c r="C474" s="1" t="s">
        <v>7974</v>
      </c>
      <c r="D474" s="1" t="s">
        <v>7975</v>
      </c>
    </row>
    <row r="475" spans="1:4" x14ac:dyDescent="0.25">
      <c r="A475" s="1" t="s">
        <v>961</v>
      </c>
      <c r="B475" s="1" t="s">
        <v>7976</v>
      </c>
      <c r="C475" s="1" t="s">
        <v>7977</v>
      </c>
      <c r="D475" s="1" t="s">
        <v>7978</v>
      </c>
    </row>
    <row r="476" spans="1:4" x14ac:dyDescent="0.25">
      <c r="A476" s="1" t="s">
        <v>963</v>
      </c>
      <c r="B476" s="1" t="s">
        <v>7979</v>
      </c>
      <c r="C476" s="1" t="s">
        <v>7980</v>
      </c>
      <c r="D476" s="1" t="s">
        <v>7981</v>
      </c>
    </row>
    <row r="477" spans="1:4" x14ac:dyDescent="0.25">
      <c r="A477" s="1" t="s">
        <v>965</v>
      </c>
      <c r="B477" s="1" t="s">
        <v>7982</v>
      </c>
      <c r="C477" s="1" t="s">
        <v>7983</v>
      </c>
      <c r="D477" s="1" t="s">
        <v>7984</v>
      </c>
    </row>
    <row r="478" spans="1:4" x14ac:dyDescent="0.25">
      <c r="A478" s="1" t="s">
        <v>967</v>
      </c>
      <c r="B478" s="1" t="s">
        <v>7985</v>
      </c>
      <c r="C478" s="1" t="s">
        <v>7986</v>
      </c>
      <c r="D478" s="1" t="s">
        <v>7987</v>
      </c>
    </row>
    <row r="479" spans="1:4" x14ac:dyDescent="0.25">
      <c r="A479" s="1" t="s">
        <v>969</v>
      </c>
      <c r="B479" s="1" t="s">
        <v>7988</v>
      </c>
      <c r="C479" s="1" t="s">
        <v>7989</v>
      </c>
      <c r="D479" s="1" t="s">
        <v>7990</v>
      </c>
    </row>
    <row r="480" spans="1:4" x14ac:dyDescent="0.25">
      <c r="A480" s="1" t="s">
        <v>971</v>
      </c>
      <c r="B480" s="1" t="s">
        <v>7991</v>
      </c>
      <c r="C480" s="1" t="s">
        <v>7992</v>
      </c>
      <c r="D480" s="1" t="s">
        <v>7993</v>
      </c>
    </row>
    <row r="481" spans="1:4" x14ac:dyDescent="0.25">
      <c r="A481" s="1" t="s">
        <v>973</v>
      </c>
      <c r="B481" s="1" t="s">
        <v>7994</v>
      </c>
      <c r="C481" s="1" t="s">
        <v>7995</v>
      </c>
      <c r="D481" s="1" t="s">
        <v>7996</v>
      </c>
    </row>
    <row r="482" spans="1:4" x14ac:dyDescent="0.25">
      <c r="A482" s="1" t="s">
        <v>975</v>
      </c>
      <c r="B482" s="1" t="s">
        <v>7997</v>
      </c>
      <c r="C482" s="1" t="s">
        <v>7998</v>
      </c>
      <c r="D482" s="1" t="s">
        <v>7999</v>
      </c>
    </row>
    <row r="483" spans="1:4" x14ac:dyDescent="0.25">
      <c r="A483" s="1" t="s">
        <v>977</v>
      </c>
      <c r="B483" s="1" t="s">
        <v>8000</v>
      </c>
      <c r="C483" s="1" t="s">
        <v>8001</v>
      </c>
      <c r="D483" s="1" t="s">
        <v>8002</v>
      </c>
    </row>
    <row r="484" spans="1:4" x14ac:dyDescent="0.25">
      <c r="A484" s="1" t="s">
        <v>979</v>
      </c>
      <c r="B484" s="1" t="s">
        <v>8003</v>
      </c>
      <c r="C484" s="1" t="s">
        <v>8004</v>
      </c>
      <c r="D484" s="1" t="s">
        <v>8005</v>
      </c>
    </row>
    <row r="485" spans="1:4" x14ac:dyDescent="0.25">
      <c r="A485" s="1" t="s">
        <v>981</v>
      </c>
      <c r="B485" s="1" t="s">
        <v>8006</v>
      </c>
      <c r="C485" s="1" t="s">
        <v>8007</v>
      </c>
      <c r="D485" s="1" t="s">
        <v>8008</v>
      </c>
    </row>
    <row r="486" spans="1:4" x14ac:dyDescent="0.25">
      <c r="A486" s="1" t="s">
        <v>983</v>
      </c>
      <c r="B486" s="1" t="s">
        <v>8009</v>
      </c>
      <c r="C486" s="1" t="s">
        <v>8010</v>
      </c>
      <c r="D486" s="1" t="s">
        <v>8011</v>
      </c>
    </row>
    <row r="487" spans="1:4" x14ac:dyDescent="0.25">
      <c r="A487" s="1" t="s">
        <v>985</v>
      </c>
      <c r="B487" s="1" t="s">
        <v>8012</v>
      </c>
      <c r="C487" s="1" t="s">
        <v>8013</v>
      </c>
      <c r="D487" s="1" t="s">
        <v>8014</v>
      </c>
    </row>
    <row r="488" spans="1:4" x14ac:dyDescent="0.25">
      <c r="A488" s="1" t="s">
        <v>987</v>
      </c>
      <c r="B488" s="1" t="s">
        <v>8015</v>
      </c>
      <c r="C488" s="1" t="s">
        <v>8016</v>
      </c>
      <c r="D488" s="1" t="s">
        <v>8017</v>
      </c>
    </row>
    <row r="489" spans="1:4" x14ac:dyDescent="0.25">
      <c r="A489" s="1" t="s">
        <v>989</v>
      </c>
      <c r="B489" s="1" t="s">
        <v>8018</v>
      </c>
      <c r="C489" s="1" t="s">
        <v>8019</v>
      </c>
      <c r="D489" s="1" t="s">
        <v>8020</v>
      </c>
    </row>
    <row r="490" spans="1:4" x14ac:dyDescent="0.25">
      <c r="A490" s="1" t="s">
        <v>991</v>
      </c>
      <c r="B490" s="1" t="s">
        <v>8021</v>
      </c>
      <c r="C490" s="1" t="s">
        <v>8022</v>
      </c>
      <c r="D490" s="1" t="s">
        <v>8023</v>
      </c>
    </row>
    <row r="491" spans="1:4" x14ac:dyDescent="0.25">
      <c r="A491" s="1" t="s">
        <v>993</v>
      </c>
      <c r="B491" s="1" t="s">
        <v>8024</v>
      </c>
      <c r="C491" s="1" t="s">
        <v>8025</v>
      </c>
      <c r="D491" s="1" t="s">
        <v>8026</v>
      </c>
    </row>
    <row r="492" spans="1:4" x14ac:dyDescent="0.25">
      <c r="A492" s="1" t="s">
        <v>995</v>
      </c>
      <c r="B492" s="1" t="s">
        <v>8027</v>
      </c>
      <c r="C492" s="1" t="s">
        <v>8028</v>
      </c>
      <c r="D492" s="1" t="s">
        <v>8029</v>
      </c>
    </row>
    <row r="493" spans="1:4" x14ac:dyDescent="0.25">
      <c r="A493" s="1" t="s">
        <v>997</v>
      </c>
      <c r="B493" s="1" t="s">
        <v>8030</v>
      </c>
      <c r="C493" s="1" t="s">
        <v>8031</v>
      </c>
      <c r="D493" s="1" t="s">
        <v>8032</v>
      </c>
    </row>
    <row r="494" spans="1:4" x14ac:dyDescent="0.25">
      <c r="A494" s="1" t="s">
        <v>999</v>
      </c>
      <c r="B494" s="1" t="s">
        <v>8033</v>
      </c>
      <c r="C494" s="1" t="s">
        <v>8034</v>
      </c>
      <c r="D494" s="1" t="s">
        <v>8035</v>
      </c>
    </row>
    <row r="495" spans="1:4" x14ac:dyDescent="0.25">
      <c r="A495" s="1" t="s">
        <v>1001</v>
      </c>
      <c r="B495" s="1" t="s">
        <v>8036</v>
      </c>
      <c r="C495" s="1" t="s">
        <v>8037</v>
      </c>
      <c r="D495" s="1" t="s">
        <v>8038</v>
      </c>
    </row>
    <row r="496" spans="1:4" x14ac:dyDescent="0.25">
      <c r="A496" s="1" t="s">
        <v>1003</v>
      </c>
      <c r="B496" s="1" t="s">
        <v>8039</v>
      </c>
      <c r="C496" s="1" t="s">
        <v>8040</v>
      </c>
      <c r="D496" s="1" t="s">
        <v>8041</v>
      </c>
    </row>
    <row r="497" spans="1:4" x14ac:dyDescent="0.25">
      <c r="A497" s="1" t="s">
        <v>1005</v>
      </c>
      <c r="B497" s="1" t="s">
        <v>8042</v>
      </c>
      <c r="C497" s="1" t="s">
        <v>8043</v>
      </c>
      <c r="D497" s="1" t="s">
        <v>8044</v>
      </c>
    </row>
    <row r="498" spans="1:4" x14ac:dyDescent="0.25">
      <c r="A498" s="1" t="s">
        <v>1007</v>
      </c>
      <c r="B498" s="1" t="s">
        <v>8045</v>
      </c>
      <c r="C498" s="1" t="s">
        <v>8046</v>
      </c>
      <c r="D498" s="1" t="s">
        <v>8047</v>
      </c>
    </row>
    <row r="499" spans="1:4" x14ac:dyDescent="0.25">
      <c r="A499" s="1" t="s">
        <v>1009</v>
      </c>
      <c r="B499" s="1" t="s">
        <v>8048</v>
      </c>
      <c r="C499" s="1" t="s">
        <v>8049</v>
      </c>
      <c r="D499" s="1" t="s">
        <v>8050</v>
      </c>
    </row>
    <row r="500" spans="1:4" x14ac:dyDescent="0.25">
      <c r="A500" s="1" t="s">
        <v>1011</v>
      </c>
      <c r="B500" s="1" t="s">
        <v>8051</v>
      </c>
      <c r="C500" s="1" t="s">
        <v>8052</v>
      </c>
      <c r="D500" s="1" t="s">
        <v>8053</v>
      </c>
    </row>
    <row r="501" spans="1:4" x14ac:dyDescent="0.25">
      <c r="A501" s="1" t="s">
        <v>1013</v>
      </c>
      <c r="B501" s="1" t="s">
        <v>8054</v>
      </c>
      <c r="C501" s="1" t="s">
        <v>8055</v>
      </c>
      <c r="D501" s="1" t="s">
        <v>8056</v>
      </c>
    </row>
    <row r="502" spans="1:4" x14ac:dyDescent="0.25">
      <c r="A502" s="1" t="s">
        <v>1015</v>
      </c>
      <c r="B502" s="1" t="s">
        <v>8057</v>
      </c>
      <c r="C502" s="1" t="s">
        <v>8058</v>
      </c>
      <c r="D502" s="1" t="s">
        <v>8059</v>
      </c>
    </row>
    <row r="503" spans="1:4" x14ac:dyDescent="0.25">
      <c r="A503" s="1" t="s">
        <v>1017</v>
      </c>
      <c r="B503" s="1" t="s">
        <v>8060</v>
      </c>
      <c r="C503" s="1" t="s">
        <v>8061</v>
      </c>
      <c r="D503" s="1" t="s">
        <v>8062</v>
      </c>
    </row>
    <row r="504" spans="1:4" x14ac:dyDescent="0.25">
      <c r="A504" s="1" t="s">
        <v>1019</v>
      </c>
      <c r="B504" s="1" t="s">
        <v>8063</v>
      </c>
      <c r="C504" s="1" t="s">
        <v>8064</v>
      </c>
      <c r="D504" s="1" t="s">
        <v>8065</v>
      </c>
    </row>
    <row r="505" spans="1:4" x14ac:dyDescent="0.25">
      <c r="A505" s="1" t="s">
        <v>1021</v>
      </c>
      <c r="B505" s="1" t="s">
        <v>8066</v>
      </c>
      <c r="C505" s="1" t="s">
        <v>8067</v>
      </c>
      <c r="D505" s="1" t="s">
        <v>8068</v>
      </c>
    </row>
    <row r="506" spans="1:4" x14ac:dyDescent="0.25">
      <c r="A506" s="1" t="s">
        <v>1023</v>
      </c>
      <c r="B506" s="1" t="s">
        <v>8069</v>
      </c>
      <c r="C506" s="1" t="s">
        <v>8070</v>
      </c>
      <c r="D506" s="1" t="s">
        <v>8071</v>
      </c>
    </row>
    <row r="507" spans="1:4" x14ac:dyDescent="0.25">
      <c r="A507" s="1" t="s">
        <v>1025</v>
      </c>
      <c r="B507" s="1" t="s">
        <v>8072</v>
      </c>
      <c r="C507" s="1" t="s">
        <v>8073</v>
      </c>
      <c r="D507" s="1" t="s">
        <v>8074</v>
      </c>
    </row>
    <row r="508" spans="1:4" x14ac:dyDescent="0.25">
      <c r="A508" s="1" t="s">
        <v>1027</v>
      </c>
      <c r="B508" s="1" t="s">
        <v>8075</v>
      </c>
      <c r="C508" s="1" t="s">
        <v>8076</v>
      </c>
      <c r="D508" s="1" t="s">
        <v>8077</v>
      </c>
    </row>
    <row r="509" spans="1:4" x14ac:dyDescent="0.25">
      <c r="A509" s="1" t="s">
        <v>1029</v>
      </c>
      <c r="B509" s="1" t="s">
        <v>8078</v>
      </c>
      <c r="C509" s="1" t="s">
        <v>8079</v>
      </c>
      <c r="D509" s="1" t="s">
        <v>8080</v>
      </c>
    </row>
    <row r="510" spans="1:4" x14ac:dyDescent="0.25">
      <c r="A510" s="1" t="s">
        <v>1031</v>
      </c>
      <c r="B510" s="1" t="s">
        <v>8081</v>
      </c>
      <c r="C510" s="1" t="s">
        <v>8082</v>
      </c>
      <c r="D510" s="1" t="s">
        <v>8083</v>
      </c>
    </row>
    <row r="511" spans="1:4" x14ac:dyDescent="0.25">
      <c r="A511" s="1" t="s">
        <v>1033</v>
      </c>
      <c r="B511" s="1" t="s">
        <v>8084</v>
      </c>
      <c r="C511" s="1" t="s">
        <v>8085</v>
      </c>
      <c r="D511" s="1" t="s">
        <v>8086</v>
      </c>
    </row>
    <row r="512" spans="1:4" x14ac:dyDescent="0.25">
      <c r="A512" s="1" t="s">
        <v>1035</v>
      </c>
      <c r="B512" s="1" t="s">
        <v>8087</v>
      </c>
      <c r="C512" s="1" t="s">
        <v>8088</v>
      </c>
      <c r="D512" s="1" t="s">
        <v>8089</v>
      </c>
    </row>
    <row r="513" spans="1:4" x14ac:dyDescent="0.25">
      <c r="A513" s="1" t="s">
        <v>1037</v>
      </c>
      <c r="B513" s="1" t="s">
        <v>8090</v>
      </c>
      <c r="C513" s="1" t="s">
        <v>8091</v>
      </c>
      <c r="D513" s="1" t="s">
        <v>8092</v>
      </c>
    </row>
    <row r="514" spans="1:4" x14ac:dyDescent="0.25">
      <c r="A514" s="1" t="s">
        <v>1039</v>
      </c>
      <c r="B514" s="1" t="s">
        <v>8093</v>
      </c>
      <c r="C514" s="1" t="s">
        <v>8094</v>
      </c>
      <c r="D514" s="1" t="s">
        <v>8095</v>
      </c>
    </row>
    <row r="515" spans="1:4" x14ac:dyDescent="0.25">
      <c r="A515" s="1" t="s">
        <v>1041</v>
      </c>
      <c r="B515" s="1" t="s">
        <v>8096</v>
      </c>
      <c r="C515" s="1" t="s">
        <v>8097</v>
      </c>
      <c r="D515" s="1" t="s">
        <v>8098</v>
      </c>
    </row>
    <row r="516" spans="1:4" x14ac:dyDescent="0.25">
      <c r="A516" s="1" t="s">
        <v>1043</v>
      </c>
      <c r="B516" s="1" t="s">
        <v>8099</v>
      </c>
      <c r="C516" s="1" t="s">
        <v>8100</v>
      </c>
      <c r="D516" s="1" t="s">
        <v>8101</v>
      </c>
    </row>
    <row r="517" spans="1:4" x14ac:dyDescent="0.25">
      <c r="A517" s="1" t="s">
        <v>1045</v>
      </c>
      <c r="B517" s="1" t="s">
        <v>8102</v>
      </c>
      <c r="C517" s="1" t="s">
        <v>8103</v>
      </c>
      <c r="D517" s="1" t="s">
        <v>8104</v>
      </c>
    </row>
    <row r="518" spans="1:4" x14ac:dyDescent="0.25">
      <c r="A518" s="1" t="s">
        <v>1047</v>
      </c>
      <c r="B518" s="1" t="s">
        <v>8105</v>
      </c>
      <c r="C518" s="1" t="s">
        <v>8106</v>
      </c>
      <c r="D518" s="1" t="s">
        <v>8107</v>
      </c>
    </row>
    <row r="519" spans="1:4" x14ac:dyDescent="0.25">
      <c r="A519" s="1" t="s">
        <v>1049</v>
      </c>
      <c r="B519" s="1" t="s">
        <v>8108</v>
      </c>
      <c r="C519" s="1" t="s">
        <v>8109</v>
      </c>
      <c r="D519" s="1" t="s">
        <v>8110</v>
      </c>
    </row>
    <row r="520" spans="1:4" x14ac:dyDescent="0.25">
      <c r="A520" s="1" t="s">
        <v>1051</v>
      </c>
      <c r="B520" s="1" t="s">
        <v>8111</v>
      </c>
      <c r="C520" s="1" t="s">
        <v>8112</v>
      </c>
      <c r="D520" s="1" t="s">
        <v>8113</v>
      </c>
    </row>
    <row r="521" spans="1:4" x14ac:dyDescent="0.25">
      <c r="A521" s="1" t="s">
        <v>1053</v>
      </c>
      <c r="B521" s="1" t="s">
        <v>8114</v>
      </c>
      <c r="C521" s="1" t="s">
        <v>8115</v>
      </c>
      <c r="D521" s="1" t="s">
        <v>8116</v>
      </c>
    </row>
    <row r="522" spans="1:4" x14ac:dyDescent="0.25">
      <c r="A522" s="1" t="s">
        <v>1055</v>
      </c>
      <c r="B522" s="1" t="s">
        <v>8117</v>
      </c>
      <c r="C522" s="1" t="s">
        <v>8118</v>
      </c>
      <c r="D522" s="1" t="s">
        <v>8119</v>
      </c>
    </row>
    <row r="523" spans="1:4" x14ac:dyDescent="0.25">
      <c r="A523" s="1" t="s">
        <v>1057</v>
      </c>
      <c r="B523" s="1" t="s">
        <v>8120</v>
      </c>
      <c r="C523" s="1" t="s">
        <v>8121</v>
      </c>
      <c r="D523" s="1" t="s">
        <v>8122</v>
      </c>
    </row>
    <row r="524" spans="1:4" x14ac:dyDescent="0.25">
      <c r="A524" s="1" t="s">
        <v>1059</v>
      </c>
      <c r="B524" s="1" t="s">
        <v>8123</v>
      </c>
      <c r="C524" s="1" t="s">
        <v>8124</v>
      </c>
      <c r="D524" s="1" t="s">
        <v>8125</v>
      </c>
    </row>
    <row r="525" spans="1:4" x14ac:dyDescent="0.25">
      <c r="A525" s="1" t="s">
        <v>1061</v>
      </c>
      <c r="B525" s="1" t="s">
        <v>8126</v>
      </c>
      <c r="C525" s="1" t="s">
        <v>8127</v>
      </c>
      <c r="D525" s="1" t="s">
        <v>8128</v>
      </c>
    </row>
    <row r="526" spans="1:4" x14ac:dyDescent="0.25">
      <c r="A526" s="1" t="s">
        <v>1063</v>
      </c>
      <c r="B526" s="1" t="s">
        <v>8129</v>
      </c>
      <c r="C526" s="1" t="s">
        <v>8130</v>
      </c>
      <c r="D526" s="1" t="s">
        <v>8131</v>
      </c>
    </row>
    <row r="527" spans="1:4" x14ac:dyDescent="0.25">
      <c r="A527" s="1" t="s">
        <v>1065</v>
      </c>
      <c r="B527" s="1" t="s">
        <v>8132</v>
      </c>
      <c r="C527" s="1" t="s">
        <v>8133</v>
      </c>
      <c r="D527" s="1" t="s">
        <v>8134</v>
      </c>
    </row>
    <row r="528" spans="1:4" x14ac:dyDescent="0.25">
      <c r="A528" s="1" t="s">
        <v>1067</v>
      </c>
      <c r="B528" s="1" t="s">
        <v>8135</v>
      </c>
      <c r="C528" s="1" t="s">
        <v>8136</v>
      </c>
      <c r="D528" s="1" t="s">
        <v>8137</v>
      </c>
    </row>
    <row r="529" spans="1:4" x14ac:dyDescent="0.25">
      <c r="A529" s="1" t="s">
        <v>1069</v>
      </c>
      <c r="B529" s="1" t="s">
        <v>8138</v>
      </c>
      <c r="C529" s="1" t="s">
        <v>8139</v>
      </c>
      <c r="D529" s="1" t="s">
        <v>8140</v>
      </c>
    </row>
    <row r="530" spans="1:4" x14ac:dyDescent="0.25">
      <c r="A530" s="1" t="s">
        <v>1071</v>
      </c>
      <c r="B530" s="1" t="s">
        <v>8141</v>
      </c>
      <c r="C530" s="1" t="s">
        <v>8142</v>
      </c>
      <c r="D530" s="1" t="s">
        <v>8143</v>
      </c>
    </row>
    <row r="531" spans="1:4" x14ac:dyDescent="0.25">
      <c r="A531" s="1" t="s">
        <v>1073</v>
      </c>
      <c r="B531" s="1" t="s">
        <v>8144</v>
      </c>
      <c r="C531" s="1" t="s">
        <v>8145</v>
      </c>
      <c r="D531" s="1" t="s">
        <v>8146</v>
      </c>
    </row>
    <row r="532" spans="1:4" x14ac:dyDescent="0.25">
      <c r="A532" s="1" t="s">
        <v>1075</v>
      </c>
      <c r="B532" s="1" t="s">
        <v>8147</v>
      </c>
      <c r="C532" s="1" t="s">
        <v>8148</v>
      </c>
      <c r="D532" s="1" t="s">
        <v>8149</v>
      </c>
    </row>
    <row r="533" spans="1:4" x14ac:dyDescent="0.25">
      <c r="A533" s="1" t="s">
        <v>1077</v>
      </c>
      <c r="B533" s="1" t="s">
        <v>8150</v>
      </c>
      <c r="C533" s="1" t="s">
        <v>8151</v>
      </c>
      <c r="D533" s="1" t="s">
        <v>8152</v>
      </c>
    </row>
    <row r="534" spans="1:4" x14ac:dyDescent="0.25">
      <c r="A534" s="1" t="s">
        <v>1079</v>
      </c>
      <c r="B534" s="1" t="s">
        <v>8153</v>
      </c>
      <c r="C534" s="1" t="s">
        <v>8154</v>
      </c>
      <c r="D534" s="1" t="s">
        <v>8155</v>
      </c>
    </row>
    <row r="535" spans="1:4" x14ac:dyDescent="0.25">
      <c r="A535" s="1" t="s">
        <v>1081</v>
      </c>
      <c r="B535" s="1" t="s">
        <v>8156</v>
      </c>
      <c r="C535" s="1" t="s">
        <v>8157</v>
      </c>
      <c r="D535" s="1" t="s">
        <v>8158</v>
      </c>
    </row>
    <row r="536" spans="1:4" x14ac:dyDescent="0.25">
      <c r="A536" s="1" t="s">
        <v>1083</v>
      </c>
      <c r="B536" s="1" t="s">
        <v>8159</v>
      </c>
      <c r="C536" s="1" t="s">
        <v>8160</v>
      </c>
      <c r="D536" s="1" t="s">
        <v>8161</v>
      </c>
    </row>
    <row r="537" spans="1:4" x14ac:dyDescent="0.25">
      <c r="A537" s="1" t="s">
        <v>1085</v>
      </c>
      <c r="B537" s="1" t="s">
        <v>8162</v>
      </c>
      <c r="C537" s="1" t="s">
        <v>8163</v>
      </c>
      <c r="D537" s="1" t="s">
        <v>8164</v>
      </c>
    </row>
    <row r="538" spans="1:4" x14ac:dyDescent="0.25">
      <c r="A538" s="1" t="s">
        <v>1087</v>
      </c>
      <c r="B538" s="1" t="s">
        <v>8165</v>
      </c>
      <c r="C538" s="1" t="s">
        <v>8166</v>
      </c>
      <c r="D538" s="1" t="s">
        <v>8167</v>
      </c>
    </row>
    <row r="539" spans="1:4" x14ac:dyDescent="0.25">
      <c r="A539" s="1" t="s">
        <v>1089</v>
      </c>
      <c r="B539" s="1" t="s">
        <v>8168</v>
      </c>
      <c r="C539" s="1" t="s">
        <v>8169</v>
      </c>
      <c r="D539" s="1" t="s">
        <v>8170</v>
      </c>
    </row>
    <row r="540" spans="1:4" x14ac:dyDescent="0.25">
      <c r="A540" s="1" t="s">
        <v>1091</v>
      </c>
      <c r="B540" s="1" t="s">
        <v>8171</v>
      </c>
      <c r="C540" s="1" t="s">
        <v>8172</v>
      </c>
      <c r="D540" s="1" t="s">
        <v>8173</v>
      </c>
    </row>
    <row r="541" spans="1:4" x14ac:dyDescent="0.25">
      <c r="A541" s="1" t="s">
        <v>1093</v>
      </c>
      <c r="B541" s="1" t="s">
        <v>8174</v>
      </c>
      <c r="C541" s="1" t="s">
        <v>8175</v>
      </c>
      <c r="D541" s="1" t="s">
        <v>8176</v>
      </c>
    </row>
    <row r="542" spans="1:4" x14ac:dyDescent="0.25">
      <c r="A542" s="1" t="s">
        <v>1095</v>
      </c>
      <c r="B542" s="1" t="s">
        <v>8177</v>
      </c>
      <c r="C542" s="1" t="s">
        <v>8178</v>
      </c>
      <c r="D542" s="1" t="s">
        <v>8179</v>
      </c>
    </row>
    <row r="543" spans="1:4" x14ac:dyDescent="0.25">
      <c r="A543" s="1" t="s">
        <v>1097</v>
      </c>
      <c r="B543" s="1" t="s">
        <v>8180</v>
      </c>
      <c r="C543" s="1" t="s">
        <v>8181</v>
      </c>
      <c r="D543" s="1" t="s">
        <v>8182</v>
      </c>
    </row>
    <row r="544" spans="1:4" x14ac:dyDescent="0.25">
      <c r="A544" s="1" t="s">
        <v>1099</v>
      </c>
      <c r="B544" s="1" t="s">
        <v>8183</v>
      </c>
      <c r="C544" s="1" t="s">
        <v>8184</v>
      </c>
      <c r="D544" s="1" t="s">
        <v>8185</v>
      </c>
    </row>
    <row r="545" spans="1:4" x14ac:dyDescent="0.25">
      <c r="A545" s="1" t="s">
        <v>1101</v>
      </c>
      <c r="B545" s="1" t="s">
        <v>8186</v>
      </c>
      <c r="C545" s="1" t="s">
        <v>8187</v>
      </c>
      <c r="D545" s="1" t="s">
        <v>8188</v>
      </c>
    </row>
    <row r="546" spans="1:4" x14ac:dyDescent="0.25">
      <c r="A546" s="1" t="s">
        <v>1103</v>
      </c>
      <c r="B546" s="1" t="s">
        <v>8189</v>
      </c>
      <c r="C546" s="1" t="s">
        <v>8190</v>
      </c>
      <c r="D546" s="1" t="s">
        <v>8191</v>
      </c>
    </row>
    <row r="547" spans="1:4" x14ac:dyDescent="0.25">
      <c r="A547" s="1" t="s">
        <v>1105</v>
      </c>
      <c r="B547" s="1" t="s">
        <v>8192</v>
      </c>
      <c r="C547" s="1" t="s">
        <v>8193</v>
      </c>
      <c r="D547" s="1" t="s">
        <v>8194</v>
      </c>
    </row>
    <row r="548" spans="1:4" x14ac:dyDescent="0.25">
      <c r="A548" s="1" t="s">
        <v>1107</v>
      </c>
      <c r="B548" s="1" t="s">
        <v>8195</v>
      </c>
      <c r="C548" s="1" t="s">
        <v>8196</v>
      </c>
      <c r="D548" s="1" t="s">
        <v>8197</v>
      </c>
    </row>
    <row r="549" spans="1:4" x14ac:dyDescent="0.25">
      <c r="A549" s="1" t="s">
        <v>1109</v>
      </c>
      <c r="B549" s="1" t="s">
        <v>8198</v>
      </c>
      <c r="C549" s="1" t="s">
        <v>8199</v>
      </c>
      <c r="D549" s="1" t="s">
        <v>8200</v>
      </c>
    </row>
    <row r="550" spans="1:4" x14ac:dyDescent="0.25">
      <c r="A550" s="1" t="s">
        <v>1111</v>
      </c>
      <c r="B550" s="1" t="s">
        <v>8201</v>
      </c>
      <c r="C550" s="1" t="s">
        <v>8202</v>
      </c>
      <c r="D550" s="1" t="s">
        <v>8203</v>
      </c>
    </row>
    <row r="551" spans="1:4" x14ac:dyDescent="0.25">
      <c r="A551" s="1" t="s">
        <v>1113</v>
      </c>
      <c r="B551" s="1" t="s">
        <v>8204</v>
      </c>
      <c r="C551" s="1" t="s">
        <v>8205</v>
      </c>
      <c r="D551" s="1" t="s">
        <v>8206</v>
      </c>
    </row>
    <row r="552" spans="1:4" x14ac:dyDescent="0.25">
      <c r="A552" s="1" t="s">
        <v>1115</v>
      </c>
      <c r="B552" s="1" t="s">
        <v>8207</v>
      </c>
      <c r="C552" s="1" t="s">
        <v>8208</v>
      </c>
      <c r="D552" s="1" t="s">
        <v>8209</v>
      </c>
    </row>
    <row r="553" spans="1:4" x14ac:dyDescent="0.25">
      <c r="A553" s="1" t="s">
        <v>1117</v>
      </c>
      <c r="B553" s="1" t="s">
        <v>8210</v>
      </c>
      <c r="C553" s="1" t="s">
        <v>8211</v>
      </c>
      <c r="D553" s="1" t="s">
        <v>8212</v>
      </c>
    </row>
    <row r="554" spans="1:4" x14ac:dyDescent="0.25">
      <c r="A554" s="1" t="s">
        <v>1119</v>
      </c>
      <c r="B554" s="1" t="s">
        <v>8213</v>
      </c>
      <c r="C554" s="1" t="s">
        <v>8214</v>
      </c>
      <c r="D554" s="1" t="s">
        <v>8215</v>
      </c>
    </row>
    <row r="555" spans="1:4" x14ac:dyDescent="0.25">
      <c r="A555" s="1" t="s">
        <v>1121</v>
      </c>
      <c r="B555" s="1" t="s">
        <v>8216</v>
      </c>
      <c r="C555" s="1" t="s">
        <v>8217</v>
      </c>
      <c r="D555" s="1" t="s">
        <v>8218</v>
      </c>
    </row>
    <row r="556" spans="1:4" x14ac:dyDescent="0.25">
      <c r="A556" s="1" t="s">
        <v>1123</v>
      </c>
      <c r="B556" s="1" t="s">
        <v>8219</v>
      </c>
      <c r="C556" s="1" t="s">
        <v>8220</v>
      </c>
      <c r="D556" s="1" t="s">
        <v>8221</v>
      </c>
    </row>
    <row r="557" spans="1:4" x14ac:dyDescent="0.25">
      <c r="A557" s="1" t="s">
        <v>1125</v>
      </c>
      <c r="B557" s="1" t="s">
        <v>8222</v>
      </c>
      <c r="C557" s="1" t="s">
        <v>8223</v>
      </c>
      <c r="D557" s="1" t="s">
        <v>8224</v>
      </c>
    </row>
    <row r="558" spans="1:4" x14ac:dyDescent="0.25">
      <c r="A558" s="1" t="s">
        <v>1127</v>
      </c>
      <c r="B558" s="1" t="s">
        <v>8225</v>
      </c>
      <c r="C558" s="1" t="s">
        <v>8226</v>
      </c>
      <c r="D558" s="1" t="s">
        <v>8227</v>
      </c>
    </row>
    <row r="559" spans="1:4" x14ac:dyDescent="0.25">
      <c r="A559" s="1" t="s">
        <v>1129</v>
      </c>
      <c r="B559" s="1" t="s">
        <v>8228</v>
      </c>
      <c r="C559" s="1" t="s">
        <v>8229</v>
      </c>
      <c r="D559" s="1" t="s">
        <v>8230</v>
      </c>
    </row>
    <row r="560" spans="1:4" x14ac:dyDescent="0.25">
      <c r="A560" s="1" t="s">
        <v>1131</v>
      </c>
      <c r="B560" s="1" t="s">
        <v>8231</v>
      </c>
      <c r="C560" s="1" t="s">
        <v>8232</v>
      </c>
      <c r="D560" s="1" t="s">
        <v>8233</v>
      </c>
    </row>
    <row r="561" spans="1:4" x14ac:dyDescent="0.25">
      <c r="A561" s="1" t="s">
        <v>1133</v>
      </c>
      <c r="B561" s="1" t="s">
        <v>8234</v>
      </c>
      <c r="C561" s="1" t="s">
        <v>8235</v>
      </c>
      <c r="D561" s="1" t="s">
        <v>8236</v>
      </c>
    </row>
    <row r="562" spans="1:4" x14ac:dyDescent="0.25">
      <c r="A562" s="1" t="s">
        <v>1135</v>
      </c>
      <c r="B562" s="1" t="s">
        <v>8237</v>
      </c>
      <c r="C562" s="1" t="s">
        <v>8238</v>
      </c>
      <c r="D562" s="1" t="s">
        <v>8239</v>
      </c>
    </row>
    <row r="563" spans="1:4" x14ac:dyDescent="0.25">
      <c r="A563" s="1" t="s">
        <v>1137</v>
      </c>
      <c r="B563" s="1" t="s">
        <v>8240</v>
      </c>
      <c r="C563" s="1" t="s">
        <v>8241</v>
      </c>
      <c r="D563" s="1" t="s">
        <v>8242</v>
      </c>
    </row>
    <row r="564" spans="1:4" x14ac:dyDescent="0.25">
      <c r="A564" s="1" t="s">
        <v>1139</v>
      </c>
      <c r="B564" s="1" t="s">
        <v>8243</v>
      </c>
      <c r="C564" s="1" t="s">
        <v>8244</v>
      </c>
      <c r="D564" s="1" t="s">
        <v>8245</v>
      </c>
    </row>
    <row r="565" spans="1:4" x14ac:dyDescent="0.25">
      <c r="A565" s="1" t="s">
        <v>1141</v>
      </c>
      <c r="B565" s="1" t="s">
        <v>8246</v>
      </c>
      <c r="C565" s="1" t="s">
        <v>8247</v>
      </c>
      <c r="D565" s="1" t="s">
        <v>8248</v>
      </c>
    </row>
    <row r="566" spans="1:4" x14ac:dyDescent="0.25">
      <c r="A566" s="1" t="s">
        <v>1143</v>
      </c>
      <c r="B566" s="1" t="s">
        <v>8249</v>
      </c>
      <c r="C566" s="1" t="s">
        <v>8250</v>
      </c>
      <c r="D566" s="1" t="s">
        <v>8251</v>
      </c>
    </row>
    <row r="567" spans="1:4" x14ac:dyDescent="0.25">
      <c r="A567" s="1" t="s">
        <v>1145</v>
      </c>
      <c r="B567" s="1" t="s">
        <v>8252</v>
      </c>
      <c r="C567" s="1" t="s">
        <v>8253</v>
      </c>
      <c r="D567" s="1" t="s">
        <v>8254</v>
      </c>
    </row>
    <row r="568" spans="1:4" x14ac:dyDescent="0.25">
      <c r="A568" s="1" t="s">
        <v>1147</v>
      </c>
      <c r="B568" s="1" t="s">
        <v>8255</v>
      </c>
      <c r="C568" s="1" t="s">
        <v>8256</v>
      </c>
      <c r="D568" s="1" t="s">
        <v>8257</v>
      </c>
    </row>
    <row r="569" spans="1:4" x14ac:dyDescent="0.25">
      <c r="A569" s="1" t="s">
        <v>1149</v>
      </c>
      <c r="B569" s="1" t="s">
        <v>8258</v>
      </c>
      <c r="C569" s="1" t="s">
        <v>8259</v>
      </c>
      <c r="D569" s="1" t="s">
        <v>8260</v>
      </c>
    </row>
    <row r="570" spans="1:4" x14ac:dyDescent="0.25">
      <c r="A570" s="1" t="s">
        <v>1151</v>
      </c>
      <c r="B570" s="1" t="s">
        <v>8261</v>
      </c>
      <c r="C570" s="1" t="s">
        <v>8262</v>
      </c>
      <c r="D570" s="1" t="s">
        <v>8263</v>
      </c>
    </row>
    <row r="571" spans="1:4" x14ac:dyDescent="0.25">
      <c r="A571" s="1" t="s">
        <v>1153</v>
      </c>
      <c r="B571" s="1" t="s">
        <v>8264</v>
      </c>
      <c r="C571" s="1" t="s">
        <v>8265</v>
      </c>
      <c r="D571" s="1" t="s">
        <v>8266</v>
      </c>
    </row>
    <row r="572" spans="1:4" x14ac:dyDescent="0.25">
      <c r="A572" s="1" t="s">
        <v>1155</v>
      </c>
      <c r="B572" s="1" t="s">
        <v>8267</v>
      </c>
      <c r="C572" s="1" t="s">
        <v>8268</v>
      </c>
      <c r="D572" s="1" t="s">
        <v>8269</v>
      </c>
    </row>
    <row r="573" spans="1:4" x14ac:dyDescent="0.25">
      <c r="A573" s="1" t="s">
        <v>1157</v>
      </c>
      <c r="B573" s="1" t="s">
        <v>8270</v>
      </c>
      <c r="C573" s="1" t="s">
        <v>8271</v>
      </c>
      <c r="D573" s="1" t="s">
        <v>8272</v>
      </c>
    </row>
    <row r="574" spans="1:4" x14ac:dyDescent="0.25">
      <c r="A574" s="1" t="s">
        <v>1159</v>
      </c>
      <c r="B574" s="1" t="s">
        <v>8273</v>
      </c>
      <c r="C574" s="1" t="s">
        <v>8274</v>
      </c>
      <c r="D574" s="1" t="s">
        <v>8275</v>
      </c>
    </row>
    <row r="575" spans="1:4" x14ac:dyDescent="0.25">
      <c r="A575" s="1" t="s">
        <v>1161</v>
      </c>
      <c r="B575" s="1" t="s">
        <v>8276</v>
      </c>
      <c r="C575" s="1" t="s">
        <v>8277</v>
      </c>
      <c r="D575" s="1" t="s">
        <v>8278</v>
      </c>
    </row>
    <row r="576" spans="1:4" x14ac:dyDescent="0.25">
      <c r="A576" s="1" t="s">
        <v>1163</v>
      </c>
      <c r="B576" s="1" t="s">
        <v>8279</v>
      </c>
      <c r="C576" s="1" t="s">
        <v>8280</v>
      </c>
      <c r="D576" s="1" t="s">
        <v>8281</v>
      </c>
    </row>
    <row r="577" spans="1:4" x14ac:dyDescent="0.25">
      <c r="A577" s="1" t="s">
        <v>1165</v>
      </c>
      <c r="B577" s="1" t="s">
        <v>8282</v>
      </c>
      <c r="C577" s="1" t="s">
        <v>8283</v>
      </c>
      <c r="D577" s="1" t="s">
        <v>8284</v>
      </c>
    </row>
    <row r="578" spans="1:4" x14ac:dyDescent="0.25">
      <c r="A578" s="1" t="s">
        <v>1167</v>
      </c>
      <c r="B578" s="1" t="s">
        <v>8285</v>
      </c>
      <c r="C578" s="1" t="s">
        <v>8286</v>
      </c>
      <c r="D578" s="1" t="s">
        <v>8287</v>
      </c>
    </row>
    <row r="579" spans="1:4" x14ac:dyDescent="0.25">
      <c r="A579" s="1" t="s">
        <v>1169</v>
      </c>
      <c r="B579" s="1" t="s">
        <v>8288</v>
      </c>
      <c r="C579" s="1" t="s">
        <v>8289</v>
      </c>
      <c r="D579" s="1" t="s">
        <v>8290</v>
      </c>
    </row>
    <row r="580" spans="1:4" x14ac:dyDescent="0.25">
      <c r="A580" s="1" t="s">
        <v>1171</v>
      </c>
      <c r="B580" s="1" t="s">
        <v>8291</v>
      </c>
      <c r="C580" s="1" t="s">
        <v>8292</v>
      </c>
      <c r="D580" s="1" t="s">
        <v>8293</v>
      </c>
    </row>
    <row r="581" spans="1:4" x14ac:dyDescent="0.25">
      <c r="A581" s="1" t="s">
        <v>1173</v>
      </c>
      <c r="B581" s="1" t="s">
        <v>8294</v>
      </c>
      <c r="C581" s="1" t="s">
        <v>8295</v>
      </c>
      <c r="D581" s="1" t="s">
        <v>8296</v>
      </c>
    </row>
    <row r="582" spans="1:4" x14ac:dyDescent="0.25">
      <c r="A582" s="1" t="s">
        <v>1175</v>
      </c>
      <c r="B582" s="1" t="s">
        <v>8297</v>
      </c>
      <c r="C582" s="1" t="s">
        <v>8298</v>
      </c>
      <c r="D582" s="1" t="s">
        <v>8299</v>
      </c>
    </row>
    <row r="583" spans="1:4" x14ac:dyDescent="0.25">
      <c r="A583" s="1" t="s">
        <v>1177</v>
      </c>
      <c r="B583" s="1" t="s">
        <v>8300</v>
      </c>
      <c r="C583" s="1" t="s">
        <v>8301</v>
      </c>
      <c r="D583" s="1" t="s">
        <v>8302</v>
      </c>
    </row>
    <row r="584" spans="1:4" x14ac:dyDescent="0.25">
      <c r="A584" s="1" t="s">
        <v>1179</v>
      </c>
      <c r="B584" s="1" t="s">
        <v>8303</v>
      </c>
      <c r="C584" s="1" t="s">
        <v>8304</v>
      </c>
      <c r="D584" s="1" t="s">
        <v>8305</v>
      </c>
    </row>
    <row r="585" spans="1:4" x14ac:dyDescent="0.25">
      <c r="A585" s="1" t="s">
        <v>1181</v>
      </c>
      <c r="B585" s="1" t="s">
        <v>8306</v>
      </c>
      <c r="C585" s="1" t="s">
        <v>8307</v>
      </c>
      <c r="D585" s="1" t="s">
        <v>8308</v>
      </c>
    </row>
    <row r="586" spans="1:4" x14ac:dyDescent="0.25">
      <c r="A586" s="1" t="s">
        <v>1183</v>
      </c>
      <c r="B586" s="1" t="s">
        <v>8309</v>
      </c>
      <c r="C586" s="1" t="s">
        <v>8310</v>
      </c>
      <c r="D586" s="1" t="s">
        <v>8311</v>
      </c>
    </row>
    <row r="587" spans="1:4" x14ac:dyDescent="0.25">
      <c r="A587" s="1" t="s">
        <v>1185</v>
      </c>
      <c r="B587" s="1" t="s">
        <v>8312</v>
      </c>
      <c r="C587" s="1" t="s">
        <v>8313</v>
      </c>
      <c r="D587" s="1" t="s">
        <v>8314</v>
      </c>
    </row>
    <row r="588" spans="1:4" x14ac:dyDescent="0.25">
      <c r="A588" s="1" t="s">
        <v>1187</v>
      </c>
      <c r="B588" s="1" t="s">
        <v>8315</v>
      </c>
      <c r="C588" s="1" t="s">
        <v>8316</v>
      </c>
      <c r="D588" s="1" t="s">
        <v>8317</v>
      </c>
    </row>
    <row r="589" spans="1:4" x14ac:dyDescent="0.25">
      <c r="A589" s="1" t="s">
        <v>1189</v>
      </c>
      <c r="B589" s="1" t="s">
        <v>8318</v>
      </c>
      <c r="C589" s="1" t="s">
        <v>8319</v>
      </c>
      <c r="D589" s="1" t="s">
        <v>8320</v>
      </c>
    </row>
    <row r="590" spans="1:4" x14ac:dyDescent="0.25">
      <c r="A590" s="1" t="s">
        <v>1191</v>
      </c>
      <c r="B590" s="1" t="s">
        <v>8321</v>
      </c>
      <c r="C590" s="1" t="s">
        <v>8322</v>
      </c>
      <c r="D590" s="1" t="s">
        <v>8323</v>
      </c>
    </row>
    <row r="591" spans="1:4" x14ac:dyDescent="0.25">
      <c r="A591" s="1" t="s">
        <v>1193</v>
      </c>
      <c r="B591" s="1" t="s">
        <v>8324</v>
      </c>
      <c r="C591" s="1" t="s">
        <v>8325</v>
      </c>
      <c r="D591" s="1" t="s">
        <v>8326</v>
      </c>
    </row>
    <row r="592" spans="1:4" x14ac:dyDescent="0.25">
      <c r="A592" s="1" t="s">
        <v>1195</v>
      </c>
      <c r="B592" s="1" t="s">
        <v>8327</v>
      </c>
      <c r="C592" s="1" t="s">
        <v>8328</v>
      </c>
      <c r="D592" s="1" t="s">
        <v>8329</v>
      </c>
    </row>
    <row r="593" spans="1:4" x14ac:dyDescent="0.25">
      <c r="A593" s="1" t="s">
        <v>1197</v>
      </c>
      <c r="B593" s="1" t="s">
        <v>8330</v>
      </c>
      <c r="C593" s="1" t="s">
        <v>8331</v>
      </c>
      <c r="D593" s="1" t="s">
        <v>8332</v>
      </c>
    </row>
    <row r="594" spans="1:4" x14ac:dyDescent="0.25">
      <c r="A594" s="1" t="s">
        <v>1199</v>
      </c>
      <c r="B594" s="1" t="s">
        <v>8333</v>
      </c>
      <c r="C594" s="1" t="s">
        <v>8334</v>
      </c>
      <c r="D594" s="1" t="s">
        <v>8335</v>
      </c>
    </row>
    <row r="595" spans="1:4" x14ac:dyDescent="0.25">
      <c r="A595" s="1" t="s">
        <v>1201</v>
      </c>
      <c r="B595" s="1" t="s">
        <v>8336</v>
      </c>
      <c r="C595" s="1" t="s">
        <v>8337</v>
      </c>
      <c r="D595" s="1" t="s">
        <v>8338</v>
      </c>
    </row>
    <row r="596" spans="1:4" x14ac:dyDescent="0.25">
      <c r="A596" s="1" t="s">
        <v>1203</v>
      </c>
      <c r="B596" s="1" t="s">
        <v>8339</v>
      </c>
      <c r="C596" s="1" t="s">
        <v>8340</v>
      </c>
      <c r="D596" s="1" t="s">
        <v>8341</v>
      </c>
    </row>
    <row r="597" spans="1:4" x14ac:dyDescent="0.25">
      <c r="A597" s="1" t="s">
        <v>1205</v>
      </c>
      <c r="B597" s="1" t="s">
        <v>8342</v>
      </c>
      <c r="C597" s="1" t="s">
        <v>8343</v>
      </c>
      <c r="D597" s="1" t="s">
        <v>8344</v>
      </c>
    </row>
    <row r="598" spans="1:4" x14ac:dyDescent="0.25">
      <c r="A598" s="1" t="s">
        <v>1207</v>
      </c>
      <c r="B598" s="1" t="s">
        <v>8345</v>
      </c>
      <c r="C598" s="1" t="s">
        <v>8346</v>
      </c>
      <c r="D598" s="1" t="s">
        <v>8347</v>
      </c>
    </row>
    <row r="599" spans="1:4" x14ac:dyDescent="0.25">
      <c r="A599" s="1" t="s">
        <v>1209</v>
      </c>
      <c r="B599" s="1" t="s">
        <v>8348</v>
      </c>
      <c r="C599" s="1" t="s">
        <v>8349</v>
      </c>
      <c r="D599" s="1" t="s">
        <v>8350</v>
      </c>
    </row>
    <row r="600" spans="1:4" x14ac:dyDescent="0.25">
      <c r="A600" s="1" t="s">
        <v>1211</v>
      </c>
      <c r="B600" s="1" t="s">
        <v>8351</v>
      </c>
      <c r="C600" s="1" t="s">
        <v>8352</v>
      </c>
      <c r="D600" s="1" t="s">
        <v>8353</v>
      </c>
    </row>
    <row r="601" spans="1:4" x14ac:dyDescent="0.25">
      <c r="A601" s="1" t="s">
        <v>1213</v>
      </c>
      <c r="B601" s="1" t="s">
        <v>8354</v>
      </c>
      <c r="C601" s="1" t="s">
        <v>8355</v>
      </c>
      <c r="D601" s="1" t="s">
        <v>8356</v>
      </c>
    </row>
    <row r="602" spans="1:4" x14ac:dyDescent="0.25">
      <c r="A602" s="1" t="s">
        <v>1215</v>
      </c>
      <c r="B602" s="1" t="s">
        <v>8357</v>
      </c>
      <c r="C602" s="1" t="s">
        <v>8358</v>
      </c>
      <c r="D602" s="1" t="s">
        <v>8359</v>
      </c>
    </row>
    <row r="603" spans="1:4" x14ac:dyDescent="0.25">
      <c r="A603" s="1" t="s">
        <v>1217</v>
      </c>
      <c r="B603" s="1" t="s">
        <v>8360</v>
      </c>
      <c r="C603" s="1" t="s">
        <v>8361</v>
      </c>
      <c r="D603" s="1" t="s">
        <v>8362</v>
      </c>
    </row>
    <row r="604" spans="1:4" x14ac:dyDescent="0.25">
      <c r="A604" s="1" t="s">
        <v>1219</v>
      </c>
      <c r="B604" s="1" t="s">
        <v>8363</v>
      </c>
      <c r="C604" s="1" t="s">
        <v>8364</v>
      </c>
      <c r="D604" s="1" t="s">
        <v>8365</v>
      </c>
    </row>
    <row r="605" spans="1:4" x14ac:dyDescent="0.25">
      <c r="A605" s="1" t="s">
        <v>1221</v>
      </c>
      <c r="B605" s="1" t="s">
        <v>8366</v>
      </c>
      <c r="C605" s="1" t="s">
        <v>8367</v>
      </c>
      <c r="D605" s="1" t="s">
        <v>8368</v>
      </c>
    </row>
    <row r="606" spans="1:4" x14ac:dyDescent="0.25">
      <c r="A606" s="1" t="s">
        <v>1223</v>
      </c>
      <c r="B606" s="1" t="s">
        <v>8369</v>
      </c>
      <c r="C606" s="1" t="s">
        <v>8370</v>
      </c>
      <c r="D606" s="1" t="s">
        <v>8371</v>
      </c>
    </row>
    <row r="607" spans="1:4" x14ac:dyDescent="0.25">
      <c r="A607" s="1" t="s">
        <v>1225</v>
      </c>
      <c r="B607" s="1" t="s">
        <v>8372</v>
      </c>
      <c r="C607" s="1" t="s">
        <v>8373</v>
      </c>
      <c r="D607" s="1" t="s">
        <v>8374</v>
      </c>
    </row>
    <row r="608" spans="1:4" x14ac:dyDescent="0.25">
      <c r="A608" s="1" t="s">
        <v>1227</v>
      </c>
      <c r="B608" s="1" t="s">
        <v>8375</v>
      </c>
      <c r="C608" s="1" t="s">
        <v>8376</v>
      </c>
      <c r="D608" s="1" t="s">
        <v>8377</v>
      </c>
    </row>
    <row r="609" spans="1:4" x14ac:dyDescent="0.25">
      <c r="A609" s="1" t="s">
        <v>1229</v>
      </c>
      <c r="B609" s="1" t="s">
        <v>8378</v>
      </c>
      <c r="C609" s="1" t="s">
        <v>8379</v>
      </c>
      <c r="D609" s="1" t="s">
        <v>8380</v>
      </c>
    </row>
    <row r="610" spans="1:4" x14ac:dyDescent="0.25">
      <c r="A610" s="1" t="s">
        <v>1231</v>
      </c>
      <c r="B610" s="1" t="s">
        <v>8381</v>
      </c>
      <c r="C610" s="1" t="s">
        <v>8382</v>
      </c>
      <c r="D610" s="1" t="s">
        <v>8383</v>
      </c>
    </row>
    <row r="611" spans="1:4" x14ac:dyDescent="0.25">
      <c r="A611" s="1" t="s">
        <v>1233</v>
      </c>
      <c r="B611" s="1" t="s">
        <v>8384</v>
      </c>
      <c r="C611" s="1" t="s">
        <v>8385</v>
      </c>
      <c r="D611" s="1" t="s">
        <v>8386</v>
      </c>
    </row>
    <row r="612" spans="1:4" x14ac:dyDescent="0.25">
      <c r="A612" s="1" t="s">
        <v>1235</v>
      </c>
      <c r="B612" s="1" t="s">
        <v>8387</v>
      </c>
      <c r="C612" s="1" t="s">
        <v>8388</v>
      </c>
      <c r="D612" s="1" t="s">
        <v>8389</v>
      </c>
    </row>
    <row r="613" spans="1:4" x14ac:dyDescent="0.25">
      <c r="A613" s="1" t="s">
        <v>1237</v>
      </c>
      <c r="B613" s="1" t="s">
        <v>8390</v>
      </c>
      <c r="C613" s="1" t="s">
        <v>8391</v>
      </c>
      <c r="D613" s="1" t="s">
        <v>8392</v>
      </c>
    </row>
    <row r="614" spans="1:4" x14ac:dyDescent="0.25">
      <c r="A614" s="1" t="s">
        <v>1239</v>
      </c>
      <c r="B614" s="1" t="s">
        <v>8393</v>
      </c>
      <c r="C614" s="1" t="s">
        <v>8394</v>
      </c>
      <c r="D614" s="1" t="s">
        <v>8395</v>
      </c>
    </row>
    <row r="615" spans="1:4" x14ac:dyDescent="0.25">
      <c r="A615" s="1" t="s">
        <v>1241</v>
      </c>
      <c r="B615" s="1" t="s">
        <v>8396</v>
      </c>
      <c r="C615" s="1" t="s">
        <v>8397</v>
      </c>
      <c r="D615" s="1" t="s">
        <v>8398</v>
      </c>
    </row>
    <row r="616" spans="1:4" x14ac:dyDescent="0.25">
      <c r="A616" s="1" t="s">
        <v>1243</v>
      </c>
      <c r="B616" s="1" t="s">
        <v>8399</v>
      </c>
      <c r="C616" s="1" t="s">
        <v>8400</v>
      </c>
      <c r="D616" s="1" t="s">
        <v>8401</v>
      </c>
    </row>
    <row r="617" spans="1:4" x14ac:dyDescent="0.25">
      <c r="A617" s="1" t="s">
        <v>1245</v>
      </c>
      <c r="B617" s="1" t="s">
        <v>8402</v>
      </c>
      <c r="C617" s="1" t="s">
        <v>8403</v>
      </c>
      <c r="D617" s="1" t="s">
        <v>8404</v>
      </c>
    </row>
    <row r="618" spans="1:4" x14ac:dyDescent="0.25">
      <c r="A618" s="1" t="s">
        <v>1247</v>
      </c>
      <c r="B618" s="1" t="s">
        <v>8405</v>
      </c>
      <c r="C618" s="1" t="s">
        <v>8406</v>
      </c>
      <c r="D618" s="1" t="s">
        <v>8407</v>
      </c>
    </row>
    <row r="619" spans="1:4" x14ac:dyDescent="0.25">
      <c r="A619" s="1" t="s">
        <v>1249</v>
      </c>
      <c r="B619" s="1" t="s">
        <v>8408</v>
      </c>
      <c r="C619" s="1" t="s">
        <v>8409</v>
      </c>
      <c r="D619" s="1" t="s">
        <v>8410</v>
      </c>
    </row>
    <row r="620" spans="1:4" x14ac:dyDescent="0.25">
      <c r="A620" s="1" t="s">
        <v>1251</v>
      </c>
      <c r="B620" s="1" t="s">
        <v>8411</v>
      </c>
      <c r="C620" s="1" t="s">
        <v>8412</v>
      </c>
      <c r="D620" s="1" t="s">
        <v>8413</v>
      </c>
    </row>
    <row r="621" spans="1:4" x14ac:dyDescent="0.25">
      <c r="A621" s="1" t="s">
        <v>1253</v>
      </c>
      <c r="B621" s="1" t="s">
        <v>8414</v>
      </c>
      <c r="C621" s="1" t="s">
        <v>8415</v>
      </c>
      <c r="D621" s="1" t="s">
        <v>8416</v>
      </c>
    </row>
    <row r="622" spans="1:4" x14ac:dyDescent="0.25">
      <c r="A622" s="1" t="s">
        <v>1255</v>
      </c>
      <c r="B622" s="1" t="s">
        <v>8417</v>
      </c>
      <c r="C622" s="1" t="s">
        <v>8418</v>
      </c>
      <c r="D622" s="1" t="s">
        <v>8419</v>
      </c>
    </row>
    <row r="623" spans="1:4" x14ac:dyDescent="0.25">
      <c r="A623" s="1" t="s">
        <v>1257</v>
      </c>
      <c r="B623" s="1" t="s">
        <v>8420</v>
      </c>
      <c r="C623" s="1" t="s">
        <v>8421</v>
      </c>
      <c r="D623" s="1" t="s">
        <v>8422</v>
      </c>
    </row>
    <row r="624" spans="1:4" x14ac:dyDescent="0.25">
      <c r="A624" s="1" t="s">
        <v>1259</v>
      </c>
      <c r="B624" s="1" t="s">
        <v>8423</v>
      </c>
      <c r="C624" s="1" t="s">
        <v>8424</v>
      </c>
      <c r="D624" s="1" t="s">
        <v>8425</v>
      </c>
    </row>
    <row r="625" spans="1:4" x14ac:dyDescent="0.25">
      <c r="A625" s="1" t="s">
        <v>1261</v>
      </c>
      <c r="B625" s="1" t="s">
        <v>8426</v>
      </c>
      <c r="C625" s="1" t="s">
        <v>8427</v>
      </c>
      <c r="D625" s="1" t="s">
        <v>8428</v>
      </c>
    </row>
    <row r="626" spans="1:4" x14ac:dyDescent="0.25">
      <c r="A626" s="1" t="s">
        <v>1263</v>
      </c>
      <c r="B626" s="1" t="s">
        <v>8429</v>
      </c>
      <c r="C626" s="1" t="s">
        <v>8430</v>
      </c>
      <c r="D626" s="1" t="s">
        <v>8431</v>
      </c>
    </row>
    <row r="627" spans="1:4" x14ac:dyDescent="0.25">
      <c r="A627" s="1" t="s">
        <v>1265</v>
      </c>
      <c r="B627" s="1" t="s">
        <v>8432</v>
      </c>
      <c r="C627" s="1" t="s">
        <v>8433</v>
      </c>
      <c r="D627" s="1" t="s">
        <v>8434</v>
      </c>
    </row>
    <row r="628" spans="1:4" x14ac:dyDescent="0.25">
      <c r="A628" s="1" t="s">
        <v>1267</v>
      </c>
      <c r="B628" s="1" t="s">
        <v>8435</v>
      </c>
      <c r="C628" s="1" t="s">
        <v>8436</v>
      </c>
      <c r="D628" s="1" t="s">
        <v>8437</v>
      </c>
    </row>
    <row r="629" spans="1:4" x14ac:dyDescent="0.25">
      <c r="A629" s="1" t="s">
        <v>1269</v>
      </c>
      <c r="B629" s="1" t="s">
        <v>8438</v>
      </c>
      <c r="C629" s="1" t="s">
        <v>8439</v>
      </c>
      <c r="D629" s="1" t="s">
        <v>8440</v>
      </c>
    </row>
    <row r="630" spans="1:4" x14ac:dyDescent="0.25">
      <c r="A630" s="1" t="s">
        <v>1271</v>
      </c>
      <c r="B630" s="1" t="s">
        <v>8441</v>
      </c>
      <c r="C630" s="1" t="s">
        <v>8442</v>
      </c>
      <c r="D630" s="1" t="s">
        <v>8443</v>
      </c>
    </row>
    <row r="631" spans="1:4" x14ac:dyDescent="0.25">
      <c r="A631" s="1" t="s">
        <v>1273</v>
      </c>
      <c r="B631" s="1" t="s">
        <v>8444</v>
      </c>
      <c r="C631" s="1" t="s">
        <v>8445</v>
      </c>
      <c r="D631" s="1" t="s">
        <v>8446</v>
      </c>
    </row>
    <row r="632" spans="1:4" x14ac:dyDescent="0.25">
      <c r="A632" s="1" t="s">
        <v>1275</v>
      </c>
      <c r="B632" s="1" t="s">
        <v>8447</v>
      </c>
      <c r="C632" s="1" t="s">
        <v>8448</v>
      </c>
      <c r="D632" s="1" t="s">
        <v>8449</v>
      </c>
    </row>
    <row r="633" spans="1:4" x14ac:dyDescent="0.25">
      <c r="A633" s="1" t="s">
        <v>1277</v>
      </c>
      <c r="B633" s="1" t="s">
        <v>8450</v>
      </c>
      <c r="C633" s="1" t="s">
        <v>8451</v>
      </c>
      <c r="D633" s="1" t="s">
        <v>8452</v>
      </c>
    </row>
    <row r="634" spans="1:4" x14ac:dyDescent="0.25">
      <c r="A634" s="1" t="s">
        <v>1279</v>
      </c>
      <c r="B634" s="1" t="s">
        <v>8453</v>
      </c>
      <c r="C634" s="1" t="s">
        <v>8454</v>
      </c>
      <c r="D634" s="1" t="s">
        <v>8455</v>
      </c>
    </row>
    <row r="635" spans="1:4" x14ac:dyDescent="0.25">
      <c r="A635" s="1" t="s">
        <v>1281</v>
      </c>
      <c r="B635" s="1" t="s">
        <v>8456</v>
      </c>
      <c r="C635" s="1" t="s">
        <v>8457</v>
      </c>
      <c r="D635" s="1" t="s">
        <v>8458</v>
      </c>
    </row>
    <row r="636" spans="1:4" x14ac:dyDescent="0.25">
      <c r="A636" s="1" t="s">
        <v>1283</v>
      </c>
      <c r="B636" s="1" t="s">
        <v>8459</v>
      </c>
      <c r="C636" s="1" t="s">
        <v>8460</v>
      </c>
      <c r="D636" s="1" t="s">
        <v>8461</v>
      </c>
    </row>
    <row r="637" spans="1:4" x14ac:dyDescent="0.25">
      <c r="A637" s="1" t="s">
        <v>1285</v>
      </c>
      <c r="B637" s="1" t="s">
        <v>8462</v>
      </c>
      <c r="C637" s="1" t="s">
        <v>8463</v>
      </c>
      <c r="D637" s="1" t="s">
        <v>8464</v>
      </c>
    </row>
    <row r="638" spans="1:4" x14ac:dyDescent="0.25">
      <c r="A638" s="1" t="s">
        <v>1287</v>
      </c>
      <c r="B638" s="1" t="s">
        <v>8465</v>
      </c>
      <c r="C638" s="1" t="s">
        <v>8466</v>
      </c>
      <c r="D638" s="1" t="s">
        <v>8467</v>
      </c>
    </row>
    <row r="639" spans="1:4" x14ac:dyDescent="0.25">
      <c r="A639" s="1" t="s">
        <v>1289</v>
      </c>
      <c r="B639" s="1" t="s">
        <v>8468</v>
      </c>
      <c r="C639" s="1" t="s">
        <v>8469</v>
      </c>
      <c r="D639" s="1" t="s">
        <v>8470</v>
      </c>
    </row>
    <row r="640" spans="1:4" x14ac:dyDescent="0.25">
      <c r="A640" s="1" t="s">
        <v>1291</v>
      </c>
      <c r="B640" s="1" t="s">
        <v>8471</v>
      </c>
      <c r="C640" s="1" t="s">
        <v>8472</v>
      </c>
      <c r="D640" s="1" t="s">
        <v>8473</v>
      </c>
    </row>
    <row r="641" spans="1:4" x14ac:dyDescent="0.25">
      <c r="A641" s="1" t="s">
        <v>1293</v>
      </c>
      <c r="B641" s="1" t="s">
        <v>8474</v>
      </c>
      <c r="C641" s="1" t="s">
        <v>8475</v>
      </c>
      <c r="D641" s="1" t="s">
        <v>8476</v>
      </c>
    </row>
    <row r="642" spans="1:4" x14ac:dyDescent="0.25">
      <c r="A642" s="1" t="s">
        <v>1295</v>
      </c>
      <c r="B642" s="1" t="s">
        <v>8477</v>
      </c>
      <c r="C642" s="1" t="s">
        <v>8478</v>
      </c>
      <c r="D642" s="1" t="s">
        <v>8479</v>
      </c>
    </row>
    <row r="643" spans="1:4" x14ac:dyDescent="0.25">
      <c r="A643" s="1" t="s">
        <v>1297</v>
      </c>
      <c r="B643" s="1" t="s">
        <v>8480</v>
      </c>
      <c r="C643" s="1" t="s">
        <v>8481</v>
      </c>
      <c r="D643" s="1" t="s">
        <v>8482</v>
      </c>
    </row>
    <row r="644" spans="1:4" x14ac:dyDescent="0.25">
      <c r="A644" s="1" t="s">
        <v>1299</v>
      </c>
      <c r="B644" s="1" t="s">
        <v>8483</v>
      </c>
      <c r="C644" s="1" t="s">
        <v>8484</v>
      </c>
      <c r="D644" s="1" t="s">
        <v>8485</v>
      </c>
    </row>
    <row r="645" spans="1:4" x14ac:dyDescent="0.25">
      <c r="A645" s="1" t="s">
        <v>1301</v>
      </c>
      <c r="B645" s="1" t="s">
        <v>8486</v>
      </c>
      <c r="C645" s="1" t="s">
        <v>8487</v>
      </c>
      <c r="D645" s="1" t="s">
        <v>8488</v>
      </c>
    </row>
    <row r="646" spans="1:4" x14ac:dyDescent="0.25">
      <c r="A646" s="1" t="s">
        <v>1303</v>
      </c>
      <c r="B646" s="1" t="s">
        <v>8489</v>
      </c>
      <c r="C646" s="1" t="s">
        <v>8490</v>
      </c>
      <c r="D646" s="1" t="s">
        <v>8491</v>
      </c>
    </row>
    <row r="647" spans="1:4" x14ac:dyDescent="0.25">
      <c r="A647" s="1" t="s">
        <v>1305</v>
      </c>
      <c r="B647" s="1" t="s">
        <v>8492</v>
      </c>
      <c r="C647" s="1" t="s">
        <v>8493</v>
      </c>
      <c r="D647" s="1" t="s">
        <v>8494</v>
      </c>
    </row>
    <row r="648" spans="1:4" x14ac:dyDescent="0.25">
      <c r="A648" s="1" t="s">
        <v>1307</v>
      </c>
      <c r="B648" s="1" t="s">
        <v>8495</v>
      </c>
      <c r="C648" s="1" t="s">
        <v>8496</v>
      </c>
      <c r="D648" s="1" t="s">
        <v>8497</v>
      </c>
    </row>
    <row r="649" spans="1:4" x14ac:dyDescent="0.25">
      <c r="A649" s="1" t="s">
        <v>1309</v>
      </c>
      <c r="B649" s="1" t="s">
        <v>8498</v>
      </c>
      <c r="C649" s="1" t="s">
        <v>8499</v>
      </c>
      <c r="D649" s="1" t="s">
        <v>8500</v>
      </c>
    </row>
    <row r="650" spans="1:4" x14ac:dyDescent="0.25">
      <c r="A650" s="1" t="s">
        <v>1311</v>
      </c>
      <c r="B650" s="1" t="s">
        <v>8501</v>
      </c>
      <c r="C650" s="1" t="s">
        <v>8502</v>
      </c>
      <c r="D650" s="1" t="s">
        <v>8503</v>
      </c>
    </row>
    <row r="651" spans="1:4" x14ac:dyDescent="0.25">
      <c r="A651" s="1" t="s">
        <v>1313</v>
      </c>
      <c r="B651" s="1" t="s">
        <v>8504</v>
      </c>
      <c r="C651" s="1" t="s">
        <v>8505</v>
      </c>
      <c r="D651" s="1" t="s">
        <v>8506</v>
      </c>
    </row>
    <row r="652" spans="1:4" x14ac:dyDescent="0.25">
      <c r="A652" s="1" t="s">
        <v>1315</v>
      </c>
      <c r="B652" s="1" t="s">
        <v>8507</v>
      </c>
      <c r="C652" s="1" t="s">
        <v>8508</v>
      </c>
      <c r="D652" s="1" t="s">
        <v>8509</v>
      </c>
    </row>
    <row r="653" spans="1:4" x14ac:dyDescent="0.25">
      <c r="A653" s="1" t="s">
        <v>1317</v>
      </c>
      <c r="B653" s="1" t="s">
        <v>8510</v>
      </c>
      <c r="C653" s="1" t="s">
        <v>8511</v>
      </c>
      <c r="D653" s="1" t="s">
        <v>8512</v>
      </c>
    </row>
    <row r="654" spans="1:4" x14ac:dyDescent="0.25">
      <c r="A654" s="1" t="s">
        <v>1319</v>
      </c>
      <c r="B654" s="1" t="s">
        <v>8513</v>
      </c>
      <c r="C654" s="1" t="s">
        <v>8514</v>
      </c>
      <c r="D654" s="1" t="s">
        <v>8515</v>
      </c>
    </row>
    <row r="655" spans="1:4" x14ac:dyDescent="0.25">
      <c r="A655" s="1" t="s">
        <v>1321</v>
      </c>
      <c r="B655" s="1" t="s">
        <v>8516</v>
      </c>
      <c r="C655" s="1" t="s">
        <v>8517</v>
      </c>
      <c r="D655" s="1" t="s">
        <v>8518</v>
      </c>
    </row>
    <row r="656" spans="1:4" x14ac:dyDescent="0.25">
      <c r="A656" s="1" t="s">
        <v>1323</v>
      </c>
      <c r="B656" s="1" t="s">
        <v>8519</v>
      </c>
      <c r="C656" s="1" t="s">
        <v>8520</v>
      </c>
      <c r="D656" s="1" t="s">
        <v>8521</v>
      </c>
    </row>
    <row r="657" spans="1:4" x14ac:dyDescent="0.25">
      <c r="A657" s="1" t="s">
        <v>1325</v>
      </c>
      <c r="B657" s="1" t="s">
        <v>8522</v>
      </c>
      <c r="C657" s="1" t="s">
        <v>8523</v>
      </c>
      <c r="D657" s="1" t="s">
        <v>8524</v>
      </c>
    </row>
    <row r="658" spans="1:4" x14ac:dyDescent="0.25">
      <c r="A658" s="1" t="s">
        <v>1327</v>
      </c>
      <c r="B658" s="1" t="s">
        <v>8525</v>
      </c>
      <c r="C658" s="1" t="s">
        <v>8526</v>
      </c>
      <c r="D658" s="1" t="s">
        <v>8527</v>
      </c>
    </row>
    <row r="659" spans="1:4" x14ac:dyDescent="0.25">
      <c r="A659" s="1" t="s">
        <v>1329</v>
      </c>
      <c r="B659" s="1" t="s">
        <v>8528</v>
      </c>
      <c r="C659" s="1" t="s">
        <v>8529</v>
      </c>
      <c r="D659" s="1" t="s">
        <v>8530</v>
      </c>
    </row>
    <row r="660" spans="1:4" x14ac:dyDescent="0.25">
      <c r="A660" s="1" t="s">
        <v>1331</v>
      </c>
      <c r="B660" s="1" t="s">
        <v>8531</v>
      </c>
      <c r="C660" s="1" t="s">
        <v>8532</v>
      </c>
      <c r="D660" s="1" t="s">
        <v>8533</v>
      </c>
    </row>
    <row r="661" spans="1:4" x14ac:dyDescent="0.25">
      <c r="A661" s="1" t="s">
        <v>1333</v>
      </c>
      <c r="B661" s="1" t="s">
        <v>8534</v>
      </c>
      <c r="C661" s="1" t="s">
        <v>8535</v>
      </c>
      <c r="D661" s="1" t="s">
        <v>8536</v>
      </c>
    </row>
    <row r="662" spans="1:4" x14ac:dyDescent="0.25">
      <c r="A662" s="1" t="s">
        <v>1335</v>
      </c>
      <c r="B662" s="1" t="s">
        <v>8537</v>
      </c>
      <c r="C662" s="1" t="s">
        <v>8538</v>
      </c>
      <c r="D662" s="1" t="s">
        <v>8539</v>
      </c>
    </row>
    <row r="663" spans="1:4" x14ac:dyDescent="0.25">
      <c r="A663" s="1" t="s">
        <v>1337</v>
      </c>
      <c r="B663" s="1" t="s">
        <v>8540</v>
      </c>
      <c r="C663" s="1" t="s">
        <v>8541</v>
      </c>
      <c r="D663" s="1" t="s">
        <v>8542</v>
      </c>
    </row>
    <row r="664" spans="1:4" x14ac:dyDescent="0.25">
      <c r="A664" s="1" t="s">
        <v>1339</v>
      </c>
      <c r="B664" s="1" t="s">
        <v>8543</v>
      </c>
      <c r="C664" s="1" t="s">
        <v>8544</v>
      </c>
      <c r="D664" s="1" t="s">
        <v>8545</v>
      </c>
    </row>
    <row r="665" spans="1:4" x14ac:dyDescent="0.25">
      <c r="A665" s="1" t="s">
        <v>1341</v>
      </c>
      <c r="B665" s="1" t="s">
        <v>8546</v>
      </c>
      <c r="C665" s="1" t="s">
        <v>8547</v>
      </c>
      <c r="D665" s="1" t="s">
        <v>8548</v>
      </c>
    </row>
    <row r="666" spans="1:4" x14ac:dyDescent="0.25">
      <c r="A666" s="1" t="s">
        <v>1343</v>
      </c>
      <c r="B666" s="1" t="s">
        <v>8549</v>
      </c>
      <c r="C666" s="1" t="s">
        <v>8550</v>
      </c>
      <c r="D666" s="1" t="s">
        <v>8551</v>
      </c>
    </row>
    <row r="667" spans="1:4" x14ac:dyDescent="0.25">
      <c r="A667" s="1" t="s">
        <v>1345</v>
      </c>
      <c r="B667" s="1" t="s">
        <v>8552</v>
      </c>
      <c r="C667" s="1" t="s">
        <v>8553</v>
      </c>
      <c r="D667" s="1" t="s">
        <v>8554</v>
      </c>
    </row>
    <row r="668" spans="1:4" x14ac:dyDescent="0.25">
      <c r="A668" s="1" t="s">
        <v>1347</v>
      </c>
      <c r="B668" s="1" t="s">
        <v>8555</v>
      </c>
      <c r="C668" s="1" t="s">
        <v>8556</v>
      </c>
      <c r="D668" s="1" t="s">
        <v>8557</v>
      </c>
    </row>
    <row r="669" spans="1:4" x14ac:dyDescent="0.25">
      <c r="A669" s="1" t="s">
        <v>1349</v>
      </c>
      <c r="B669" s="1" t="s">
        <v>8558</v>
      </c>
      <c r="C669" s="1" t="s">
        <v>8559</v>
      </c>
      <c r="D669" s="1" t="s">
        <v>8560</v>
      </c>
    </row>
    <row r="670" spans="1:4" x14ac:dyDescent="0.25">
      <c r="A670" s="1" t="s">
        <v>1351</v>
      </c>
      <c r="B670" s="1" t="s">
        <v>8561</v>
      </c>
      <c r="C670" s="1" t="s">
        <v>8562</v>
      </c>
      <c r="D670" s="1" t="s">
        <v>8563</v>
      </c>
    </row>
    <row r="671" spans="1:4" x14ac:dyDescent="0.25">
      <c r="A671" s="1" t="s">
        <v>1353</v>
      </c>
      <c r="B671" s="1" t="s">
        <v>8564</v>
      </c>
      <c r="C671" s="1" t="s">
        <v>8565</v>
      </c>
      <c r="D671" s="1" t="s">
        <v>8566</v>
      </c>
    </row>
    <row r="672" spans="1:4" x14ac:dyDescent="0.25">
      <c r="A672" s="1" t="s">
        <v>1355</v>
      </c>
      <c r="B672" s="1" t="s">
        <v>8567</v>
      </c>
      <c r="C672" s="1" t="s">
        <v>8568</v>
      </c>
      <c r="D672" s="1" t="s">
        <v>8569</v>
      </c>
    </row>
    <row r="673" spans="1:4" x14ac:dyDescent="0.25">
      <c r="A673" s="1" t="s">
        <v>1357</v>
      </c>
      <c r="B673" s="1" t="s">
        <v>8570</v>
      </c>
      <c r="C673" s="1" t="s">
        <v>8571</v>
      </c>
      <c r="D673" s="1" t="s">
        <v>8572</v>
      </c>
    </row>
    <row r="674" spans="1:4" x14ac:dyDescent="0.25">
      <c r="A674" s="1" t="s">
        <v>1359</v>
      </c>
      <c r="B674" s="1" t="s">
        <v>8573</v>
      </c>
      <c r="C674" s="1" t="s">
        <v>8574</v>
      </c>
      <c r="D674" s="1" t="s">
        <v>8575</v>
      </c>
    </row>
    <row r="675" spans="1:4" x14ac:dyDescent="0.25">
      <c r="A675" s="1" t="s">
        <v>1361</v>
      </c>
      <c r="B675" s="1" t="s">
        <v>8576</v>
      </c>
      <c r="C675" s="1" t="s">
        <v>8577</v>
      </c>
      <c r="D675" s="1" t="s">
        <v>8578</v>
      </c>
    </row>
    <row r="676" spans="1:4" x14ac:dyDescent="0.25">
      <c r="A676" s="1" t="s">
        <v>1363</v>
      </c>
      <c r="B676" s="1" t="s">
        <v>8579</v>
      </c>
      <c r="C676" s="1" t="s">
        <v>8580</v>
      </c>
      <c r="D676" s="1" t="s">
        <v>8581</v>
      </c>
    </row>
    <row r="677" spans="1:4" x14ac:dyDescent="0.25">
      <c r="A677" s="1" t="s">
        <v>1365</v>
      </c>
      <c r="B677" s="1" t="s">
        <v>8582</v>
      </c>
      <c r="C677" s="1" t="s">
        <v>8583</v>
      </c>
      <c r="D677" s="1" t="s">
        <v>8584</v>
      </c>
    </row>
    <row r="678" spans="1:4" x14ac:dyDescent="0.25">
      <c r="A678" s="1" t="s">
        <v>1367</v>
      </c>
      <c r="B678" s="1" t="s">
        <v>8585</v>
      </c>
      <c r="C678" s="1" t="s">
        <v>8586</v>
      </c>
      <c r="D678" s="1" t="s">
        <v>8587</v>
      </c>
    </row>
    <row r="679" spans="1:4" x14ac:dyDescent="0.25">
      <c r="A679" s="1" t="s">
        <v>1369</v>
      </c>
      <c r="B679" s="1" t="s">
        <v>8588</v>
      </c>
      <c r="C679" s="1" t="s">
        <v>8589</v>
      </c>
      <c r="D679" s="1" t="s">
        <v>8590</v>
      </c>
    </row>
    <row r="680" spans="1:4" x14ac:dyDescent="0.25">
      <c r="A680" s="1" t="s">
        <v>1371</v>
      </c>
      <c r="B680" s="1" t="s">
        <v>8591</v>
      </c>
      <c r="C680" s="1" t="s">
        <v>8592</v>
      </c>
      <c r="D680" s="1" t="s">
        <v>8593</v>
      </c>
    </row>
    <row r="681" spans="1:4" x14ac:dyDescent="0.25">
      <c r="A681" s="1" t="s">
        <v>1373</v>
      </c>
      <c r="B681" s="1" t="s">
        <v>8594</v>
      </c>
      <c r="C681" s="1" t="s">
        <v>8595</v>
      </c>
      <c r="D681" s="1" t="s">
        <v>8596</v>
      </c>
    </row>
    <row r="682" spans="1:4" x14ac:dyDescent="0.25">
      <c r="A682" s="1" t="s">
        <v>1375</v>
      </c>
      <c r="B682" s="1" t="s">
        <v>8597</v>
      </c>
      <c r="C682" s="1" t="s">
        <v>8598</v>
      </c>
      <c r="D682" s="1" t="s">
        <v>8599</v>
      </c>
    </row>
    <row r="683" spans="1:4" x14ac:dyDescent="0.25">
      <c r="A683" s="1" t="s">
        <v>1377</v>
      </c>
      <c r="B683" s="1" t="s">
        <v>8600</v>
      </c>
      <c r="C683" s="1" t="s">
        <v>8601</v>
      </c>
      <c r="D683" s="1" t="s">
        <v>8602</v>
      </c>
    </row>
    <row r="684" spans="1:4" x14ac:dyDescent="0.25">
      <c r="A684" s="1" t="s">
        <v>1379</v>
      </c>
      <c r="B684" s="1" t="s">
        <v>8603</v>
      </c>
      <c r="C684" s="1" t="s">
        <v>8604</v>
      </c>
      <c r="D684" s="1" t="s">
        <v>8605</v>
      </c>
    </row>
    <row r="685" spans="1:4" x14ac:dyDescent="0.25">
      <c r="A685" s="1" t="s">
        <v>1381</v>
      </c>
      <c r="B685" s="1" t="s">
        <v>8606</v>
      </c>
      <c r="C685" s="1" t="s">
        <v>8607</v>
      </c>
      <c r="D685" s="1" t="s">
        <v>8608</v>
      </c>
    </row>
    <row r="686" spans="1:4" x14ac:dyDescent="0.25">
      <c r="A686" s="1" t="s">
        <v>1383</v>
      </c>
      <c r="B686" s="1" t="s">
        <v>8609</v>
      </c>
      <c r="C686" s="1" t="s">
        <v>8610</v>
      </c>
      <c r="D686" s="1" t="s">
        <v>8611</v>
      </c>
    </row>
    <row r="687" spans="1:4" x14ac:dyDescent="0.25">
      <c r="A687" s="1" t="s">
        <v>1385</v>
      </c>
      <c r="B687" s="1" t="s">
        <v>8612</v>
      </c>
      <c r="C687" s="1" t="s">
        <v>8613</v>
      </c>
      <c r="D687" s="1" t="s">
        <v>8614</v>
      </c>
    </row>
    <row r="688" spans="1:4" x14ac:dyDescent="0.25">
      <c r="A688" s="1" t="s">
        <v>1387</v>
      </c>
      <c r="B688" s="1" t="s">
        <v>8615</v>
      </c>
      <c r="C688" s="1" t="s">
        <v>8616</v>
      </c>
      <c r="D688" s="1" t="s">
        <v>8617</v>
      </c>
    </row>
    <row r="689" spans="1:4" x14ac:dyDescent="0.25">
      <c r="A689" s="1" t="s">
        <v>1389</v>
      </c>
      <c r="B689" s="1" t="s">
        <v>8618</v>
      </c>
      <c r="C689" s="1" t="s">
        <v>8619</v>
      </c>
      <c r="D689" s="1" t="s">
        <v>8620</v>
      </c>
    </row>
    <row r="690" spans="1:4" x14ac:dyDescent="0.25">
      <c r="A690" s="1" t="s">
        <v>1391</v>
      </c>
      <c r="B690" s="1" t="s">
        <v>8621</v>
      </c>
      <c r="C690" s="1" t="s">
        <v>8622</v>
      </c>
      <c r="D690" s="1" t="s">
        <v>8623</v>
      </c>
    </row>
    <row r="691" spans="1:4" x14ac:dyDescent="0.25">
      <c r="A691" s="1" t="s">
        <v>1393</v>
      </c>
      <c r="B691" s="1" t="s">
        <v>8624</v>
      </c>
      <c r="C691" s="1" t="s">
        <v>8625</v>
      </c>
      <c r="D691" s="1" t="s">
        <v>8626</v>
      </c>
    </row>
    <row r="692" spans="1:4" x14ac:dyDescent="0.25">
      <c r="A692" s="1" t="s">
        <v>1395</v>
      </c>
      <c r="B692" s="1" t="s">
        <v>8627</v>
      </c>
      <c r="C692" s="1" t="s">
        <v>8628</v>
      </c>
      <c r="D692" s="1" t="s">
        <v>8629</v>
      </c>
    </row>
    <row r="693" spans="1:4" x14ac:dyDescent="0.25">
      <c r="A693" s="1" t="s">
        <v>1397</v>
      </c>
      <c r="B693" s="1" t="s">
        <v>8630</v>
      </c>
      <c r="C693" s="1" t="s">
        <v>8631</v>
      </c>
      <c r="D693" s="1" t="s">
        <v>8632</v>
      </c>
    </row>
    <row r="694" spans="1:4" x14ac:dyDescent="0.25">
      <c r="A694" s="1" t="s">
        <v>1399</v>
      </c>
      <c r="B694" s="1" t="s">
        <v>8633</v>
      </c>
      <c r="C694" s="1" t="s">
        <v>8634</v>
      </c>
      <c r="D694" s="1" t="s">
        <v>8635</v>
      </c>
    </row>
    <row r="695" spans="1:4" x14ac:dyDescent="0.25">
      <c r="A695" s="1" t="s">
        <v>1401</v>
      </c>
      <c r="B695" s="1" t="s">
        <v>8636</v>
      </c>
      <c r="C695" s="1" t="s">
        <v>8637</v>
      </c>
      <c r="D695" s="1" t="s">
        <v>8638</v>
      </c>
    </row>
    <row r="696" spans="1:4" x14ac:dyDescent="0.25">
      <c r="A696" s="1" t="s">
        <v>1403</v>
      </c>
      <c r="B696" s="1" t="s">
        <v>8639</v>
      </c>
      <c r="C696" s="1" t="s">
        <v>8640</v>
      </c>
      <c r="D696" s="1" t="s">
        <v>8641</v>
      </c>
    </row>
    <row r="697" spans="1:4" x14ac:dyDescent="0.25">
      <c r="A697" s="1" t="s">
        <v>1405</v>
      </c>
      <c r="B697" s="1" t="s">
        <v>8642</v>
      </c>
      <c r="C697" s="1" t="s">
        <v>8643</v>
      </c>
      <c r="D697" s="1" t="s">
        <v>8644</v>
      </c>
    </row>
    <row r="698" spans="1:4" x14ac:dyDescent="0.25">
      <c r="A698" s="1" t="s">
        <v>1407</v>
      </c>
      <c r="B698" s="1" t="s">
        <v>8645</v>
      </c>
      <c r="C698" s="1" t="s">
        <v>8646</v>
      </c>
      <c r="D698" s="1" t="s">
        <v>8647</v>
      </c>
    </row>
    <row r="699" spans="1:4" x14ac:dyDescent="0.25">
      <c r="A699" s="1" t="s">
        <v>1409</v>
      </c>
      <c r="B699" s="1" t="s">
        <v>8648</v>
      </c>
      <c r="C699" s="1" t="s">
        <v>8649</v>
      </c>
      <c r="D699" s="1" t="s">
        <v>8650</v>
      </c>
    </row>
    <row r="700" spans="1:4" x14ac:dyDescent="0.25">
      <c r="A700" s="1" t="s">
        <v>1411</v>
      </c>
      <c r="B700" s="1" t="s">
        <v>8651</v>
      </c>
      <c r="C700" s="1" t="s">
        <v>8652</v>
      </c>
      <c r="D700" s="1" t="s">
        <v>8653</v>
      </c>
    </row>
    <row r="701" spans="1:4" x14ac:dyDescent="0.25">
      <c r="A701" s="1" t="s">
        <v>1413</v>
      </c>
      <c r="B701" s="1" t="s">
        <v>8654</v>
      </c>
      <c r="C701" s="1" t="s">
        <v>8655</v>
      </c>
      <c r="D701" s="1" t="s">
        <v>8656</v>
      </c>
    </row>
    <row r="702" spans="1:4" x14ac:dyDescent="0.25">
      <c r="A702" s="1" t="s">
        <v>1415</v>
      </c>
      <c r="B702" s="1" t="s">
        <v>8657</v>
      </c>
      <c r="C702" s="1" t="s">
        <v>8658</v>
      </c>
      <c r="D702" s="1" t="s">
        <v>8659</v>
      </c>
    </row>
    <row r="703" spans="1:4" x14ac:dyDescent="0.25">
      <c r="A703" s="1" t="s">
        <v>1417</v>
      </c>
      <c r="B703" s="1" t="s">
        <v>8660</v>
      </c>
      <c r="C703" s="1" t="s">
        <v>8661</v>
      </c>
      <c r="D703" s="1" t="s">
        <v>8662</v>
      </c>
    </row>
    <row r="704" spans="1:4" x14ac:dyDescent="0.25">
      <c r="A704" s="1" t="s">
        <v>1419</v>
      </c>
      <c r="B704" s="1" t="s">
        <v>8663</v>
      </c>
      <c r="C704" s="1" t="s">
        <v>8664</v>
      </c>
      <c r="D704" s="1" t="s">
        <v>8665</v>
      </c>
    </row>
    <row r="705" spans="1:4" x14ac:dyDescent="0.25">
      <c r="A705" s="1" t="s">
        <v>1421</v>
      </c>
      <c r="B705" s="1" t="s">
        <v>8666</v>
      </c>
      <c r="C705" s="1" t="s">
        <v>8667</v>
      </c>
      <c r="D705" s="1" t="s">
        <v>8668</v>
      </c>
    </row>
    <row r="706" spans="1:4" x14ac:dyDescent="0.25">
      <c r="A706" s="1" t="s">
        <v>1423</v>
      </c>
      <c r="B706" s="1" t="s">
        <v>8669</v>
      </c>
      <c r="C706" s="1" t="s">
        <v>8670</v>
      </c>
      <c r="D706" s="1" t="s">
        <v>8671</v>
      </c>
    </row>
    <row r="707" spans="1:4" x14ac:dyDescent="0.25">
      <c r="A707" s="1" t="s">
        <v>1425</v>
      </c>
      <c r="B707" s="1" t="s">
        <v>8672</v>
      </c>
      <c r="C707" s="1" t="s">
        <v>8673</v>
      </c>
      <c r="D707" s="1" t="s">
        <v>8674</v>
      </c>
    </row>
    <row r="708" spans="1:4" x14ac:dyDescent="0.25">
      <c r="A708" s="1" t="s">
        <v>1427</v>
      </c>
      <c r="B708" s="1" t="s">
        <v>8675</v>
      </c>
      <c r="C708" s="1" t="s">
        <v>8676</v>
      </c>
      <c r="D708" s="1" t="s">
        <v>8677</v>
      </c>
    </row>
    <row r="709" spans="1:4" x14ac:dyDescent="0.25">
      <c r="A709" s="1" t="s">
        <v>1429</v>
      </c>
      <c r="B709" s="1" t="s">
        <v>8678</v>
      </c>
      <c r="C709" s="1" t="s">
        <v>8679</v>
      </c>
      <c r="D709" s="1" t="s">
        <v>8680</v>
      </c>
    </row>
    <row r="710" spans="1:4" x14ac:dyDescent="0.25">
      <c r="A710" s="1" t="s">
        <v>1431</v>
      </c>
      <c r="B710" s="1" t="s">
        <v>8681</v>
      </c>
      <c r="C710" s="1" t="s">
        <v>8682</v>
      </c>
      <c r="D710" s="1" t="s">
        <v>8683</v>
      </c>
    </row>
    <row r="711" spans="1:4" x14ac:dyDescent="0.25">
      <c r="A711" s="1" t="s">
        <v>1433</v>
      </c>
      <c r="B711" s="1" t="s">
        <v>8684</v>
      </c>
      <c r="C711" s="1" t="s">
        <v>8685</v>
      </c>
      <c r="D711" s="1" t="s">
        <v>8686</v>
      </c>
    </row>
    <row r="712" spans="1:4" x14ac:dyDescent="0.25">
      <c r="A712" s="1" t="s">
        <v>1435</v>
      </c>
      <c r="B712" s="1" t="s">
        <v>8687</v>
      </c>
      <c r="C712" s="1" t="s">
        <v>8688</v>
      </c>
      <c r="D712" s="1" t="s">
        <v>8689</v>
      </c>
    </row>
    <row r="713" spans="1:4" x14ac:dyDescent="0.25">
      <c r="A713" s="1" t="s">
        <v>1437</v>
      </c>
      <c r="B713" s="1" t="s">
        <v>8690</v>
      </c>
      <c r="C713" s="1" t="s">
        <v>8691</v>
      </c>
      <c r="D713" s="1" t="s">
        <v>8692</v>
      </c>
    </row>
    <row r="714" spans="1:4" x14ac:dyDescent="0.25">
      <c r="A714" s="1" t="s">
        <v>1439</v>
      </c>
      <c r="B714" s="1" t="s">
        <v>8693</v>
      </c>
      <c r="C714" s="1" t="s">
        <v>8694</v>
      </c>
      <c r="D714" s="1" t="s">
        <v>8695</v>
      </c>
    </row>
    <row r="715" spans="1:4" x14ac:dyDescent="0.25">
      <c r="A715" s="1" t="s">
        <v>1441</v>
      </c>
      <c r="B715" s="1" t="s">
        <v>8696</v>
      </c>
      <c r="C715" s="1" t="s">
        <v>8697</v>
      </c>
      <c r="D715" s="1" t="s">
        <v>8698</v>
      </c>
    </row>
    <row r="716" spans="1:4" x14ac:dyDescent="0.25">
      <c r="A716" s="1" t="s">
        <v>1443</v>
      </c>
      <c r="B716" s="1" t="s">
        <v>8699</v>
      </c>
      <c r="C716" s="1" t="s">
        <v>8700</v>
      </c>
      <c r="D716" s="1" t="s">
        <v>8701</v>
      </c>
    </row>
    <row r="717" spans="1:4" x14ac:dyDescent="0.25">
      <c r="A717" s="1" t="s">
        <v>1445</v>
      </c>
      <c r="B717" s="1" t="s">
        <v>8702</v>
      </c>
      <c r="C717" s="1" t="s">
        <v>8703</v>
      </c>
      <c r="D717" s="1" t="s">
        <v>8704</v>
      </c>
    </row>
    <row r="718" spans="1:4" x14ac:dyDescent="0.25">
      <c r="A718" s="1" t="s">
        <v>1447</v>
      </c>
      <c r="B718" s="1" t="s">
        <v>8705</v>
      </c>
      <c r="C718" s="1" t="s">
        <v>8706</v>
      </c>
      <c r="D718" s="1" t="s">
        <v>8707</v>
      </c>
    </row>
    <row r="719" spans="1:4" x14ac:dyDescent="0.25">
      <c r="A719" s="1" t="s">
        <v>1449</v>
      </c>
      <c r="B719" s="1" t="s">
        <v>8708</v>
      </c>
      <c r="C719" s="1" t="s">
        <v>8709</v>
      </c>
      <c r="D719" s="1" t="s">
        <v>8710</v>
      </c>
    </row>
    <row r="720" spans="1:4" x14ac:dyDescent="0.25">
      <c r="A720" s="1" t="s">
        <v>1451</v>
      </c>
      <c r="B720" s="1" t="s">
        <v>8711</v>
      </c>
      <c r="C720" s="1" t="s">
        <v>8712</v>
      </c>
      <c r="D720" s="1" t="s">
        <v>8713</v>
      </c>
    </row>
    <row r="721" spans="1:4" x14ac:dyDescent="0.25">
      <c r="A721" s="1" t="s">
        <v>1453</v>
      </c>
      <c r="B721" s="1" t="s">
        <v>8714</v>
      </c>
      <c r="C721" s="1" t="s">
        <v>8715</v>
      </c>
      <c r="D721" s="1" t="s">
        <v>8716</v>
      </c>
    </row>
    <row r="722" spans="1:4" x14ac:dyDescent="0.25">
      <c r="A722" s="1" t="s">
        <v>1455</v>
      </c>
      <c r="B722" s="1" t="s">
        <v>8717</v>
      </c>
      <c r="C722" s="1" t="s">
        <v>8718</v>
      </c>
      <c r="D722" s="1" t="s">
        <v>8719</v>
      </c>
    </row>
    <row r="723" spans="1:4" x14ac:dyDescent="0.25">
      <c r="A723" s="1" t="s">
        <v>1457</v>
      </c>
      <c r="B723" s="1" t="s">
        <v>8720</v>
      </c>
      <c r="C723" s="1" t="s">
        <v>8721</v>
      </c>
      <c r="D723" s="1" t="s">
        <v>8722</v>
      </c>
    </row>
    <row r="724" spans="1:4" x14ac:dyDescent="0.25">
      <c r="A724" s="1" t="s">
        <v>1459</v>
      </c>
      <c r="B724" s="1" t="s">
        <v>8723</v>
      </c>
      <c r="C724" s="1" t="s">
        <v>8724</v>
      </c>
      <c r="D724" s="1" t="s">
        <v>8725</v>
      </c>
    </row>
    <row r="725" spans="1:4" x14ac:dyDescent="0.25">
      <c r="A725" s="1" t="s">
        <v>1461</v>
      </c>
      <c r="B725" s="1" t="s">
        <v>8726</v>
      </c>
      <c r="C725" s="1" t="s">
        <v>8727</v>
      </c>
      <c r="D725" s="1" t="s">
        <v>8728</v>
      </c>
    </row>
    <row r="726" spans="1:4" x14ac:dyDescent="0.25">
      <c r="A726" s="1" t="s">
        <v>1463</v>
      </c>
      <c r="B726" s="1" t="s">
        <v>8729</v>
      </c>
      <c r="C726" s="1" t="s">
        <v>8730</v>
      </c>
      <c r="D726" s="1" t="s">
        <v>8731</v>
      </c>
    </row>
    <row r="727" spans="1:4" x14ac:dyDescent="0.25">
      <c r="A727" s="1" t="s">
        <v>1465</v>
      </c>
      <c r="B727" s="1" t="s">
        <v>8732</v>
      </c>
      <c r="C727" s="1" t="s">
        <v>8733</v>
      </c>
      <c r="D727" s="1" t="s">
        <v>8734</v>
      </c>
    </row>
    <row r="728" spans="1:4" x14ac:dyDescent="0.25">
      <c r="A728" s="1" t="s">
        <v>1467</v>
      </c>
      <c r="B728" s="1" t="s">
        <v>8735</v>
      </c>
      <c r="C728" s="1" t="s">
        <v>8736</v>
      </c>
      <c r="D728" s="1" t="s">
        <v>8737</v>
      </c>
    </row>
    <row r="729" spans="1:4" x14ac:dyDescent="0.25">
      <c r="A729" s="1" t="s">
        <v>1469</v>
      </c>
      <c r="B729" s="1" t="s">
        <v>8738</v>
      </c>
      <c r="C729" s="1" t="s">
        <v>8739</v>
      </c>
      <c r="D729" s="1" t="s">
        <v>8740</v>
      </c>
    </row>
    <row r="730" spans="1:4" x14ac:dyDescent="0.25">
      <c r="A730" s="1" t="s">
        <v>1471</v>
      </c>
      <c r="B730" s="1" t="s">
        <v>8741</v>
      </c>
      <c r="C730" s="1" t="s">
        <v>8742</v>
      </c>
      <c r="D730" s="1" t="s">
        <v>8743</v>
      </c>
    </row>
    <row r="731" spans="1:4" x14ac:dyDescent="0.25">
      <c r="A731" s="1" t="s">
        <v>1473</v>
      </c>
      <c r="B731" s="1" t="s">
        <v>8744</v>
      </c>
      <c r="C731" s="1" t="s">
        <v>8745</v>
      </c>
      <c r="D731" s="1" t="s">
        <v>8746</v>
      </c>
    </row>
    <row r="732" spans="1:4" x14ac:dyDescent="0.25">
      <c r="A732" s="1" t="s">
        <v>1475</v>
      </c>
      <c r="B732" s="1" t="s">
        <v>8747</v>
      </c>
      <c r="C732" s="1" t="s">
        <v>8748</v>
      </c>
      <c r="D732" s="1" t="s">
        <v>8749</v>
      </c>
    </row>
    <row r="733" spans="1:4" x14ac:dyDescent="0.25">
      <c r="A733" s="1" t="s">
        <v>1477</v>
      </c>
      <c r="B733" s="1" t="s">
        <v>8750</v>
      </c>
      <c r="C733" s="1" t="s">
        <v>8751</v>
      </c>
      <c r="D733" s="1" t="s">
        <v>8752</v>
      </c>
    </row>
    <row r="734" spans="1:4" x14ac:dyDescent="0.25">
      <c r="A734" s="1" t="s">
        <v>1479</v>
      </c>
      <c r="B734" s="1" t="s">
        <v>8753</v>
      </c>
      <c r="C734" s="1" t="s">
        <v>8754</v>
      </c>
      <c r="D734" s="1" t="s">
        <v>8755</v>
      </c>
    </row>
    <row r="735" spans="1:4" x14ac:dyDescent="0.25">
      <c r="A735" s="1" t="s">
        <v>1481</v>
      </c>
      <c r="B735" s="1" t="s">
        <v>8756</v>
      </c>
      <c r="C735" s="1" t="s">
        <v>8757</v>
      </c>
      <c r="D735" s="1" t="s">
        <v>8758</v>
      </c>
    </row>
    <row r="736" spans="1:4" x14ac:dyDescent="0.25">
      <c r="A736" s="1" t="s">
        <v>1483</v>
      </c>
      <c r="B736" s="1" t="s">
        <v>8759</v>
      </c>
      <c r="C736" s="1" t="s">
        <v>8760</v>
      </c>
      <c r="D736" s="1" t="s">
        <v>8761</v>
      </c>
    </row>
    <row r="737" spans="1:4" x14ac:dyDescent="0.25">
      <c r="A737" s="1" t="s">
        <v>1485</v>
      </c>
      <c r="B737" s="1" t="s">
        <v>8762</v>
      </c>
      <c r="C737" s="1" t="s">
        <v>8763</v>
      </c>
      <c r="D737" s="1" t="s">
        <v>8764</v>
      </c>
    </row>
    <row r="738" spans="1:4" x14ac:dyDescent="0.25">
      <c r="A738" s="1" t="s">
        <v>1487</v>
      </c>
      <c r="B738" s="1" t="s">
        <v>8765</v>
      </c>
      <c r="C738" s="1" t="s">
        <v>8766</v>
      </c>
      <c r="D738" s="1" t="s">
        <v>8767</v>
      </c>
    </row>
    <row r="739" spans="1:4" x14ac:dyDescent="0.25">
      <c r="A739" s="1" t="s">
        <v>1489</v>
      </c>
      <c r="B739" s="1" t="s">
        <v>8768</v>
      </c>
      <c r="C739" s="1" t="s">
        <v>8769</v>
      </c>
      <c r="D739" s="1" t="s">
        <v>8770</v>
      </c>
    </row>
    <row r="740" spans="1:4" x14ac:dyDescent="0.25">
      <c r="A740" s="1" t="s">
        <v>1491</v>
      </c>
      <c r="B740" s="1" t="s">
        <v>8771</v>
      </c>
      <c r="C740" s="1" t="s">
        <v>8772</v>
      </c>
      <c r="D740" s="1" t="s">
        <v>8773</v>
      </c>
    </row>
    <row r="741" spans="1:4" x14ac:dyDescent="0.25">
      <c r="A741" s="1" t="s">
        <v>1493</v>
      </c>
      <c r="B741" s="1" t="s">
        <v>8774</v>
      </c>
      <c r="C741" s="1" t="s">
        <v>8775</v>
      </c>
      <c r="D741" s="1" t="s">
        <v>8776</v>
      </c>
    </row>
    <row r="742" spans="1:4" x14ac:dyDescent="0.25">
      <c r="A742" s="1" t="s">
        <v>1495</v>
      </c>
      <c r="B742" s="1" t="s">
        <v>8777</v>
      </c>
      <c r="C742" s="1" t="s">
        <v>8778</v>
      </c>
      <c r="D742" s="1" t="s">
        <v>8779</v>
      </c>
    </row>
    <row r="743" spans="1:4" x14ac:dyDescent="0.25">
      <c r="A743" s="1" t="s">
        <v>1497</v>
      </c>
      <c r="B743" s="1" t="s">
        <v>8780</v>
      </c>
      <c r="C743" s="1" t="s">
        <v>8781</v>
      </c>
      <c r="D743" s="1" t="s">
        <v>8782</v>
      </c>
    </row>
    <row r="744" spans="1:4" x14ac:dyDescent="0.25">
      <c r="A744" s="1" t="s">
        <v>1499</v>
      </c>
      <c r="B744" s="1" t="s">
        <v>8783</v>
      </c>
      <c r="C744" s="1" t="s">
        <v>8784</v>
      </c>
      <c r="D744" s="1" t="s">
        <v>8785</v>
      </c>
    </row>
    <row r="745" spans="1:4" x14ac:dyDescent="0.25">
      <c r="A745" s="1" t="s">
        <v>1501</v>
      </c>
      <c r="B745" s="1" t="s">
        <v>8786</v>
      </c>
      <c r="C745" s="1" t="s">
        <v>8787</v>
      </c>
      <c r="D745" s="1" t="s">
        <v>8788</v>
      </c>
    </row>
    <row r="746" spans="1:4" x14ac:dyDescent="0.25">
      <c r="A746" s="1" t="s">
        <v>1503</v>
      </c>
      <c r="B746" s="1" t="s">
        <v>8789</v>
      </c>
      <c r="C746" s="1" t="s">
        <v>8790</v>
      </c>
      <c r="D746" s="1" t="s">
        <v>8791</v>
      </c>
    </row>
    <row r="747" spans="1:4" x14ac:dyDescent="0.25">
      <c r="A747" s="1" t="s">
        <v>1505</v>
      </c>
      <c r="B747" s="1" t="s">
        <v>8792</v>
      </c>
      <c r="C747" s="1" t="s">
        <v>8793</v>
      </c>
      <c r="D747" s="1" t="s">
        <v>8794</v>
      </c>
    </row>
    <row r="748" spans="1:4" x14ac:dyDescent="0.25">
      <c r="A748" s="1" t="s">
        <v>1507</v>
      </c>
      <c r="B748" s="1" t="s">
        <v>8795</v>
      </c>
      <c r="C748" s="1" t="s">
        <v>8796</v>
      </c>
      <c r="D748" s="1" t="s">
        <v>8797</v>
      </c>
    </row>
    <row r="749" spans="1:4" x14ac:dyDescent="0.25">
      <c r="A749" s="1" t="s">
        <v>1509</v>
      </c>
      <c r="B749" s="1" t="s">
        <v>8798</v>
      </c>
      <c r="C749" s="1" t="s">
        <v>8799</v>
      </c>
      <c r="D749" s="1" t="s">
        <v>8800</v>
      </c>
    </row>
    <row r="750" spans="1:4" x14ac:dyDescent="0.25">
      <c r="A750" s="1" t="s">
        <v>1511</v>
      </c>
      <c r="B750" s="1" t="s">
        <v>8801</v>
      </c>
      <c r="C750" s="1" t="s">
        <v>8802</v>
      </c>
      <c r="D750" s="1" t="s">
        <v>8803</v>
      </c>
    </row>
    <row r="751" spans="1:4" x14ac:dyDescent="0.25">
      <c r="A751" s="1" t="s">
        <v>1513</v>
      </c>
      <c r="B751" s="1" t="s">
        <v>8804</v>
      </c>
      <c r="C751" s="1" t="s">
        <v>8805</v>
      </c>
      <c r="D751" s="1" t="s">
        <v>8806</v>
      </c>
    </row>
    <row r="752" spans="1:4" x14ac:dyDescent="0.25">
      <c r="A752" s="1" t="s">
        <v>1515</v>
      </c>
      <c r="B752" s="1" t="s">
        <v>8807</v>
      </c>
      <c r="C752" s="1" t="s">
        <v>8808</v>
      </c>
      <c r="D752" s="1" t="s">
        <v>8809</v>
      </c>
    </row>
    <row r="753" spans="1:4" x14ac:dyDescent="0.25">
      <c r="A753" s="1" t="s">
        <v>1517</v>
      </c>
      <c r="B753" s="1" t="s">
        <v>8810</v>
      </c>
      <c r="C753" s="1" t="s">
        <v>8811</v>
      </c>
      <c r="D753" s="1" t="s">
        <v>8812</v>
      </c>
    </row>
    <row r="754" spans="1:4" x14ac:dyDescent="0.25">
      <c r="A754" s="1" t="s">
        <v>1519</v>
      </c>
      <c r="B754" s="1" t="s">
        <v>8813</v>
      </c>
      <c r="C754" s="1" t="s">
        <v>8814</v>
      </c>
      <c r="D754" s="1" t="s">
        <v>8815</v>
      </c>
    </row>
    <row r="755" spans="1:4" x14ac:dyDescent="0.25">
      <c r="A755" s="1" t="s">
        <v>1521</v>
      </c>
      <c r="B755" s="1" t="s">
        <v>8816</v>
      </c>
      <c r="C755" s="1" t="s">
        <v>8817</v>
      </c>
      <c r="D755" s="1" t="s">
        <v>8818</v>
      </c>
    </row>
    <row r="756" spans="1:4" x14ac:dyDescent="0.25">
      <c r="A756" s="1" t="s">
        <v>1523</v>
      </c>
      <c r="B756" s="1" t="s">
        <v>8819</v>
      </c>
      <c r="C756" s="1" t="s">
        <v>8820</v>
      </c>
      <c r="D756" s="1" t="s">
        <v>8821</v>
      </c>
    </row>
    <row r="757" spans="1:4" x14ac:dyDescent="0.25">
      <c r="A757" s="1" t="s">
        <v>1525</v>
      </c>
      <c r="B757" s="1" t="s">
        <v>8822</v>
      </c>
      <c r="C757" s="1" t="s">
        <v>8823</v>
      </c>
      <c r="D757" s="1" t="s">
        <v>8824</v>
      </c>
    </row>
    <row r="758" spans="1:4" x14ac:dyDescent="0.25">
      <c r="A758" s="1" t="s">
        <v>1527</v>
      </c>
      <c r="B758" s="1" t="s">
        <v>8825</v>
      </c>
      <c r="C758" s="1" t="s">
        <v>8826</v>
      </c>
      <c r="D758" s="1" t="s">
        <v>8827</v>
      </c>
    </row>
    <row r="759" spans="1:4" x14ac:dyDescent="0.25">
      <c r="A759" s="1" t="s">
        <v>1529</v>
      </c>
      <c r="B759" s="1" t="s">
        <v>8828</v>
      </c>
      <c r="C759" s="1" t="s">
        <v>8829</v>
      </c>
      <c r="D759" s="1" t="s">
        <v>8830</v>
      </c>
    </row>
    <row r="760" spans="1:4" x14ac:dyDescent="0.25">
      <c r="A760" s="1" t="s">
        <v>1531</v>
      </c>
      <c r="B760" s="1" t="s">
        <v>8831</v>
      </c>
      <c r="C760" s="1" t="s">
        <v>8832</v>
      </c>
      <c r="D760" s="1" t="s">
        <v>8833</v>
      </c>
    </row>
    <row r="761" spans="1:4" x14ac:dyDescent="0.25">
      <c r="A761" s="1" t="s">
        <v>1533</v>
      </c>
      <c r="B761" s="1" t="s">
        <v>8834</v>
      </c>
      <c r="C761" s="1" t="s">
        <v>8835</v>
      </c>
      <c r="D761" s="1" t="s">
        <v>8836</v>
      </c>
    </row>
    <row r="762" spans="1:4" x14ac:dyDescent="0.25">
      <c r="A762" s="1" t="s">
        <v>1535</v>
      </c>
      <c r="B762" s="1" t="s">
        <v>8837</v>
      </c>
      <c r="C762" s="1" t="s">
        <v>8838</v>
      </c>
      <c r="D762" s="1" t="s">
        <v>8839</v>
      </c>
    </row>
    <row r="763" spans="1:4" x14ac:dyDescent="0.25">
      <c r="A763" s="1" t="s">
        <v>1537</v>
      </c>
      <c r="B763" s="1" t="s">
        <v>8840</v>
      </c>
      <c r="C763" s="1" t="s">
        <v>8841</v>
      </c>
      <c r="D763" s="1" t="s">
        <v>8842</v>
      </c>
    </row>
    <row r="764" spans="1:4" x14ac:dyDescent="0.25">
      <c r="A764" s="1" t="s">
        <v>1539</v>
      </c>
      <c r="B764" s="1" t="s">
        <v>8843</v>
      </c>
      <c r="C764" s="1" t="s">
        <v>8844</v>
      </c>
      <c r="D764" s="1" t="s">
        <v>8845</v>
      </c>
    </row>
    <row r="765" spans="1:4" x14ac:dyDescent="0.25">
      <c r="A765" s="1" t="s">
        <v>1541</v>
      </c>
      <c r="B765" s="1" t="s">
        <v>8846</v>
      </c>
      <c r="C765" s="1" t="s">
        <v>8847</v>
      </c>
      <c r="D765" s="1" t="s">
        <v>8848</v>
      </c>
    </row>
    <row r="766" spans="1:4" x14ac:dyDescent="0.25">
      <c r="A766" s="1" t="s">
        <v>1543</v>
      </c>
      <c r="B766" s="1" t="s">
        <v>8849</v>
      </c>
      <c r="C766" s="1" t="s">
        <v>8850</v>
      </c>
      <c r="D766" s="1" t="s">
        <v>8851</v>
      </c>
    </row>
    <row r="767" spans="1:4" x14ac:dyDescent="0.25">
      <c r="A767" s="1" t="s">
        <v>1545</v>
      </c>
      <c r="B767" s="1" t="s">
        <v>8852</v>
      </c>
      <c r="C767" s="1" t="s">
        <v>8853</v>
      </c>
      <c r="D767" s="1" t="s">
        <v>8854</v>
      </c>
    </row>
    <row r="768" spans="1:4" x14ac:dyDescent="0.25">
      <c r="A768" s="1" t="s">
        <v>1547</v>
      </c>
      <c r="B768" s="1" t="s">
        <v>8855</v>
      </c>
      <c r="C768" s="1" t="s">
        <v>8856</v>
      </c>
      <c r="D768" s="1" t="s">
        <v>8857</v>
      </c>
    </row>
    <row r="769" spans="1:4" x14ac:dyDescent="0.25">
      <c r="A769" s="1" t="s">
        <v>1549</v>
      </c>
      <c r="B769" s="1" t="s">
        <v>8858</v>
      </c>
      <c r="C769" s="1" t="s">
        <v>8859</v>
      </c>
      <c r="D769" s="1" t="s">
        <v>8860</v>
      </c>
    </row>
    <row r="770" spans="1:4" x14ac:dyDescent="0.25">
      <c r="A770" s="1" t="s">
        <v>1551</v>
      </c>
      <c r="B770" s="1" t="s">
        <v>8861</v>
      </c>
      <c r="C770" s="1" t="s">
        <v>8862</v>
      </c>
      <c r="D770" s="1" t="s">
        <v>8863</v>
      </c>
    </row>
    <row r="771" spans="1:4" x14ac:dyDescent="0.25">
      <c r="A771" s="1" t="s">
        <v>1553</v>
      </c>
      <c r="B771" s="1" t="s">
        <v>8864</v>
      </c>
      <c r="C771" s="1" t="s">
        <v>8865</v>
      </c>
      <c r="D771" s="1" t="s">
        <v>8866</v>
      </c>
    </row>
    <row r="772" spans="1:4" x14ac:dyDescent="0.25">
      <c r="A772" s="1" t="s">
        <v>1555</v>
      </c>
      <c r="B772" s="1" t="s">
        <v>8867</v>
      </c>
      <c r="C772" s="1" t="s">
        <v>8868</v>
      </c>
      <c r="D772" s="1" t="s">
        <v>8869</v>
      </c>
    </row>
    <row r="773" spans="1:4" x14ac:dyDescent="0.25">
      <c r="A773" s="1" t="s">
        <v>1557</v>
      </c>
      <c r="B773" s="1" t="s">
        <v>8870</v>
      </c>
      <c r="C773" s="1" t="s">
        <v>8871</v>
      </c>
      <c r="D773" s="1" t="s">
        <v>8872</v>
      </c>
    </row>
    <row r="774" spans="1:4" x14ac:dyDescent="0.25">
      <c r="A774" s="1" t="s">
        <v>1559</v>
      </c>
      <c r="B774" s="1" t="s">
        <v>8873</v>
      </c>
      <c r="C774" s="1" t="s">
        <v>8874</v>
      </c>
      <c r="D774" s="1" t="s">
        <v>8875</v>
      </c>
    </row>
    <row r="775" spans="1:4" x14ac:dyDescent="0.25">
      <c r="A775" s="1" t="s">
        <v>1561</v>
      </c>
      <c r="B775" s="1" t="s">
        <v>8876</v>
      </c>
      <c r="C775" s="1" t="s">
        <v>8877</v>
      </c>
      <c r="D775" s="1" t="s">
        <v>8878</v>
      </c>
    </row>
    <row r="776" spans="1:4" x14ac:dyDescent="0.25">
      <c r="A776" s="1" t="s">
        <v>1563</v>
      </c>
      <c r="B776" s="1" t="s">
        <v>8879</v>
      </c>
      <c r="C776" s="1" t="s">
        <v>8880</v>
      </c>
      <c r="D776" s="1" t="s">
        <v>8881</v>
      </c>
    </row>
    <row r="777" spans="1:4" x14ac:dyDescent="0.25">
      <c r="A777" s="1" t="s">
        <v>1565</v>
      </c>
      <c r="B777" s="1" t="s">
        <v>8882</v>
      </c>
      <c r="C777" s="1" t="s">
        <v>8883</v>
      </c>
      <c r="D777" s="1" t="s">
        <v>8884</v>
      </c>
    </row>
    <row r="778" spans="1:4" x14ac:dyDescent="0.25">
      <c r="A778" s="1" t="s">
        <v>1567</v>
      </c>
      <c r="B778" s="1" t="s">
        <v>8885</v>
      </c>
      <c r="C778" s="1" t="s">
        <v>8886</v>
      </c>
      <c r="D778" s="1" t="s">
        <v>8887</v>
      </c>
    </row>
    <row r="779" spans="1:4" x14ac:dyDescent="0.25">
      <c r="A779" s="1" t="s">
        <v>1569</v>
      </c>
      <c r="B779" s="1" t="s">
        <v>8888</v>
      </c>
      <c r="C779" s="1" t="s">
        <v>8889</v>
      </c>
      <c r="D779" s="1" t="s">
        <v>8890</v>
      </c>
    </row>
    <row r="780" spans="1:4" x14ac:dyDescent="0.25">
      <c r="A780" s="1" t="s">
        <v>1571</v>
      </c>
      <c r="B780" s="1" t="s">
        <v>8891</v>
      </c>
      <c r="C780" s="1" t="s">
        <v>8892</v>
      </c>
      <c r="D780" s="1" t="s">
        <v>8893</v>
      </c>
    </row>
    <row r="781" spans="1:4" x14ac:dyDescent="0.25">
      <c r="A781" s="1" t="s">
        <v>1573</v>
      </c>
      <c r="B781" s="1" t="s">
        <v>8894</v>
      </c>
      <c r="C781" s="1" t="s">
        <v>8895</v>
      </c>
      <c r="D781" s="1" t="s">
        <v>8896</v>
      </c>
    </row>
    <row r="782" spans="1:4" x14ac:dyDescent="0.25">
      <c r="A782" s="1" t="s">
        <v>1575</v>
      </c>
      <c r="B782" s="1" t="s">
        <v>8897</v>
      </c>
      <c r="C782" s="1" t="s">
        <v>8898</v>
      </c>
      <c r="D782" s="1" t="s">
        <v>8899</v>
      </c>
    </row>
    <row r="783" spans="1:4" x14ac:dyDescent="0.25">
      <c r="A783" s="1" t="s">
        <v>1577</v>
      </c>
      <c r="B783" s="1" t="s">
        <v>8900</v>
      </c>
      <c r="C783" s="1" t="s">
        <v>8901</v>
      </c>
      <c r="D783" s="1" t="s">
        <v>8902</v>
      </c>
    </row>
    <row r="784" spans="1:4" x14ac:dyDescent="0.25">
      <c r="A784" s="1" t="s">
        <v>1579</v>
      </c>
      <c r="B784" s="1" t="s">
        <v>8903</v>
      </c>
      <c r="C784" s="1" t="s">
        <v>8904</v>
      </c>
      <c r="D784" s="1" t="s">
        <v>8905</v>
      </c>
    </row>
    <row r="785" spans="1:4" x14ac:dyDescent="0.25">
      <c r="A785" s="1" t="s">
        <v>1581</v>
      </c>
      <c r="B785" s="1" t="s">
        <v>8906</v>
      </c>
      <c r="C785" s="1" t="s">
        <v>8907</v>
      </c>
      <c r="D785" s="1" t="s">
        <v>8908</v>
      </c>
    </row>
    <row r="786" spans="1:4" x14ac:dyDescent="0.25">
      <c r="A786" s="1" t="s">
        <v>1583</v>
      </c>
      <c r="B786" s="1" t="s">
        <v>8909</v>
      </c>
      <c r="C786" s="1" t="s">
        <v>8910</v>
      </c>
      <c r="D786" s="1" t="s">
        <v>8911</v>
      </c>
    </row>
    <row r="787" spans="1:4" x14ac:dyDescent="0.25">
      <c r="A787" s="1" t="s">
        <v>1585</v>
      </c>
      <c r="B787" s="1" t="s">
        <v>8912</v>
      </c>
      <c r="C787" s="1" t="s">
        <v>8913</v>
      </c>
      <c r="D787" s="1" t="s">
        <v>8914</v>
      </c>
    </row>
    <row r="788" spans="1:4" x14ac:dyDescent="0.25">
      <c r="A788" s="1" t="s">
        <v>1587</v>
      </c>
      <c r="B788" s="1" t="s">
        <v>8915</v>
      </c>
      <c r="C788" s="1" t="s">
        <v>8916</v>
      </c>
      <c r="D788" s="1" t="s">
        <v>8917</v>
      </c>
    </row>
    <row r="789" spans="1:4" x14ac:dyDescent="0.25">
      <c r="A789" s="1" t="s">
        <v>1589</v>
      </c>
      <c r="B789" s="1" t="s">
        <v>8918</v>
      </c>
      <c r="C789" s="1" t="s">
        <v>8919</v>
      </c>
      <c r="D789" s="1" t="s">
        <v>8920</v>
      </c>
    </row>
    <row r="790" spans="1:4" x14ac:dyDescent="0.25">
      <c r="A790" s="1" t="s">
        <v>1591</v>
      </c>
      <c r="B790" s="1" t="s">
        <v>8921</v>
      </c>
      <c r="C790" s="1" t="s">
        <v>8922</v>
      </c>
      <c r="D790" s="1" t="s">
        <v>8923</v>
      </c>
    </row>
    <row r="791" spans="1:4" x14ac:dyDescent="0.25">
      <c r="A791" s="1" t="s">
        <v>1593</v>
      </c>
      <c r="B791" s="1" t="s">
        <v>8924</v>
      </c>
      <c r="C791" s="1" t="s">
        <v>8925</v>
      </c>
      <c r="D791" s="1" t="s">
        <v>8926</v>
      </c>
    </row>
    <row r="792" spans="1:4" x14ac:dyDescent="0.25">
      <c r="A792" s="1" t="s">
        <v>1595</v>
      </c>
      <c r="B792" s="1" t="s">
        <v>8927</v>
      </c>
      <c r="C792" s="1" t="s">
        <v>8928</v>
      </c>
      <c r="D792" s="1" t="s">
        <v>8929</v>
      </c>
    </row>
    <row r="793" spans="1:4" x14ac:dyDescent="0.25">
      <c r="A793" s="1" t="s">
        <v>1597</v>
      </c>
      <c r="B793" s="1" t="s">
        <v>8930</v>
      </c>
      <c r="C793" s="1" t="s">
        <v>8931</v>
      </c>
      <c r="D793" s="1" t="s">
        <v>8932</v>
      </c>
    </row>
    <row r="794" spans="1:4" x14ac:dyDescent="0.25">
      <c r="A794" s="1" t="s">
        <v>1599</v>
      </c>
      <c r="B794" s="1" t="s">
        <v>8933</v>
      </c>
      <c r="C794" s="1" t="s">
        <v>8934</v>
      </c>
      <c r="D794" s="1" t="s">
        <v>8935</v>
      </c>
    </row>
    <row r="795" spans="1:4" x14ac:dyDescent="0.25">
      <c r="A795" s="1" t="s">
        <v>1601</v>
      </c>
      <c r="B795" s="1" t="s">
        <v>8936</v>
      </c>
      <c r="C795" s="1" t="s">
        <v>8937</v>
      </c>
      <c r="D795" s="1" t="s">
        <v>8938</v>
      </c>
    </row>
    <row r="796" spans="1:4" x14ac:dyDescent="0.25">
      <c r="A796" s="1" t="s">
        <v>1603</v>
      </c>
      <c r="B796" s="1" t="s">
        <v>8939</v>
      </c>
      <c r="C796" s="1" t="s">
        <v>8940</v>
      </c>
      <c r="D796" s="1" t="s">
        <v>8941</v>
      </c>
    </row>
    <row r="797" spans="1:4" x14ac:dyDescent="0.25">
      <c r="A797" s="1" t="s">
        <v>1605</v>
      </c>
      <c r="B797" s="1" t="s">
        <v>8942</v>
      </c>
      <c r="C797" s="1" t="s">
        <v>8943</v>
      </c>
      <c r="D797" s="1" t="s">
        <v>8944</v>
      </c>
    </row>
    <row r="798" spans="1:4" x14ac:dyDescent="0.25">
      <c r="A798" s="1" t="s">
        <v>1607</v>
      </c>
      <c r="B798" s="1" t="s">
        <v>8945</v>
      </c>
      <c r="C798" s="1" t="s">
        <v>8946</v>
      </c>
      <c r="D798" s="1" t="s">
        <v>8947</v>
      </c>
    </row>
    <row r="799" spans="1:4" x14ac:dyDescent="0.25">
      <c r="A799" s="1" t="s">
        <v>1609</v>
      </c>
      <c r="B799" s="1" t="s">
        <v>8948</v>
      </c>
      <c r="C799" s="1" t="s">
        <v>8949</v>
      </c>
      <c r="D799" s="1" t="s">
        <v>8950</v>
      </c>
    </row>
    <row r="800" spans="1:4" x14ac:dyDescent="0.25">
      <c r="A800" s="1" t="s">
        <v>1611</v>
      </c>
      <c r="B800" s="1" t="s">
        <v>8951</v>
      </c>
      <c r="C800" s="1" t="s">
        <v>8952</v>
      </c>
      <c r="D800" s="1" t="s">
        <v>8953</v>
      </c>
    </row>
    <row r="801" spans="1:4" x14ac:dyDescent="0.25">
      <c r="A801" s="1" t="s">
        <v>1613</v>
      </c>
      <c r="B801" s="1" t="s">
        <v>8954</v>
      </c>
      <c r="C801" s="1" t="s">
        <v>8955</v>
      </c>
      <c r="D801" s="1" t="s">
        <v>8956</v>
      </c>
    </row>
    <row r="802" spans="1:4" x14ac:dyDescent="0.25">
      <c r="A802" s="1" t="s">
        <v>1615</v>
      </c>
      <c r="B802" s="1" t="s">
        <v>8957</v>
      </c>
      <c r="C802" s="1" t="s">
        <v>8958</v>
      </c>
      <c r="D802" s="1" t="s">
        <v>8959</v>
      </c>
    </row>
    <row r="803" spans="1:4" x14ac:dyDescent="0.25">
      <c r="A803" s="1" t="s">
        <v>1617</v>
      </c>
      <c r="B803" s="1" t="s">
        <v>8960</v>
      </c>
      <c r="C803" s="1" t="s">
        <v>8961</v>
      </c>
      <c r="D803" s="1" t="s">
        <v>8962</v>
      </c>
    </row>
    <row r="804" spans="1:4" x14ac:dyDescent="0.25">
      <c r="A804" s="1" t="s">
        <v>1619</v>
      </c>
      <c r="B804" s="1" t="s">
        <v>8963</v>
      </c>
      <c r="C804" s="1" t="s">
        <v>8964</v>
      </c>
      <c r="D804" s="1" t="s">
        <v>8965</v>
      </c>
    </row>
    <row r="805" spans="1:4" x14ac:dyDescent="0.25">
      <c r="A805" s="1" t="s">
        <v>1621</v>
      </c>
      <c r="B805" s="1" t="s">
        <v>8966</v>
      </c>
      <c r="C805" s="1" t="s">
        <v>8967</v>
      </c>
      <c r="D805" s="1" t="s">
        <v>8968</v>
      </c>
    </row>
    <row r="806" spans="1:4" x14ac:dyDescent="0.25">
      <c r="A806" s="1" t="s">
        <v>1623</v>
      </c>
      <c r="B806" s="1" t="s">
        <v>8969</v>
      </c>
      <c r="C806" s="1" t="s">
        <v>8970</v>
      </c>
      <c r="D806" s="1" t="s">
        <v>8971</v>
      </c>
    </row>
    <row r="807" spans="1:4" x14ac:dyDescent="0.25">
      <c r="A807" s="1" t="s">
        <v>1625</v>
      </c>
      <c r="B807" s="1" t="s">
        <v>8972</v>
      </c>
      <c r="C807" s="1" t="s">
        <v>8973</v>
      </c>
      <c r="D807" s="1" t="s">
        <v>8974</v>
      </c>
    </row>
    <row r="808" spans="1:4" x14ac:dyDescent="0.25">
      <c r="A808" s="1" t="s">
        <v>1627</v>
      </c>
      <c r="B808" s="1" t="s">
        <v>8975</v>
      </c>
      <c r="C808" s="1" t="s">
        <v>8976</v>
      </c>
      <c r="D808" s="1" t="s">
        <v>8977</v>
      </c>
    </row>
    <row r="809" spans="1:4" x14ac:dyDescent="0.25">
      <c r="A809" s="1" t="s">
        <v>1629</v>
      </c>
      <c r="B809" s="1" t="s">
        <v>8978</v>
      </c>
      <c r="C809" s="1" t="s">
        <v>8979</v>
      </c>
      <c r="D809" s="1" t="s">
        <v>8980</v>
      </c>
    </row>
    <row r="810" spans="1:4" x14ac:dyDescent="0.25">
      <c r="A810" s="1" t="s">
        <v>1631</v>
      </c>
      <c r="B810" s="1" t="s">
        <v>8981</v>
      </c>
      <c r="C810" s="1" t="s">
        <v>8982</v>
      </c>
      <c r="D810" s="1" t="s">
        <v>8983</v>
      </c>
    </row>
    <row r="811" spans="1:4" x14ac:dyDescent="0.25">
      <c r="A811" s="1" t="s">
        <v>1633</v>
      </c>
      <c r="B811" s="1" t="s">
        <v>8984</v>
      </c>
      <c r="C811" s="1" t="s">
        <v>8985</v>
      </c>
      <c r="D811" s="1" t="s">
        <v>8986</v>
      </c>
    </row>
    <row r="812" spans="1:4" x14ac:dyDescent="0.25">
      <c r="A812" s="1" t="s">
        <v>1635</v>
      </c>
      <c r="B812" s="1" t="s">
        <v>8987</v>
      </c>
      <c r="C812" s="1" t="s">
        <v>8988</v>
      </c>
      <c r="D812" s="1" t="s">
        <v>8989</v>
      </c>
    </row>
    <row r="813" spans="1:4" x14ac:dyDescent="0.25">
      <c r="A813" s="1" t="s">
        <v>1637</v>
      </c>
      <c r="B813" s="1" t="s">
        <v>8990</v>
      </c>
      <c r="C813" s="1" t="s">
        <v>8991</v>
      </c>
      <c r="D813" s="1" t="s">
        <v>8992</v>
      </c>
    </row>
    <row r="814" spans="1:4" x14ac:dyDescent="0.25">
      <c r="A814" s="1" t="s">
        <v>1639</v>
      </c>
      <c r="B814" s="1" t="s">
        <v>8993</v>
      </c>
      <c r="C814" s="1" t="s">
        <v>8994</v>
      </c>
      <c r="D814" s="1" t="s">
        <v>8995</v>
      </c>
    </row>
    <row r="815" spans="1:4" x14ac:dyDescent="0.25">
      <c r="A815" s="1" t="s">
        <v>1641</v>
      </c>
      <c r="B815" s="1" t="s">
        <v>8996</v>
      </c>
      <c r="C815" s="1" t="s">
        <v>8997</v>
      </c>
      <c r="D815" s="1" t="s">
        <v>8998</v>
      </c>
    </row>
    <row r="816" spans="1:4" x14ac:dyDescent="0.25">
      <c r="A816" s="1" t="s">
        <v>1643</v>
      </c>
      <c r="B816" s="1" t="s">
        <v>8999</v>
      </c>
      <c r="C816" s="1" t="s">
        <v>9000</v>
      </c>
      <c r="D816" s="1" t="s">
        <v>9001</v>
      </c>
    </row>
    <row r="817" spans="1:4" x14ac:dyDescent="0.25">
      <c r="A817" s="1" t="s">
        <v>1645</v>
      </c>
      <c r="B817" s="1" t="s">
        <v>9002</v>
      </c>
      <c r="C817" s="1" t="s">
        <v>9003</v>
      </c>
      <c r="D817" s="1" t="s">
        <v>9004</v>
      </c>
    </row>
    <row r="818" spans="1:4" x14ac:dyDescent="0.25">
      <c r="A818" s="1" t="s">
        <v>1647</v>
      </c>
      <c r="B818" s="1" t="s">
        <v>9005</v>
      </c>
      <c r="C818" s="1" t="s">
        <v>9006</v>
      </c>
      <c r="D818" s="1" t="s">
        <v>9007</v>
      </c>
    </row>
    <row r="819" spans="1:4" x14ac:dyDescent="0.25">
      <c r="A819" s="1" t="s">
        <v>1649</v>
      </c>
      <c r="B819" s="1" t="s">
        <v>9008</v>
      </c>
      <c r="C819" s="1" t="s">
        <v>9009</v>
      </c>
      <c r="D819" s="1" t="s">
        <v>9010</v>
      </c>
    </row>
    <row r="820" spans="1:4" x14ac:dyDescent="0.25">
      <c r="A820" s="1" t="s">
        <v>1651</v>
      </c>
      <c r="B820" s="1" t="s">
        <v>9011</v>
      </c>
      <c r="C820" s="1" t="s">
        <v>9012</v>
      </c>
      <c r="D820" s="1" t="s">
        <v>9013</v>
      </c>
    </row>
    <row r="821" spans="1:4" x14ac:dyDescent="0.25">
      <c r="A821" s="1" t="s">
        <v>1653</v>
      </c>
      <c r="B821" s="1" t="s">
        <v>9014</v>
      </c>
      <c r="C821" s="1" t="s">
        <v>9015</v>
      </c>
      <c r="D821" s="1" t="s">
        <v>9016</v>
      </c>
    </row>
    <row r="822" spans="1:4" x14ac:dyDescent="0.25">
      <c r="A822" s="1" t="s">
        <v>1655</v>
      </c>
      <c r="B822" s="1" t="s">
        <v>9017</v>
      </c>
      <c r="C822" s="1" t="s">
        <v>9018</v>
      </c>
      <c r="D822" s="1" t="s">
        <v>9019</v>
      </c>
    </row>
    <row r="823" spans="1:4" x14ac:dyDescent="0.25">
      <c r="A823" s="1" t="s">
        <v>1657</v>
      </c>
      <c r="B823" s="1" t="s">
        <v>9020</v>
      </c>
      <c r="C823" s="1" t="s">
        <v>9021</v>
      </c>
      <c r="D823" s="1" t="s">
        <v>9022</v>
      </c>
    </row>
    <row r="824" spans="1:4" x14ac:dyDescent="0.25">
      <c r="A824" s="1" t="s">
        <v>1659</v>
      </c>
      <c r="B824" s="1" t="s">
        <v>9023</v>
      </c>
      <c r="C824" s="1" t="s">
        <v>9024</v>
      </c>
      <c r="D824" s="1" t="s">
        <v>9025</v>
      </c>
    </row>
    <row r="825" spans="1:4" x14ac:dyDescent="0.25">
      <c r="A825" s="1" t="s">
        <v>1661</v>
      </c>
      <c r="B825" s="1" t="s">
        <v>9026</v>
      </c>
      <c r="C825" s="1" t="s">
        <v>9027</v>
      </c>
      <c r="D825" s="1" t="s">
        <v>9028</v>
      </c>
    </row>
    <row r="826" spans="1:4" x14ac:dyDescent="0.25">
      <c r="A826" s="1" t="s">
        <v>1663</v>
      </c>
      <c r="B826" s="1" t="s">
        <v>9029</v>
      </c>
      <c r="C826" s="1" t="s">
        <v>9030</v>
      </c>
      <c r="D826" s="1" t="s">
        <v>9031</v>
      </c>
    </row>
    <row r="827" spans="1:4" x14ac:dyDescent="0.25">
      <c r="A827" s="1" t="s">
        <v>1665</v>
      </c>
      <c r="B827" s="1" t="s">
        <v>9032</v>
      </c>
      <c r="C827" s="1" t="s">
        <v>9033</v>
      </c>
      <c r="D827" s="1" t="s">
        <v>9034</v>
      </c>
    </row>
    <row r="828" spans="1:4" x14ac:dyDescent="0.25">
      <c r="A828" s="1" t="s">
        <v>1667</v>
      </c>
      <c r="B828" s="1" t="s">
        <v>9035</v>
      </c>
      <c r="C828" s="1" t="s">
        <v>9036</v>
      </c>
      <c r="D828" s="1" t="s">
        <v>9037</v>
      </c>
    </row>
    <row r="829" spans="1:4" x14ac:dyDescent="0.25">
      <c r="A829" s="1" t="s">
        <v>1669</v>
      </c>
      <c r="B829" s="1" t="s">
        <v>9038</v>
      </c>
      <c r="C829" s="1" t="s">
        <v>9039</v>
      </c>
      <c r="D829" s="1" t="s">
        <v>9040</v>
      </c>
    </row>
    <row r="830" spans="1:4" x14ac:dyDescent="0.25">
      <c r="A830" s="1" t="s">
        <v>1671</v>
      </c>
      <c r="B830" s="1" t="s">
        <v>9041</v>
      </c>
      <c r="C830" s="1" t="s">
        <v>9042</v>
      </c>
      <c r="D830" s="1" t="s">
        <v>9043</v>
      </c>
    </row>
    <row r="831" spans="1:4" x14ac:dyDescent="0.25">
      <c r="A831" s="1" t="s">
        <v>1673</v>
      </c>
      <c r="B831" s="1" t="s">
        <v>9044</v>
      </c>
      <c r="C831" s="1" t="s">
        <v>9045</v>
      </c>
      <c r="D831" s="1" t="s">
        <v>9046</v>
      </c>
    </row>
    <row r="832" spans="1:4" x14ac:dyDescent="0.25">
      <c r="A832" s="1" t="s">
        <v>1675</v>
      </c>
      <c r="B832" s="1" t="s">
        <v>9047</v>
      </c>
      <c r="C832" s="1" t="s">
        <v>9048</v>
      </c>
      <c r="D832" s="1" t="s">
        <v>9049</v>
      </c>
    </row>
    <row r="833" spans="1:4" x14ac:dyDescent="0.25">
      <c r="A833" s="1" t="s">
        <v>1677</v>
      </c>
      <c r="B833" s="1" t="s">
        <v>9050</v>
      </c>
      <c r="C833" s="1" t="s">
        <v>9051</v>
      </c>
      <c r="D833" s="1" t="s">
        <v>9052</v>
      </c>
    </row>
    <row r="834" spans="1:4" x14ac:dyDescent="0.25">
      <c r="A834" s="1" t="s">
        <v>1679</v>
      </c>
      <c r="B834" s="1" t="s">
        <v>9053</v>
      </c>
      <c r="C834" s="1" t="s">
        <v>9054</v>
      </c>
      <c r="D834" s="1" t="s">
        <v>9055</v>
      </c>
    </row>
    <row r="835" spans="1:4" x14ac:dyDescent="0.25">
      <c r="A835" s="1" t="s">
        <v>1681</v>
      </c>
      <c r="B835" s="1" t="s">
        <v>9056</v>
      </c>
      <c r="C835" s="1" t="s">
        <v>9057</v>
      </c>
      <c r="D835" s="1" t="s">
        <v>9058</v>
      </c>
    </row>
    <row r="836" spans="1:4" x14ac:dyDescent="0.25">
      <c r="A836" s="1" t="s">
        <v>1683</v>
      </c>
      <c r="B836" s="1" t="s">
        <v>9059</v>
      </c>
      <c r="C836" s="1" t="s">
        <v>9060</v>
      </c>
      <c r="D836" s="1" t="s">
        <v>9061</v>
      </c>
    </row>
    <row r="837" spans="1:4" x14ac:dyDescent="0.25">
      <c r="A837" s="1" t="s">
        <v>1685</v>
      </c>
      <c r="B837" s="1" t="s">
        <v>9062</v>
      </c>
      <c r="C837" s="1" t="s">
        <v>9063</v>
      </c>
      <c r="D837" s="1" t="s">
        <v>9064</v>
      </c>
    </row>
    <row r="838" spans="1:4" x14ac:dyDescent="0.25">
      <c r="A838" s="1" t="s">
        <v>1687</v>
      </c>
      <c r="B838" s="1" t="s">
        <v>9065</v>
      </c>
      <c r="C838" s="1" t="s">
        <v>9066</v>
      </c>
      <c r="D838" s="1" t="s">
        <v>9067</v>
      </c>
    </row>
    <row r="839" spans="1:4" x14ac:dyDescent="0.25">
      <c r="A839" s="1" t="s">
        <v>1689</v>
      </c>
      <c r="B839" s="1" t="s">
        <v>9068</v>
      </c>
      <c r="C839" s="1" t="s">
        <v>9069</v>
      </c>
      <c r="D839" s="1" t="s">
        <v>9070</v>
      </c>
    </row>
    <row r="840" spans="1:4" x14ac:dyDescent="0.25">
      <c r="A840" s="1" t="s">
        <v>1691</v>
      </c>
      <c r="B840" s="1" t="s">
        <v>9071</v>
      </c>
      <c r="C840" s="1" t="s">
        <v>9072</v>
      </c>
      <c r="D840" s="1" t="s">
        <v>9073</v>
      </c>
    </row>
    <row r="841" spans="1:4" x14ac:dyDescent="0.25">
      <c r="A841" s="1" t="s">
        <v>1693</v>
      </c>
      <c r="B841" s="1" t="s">
        <v>9074</v>
      </c>
      <c r="C841" s="1" t="s">
        <v>9075</v>
      </c>
      <c r="D841" s="1" t="s">
        <v>9076</v>
      </c>
    </row>
    <row r="842" spans="1:4" x14ac:dyDescent="0.25">
      <c r="A842" s="1" t="s">
        <v>1695</v>
      </c>
      <c r="B842" s="1" t="s">
        <v>9077</v>
      </c>
      <c r="C842" s="1" t="s">
        <v>9078</v>
      </c>
      <c r="D842" s="1" t="s">
        <v>9079</v>
      </c>
    </row>
    <row r="843" spans="1:4" x14ac:dyDescent="0.25">
      <c r="A843" s="1" t="s">
        <v>1697</v>
      </c>
      <c r="B843" s="1" t="s">
        <v>9080</v>
      </c>
      <c r="C843" s="1" t="s">
        <v>9081</v>
      </c>
      <c r="D843" s="1" t="s">
        <v>9082</v>
      </c>
    </row>
    <row r="844" spans="1:4" x14ac:dyDescent="0.25">
      <c r="A844" s="1" t="s">
        <v>1699</v>
      </c>
      <c r="B844" s="1" t="s">
        <v>9083</v>
      </c>
      <c r="C844" s="1" t="s">
        <v>9084</v>
      </c>
      <c r="D844" s="1" t="s">
        <v>9085</v>
      </c>
    </row>
    <row r="845" spans="1:4" x14ac:dyDescent="0.25">
      <c r="A845" s="1" t="s">
        <v>1701</v>
      </c>
      <c r="B845" s="1" t="s">
        <v>9086</v>
      </c>
      <c r="C845" s="1" t="s">
        <v>9087</v>
      </c>
      <c r="D845" s="1" t="s">
        <v>9088</v>
      </c>
    </row>
    <row r="846" spans="1:4" x14ac:dyDescent="0.25">
      <c r="A846" s="1" t="s">
        <v>1703</v>
      </c>
      <c r="B846" s="1" t="s">
        <v>9089</v>
      </c>
      <c r="C846" s="1" t="s">
        <v>9090</v>
      </c>
      <c r="D846" s="1" t="s">
        <v>9091</v>
      </c>
    </row>
    <row r="847" spans="1:4" x14ac:dyDescent="0.25">
      <c r="A847" s="1" t="s">
        <v>1705</v>
      </c>
      <c r="B847" s="1" t="s">
        <v>9092</v>
      </c>
      <c r="C847" s="1" t="s">
        <v>9093</v>
      </c>
      <c r="D847" s="1" t="s">
        <v>9094</v>
      </c>
    </row>
    <row r="848" spans="1:4" x14ac:dyDescent="0.25">
      <c r="A848" s="1" t="s">
        <v>1707</v>
      </c>
      <c r="B848" s="1" t="s">
        <v>9095</v>
      </c>
      <c r="C848" s="1" t="s">
        <v>9096</v>
      </c>
      <c r="D848" s="1" t="s">
        <v>9097</v>
      </c>
    </row>
    <row r="849" spans="1:4" x14ac:dyDescent="0.25">
      <c r="A849" s="1" t="s">
        <v>1709</v>
      </c>
      <c r="B849" s="1" t="s">
        <v>9098</v>
      </c>
      <c r="C849" s="1" t="s">
        <v>9099</v>
      </c>
      <c r="D849" s="1" t="s">
        <v>9100</v>
      </c>
    </row>
    <row r="850" spans="1:4" x14ac:dyDescent="0.25">
      <c r="A850" s="1" t="s">
        <v>1711</v>
      </c>
      <c r="B850" s="1" t="s">
        <v>9101</v>
      </c>
      <c r="C850" s="1" t="s">
        <v>9102</v>
      </c>
      <c r="D850" s="1" t="s">
        <v>9103</v>
      </c>
    </row>
    <row r="851" spans="1:4" x14ac:dyDescent="0.25">
      <c r="A851" s="1" t="s">
        <v>1713</v>
      </c>
      <c r="B851" s="1" t="s">
        <v>9104</v>
      </c>
      <c r="C851" s="1" t="s">
        <v>9105</v>
      </c>
      <c r="D851" s="1" t="s">
        <v>9106</v>
      </c>
    </row>
    <row r="852" spans="1:4" x14ac:dyDescent="0.25">
      <c r="A852" s="1" t="s">
        <v>1715</v>
      </c>
      <c r="B852" s="1" t="s">
        <v>9107</v>
      </c>
      <c r="C852" s="1" t="s">
        <v>9108</v>
      </c>
      <c r="D852" s="1" t="s">
        <v>9109</v>
      </c>
    </row>
    <row r="853" spans="1:4" x14ac:dyDescent="0.25">
      <c r="A853" s="1" t="s">
        <v>1717</v>
      </c>
      <c r="B853" s="1" t="s">
        <v>9110</v>
      </c>
      <c r="C853" s="1" t="s">
        <v>9111</v>
      </c>
      <c r="D853" s="1" t="s">
        <v>9112</v>
      </c>
    </row>
    <row r="854" spans="1:4" x14ac:dyDescent="0.25">
      <c r="A854" s="1" t="s">
        <v>1719</v>
      </c>
      <c r="B854" s="1" t="s">
        <v>9113</v>
      </c>
      <c r="C854" s="1" t="s">
        <v>9114</v>
      </c>
      <c r="D854" s="1" t="s">
        <v>9115</v>
      </c>
    </row>
    <row r="855" spans="1:4" x14ac:dyDescent="0.25">
      <c r="A855" s="1" t="s">
        <v>1721</v>
      </c>
      <c r="B855" s="1" t="s">
        <v>9116</v>
      </c>
      <c r="C855" s="1" t="s">
        <v>9117</v>
      </c>
      <c r="D855" s="1" t="s">
        <v>9118</v>
      </c>
    </row>
    <row r="856" spans="1:4" x14ac:dyDescent="0.25">
      <c r="A856" s="1" t="s">
        <v>1723</v>
      </c>
      <c r="B856" s="1" t="s">
        <v>9119</v>
      </c>
      <c r="C856" s="1" t="s">
        <v>9120</v>
      </c>
      <c r="D856" s="1" t="s">
        <v>9121</v>
      </c>
    </row>
    <row r="857" spans="1:4" x14ac:dyDescent="0.25">
      <c r="A857" s="1" t="s">
        <v>1725</v>
      </c>
      <c r="B857" s="1" t="s">
        <v>9122</v>
      </c>
      <c r="C857" s="1" t="s">
        <v>9123</v>
      </c>
      <c r="D857" s="1" t="s">
        <v>9124</v>
      </c>
    </row>
    <row r="858" spans="1:4" x14ac:dyDescent="0.25">
      <c r="A858" s="1" t="s">
        <v>1727</v>
      </c>
      <c r="B858" s="1" t="s">
        <v>9125</v>
      </c>
      <c r="C858" s="1" t="s">
        <v>9126</v>
      </c>
      <c r="D858" s="1" t="s">
        <v>9127</v>
      </c>
    </row>
    <row r="859" spans="1:4" x14ac:dyDescent="0.25">
      <c r="A859" s="1" t="s">
        <v>1729</v>
      </c>
      <c r="B859" s="1" t="s">
        <v>9128</v>
      </c>
      <c r="C859" s="1" t="s">
        <v>9129</v>
      </c>
      <c r="D859" s="1" t="s">
        <v>9130</v>
      </c>
    </row>
    <row r="860" spans="1:4" x14ac:dyDescent="0.25">
      <c r="A860" s="1" t="s">
        <v>1731</v>
      </c>
      <c r="B860" s="1" t="s">
        <v>9131</v>
      </c>
      <c r="C860" s="1" t="s">
        <v>9132</v>
      </c>
      <c r="D860" s="1" t="s">
        <v>9133</v>
      </c>
    </row>
    <row r="861" spans="1:4" x14ac:dyDescent="0.25">
      <c r="A861" s="1" t="s">
        <v>1733</v>
      </c>
      <c r="B861" s="1" t="s">
        <v>9134</v>
      </c>
      <c r="C861" s="1" t="s">
        <v>9135</v>
      </c>
      <c r="D861" s="1" t="s">
        <v>9136</v>
      </c>
    </row>
    <row r="862" spans="1:4" x14ac:dyDescent="0.25">
      <c r="A862" s="1" t="s">
        <v>1735</v>
      </c>
      <c r="B862" s="1" t="s">
        <v>9137</v>
      </c>
      <c r="C862" s="1" t="s">
        <v>9138</v>
      </c>
      <c r="D862" s="1" t="s">
        <v>9139</v>
      </c>
    </row>
    <row r="863" spans="1:4" x14ac:dyDescent="0.25">
      <c r="A863" s="1" t="s">
        <v>1737</v>
      </c>
      <c r="B863" s="1" t="s">
        <v>9140</v>
      </c>
      <c r="C863" s="1" t="s">
        <v>9141</v>
      </c>
      <c r="D863" s="1" t="s">
        <v>9142</v>
      </c>
    </row>
    <row r="864" spans="1:4" x14ac:dyDescent="0.25">
      <c r="A864" s="1" t="s">
        <v>1739</v>
      </c>
      <c r="B864" s="1" t="s">
        <v>9143</v>
      </c>
      <c r="C864" s="1" t="s">
        <v>9144</v>
      </c>
      <c r="D864" s="1" t="s">
        <v>9145</v>
      </c>
    </row>
    <row r="865" spans="1:4" x14ac:dyDescent="0.25">
      <c r="A865" s="1" t="s">
        <v>1741</v>
      </c>
      <c r="B865" s="1" t="s">
        <v>9146</v>
      </c>
      <c r="C865" s="1" t="s">
        <v>9147</v>
      </c>
      <c r="D865" s="1" t="s">
        <v>9148</v>
      </c>
    </row>
    <row r="866" spans="1:4" x14ac:dyDescent="0.25">
      <c r="A866" s="1" t="s">
        <v>1743</v>
      </c>
      <c r="B866" s="1" t="s">
        <v>9149</v>
      </c>
      <c r="C866" s="1" t="s">
        <v>9150</v>
      </c>
      <c r="D866" s="1" t="s">
        <v>9151</v>
      </c>
    </row>
    <row r="867" spans="1:4" x14ac:dyDescent="0.25">
      <c r="A867" s="1" t="s">
        <v>1745</v>
      </c>
      <c r="B867" s="1" t="s">
        <v>9152</v>
      </c>
      <c r="C867" s="1" t="s">
        <v>9153</v>
      </c>
      <c r="D867" s="1" t="s">
        <v>9154</v>
      </c>
    </row>
    <row r="868" spans="1:4" x14ac:dyDescent="0.25">
      <c r="A868" s="1" t="s">
        <v>1747</v>
      </c>
      <c r="B868" s="1" t="s">
        <v>9155</v>
      </c>
      <c r="C868" s="1" t="s">
        <v>9156</v>
      </c>
      <c r="D868" s="1" t="s">
        <v>9157</v>
      </c>
    </row>
    <row r="869" spans="1:4" x14ac:dyDescent="0.25">
      <c r="A869" s="1" t="s">
        <v>1749</v>
      </c>
      <c r="B869" s="1" t="s">
        <v>9158</v>
      </c>
      <c r="C869" s="1" t="s">
        <v>9159</v>
      </c>
      <c r="D869" s="1" t="s">
        <v>9160</v>
      </c>
    </row>
    <row r="870" spans="1:4" x14ac:dyDescent="0.25">
      <c r="A870" s="1" t="s">
        <v>1751</v>
      </c>
      <c r="B870" s="1" t="s">
        <v>9161</v>
      </c>
      <c r="C870" s="1" t="s">
        <v>9162</v>
      </c>
      <c r="D870" s="1" t="s">
        <v>9163</v>
      </c>
    </row>
    <row r="871" spans="1:4" x14ac:dyDescent="0.25">
      <c r="A871" s="1" t="s">
        <v>1753</v>
      </c>
      <c r="B871" s="1" t="s">
        <v>9164</v>
      </c>
      <c r="C871" s="1" t="s">
        <v>9165</v>
      </c>
      <c r="D871" s="1" t="s">
        <v>9166</v>
      </c>
    </row>
    <row r="872" spans="1:4" x14ac:dyDescent="0.25">
      <c r="A872" s="1" t="s">
        <v>1755</v>
      </c>
      <c r="B872" s="1" t="s">
        <v>9167</v>
      </c>
      <c r="C872" s="1" t="s">
        <v>9168</v>
      </c>
      <c r="D872" s="1" t="s">
        <v>9169</v>
      </c>
    </row>
    <row r="873" spans="1:4" x14ac:dyDescent="0.25">
      <c r="A873" s="1" t="s">
        <v>1757</v>
      </c>
      <c r="B873" s="1" t="s">
        <v>9170</v>
      </c>
      <c r="C873" s="1" t="s">
        <v>9171</v>
      </c>
      <c r="D873" s="1" t="s">
        <v>9172</v>
      </c>
    </row>
    <row r="874" spans="1:4" x14ac:dyDescent="0.25">
      <c r="A874" s="1" t="s">
        <v>1759</v>
      </c>
      <c r="B874" s="1" t="s">
        <v>9173</v>
      </c>
      <c r="C874" s="1" t="s">
        <v>9174</v>
      </c>
      <c r="D874" s="1" t="s">
        <v>9175</v>
      </c>
    </row>
    <row r="875" spans="1:4" x14ac:dyDescent="0.25">
      <c r="A875" s="1" t="s">
        <v>1761</v>
      </c>
      <c r="B875" s="1" t="s">
        <v>9176</v>
      </c>
      <c r="C875" s="1" t="s">
        <v>9177</v>
      </c>
      <c r="D875" s="1" t="s">
        <v>9178</v>
      </c>
    </row>
    <row r="876" spans="1:4" x14ac:dyDescent="0.25">
      <c r="A876" s="1" t="s">
        <v>1763</v>
      </c>
      <c r="B876" s="1" t="s">
        <v>9179</v>
      </c>
      <c r="C876" s="1" t="s">
        <v>9180</v>
      </c>
      <c r="D876" s="1" t="s">
        <v>9181</v>
      </c>
    </row>
    <row r="877" spans="1:4" x14ac:dyDescent="0.25">
      <c r="A877" s="1" t="s">
        <v>1765</v>
      </c>
      <c r="B877" s="1" t="s">
        <v>9182</v>
      </c>
      <c r="C877" s="1" t="s">
        <v>9183</v>
      </c>
      <c r="D877" s="1" t="s">
        <v>9184</v>
      </c>
    </row>
    <row r="878" spans="1:4" x14ac:dyDescent="0.25">
      <c r="A878" s="1" t="s">
        <v>1767</v>
      </c>
      <c r="B878" s="1" t="s">
        <v>9185</v>
      </c>
      <c r="C878" s="1" t="s">
        <v>9186</v>
      </c>
      <c r="D878" s="1" t="s">
        <v>9187</v>
      </c>
    </row>
    <row r="879" spans="1:4" x14ac:dyDescent="0.25">
      <c r="A879" s="1" t="s">
        <v>1769</v>
      </c>
      <c r="B879" s="1" t="s">
        <v>9188</v>
      </c>
      <c r="C879" s="1" t="s">
        <v>9189</v>
      </c>
      <c r="D879" s="1" t="s">
        <v>9190</v>
      </c>
    </row>
    <row r="880" spans="1:4" x14ac:dyDescent="0.25">
      <c r="A880" s="1" t="s">
        <v>1771</v>
      </c>
      <c r="B880" s="1" t="s">
        <v>9191</v>
      </c>
      <c r="C880" s="1" t="s">
        <v>9192</v>
      </c>
      <c r="D880" s="1" t="s">
        <v>9193</v>
      </c>
    </row>
    <row r="881" spans="1:4" x14ac:dyDescent="0.25">
      <c r="A881" s="1" t="s">
        <v>1773</v>
      </c>
      <c r="B881" s="1" t="s">
        <v>9194</v>
      </c>
      <c r="C881" s="1" t="s">
        <v>9195</v>
      </c>
      <c r="D881" s="1" t="s">
        <v>9196</v>
      </c>
    </row>
    <row r="882" spans="1:4" x14ac:dyDescent="0.25">
      <c r="A882" s="1" t="s">
        <v>1775</v>
      </c>
      <c r="B882" s="1" t="s">
        <v>9197</v>
      </c>
      <c r="C882" s="1" t="s">
        <v>9198</v>
      </c>
      <c r="D882" s="1" t="s">
        <v>9199</v>
      </c>
    </row>
    <row r="883" spans="1:4" x14ac:dyDescent="0.25">
      <c r="A883" s="1" t="s">
        <v>1777</v>
      </c>
      <c r="B883" s="1" t="s">
        <v>9200</v>
      </c>
      <c r="C883" s="1" t="s">
        <v>9201</v>
      </c>
      <c r="D883" s="1" t="s">
        <v>9202</v>
      </c>
    </row>
    <row r="884" spans="1:4" x14ac:dyDescent="0.25">
      <c r="A884" s="1" t="s">
        <v>1779</v>
      </c>
      <c r="B884" s="1" t="s">
        <v>9203</v>
      </c>
      <c r="C884" s="1" t="s">
        <v>9204</v>
      </c>
      <c r="D884" s="1" t="s">
        <v>9205</v>
      </c>
    </row>
    <row r="885" spans="1:4" x14ac:dyDescent="0.25">
      <c r="A885" s="1" t="s">
        <v>1781</v>
      </c>
      <c r="B885" s="1" t="s">
        <v>9206</v>
      </c>
      <c r="C885" s="1" t="s">
        <v>9207</v>
      </c>
      <c r="D885" s="1" t="s">
        <v>9208</v>
      </c>
    </row>
    <row r="886" spans="1:4" x14ac:dyDescent="0.25">
      <c r="A886" s="1" t="s">
        <v>1783</v>
      </c>
      <c r="B886" s="1" t="s">
        <v>9209</v>
      </c>
      <c r="C886" s="1" t="s">
        <v>9210</v>
      </c>
      <c r="D886" s="1" t="s">
        <v>9211</v>
      </c>
    </row>
    <row r="887" spans="1:4" x14ac:dyDescent="0.25">
      <c r="A887" s="1" t="s">
        <v>1785</v>
      </c>
      <c r="B887" s="1" t="s">
        <v>9212</v>
      </c>
      <c r="C887" s="1" t="s">
        <v>9213</v>
      </c>
      <c r="D887" s="1" t="s">
        <v>9214</v>
      </c>
    </row>
    <row r="888" spans="1:4" x14ac:dyDescent="0.25">
      <c r="A888" s="1" t="s">
        <v>1787</v>
      </c>
      <c r="B888" s="1" t="s">
        <v>9215</v>
      </c>
      <c r="C888" s="1" t="s">
        <v>9216</v>
      </c>
      <c r="D888" s="1" t="s">
        <v>9217</v>
      </c>
    </row>
    <row r="889" spans="1:4" x14ac:dyDescent="0.25">
      <c r="A889" s="1" t="s">
        <v>1789</v>
      </c>
      <c r="B889" s="1" t="s">
        <v>9218</v>
      </c>
      <c r="C889" s="1" t="s">
        <v>9219</v>
      </c>
      <c r="D889" s="1" t="s">
        <v>9220</v>
      </c>
    </row>
    <row r="890" spans="1:4" x14ac:dyDescent="0.25">
      <c r="A890" s="1" t="s">
        <v>1791</v>
      </c>
      <c r="B890" s="1" t="s">
        <v>9221</v>
      </c>
      <c r="C890" s="1" t="s">
        <v>9222</v>
      </c>
      <c r="D890" s="1" t="s">
        <v>9223</v>
      </c>
    </row>
    <row r="891" spans="1:4" x14ac:dyDescent="0.25">
      <c r="A891" s="1" t="s">
        <v>1793</v>
      </c>
      <c r="B891" s="1" t="s">
        <v>9224</v>
      </c>
      <c r="C891" s="1" t="s">
        <v>9225</v>
      </c>
      <c r="D891" s="1" t="s">
        <v>9226</v>
      </c>
    </row>
    <row r="892" spans="1:4" x14ac:dyDescent="0.25">
      <c r="A892" s="1" t="s">
        <v>1795</v>
      </c>
      <c r="B892" s="1" t="s">
        <v>9227</v>
      </c>
      <c r="C892" s="1" t="s">
        <v>9228</v>
      </c>
      <c r="D892" s="1" t="s">
        <v>9229</v>
      </c>
    </row>
    <row r="893" spans="1:4" x14ac:dyDescent="0.25">
      <c r="A893" s="1" t="s">
        <v>1797</v>
      </c>
      <c r="B893" s="1" t="s">
        <v>9230</v>
      </c>
      <c r="C893" s="1" t="s">
        <v>9231</v>
      </c>
      <c r="D893" s="1" t="s">
        <v>9232</v>
      </c>
    </row>
    <row r="894" spans="1:4" x14ac:dyDescent="0.25">
      <c r="A894" s="1" t="s">
        <v>1799</v>
      </c>
      <c r="B894" s="1" t="s">
        <v>9233</v>
      </c>
      <c r="C894" s="1" t="s">
        <v>9234</v>
      </c>
      <c r="D894" s="1" t="s">
        <v>9235</v>
      </c>
    </row>
    <row r="895" spans="1:4" x14ac:dyDescent="0.25">
      <c r="A895" s="1" t="s">
        <v>1801</v>
      </c>
      <c r="B895" s="1" t="s">
        <v>9236</v>
      </c>
      <c r="C895" s="1" t="s">
        <v>9237</v>
      </c>
      <c r="D895" s="1" t="s">
        <v>9238</v>
      </c>
    </row>
    <row r="896" spans="1:4" x14ac:dyDescent="0.25">
      <c r="A896" s="1" t="s">
        <v>1803</v>
      </c>
      <c r="B896" s="1" t="s">
        <v>9239</v>
      </c>
      <c r="C896" s="1" t="s">
        <v>9240</v>
      </c>
      <c r="D896" s="1" t="s">
        <v>9241</v>
      </c>
    </row>
    <row r="897" spans="1:4" x14ac:dyDescent="0.25">
      <c r="A897" s="1" t="s">
        <v>1805</v>
      </c>
      <c r="B897" s="1" t="s">
        <v>9242</v>
      </c>
      <c r="C897" s="1" t="s">
        <v>9243</v>
      </c>
      <c r="D897" s="1" t="s">
        <v>9244</v>
      </c>
    </row>
    <row r="898" spans="1:4" x14ac:dyDescent="0.25">
      <c r="A898" s="1" t="s">
        <v>1807</v>
      </c>
      <c r="B898" s="1" t="s">
        <v>9245</v>
      </c>
      <c r="C898" s="1" t="s">
        <v>9246</v>
      </c>
      <c r="D898" s="1" t="s">
        <v>9247</v>
      </c>
    </row>
    <row r="899" spans="1:4" x14ac:dyDescent="0.25">
      <c r="A899" s="1" t="s">
        <v>1809</v>
      </c>
      <c r="B899" s="1" t="s">
        <v>9248</v>
      </c>
      <c r="C899" s="1" t="s">
        <v>9249</v>
      </c>
      <c r="D899" s="1" t="s">
        <v>9250</v>
      </c>
    </row>
    <row r="900" spans="1:4" x14ac:dyDescent="0.25">
      <c r="A900" s="1" t="s">
        <v>1811</v>
      </c>
      <c r="B900" s="1" t="s">
        <v>9251</v>
      </c>
      <c r="C900" s="1" t="s">
        <v>9252</v>
      </c>
      <c r="D900" s="1" t="s">
        <v>9253</v>
      </c>
    </row>
    <row r="901" spans="1:4" x14ac:dyDescent="0.25">
      <c r="A901" s="1" t="s">
        <v>1813</v>
      </c>
      <c r="B901" s="1" t="s">
        <v>9254</v>
      </c>
      <c r="C901" s="1" t="s">
        <v>9255</v>
      </c>
      <c r="D901" s="1" t="s">
        <v>9256</v>
      </c>
    </row>
    <row r="902" spans="1:4" x14ac:dyDescent="0.25">
      <c r="A902" s="1" t="s">
        <v>1815</v>
      </c>
      <c r="B902" s="1" t="s">
        <v>9257</v>
      </c>
      <c r="C902" s="1" t="s">
        <v>9258</v>
      </c>
      <c r="D902" s="1" t="s">
        <v>9259</v>
      </c>
    </row>
    <row r="903" spans="1:4" x14ac:dyDescent="0.25">
      <c r="A903" s="1" t="s">
        <v>1817</v>
      </c>
      <c r="B903" s="1" t="s">
        <v>9260</v>
      </c>
      <c r="C903" s="1" t="s">
        <v>9261</v>
      </c>
      <c r="D903" s="1" t="s">
        <v>9262</v>
      </c>
    </row>
    <row r="904" spans="1:4" x14ac:dyDescent="0.25">
      <c r="A904" s="1" t="s">
        <v>1819</v>
      </c>
      <c r="B904" s="1" t="s">
        <v>9263</v>
      </c>
      <c r="C904" s="1" t="s">
        <v>9264</v>
      </c>
      <c r="D904" s="1" t="s">
        <v>9265</v>
      </c>
    </row>
    <row r="905" spans="1:4" x14ac:dyDescent="0.25">
      <c r="A905" s="1" t="s">
        <v>1821</v>
      </c>
      <c r="B905" s="1" t="s">
        <v>9266</v>
      </c>
      <c r="C905" s="1" t="s">
        <v>9267</v>
      </c>
      <c r="D905" s="1" t="s">
        <v>9268</v>
      </c>
    </row>
    <row r="906" spans="1:4" x14ac:dyDescent="0.25">
      <c r="A906" s="1" t="s">
        <v>1823</v>
      </c>
      <c r="B906" s="1" t="s">
        <v>9269</v>
      </c>
      <c r="C906" s="1" t="s">
        <v>9270</v>
      </c>
      <c r="D906" s="1" t="s">
        <v>9271</v>
      </c>
    </row>
    <row r="907" spans="1:4" x14ac:dyDescent="0.25">
      <c r="A907" s="1" t="s">
        <v>1825</v>
      </c>
      <c r="B907" s="1" t="s">
        <v>9272</v>
      </c>
      <c r="C907" s="1" t="s">
        <v>9273</v>
      </c>
      <c r="D907" s="1" t="s">
        <v>9274</v>
      </c>
    </row>
    <row r="908" spans="1:4" x14ac:dyDescent="0.25">
      <c r="A908" s="1" t="s">
        <v>1827</v>
      </c>
      <c r="B908" s="1" t="s">
        <v>9275</v>
      </c>
      <c r="C908" s="1" t="s">
        <v>9276</v>
      </c>
      <c r="D908" s="1" t="s">
        <v>9277</v>
      </c>
    </row>
    <row r="909" spans="1:4" x14ac:dyDescent="0.25">
      <c r="A909" s="1" t="s">
        <v>1829</v>
      </c>
      <c r="B909" s="1" t="s">
        <v>9278</v>
      </c>
      <c r="C909" s="1" t="s">
        <v>9279</v>
      </c>
      <c r="D909" s="1" t="s">
        <v>9280</v>
      </c>
    </row>
    <row r="910" spans="1:4" x14ac:dyDescent="0.25">
      <c r="A910" s="1" t="s">
        <v>1831</v>
      </c>
      <c r="B910" s="1" t="s">
        <v>9281</v>
      </c>
      <c r="C910" s="1" t="s">
        <v>9282</v>
      </c>
      <c r="D910" s="1" t="s">
        <v>9283</v>
      </c>
    </row>
    <row r="911" spans="1:4" x14ac:dyDescent="0.25">
      <c r="A911" s="1" t="s">
        <v>1833</v>
      </c>
      <c r="B911" s="1" t="s">
        <v>9284</v>
      </c>
      <c r="C911" s="1" t="s">
        <v>9285</v>
      </c>
      <c r="D911" s="1" t="s">
        <v>9286</v>
      </c>
    </row>
    <row r="912" spans="1:4" x14ac:dyDescent="0.25">
      <c r="A912" s="1" t="s">
        <v>1835</v>
      </c>
      <c r="B912" s="1" t="s">
        <v>9287</v>
      </c>
      <c r="C912" s="1" t="s">
        <v>9288</v>
      </c>
      <c r="D912" s="1" t="s">
        <v>9289</v>
      </c>
    </row>
    <row r="913" spans="1:4" x14ac:dyDescent="0.25">
      <c r="A913" s="1" t="s">
        <v>1837</v>
      </c>
      <c r="B913" s="1" t="s">
        <v>9290</v>
      </c>
      <c r="C913" s="1" t="s">
        <v>9291</v>
      </c>
      <c r="D913" s="1" t="s">
        <v>9292</v>
      </c>
    </row>
    <row r="914" spans="1:4" x14ac:dyDescent="0.25">
      <c r="A914" s="1" t="s">
        <v>1839</v>
      </c>
      <c r="B914" s="1" t="s">
        <v>9293</v>
      </c>
      <c r="C914" s="1" t="s">
        <v>9294</v>
      </c>
      <c r="D914" s="1" t="s">
        <v>9295</v>
      </c>
    </row>
    <row r="915" spans="1:4" x14ac:dyDescent="0.25">
      <c r="A915" s="1" t="s">
        <v>1841</v>
      </c>
      <c r="B915" s="1" t="s">
        <v>9296</v>
      </c>
      <c r="C915" s="1" t="s">
        <v>9297</v>
      </c>
      <c r="D915" s="1" t="s">
        <v>9298</v>
      </c>
    </row>
    <row r="916" spans="1:4" x14ac:dyDescent="0.25">
      <c r="A916" s="1" t="s">
        <v>1843</v>
      </c>
      <c r="B916" s="1" t="s">
        <v>9299</v>
      </c>
      <c r="C916" s="1" t="s">
        <v>9300</v>
      </c>
      <c r="D916" s="1" t="s">
        <v>9301</v>
      </c>
    </row>
    <row r="917" spans="1:4" x14ac:dyDescent="0.25">
      <c r="A917" s="1" t="s">
        <v>1845</v>
      </c>
      <c r="B917" s="1" t="s">
        <v>9302</v>
      </c>
      <c r="C917" s="1" t="s">
        <v>9303</v>
      </c>
      <c r="D917" s="1" t="s">
        <v>9304</v>
      </c>
    </row>
    <row r="918" spans="1:4" x14ac:dyDescent="0.25">
      <c r="A918" s="1" t="s">
        <v>1847</v>
      </c>
      <c r="B918" s="1" t="s">
        <v>9305</v>
      </c>
      <c r="C918" s="1" t="s">
        <v>9306</v>
      </c>
      <c r="D918" s="1" t="s">
        <v>9307</v>
      </c>
    </row>
    <row r="919" spans="1:4" x14ac:dyDescent="0.25">
      <c r="A919" s="1" t="s">
        <v>1849</v>
      </c>
      <c r="B919" s="1" t="s">
        <v>9308</v>
      </c>
      <c r="C919" s="1" t="s">
        <v>9309</v>
      </c>
      <c r="D919" s="1" t="s">
        <v>9310</v>
      </c>
    </row>
    <row r="920" spans="1:4" x14ac:dyDescent="0.25">
      <c r="A920" s="1" t="s">
        <v>1851</v>
      </c>
      <c r="B920" s="1" t="s">
        <v>9311</v>
      </c>
      <c r="C920" s="1" t="s">
        <v>9312</v>
      </c>
      <c r="D920" s="1" t="s">
        <v>9313</v>
      </c>
    </row>
    <row r="921" spans="1:4" x14ac:dyDescent="0.25">
      <c r="A921" s="1" t="s">
        <v>1853</v>
      </c>
      <c r="B921" s="1" t="s">
        <v>9314</v>
      </c>
      <c r="C921" s="1" t="s">
        <v>9315</v>
      </c>
      <c r="D921" s="1" t="s">
        <v>9316</v>
      </c>
    </row>
    <row r="922" spans="1:4" x14ac:dyDescent="0.25">
      <c r="A922" s="1" t="s">
        <v>1855</v>
      </c>
      <c r="B922" s="1" t="s">
        <v>9317</v>
      </c>
      <c r="C922" s="1" t="s">
        <v>9318</v>
      </c>
      <c r="D922" s="1" t="s">
        <v>9319</v>
      </c>
    </row>
    <row r="923" spans="1:4" x14ac:dyDescent="0.25">
      <c r="A923" s="1" t="s">
        <v>1857</v>
      </c>
      <c r="B923" s="1" t="s">
        <v>9320</v>
      </c>
      <c r="C923" s="1" t="s">
        <v>9321</v>
      </c>
      <c r="D923" s="1" t="s">
        <v>9322</v>
      </c>
    </row>
    <row r="924" spans="1:4" x14ac:dyDescent="0.25">
      <c r="A924" s="1" t="s">
        <v>1859</v>
      </c>
      <c r="B924" s="1" t="s">
        <v>9323</v>
      </c>
      <c r="C924" s="1" t="s">
        <v>9324</v>
      </c>
      <c r="D924" s="1" t="s">
        <v>9325</v>
      </c>
    </row>
    <row r="925" spans="1:4" x14ac:dyDescent="0.25">
      <c r="A925" s="1" t="s">
        <v>1861</v>
      </c>
      <c r="B925" s="1" t="s">
        <v>9326</v>
      </c>
      <c r="C925" s="1" t="s">
        <v>9327</v>
      </c>
      <c r="D925" s="1" t="s">
        <v>9328</v>
      </c>
    </row>
    <row r="926" spans="1:4" x14ac:dyDescent="0.25">
      <c r="A926" s="1" t="s">
        <v>1863</v>
      </c>
      <c r="B926" s="1" t="s">
        <v>9329</v>
      </c>
      <c r="C926" s="1" t="s">
        <v>9330</v>
      </c>
      <c r="D926" s="1" t="s">
        <v>9331</v>
      </c>
    </row>
    <row r="927" spans="1:4" x14ac:dyDescent="0.25">
      <c r="A927" s="1" t="s">
        <v>1865</v>
      </c>
      <c r="B927" s="1" t="s">
        <v>9332</v>
      </c>
      <c r="C927" s="1" t="s">
        <v>9333</v>
      </c>
      <c r="D927" s="1" t="s">
        <v>9334</v>
      </c>
    </row>
    <row r="928" spans="1:4" x14ac:dyDescent="0.25">
      <c r="A928" s="1" t="s">
        <v>1867</v>
      </c>
      <c r="B928" s="1" t="s">
        <v>9335</v>
      </c>
      <c r="C928" s="1" t="s">
        <v>9336</v>
      </c>
      <c r="D928" s="1" t="s">
        <v>9337</v>
      </c>
    </row>
    <row r="929" spans="1:4" x14ac:dyDescent="0.25">
      <c r="A929" s="1" t="s">
        <v>1869</v>
      </c>
      <c r="B929" s="1" t="s">
        <v>9338</v>
      </c>
      <c r="C929" s="1" t="s">
        <v>9339</v>
      </c>
      <c r="D929" s="1" t="s">
        <v>9340</v>
      </c>
    </row>
    <row r="930" spans="1:4" x14ac:dyDescent="0.25">
      <c r="A930" s="1" t="s">
        <v>1871</v>
      </c>
      <c r="B930" s="1" t="s">
        <v>9341</v>
      </c>
      <c r="C930" s="1" t="s">
        <v>9342</v>
      </c>
      <c r="D930" s="1" t="s">
        <v>9343</v>
      </c>
    </row>
    <row r="931" spans="1:4" x14ac:dyDescent="0.25">
      <c r="A931" s="1" t="s">
        <v>1873</v>
      </c>
      <c r="B931" s="1" t="s">
        <v>9344</v>
      </c>
      <c r="C931" s="1" t="s">
        <v>9345</v>
      </c>
      <c r="D931" s="1" t="s">
        <v>9346</v>
      </c>
    </row>
    <row r="932" spans="1:4" x14ac:dyDescent="0.25">
      <c r="A932" s="1" t="s">
        <v>1875</v>
      </c>
      <c r="B932" s="1" t="s">
        <v>9347</v>
      </c>
      <c r="C932" s="1" t="s">
        <v>9348</v>
      </c>
      <c r="D932" s="1" t="s">
        <v>9349</v>
      </c>
    </row>
    <row r="933" spans="1:4" x14ac:dyDescent="0.25">
      <c r="A933" s="1" t="s">
        <v>1877</v>
      </c>
      <c r="B933" s="1" t="s">
        <v>9350</v>
      </c>
      <c r="C933" s="1" t="s">
        <v>9351</v>
      </c>
      <c r="D933" s="1" t="s">
        <v>9352</v>
      </c>
    </row>
    <row r="934" spans="1:4" x14ac:dyDescent="0.25">
      <c r="A934" s="1" t="s">
        <v>1879</v>
      </c>
      <c r="B934" s="1" t="s">
        <v>9353</v>
      </c>
      <c r="C934" s="1" t="s">
        <v>9354</v>
      </c>
      <c r="D934" s="1" t="s">
        <v>9355</v>
      </c>
    </row>
    <row r="935" spans="1:4" x14ac:dyDescent="0.25">
      <c r="A935" s="1" t="s">
        <v>1881</v>
      </c>
      <c r="B935" s="1" t="s">
        <v>9356</v>
      </c>
      <c r="C935" s="1" t="s">
        <v>9357</v>
      </c>
      <c r="D935" s="1" t="s">
        <v>9358</v>
      </c>
    </row>
    <row r="936" spans="1:4" x14ac:dyDescent="0.25">
      <c r="A936" s="1" t="s">
        <v>1883</v>
      </c>
      <c r="B936" s="1" t="s">
        <v>9359</v>
      </c>
      <c r="C936" s="1" t="s">
        <v>9360</v>
      </c>
      <c r="D936" s="1" t="s">
        <v>9361</v>
      </c>
    </row>
    <row r="937" spans="1:4" x14ac:dyDescent="0.25">
      <c r="A937" s="1" t="s">
        <v>1885</v>
      </c>
      <c r="B937" s="1" t="s">
        <v>9362</v>
      </c>
      <c r="C937" s="1" t="s">
        <v>9363</v>
      </c>
      <c r="D937" s="1" t="s">
        <v>9364</v>
      </c>
    </row>
    <row r="938" spans="1:4" x14ac:dyDescent="0.25">
      <c r="A938" s="1" t="s">
        <v>1887</v>
      </c>
      <c r="B938" s="1" t="s">
        <v>9365</v>
      </c>
      <c r="C938" s="1" t="s">
        <v>9366</v>
      </c>
      <c r="D938" s="1" t="s">
        <v>9367</v>
      </c>
    </row>
    <row r="939" spans="1:4" x14ac:dyDescent="0.25">
      <c r="A939" s="1" t="s">
        <v>1889</v>
      </c>
      <c r="B939" s="1" t="s">
        <v>9368</v>
      </c>
      <c r="C939" s="1" t="s">
        <v>9369</v>
      </c>
      <c r="D939" s="1" t="s">
        <v>9370</v>
      </c>
    </row>
    <row r="940" spans="1:4" x14ac:dyDescent="0.25">
      <c r="A940" s="1" t="s">
        <v>1891</v>
      </c>
      <c r="B940" s="1" t="s">
        <v>9371</v>
      </c>
      <c r="C940" s="1" t="s">
        <v>9372</v>
      </c>
      <c r="D940" s="1" t="s">
        <v>9373</v>
      </c>
    </row>
    <row r="941" spans="1:4" x14ac:dyDescent="0.25">
      <c r="A941" s="1" t="s">
        <v>1893</v>
      </c>
      <c r="B941" s="1" t="s">
        <v>9374</v>
      </c>
      <c r="C941" s="1" t="s">
        <v>9375</v>
      </c>
      <c r="D941" s="1" t="s">
        <v>9376</v>
      </c>
    </row>
    <row r="942" spans="1:4" x14ac:dyDescent="0.25">
      <c r="A942" s="1" t="s">
        <v>1895</v>
      </c>
      <c r="B942" s="1" t="s">
        <v>9377</v>
      </c>
      <c r="C942" s="1" t="s">
        <v>9378</v>
      </c>
      <c r="D942" s="1" t="s">
        <v>9379</v>
      </c>
    </row>
    <row r="943" spans="1:4" x14ac:dyDescent="0.25">
      <c r="A943" s="1" t="s">
        <v>1897</v>
      </c>
      <c r="B943" s="1" t="s">
        <v>9380</v>
      </c>
      <c r="C943" s="1" t="s">
        <v>9381</v>
      </c>
      <c r="D943" s="1" t="s">
        <v>9382</v>
      </c>
    </row>
    <row r="944" spans="1:4" x14ac:dyDescent="0.25">
      <c r="A944" s="1" t="s">
        <v>1899</v>
      </c>
      <c r="B944" s="1" t="s">
        <v>9383</v>
      </c>
      <c r="C944" s="1" t="s">
        <v>9384</v>
      </c>
      <c r="D944" s="1" t="s">
        <v>9385</v>
      </c>
    </row>
    <row r="945" spans="1:4" x14ac:dyDescent="0.25">
      <c r="A945" s="1" t="s">
        <v>1901</v>
      </c>
      <c r="B945" s="1" t="s">
        <v>9386</v>
      </c>
      <c r="C945" s="1" t="s">
        <v>9387</v>
      </c>
      <c r="D945" s="1" t="s">
        <v>9388</v>
      </c>
    </row>
    <row r="946" spans="1:4" x14ac:dyDescent="0.25">
      <c r="A946" s="1" t="s">
        <v>1903</v>
      </c>
      <c r="B946" s="1" t="s">
        <v>9389</v>
      </c>
      <c r="C946" s="1" t="s">
        <v>9390</v>
      </c>
      <c r="D946" s="1" t="s">
        <v>9391</v>
      </c>
    </row>
    <row r="947" spans="1:4" x14ac:dyDescent="0.25">
      <c r="A947" s="1" t="s">
        <v>1905</v>
      </c>
      <c r="B947" s="1" t="s">
        <v>9392</v>
      </c>
      <c r="C947" s="1" t="s">
        <v>9393</v>
      </c>
      <c r="D947" s="1" t="s">
        <v>9394</v>
      </c>
    </row>
    <row r="948" spans="1:4" x14ac:dyDescent="0.25">
      <c r="A948" s="1" t="s">
        <v>1907</v>
      </c>
      <c r="B948" s="1" t="s">
        <v>9395</v>
      </c>
      <c r="C948" s="1" t="s">
        <v>9396</v>
      </c>
      <c r="D948" s="1" t="s">
        <v>9397</v>
      </c>
    </row>
    <row r="949" spans="1:4" x14ac:dyDescent="0.25">
      <c r="A949" s="1" t="s">
        <v>1909</v>
      </c>
      <c r="B949" s="1" t="s">
        <v>9398</v>
      </c>
      <c r="C949" s="1" t="s">
        <v>9399</v>
      </c>
      <c r="D949" s="1" t="s">
        <v>9400</v>
      </c>
    </row>
    <row r="950" spans="1:4" x14ac:dyDescent="0.25">
      <c r="A950" s="1" t="s">
        <v>1911</v>
      </c>
      <c r="B950" s="1" t="s">
        <v>9401</v>
      </c>
      <c r="C950" s="1" t="s">
        <v>9402</v>
      </c>
      <c r="D950" s="1" t="s">
        <v>9403</v>
      </c>
    </row>
    <row r="951" spans="1:4" x14ac:dyDescent="0.25">
      <c r="A951" s="1" t="s">
        <v>1913</v>
      </c>
      <c r="B951" s="1" t="s">
        <v>9404</v>
      </c>
      <c r="C951" s="1" t="s">
        <v>9405</v>
      </c>
      <c r="D951" s="1" t="s">
        <v>9406</v>
      </c>
    </row>
    <row r="952" spans="1:4" x14ac:dyDescent="0.25">
      <c r="A952" s="1" t="s">
        <v>1915</v>
      </c>
      <c r="B952" s="1" t="s">
        <v>9407</v>
      </c>
      <c r="C952" s="1" t="s">
        <v>9408</v>
      </c>
      <c r="D952" s="1" t="s">
        <v>9409</v>
      </c>
    </row>
    <row r="953" spans="1:4" x14ac:dyDescent="0.25">
      <c r="A953" s="1" t="s">
        <v>1917</v>
      </c>
      <c r="B953" s="1" t="s">
        <v>9410</v>
      </c>
      <c r="C953" s="1" t="s">
        <v>9411</v>
      </c>
      <c r="D953" s="1" t="s">
        <v>9412</v>
      </c>
    </row>
    <row r="954" spans="1:4" x14ac:dyDescent="0.25">
      <c r="A954" s="1" t="s">
        <v>1919</v>
      </c>
      <c r="B954" s="1" t="s">
        <v>9413</v>
      </c>
      <c r="C954" s="1" t="s">
        <v>9414</v>
      </c>
      <c r="D954" s="1" t="s">
        <v>9415</v>
      </c>
    </row>
    <row r="955" spans="1:4" x14ac:dyDescent="0.25">
      <c r="A955" s="1" t="s">
        <v>1921</v>
      </c>
      <c r="B955" s="1" t="s">
        <v>9416</v>
      </c>
      <c r="C955" s="1" t="s">
        <v>9417</v>
      </c>
      <c r="D955" s="1" t="s">
        <v>9418</v>
      </c>
    </row>
    <row r="956" spans="1:4" x14ac:dyDescent="0.25">
      <c r="A956" s="1" t="s">
        <v>1923</v>
      </c>
      <c r="B956" s="1" t="s">
        <v>9419</v>
      </c>
      <c r="C956" s="1" t="s">
        <v>9420</v>
      </c>
      <c r="D956" s="1" t="s">
        <v>9421</v>
      </c>
    </row>
    <row r="957" spans="1:4" x14ac:dyDescent="0.25">
      <c r="A957" s="1" t="s">
        <v>1925</v>
      </c>
      <c r="B957" s="1" t="s">
        <v>9422</v>
      </c>
      <c r="C957" s="1" t="s">
        <v>9423</v>
      </c>
      <c r="D957" s="1" t="s">
        <v>9424</v>
      </c>
    </row>
    <row r="958" spans="1:4" x14ac:dyDescent="0.25">
      <c r="A958" s="1" t="s">
        <v>1927</v>
      </c>
      <c r="B958" s="1" t="s">
        <v>9425</v>
      </c>
      <c r="C958" s="1" t="s">
        <v>9426</v>
      </c>
      <c r="D958" s="1" t="s">
        <v>9427</v>
      </c>
    </row>
    <row r="959" spans="1:4" x14ac:dyDescent="0.25">
      <c r="A959" s="1" t="s">
        <v>1929</v>
      </c>
      <c r="B959" s="1" t="s">
        <v>9428</v>
      </c>
      <c r="C959" s="1" t="s">
        <v>9429</v>
      </c>
      <c r="D959" s="1" t="s">
        <v>9430</v>
      </c>
    </row>
    <row r="960" spans="1:4" x14ac:dyDescent="0.25">
      <c r="A960" s="1" t="s">
        <v>1931</v>
      </c>
      <c r="B960" s="1" t="s">
        <v>9431</v>
      </c>
      <c r="C960" s="1" t="s">
        <v>9432</v>
      </c>
      <c r="D960" s="1" t="s">
        <v>9433</v>
      </c>
    </row>
    <row r="961" spans="1:4" x14ac:dyDescent="0.25">
      <c r="A961" s="1" t="s">
        <v>1933</v>
      </c>
      <c r="B961" s="1" t="s">
        <v>9434</v>
      </c>
      <c r="C961" s="1" t="s">
        <v>9435</v>
      </c>
      <c r="D961" s="1" t="s">
        <v>9436</v>
      </c>
    </row>
    <row r="962" spans="1:4" x14ac:dyDescent="0.25">
      <c r="A962" s="1" t="s">
        <v>1935</v>
      </c>
      <c r="B962" s="1" t="s">
        <v>9437</v>
      </c>
      <c r="C962" s="1" t="s">
        <v>9438</v>
      </c>
      <c r="D962" s="1" t="s">
        <v>9439</v>
      </c>
    </row>
    <row r="963" spans="1:4" x14ac:dyDescent="0.25">
      <c r="A963" s="1" t="s">
        <v>1937</v>
      </c>
      <c r="B963" s="1" t="s">
        <v>9440</v>
      </c>
      <c r="C963" s="1" t="s">
        <v>9441</v>
      </c>
      <c r="D963" s="1" t="s">
        <v>9442</v>
      </c>
    </row>
    <row r="964" spans="1:4" x14ac:dyDescent="0.25">
      <c r="A964" s="1" t="s">
        <v>1939</v>
      </c>
      <c r="B964" s="1" t="s">
        <v>9443</v>
      </c>
      <c r="C964" s="1" t="s">
        <v>9444</v>
      </c>
      <c r="D964" s="1" t="s">
        <v>9445</v>
      </c>
    </row>
    <row r="965" spans="1:4" x14ac:dyDescent="0.25">
      <c r="A965" s="1" t="s">
        <v>1941</v>
      </c>
      <c r="B965" s="1" t="s">
        <v>9446</v>
      </c>
      <c r="C965" s="1" t="s">
        <v>9447</v>
      </c>
      <c r="D965" s="1" t="s">
        <v>9448</v>
      </c>
    </row>
    <row r="966" spans="1:4" x14ac:dyDescent="0.25">
      <c r="A966" s="1" t="s">
        <v>1943</v>
      </c>
      <c r="B966" s="1" t="s">
        <v>9449</v>
      </c>
      <c r="C966" s="1" t="s">
        <v>9450</v>
      </c>
      <c r="D966" s="1" t="s">
        <v>9451</v>
      </c>
    </row>
    <row r="967" spans="1:4" x14ac:dyDescent="0.25">
      <c r="A967" s="1" t="s">
        <v>1945</v>
      </c>
      <c r="B967" s="1" t="s">
        <v>9452</v>
      </c>
      <c r="C967" s="1" t="s">
        <v>9453</v>
      </c>
      <c r="D967" s="1" t="s">
        <v>9454</v>
      </c>
    </row>
    <row r="968" spans="1:4" x14ac:dyDescent="0.25">
      <c r="A968" s="1" t="s">
        <v>1947</v>
      </c>
      <c r="B968" s="1" t="s">
        <v>9455</v>
      </c>
      <c r="C968" s="1" t="s">
        <v>9456</v>
      </c>
      <c r="D968" s="1" t="s">
        <v>9457</v>
      </c>
    </row>
    <row r="969" spans="1:4" x14ac:dyDescent="0.25">
      <c r="A969" s="1" t="s">
        <v>1949</v>
      </c>
      <c r="B969" s="1" t="s">
        <v>9458</v>
      </c>
      <c r="C969" s="1" t="s">
        <v>9459</v>
      </c>
      <c r="D969" s="1" t="s">
        <v>9460</v>
      </c>
    </row>
    <row r="970" spans="1:4" x14ac:dyDescent="0.25">
      <c r="A970" s="1" t="s">
        <v>1951</v>
      </c>
      <c r="B970" s="1" t="s">
        <v>9461</v>
      </c>
      <c r="C970" s="1" t="s">
        <v>9462</v>
      </c>
      <c r="D970" s="1" t="s">
        <v>9463</v>
      </c>
    </row>
    <row r="971" spans="1:4" x14ac:dyDescent="0.25">
      <c r="A971" s="1" t="s">
        <v>1953</v>
      </c>
      <c r="B971" s="1" t="s">
        <v>9464</v>
      </c>
      <c r="C971" s="1" t="s">
        <v>9465</v>
      </c>
      <c r="D971" s="1" t="s">
        <v>9466</v>
      </c>
    </row>
    <row r="972" spans="1:4" x14ac:dyDescent="0.25">
      <c r="A972" s="1" t="s">
        <v>1955</v>
      </c>
      <c r="B972" s="1" t="s">
        <v>9467</v>
      </c>
      <c r="C972" s="1" t="s">
        <v>9468</v>
      </c>
      <c r="D972" s="1" t="s">
        <v>9469</v>
      </c>
    </row>
    <row r="973" spans="1:4" x14ac:dyDescent="0.25">
      <c r="A973" s="1" t="s">
        <v>1957</v>
      </c>
      <c r="B973" s="1" t="s">
        <v>9470</v>
      </c>
      <c r="C973" s="1" t="s">
        <v>9471</v>
      </c>
      <c r="D973" s="1" t="s">
        <v>9472</v>
      </c>
    </row>
    <row r="974" spans="1:4" x14ac:dyDescent="0.25">
      <c r="A974" s="1" t="s">
        <v>1959</v>
      </c>
      <c r="B974" s="1" t="s">
        <v>9473</v>
      </c>
      <c r="C974" s="1" t="s">
        <v>9474</v>
      </c>
      <c r="D974" s="1" t="s">
        <v>9475</v>
      </c>
    </row>
    <row r="975" spans="1:4" x14ac:dyDescent="0.25">
      <c r="A975" s="1" t="s">
        <v>1961</v>
      </c>
      <c r="B975" s="1" t="s">
        <v>9476</v>
      </c>
      <c r="C975" s="1" t="s">
        <v>9477</v>
      </c>
      <c r="D975" s="1" t="s">
        <v>9478</v>
      </c>
    </row>
    <row r="976" spans="1:4" x14ac:dyDescent="0.25">
      <c r="A976" s="1" t="s">
        <v>1963</v>
      </c>
      <c r="B976" s="1" t="s">
        <v>9479</v>
      </c>
      <c r="C976" s="1" t="s">
        <v>9480</v>
      </c>
      <c r="D976" s="1" t="s">
        <v>9481</v>
      </c>
    </row>
    <row r="977" spans="1:4" x14ac:dyDescent="0.25">
      <c r="A977" s="1" t="s">
        <v>1965</v>
      </c>
      <c r="B977" s="1" t="s">
        <v>9482</v>
      </c>
      <c r="C977" s="1" t="s">
        <v>9483</v>
      </c>
      <c r="D977" s="1" t="s">
        <v>9484</v>
      </c>
    </row>
    <row r="978" spans="1:4" x14ac:dyDescent="0.25">
      <c r="A978" s="1" t="s">
        <v>1967</v>
      </c>
      <c r="B978" s="1" t="s">
        <v>9485</v>
      </c>
      <c r="C978" s="1" t="s">
        <v>9486</v>
      </c>
      <c r="D978" s="1" t="s">
        <v>9487</v>
      </c>
    </row>
    <row r="979" spans="1:4" x14ac:dyDescent="0.25">
      <c r="A979" s="1" t="s">
        <v>1969</v>
      </c>
      <c r="B979" s="1" t="s">
        <v>9488</v>
      </c>
      <c r="C979" s="1" t="s">
        <v>9489</v>
      </c>
      <c r="D979" s="1" t="s">
        <v>9490</v>
      </c>
    </row>
    <row r="980" spans="1:4" x14ac:dyDescent="0.25">
      <c r="A980" s="1" t="s">
        <v>1971</v>
      </c>
      <c r="B980" s="1" t="s">
        <v>9491</v>
      </c>
      <c r="C980" s="1" t="s">
        <v>9492</v>
      </c>
      <c r="D980" s="1" t="s">
        <v>9493</v>
      </c>
    </row>
    <row r="981" spans="1:4" x14ac:dyDescent="0.25">
      <c r="A981" s="1" t="s">
        <v>1973</v>
      </c>
      <c r="B981" s="1" t="s">
        <v>9494</v>
      </c>
      <c r="C981" s="1" t="s">
        <v>9495</v>
      </c>
      <c r="D981" s="1" t="s">
        <v>9496</v>
      </c>
    </row>
    <row r="982" spans="1:4" x14ac:dyDescent="0.25">
      <c r="A982" s="1" t="s">
        <v>1975</v>
      </c>
      <c r="B982" s="1" t="s">
        <v>9497</v>
      </c>
      <c r="C982" s="1" t="s">
        <v>9498</v>
      </c>
      <c r="D982" s="1" t="s">
        <v>9499</v>
      </c>
    </row>
    <row r="983" spans="1:4" x14ac:dyDescent="0.25">
      <c r="A983" s="1" t="s">
        <v>1977</v>
      </c>
      <c r="B983" s="1" t="s">
        <v>9500</v>
      </c>
      <c r="C983" s="1" t="s">
        <v>9501</v>
      </c>
      <c r="D983" s="1" t="s">
        <v>9502</v>
      </c>
    </row>
    <row r="984" spans="1:4" x14ac:dyDescent="0.25">
      <c r="A984" s="1" t="s">
        <v>1979</v>
      </c>
      <c r="B984" s="1" t="s">
        <v>9503</v>
      </c>
      <c r="C984" s="1" t="s">
        <v>9504</v>
      </c>
      <c r="D984" s="1" t="s">
        <v>9505</v>
      </c>
    </row>
    <row r="985" spans="1:4" x14ac:dyDescent="0.25">
      <c r="A985" s="1" t="s">
        <v>1981</v>
      </c>
      <c r="B985" s="1" t="s">
        <v>9506</v>
      </c>
      <c r="C985" s="1" t="s">
        <v>9507</v>
      </c>
      <c r="D985" s="1" t="s">
        <v>9508</v>
      </c>
    </row>
    <row r="986" spans="1:4" x14ac:dyDescent="0.25">
      <c r="A986" s="1" t="s">
        <v>1983</v>
      </c>
      <c r="B986" s="1" t="s">
        <v>9509</v>
      </c>
      <c r="C986" s="1" t="s">
        <v>9510</v>
      </c>
      <c r="D986" s="1" t="s">
        <v>9511</v>
      </c>
    </row>
    <row r="987" spans="1:4" x14ac:dyDescent="0.25">
      <c r="A987" s="1" t="s">
        <v>1985</v>
      </c>
      <c r="B987" s="1" t="s">
        <v>9512</v>
      </c>
      <c r="C987" s="1" t="s">
        <v>9513</v>
      </c>
      <c r="D987" s="1" t="s">
        <v>9514</v>
      </c>
    </row>
    <row r="988" spans="1:4" x14ac:dyDescent="0.25">
      <c r="A988" s="1" t="s">
        <v>1987</v>
      </c>
      <c r="B988" s="1" t="s">
        <v>9515</v>
      </c>
      <c r="C988" s="1" t="s">
        <v>9516</v>
      </c>
      <c r="D988" s="1" t="s">
        <v>9517</v>
      </c>
    </row>
    <row r="989" spans="1:4" x14ac:dyDescent="0.25">
      <c r="A989" s="1" t="s">
        <v>1989</v>
      </c>
      <c r="B989" s="1" t="s">
        <v>9518</v>
      </c>
      <c r="C989" s="1" t="s">
        <v>9519</v>
      </c>
      <c r="D989" s="1" t="s">
        <v>9520</v>
      </c>
    </row>
    <row r="990" spans="1:4" x14ac:dyDescent="0.25">
      <c r="A990" s="1" t="s">
        <v>1991</v>
      </c>
      <c r="B990" s="1" t="s">
        <v>9521</v>
      </c>
      <c r="C990" s="1" t="s">
        <v>9522</v>
      </c>
      <c r="D990" s="1" t="s">
        <v>9523</v>
      </c>
    </row>
    <row r="991" spans="1:4" x14ac:dyDescent="0.25">
      <c r="A991" s="1" t="s">
        <v>1993</v>
      </c>
      <c r="B991" s="1" t="s">
        <v>9524</v>
      </c>
      <c r="C991" s="1" t="s">
        <v>9525</v>
      </c>
      <c r="D991" s="1" t="s">
        <v>9526</v>
      </c>
    </row>
    <row r="992" spans="1:4" x14ac:dyDescent="0.25">
      <c r="A992" s="1" t="s">
        <v>1995</v>
      </c>
      <c r="B992" s="1" t="s">
        <v>9527</v>
      </c>
      <c r="C992" s="1" t="s">
        <v>9528</v>
      </c>
      <c r="D992" s="1" t="s">
        <v>9529</v>
      </c>
    </row>
    <row r="993" spans="1:4" x14ac:dyDescent="0.25">
      <c r="A993" s="1" t="s">
        <v>1997</v>
      </c>
      <c r="B993" s="1" t="s">
        <v>9530</v>
      </c>
      <c r="C993" s="1" t="s">
        <v>9531</v>
      </c>
      <c r="D993" s="1" t="s">
        <v>9532</v>
      </c>
    </row>
    <row r="994" spans="1:4" x14ac:dyDescent="0.25">
      <c r="A994" s="1" t="s">
        <v>1999</v>
      </c>
      <c r="B994" s="1" t="s">
        <v>9533</v>
      </c>
      <c r="C994" s="1" t="s">
        <v>9534</v>
      </c>
      <c r="D994" s="1" t="s">
        <v>9535</v>
      </c>
    </row>
    <row r="995" spans="1:4" x14ac:dyDescent="0.25">
      <c r="A995" s="1" t="s">
        <v>2001</v>
      </c>
      <c r="B995" s="1" t="s">
        <v>9536</v>
      </c>
      <c r="C995" s="1" t="s">
        <v>9537</v>
      </c>
      <c r="D995" s="1" t="s">
        <v>9538</v>
      </c>
    </row>
    <row r="996" spans="1:4" x14ac:dyDescent="0.25">
      <c r="A996" s="1" t="s">
        <v>2003</v>
      </c>
      <c r="B996" s="1" t="s">
        <v>9539</v>
      </c>
      <c r="C996" s="1" t="s">
        <v>9540</v>
      </c>
      <c r="D996" s="1" t="s">
        <v>9541</v>
      </c>
    </row>
    <row r="997" spans="1:4" x14ac:dyDescent="0.25">
      <c r="A997" s="1" t="s">
        <v>2005</v>
      </c>
      <c r="B997" s="1" t="s">
        <v>9542</v>
      </c>
      <c r="C997" s="1" t="s">
        <v>9543</v>
      </c>
      <c r="D997" s="1" t="s">
        <v>9544</v>
      </c>
    </row>
    <row r="998" spans="1:4" x14ac:dyDescent="0.25">
      <c r="A998" s="1" t="s">
        <v>2007</v>
      </c>
      <c r="B998" s="1" t="s">
        <v>9545</v>
      </c>
      <c r="C998" s="1" t="s">
        <v>9546</v>
      </c>
      <c r="D998" s="1" t="s">
        <v>9547</v>
      </c>
    </row>
    <row r="999" spans="1:4" x14ac:dyDescent="0.25">
      <c r="A999" s="1" t="s">
        <v>2009</v>
      </c>
      <c r="B999" s="1" t="s">
        <v>9548</v>
      </c>
      <c r="C999" s="1" t="s">
        <v>9549</v>
      </c>
      <c r="D999" s="1" t="s">
        <v>9550</v>
      </c>
    </row>
    <row r="1000" spans="1:4" x14ac:dyDescent="0.25">
      <c r="A1000" s="1" t="s">
        <v>2011</v>
      </c>
      <c r="B1000" s="1" t="s">
        <v>9551</v>
      </c>
      <c r="C1000" s="1" t="s">
        <v>9552</v>
      </c>
      <c r="D1000" s="1" t="s">
        <v>9553</v>
      </c>
    </row>
    <row r="1001" spans="1:4" x14ac:dyDescent="0.25">
      <c r="A1001" s="1" t="s">
        <v>2013</v>
      </c>
      <c r="B1001" s="1" t="s">
        <v>9554</v>
      </c>
      <c r="C1001" s="1" t="s">
        <v>9555</v>
      </c>
      <c r="D1001" s="1" t="s">
        <v>9556</v>
      </c>
    </row>
    <row r="1002" spans="1:4" x14ac:dyDescent="0.25">
      <c r="A1002" s="1" t="s">
        <v>2015</v>
      </c>
      <c r="B1002" s="1" t="s">
        <v>9557</v>
      </c>
      <c r="C1002" s="1" t="s">
        <v>9558</v>
      </c>
      <c r="D1002" s="1" t="s">
        <v>9559</v>
      </c>
    </row>
    <row r="1003" spans="1:4" x14ac:dyDescent="0.25">
      <c r="A1003" s="1" t="s">
        <v>2017</v>
      </c>
      <c r="B1003" s="1" t="s">
        <v>9560</v>
      </c>
      <c r="C1003" s="1" t="s">
        <v>9561</v>
      </c>
      <c r="D1003" s="1" t="s">
        <v>9562</v>
      </c>
    </row>
    <row r="1004" spans="1:4" x14ac:dyDescent="0.25">
      <c r="A1004" s="1" t="s">
        <v>2019</v>
      </c>
      <c r="B1004" s="1" t="s">
        <v>9563</v>
      </c>
      <c r="C1004" s="1" t="s">
        <v>9564</v>
      </c>
      <c r="D1004" s="1" t="s">
        <v>9565</v>
      </c>
    </row>
    <row r="1005" spans="1:4" x14ac:dyDescent="0.25">
      <c r="A1005" s="1" t="s">
        <v>2021</v>
      </c>
      <c r="B1005" s="1" t="s">
        <v>9566</v>
      </c>
      <c r="C1005" s="1" t="s">
        <v>9567</v>
      </c>
      <c r="D1005" s="1" t="s">
        <v>9568</v>
      </c>
    </row>
    <row r="1006" spans="1:4" x14ac:dyDescent="0.25">
      <c r="A1006" s="1" t="s">
        <v>2023</v>
      </c>
      <c r="B1006" s="1" t="s">
        <v>9569</v>
      </c>
      <c r="C1006" s="1" t="s">
        <v>9570</v>
      </c>
      <c r="D1006" s="1" t="s">
        <v>9571</v>
      </c>
    </row>
    <row r="1007" spans="1:4" x14ac:dyDescent="0.25">
      <c r="A1007" s="1" t="s">
        <v>2025</v>
      </c>
      <c r="B1007" s="1" t="s">
        <v>9572</v>
      </c>
      <c r="C1007" s="1" t="s">
        <v>9573</v>
      </c>
      <c r="D1007" s="1" t="s">
        <v>9574</v>
      </c>
    </row>
    <row r="1008" spans="1:4" x14ac:dyDescent="0.25">
      <c r="A1008" s="1" t="s">
        <v>2027</v>
      </c>
      <c r="B1008" s="1" t="s">
        <v>9575</v>
      </c>
      <c r="C1008" s="1" t="s">
        <v>9576</v>
      </c>
      <c r="D1008" s="1" t="s">
        <v>9577</v>
      </c>
    </row>
    <row r="1009" spans="1:4" x14ac:dyDescent="0.25">
      <c r="A1009" s="1" t="s">
        <v>2029</v>
      </c>
      <c r="B1009" s="1" t="s">
        <v>9578</v>
      </c>
      <c r="C1009" s="1" t="s">
        <v>9579</v>
      </c>
      <c r="D1009" s="1" t="s">
        <v>9580</v>
      </c>
    </row>
    <row r="1010" spans="1:4" x14ac:dyDescent="0.25">
      <c r="A1010" s="1" t="s">
        <v>2031</v>
      </c>
      <c r="B1010" s="1" t="s">
        <v>9581</v>
      </c>
      <c r="C1010" s="1" t="s">
        <v>9582</v>
      </c>
      <c r="D1010" s="1" t="s">
        <v>9583</v>
      </c>
    </row>
    <row r="1011" spans="1:4" x14ac:dyDescent="0.25">
      <c r="A1011" s="1" t="s">
        <v>2033</v>
      </c>
      <c r="B1011" s="1" t="s">
        <v>9584</v>
      </c>
      <c r="C1011" s="1" t="s">
        <v>9585</v>
      </c>
      <c r="D1011" s="1" t="s">
        <v>9586</v>
      </c>
    </row>
    <row r="1012" spans="1:4" x14ac:dyDescent="0.25">
      <c r="A1012" s="1" t="s">
        <v>2035</v>
      </c>
      <c r="B1012" s="1" t="s">
        <v>9587</v>
      </c>
      <c r="C1012" s="1" t="s">
        <v>9588</v>
      </c>
      <c r="D1012" s="1" t="s">
        <v>9589</v>
      </c>
    </row>
    <row r="1013" spans="1:4" x14ac:dyDescent="0.25">
      <c r="A1013" s="1" t="s">
        <v>2037</v>
      </c>
      <c r="B1013" s="1" t="s">
        <v>9590</v>
      </c>
      <c r="C1013" s="1" t="s">
        <v>9591</v>
      </c>
      <c r="D1013" s="1" t="s">
        <v>9592</v>
      </c>
    </row>
    <row r="1014" spans="1:4" x14ac:dyDescent="0.25">
      <c r="A1014" s="1" t="s">
        <v>2039</v>
      </c>
      <c r="B1014" s="1" t="s">
        <v>9593</v>
      </c>
      <c r="C1014" s="1" t="s">
        <v>9594</v>
      </c>
      <c r="D1014" s="1" t="s">
        <v>9595</v>
      </c>
    </row>
    <row r="1015" spans="1:4" x14ac:dyDescent="0.25">
      <c r="A1015" s="1" t="s">
        <v>2041</v>
      </c>
      <c r="B1015" s="1" t="s">
        <v>9596</v>
      </c>
      <c r="C1015" s="1" t="s">
        <v>9597</v>
      </c>
      <c r="D1015" s="1" t="s">
        <v>9598</v>
      </c>
    </row>
    <row r="1016" spans="1:4" x14ac:dyDescent="0.25">
      <c r="A1016" s="1" t="s">
        <v>2043</v>
      </c>
      <c r="B1016" s="1" t="s">
        <v>9599</v>
      </c>
      <c r="C1016" s="1" t="s">
        <v>9600</v>
      </c>
      <c r="D1016" s="1" t="s">
        <v>9601</v>
      </c>
    </row>
    <row r="1017" spans="1:4" x14ac:dyDescent="0.25">
      <c r="A1017" s="1" t="s">
        <v>2045</v>
      </c>
      <c r="B1017" s="1" t="s">
        <v>9602</v>
      </c>
      <c r="C1017" s="1" t="s">
        <v>9603</v>
      </c>
      <c r="D1017" s="1" t="s">
        <v>9604</v>
      </c>
    </row>
    <row r="1018" spans="1:4" x14ac:dyDescent="0.25">
      <c r="A1018" s="1" t="s">
        <v>2047</v>
      </c>
      <c r="B1018" s="1" t="s">
        <v>9605</v>
      </c>
      <c r="C1018" s="1" t="s">
        <v>9606</v>
      </c>
      <c r="D1018" s="1" t="s">
        <v>9607</v>
      </c>
    </row>
    <row r="1019" spans="1:4" x14ac:dyDescent="0.25">
      <c r="A1019" s="1" t="s">
        <v>2049</v>
      </c>
      <c r="B1019" s="1" t="s">
        <v>9608</v>
      </c>
      <c r="C1019" s="1" t="s">
        <v>9609</v>
      </c>
      <c r="D1019" s="1" t="s">
        <v>9610</v>
      </c>
    </row>
    <row r="1020" spans="1:4" x14ac:dyDescent="0.25">
      <c r="A1020" s="1" t="s">
        <v>2051</v>
      </c>
      <c r="B1020" s="1" t="s">
        <v>9611</v>
      </c>
      <c r="C1020" s="1" t="s">
        <v>9612</v>
      </c>
      <c r="D1020" s="1" t="s">
        <v>9613</v>
      </c>
    </row>
    <row r="1021" spans="1:4" x14ac:dyDescent="0.25">
      <c r="A1021" s="1" t="s">
        <v>2053</v>
      </c>
      <c r="B1021" s="1" t="s">
        <v>9614</v>
      </c>
      <c r="C1021" s="1" t="s">
        <v>9615</v>
      </c>
      <c r="D1021" s="1" t="s">
        <v>9616</v>
      </c>
    </row>
    <row r="1022" spans="1:4" x14ac:dyDescent="0.25">
      <c r="A1022" s="1" t="s">
        <v>2055</v>
      </c>
      <c r="B1022" s="1" t="s">
        <v>9617</v>
      </c>
      <c r="C1022" s="1" t="s">
        <v>9618</v>
      </c>
      <c r="D1022" s="1" t="s">
        <v>9619</v>
      </c>
    </row>
    <row r="1023" spans="1:4" x14ac:dyDescent="0.25">
      <c r="A1023" s="1" t="s">
        <v>2057</v>
      </c>
      <c r="B1023" s="1" t="s">
        <v>9620</v>
      </c>
      <c r="C1023" s="1" t="s">
        <v>9621</v>
      </c>
      <c r="D1023" s="1" t="s">
        <v>9622</v>
      </c>
    </row>
    <row r="1024" spans="1:4" x14ac:dyDescent="0.25">
      <c r="A1024" s="1" t="s">
        <v>2059</v>
      </c>
      <c r="B1024" s="1" t="s">
        <v>9623</v>
      </c>
      <c r="C1024" s="1" t="s">
        <v>9624</v>
      </c>
      <c r="D1024" s="1" t="s">
        <v>9625</v>
      </c>
    </row>
    <row r="1025" spans="1:4" x14ac:dyDescent="0.25">
      <c r="A1025" s="1" t="s">
        <v>2061</v>
      </c>
      <c r="B1025" s="1" t="s">
        <v>9626</v>
      </c>
      <c r="C1025" s="1" t="s">
        <v>9627</v>
      </c>
      <c r="D1025" s="1" t="s">
        <v>9628</v>
      </c>
    </row>
    <row r="1026" spans="1:4" x14ac:dyDescent="0.25">
      <c r="A1026" s="1" t="s">
        <v>2063</v>
      </c>
      <c r="B1026" s="1" t="s">
        <v>9629</v>
      </c>
      <c r="C1026" s="1" t="s">
        <v>9630</v>
      </c>
      <c r="D1026" s="1" t="s">
        <v>9631</v>
      </c>
    </row>
    <row r="1027" spans="1:4" x14ac:dyDescent="0.25">
      <c r="A1027" s="1" t="s">
        <v>2065</v>
      </c>
      <c r="B1027" s="1" t="s">
        <v>9632</v>
      </c>
      <c r="C1027" s="1" t="s">
        <v>9633</v>
      </c>
      <c r="D1027" s="1" t="s">
        <v>9634</v>
      </c>
    </row>
    <row r="1028" spans="1:4" x14ac:dyDescent="0.25">
      <c r="A1028" s="1" t="s">
        <v>2067</v>
      </c>
      <c r="B1028" s="1" t="s">
        <v>9635</v>
      </c>
      <c r="C1028" s="1" t="s">
        <v>9636</v>
      </c>
      <c r="D1028" s="1" t="s">
        <v>9637</v>
      </c>
    </row>
    <row r="1029" spans="1:4" x14ac:dyDescent="0.25">
      <c r="A1029" s="1" t="s">
        <v>2069</v>
      </c>
      <c r="B1029" s="1" t="s">
        <v>9638</v>
      </c>
      <c r="C1029" s="1" t="s">
        <v>9639</v>
      </c>
      <c r="D1029" s="1" t="s">
        <v>9640</v>
      </c>
    </row>
    <row r="1030" spans="1:4" x14ac:dyDescent="0.25">
      <c r="A1030" s="1" t="s">
        <v>2071</v>
      </c>
      <c r="B1030" s="1" t="s">
        <v>9641</v>
      </c>
      <c r="C1030" s="1" t="s">
        <v>9642</v>
      </c>
      <c r="D1030" s="1" t="s">
        <v>9643</v>
      </c>
    </row>
    <row r="1031" spans="1:4" x14ac:dyDescent="0.25">
      <c r="A1031" s="1" t="s">
        <v>2073</v>
      </c>
      <c r="B1031" s="1" t="s">
        <v>9644</v>
      </c>
      <c r="C1031" s="1" t="s">
        <v>9645</v>
      </c>
      <c r="D1031" s="1" t="s">
        <v>9646</v>
      </c>
    </row>
    <row r="1032" spans="1:4" x14ac:dyDescent="0.25">
      <c r="A1032" s="1" t="s">
        <v>2075</v>
      </c>
      <c r="B1032" s="1" t="s">
        <v>9647</v>
      </c>
      <c r="C1032" s="1" t="s">
        <v>9648</v>
      </c>
      <c r="D1032" s="1" t="s">
        <v>9649</v>
      </c>
    </row>
    <row r="1033" spans="1:4" x14ac:dyDescent="0.25">
      <c r="A1033" s="1" t="s">
        <v>2077</v>
      </c>
      <c r="B1033" s="1" t="s">
        <v>9650</v>
      </c>
      <c r="C1033" s="1" t="s">
        <v>9651</v>
      </c>
      <c r="D1033" s="1" t="s">
        <v>9652</v>
      </c>
    </row>
    <row r="1034" spans="1:4" x14ac:dyDescent="0.25">
      <c r="A1034" s="1" t="s">
        <v>2079</v>
      </c>
      <c r="B1034" s="1" t="s">
        <v>9653</v>
      </c>
      <c r="C1034" s="1" t="s">
        <v>9654</v>
      </c>
      <c r="D1034" s="1" t="s">
        <v>9655</v>
      </c>
    </row>
    <row r="1035" spans="1:4" x14ac:dyDescent="0.25">
      <c r="A1035" s="1" t="s">
        <v>2081</v>
      </c>
      <c r="B1035" s="1" t="s">
        <v>9656</v>
      </c>
      <c r="C1035" s="1" t="s">
        <v>9657</v>
      </c>
      <c r="D1035" s="1" t="s">
        <v>9658</v>
      </c>
    </row>
    <row r="1036" spans="1:4" x14ac:dyDescent="0.25">
      <c r="A1036" s="1" t="s">
        <v>2083</v>
      </c>
      <c r="B1036" s="1" t="s">
        <v>9659</v>
      </c>
      <c r="C1036" s="1" t="s">
        <v>9660</v>
      </c>
      <c r="D1036" s="1" t="s">
        <v>9661</v>
      </c>
    </row>
    <row r="1037" spans="1:4" x14ac:dyDescent="0.25">
      <c r="A1037" s="1" t="s">
        <v>2085</v>
      </c>
      <c r="B1037" s="1" t="s">
        <v>9662</v>
      </c>
      <c r="C1037" s="1" t="s">
        <v>9663</v>
      </c>
      <c r="D1037" s="1" t="s">
        <v>9664</v>
      </c>
    </row>
    <row r="1038" spans="1:4" x14ac:dyDescent="0.25">
      <c r="A1038" s="1" t="s">
        <v>2087</v>
      </c>
      <c r="B1038" s="1" t="s">
        <v>9665</v>
      </c>
      <c r="C1038" s="1" t="s">
        <v>9666</v>
      </c>
      <c r="D1038" s="1" t="s">
        <v>9667</v>
      </c>
    </row>
    <row r="1039" spans="1:4" x14ac:dyDescent="0.25">
      <c r="A1039" s="1" t="s">
        <v>2089</v>
      </c>
      <c r="B1039" s="1" t="s">
        <v>9668</v>
      </c>
      <c r="C1039" s="1" t="s">
        <v>9669</v>
      </c>
      <c r="D1039" s="1" t="s">
        <v>9670</v>
      </c>
    </row>
    <row r="1040" spans="1:4" x14ac:dyDescent="0.25">
      <c r="A1040" s="1" t="s">
        <v>2091</v>
      </c>
      <c r="B1040" s="1" t="s">
        <v>9671</v>
      </c>
      <c r="C1040" s="1" t="s">
        <v>9672</v>
      </c>
      <c r="D1040" s="1" t="s">
        <v>9673</v>
      </c>
    </row>
    <row r="1041" spans="1:4" x14ac:dyDescent="0.25">
      <c r="A1041" s="1" t="s">
        <v>2093</v>
      </c>
      <c r="B1041" s="1" t="s">
        <v>9674</v>
      </c>
      <c r="C1041" s="1" t="s">
        <v>9675</v>
      </c>
      <c r="D1041" s="1" t="s">
        <v>9676</v>
      </c>
    </row>
    <row r="1042" spans="1:4" x14ac:dyDescent="0.25">
      <c r="A1042" s="1" t="s">
        <v>2095</v>
      </c>
      <c r="B1042" s="1" t="s">
        <v>9677</v>
      </c>
      <c r="C1042" s="1" t="s">
        <v>9678</v>
      </c>
      <c r="D1042" s="1" t="s">
        <v>9679</v>
      </c>
    </row>
    <row r="1043" spans="1:4" x14ac:dyDescent="0.25">
      <c r="A1043" s="1" t="s">
        <v>2097</v>
      </c>
      <c r="B1043" s="1" t="s">
        <v>9680</v>
      </c>
      <c r="C1043" s="1" t="s">
        <v>9681</v>
      </c>
      <c r="D1043" s="1" t="s">
        <v>9682</v>
      </c>
    </row>
    <row r="1044" spans="1:4" x14ac:dyDescent="0.25">
      <c r="A1044" s="1" t="s">
        <v>2099</v>
      </c>
      <c r="B1044" s="1" t="s">
        <v>9683</v>
      </c>
      <c r="C1044" s="1" t="s">
        <v>9684</v>
      </c>
      <c r="D1044" s="1" t="s">
        <v>9685</v>
      </c>
    </row>
    <row r="1045" spans="1:4" x14ac:dyDescent="0.25">
      <c r="A1045" s="1" t="s">
        <v>2101</v>
      </c>
      <c r="B1045" s="1" t="s">
        <v>9686</v>
      </c>
      <c r="C1045" s="1" t="s">
        <v>9687</v>
      </c>
      <c r="D1045" s="1" t="s">
        <v>9688</v>
      </c>
    </row>
    <row r="1046" spans="1:4" x14ac:dyDescent="0.25">
      <c r="A1046" s="1" t="s">
        <v>2103</v>
      </c>
      <c r="B1046" s="1" t="s">
        <v>9689</v>
      </c>
      <c r="C1046" s="1" t="s">
        <v>9690</v>
      </c>
      <c r="D1046" s="1" t="s">
        <v>9691</v>
      </c>
    </row>
    <row r="1047" spans="1:4" x14ac:dyDescent="0.25">
      <c r="A1047" s="1" t="s">
        <v>2105</v>
      </c>
      <c r="B1047" s="1" t="s">
        <v>9692</v>
      </c>
      <c r="C1047" s="1" t="s">
        <v>9693</v>
      </c>
      <c r="D1047" s="1" t="s">
        <v>9694</v>
      </c>
    </row>
    <row r="1048" spans="1:4" x14ac:dyDescent="0.25">
      <c r="A1048" s="1" t="s">
        <v>2107</v>
      </c>
      <c r="B1048" s="1" t="s">
        <v>9695</v>
      </c>
      <c r="C1048" s="1" t="s">
        <v>9696</v>
      </c>
      <c r="D1048" s="1" t="s">
        <v>9697</v>
      </c>
    </row>
    <row r="1049" spans="1:4" x14ac:dyDescent="0.25">
      <c r="A1049" s="1" t="s">
        <v>2109</v>
      </c>
      <c r="B1049" s="1" t="s">
        <v>9698</v>
      </c>
      <c r="C1049" s="1" t="s">
        <v>9699</v>
      </c>
      <c r="D1049" s="1" t="s">
        <v>9700</v>
      </c>
    </row>
    <row r="1050" spans="1:4" x14ac:dyDescent="0.25">
      <c r="A1050" s="1" t="s">
        <v>2111</v>
      </c>
      <c r="B1050" s="1" t="s">
        <v>9701</v>
      </c>
      <c r="C1050" s="1" t="s">
        <v>9702</v>
      </c>
      <c r="D1050" s="1" t="s">
        <v>9703</v>
      </c>
    </row>
    <row r="1051" spans="1:4" x14ac:dyDescent="0.25">
      <c r="A1051" s="1" t="s">
        <v>2113</v>
      </c>
      <c r="B1051" s="1" t="s">
        <v>9704</v>
      </c>
      <c r="C1051" s="1" t="s">
        <v>9705</v>
      </c>
      <c r="D1051" s="1" t="s">
        <v>9706</v>
      </c>
    </row>
    <row r="1052" spans="1:4" x14ac:dyDescent="0.25">
      <c r="A1052" s="1" t="s">
        <v>2115</v>
      </c>
      <c r="B1052" s="1" t="s">
        <v>9707</v>
      </c>
      <c r="C1052" s="1" t="s">
        <v>9708</v>
      </c>
      <c r="D1052" s="1" t="s">
        <v>9709</v>
      </c>
    </row>
    <row r="1053" spans="1:4" x14ac:dyDescent="0.25">
      <c r="A1053" s="1" t="s">
        <v>2117</v>
      </c>
      <c r="B1053" s="1" t="s">
        <v>9710</v>
      </c>
      <c r="C1053" s="1" t="s">
        <v>9711</v>
      </c>
      <c r="D1053" s="1" t="s">
        <v>9712</v>
      </c>
    </row>
    <row r="1054" spans="1:4" x14ac:dyDescent="0.25">
      <c r="A1054" s="1" t="s">
        <v>2119</v>
      </c>
      <c r="B1054" s="1" t="s">
        <v>9713</v>
      </c>
      <c r="C1054" s="1" t="s">
        <v>9714</v>
      </c>
      <c r="D1054" s="1" t="s">
        <v>9715</v>
      </c>
    </row>
    <row r="1055" spans="1:4" x14ac:dyDescent="0.25">
      <c r="A1055" s="1" t="s">
        <v>2121</v>
      </c>
      <c r="B1055" s="1" t="s">
        <v>9716</v>
      </c>
      <c r="C1055" s="1" t="s">
        <v>9717</v>
      </c>
      <c r="D1055" s="1" t="s">
        <v>9718</v>
      </c>
    </row>
    <row r="1056" spans="1:4" x14ac:dyDescent="0.25">
      <c r="A1056" s="1" t="s">
        <v>2123</v>
      </c>
      <c r="B1056" s="1" t="s">
        <v>9719</v>
      </c>
      <c r="C1056" s="1" t="s">
        <v>9720</v>
      </c>
      <c r="D1056" s="1" t="s">
        <v>9721</v>
      </c>
    </row>
    <row r="1057" spans="1:4" x14ac:dyDescent="0.25">
      <c r="A1057" s="1" t="s">
        <v>2125</v>
      </c>
      <c r="B1057" s="1" t="s">
        <v>9722</v>
      </c>
      <c r="C1057" s="1" t="s">
        <v>9723</v>
      </c>
      <c r="D1057" s="1" t="s">
        <v>9724</v>
      </c>
    </row>
    <row r="1058" spans="1:4" x14ac:dyDescent="0.25">
      <c r="A1058" s="1" t="s">
        <v>2127</v>
      </c>
      <c r="B1058" s="1" t="s">
        <v>9725</v>
      </c>
      <c r="C1058" s="1" t="s">
        <v>9726</v>
      </c>
      <c r="D1058" s="1" t="s">
        <v>9727</v>
      </c>
    </row>
    <row r="1059" spans="1:4" x14ac:dyDescent="0.25">
      <c r="A1059" s="1" t="s">
        <v>2129</v>
      </c>
      <c r="B1059" s="1" t="s">
        <v>9728</v>
      </c>
      <c r="C1059" s="1" t="s">
        <v>9729</v>
      </c>
      <c r="D1059" s="1" t="s">
        <v>9730</v>
      </c>
    </row>
    <row r="1060" spans="1:4" x14ac:dyDescent="0.25">
      <c r="A1060" s="1" t="s">
        <v>2131</v>
      </c>
      <c r="B1060" s="1" t="s">
        <v>9731</v>
      </c>
      <c r="C1060" s="1" t="s">
        <v>9732</v>
      </c>
      <c r="D1060" s="1" t="s">
        <v>9733</v>
      </c>
    </row>
    <row r="1061" spans="1:4" x14ac:dyDescent="0.25">
      <c r="A1061" s="1" t="s">
        <v>2133</v>
      </c>
      <c r="B1061" s="1" t="s">
        <v>9734</v>
      </c>
      <c r="C1061" s="1" t="s">
        <v>9735</v>
      </c>
      <c r="D1061" s="1" t="s">
        <v>9736</v>
      </c>
    </row>
    <row r="1062" spans="1:4" x14ac:dyDescent="0.25">
      <c r="A1062" s="1" t="s">
        <v>2135</v>
      </c>
      <c r="B1062" s="1" t="s">
        <v>9737</v>
      </c>
      <c r="C1062" s="1" t="s">
        <v>9738</v>
      </c>
      <c r="D1062" s="1" t="s">
        <v>9739</v>
      </c>
    </row>
    <row r="1063" spans="1:4" x14ac:dyDescent="0.25">
      <c r="A1063" s="1" t="s">
        <v>2137</v>
      </c>
      <c r="B1063" s="1" t="s">
        <v>9740</v>
      </c>
      <c r="C1063" s="1" t="s">
        <v>9741</v>
      </c>
      <c r="D1063" s="1" t="s">
        <v>9742</v>
      </c>
    </row>
    <row r="1064" spans="1:4" x14ac:dyDescent="0.25">
      <c r="A1064" s="1" t="s">
        <v>2139</v>
      </c>
      <c r="B1064" s="1" t="s">
        <v>9743</v>
      </c>
      <c r="C1064" s="1" t="s">
        <v>9744</v>
      </c>
      <c r="D1064" s="1" t="s">
        <v>9745</v>
      </c>
    </row>
    <row r="1065" spans="1:4" x14ac:dyDescent="0.25">
      <c r="A1065" s="1" t="s">
        <v>2141</v>
      </c>
      <c r="B1065" s="1" t="s">
        <v>9746</v>
      </c>
      <c r="C1065" s="1" t="s">
        <v>9747</v>
      </c>
      <c r="D1065" s="1" t="s">
        <v>9748</v>
      </c>
    </row>
    <row r="1066" spans="1:4" x14ac:dyDescent="0.25">
      <c r="A1066" s="1" t="s">
        <v>2143</v>
      </c>
      <c r="B1066" s="1" t="s">
        <v>9749</v>
      </c>
      <c r="C1066" s="1" t="s">
        <v>9750</v>
      </c>
      <c r="D1066" s="1" t="s">
        <v>9751</v>
      </c>
    </row>
    <row r="1067" spans="1:4" x14ac:dyDescent="0.25">
      <c r="A1067" s="1" t="s">
        <v>2145</v>
      </c>
      <c r="B1067" s="1" t="s">
        <v>9752</v>
      </c>
      <c r="C1067" s="1" t="s">
        <v>9753</v>
      </c>
      <c r="D1067" s="1" t="s">
        <v>9754</v>
      </c>
    </row>
    <row r="1068" spans="1:4" x14ac:dyDescent="0.25">
      <c r="A1068" s="1" t="s">
        <v>2147</v>
      </c>
      <c r="B1068" s="1" t="s">
        <v>9755</v>
      </c>
      <c r="C1068" s="1" t="s">
        <v>9756</v>
      </c>
      <c r="D1068" s="1" t="s">
        <v>9757</v>
      </c>
    </row>
    <row r="1069" spans="1:4" x14ac:dyDescent="0.25">
      <c r="A1069" s="1" t="s">
        <v>2149</v>
      </c>
      <c r="B1069" s="1" t="s">
        <v>9758</v>
      </c>
      <c r="C1069" s="1" t="s">
        <v>9759</v>
      </c>
      <c r="D1069" s="1" t="s">
        <v>9760</v>
      </c>
    </row>
    <row r="1070" spans="1:4" x14ac:dyDescent="0.25">
      <c r="A1070" s="1" t="s">
        <v>2151</v>
      </c>
      <c r="B1070" s="1" t="s">
        <v>9761</v>
      </c>
      <c r="C1070" s="1" t="s">
        <v>9762</v>
      </c>
      <c r="D1070" s="1" t="s">
        <v>9763</v>
      </c>
    </row>
    <row r="1071" spans="1:4" x14ac:dyDescent="0.25">
      <c r="A1071" s="1" t="s">
        <v>2153</v>
      </c>
      <c r="B1071" s="1" t="s">
        <v>9764</v>
      </c>
      <c r="C1071" s="1" t="s">
        <v>9765</v>
      </c>
      <c r="D1071" s="1" t="s">
        <v>9766</v>
      </c>
    </row>
    <row r="1072" spans="1:4" x14ac:dyDescent="0.25">
      <c r="A1072" s="1" t="s">
        <v>2155</v>
      </c>
      <c r="B1072" s="1" t="s">
        <v>9767</v>
      </c>
      <c r="C1072" s="1" t="s">
        <v>9768</v>
      </c>
      <c r="D1072" s="1" t="s">
        <v>9769</v>
      </c>
    </row>
    <row r="1073" spans="1:4" x14ac:dyDescent="0.25">
      <c r="A1073" s="1" t="s">
        <v>2157</v>
      </c>
      <c r="B1073" s="1" t="s">
        <v>9770</v>
      </c>
      <c r="C1073" s="1" t="s">
        <v>9771</v>
      </c>
      <c r="D1073" s="1" t="s">
        <v>9772</v>
      </c>
    </row>
    <row r="1074" spans="1:4" x14ac:dyDescent="0.25">
      <c r="A1074" s="1" t="s">
        <v>2159</v>
      </c>
      <c r="B1074" s="1" t="s">
        <v>9773</v>
      </c>
      <c r="C1074" s="1" t="s">
        <v>9774</v>
      </c>
      <c r="D1074" s="1" t="s">
        <v>9775</v>
      </c>
    </row>
    <row r="1075" spans="1:4" x14ac:dyDescent="0.25">
      <c r="A1075" s="1" t="s">
        <v>2161</v>
      </c>
      <c r="B1075" s="1" t="s">
        <v>9776</v>
      </c>
      <c r="C1075" s="1" t="s">
        <v>9777</v>
      </c>
      <c r="D1075" s="1" t="s">
        <v>9778</v>
      </c>
    </row>
    <row r="1076" spans="1:4" x14ac:dyDescent="0.25">
      <c r="A1076" s="1" t="s">
        <v>2163</v>
      </c>
      <c r="B1076" s="1" t="s">
        <v>9779</v>
      </c>
      <c r="C1076" s="1" t="s">
        <v>9780</v>
      </c>
      <c r="D1076" s="1" t="s">
        <v>9781</v>
      </c>
    </row>
    <row r="1077" spans="1:4" x14ac:dyDescent="0.25">
      <c r="A1077" s="1" t="s">
        <v>2165</v>
      </c>
      <c r="B1077" s="1" t="s">
        <v>9782</v>
      </c>
      <c r="C1077" s="1" t="s">
        <v>9783</v>
      </c>
      <c r="D1077" s="1" t="s">
        <v>9784</v>
      </c>
    </row>
    <row r="1078" spans="1:4" x14ac:dyDescent="0.25">
      <c r="A1078" s="1" t="s">
        <v>2167</v>
      </c>
      <c r="B1078" s="1" t="s">
        <v>9785</v>
      </c>
      <c r="C1078" s="1" t="s">
        <v>9786</v>
      </c>
      <c r="D1078" s="1" t="s">
        <v>9787</v>
      </c>
    </row>
    <row r="1079" spans="1:4" x14ac:dyDescent="0.25">
      <c r="A1079" s="1" t="s">
        <v>2169</v>
      </c>
      <c r="B1079" s="1" t="s">
        <v>9788</v>
      </c>
      <c r="C1079" s="1" t="s">
        <v>9789</v>
      </c>
      <c r="D1079" s="1" t="s">
        <v>9790</v>
      </c>
    </row>
    <row r="1080" spans="1:4" x14ac:dyDescent="0.25">
      <c r="A1080" s="1" t="s">
        <v>2171</v>
      </c>
      <c r="B1080" s="1" t="s">
        <v>9791</v>
      </c>
      <c r="C1080" s="1" t="s">
        <v>9792</v>
      </c>
      <c r="D1080" s="1" t="s">
        <v>9793</v>
      </c>
    </row>
    <row r="1081" spans="1:4" x14ac:dyDescent="0.25">
      <c r="A1081" s="1" t="s">
        <v>2173</v>
      </c>
      <c r="B1081" s="1" t="s">
        <v>9794</v>
      </c>
      <c r="C1081" s="1" t="s">
        <v>9795</v>
      </c>
      <c r="D1081" s="1" t="s">
        <v>9796</v>
      </c>
    </row>
    <row r="1082" spans="1:4" x14ac:dyDescent="0.25">
      <c r="A1082" s="1" t="s">
        <v>2175</v>
      </c>
      <c r="B1082" s="1" t="s">
        <v>9797</v>
      </c>
      <c r="C1082" s="1" t="s">
        <v>9798</v>
      </c>
      <c r="D1082" s="1" t="s">
        <v>9799</v>
      </c>
    </row>
    <row r="1083" spans="1:4" x14ac:dyDescent="0.25">
      <c r="A1083" s="1" t="s">
        <v>2177</v>
      </c>
      <c r="B1083" s="1" t="s">
        <v>9800</v>
      </c>
      <c r="C1083" s="1" t="s">
        <v>9801</v>
      </c>
      <c r="D1083" s="1" t="s">
        <v>9802</v>
      </c>
    </row>
    <row r="1084" spans="1:4" x14ac:dyDescent="0.25">
      <c r="A1084" s="1" t="s">
        <v>2179</v>
      </c>
      <c r="B1084" s="1" t="s">
        <v>9803</v>
      </c>
      <c r="C1084" s="1" t="s">
        <v>9804</v>
      </c>
      <c r="D1084" s="1" t="s">
        <v>9805</v>
      </c>
    </row>
    <row r="1085" spans="1:4" x14ac:dyDescent="0.25">
      <c r="A1085" s="1" t="s">
        <v>2181</v>
      </c>
      <c r="B1085" s="1" t="s">
        <v>9806</v>
      </c>
      <c r="C1085" s="1" t="s">
        <v>9807</v>
      </c>
      <c r="D1085" s="1" t="s">
        <v>9808</v>
      </c>
    </row>
    <row r="1086" spans="1:4" x14ac:dyDescent="0.25">
      <c r="A1086" s="1" t="s">
        <v>2183</v>
      </c>
      <c r="B1086" s="1" t="s">
        <v>9809</v>
      </c>
      <c r="C1086" s="1" t="s">
        <v>9810</v>
      </c>
      <c r="D1086" s="1" t="s">
        <v>9811</v>
      </c>
    </row>
    <row r="1087" spans="1:4" x14ac:dyDescent="0.25">
      <c r="A1087" s="1" t="s">
        <v>2185</v>
      </c>
      <c r="B1087" s="1" t="s">
        <v>9812</v>
      </c>
      <c r="C1087" s="1" t="s">
        <v>9813</v>
      </c>
      <c r="D1087" s="1" t="s">
        <v>9814</v>
      </c>
    </row>
    <row r="1088" spans="1:4" x14ac:dyDescent="0.25">
      <c r="A1088" s="1" t="s">
        <v>2187</v>
      </c>
      <c r="B1088" s="1" t="s">
        <v>9815</v>
      </c>
      <c r="C1088" s="1" t="s">
        <v>9816</v>
      </c>
      <c r="D1088" s="1" t="s">
        <v>9817</v>
      </c>
    </row>
    <row r="1089" spans="1:4" x14ac:dyDescent="0.25">
      <c r="A1089" s="1" t="s">
        <v>2189</v>
      </c>
      <c r="B1089" s="1" t="s">
        <v>9818</v>
      </c>
      <c r="C1089" s="1" t="s">
        <v>9819</v>
      </c>
      <c r="D1089" s="1" t="s">
        <v>9820</v>
      </c>
    </row>
    <row r="1090" spans="1:4" x14ac:dyDescent="0.25">
      <c r="A1090" s="1" t="s">
        <v>2191</v>
      </c>
      <c r="B1090" s="1" t="s">
        <v>9821</v>
      </c>
      <c r="C1090" s="1" t="s">
        <v>9822</v>
      </c>
      <c r="D1090" s="1" t="s">
        <v>9823</v>
      </c>
    </row>
    <row r="1091" spans="1:4" x14ac:dyDescent="0.25">
      <c r="A1091" s="1" t="s">
        <v>2193</v>
      </c>
      <c r="B1091" s="1" t="s">
        <v>9824</v>
      </c>
      <c r="C1091" s="1" t="s">
        <v>9825</v>
      </c>
      <c r="D1091" s="1" t="s">
        <v>9826</v>
      </c>
    </row>
    <row r="1092" spans="1:4" x14ac:dyDescent="0.25">
      <c r="A1092" s="1" t="s">
        <v>2195</v>
      </c>
      <c r="B1092" s="1" t="s">
        <v>9827</v>
      </c>
      <c r="C1092" s="1" t="s">
        <v>9828</v>
      </c>
      <c r="D1092" s="1" t="s">
        <v>9829</v>
      </c>
    </row>
    <row r="1093" spans="1:4" x14ac:dyDescent="0.25">
      <c r="A1093" s="1" t="s">
        <v>2197</v>
      </c>
      <c r="B1093" s="1" t="s">
        <v>9830</v>
      </c>
      <c r="C1093" s="1" t="s">
        <v>9831</v>
      </c>
      <c r="D1093" s="1" t="s">
        <v>9832</v>
      </c>
    </row>
    <row r="1094" spans="1:4" x14ac:dyDescent="0.25">
      <c r="A1094" s="1" t="s">
        <v>2199</v>
      </c>
      <c r="B1094" s="1" t="s">
        <v>9833</v>
      </c>
      <c r="C1094" s="1" t="s">
        <v>9834</v>
      </c>
      <c r="D1094" s="1" t="s">
        <v>9835</v>
      </c>
    </row>
    <row r="1095" spans="1:4" x14ac:dyDescent="0.25">
      <c r="A1095" s="1" t="s">
        <v>2201</v>
      </c>
      <c r="B1095" s="1" t="s">
        <v>9836</v>
      </c>
      <c r="C1095" s="1" t="s">
        <v>9837</v>
      </c>
      <c r="D1095" s="1" t="s">
        <v>9838</v>
      </c>
    </row>
    <row r="1096" spans="1:4" x14ac:dyDescent="0.25">
      <c r="A1096" s="1" t="s">
        <v>2203</v>
      </c>
      <c r="B1096" s="1" t="s">
        <v>9839</v>
      </c>
      <c r="C1096" s="1" t="s">
        <v>9840</v>
      </c>
      <c r="D1096" s="1" t="s">
        <v>9841</v>
      </c>
    </row>
    <row r="1097" spans="1:4" x14ac:dyDescent="0.25">
      <c r="A1097" s="1" t="s">
        <v>2205</v>
      </c>
      <c r="B1097" s="1" t="s">
        <v>9842</v>
      </c>
      <c r="C1097" s="1" t="s">
        <v>9843</v>
      </c>
      <c r="D1097" s="1" t="s">
        <v>9844</v>
      </c>
    </row>
    <row r="1098" spans="1:4" x14ac:dyDescent="0.25">
      <c r="A1098" s="1" t="s">
        <v>2207</v>
      </c>
      <c r="B1098" s="1" t="s">
        <v>9845</v>
      </c>
      <c r="C1098" s="1" t="s">
        <v>9846</v>
      </c>
      <c r="D1098" s="1" t="s">
        <v>9847</v>
      </c>
    </row>
    <row r="1099" spans="1:4" x14ac:dyDescent="0.25">
      <c r="A1099" s="1" t="s">
        <v>2209</v>
      </c>
      <c r="B1099" s="1" t="s">
        <v>9848</v>
      </c>
      <c r="C1099" s="1" t="s">
        <v>9849</v>
      </c>
      <c r="D1099" s="1" t="s">
        <v>9850</v>
      </c>
    </row>
    <row r="1100" spans="1:4" x14ac:dyDescent="0.25">
      <c r="A1100" s="1" t="s">
        <v>2211</v>
      </c>
      <c r="B1100" s="1" t="s">
        <v>9851</v>
      </c>
      <c r="C1100" s="1" t="s">
        <v>9852</v>
      </c>
      <c r="D1100" s="1" t="s">
        <v>9853</v>
      </c>
    </row>
    <row r="1101" spans="1:4" x14ac:dyDescent="0.25">
      <c r="A1101" s="1" t="s">
        <v>2213</v>
      </c>
      <c r="B1101" s="1" t="s">
        <v>9854</v>
      </c>
      <c r="C1101" s="1" t="s">
        <v>9855</v>
      </c>
      <c r="D1101" s="1" t="s">
        <v>9856</v>
      </c>
    </row>
    <row r="1102" spans="1:4" x14ac:dyDescent="0.25">
      <c r="A1102" s="1" t="s">
        <v>2215</v>
      </c>
      <c r="B1102" s="1" t="s">
        <v>9857</v>
      </c>
      <c r="C1102" s="1" t="s">
        <v>9858</v>
      </c>
      <c r="D1102" s="1" t="s">
        <v>9859</v>
      </c>
    </row>
    <row r="1103" spans="1:4" x14ac:dyDescent="0.25">
      <c r="A1103" s="1" t="s">
        <v>2217</v>
      </c>
      <c r="B1103" s="1" t="s">
        <v>9860</v>
      </c>
      <c r="C1103" s="1" t="s">
        <v>9861</v>
      </c>
      <c r="D1103" s="1" t="s">
        <v>9862</v>
      </c>
    </row>
    <row r="1104" spans="1:4" x14ac:dyDescent="0.25">
      <c r="A1104" s="1" t="s">
        <v>2219</v>
      </c>
      <c r="B1104" s="1" t="s">
        <v>9863</v>
      </c>
      <c r="C1104" s="1" t="s">
        <v>9864</v>
      </c>
      <c r="D1104" s="1" t="s">
        <v>9865</v>
      </c>
    </row>
    <row r="1105" spans="1:4" x14ac:dyDescent="0.25">
      <c r="A1105" s="1" t="s">
        <v>2221</v>
      </c>
      <c r="B1105" s="1" t="s">
        <v>9866</v>
      </c>
      <c r="C1105" s="1" t="s">
        <v>9867</v>
      </c>
      <c r="D1105" s="1" t="s">
        <v>9868</v>
      </c>
    </row>
    <row r="1106" spans="1:4" x14ac:dyDescent="0.25">
      <c r="A1106" s="1" t="s">
        <v>2223</v>
      </c>
      <c r="B1106" s="1" t="s">
        <v>9869</v>
      </c>
      <c r="C1106" s="1" t="s">
        <v>9870</v>
      </c>
      <c r="D1106" s="1" t="s">
        <v>9871</v>
      </c>
    </row>
    <row r="1107" spans="1:4" x14ac:dyDescent="0.25">
      <c r="A1107" s="1" t="s">
        <v>2225</v>
      </c>
      <c r="B1107" s="1" t="s">
        <v>9872</v>
      </c>
      <c r="C1107" s="1" t="s">
        <v>9873</v>
      </c>
      <c r="D1107" s="1" t="s">
        <v>9874</v>
      </c>
    </row>
    <row r="1108" spans="1:4" x14ac:dyDescent="0.25">
      <c r="A1108" s="1" t="s">
        <v>2227</v>
      </c>
      <c r="B1108" s="1" t="s">
        <v>9875</v>
      </c>
      <c r="C1108" s="1" t="s">
        <v>9876</v>
      </c>
      <c r="D1108" s="1" t="s">
        <v>9877</v>
      </c>
    </row>
    <row r="1109" spans="1:4" x14ac:dyDescent="0.25">
      <c r="A1109" s="1" t="s">
        <v>2229</v>
      </c>
      <c r="B1109" s="1" t="s">
        <v>9878</v>
      </c>
      <c r="C1109" s="1" t="s">
        <v>9879</v>
      </c>
      <c r="D1109" s="1" t="s">
        <v>9880</v>
      </c>
    </row>
    <row r="1110" spans="1:4" x14ac:dyDescent="0.25">
      <c r="A1110" s="1" t="s">
        <v>2231</v>
      </c>
      <c r="B1110" s="1" t="s">
        <v>9881</v>
      </c>
      <c r="C1110" s="1" t="s">
        <v>9882</v>
      </c>
      <c r="D1110" s="1" t="s">
        <v>9883</v>
      </c>
    </row>
    <row r="1111" spans="1:4" x14ac:dyDescent="0.25">
      <c r="A1111" s="1" t="s">
        <v>2233</v>
      </c>
      <c r="B1111" s="1" t="s">
        <v>9884</v>
      </c>
      <c r="C1111" s="1" t="s">
        <v>9885</v>
      </c>
      <c r="D1111" s="1" t="s">
        <v>9886</v>
      </c>
    </row>
    <row r="1112" spans="1:4" x14ac:dyDescent="0.25">
      <c r="A1112" s="1" t="s">
        <v>2235</v>
      </c>
      <c r="B1112" s="1" t="s">
        <v>9887</v>
      </c>
      <c r="C1112" s="1" t="s">
        <v>9888</v>
      </c>
      <c r="D1112" s="1" t="s">
        <v>9889</v>
      </c>
    </row>
    <row r="1113" spans="1:4" x14ac:dyDescent="0.25">
      <c r="A1113" s="1" t="s">
        <v>2237</v>
      </c>
      <c r="B1113" s="1" t="s">
        <v>9890</v>
      </c>
      <c r="C1113" s="1" t="s">
        <v>9891</v>
      </c>
      <c r="D1113" s="1" t="s">
        <v>9892</v>
      </c>
    </row>
    <row r="1114" spans="1:4" x14ac:dyDescent="0.25">
      <c r="A1114" s="1" t="s">
        <v>2239</v>
      </c>
      <c r="B1114" s="1" t="s">
        <v>9893</v>
      </c>
      <c r="C1114" s="1" t="s">
        <v>9894</v>
      </c>
      <c r="D1114" s="1" t="s">
        <v>9895</v>
      </c>
    </row>
    <row r="1115" spans="1:4" x14ac:dyDescent="0.25">
      <c r="A1115" s="1" t="s">
        <v>2241</v>
      </c>
      <c r="B1115" s="1" t="s">
        <v>9896</v>
      </c>
      <c r="C1115" s="1" t="s">
        <v>9897</v>
      </c>
      <c r="D1115" s="1" t="s">
        <v>9898</v>
      </c>
    </row>
    <row r="1116" spans="1:4" x14ac:dyDescent="0.25">
      <c r="A1116" s="1" t="s">
        <v>2243</v>
      </c>
      <c r="B1116" s="1" t="s">
        <v>9899</v>
      </c>
      <c r="C1116" s="1" t="s">
        <v>9900</v>
      </c>
      <c r="D1116" s="1" t="s">
        <v>9901</v>
      </c>
    </row>
    <row r="1117" spans="1:4" x14ac:dyDescent="0.25">
      <c r="A1117" s="1" t="s">
        <v>2245</v>
      </c>
      <c r="B1117" s="1" t="s">
        <v>9902</v>
      </c>
      <c r="C1117" s="1" t="s">
        <v>9903</v>
      </c>
      <c r="D1117" s="1" t="s">
        <v>9904</v>
      </c>
    </row>
    <row r="1118" spans="1:4" x14ac:dyDescent="0.25">
      <c r="A1118" s="1" t="s">
        <v>2247</v>
      </c>
      <c r="B1118" s="1" t="s">
        <v>9905</v>
      </c>
      <c r="C1118" s="1" t="s">
        <v>9906</v>
      </c>
      <c r="D1118" s="1" t="s">
        <v>9907</v>
      </c>
    </row>
    <row r="1119" spans="1:4" x14ac:dyDescent="0.25">
      <c r="A1119" s="1" t="s">
        <v>2249</v>
      </c>
      <c r="B1119" s="1" t="s">
        <v>9908</v>
      </c>
      <c r="C1119" s="1" t="s">
        <v>9909</v>
      </c>
      <c r="D1119" s="1" t="s">
        <v>9910</v>
      </c>
    </row>
    <row r="1120" spans="1:4" x14ac:dyDescent="0.25">
      <c r="A1120" s="1" t="s">
        <v>2251</v>
      </c>
      <c r="B1120" s="1" t="s">
        <v>9911</v>
      </c>
      <c r="C1120" s="1" t="s">
        <v>9912</v>
      </c>
      <c r="D1120" s="1" t="s">
        <v>9913</v>
      </c>
    </row>
    <row r="1121" spans="1:4" x14ac:dyDescent="0.25">
      <c r="A1121" s="1" t="s">
        <v>2253</v>
      </c>
      <c r="B1121" s="1" t="s">
        <v>9914</v>
      </c>
      <c r="C1121" s="1" t="s">
        <v>9915</v>
      </c>
      <c r="D1121" s="1" t="s">
        <v>9916</v>
      </c>
    </row>
    <row r="1122" spans="1:4" x14ac:dyDescent="0.25">
      <c r="A1122" s="1" t="s">
        <v>2255</v>
      </c>
      <c r="B1122" s="1" t="s">
        <v>9917</v>
      </c>
      <c r="C1122" s="1" t="s">
        <v>9918</v>
      </c>
      <c r="D1122" s="1" t="s">
        <v>9919</v>
      </c>
    </row>
    <row r="1123" spans="1:4" x14ac:dyDescent="0.25">
      <c r="A1123" s="1" t="s">
        <v>2257</v>
      </c>
      <c r="B1123" s="1" t="s">
        <v>9920</v>
      </c>
      <c r="C1123" s="1" t="s">
        <v>9921</v>
      </c>
      <c r="D1123" s="1" t="s">
        <v>9922</v>
      </c>
    </row>
    <row r="1124" spans="1:4" x14ac:dyDescent="0.25">
      <c r="A1124" s="1" t="s">
        <v>2259</v>
      </c>
      <c r="B1124" s="1" t="s">
        <v>9923</v>
      </c>
      <c r="C1124" s="1" t="s">
        <v>9924</v>
      </c>
      <c r="D1124" s="1" t="s">
        <v>9925</v>
      </c>
    </row>
    <row r="1125" spans="1:4" x14ac:dyDescent="0.25">
      <c r="A1125" s="1" t="s">
        <v>2261</v>
      </c>
      <c r="B1125" s="1" t="s">
        <v>9926</v>
      </c>
      <c r="C1125" s="1" t="s">
        <v>9927</v>
      </c>
      <c r="D1125" s="1" t="s">
        <v>9928</v>
      </c>
    </row>
    <row r="1126" spans="1:4" x14ac:dyDescent="0.25">
      <c r="A1126" s="1" t="s">
        <v>2263</v>
      </c>
      <c r="B1126" s="1" t="s">
        <v>9929</v>
      </c>
      <c r="C1126" s="1" t="s">
        <v>9930</v>
      </c>
      <c r="D1126" s="1" t="s">
        <v>9931</v>
      </c>
    </row>
    <row r="1127" spans="1:4" x14ac:dyDescent="0.25">
      <c r="A1127" s="1" t="s">
        <v>2265</v>
      </c>
      <c r="B1127" s="1" t="s">
        <v>9932</v>
      </c>
      <c r="C1127" s="1" t="s">
        <v>9933</v>
      </c>
      <c r="D1127" s="1" t="s">
        <v>9934</v>
      </c>
    </row>
    <row r="1128" spans="1:4" x14ac:dyDescent="0.25">
      <c r="A1128" s="1" t="s">
        <v>2267</v>
      </c>
      <c r="B1128" s="1" t="s">
        <v>9935</v>
      </c>
      <c r="C1128" s="1" t="s">
        <v>9936</v>
      </c>
      <c r="D1128" s="1" t="s">
        <v>9937</v>
      </c>
    </row>
    <row r="1129" spans="1:4" x14ac:dyDescent="0.25">
      <c r="A1129" s="1" t="s">
        <v>2269</v>
      </c>
      <c r="B1129" s="1" t="s">
        <v>9938</v>
      </c>
      <c r="C1129" s="1" t="s">
        <v>9939</v>
      </c>
      <c r="D1129" s="1" t="s">
        <v>9940</v>
      </c>
    </row>
    <row r="1130" spans="1:4" x14ac:dyDescent="0.25">
      <c r="A1130" s="1" t="s">
        <v>2271</v>
      </c>
      <c r="B1130" s="1" t="s">
        <v>9941</v>
      </c>
      <c r="C1130" s="1" t="s">
        <v>9942</v>
      </c>
      <c r="D1130" s="1" t="s">
        <v>9943</v>
      </c>
    </row>
    <row r="1131" spans="1:4" x14ac:dyDescent="0.25">
      <c r="A1131" s="1" t="s">
        <v>2273</v>
      </c>
      <c r="B1131" s="1" t="s">
        <v>9944</v>
      </c>
      <c r="C1131" s="1" t="s">
        <v>9945</v>
      </c>
      <c r="D1131" s="1" t="s">
        <v>9946</v>
      </c>
    </row>
    <row r="1132" spans="1:4" x14ac:dyDescent="0.25">
      <c r="A1132" s="1" t="s">
        <v>2275</v>
      </c>
      <c r="B1132" s="1" t="s">
        <v>9947</v>
      </c>
      <c r="C1132" s="1" t="s">
        <v>9948</v>
      </c>
      <c r="D1132" s="1" t="s">
        <v>9949</v>
      </c>
    </row>
    <row r="1133" spans="1:4" x14ac:dyDescent="0.25">
      <c r="A1133" s="1" t="s">
        <v>2277</v>
      </c>
      <c r="B1133" s="1" t="s">
        <v>9950</v>
      </c>
      <c r="C1133" s="1" t="s">
        <v>9951</v>
      </c>
      <c r="D1133" s="1" t="s">
        <v>9952</v>
      </c>
    </row>
    <row r="1134" spans="1:4" x14ac:dyDescent="0.25">
      <c r="A1134" s="1" t="s">
        <v>2279</v>
      </c>
      <c r="B1134" s="1" t="s">
        <v>9953</v>
      </c>
      <c r="C1134" s="1" t="s">
        <v>9954</v>
      </c>
      <c r="D1134" s="1" t="s">
        <v>9955</v>
      </c>
    </row>
    <row r="1135" spans="1:4" x14ac:dyDescent="0.25">
      <c r="A1135" s="1" t="s">
        <v>2281</v>
      </c>
      <c r="B1135" s="1" t="s">
        <v>9956</v>
      </c>
      <c r="C1135" s="1" t="s">
        <v>9957</v>
      </c>
      <c r="D1135" s="1" t="s">
        <v>9958</v>
      </c>
    </row>
    <row r="1136" spans="1:4" x14ac:dyDescent="0.25">
      <c r="A1136" s="1" t="s">
        <v>2283</v>
      </c>
      <c r="B1136" s="1" t="s">
        <v>9959</v>
      </c>
      <c r="C1136" s="1" t="s">
        <v>9960</v>
      </c>
      <c r="D1136" s="1" t="s">
        <v>9961</v>
      </c>
    </row>
    <row r="1137" spans="1:4" x14ac:dyDescent="0.25">
      <c r="A1137" s="1" t="s">
        <v>2285</v>
      </c>
      <c r="B1137" s="1" t="s">
        <v>9962</v>
      </c>
      <c r="C1137" s="1" t="s">
        <v>9963</v>
      </c>
      <c r="D1137" s="1" t="s">
        <v>9964</v>
      </c>
    </row>
    <row r="1138" spans="1:4" x14ac:dyDescent="0.25">
      <c r="A1138" s="1" t="s">
        <v>2287</v>
      </c>
      <c r="B1138" s="1" t="s">
        <v>9965</v>
      </c>
      <c r="C1138" s="1" t="s">
        <v>9966</v>
      </c>
      <c r="D1138" s="1" t="s">
        <v>9967</v>
      </c>
    </row>
    <row r="1139" spans="1:4" x14ac:dyDescent="0.25">
      <c r="A1139" s="1" t="s">
        <v>2289</v>
      </c>
      <c r="B1139" s="1" t="s">
        <v>9968</v>
      </c>
      <c r="C1139" s="1" t="s">
        <v>9969</v>
      </c>
      <c r="D1139" s="1" t="s">
        <v>9970</v>
      </c>
    </row>
    <row r="1140" spans="1:4" x14ac:dyDescent="0.25">
      <c r="A1140" s="1" t="s">
        <v>2291</v>
      </c>
      <c r="B1140" s="1" t="s">
        <v>9971</v>
      </c>
      <c r="C1140" s="1" t="s">
        <v>9972</v>
      </c>
      <c r="D1140" s="1" t="s">
        <v>9973</v>
      </c>
    </row>
    <row r="1141" spans="1:4" x14ac:dyDescent="0.25">
      <c r="A1141" s="1" t="s">
        <v>2293</v>
      </c>
      <c r="B1141" s="1" t="s">
        <v>9974</v>
      </c>
      <c r="C1141" s="1" t="s">
        <v>9975</v>
      </c>
      <c r="D1141" s="1" t="s">
        <v>9976</v>
      </c>
    </row>
    <row r="1142" spans="1:4" x14ac:dyDescent="0.25">
      <c r="A1142" s="1" t="s">
        <v>2295</v>
      </c>
      <c r="B1142" s="1" t="s">
        <v>9977</v>
      </c>
      <c r="C1142" s="1" t="s">
        <v>9978</v>
      </c>
      <c r="D1142" s="1" t="s">
        <v>9979</v>
      </c>
    </row>
    <row r="1143" spans="1:4" x14ac:dyDescent="0.25">
      <c r="A1143" s="1" t="s">
        <v>2297</v>
      </c>
      <c r="B1143" s="1" t="s">
        <v>9980</v>
      </c>
      <c r="C1143" s="1" t="s">
        <v>9981</v>
      </c>
      <c r="D1143" s="1" t="s">
        <v>9982</v>
      </c>
    </row>
    <row r="1144" spans="1:4" x14ac:dyDescent="0.25">
      <c r="A1144" s="1" t="s">
        <v>2299</v>
      </c>
      <c r="B1144" s="1" t="s">
        <v>9983</v>
      </c>
      <c r="C1144" s="1" t="s">
        <v>9984</v>
      </c>
      <c r="D1144" s="1" t="s">
        <v>9985</v>
      </c>
    </row>
    <row r="1145" spans="1:4" x14ac:dyDescent="0.25">
      <c r="A1145" s="1" t="s">
        <v>2301</v>
      </c>
      <c r="B1145" s="1" t="s">
        <v>9986</v>
      </c>
      <c r="C1145" s="1" t="s">
        <v>9987</v>
      </c>
      <c r="D1145" s="1" t="s">
        <v>9988</v>
      </c>
    </row>
    <row r="1146" spans="1:4" x14ac:dyDescent="0.25">
      <c r="A1146" s="1" t="s">
        <v>2303</v>
      </c>
      <c r="B1146" s="1" t="s">
        <v>9989</v>
      </c>
      <c r="C1146" s="1" t="s">
        <v>9990</v>
      </c>
      <c r="D1146" s="1" t="s">
        <v>9991</v>
      </c>
    </row>
    <row r="1147" spans="1:4" x14ac:dyDescent="0.25">
      <c r="A1147" s="1" t="s">
        <v>2305</v>
      </c>
      <c r="B1147" s="1" t="s">
        <v>9992</v>
      </c>
      <c r="C1147" s="1" t="s">
        <v>9993</v>
      </c>
      <c r="D1147" s="1" t="s">
        <v>9994</v>
      </c>
    </row>
    <row r="1148" spans="1:4" x14ac:dyDescent="0.25">
      <c r="A1148" s="1" t="s">
        <v>2307</v>
      </c>
      <c r="B1148" s="1" t="s">
        <v>9995</v>
      </c>
      <c r="C1148" s="1" t="s">
        <v>9996</v>
      </c>
      <c r="D1148" s="1" t="s">
        <v>9997</v>
      </c>
    </row>
    <row r="1149" spans="1:4" x14ac:dyDescent="0.25">
      <c r="A1149" s="1" t="s">
        <v>2309</v>
      </c>
      <c r="B1149" s="1" t="s">
        <v>9998</v>
      </c>
      <c r="C1149" s="1" t="s">
        <v>9999</v>
      </c>
      <c r="D1149" s="1" t="s">
        <v>10000</v>
      </c>
    </row>
    <row r="1150" spans="1:4" x14ac:dyDescent="0.25">
      <c r="A1150" s="1" t="s">
        <v>2311</v>
      </c>
      <c r="B1150" s="1" t="s">
        <v>10001</v>
      </c>
      <c r="C1150" s="1" t="s">
        <v>10002</v>
      </c>
      <c r="D1150" s="1" t="s">
        <v>10003</v>
      </c>
    </row>
    <row r="1151" spans="1:4" x14ac:dyDescent="0.25">
      <c r="A1151" s="1" t="s">
        <v>2313</v>
      </c>
      <c r="B1151" s="1" t="s">
        <v>10004</v>
      </c>
      <c r="C1151" s="1" t="s">
        <v>10005</v>
      </c>
      <c r="D1151" s="1" t="s">
        <v>10006</v>
      </c>
    </row>
    <row r="1152" spans="1:4" x14ac:dyDescent="0.25">
      <c r="A1152" s="1" t="s">
        <v>2315</v>
      </c>
      <c r="B1152" s="1" t="s">
        <v>10007</v>
      </c>
      <c r="C1152" s="1" t="s">
        <v>10008</v>
      </c>
      <c r="D1152" s="1" t="s">
        <v>10009</v>
      </c>
    </row>
    <row r="1153" spans="1:4" x14ac:dyDescent="0.25">
      <c r="A1153" s="1" t="s">
        <v>2317</v>
      </c>
      <c r="B1153" s="1" t="s">
        <v>10010</v>
      </c>
      <c r="C1153" s="1" t="s">
        <v>10011</v>
      </c>
      <c r="D1153" s="1" t="s">
        <v>10012</v>
      </c>
    </row>
    <row r="1154" spans="1:4" x14ac:dyDescent="0.25">
      <c r="A1154" s="1" t="s">
        <v>2319</v>
      </c>
      <c r="B1154" s="1" t="s">
        <v>10013</v>
      </c>
      <c r="C1154" s="1" t="s">
        <v>10014</v>
      </c>
      <c r="D1154" s="1" t="s">
        <v>10015</v>
      </c>
    </row>
    <row r="1155" spans="1:4" x14ac:dyDescent="0.25">
      <c r="A1155" s="1" t="s">
        <v>2321</v>
      </c>
      <c r="B1155" s="1" t="s">
        <v>10016</v>
      </c>
      <c r="C1155" s="1" t="s">
        <v>10017</v>
      </c>
      <c r="D1155" s="1" t="s">
        <v>10018</v>
      </c>
    </row>
    <row r="1156" spans="1:4" x14ac:dyDescent="0.25">
      <c r="A1156" s="1" t="s">
        <v>2323</v>
      </c>
      <c r="B1156" s="1" t="s">
        <v>10019</v>
      </c>
      <c r="C1156" s="1" t="s">
        <v>10020</v>
      </c>
      <c r="D1156" s="1" t="s">
        <v>10021</v>
      </c>
    </row>
    <row r="1157" spans="1:4" x14ac:dyDescent="0.25">
      <c r="A1157" s="1" t="s">
        <v>2325</v>
      </c>
      <c r="B1157" s="1" t="s">
        <v>10022</v>
      </c>
      <c r="C1157" s="1" t="s">
        <v>10023</v>
      </c>
      <c r="D1157" s="1" t="s">
        <v>10024</v>
      </c>
    </row>
    <row r="1158" spans="1:4" x14ac:dyDescent="0.25">
      <c r="A1158" s="1" t="s">
        <v>2327</v>
      </c>
      <c r="B1158" s="1" t="s">
        <v>10025</v>
      </c>
      <c r="C1158" s="1" t="s">
        <v>10026</v>
      </c>
      <c r="D1158" s="1" t="s">
        <v>10027</v>
      </c>
    </row>
    <row r="1159" spans="1:4" x14ac:dyDescent="0.25">
      <c r="A1159" s="1" t="s">
        <v>2329</v>
      </c>
      <c r="B1159" s="1" t="s">
        <v>10028</v>
      </c>
      <c r="C1159" s="1" t="s">
        <v>10029</v>
      </c>
      <c r="D1159" s="1" t="s">
        <v>10030</v>
      </c>
    </row>
    <row r="1160" spans="1:4" x14ac:dyDescent="0.25">
      <c r="A1160" s="1" t="s">
        <v>2331</v>
      </c>
      <c r="B1160" s="1" t="s">
        <v>10031</v>
      </c>
      <c r="C1160" s="1" t="s">
        <v>10032</v>
      </c>
      <c r="D1160" s="1" t="s">
        <v>10033</v>
      </c>
    </row>
    <row r="1161" spans="1:4" x14ac:dyDescent="0.25">
      <c r="A1161" s="1" t="s">
        <v>2333</v>
      </c>
      <c r="B1161" s="1" t="s">
        <v>10034</v>
      </c>
      <c r="C1161" s="1" t="s">
        <v>10035</v>
      </c>
      <c r="D1161" s="1" t="s">
        <v>10036</v>
      </c>
    </row>
    <row r="1162" spans="1:4" x14ac:dyDescent="0.25">
      <c r="A1162" s="1" t="s">
        <v>2335</v>
      </c>
      <c r="B1162" s="1" t="s">
        <v>10037</v>
      </c>
      <c r="C1162" s="1" t="s">
        <v>10038</v>
      </c>
      <c r="D1162" s="1" t="s">
        <v>10039</v>
      </c>
    </row>
    <row r="1163" spans="1:4" x14ac:dyDescent="0.25">
      <c r="A1163" s="1" t="s">
        <v>2337</v>
      </c>
      <c r="B1163" s="1" t="s">
        <v>10040</v>
      </c>
      <c r="C1163" s="1" t="s">
        <v>10041</v>
      </c>
      <c r="D1163" s="1" t="s">
        <v>10042</v>
      </c>
    </row>
    <row r="1164" spans="1:4" x14ac:dyDescent="0.25">
      <c r="A1164" s="1" t="s">
        <v>2339</v>
      </c>
      <c r="B1164" s="1" t="s">
        <v>10043</v>
      </c>
      <c r="C1164" s="1" t="s">
        <v>10044</v>
      </c>
      <c r="D1164" s="1" t="s">
        <v>10045</v>
      </c>
    </row>
    <row r="1165" spans="1:4" x14ac:dyDescent="0.25">
      <c r="A1165" s="1" t="s">
        <v>2341</v>
      </c>
      <c r="B1165" s="1" t="s">
        <v>10046</v>
      </c>
      <c r="C1165" s="1" t="s">
        <v>10047</v>
      </c>
      <c r="D1165" s="1" t="s">
        <v>10048</v>
      </c>
    </row>
    <row r="1166" spans="1:4" x14ac:dyDescent="0.25">
      <c r="A1166" s="1" t="s">
        <v>2343</v>
      </c>
      <c r="B1166" s="1" t="s">
        <v>10049</v>
      </c>
      <c r="C1166" s="1" t="s">
        <v>10050</v>
      </c>
      <c r="D1166" s="1" t="s">
        <v>10051</v>
      </c>
    </row>
    <row r="1167" spans="1:4" x14ac:dyDescent="0.25">
      <c r="A1167" s="1" t="s">
        <v>2345</v>
      </c>
      <c r="B1167" s="1" t="s">
        <v>10052</v>
      </c>
      <c r="C1167" s="1" t="s">
        <v>10053</v>
      </c>
      <c r="D1167" s="1" t="s">
        <v>10054</v>
      </c>
    </row>
    <row r="1168" spans="1:4" x14ac:dyDescent="0.25">
      <c r="A1168" s="1" t="s">
        <v>2347</v>
      </c>
      <c r="B1168" s="1" t="s">
        <v>10055</v>
      </c>
      <c r="C1168" s="1" t="s">
        <v>10056</v>
      </c>
      <c r="D1168" s="1" t="s">
        <v>10057</v>
      </c>
    </row>
    <row r="1169" spans="1:4" x14ac:dyDescent="0.25">
      <c r="A1169" s="1" t="s">
        <v>2349</v>
      </c>
      <c r="B1169" s="1" t="s">
        <v>10058</v>
      </c>
      <c r="C1169" s="1" t="s">
        <v>10059</v>
      </c>
      <c r="D1169" s="1" t="s">
        <v>10060</v>
      </c>
    </row>
    <row r="1170" spans="1:4" x14ac:dyDescent="0.25">
      <c r="A1170" s="1" t="s">
        <v>2351</v>
      </c>
      <c r="B1170" s="1" t="s">
        <v>10061</v>
      </c>
      <c r="C1170" s="1" t="s">
        <v>10062</v>
      </c>
      <c r="D1170" s="1" t="s">
        <v>10063</v>
      </c>
    </row>
    <row r="1171" spans="1:4" x14ac:dyDescent="0.25">
      <c r="A1171" s="1" t="s">
        <v>2353</v>
      </c>
      <c r="B1171" s="1" t="s">
        <v>10064</v>
      </c>
      <c r="C1171" s="1" t="s">
        <v>10065</v>
      </c>
      <c r="D1171" s="1" t="s">
        <v>10066</v>
      </c>
    </row>
    <row r="1172" spans="1:4" x14ac:dyDescent="0.25">
      <c r="A1172" s="1" t="s">
        <v>2355</v>
      </c>
      <c r="B1172" s="1" t="s">
        <v>10067</v>
      </c>
      <c r="C1172" s="1" t="s">
        <v>10068</v>
      </c>
      <c r="D1172" s="1" t="s">
        <v>10069</v>
      </c>
    </row>
    <row r="1173" spans="1:4" x14ac:dyDescent="0.25">
      <c r="A1173" s="1" t="s">
        <v>2357</v>
      </c>
      <c r="B1173" s="1" t="s">
        <v>10070</v>
      </c>
      <c r="C1173" s="1" t="s">
        <v>10071</v>
      </c>
      <c r="D1173" s="1" t="s">
        <v>10072</v>
      </c>
    </row>
    <row r="1174" spans="1:4" x14ac:dyDescent="0.25">
      <c r="A1174" s="1" t="s">
        <v>2359</v>
      </c>
      <c r="B1174" s="1" t="s">
        <v>10073</v>
      </c>
      <c r="C1174" s="1" t="s">
        <v>10074</v>
      </c>
      <c r="D1174" s="1" t="s">
        <v>10075</v>
      </c>
    </row>
    <row r="1175" spans="1:4" x14ac:dyDescent="0.25">
      <c r="A1175" s="1" t="s">
        <v>2361</v>
      </c>
      <c r="B1175" s="1" t="s">
        <v>10076</v>
      </c>
      <c r="C1175" s="1" t="s">
        <v>10077</v>
      </c>
      <c r="D1175" s="1" t="s">
        <v>10078</v>
      </c>
    </row>
    <row r="1176" spans="1:4" x14ac:dyDescent="0.25">
      <c r="A1176" s="1" t="s">
        <v>2363</v>
      </c>
      <c r="B1176" s="1" t="s">
        <v>10079</v>
      </c>
      <c r="C1176" s="1" t="s">
        <v>10080</v>
      </c>
      <c r="D1176" s="1" t="s">
        <v>10081</v>
      </c>
    </row>
    <row r="1177" spans="1:4" x14ac:dyDescent="0.25">
      <c r="A1177" s="1" t="s">
        <v>2365</v>
      </c>
      <c r="B1177" s="1" t="s">
        <v>10082</v>
      </c>
      <c r="C1177" s="1" t="s">
        <v>10083</v>
      </c>
      <c r="D1177" s="1" t="s">
        <v>10084</v>
      </c>
    </row>
    <row r="1178" spans="1:4" x14ac:dyDescent="0.25">
      <c r="A1178" s="1" t="s">
        <v>2367</v>
      </c>
      <c r="B1178" s="1" t="s">
        <v>10085</v>
      </c>
      <c r="C1178" s="1" t="s">
        <v>10086</v>
      </c>
      <c r="D1178" s="1" t="s">
        <v>10087</v>
      </c>
    </row>
    <row r="1179" spans="1:4" x14ac:dyDescent="0.25">
      <c r="A1179" s="1" t="s">
        <v>2369</v>
      </c>
      <c r="B1179" s="1" t="s">
        <v>10088</v>
      </c>
      <c r="C1179" s="1" t="s">
        <v>10089</v>
      </c>
      <c r="D1179" s="1" t="s">
        <v>10090</v>
      </c>
    </row>
    <row r="1180" spans="1:4" x14ac:dyDescent="0.25">
      <c r="A1180" s="1" t="s">
        <v>2371</v>
      </c>
      <c r="B1180" s="1" t="s">
        <v>10091</v>
      </c>
      <c r="C1180" s="1" t="s">
        <v>10092</v>
      </c>
      <c r="D1180" s="1" t="s">
        <v>10093</v>
      </c>
    </row>
    <row r="1181" spans="1:4" x14ac:dyDescent="0.25">
      <c r="A1181" s="1" t="s">
        <v>2373</v>
      </c>
      <c r="B1181" s="1" t="s">
        <v>10094</v>
      </c>
      <c r="C1181" s="1" t="s">
        <v>10095</v>
      </c>
      <c r="D1181" s="1" t="s">
        <v>10096</v>
      </c>
    </row>
    <row r="1182" spans="1:4" x14ac:dyDescent="0.25">
      <c r="A1182" s="1" t="s">
        <v>2375</v>
      </c>
      <c r="B1182" s="1" t="s">
        <v>10097</v>
      </c>
      <c r="C1182" s="1" t="s">
        <v>10098</v>
      </c>
      <c r="D1182" s="1" t="s">
        <v>10099</v>
      </c>
    </row>
    <row r="1183" spans="1:4" x14ac:dyDescent="0.25">
      <c r="A1183" s="1" t="s">
        <v>2377</v>
      </c>
      <c r="B1183" s="1" t="s">
        <v>10100</v>
      </c>
      <c r="C1183" s="1" t="s">
        <v>10101</v>
      </c>
      <c r="D1183" s="1" t="s">
        <v>10102</v>
      </c>
    </row>
    <row r="1184" spans="1:4" x14ac:dyDescent="0.25">
      <c r="A1184" s="1" t="s">
        <v>2379</v>
      </c>
      <c r="B1184" s="1" t="s">
        <v>10103</v>
      </c>
      <c r="C1184" s="1" t="s">
        <v>10104</v>
      </c>
      <c r="D1184" s="1" t="s">
        <v>10105</v>
      </c>
    </row>
    <row r="1185" spans="1:4" x14ac:dyDescent="0.25">
      <c r="A1185" s="1" t="s">
        <v>2381</v>
      </c>
      <c r="B1185" s="1" t="s">
        <v>10106</v>
      </c>
      <c r="C1185" s="1" t="s">
        <v>10107</v>
      </c>
      <c r="D1185" s="1" t="s">
        <v>10108</v>
      </c>
    </row>
    <row r="1186" spans="1:4" x14ac:dyDescent="0.25">
      <c r="A1186" s="1" t="s">
        <v>2383</v>
      </c>
      <c r="B1186" s="1" t="s">
        <v>10109</v>
      </c>
      <c r="C1186" s="1" t="s">
        <v>10110</v>
      </c>
      <c r="D1186" s="1" t="s">
        <v>10111</v>
      </c>
    </row>
    <row r="1187" spans="1:4" x14ac:dyDescent="0.25">
      <c r="A1187" s="1" t="s">
        <v>2385</v>
      </c>
      <c r="B1187" s="1" t="s">
        <v>10112</v>
      </c>
      <c r="C1187" s="1" t="s">
        <v>10113</v>
      </c>
      <c r="D1187" s="1" t="s">
        <v>10114</v>
      </c>
    </row>
    <row r="1188" spans="1:4" x14ac:dyDescent="0.25">
      <c r="A1188" s="1" t="s">
        <v>2387</v>
      </c>
      <c r="B1188" s="1" t="s">
        <v>10115</v>
      </c>
      <c r="C1188" s="1" t="s">
        <v>10116</v>
      </c>
      <c r="D1188" s="1" t="s">
        <v>10117</v>
      </c>
    </row>
    <row r="1189" spans="1:4" x14ac:dyDescent="0.25">
      <c r="A1189" s="1" t="s">
        <v>2389</v>
      </c>
      <c r="B1189" s="1" t="s">
        <v>10118</v>
      </c>
      <c r="C1189" s="1" t="s">
        <v>10119</v>
      </c>
      <c r="D1189" s="1" t="s">
        <v>10120</v>
      </c>
    </row>
    <row r="1190" spans="1:4" x14ac:dyDescent="0.25">
      <c r="A1190" s="1" t="s">
        <v>2391</v>
      </c>
      <c r="B1190" s="1" t="s">
        <v>10121</v>
      </c>
      <c r="C1190" s="1" t="s">
        <v>10122</v>
      </c>
      <c r="D1190" s="1" t="s">
        <v>10123</v>
      </c>
    </row>
    <row r="1191" spans="1:4" x14ac:dyDescent="0.25">
      <c r="A1191" s="1" t="s">
        <v>2393</v>
      </c>
      <c r="B1191" s="1" t="s">
        <v>10124</v>
      </c>
      <c r="C1191" s="1" t="s">
        <v>10125</v>
      </c>
      <c r="D1191" s="1" t="s">
        <v>10126</v>
      </c>
    </row>
    <row r="1192" spans="1:4" x14ac:dyDescent="0.25">
      <c r="A1192" s="1" t="s">
        <v>2395</v>
      </c>
      <c r="B1192" s="1" t="s">
        <v>10127</v>
      </c>
      <c r="C1192" s="1" t="s">
        <v>10128</v>
      </c>
      <c r="D1192" s="1" t="s">
        <v>10129</v>
      </c>
    </row>
    <row r="1193" spans="1:4" x14ac:dyDescent="0.25">
      <c r="A1193" s="1" t="s">
        <v>2397</v>
      </c>
      <c r="B1193" s="1" t="s">
        <v>10130</v>
      </c>
      <c r="C1193" s="1" t="s">
        <v>10131</v>
      </c>
      <c r="D1193" s="1" t="s">
        <v>10132</v>
      </c>
    </row>
    <row r="1194" spans="1:4" x14ac:dyDescent="0.25">
      <c r="A1194" s="1" t="s">
        <v>2399</v>
      </c>
      <c r="B1194" s="1" t="s">
        <v>10133</v>
      </c>
      <c r="C1194" s="1" t="s">
        <v>10134</v>
      </c>
      <c r="D1194" s="1" t="s">
        <v>10135</v>
      </c>
    </row>
    <row r="1195" spans="1:4" x14ac:dyDescent="0.25">
      <c r="A1195" s="1" t="s">
        <v>2401</v>
      </c>
      <c r="B1195" s="1" t="s">
        <v>10136</v>
      </c>
      <c r="C1195" s="1" t="s">
        <v>10137</v>
      </c>
      <c r="D1195" s="1" t="s">
        <v>10138</v>
      </c>
    </row>
    <row r="1196" spans="1:4" x14ac:dyDescent="0.25">
      <c r="A1196" s="1" t="s">
        <v>2403</v>
      </c>
      <c r="B1196" s="1" t="s">
        <v>10139</v>
      </c>
      <c r="C1196" s="1" t="s">
        <v>10140</v>
      </c>
      <c r="D1196" s="1" t="s">
        <v>10141</v>
      </c>
    </row>
    <row r="1197" spans="1:4" x14ac:dyDescent="0.25">
      <c r="A1197" s="1" t="s">
        <v>2405</v>
      </c>
      <c r="B1197" s="1" t="s">
        <v>10142</v>
      </c>
      <c r="C1197" s="1" t="s">
        <v>10143</v>
      </c>
      <c r="D1197" s="1" t="s">
        <v>10144</v>
      </c>
    </row>
    <row r="1198" spans="1:4" x14ac:dyDescent="0.25">
      <c r="A1198" s="1" t="s">
        <v>2407</v>
      </c>
      <c r="B1198" s="1" t="s">
        <v>10145</v>
      </c>
      <c r="C1198" s="1" t="s">
        <v>10146</v>
      </c>
      <c r="D1198" s="1" t="s">
        <v>10147</v>
      </c>
    </row>
    <row r="1199" spans="1:4" x14ac:dyDescent="0.25">
      <c r="A1199" s="1" t="s">
        <v>2409</v>
      </c>
      <c r="B1199" s="1" t="s">
        <v>10148</v>
      </c>
      <c r="C1199" s="1" t="s">
        <v>10149</v>
      </c>
      <c r="D1199" s="1" t="s">
        <v>10150</v>
      </c>
    </row>
    <row r="1200" spans="1:4" x14ac:dyDescent="0.25">
      <c r="A1200" s="1" t="s">
        <v>2411</v>
      </c>
      <c r="B1200" s="1" t="s">
        <v>10151</v>
      </c>
      <c r="C1200" s="1" t="s">
        <v>10152</v>
      </c>
      <c r="D1200" s="1" t="s">
        <v>10153</v>
      </c>
    </row>
    <row r="1201" spans="1:4" x14ac:dyDescent="0.25">
      <c r="A1201" s="1" t="s">
        <v>2413</v>
      </c>
      <c r="B1201" s="1" t="s">
        <v>10154</v>
      </c>
      <c r="C1201" s="1" t="s">
        <v>10155</v>
      </c>
      <c r="D1201" s="1" t="s">
        <v>10156</v>
      </c>
    </row>
    <row r="1202" spans="1:4" x14ac:dyDescent="0.25">
      <c r="A1202" s="1" t="s">
        <v>2415</v>
      </c>
      <c r="B1202" s="1" t="s">
        <v>10157</v>
      </c>
      <c r="C1202" s="1" t="s">
        <v>10158</v>
      </c>
      <c r="D1202" s="1" t="s">
        <v>10159</v>
      </c>
    </row>
    <row r="1203" spans="1:4" x14ac:dyDescent="0.25">
      <c r="A1203" s="1" t="s">
        <v>2417</v>
      </c>
      <c r="B1203" s="1" t="s">
        <v>10160</v>
      </c>
      <c r="C1203" s="1" t="s">
        <v>10161</v>
      </c>
      <c r="D1203" s="1" t="s">
        <v>10162</v>
      </c>
    </row>
    <row r="1204" spans="1:4" x14ac:dyDescent="0.25">
      <c r="A1204" s="1" t="s">
        <v>2419</v>
      </c>
      <c r="B1204" s="1" t="s">
        <v>10163</v>
      </c>
      <c r="C1204" s="1" t="s">
        <v>10164</v>
      </c>
      <c r="D1204" s="1" t="s">
        <v>10165</v>
      </c>
    </row>
    <row r="1205" spans="1:4" x14ac:dyDescent="0.25">
      <c r="A1205" s="1" t="s">
        <v>2421</v>
      </c>
      <c r="B1205" s="1" t="s">
        <v>10166</v>
      </c>
      <c r="C1205" s="1" t="s">
        <v>10167</v>
      </c>
      <c r="D1205" s="1" t="s">
        <v>10168</v>
      </c>
    </row>
    <row r="1206" spans="1:4" x14ac:dyDescent="0.25">
      <c r="A1206" s="1" t="s">
        <v>2423</v>
      </c>
      <c r="B1206" s="1" t="s">
        <v>10169</v>
      </c>
      <c r="C1206" s="1" t="s">
        <v>10170</v>
      </c>
      <c r="D1206" s="1" t="s">
        <v>10171</v>
      </c>
    </row>
    <row r="1207" spans="1:4" x14ac:dyDescent="0.25">
      <c r="A1207" s="1" t="s">
        <v>2425</v>
      </c>
      <c r="B1207" s="1" t="s">
        <v>10172</v>
      </c>
      <c r="C1207" s="1" t="s">
        <v>10173</v>
      </c>
      <c r="D1207" s="1" t="s">
        <v>10174</v>
      </c>
    </row>
    <row r="1208" spans="1:4" x14ac:dyDescent="0.25">
      <c r="A1208" s="1" t="s">
        <v>2427</v>
      </c>
      <c r="B1208" s="1" t="s">
        <v>10175</v>
      </c>
      <c r="C1208" s="1" t="s">
        <v>10176</v>
      </c>
      <c r="D1208" s="1" t="s">
        <v>10177</v>
      </c>
    </row>
    <row r="1209" spans="1:4" x14ac:dyDescent="0.25">
      <c r="A1209" s="1" t="s">
        <v>2429</v>
      </c>
      <c r="B1209" s="1" t="s">
        <v>10178</v>
      </c>
      <c r="C1209" s="1" t="s">
        <v>10179</v>
      </c>
      <c r="D1209" s="1" t="s">
        <v>10180</v>
      </c>
    </row>
    <row r="1210" spans="1:4" x14ac:dyDescent="0.25">
      <c r="A1210" s="1" t="s">
        <v>2431</v>
      </c>
      <c r="B1210" s="1" t="s">
        <v>10181</v>
      </c>
      <c r="C1210" s="1" t="s">
        <v>10182</v>
      </c>
      <c r="D1210" s="1" t="s">
        <v>10183</v>
      </c>
    </row>
    <row r="1211" spans="1:4" x14ac:dyDescent="0.25">
      <c r="A1211" s="1" t="s">
        <v>2433</v>
      </c>
      <c r="B1211" s="1" t="s">
        <v>10184</v>
      </c>
      <c r="C1211" s="1" t="s">
        <v>10185</v>
      </c>
      <c r="D1211" s="1" t="s">
        <v>10186</v>
      </c>
    </row>
    <row r="1212" spans="1:4" x14ac:dyDescent="0.25">
      <c r="A1212" s="1" t="s">
        <v>2435</v>
      </c>
      <c r="B1212" s="1" t="s">
        <v>10187</v>
      </c>
      <c r="C1212" s="1" t="s">
        <v>10188</v>
      </c>
      <c r="D1212" s="1" t="s">
        <v>10189</v>
      </c>
    </row>
    <row r="1213" spans="1:4" x14ac:dyDescent="0.25">
      <c r="A1213" s="1" t="s">
        <v>2437</v>
      </c>
      <c r="B1213" s="1" t="s">
        <v>10190</v>
      </c>
      <c r="C1213" s="1" t="s">
        <v>10191</v>
      </c>
      <c r="D1213" s="1" t="s">
        <v>10192</v>
      </c>
    </row>
    <row r="1214" spans="1:4" x14ac:dyDescent="0.25">
      <c r="A1214" s="1" t="s">
        <v>2439</v>
      </c>
      <c r="B1214" s="1" t="s">
        <v>10193</v>
      </c>
      <c r="C1214" s="1" t="s">
        <v>10194</v>
      </c>
      <c r="D1214" s="1" t="s">
        <v>10195</v>
      </c>
    </row>
    <row r="1215" spans="1:4" x14ac:dyDescent="0.25">
      <c r="A1215" s="1" t="s">
        <v>2441</v>
      </c>
      <c r="B1215" s="1" t="s">
        <v>10196</v>
      </c>
      <c r="C1215" s="1" t="s">
        <v>10197</v>
      </c>
      <c r="D1215" s="1" t="s">
        <v>10198</v>
      </c>
    </row>
    <row r="1216" spans="1:4" x14ac:dyDescent="0.25">
      <c r="A1216" s="1" t="s">
        <v>2443</v>
      </c>
      <c r="B1216" s="1" t="s">
        <v>10199</v>
      </c>
      <c r="C1216" s="1" t="s">
        <v>10200</v>
      </c>
      <c r="D1216" s="1" t="s">
        <v>10201</v>
      </c>
    </row>
    <row r="1217" spans="1:4" x14ac:dyDescent="0.25">
      <c r="A1217" s="1" t="s">
        <v>2445</v>
      </c>
      <c r="B1217" s="1" t="s">
        <v>10202</v>
      </c>
      <c r="C1217" s="1" t="s">
        <v>10203</v>
      </c>
      <c r="D1217" s="1" t="s">
        <v>10204</v>
      </c>
    </row>
    <row r="1218" spans="1:4" x14ac:dyDescent="0.25">
      <c r="A1218" s="1" t="s">
        <v>2447</v>
      </c>
      <c r="B1218" s="1" t="s">
        <v>10205</v>
      </c>
      <c r="C1218" s="1" t="s">
        <v>10206</v>
      </c>
      <c r="D1218" s="1" t="s">
        <v>10207</v>
      </c>
    </row>
    <row r="1219" spans="1:4" x14ac:dyDescent="0.25">
      <c r="A1219" s="1" t="s">
        <v>2449</v>
      </c>
      <c r="B1219" s="1" t="s">
        <v>10208</v>
      </c>
      <c r="C1219" s="1" t="s">
        <v>10209</v>
      </c>
      <c r="D1219" s="1" t="s">
        <v>10210</v>
      </c>
    </row>
    <row r="1220" spans="1:4" x14ac:dyDescent="0.25">
      <c r="A1220" s="1" t="s">
        <v>2451</v>
      </c>
      <c r="B1220" s="1" t="s">
        <v>10211</v>
      </c>
      <c r="C1220" s="1" t="s">
        <v>10212</v>
      </c>
      <c r="D1220" s="1" t="s">
        <v>10213</v>
      </c>
    </row>
    <row r="1221" spans="1:4" x14ac:dyDescent="0.25">
      <c r="A1221" s="1" t="s">
        <v>2453</v>
      </c>
      <c r="B1221" s="1" t="s">
        <v>10214</v>
      </c>
      <c r="C1221" s="1" t="s">
        <v>10215</v>
      </c>
      <c r="D1221" s="1" t="s">
        <v>10216</v>
      </c>
    </row>
    <row r="1222" spans="1:4" x14ac:dyDescent="0.25">
      <c r="A1222" s="1" t="s">
        <v>2455</v>
      </c>
      <c r="B1222" s="1" t="s">
        <v>10217</v>
      </c>
      <c r="C1222" s="1" t="s">
        <v>10218</v>
      </c>
      <c r="D1222" s="1" t="s">
        <v>10219</v>
      </c>
    </row>
    <row r="1223" spans="1:4" x14ac:dyDescent="0.25">
      <c r="A1223" s="1" t="s">
        <v>2457</v>
      </c>
      <c r="B1223" s="1" t="s">
        <v>10220</v>
      </c>
      <c r="C1223" s="1" t="s">
        <v>10221</v>
      </c>
      <c r="D1223" s="1" t="s">
        <v>10222</v>
      </c>
    </row>
    <row r="1224" spans="1:4" x14ac:dyDescent="0.25">
      <c r="A1224" s="1" t="s">
        <v>2459</v>
      </c>
      <c r="B1224" s="1" t="s">
        <v>10223</v>
      </c>
      <c r="C1224" s="1" t="s">
        <v>10224</v>
      </c>
      <c r="D1224" s="1" t="s">
        <v>10225</v>
      </c>
    </row>
    <row r="1225" spans="1:4" x14ac:dyDescent="0.25">
      <c r="A1225" s="1" t="s">
        <v>2461</v>
      </c>
      <c r="B1225" s="1" t="s">
        <v>10226</v>
      </c>
      <c r="C1225" s="1" t="s">
        <v>10227</v>
      </c>
      <c r="D1225" s="1" t="s">
        <v>10228</v>
      </c>
    </row>
    <row r="1226" spans="1:4" x14ac:dyDescent="0.25">
      <c r="A1226" s="1" t="s">
        <v>2463</v>
      </c>
      <c r="B1226" s="1" t="s">
        <v>10229</v>
      </c>
      <c r="C1226" s="1" t="s">
        <v>10230</v>
      </c>
      <c r="D1226" s="1" t="s">
        <v>10231</v>
      </c>
    </row>
    <row r="1227" spans="1:4" x14ac:dyDescent="0.25">
      <c r="A1227" s="1" t="s">
        <v>2465</v>
      </c>
      <c r="B1227" s="1" t="s">
        <v>10232</v>
      </c>
      <c r="C1227" s="1" t="s">
        <v>10233</v>
      </c>
      <c r="D1227" s="1" t="s">
        <v>10234</v>
      </c>
    </row>
    <row r="1228" spans="1:4" x14ac:dyDescent="0.25">
      <c r="A1228" s="1" t="s">
        <v>2467</v>
      </c>
      <c r="B1228" s="1" t="s">
        <v>10235</v>
      </c>
      <c r="C1228" s="1" t="s">
        <v>10236</v>
      </c>
      <c r="D1228" s="1" t="s">
        <v>10237</v>
      </c>
    </row>
    <row r="1229" spans="1:4" x14ac:dyDescent="0.25">
      <c r="A1229" s="1" t="s">
        <v>2469</v>
      </c>
      <c r="B1229" s="1" t="s">
        <v>10238</v>
      </c>
      <c r="C1229" s="1" t="s">
        <v>10239</v>
      </c>
      <c r="D1229" s="1" t="s">
        <v>10240</v>
      </c>
    </row>
    <row r="1230" spans="1:4" x14ac:dyDescent="0.25">
      <c r="A1230" s="1" t="s">
        <v>2471</v>
      </c>
      <c r="B1230" s="1" t="s">
        <v>10241</v>
      </c>
      <c r="C1230" s="1" t="s">
        <v>10242</v>
      </c>
      <c r="D1230" s="1" t="s">
        <v>10243</v>
      </c>
    </row>
    <row r="1231" spans="1:4" x14ac:dyDescent="0.25">
      <c r="A1231" s="1" t="s">
        <v>2473</v>
      </c>
      <c r="B1231" s="1" t="s">
        <v>10244</v>
      </c>
      <c r="C1231" s="1" t="s">
        <v>10245</v>
      </c>
      <c r="D1231" s="1" t="s">
        <v>10246</v>
      </c>
    </row>
    <row r="1232" spans="1:4" x14ac:dyDescent="0.25">
      <c r="A1232" s="1" t="s">
        <v>2475</v>
      </c>
      <c r="B1232" s="1" t="s">
        <v>10247</v>
      </c>
      <c r="C1232" s="1" t="s">
        <v>10248</v>
      </c>
      <c r="D1232" s="1" t="s">
        <v>10249</v>
      </c>
    </row>
    <row r="1233" spans="1:4" x14ac:dyDescent="0.25">
      <c r="A1233" s="1" t="s">
        <v>2477</v>
      </c>
      <c r="B1233" s="1" t="s">
        <v>10250</v>
      </c>
      <c r="C1233" s="1" t="s">
        <v>10251</v>
      </c>
      <c r="D1233" s="1" t="s">
        <v>10252</v>
      </c>
    </row>
    <row r="1234" spans="1:4" x14ac:dyDescent="0.25">
      <c r="A1234" s="1" t="s">
        <v>2479</v>
      </c>
      <c r="B1234" s="1" t="s">
        <v>10253</v>
      </c>
      <c r="C1234" s="1" t="s">
        <v>10254</v>
      </c>
      <c r="D1234" s="1" t="s">
        <v>10255</v>
      </c>
    </row>
    <row r="1235" spans="1:4" x14ac:dyDescent="0.25">
      <c r="A1235" s="1" t="s">
        <v>2481</v>
      </c>
      <c r="B1235" s="1" t="s">
        <v>10256</v>
      </c>
      <c r="C1235" s="1" t="s">
        <v>10257</v>
      </c>
      <c r="D1235" s="1" t="s">
        <v>10258</v>
      </c>
    </row>
    <row r="1236" spans="1:4" x14ac:dyDescent="0.25">
      <c r="A1236" s="1" t="s">
        <v>2483</v>
      </c>
      <c r="B1236" s="1" t="s">
        <v>10259</v>
      </c>
      <c r="C1236" s="1" t="s">
        <v>10260</v>
      </c>
      <c r="D1236" s="1" t="s">
        <v>10261</v>
      </c>
    </row>
    <row r="1237" spans="1:4" x14ac:dyDescent="0.25">
      <c r="A1237" s="1" t="s">
        <v>2485</v>
      </c>
      <c r="B1237" s="1" t="s">
        <v>10262</v>
      </c>
      <c r="C1237" s="1" t="s">
        <v>10263</v>
      </c>
      <c r="D1237" s="1" t="s">
        <v>10264</v>
      </c>
    </row>
    <row r="1238" spans="1:4" x14ac:dyDescent="0.25">
      <c r="A1238" s="1" t="s">
        <v>2487</v>
      </c>
      <c r="B1238" s="1" t="s">
        <v>10265</v>
      </c>
      <c r="C1238" s="1" t="s">
        <v>10266</v>
      </c>
      <c r="D1238" s="1" t="s">
        <v>10267</v>
      </c>
    </row>
    <row r="1239" spans="1:4" x14ac:dyDescent="0.25">
      <c r="A1239" s="1" t="s">
        <v>2489</v>
      </c>
      <c r="B1239" s="1" t="s">
        <v>10268</v>
      </c>
      <c r="C1239" s="1" t="s">
        <v>10269</v>
      </c>
      <c r="D1239" s="1" t="s">
        <v>10270</v>
      </c>
    </row>
    <row r="1240" spans="1:4" x14ac:dyDescent="0.25">
      <c r="A1240" s="1" t="s">
        <v>2491</v>
      </c>
      <c r="B1240" s="1" t="s">
        <v>10271</v>
      </c>
      <c r="C1240" s="1" t="s">
        <v>10272</v>
      </c>
      <c r="D1240" s="1" t="s">
        <v>10273</v>
      </c>
    </row>
    <row r="1241" spans="1:4" x14ac:dyDescent="0.25">
      <c r="A1241" s="1" t="s">
        <v>2493</v>
      </c>
      <c r="B1241" s="1" t="s">
        <v>10274</v>
      </c>
      <c r="C1241" s="1" t="s">
        <v>10275</v>
      </c>
      <c r="D1241" s="1" t="s">
        <v>10276</v>
      </c>
    </row>
    <row r="1242" spans="1:4" x14ac:dyDescent="0.25">
      <c r="A1242" s="1" t="s">
        <v>2495</v>
      </c>
      <c r="B1242" s="1" t="s">
        <v>10277</v>
      </c>
      <c r="C1242" s="1" t="s">
        <v>10278</v>
      </c>
      <c r="D1242" s="1" t="s">
        <v>10279</v>
      </c>
    </row>
    <row r="1243" spans="1:4" x14ac:dyDescent="0.25">
      <c r="A1243" s="1" t="s">
        <v>2497</v>
      </c>
      <c r="B1243" s="1" t="s">
        <v>10280</v>
      </c>
      <c r="C1243" s="1" t="s">
        <v>10281</v>
      </c>
      <c r="D1243" s="1" t="s">
        <v>10282</v>
      </c>
    </row>
    <row r="1244" spans="1:4" x14ac:dyDescent="0.25">
      <c r="A1244" s="1" t="s">
        <v>2499</v>
      </c>
      <c r="B1244" s="1" t="s">
        <v>10283</v>
      </c>
      <c r="C1244" s="1" t="s">
        <v>10284</v>
      </c>
      <c r="D1244" s="1" t="s">
        <v>10285</v>
      </c>
    </row>
    <row r="1245" spans="1:4" x14ac:dyDescent="0.25">
      <c r="A1245" s="1" t="s">
        <v>2501</v>
      </c>
      <c r="B1245" s="1" t="s">
        <v>10286</v>
      </c>
      <c r="C1245" s="1" t="s">
        <v>10287</v>
      </c>
      <c r="D1245" s="1" t="s">
        <v>10288</v>
      </c>
    </row>
    <row r="1246" spans="1:4" x14ac:dyDescent="0.25">
      <c r="A1246" s="1" t="s">
        <v>2503</v>
      </c>
      <c r="B1246" s="1" t="s">
        <v>10289</v>
      </c>
      <c r="C1246" s="1" t="s">
        <v>10290</v>
      </c>
      <c r="D1246" s="1" t="s">
        <v>10291</v>
      </c>
    </row>
    <row r="1247" spans="1:4" x14ac:dyDescent="0.25">
      <c r="A1247" s="1" t="s">
        <v>2505</v>
      </c>
      <c r="B1247" s="1" t="s">
        <v>10292</v>
      </c>
      <c r="C1247" s="1" t="s">
        <v>10293</v>
      </c>
      <c r="D1247" s="1" t="s">
        <v>10294</v>
      </c>
    </row>
    <row r="1248" spans="1:4" x14ac:dyDescent="0.25">
      <c r="A1248" s="1" t="s">
        <v>2507</v>
      </c>
      <c r="B1248" s="1" t="s">
        <v>10295</v>
      </c>
      <c r="C1248" s="1" t="s">
        <v>10296</v>
      </c>
      <c r="D1248" s="1" t="s">
        <v>10297</v>
      </c>
    </row>
    <row r="1249" spans="1:4" x14ac:dyDescent="0.25">
      <c r="A1249" s="1" t="s">
        <v>2509</v>
      </c>
      <c r="B1249" s="1" t="s">
        <v>10298</v>
      </c>
      <c r="C1249" s="1" t="s">
        <v>10299</v>
      </c>
      <c r="D1249" s="1" t="s">
        <v>10300</v>
      </c>
    </row>
    <row r="1250" spans="1:4" x14ac:dyDescent="0.25">
      <c r="A1250" s="1" t="s">
        <v>2511</v>
      </c>
      <c r="B1250" s="1" t="s">
        <v>10301</v>
      </c>
      <c r="C1250" s="1" t="s">
        <v>10302</v>
      </c>
      <c r="D1250" s="1" t="s">
        <v>10303</v>
      </c>
    </row>
    <row r="1251" spans="1:4" x14ac:dyDescent="0.25">
      <c r="A1251" s="1" t="s">
        <v>2513</v>
      </c>
      <c r="B1251" s="1" t="s">
        <v>10304</v>
      </c>
      <c r="C1251" s="1" t="s">
        <v>10305</v>
      </c>
      <c r="D1251" s="1" t="s">
        <v>10306</v>
      </c>
    </row>
    <row r="1252" spans="1:4" x14ac:dyDescent="0.25">
      <c r="A1252" s="1" t="s">
        <v>2515</v>
      </c>
      <c r="B1252" s="1" t="s">
        <v>10307</v>
      </c>
      <c r="C1252" s="1" t="s">
        <v>10308</v>
      </c>
      <c r="D1252" s="1" t="s">
        <v>10309</v>
      </c>
    </row>
    <row r="1253" spans="1:4" x14ac:dyDescent="0.25">
      <c r="A1253" s="1" t="s">
        <v>2517</v>
      </c>
      <c r="B1253" s="1" t="s">
        <v>10310</v>
      </c>
      <c r="C1253" s="1" t="s">
        <v>10311</v>
      </c>
      <c r="D1253" s="1" t="s">
        <v>10312</v>
      </c>
    </row>
    <row r="1254" spans="1:4" x14ac:dyDescent="0.25">
      <c r="A1254" s="1" t="s">
        <v>2519</v>
      </c>
      <c r="B1254" s="1" t="s">
        <v>10313</v>
      </c>
      <c r="C1254" s="1" t="s">
        <v>10314</v>
      </c>
      <c r="D1254" s="1" t="s">
        <v>10315</v>
      </c>
    </row>
    <row r="1255" spans="1:4" x14ac:dyDescent="0.25">
      <c r="A1255" s="1" t="s">
        <v>2521</v>
      </c>
      <c r="B1255" s="1" t="s">
        <v>10316</v>
      </c>
      <c r="C1255" s="1" t="s">
        <v>10317</v>
      </c>
      <c r="D1255" s="1" t="s">
        <v>10318</v>
      </c>
    </row>
    <row r="1256" spans="1:4" x14ac:dyDescent="0.25">
      <c r="A1256" s="1" t="s">
        <v>2523</v>
      </c>
      <c r="B1256" s="1" t="s">
        <v>10319</v>
      </c>
      <c r="C1256" s="1" t="s">
        <v>10320</v>
      </c>
      <c r="D1256" s="1" t="s">
        <v>10321</v>
      </c>
    </row>
    <row r="1257" spans="1:4" x14ac:dyDescent="0.25">
      <c r="A1257" s="1" t="s">
        <v>2525</v>
      </c>
      <c r="B1257" s="1" t="s">
        <v>10322</v>
      </c>
      <c r="C1257" s="1" t="s">
        <v>10323</v>
      </c>
      <c r="D1257" s="1" t="s">
        <v>10324</v>
      </c>
    </row>
    <row r="1258" spans="1:4" x14ac:dyDescent="0.25">
      <c r="A1258" s="1" t="s">
        <v>2527</v>
      </c>
      <c r="B1258" s="1" t="s">
        <v>10325</v>
      </c>
      <c r="C1258" s="1" t="s">
        <v>10326</v>
      </c>
      <c r="D1258" s="1" t="s">
        <v>10327</v>
      </c>
    </row>
    <row r="1259" spans="1:4" x14ac:dyDescent="0.25">
      <c r="A1259" s="1" t="s">
        <v>2529</v>
      </c>
      <c r="B1259" s="1" t="s">
        <v>10328</v>
      </c>
      <c r="C1259" s="1" t="s">
        <v>10329</v>
      </c>
      <c r="D1259" s="1" t="s">
        <v>10330</v>
      </c>
    </row>
    <row r="1260" spans="1:4" x14ac:dyDescent="0.25">
      <c r="A1260" s="1" t="s">
        <v>2531</v>
      </c>
      <c r="B1260" s="1" t="s">
        <v>10331</v>
      </c>
      <c r="C1260" s="1" t="s">
        <v>10332</v>
      </c>
      <c r="D1260" s="1" t="s">
        <v>10333</v>
      </c>
    </row>
    <row r="1261" spans="1:4" x14ac:dyDescent="0.25">
      <c r="A1261" s="1" t="s">
        <v>2533</v>
      </c>
      <c r="B1261" s="1" t="s">
        <v>10334</v>
      </c>
      <c r="C1261" s="1" t="s">
        <v>10335</v>
      </c>
      <c r="D1261" s="1" t="s">
        <v>10336</v>
      </c>
    </row>
    <row r="1262" spans="1:4" x14ac:dyDescent="0.25">
      <c r="A1262" s="1" t="s">
        <v>2535</v>
      </c>
      <c r="B1262" s="1" t="s">
        <v>10337</v>
      </c>
      <c r="C1262" s="1" t="s">
        <v>10338</v>
      </c>
      <c r="D1262" s="1" t="s">
        <v>10339</v>
      </c>
    </row>
    <row r="1263" spans="1:4" x14ac:dyDescent="0.25">
      <c r="A1263" s="1" t="s">
        <v>2537</v>
      </c>
      <c r="B1263" s="1" t="s">
        <v>10340</v>
      </c>
      <c r="C1263" s="1" t="s">
        <v>10341</v>
      </c>
      <c r="D1263" s="1" t="s">
        <v>10342</v>
      </c>
    </row>
    <row r="1264" spans="1:4" x14ac:dyDescent="0.25">
      <c r="A1264" s="1" t="s">
        <v>2539</v>
      </c>
      <c r="B1264" s="1" t="s">
        <v>10343</v>
      </c>
      <c r="C1264" s="1" t="s">
        <v>10344</v>
      </c>
      <c r="D1264" s="1" t="s">
        <v>10345</v>
      </c>
    </row>
    <row r="1265" spans="1:4" x14ac:dyDescent="0.25">
      <c r="A1265" s="1" t="s">
        <v>2541</v>
      </c>
      <c r="B1265" s="1" t="s">
        <v>10346</v>
      </c>
      <c r="C1265" s="1" t="s">
        <v>10347</v>
      </c>
      <c r="D1265" s="1" t="s">
        <v>10348</v>
      </c>
    </row>
    <row r="1266" spans="1:4" x14ac:dyDescent="0.25">
      <c r="A1266" s="1" t="s">
        <v>2543</v>
      </c>
      <c r="B1266" s="1" t="s">
        <v>10349</v>
      </c>
      <c r="C1266" s="1" t="s">
        <v>10350</v>
      </c>
      <c r="D1266" s="1" t="s">
        <v>10351</v>
      </c>
    </row>
    <row r="1267" spans="1:4" x14ac:dyDescent="0.25">
      <c r="A1267" s="1" t="s">
        <v>2545</v>
      </c>
      <c r="B1267" s="1" t="s">
        <v>10352</v>
      </c>
      <c r="C1267" s="1" t="s">
        <v>10353</v>
      </c>
      <c r="D1267" s="1" t="s">
        <v>10354</v>
      </c>
    </row>
    <row r="1268" spans="1:4" x14ac:dyDescent="0.25">
      <c r="A1268" s="1" t="s">
        <v>2547</v>
      </c>
      <c r="B1268" s="1" t="s">
        <v>10355</v>
      </c>
      <c r="C1268" s="1" t="s">
        <v>10356</v>
      </c>
      <c r="D1268" s="1" t="s">
        <v>10357</v>
      </c>
    </row>
    <row r="1269" spans="1:4" x14ac:dyDescent="0.25">
      <c r="A1269" s="1" t="s">
        <v>2549</v>
      </c>
      <c r="B1269" s="1" t="s">
        <v>10358</v>
      </c>
      <c r="C1269" s="1" t="s">
        <v>10359</v>
      </c>
      <c r="D1269" s="1" t="s">
        <v>10360</v>
      </c>
    </row>
    <row r="1270" spans="1:4" x14ac:dyDescent="0.25">
      <c r="A1270" s="1" t="s">
        <v>2551</v>
      </c>
      <c r="B1270" s="1" t="s">
        <v>10361</v>
      </c>
      <c r="C1270" s="1" t="s">
        <v>10362</v>
      </c>
      <c r="D1270" s="1" t="s">
        <v>10363</v>
      </c>
    </row>
    <row r="1271" spans="1:4" x14ac:dyDescent="0.25">
      <c r="A1271" s="1" t="s">
        <v>2553</v>
      </c>
      <c r="B1271" s="1" t="s">
        <v>10364</v>
      </c>
      <c r="C1271" s="1" t="s">
        <v>10365</v>
      </c>
      <c r="D1271" s="1" t="s">
        <v>10366</v>
      </c>
    </row>
    <row r="1272" spans="1:4" x14ac:dyDescent="0.25">
      <c r="A1272" s="1" t="s">
        <v>2555</v>
      </c>
      <c r="B1272" s="1" t="s">
        <v>10367</v>
      </c>
      <c r="C1272" s="1" t="s">
        <v>10368</v>
      </c>
      <c r="D1272" s="1" t="s">
        <v>10369</v>
      </c>
    </row>
    <row r="1273" spans="1:4" x14ac:dyDescent="0.25">
      <c r="A1273" s="1" t="s">
        <v>2557</v>
      </c>
      <c r="B1273" s="1" t="s">
        <v>10370</v>
      </c>
      <c r="C1273" s="1" t="s">
        <v>10371</v>
      </c>
      <c r="D1273" s="1" t="s">
        <v>10372</v>
      </c>
    </row>
    <row r="1274" spans="1:4" x14ac:dyDescent="0.25">
      <c r="A1274" s="1" t="s">
        <v>2559</v>
      </c>
      <c r="B1274" s="1" t="s">
        <v>10373</v>
      </c>
      <c r="C1274" s="1" t="s">
        <v>10374</v>
      </c>
      <c r="D1274" s="1" t="s">
        <v>10375</v>
      </c>
    </row>
    <row r="1275" spans="1:4" x14ac:dyDescent="0.25">
      <c r="A1275" s="1" t="s">
        <v>2561</v>
      </c>
      <c r="B1275" s="1" t="s">
        <v>10376</v>
      </c>
      <c r="C1275" s="1" t="s">
        <v>10377</v>
      </c>
      <c r="D1275" s="1" t="s">
        <v>10378</v>
      </c>
    </row>
    <row r="1276" spans="1:4" x14ac:dyDescent="0.25">
      <c r="A1276" s="1" t="s">
        <v>2563</v>
      </c>
      <c r="B1276" s="1" t="s">
        <v>10379</v>
      </c>
      <c r="C1276" s="1" t="s">
        <v>10380</v>
      </c>
      <c r="D1276" s="1" t="s">
        <v>10381</v>
      </c>
    </row>
    <row r="1277" spans="1:4" x14ac:dyDescent="0.25">
      <c r="A1277" s="1" t="s">
        <v>2565</v>
      </c>
      <c r="B1277" s="1" t="s">
        <v>10382</v>
      </c>
      <c r="C1277" s="1" t="s">
        <v>10383</v>
      </c>
      <c r="D1277" s="1" t="s">
        <v>10384</v>
      </c>
    </row>
    <row r="1278" spans="1:4" x14ac:dyDescent="0.25">
      <c r="A1278" s="1" t="s">
        <v>2567</v>
      </c>
      <c r="B1278" s="1" t="s">
        <v>10385</v>
      </c>
      <c r="C1278" s="1" t="s">
        <v>10386</v>
      </c>
      <c r="D1278" s="1" t="s">
        <v>10387</v>
      </c>
    </row>
    <row r="1279" spans="1:4" x14ac:dyDescent="0.25">
      <c r="A1279" s="1" t="s">
        <v>2569</v>
      </c>
      <c r="B1279" s="1" t="s">
        <v>10388</v>
      </c>
      <c r="C1279" s="1" t="s">
        <v>10389</v>
      </c>
      <c r="D1279" s="1" t="s">
        <v>10390</v>
      </c>
    </row>
    <row r="1280" spans="1:4" x14ac:dyDescent="0.25">
      <c r="A1280" s="1" t="s">
        <v>2571</v>
      </c>
      <c r="B1280" s="1" t="s">
        <v>10391</v>
      </c>
      <c r="C1280" s="1" t="s">
        <v>10392</v>
      </c>
      <c r="D1280" s="1" t="s">
        <v>10393</v>
      </c>
    </row>
    <row r="1281" spans="1:4" x14ac:dyDescent="0.25">
      <c r="A1281" s="1" t="s">
        <v>2573</v>
      </c>
      <c r="B1281" s="1" t="s">
        <v>10394</v>
      </c>
      <c r="C1281" s="1" t="s">
        <v>10395</v>
      </c>
      <c r="D1281" s="1" t="s">
        <v>10396</v>
      </c>
    </row>
    <row r="1282" spans="1:4" x14ac:dyDescent="0.25">
      <c r="A1282" s="1" t="s">
        <v>2575</v>
      </c>
      <c r="B1282" s="1" t="s">
        <v>10397</v>
      </c>
      <c r="C1282" s="1" t="s">
        <v>10398</v>
      </c>
      <c r="D1282" s="1" t="s">
        <v>10399</v>
      </c>
    </row>
    <row r="1283" spans="1:4" x14ac:dyDescent="0.25">
      <c r="A1283" s="1" t="s">
        <v>2577</v>
      </c>
      <c r="B1283" s="1" t="s">
        <v>10400</v>
      </c>
      <c r="C1283" s="1" t="s">
        <v>10401</v>
      </c>
      <c r="D1283" s="1" t="s">
        <v>10402</v>
      </c>
    </row>
    <row r="1284" spans="1:4" x14ac:dyDescent="0.25">
      <c r="A1284" s="1" t="s">
        <v>2579</v>
      </c>
      <c r="B1284" s="1" t="s">
        <v>10403</v>
      </c>
      <c r="C1284" s="1" t="s">
        <v>10404</v>
      </c>
      <c r="D1284" s="1" t="s">
        <v>10405</v>
      </c>
    </row>
    <row r="1285" spans="1:4" x14ac:dyDescent="0.25">
      <c r="A1285" s="1" t="s">
        <v>2581</v>
      </c>
      <c r="B1285" s="1" t="s">
        <v>10406</v>
      </c>
      <c r="C1285" s="1" t="s">
        <v>10407</v>
      </c>
      <c r="D1285" s="1" t="s">
        <v>10408</v>
      </c>
    </row>
    <row r="1286" spans="1:4" x14ac:dyDescent="0.25">
      <c r="A1286" s="1" t="s">
        <v>2583</v>
      </c>
      <c r="B1286" s="1" t="s">
        <v>10409</v>
      </c>
      <c r="C1286" s="1" t="s">
        <v>10410</v>
      </c>
      <c r="D1286" s="1" t="s">
        <v>10411</v>
      </c>
    </row>
    <row r="1287" spans="1:4" x14ac:dyDescent="0.25">
      <c r="A1287" s="1" t="s">
        <v>2585</v>
      </c>
      <c r="B1287" s="1" t="s">
        <v>10412</v>
      </c>
      <c r="C1287" s="1" t="s">
        <v>10413</v>
      </c>
      <c r="D1287" s="1" t="s">
        <v>10414</v>
      </c>
    </row>
    <row r="1288" spans="1:4" x14ac:dyDescent="0.25">
      <c r="A1288" s="1" t="s">
        <v>2587</v>
      </c>
      <c r="B1288" s="1" t="s">
        <v>10415</v>
      </c>
      <c r="C1288" s="1" t="s">
        <v>10416</v>
      </c>
      <c r="D1288" s="1" t="s">
        <v>10417</v>
      </c>
    </row>
    <row r="1289" spans="1:4" x14ac:dyDescent="0.25">
      <c r="A1289" s="1" t="s">
        <v>2589</v>
      </c>
      <c r="B1289" s="1" t="s">
        <v>10418</v>
      </c>
      <c r="C1289" s="1" t="s">
        <v>10419</v>
      </c>
      <c r="D1289" s="1" t="s">
        <v>10420</v>
      </c>
    </row>
    <row r="1290" spans="1:4" x14ac:dyDescent="0.25">
      <c r="A1290" s="1" t="s">
        <v>2591</v>
      </c>
      <c r="B1290" s="1" t="s">
        <v>10421</v>
      </c>
      <c r="C1290" s="1" t="s">
        <v>10422</v>
      </c>
      <c r="D1290" s="1" t="s">
        <v>10423</v>
      </c>
    </row>
    <row r="1291" spans="1:4" x14ac:dyDescent="0.25">
      <c r="A1291" s="1" t="s">
        <v>2593</v>
      </c>
      <c r="B1291" s="1" t="s">
        <v>10424</v>
      </c>
      <c r="C1291" s="1" t="s">
        <v>10425</v>
      </c>
      <c r="D1291" s="1" t="s">
        <v>10426</v>
      </c>
    </row>
    <row r="1292" spans="1:4" x14ac:dyDescent="0.25">
      <c r="A1292" s="1" t="s">
        <v>2595</v>
      </c>
      <c r="B1292" s="1" t="s">
        <v>10427</v>
      </c>
      <c r="C1292" s="1" t="s">
        <v>10428</v>
      </c>
      <c r="D1292" s="1" t="s">
        <v>10429</v>
      </c>
    </row>
    <row r="1293" spans="1:4" x14ac:dyDescent="0.25">
      <c r="A1293" s="1" t="s">
        <v>2597</v>
      </c>
      <c r="B1293" s="1" t="s">
        <v>10430</v>
      </c>
      <c r="C1293" s="1" t="s">
        <v>10431</v>
      </c>
      <c r="D1293" s="1" t="s">
        <v>10432</v>
      </c>
    </row>
    <row r="1294" spans="1:4" x14ac:dyDescent="0.25">
      <c r="A1294" s="1" t="s">
        <v>2599</v>
      </c>
      <c r="B1294" s="1" t="s">
        <v>10433</v>
      </c>
      <c r="C1294" s="1" t="s">
        <v>10434</v>
      </c>
      <c r="D1294" s="1" t="s">
        <v>10435</v>
      </c>
    </row>
    <row r="1295" spans="1:4" x14ac:dyDescent="0.25">
      <c r="A1295" s="1" t="s">
        <v>2601</v>
      </c>
      <c r="B1295" s="1" t="s">
        <v>10436</v>
      </c>
      <c r="C1295" s="1" t="s">
        <v>10437</v>
      </c>
      <c r="D1295" s="1" t="s">
        <v>10438</v>
      </c>
    </row>
    <row r="1296" spans="1:4" x14ac:dyDescent="0.25">
      <c r="A1296" s="1" t="s">
        <v>2603</v>
      </c>
      <c r="B1296" s="1" t="s">
        <v>10439</v>
      </c>
      <c r="C1296" s="1" t="s">
        <v>10440</v>
      </c>
      <c r="D1296" s="1" t="s">
        <v>10441</v>
      </c>
    </row>
    <row r="1297" spans="1:4" x14ac:dyDescent="0.25">
      <c r="A1297" s="1" t="s">
        <v>2605</v>
      </c>
      <c r="B1297" s="1" t="s">
        <v>10442</v>
      </c>
      <c r="C1297" s="1" t="s">
        <v>10443</v>
      </c>
      <c r="D1297" s="1" t="s">
        <v>10444</v>
      </c>
    </row>
    <row r="1298" spans="1:4" x14ac:dyDescent="0.25">
      <c r="A1298" s="1" t="s">
        <v>2607</v>
      </c>
      <c r="B1298" s="1" t="s">
        <v>10445</v>
      </c>
      <c r="C1298" s="1" t="s">
        <v>10446</v>
      </c>
      <c r="D1298" s="1" t="s">
        <v>10447</v>
      </c>
    </row>
    <row r="1299" spans="1:4" x14ac:dyDescent="0.25">
      <c r="A1299" s="1" t="s">
        <v>2609</v>
      </c>
      <c r="B1299" s="1" t="s">
        <v>10448</v>
      </c>
      <c r="C1299" s="1" t="s">
        <v>10449</v>
      </c>
      <c r="D1299" s="1" t="s">
        <v>10450</v>
      </c>
    </row>
    <row r="1300" spans="1:4" x14ac:dyDescent="0.25">
      <c r="A1300" s="1" t="s">
        <v>2611</v>
      </c>
      <c r="B1300" s="1" t="s">
        <v>10451</v>
      </c>
      <c r="C1300" s="1" t="s">
        <v>10452</v>
      </c>
      <c r="D1300" s="1" t="s">
        <v>10453</v>
      </c>
    </row>
    <row r="1301" spans="1:4" x14ac:dyDescent="0.25">
      <c r="A1301" s="1" t="s">
        <v>2613</v>
      </c>
      <c r="B1301" s="1" t="s">
        <v>10454</v>
      </c>
      <c r="C1301" s="1" t="s">
        <v>10455</v>
      </c>
      <c r="D1301" s="1" t="s">
        <v>10456</v>
      </c>
    </row>
    <row r="1302" spans="1:4" x14ac:dyDescent="0.25">
      <c r="A1302" s="1" t="s">
        <v>2615</v>
      </c>
      <c r="B1302" s="1" t="s">
        <v>10457</v>
      </c>
      <c r="C1302" s="1" t="s">
        <v>10458</v>
      </c>
      <c r="D1302" s="1" t="s">
        <v>10459</v>
      </c>
    </row>
    <row r="1303" spans="1:4" x14ac:dyDescent="0.25">
      <c r="A1303" s="1" t="s">
        <v>2617</v>
      </c>
      <c r="B1303" s="1" t="s">
        <v>10460</v>
      </c>
      <c r="C1303" s="1" t="s">
        <v>10461</v>
      </c>
      <c r="D1303" s="1" t="s">
        <v>10462</v>
      </c>
    </row>
    <row r="1304" spans="1:4" x14ac:dyDescent="0.25">
      <c r="A1304" s="1" t="s">
        <v>2619</v>
      </c>
      <c r="B1304" s="1" t="s">
        <v>10463</v>
      </c>
      <c r="C1304" s="1" t="s">
        <v>10464</v>
      </c>
      <c r="D1304" s="1" t="s">
        <v>10465</v>
      </c>
    </row>
    <row r="1305" spans="1:4" x14ac:dyDescent="0.25">
      <c r="A1305" s="1" t="s">
        <v>2621</v>
      </c>
      <c r="B1305" s="1" t="s">
        <v>10466</v>
      </c>
      <c r="C1305" s="1" t="s">
        <v>10467</v>
      </c>
      <c r="D1305" s="1" t="s">
        <v>10468</v>
      </c>
    </row>
    <row r="1306" spans="1:4" x14ac:dyDescent="0.25">
      <c r="A1306" s="1" t="s">
        <v>2623</v>
      </c>
      <c r="B1306" s="1" t="s">
        <v>10469</v>
      </c>
      <c r="C1306" s="1" t="s">
        <v>10470</v>
      </c>
      <c r="D1306" s="1" t="s">
        <v>10471</v>
      </c>
    </row>
    <row r="1307" spans="1:4" x14ac:dyDescent="0.25">
      <c r="A1307" s="1" t="s">
        <v>2625</v>
      </c>
      <c r="B1307" s="1" t="s">
        <v>10472</v>
      </c>
      <c r="C1307" s="1" t="s">
        <v>10473</v>
      </c>
      <c r="D1307" s="1" t="s">
        <v>10474</v>
      </c>
    </row>
    <row r="1308" spans="1:4" x14ac:dyDescent="0.25">
      <c r="A1308" s="1" t="s">
        <v>2627</v>
      </c>
      <c r="B1308" s="1" t="s">
        <v>10475</v>
      </c>
      <c r="C1308" s="1" t="s">
        <v>10476</v>
      </c>
      <c r="D1308" s="1" t="s">
        <v>10477</v>
      </c>
    </row>
    <row r="1309" spans="1:4" x14ac:dyDescent="0.25">
      <c r="A1309" s="1" t="s">
        <v>2629</v>
      </c>
      <c r="B1309" s="1" t="s">
        <v>10478</v>
      </c>
      <c r="C1309" s="1" t="s">
        <v>10479</v>
      </c>
      <c r="D1309" s="1" t="s">
        <v>10480</v>
      </c>
    </row>
    <row r="1310" spans="1:4" x14ac:dyDescent="0.25">
      <c r="A1310" s="1" t="s">
        <v>2631</v>
      </c>
      <c r="B1310" s="1" t="s">
        <v>10481</v>
      </c>
      <c r="C1310" s="1" t="s">
        <v>10482</v>
      </c>
      <c r="D1310" s="1" t="s">
        <v>10483</v>
      </c>
    </row>
    <row r="1311" spans="1:4" x14ac:dyDescent="0.25">
      <c r="A1311" s="1" t="s">
        <v>2633</v>
      </c>
      <c r="B1311" s="1" t="s">
        <v>10484</v>
      </c>
      <c r="C1311" s="1" t="s">
        <v>10485</v>
      </c>
      <c r="D1311" s="1" t="s">
        <v>10486</v>
      </c>
    </row>
    <row r="1312" spans="1:4" x14ac:dyDescent="0.25">
      <c r="A1312" s="1" t="s">
        <v>2635</v>
      </c>
      <c r="B1312" s="1" t="s">
        <v>10487</v>
      </c>
      <c r="C1312" s="1" t="s">
        <v>10488</v>
      </c>
      <c r="D1312" s="1" t="s">
        <v>10489</v>
      </c>
    </row>
    <row r="1313" spans="1:4" x14ac:dyDescent="0.25">
      <c r="A1313" s="1" t="s">
        <v>2637</v>
      </c>
      <c r="B1313" s="1" t="s">
        <v>10490</v>
      </c>
      <c r="C1313" s="1" t="s">
        <v>10491</v>
      </c>
      <c r="D1313" s="1" t="s">
        <v>10492</v>
      </c>
    </row>
    <row r="1314" spans="1:4" x14ac:dyDescent="0.25">
      <c r="A1314" s="1" t="s">
        <v>2639</v>
      </c>
      <c r="B1314" s="1" t="s">
        <v>10493</v>
      </c>
      <c r="C1314" s="1" t="s">
        <v>10494</v>
      </c>
      <c r="D1314" s="1" t="s">
        <v>10495</v>
      </c>
    </row>
    <row r="1315" spans="1:4" x14ac:dyDescent="0.25">
      <c r="A1315" s="1" t="s">
        <v>2641</v>
      </c>
      <c r="B1315" s="1" t="s">
        <v>10496</v>
      </c>
      <c r="C1315" s="1" t="s">
        <v>10497</v>
      </c>
      <c r="D1315" s="1" t="s">
        <v>10498</v>
      </c>
    </row>
    <row r="1316" spans="1:4" x14ac:dyDescent="0.25">
      <c r="A1316" s="1" t="s">
        <v>2643</v>
      </c>
      <c r="B1316" s="1" t="s">
        <v>10499</v>
      </c>
      <c r="C1316" s="1" t="s">
        <v>10500</v>
      </c>
      <c r="D1316" s="1" t="s">
        <v>10501</v>
      </c>
    </row>
    <row r="1317" spans="1:4" x14ac:dyDescent="0.25">
      <c r="A1317" s="1" t="s">
        <v>2645</v>
      </c>
      <c r="B1317" s="1" t="s">
        <v>10502</v>
      </c>
      <c r="C1317" s="1" t="s">
        <v>10503</v>
      </c>
      <c r="D1317" s="1" t="s">
        <v>10504</v>
      </c>
    </row>
    <row r="1318" spans="1:4" x14ac:dyDescent="0.25">
      <c r="A1318" s="1" t="s">
        <v>2647</v>
      </c>
      <c r="B1318" s="1" t="s">
        <v>10505</v>
      </c>
      <c r="C1318" s="1" t="s">
        <v>10506</v>
      </c>
      <c r="D1318" s="1" t="s">
        <v>10507</v>
      </c>
    </row>
    <row r="1319" spans="1:4" x14ac:dyDescent="0.25">
      <c r="A1319" s="1" t="s">
        <v>2649</v>
      </c>
      <c r="B1319" s="1" t="s">
        <v>10508</v>
      </c>
      <c r="C1319" s="1" t="s">
        <v>10509</v>
      </c>
      <c r="D1319" s="1" t="s">
        <v>10510</v>
      </c>
    </row>
    <row r="1320" spans="1:4" x14ac:dyDescent="0.25">
      <c r="A1320" s="1" t="s">
        <v>2651</v>
      </c>
      <c r="B1320" s="1" t="s">
        <v>10511</v>
      </c>
      <c r="C1320" s="1" t="s">
        <v>10512</v>
      </c>
      <c r="D1320" s="1" t="s">
        <v>10513</v>
      </c>
    </row>
    <row r="1321" spans="1:4" x14ac:dyDescent="0.25">
      <c r="A1321" s="1" t="s">
        <v>2653</v>
      </c>
      <c r="B1321" s="1" t="s">
        <v>10514</v>
      </c>
      <c r="C1321" s="1" t="s">
        <v>10515</v>
      </c>
      <c r="D1321" s="1" t="s">
        <v>10516</v>
      </c>
    </row>
    <row r="1322" spans="1:4" x14ac:dyDescent="0.25">
      <c r="A1322" s="1" t="s">
        <v>2655</v>
      </c>
      <c r="B1322" s="1" t="s">
        <v>10517</v>
      </c>
      <c r="C1322" s="1" t="s">
        <v>10518</v>
      </c>
      <c r="D1322" s="1" t="s">
        <v>10519</v>
      </c>
    </row>
    <row r="1323" spans="1:4" x14ac:dyDescent="0.25">
      <c r="A1323" s="1" t="s">
        <v>2657</v>
      </c>
      <c r="B1323" s="1" t="s">
        <v>10520</v>
      </c>
      <c r="C1323" s="1" t="s">
        <v>10521</v>
      </c>
      <c r="D1323" s="1" t="s">
        <v>10522</v>
      </c>
    </row>
    <row r="1324" spans="1:4" x14ac:dyDescent="0.25">
      <c r="A1324" s="1" t="s">
        <v>2659</v>
      </c>
      <c r="B1324" s="1" t="s">
        <v>10523</v>
      </c>
      <c r="C1324" s="1" t="s">
        <v>10524</v>
      </c>
      <c r="D1324" s="1" t="s">
        <v>10525</v>
      </c>
    </row>
    <row r="1325" spans="1:4" x14ac:dyDescent="0.25">
      <c r="A1325" s="1" t="s">
        <v>2661</v>
      </c>
      <c r="B1325" s="1" t="s">
        <v>10526</v>
      </c>
      <c r="C1325" s="1" t="s">
        <v>10527</v>
      </c>
      <c r="D1325" s="1" t="s">
        <v>10528</v>
      </c>
    </row>
    <row r="1326" spans="1:4" x14ac:dyDescent="0.25">
      <c r="A1326" s="1" t="s">
        <v>2663</v>
      </c>
      <c r="B1326" s="1" t="s">
        <v>10529</v>
      </c>
      <c r="C1326" s="1" t="s">
        <v>10530</v>
      </c>
      <c r="D1326" s="1" t="s">
        <v>10531</v>
      </c>
    </row>
    <row r="1327" spans="1:4" x14ac:dyDescent="0.25">
      <c r="A1327" s="1" t="s">
        <v>2665</v>
      </c>
      <c r="B1327" s="1" t="s">
        <v>10532</v>
      </c>
      <c r="C1327" s="1" t="s">
        <v>10533</v>
      </c>
      <c r="D1327" s="1" t="s">
        <v>10534</v>
      </c>
    </row>
    <row r="1328" spans="1:4" x14ac:dyDescent="0.25">
      <c r="A1328" s="1" t="s">
        <v>2667</v>
      </c>
      <c r="B1328" s="1" t="s">
        <v>10535</v>
      </c>
      <c r="C1328" s="1" t="s">
        <v>10536</v>
      </c>
      <c r="D1328" s="1" t="s">
        <v>10537</v>
      </c>
    </row>
    <row r="1329" spans="1:4" x14ac:dyDescent="0.25">
      <c r="A1329" s="1" t="s">
        <v>2669</v>
      </c>
      <c r="B1329" s="1" t="s">
        <v>10538</v>
      </c>
      <c r="C1329" s="1" t="s">
        <v>10539</v>
      </c>
      <c r="D1329" s="1" t="s">
        <v>10540</v>
      </c>
    </row>
    <row r="1330" spans="1:4" x14ac:dyDescent="0.25">
      <c r="A1330" s="1" t="s">
        <v>2671</v>
      </c>
      <c r="B1330" s="1" t="s">
        <v>10541</v>
      </c>
      <c r="C1330" s="1" t="s">
        <v>10542</v>
      </c>
      <c r="D1330" s="1" t="s">
        <v>10543</v>
      </c>
    </row>
    <row r="1331" spans="1:4" x14ac:dyDescent="0.25">
      <c r="A1331" s="1" t="s">
        <v>2673</v>
      </c>
      <c r="B1331" s="1" t="s">
        <v>10544</v>
      </c>
      <c r="C1331" s="1" t="s">
        <v>10545</v>
      </c>
      <c r="D1331" s="1" t="s">
        <v>10546</v>
      </c>
    </row>
    <row r="1332" spans="1:4" x14ac:dyDescent="0.25">
      <c r="A1332" s="1" t="s">
        <v>2675</v>
      </c>
      <c r="B1332" s="1" t="s">
        <v>10547</v>
      </c>
      <c r="C1332" s="1" t="s">
        <v>10548</v>
      </c>
      <c r="D1332" s="1" t="s">
        <v>10549</v>
      </c>
    </row>
    <row r="1333" spans="1:4" x14ac:dyDescent="0.25">
      <c r="A1333" s="1" t="s">
        <v>2677</v>
      </c>
      <c r="B1333" s="1" t="s">
        <v>10550</v>
      </c>
      <c r="C1333" s="1" t="s">
        <v>10551</v>
      </c>
      <c r="D1333" s="1" t="s">
        <v>10552</v>
      </c>
    </row>
    <row r="1334" spans="1:4" x14ac:dyDescent="0.25">
      <c r="A1334" s="1" t="s">
        <v>2679</v>
      </c>
      <c r="B1334" s="1" t="s">
        <v>10553</v>
      </c>
      <c r="C1334" s="1" t="s">
        <v>10554</v>
      </c>
      <c r="D1334" s="1" t="s">
        <v>10555</v>
      </c>
    </row>
    <row r="1335" spans="1:4" x14ac:dyDescent="0.25">
      <c r="A1335" s="1" t="s">
        <v>2681</v>
      </c>
      <c r="B1335" s="1" t="s">
        <v>10556</v>
      </c>
      <c r="C1335" s="1" t="s">
        <v>10557</v>
      </c>
      <c r="D1335" s="1" t="s">
        <v>10558</v>
      </c>
    </row>
    <row r="1336" spans="1:4" x14ac:dyDescent="0.25">
      <c r="A1336" s="1" t="s">
        <v>2683</v>
      </c>
      <c r="B1336" s="1" t="s">
        <v>10559</v>
      </c>
      <c r="C1336" s="1" t="s">
        <v>10560</v>
      </c>
      <c r="D1336" s="1" t="s">
        <v>10561</v>
      </c>
    </row>
    <row r="1337" spans="1:4" x14ac:dyDescent="0.25">
      <c r="A1337" s="1" t="s">
        <v>2685</v>
      </c>
      <c r="B1337" s="1" t="s">
        <v>10562</v>
      </c>
      <c r="C1337" s="1" t="s">
        <v>10563</v>
      </c>
      <c r="D1337" s="1" t="s">
        <v>10564</v>
      </c>
    </row>
    <row r="1338" spans="1:4" x14ac:dyDescent="0.25">
      <c r="A1338" s="1" t="s">
        <v>2687</v>
      </c>
      <c r="B1338" s="1" t="s">
        <v>10565</v>
      </c>
      <c r="C1338" s="1" t="s">
        <v>10566</v>
      </c>
      <c r="D1338" s="1" t="s">
        <v>10567</v>
      </c>
    </row>
    <row r="1339" spans="1:4" x14ac:dyDescent="0.25">
      <c r="A1339" s="1" t="s">
        <v>2689</v>
      </c>
      <c r="B1339" s="1" t="s">
        <v>10568</v>
      </c>
      <c r="C1339" s="1" t="s">
        <v>10569</v>
      </c>
      <c r="D1339" s="1" t="s">
        <v>10570</v>
      </c>
    </row>
    <row r="1340" spans="1:4" x14ac:dyDescent="0.25">
      <c r="A1340" s="1" t="s">
        <v>2691</v>
      </c>
      <c r="B1340" s="1" t="s">
        <v>10571</v>
      </c>
      <c r="C1340" s="1" t="s">
        <v>10572</v>
      </c>
      <c r="D1340" s="1" t="s">
        <v>10573</v>
      </c>
    </row>
    <row r="1341" spans="1:4" x14ac:dyDescent="0.25">
      <c r="A1341" s="1" t="s">
        <v>2693</v>
      </c>
      <c r="B1341" s="1" t="s">
        <v>10574</v>
      </c>
      <c r="C1341" s="1" t="s">
        <v>10575</v>
      </c>
      <c r="D1341" s="1" t="s">
        <v>10576</v>
      </c>
    </row>
    <row r="1342" spans="1:4" x14ac:dyDescent="0.25">
      <c r="A1342" s="1" t="s">
        <v>2695</v>
      </c>
      <c r="B1342" s="1" t="s">
        <v>10577</v>
      </c>
      <c r="C1342" s="1" t="s">
        <v>10578</v>
      </c>
      <c r="D1342" s="1" t="s">
        <v>10579</v>
      </c>
    </row>
    <row r="1343" spans="1:4" x14ac:dyDescent="0.25">
      <c r="A1343" s="1" t="s">
        <v>2697</v>
      </c>
      <c r="B1343" s="1" t="s">
        <v>10580</v>
      </c>
      <c r="C1343" s="1" t="s">
        <v>10581</v>
      </c>
      <c r="D1343" s="1" t="s">
        <v>10582</v>
      </c>
    </row>
    <row r="1344" spans="1:4" x14ac:dyDescent="0.25">
      <c r="A1344" s="1" t="s">
        <v>2699</v>
      </c>
      <c r="B1344" s="1" t="s">
        <v>10583</v>
      </c>
      <c r="C1344" s="1" t="s">
        <v>10584</v>
      </c>
      <c r="D1344" s="1" t="s">
        <v>10585</v>
      </c>
    </row>
    <row r="1345" spans="1:4" x14ac:dyDescent="0.25">
      <c r="A1345" s="1" t="s">
        <v>2701</v>
      </c>
      <c r="B1345" s="1" t="s">
        <v>10586</v>
      </c>
      <c r="C1345" s="1" t="s">
        <v>10587</v>
      </c>
      <c r="D1345" s="1" t="s">
        <v>10588</v>
      </c>
    </row>
    <row r="1346" spans="1:4" x14ac:dyDescent="0.25">
      <c r="A1346" s="1" t="s">
        <v>2703</v>
      </c>
      <c r="B1346" s="1" t="s">
        <v>10589</v>
      </c>
      <c r="C1346" s="1" t="s">
        <v>10590</v>
      </c>
      <c r="D1346" s="1" t="s">
        <v>10591</v>
      </c>
    </row>
    <row r="1347" spans="1:4" x14ac:dyDescent="0.25">
      <c r="A1347" s="1" t="s">
        <v>2705</v>
      </c>
      <c r="B1347" s="1" t="s">
        <v>10592</v>
      </c>
      <c r="C1347" s="1" t="s">
        <v>10593</v>
      </c>
      <c r="D1347" s="1" t="s">
        <v>10594</v>
      </c>
    </row>
    <row r="1348" spans="1:4" x14ac:dyDescent="0.25">
      <c r="A1348" s="1" t="s">
        <v>2707</v>
      </c>
      <c r="B1348" s="1" t="s">
        <v>10595</v>
      </c>
      <c r="C1348" s="1" t="s">
        <v>10596</v>
      </c>
      <c r="D1348" s="1" t="s">
        <v>10597</v>
      </c>
    </row>
    <row r="1349" spans="1:4" x14ac:dyDescent="0.25">
      <c r="A1349" s="1" t="s">
        <v>2709</v>
      </c>
      <c r="B1349" s="1" t="s">
        <v>10598</v>
      </c>
      <c r="C1349" s="1" t="s">
        <v>10599</v>
      </c>
      <c r="D1349" s="1" t="s">
        <v>10600</v>
      </c>
    </row>
    <row r="1350" spans="1:4" x14ac:dyDescent="0.25">
      <c r="A1350" s="1" t="s">
        <v>2711</v>
      </c>
      <c r="B1350" s="1" t="s">
        <v>10601</v>
      </c>
      <c r="C1350" s="1" t="s">
        <v>10602</v>
      </c>
      <c r="D1350" s="1" t="s">
        <v>10603</v>
      </c>
    </row>
    <row r="1351" spans="1:4" x14ac:dyDescent="0.25">
      <c r="A1351" s="1" t="s">
        <v>2713</v>
      </c>
      <c r="B1351" s="1" t="s">
        <v>10604</v>
      </c>
      <c r="C1351" s="1" t="s">
        <v>10605</v>
      </c>
      <c r="D1351" s="1" t="s">
        <v>10606</v>
      </c>
    </row>
    <row r="1352" spans="1:4" x14ac:dyDescent="0.25">
      <c r="A1352" s="1" t="s">
        <v>2715</v>
      </c>
      <c r="B1352" s="1" t="s">
        <v>10607</v>
      </c>
      <c r="C1352" s="1" t="s">
        <v>10608</v>
      </c>
      <c r="D1352" s="1" t="s">
        <v>10609</v>
      </c>
    </row>
    <row r="1353" spans="1:4" x14ac:dyDescent="0.25">
      <c r="A1353" s="1" t="s">
        <v>2717</v>
      </c>
      <c r="B1353" s="1" t="s">
        <v>10610</v>
      </c>
      <c r="C1353" s="1" t="s">
        <v>10611</v>
      </c>
      <c r="D1353" s="1" t="s">
        <v>10612</v>
      </c>
    </row>
    <row r="1354" spans="1:4" x14ac:dyDescent="0.25">
      <c r="A1354" s="1" t="s">
        <v>2719</v>
      </c>
      <c r="B1354" s="1" t="s">
        <v>10613</v>
      </c>
      <c r="C1354" s="1" t="s">
        <v>10614</v>
      </c>
      <c r="D1354" s="1" t="s">
        <v>10615</v>
      </c>
    </row>
    <row r="1355" spans="1:4" x14ac:dyDescent="0.25">
      <c r="A1355" s="1" t="s">
        <v>2721</v>
      </c>
      <c r="B1355" s="1" t="s">
        <v>10616</v>
      </c>
      <c r="C1355" s="1" t="s">
        <v>10617</v>
      </c>
      <c r="D1355" s="1" t="s">
        <v>10618</v>
      </c>
    </row>
    <row r="1356" spans="1:4" x14ac:dyDescent="0.25">
      <c r="A1356" s="1" t="s">
        <v>2723</v>
      </c>
      <c r="B1356" s="1" t="s">
        <v>10619</v>
      </c>
      <c r="C1356" s="1" t="s">
        <v>10620</v>
      </c>
      <c r="D1356" s="1" t="s">
        <v>10621</v>
      </c>
    </row>
    <row r="1357" spans="1:4" x14ac:dyDescent="0.25">
      <c r="A1357" s="1" t="s">
        <v>2725</v>
      </c>
      <c r="B1357" s="1" t="s">
        <v>10622</v>
      </c>
      <c r="C1357" s="1" t="s">
        <v>10623</v>
      </c>
      <c r="D1357" s="1" t="s">
        <v>10624</v>
      </c>
    </row>
    <row r="1358" spans="1:4" x14ac:dyDescent="0.25">
      <c r="A1358" s="1" t="s">
        <v>2727</v>
      </c>
      <c r="B1358" s="1" t="s">
        <v>10625</v>
      </c>
      <c r="C1358" s="1" t="s">
        <v>10626</v>
      </c>
      <c r="D1358" s="1" t="s">
        <v>10627</v>
      </c>
    </row>
    <row r="1359" spans="1:4" x14ac:dyDescent="0.25">
      <c r="A1359" s="1" t="s">
        <v>2729</v>
      </c>
      <c r="B1359" s="1" t="s">
        <v>10628</v>
      </c>
      <c r="C1359" s="1" t="s">
        <v>10629</v>
      </c>
      <c r="D1359" s="1" t="s">
        <v>10630</v>
      </c>
    </row>
    <row r="1360" spans="1:4" x14ac:dyDescent="0.25">
      <c r="A1360" s="1" t="s">
        <v>2731</v>
      </c>
      <c r="B1360" s="1" t="s">
        <v>10631</v>
      </c>
      <c r="C1360" s="1" t="s">
        <v>10632</v>
      </c>
      <c r="D1360" s="1" t="s">
        <v>10633</v>
      </c>
    </row>
    <row r="1361" spans="1:4" x14ac:dyDescent="0.25">
      <c r="A1361" s="1" t="s">
        <v>2733</v>
      </c>
      <c r="B1361" s="1" t="s">
        <v>10634</v>
      </c>
      <c r="C1361" s="1" t="s">
        <v>10635</v>
      </c>
      <c r="D1361" s="1" t="s">
        <v>10636</v>
      </c>
    </row>
    <row r="1362" spans="1:4" x14ac:dyDescent="0.25">
      <c r="A1362" s="1" t="s">
        <v>2735</v>
      </c>
      <c r="B1362" s="1" t="s">
        <v>10637</v>
      </c>
      <c r="C1362" s="1" t="s">
        <v>10638</v>
      </c>
      <c r="D1362" s="1" t="s">
        <v>10639</v>
      </c>
    </row>
    <row r="1363" spans="1:4" x14ac:dyDescent="0.25">
      <c r="A1363" s="1" t="s">
        <v>2737</v>
      </c>
      <c r="B1363" s="1" t="s">
        <v>10640</v>
      </c>
      <c r="C1363" s="1" t="s">
        <v>10641</v>
      </c>
      <c r="D1363" s="1" t="s">
        <v>10642</v>
      </c>
    </row>
    <row r="1364" spans="1:4" x14ac:dyDescent="0.25">
      <c r="A1364" s="1" t="s">
        <v>2739</v>
      </c>
      <c r="B1364" s="1" t="s">
        <v>10643</v>
      </c>
      <c r="C1364" s="1" t="s">
        <v>10644</v>
      </c>
      <c r="D1364" s="1" t="s">
        <v>10645</v>
      </c>
    </row>
    <row r="1365" spans="1:4" x14ac:dyDescent="0.25">
      <c r="A1365" s="1" t="s">
        <v>2741</v>
      </c>
      <c r="B1365" s="1" t="s">
        <v>10646</v>
      </c>
      <c r="C1365" s="1" t="s">
        <v>10647</v>
      </c>
      <c r="D1365" s="1" t="s">
        <v>10648</v>
      </c>
    </row>
    <row r="1366" spans="1:4" x14ac:dyDescent="0.25">
      <c r="A1366" s="1" t="s">
        <v>2743</v>
      </c>
      <c r="B1366" s="1" t="s">
        <v>10649</v>
      </c>
      <c r="C1366" s="1" t="s">
        <v>10650</v>
      </c>
      <c r="D1366" s="1" t="s">
        <v>10651</v>
      </c>
    </row>
    <row r="1367" spans="1:4" x14ac:dyDescent="0.25">
      <c r="A1367" s="1" t="s">
        <v>2745</v>
      </c>
      <c r="B1367" s="1" t="s">
        <v>10652</v>
      </c>
      <c r="C1367" s="1" t="s">
        <v>10653</v>
      </c>
      <c r="D1367" s="1" t="s">
        <v>10654</v>
      </c>
    </row>
    <row r="1368" spans="1:4" x14ac:dyDescent="0.25">
      <c r="A1368" s="1" t="s">
        <v>2747</v>
      </c>
      <c r="B1368" s="1" t="s">
        <v>10655</v>
      </c>
      <c r="C1368" s="1" t="s">
        <v>10656</v>
      </c>
      <c r="D1368" s="1" t="s">
        <v>10657</v>
      </c>
    </row>
    <row r="1369" spans="1:4" x14ac:dyDescent="0.25">
      <c r="A1369" s="1" t="s">
        <v>2749</v>
      </c>
      <c r="B1369" s="1" t="s">
        <v>10658</v>
      </c>
      <c r="C1369" s="1" t="s">
        <v>10659</v>
      </c>
      <c r="D1369" s="1" t="s">
        <v>10660</v>
      </c>
    </row>
    <row r="1370" spans="1:4" x14ac:dyDescent="0.25">
      <c r="A1370" s="1" t="s">
        <v>2751</v>
      </c>
      <c r="B1370" s="1" t="s">
        <v>10661</v>
      </c>
      <c r="C1370" s="1" t="s">
        <v>10662</v>
      </c>
      <c r="D1370" s="1" t="s">
        <v>10663</v>
      </c>
    </row>
    <row r="1371" spans="1:4" x14ac:dyDescent="0.25">
      <c r="A1371" s="1" t="s">
        <v>2753</v>
      </c>
      <c r="B1371" s="1" t="s">
        <v>10664</v>
      </c>
      <c r="C1371" s="1" t="s">
        <v>10665</v>
      </c>
      <c r="D1371" s="1" t="s">
        <v>10666</v>
      </c>
    </row>
    <row r="1372" spans="1:4" x14ac:dyDescent="0.25">
      <c r="A1372" s="1" t="s">
        <v>2755</v>
      </c>
      <c r="B1372" s="1" t="s">
        <v>10667</v>
      </c>
      <c r="C1372" s="1" t="s">
        <v>10668</v>
      </c>
      <c r="D1372" s="1" t="s">
        <v>10669</v>
      </c>
    </row>
    <row r="1373" spans="1:4" x14ac:dyDescent="0.25">
      <c r="A1373" s="1" t="s">
        <v>2757</v>
      </c>
      <c r="B1373" s="1" t="s">
        <v>10670</v>
      </c>
      <c r="C1373" s="1" t="s">
        <v>10671</v>
      </c>
      <c r="D1373" s="1" t="s">
        <v>10672</v>
      </c>
    </row>
    <row r="1374" spans="1:4" x14ac:dyDescent="0.25">
      <c r="A1374" s="1" t="s">
        <v>2759</v>
      </c>
      <c r="B1374" s="1" t="s">
        <v>10673</v>
      </c>
      <c r="C1374" s="1" t="s">
        <v>10674</v>
      </c>
      <c r="D1374" s="1" t="s">
        <v>10675</v>
      </c>
    </row>
    <row r="1375" spans="1:4" x14ac:dyDescent="0.25">
      <c r="A1375" s="1" t="s">
        <v>2761</v>
      </c>
      <c r="B1375" s="1" t="s">
        <v>10676</v>
      </c>
      <c r="C1375" s="1" t="s">
        <v>10677</v>
      </c>
      <c r="D1375" s="1" t="s">
        <v>10678</v>
      </c>
    </row>
    <row r="1376" spans="1:4" x14ac:dyDescent="0.25">
      <c r="A1376" s="1" t="s">
        <v>2763</v>
      </c>
      <c r="B1376" s="1" t="s">
        <v>10679</v>
      </c>
      <c r="C1376" s="1" t="s">
        <v>10680</v>
      </c>
      <c r="D1376" s="1" t="s">
        <v>10681</v>
      </c>
    </row>
    <row r="1377" spans="1:4" x14ac:dyDescent="0.25">
      <c r="A1377" s="1" t="s">
        <v>2765</v>
      </c>
      <c r="B1377" s="1" t="s">
        <v>10682</v>
      </c>
      <c r="C1377" s="1" t="s">
        <v>10683</v>
      </c>
      <c r="D1377" s="1" t="s">
        <v>10684</v>
      </c>
    </row>
    <row r="1378" spans="1:4" x14ac:dyDescent="0.25">
      <c r="A1378" s="1" t="s">
        <v>2767</v>
      </c>
      <c r="B1378" s="1" t="s">
        <v>10685</v>
      </c>
      <c r="C1378" s="1" t="s">
        <v>10686</v>
      </c>
      <c r="D1378" s="1" t="s">
        <v>10687</v>
      </c>
    </row>
    <row r="1379" spans="1:4" x14ac:dyDescent="0.25">
      <c r="A1379" s="1" t="s">
        <v>2769</v>
      </c>
      <c r="B1379" s="1" t="s">
        <v>10688</v>
      </c>
      <c r="C1379" s="1" t="s">
        <v>10689</v>
      </c>
      <c r="D1379" s="1" t="s">
        <v>10690</v>
      </c>
    </row>
    <row r="1380" spans="1:4" x14ac:dyDescent="0.25">
      <c r="A1380" s="1" t="s">
        <v>2771</v>
      </c>
      <c r="B1380" s="1" t="s">
        <v>10691</v>
      </c>
      <c r="C1380" s="1" t="s">
        <v>10692</v>
      </c>
      <c r="D1380" s="1" t="s">
        <v>10693</v>
      </c>
    </row>
    <row r="1381" spans="1:4" x14ac:dyDescent="0.25">
      <c r="A1381" s="1" t="s">
        <v>2773</v>
      </c>
      <c r="B1381" s="1" t="s">
        <v>10694</v>
      </c>
      <c r="C1381" s="1" t="s">
        <v>10695</v>
      </c>
      <c r="D1381" s="1" t="s">
        <v>10696</v>
      </c>
    </row>
    <row r="1382" spans="1:4" x14ac:dyDescent="0.25">
      <c r="A1382" s="1" t="s">
        <v>2775</v>
      </c>
      <c r="B1382" s="1" t="s">
        <v>10697</v>
      </c>
      <c r="C1382" s="1" t="s">
        <v>10698</v>
      </c>
      <c r="D1382" s="1" t="s">
        <v>10699</v>
      </c>
    </row>
    <row r="1383" spans="1:4" x14ac:dyDescent="0.25">
      <c r="A1383" s="1" t="s">
        <v>2777</v>
      </c>
      <c r="B1383" s="1" t="s">
        <v>10700</v>
      </c>
      <c r="C1383" s="1" t="s">
        <v>10701</v>
      </c>
      <c r="D1383" s="1" t="s">
        <v>10702</v>
      </c>
    </row>
    <row r="1384" spans="1:4" x14ac:dyDescent="0.25">
      <c r="A1384" s="1" t="s">
        <v>2779</v>
      </c>
      <c r="B1384" s="1" t="s">
        <v>10703</v>
      </c>
      <c r="C1384" s="1" t="s">
        <v>10704</v>
      </c>
      <c r="D1384" s="1" t="s">
        <v>10705</v>
      </c>
    </row>
    <row r="1385" spans="1:4" x14ac:dyDescent="0.25">
      <c r="A1385" s="1" t="s">
        <v>2781</v>
      </c>
      <c r="B1385" s="1" t="s">
        <v>10706</v>
      </c>
      <c r="C1385" s="1" t="s">
        <v>10707</v>
      </c>
      <c r="D1385" s="1" t="s">
        <v>10708</v>
      </c>
    </row>
    <row r="1386" spans="1:4" x14ac:dyDescent="0.25">
      <c r="A1386" s="1" t="s">
        <v>2783</v>
      </c>
      <c r="B1386" s="1" t="s">
        <v>10709</v>
      </c>
      <c r="C1386" s="1" t="s">
        <v>10710</v>
      </c>
      <c r="D1386" s="1" t="s">
        <v>10711</v>
      </c>
    </row>
    <row r="1387" spans="1:4" x14ac:dyDescent="0.25">
      <c r="A1387" s="1" t="s">
        <v>2785</v>
      </c>
      <c r="B1387" s="1" t="s">
        <v>10712</v>
      </c>
      <c r="C1387" s="1" t="s">
        <v>10713</v>
      </c>
      <c r="D1387" s="1" t="s">
        <v>10714</v>
      </c>
    </row>
    <row r="1388" spans="1:4" x14ac:dyDescent="0.25">
      <c r="A1388" s="1" t="s">
        <v>2787</v>
      </c>
      <c r="B1388" s="1" t="s">
        <v>10715</v>
      </c>
      <c r="C1388" s="1" t="s">
        <v>10716</v>
      </c>
      <c r="D1388" s="1" t="s">
        <v>10717</v>
      </c>
    </row>
    <row r="1389" spans="1:4" x14ac:dyDescent="0.25">
      <c r="A1389" s="1" t="s">
        <v>2789</v>
      </c>
      <c r="B1389" s="1" t="s">
        <v>10718</v>
      </c>
      <c r="C1389" s="1" t="s">
        <v>10719</v>
      </c>
      <c r="D1389" s="1" t="s">
        <v>10720</v>
      </c>
    </row>
    <row r="1390" spans="1:4" x14ac:dyDescent="0.25">
      <c r="A1390" s="1" t="s">
        <v>2791</v>
      </c>
      <c r="B1390" s="1" t="s">
        <v>10721</v>
      </c>
      <c r="C1390" s="1" t="s">
        <v>10722</v>
      </c>
      <c r="D1390" s="1" t="s">
        <v>10723</v>
      </c>
    </row>
    <row r="1391" spans="1:4" x14ac:dyDescent="0.25">
      <c r="A1391" s="1" t="s">
        <v>2793</v>
      </c>
      <c r="B1391" s="1" t="s">
        <v>10724</v>
      </c>
      <c r="C1391" s="1" t="s">
        <v>10725</v>
      </c>
      <c r="D1391" s="1" t="s">
        <v>10726</v>
      </c>
    </row>
    <row r="1392" spans="1:4" x14ac:dyDescent="0.25">
      <c r="A1392" s="1" t="s">
        <v>2795</v>
      </c>
      <c r="B1392" s="1" t="s">
        <v>10727</v>
      </c>
      <c r="C1392" s="1" t="s">
        <v>10728</v>
      </c>
      <c r="D1392" s="1" t="s">
        <v>10729</v>
      </c>
    </row>
    <row r="1393" spans="1:4" x14ac:dyDescent="0.25">
      <c r="A1393" s="1" t="s">
        <v>2797</v>
      </c>
      <c r="B1393" s="1" t="s">
        <v>10730</v>
      </c>
      <c r="C1393" s="1" t="s">
        <v>10731</v>
      </c>
      <c r="D1393" s="1" t="s">
        <v>10732</v>
      </c>
    </row>
    <row r="1394" spans="1:4" x14ac:dyDescent="0.25">
      <c r="A1394" s="1" t="s">
        <v>2799</v>
      </c>
      <c r="B1394" s="1" t="s">
        <v>10733</v>
      </c>
      <c r="C1394" s="1" t="s">
        <v>10734</v>
      </c>
      <c r="D1394" s="1" t="s">
        <v>10735</v>
      </c>
    </row>
    <row r="1395" spans="1:4" x14ac:dyDescent="0.25">
      <c r="A1395" s="1" t="s">
        <v>2801</v>
      </c>
      <c r="B1395" s="1" t="s">
        <v>10736</v>
      </c>
      <c r="C1395" s="1" t="s">
        <v>10737</v>
      </c>
      <c r="D1395" s="1" t="s">
        <v>10738</v>
      </c>
    </row>
    <row r="1396" spans="1:4" x14ac:dyDescent="0.25">
      <c r="A1396" s="1" t="s">
        <v>2803</v>
      </c>
      <c r="B1396" s="1" t="s">
        <v>10739</v>
      </c>
      <c r="C1396" s="1" t="s">
        <v>10740</v>
      </c>
      <c r="D1396" s="1" t="s">
        <v>10741</v>
      </c>
    </row>
    <row r="1397" spans="1:4" x14ac:dyDescent="0.25">
      <c r="A1397" s="1" t="s">
        <v>2805</v>
      </c>
      <c r="B1397" s="1" t="s">
        <v>10742</v>
      </c>
      <c r="C1397" s="1" t="s">
        <v>10743</v>
      </c>
      <c r="D1397" s="1" t="s">
        <v>10744</v>
      </c>
    </row>
    <row r="1398" spans="1:4" x14ac:dyDescent="0.25">
      <c r="A1398" s="1" t="s">
        <v>2807</v>
      </c>
      <c r="B1398" s="1" t="s">
        <v>10745</v>
      </c>
      <c r="C1398" s="1" t="s">
        <v>10746</v>
      </c>
      <c r="D1398" s="1" t="s">
        <v>10747</v>
      </c>
    </row>
    <row r="1399" spans="1:4" x14ac:dyDescent="0.25">
      <c r="A1399" s="1" t="s">
        <v>2809</v>
      </c>
      <c r="B1399" s="1" t="s">
        <v>10748</v>
      </c>
      <c r="C1399" s="1" t="s">
        <v>10749</v>
      </c>
      <c r="D1399" s="1" t="s">
        <v>10750</v>
      </c>
    </row>
    <row r="1400" spans="1:4" x14ac:dyDescent="0.25">
      <c r="A1400" s="1" t="s">
        <v>2811</v>
      </c>
      <c r="B1400" s="1" t="s">
        <v>10751</v>
      </c>
      <c r="C1400" s="1" t="s">
        <v>10752</v>
      </c>
      <c r="D1400" s="1" t="s">
        <v>10753</v>
      </c>
    </row>
    <row r="1401" spans="1:4" x14ac:dyDescent="0.25">
      <c r="A1401" s="1" t="s">
        <v>2813</v>
      </c>
      <c r="B1401" s="1" t="s">
        <v>10754</v>
      </c>
      <c r="C1401" s="1" t="s">
        <v>10755</v>
      </c>
      <c r="D1401" s="1" t="s">
        <v>10756</v>
      </c>
    </row>
    <row r="1402" spans="1:4" x14ac:dyDescent="0.25">
      <c r="A1402" s="1" t="s">
        <v>2815</v>
      </c>
      <c r="B1402" s="1" t="s">
        <v>10757</v>
      </c>
      <c r="C1402" s="1" t="s">
        <v>10758</v>
      </c>
      <c r="D1402" s="1" t="s">
        <v>10759</v>
      </c>
    </row>
    <row r="1403" spans="1:4" x14ac:dyDescent="0.25">
      <c r="A1403" s="1" t="s">
        <v>2817</v>
      </c>
      <c r="B1403" s="1" t="s">
        <v>10760</v>
      </c>
      <c r="C1403" s="1" t="s">
        <v>10761</v>
      </c>
      <c r="D1403" s="1" t="s">
        <v>10762</v>
      </c>
    </row>
    <row r="1404" spans="1:4" x14ac:dyDescent="0.25">
      <c r="A1404" s="1" t="s">
        <v>2819</v>
      </c>
      <c r="B1404" s="1" t="s">
        <v>10763</v>
      </c>
      <c r="C1404" s="1" t="s">
        <v>10764</v>
      </c>
      <c r="D1404" s="1" t="s">
        <v>10765</v>
      </c>
    </row>
    <row r="1405" spans="1:4" x14ac:dyDescent="0.25">
      <c r="A1405" s="1" t="s">
        <v>2821</v>
      </c>
      <c r="B1405" s="1" t="s">
        <v>10766</v>
      </c>
      <c r="C1405" s="1" t="s">
        <v>10767</v>
      </c>
      <c r="D1405" s="1" t="s">
        <v>10768</v>
      </c>
    </row>
    <row r="1406" spans="1:4" x14ac:dyDescent="0.25">
      <c r="A1406" s="1" t="s">
        <v>2823</v>
      </c>
      <c r="B1406" s="1" t="s">
        <v>10769</v>
      </c>
      <c r="C1406" s="1" t="s">
        <v>10770</v>
      </c>
      <c r="D1406" s="1" t="s">
        <v>10771</v>
      </c>
    </row>
    <row r="1407" spans="1:4" x14ac:dyDescent="0.25">
      <c r="A1407" s="1" t="s">
        <v>2825</v>
      </c>
      <c r="B1407" s="1" t="s">
        <v>10772</v>
      </c>
      <c r="C1407" s="1" t="s">
        <v>10773</v>
      </c>
      <c r="D1407" s="1" t="s">
        <v>10774</v>
      </c>
    </row>
    <row r="1408" spans="1:4" x14ac:dyDescent="0.25">
      <c r="A1408" s="1" t="s">
        <v>2827</v>
      </c>
      <c r="B1408" s="1" t="s">
        <v>10775</v>
      </c>
      <c r="C1408" s="1" t="s">
        <v>10776</v>
      </c>
      <c r="D1408" s="1" t="s">
        <v>10777</v>
      </c>
    </row>
    <row r="1409" spans="1:4" x14ac:dyDescent="0.25">
      <c r="A1409" s="1" t="s">
        <v>2829</v>
      </c>
      <c r="B1409" s="1" t="s">
        <v>10778</v>
      </c>
      <c r="C1409" s="1" t="s">
        <v>10779</v>
      </c>
      <c r="D1409" s="1" t="s">
        <v>10780</v>
      </c>
    </row>
    <row r="1410" spans="1:4" x14ac:dyDescent="0.25">
      <c r="A1410" s="1" t="s">
        <v>2831</v>
      </c>
      <c r="B1410" s="1" t="s">
        <v>10781</v>
      </c>
      <c r="C1410" s="1" t="s">
        <v>10782</v>
      </c>
      <c r="D1410" s="1" t="s">
        <v>10783</v>
      </c>
    </row>
    <row r="1411" spans="1:4" x14ac:dyDescent="0.25">
      <c r="A1411" s="1" t="s">
        <v>2833</v>
      </c>
      <c r="B1411" s="1" t="s">
        <v>10784</v>
      </c>
      <c r="C1411" s="1" t="s">
        <v>10785</v>
      </c>
      <c r="D1411" s="1" t="s">
        <v>10786</v>
      </c>
    </row>
    <row r="1412" spans="1:4" x14ac:dyDescent="0.25">
      <c r="A1412" s="1" t="s">
        <v>2835</v>
      </c>
      <c r="B1412" s="1" t="s">
        <v>10787</v>
      </c>
      <c r="C1412" s="1" t="s">
        <v>10788</v>
      </c>
      <c r="D1412" s="1" t="s">
        <v>10789</v>
      </c>
    </row>
    <row r="1413" spans="1:4" x14ac:dyDescent="0.25">
      <c r="A1413" s="1" t="s">
        <v>2837</v>
      </c>
      <c r="B1413" s="1" t="s">
        <v>10790</v>
      </c>
      <c r="C1413" s="1" t="s">
        <v>10791</v>
      </c>
      <c r="D1413" s="1" t="s">
        <v>10792</v>
      </c>
    </row>
    <row r="1414" spans="1:4" x14ac:dyDescent="0.25">
      <c r="A1414" s="1" t="s">
        <v>2839</v>
      </c>
      <c r="B1414" s="1" t="s">
        <v>10793</v>
      </c>
      <c r="C1414" s="1" t="s">
        <v>10794</v>
      </c>
      <c r="D1414" s="1" t="s">
        <v>10795</v>
      </c>
    </row>
    <row r="1415" spans="1:4" x14ac:dyDescent="0.25">
      <c r="A1415" s="1" t="s">
        <v>2841</v>
      </c>
      <c r="B1415" s="1" t="s">
        <v>10796</v>
      </c>
      <c r="C1415" s="1" t="s">
        <v>10797</v>
      </c>
      <c r="D1415" s="1" t="s">
        <v>10798</v>
      </c>
    </row>
    <row r="1416" spans="1:4" x14ac:dyDescent="0.25">
      <c r="A1416" s="1" t="s">
        <v>2843</v>
      </c>
      <c r="B1416" s="1" t="s">
        <v>10799</v>
      </c>
      <c r="C1416" s="1" t="s">
        <v>10800</v>
      </c>
      <c r="D1416" s="1" t="s">
        <v>10801</v>
      </c>
    </row>
    <row r="1417" spans="1:4" x14ac:dyDescent="0.25">
      <c r="A1417" s="1" t="s">
        <v>2845</v>
      </c>
      <c r="B1417" s="1" t="s">
        <v>10802</v>
      </c>
      <c r="C1417" s="1" t="s">
        <v>10803</v>
      </c>
      <c r="D1417" s="1" t="s">
        <v>10804</v>
      </c>
    </row>
    <row r="1418" spans="1:4" x14ac:dyDescent="0.25">
      <c r="A1418" s="1" t="s">
        <v>2847</v>
      </c>
      <c r="B1418" s="1" t="s">
        <v>10805</v>
      </c>
      <c r="C1418" s="1" t="s">
        <v>10806</v>
      </c>
      <c r="D1418" s="1" t="s">
        <v>10807</v>
      </c>
    </row>
    <row r="1419" spans="1:4" x14ac:dyDescent="0.25">
      <c r="A1419" s="1" t="s">
        <v>2849</v>
      </c>
      <c r="B1419" s="1" t="s">
        <v>10808</v>
      </c>
      <c r="C1419" s="1" t="s">
        <v>10809</v>
      </c>
      <c r="D1419" s="1" t="s">
        <v>10810</v>
      </c>
    </row>
    <row r="1420" spans="1:4" x14ac:dyDescent="0.25">
      <c r="A1420" s="1" t="s">
        <v>2851</v>
      </c>
      <c r="B1420" s="1" t="s">
        <v>10811</v>
      </c>
      <c r="C1420" s="1" t="s">
        <v>10812</v>
      </c>
      <c r="D1420" s="1" t="s">
        <v>10813</v>
      </c>
    </row>
    <row r="1421" spans="1:4" x14ac:dyDescent="0.25">
      <c r="A1421" s="1" t="s">
        <v>2853</v>
      </c>
      <c r="B1421" s="1" t="s">
        <v>10814</v>
      </c>
      <c r="C1421" s="1" t="s">
        <v>10815</v>
      </c>
      <c r="D1421" s="1" t="s">
        <v>10816</v>
      </c>
    </row>
    <row r="1422" spans="1:4" x14ac:dyDescent="0.25">
      <c r="A1422" s="1" t="s">
        <v>2855</v>
      </c>
      <c r="B1422" s="1" t="s">
        <v>10817</v>
      </c>
      <c r="C1422" s="1" t="s">
        <v>10818</v>
      </c>
      <c r="D1422" s="1" t="s">
        <v>10819</v>
      </c>
    </row>
    <row r="1423" spans="1:4" x14ac:dyDescent="0.25">
      <c r="A1423" s="1" t="s">
        <v>2857</v>
      </c>
      <c r="B1423" s="1" t="s">
        <v>10820</v>
      </c>
      <c r="C1423" s="1" t="s">
        <v>10821</v>
      </c>
      <c r="D1423" s="1" t="s">
        <v>10822</v>
      </c>
    </row>
    <row r="1424" spans="1:4" x14ac:dyDescent="0.25">
      <c r="A1424" s="1" t="s">
        <v>2859</v>
      </c>
      <c r="B1424" s="1" t="s">
        <v>10823</v>
      </c>
      <c r="C1424" s="1" t="s">
        <v>10824</v>
      </c>
      <c r="D1424" s="1" t="s">
        <v>10825</v>
      </c>
    </row>
    <row r="1425" spans="1:4" x14ac:dyDescent="0.25">
      <c r="A1425" s="1" t="s">
        <v>2861</v>
      </c>
      <c r="B1425" s="1" t="s">
        <v>10826</v>
      </c>
      <c r="C1425" s="1" t="s">
        <v>10827</v>
      </c>
      <c r="D1425" s="1" t="s">
        <v>10828</v>
      </c>
    </row>
    <row r="1426" spans="1:4" x14ac:dyDescent="0.25">
      <c r="A1426" s="1" t="s">
        <v>2863</v>
      </c>
      <c r="B1426" s="1" t="s">
        <v>10829</v>
      </c>
      <c r="C1426" s="1" t="s">
        <v>10830</v>
      </c>
      <c r="D1426" s="1" t="s">
        <v>10831</v>
      </c>
    </row>
    <row r="1427" spans="1:4" x14ac:dyDescent="0.25">
      <c r="A1427" s="1" t="s">
        <v>2865</v>
      </c>
      <c r="B1427" s="1" t="s">
        <v>10832</v>
      </c>
      <c r="C1427" s="1" t="s">
        <v>10833</v>
      </c>
      <c r="D1427" s="1" t="s">
        <v>10834</v>
      </c>
    </row>
    <row r="1428" spans="1:4" x14ac:dyDescent="0.25">
      <c r="A1428" s="1" t="s">
        <v>2867</v>
      </c>
      <c r="B1428" s="1" t="s">
        <v>10835</v>
      </c>
      <c r="C1428" s="1" t="s">
        <v>10836</v>
      </c>
      <c r="D1428" s="1" t="s">
        <v>10837</v>
      </c>
    </row>
    <row r="1429" spans="1:4" x14ac:dyDescent="0.25">
      <c r="A1429" s="1" t="s">
        <v>2869</v>
      </c>
      <c r="B1429" s="1" t="s">
        <v>10838</v>
      </c>
      <c r="C1429" s="1" t="s">
        <v>10839</v>
      </c>
      <c r="D1429" s="1" t="s">
        <v>10840</v>
      </c>
    </row>
    <row r="1430" spans="1:4" x14ac:dyDescent="0.25">
      <c r="A1430" s="1" t="s">
        <v>2871</v>
      </c>
      <c r="B1430" s="1" t="s">
        <v>10841</v>
      </c>
      <c r="C1430" s="1" t="s">
        <v>10842</v>
      </c>
      <c r="D1430" s="1" t="s">
        <v>10843</v>
      </c>
    </row>
    <row r="1431" spans="1:4" x14ac:dyDescent="0.25">
      <c r="A1431" s="1" t="s">
        <v>2873</v>
      </c>
      <c r="B1431" s="1" t="s">
        <v>10844</v>
      </c>
      <c r="C1431" s="1" t="s">
        <v>10845</v>
      </c>
      <c r="D1431" s="1" t="s">
        <v>10846</v>
      </c>
    </row>
    <row r="1432" spans="1:4" x14ac:dyDescent="0.25">
      <c r="A1432" s="1" t="s">
        <v>2875</v>
      </c>
      <c r="B1432" s="1" t="s">
        <v>10847</v>
      </c>
      <c r="C1432" s="1" t="s">
        <v>10848</v>
      </c>
      <c r="D1432" s="1" t="s">
        <v>10849</v>
      </c>
    </row>
    <row r="1433" spans="1:4" x14ac:dyDescent="0.25">
      <c r="A1433" s="1" t="s">
        <v>2877</v>
      </c>
      <c r="B1433" s="1" t="s">
        <v>10850</v>
      </c>
      <c r="C1433" s="1" t="s">
        <v>10851</v>
      </c>
      <c r="D1433" s="1" t="s">
        <v>10852</v>
      </c>
    </row>
    <row r="1434" spans="1:4" x14ac:dyDescent="0.25">
      <c r="A1434" s="1" t="s">
        <v>2879</v>
      </c>
      <c r="B1434" s="1" t="s">
        <v>10853</v>
      </c>
      <c r="C1434" s="1" t="s">
        <v>10854</v>
      </c>
      <c r="D1434" s="1" t="s">
        <v>10855</v>
      </c>
    </row>
    <row r="1435" spans="1:4" x14ac:dyDescent="0.25">
      <c r="A1435" s="1" t="s">
        <v>2881</v>
      </c>
      <c r="B1435" s="1" t="s">
        <v>10856</v>
      </c>
      <c r="C1435" s="1" t="s">
        <v>10857</v>
      </c>
      <c r="D1435" s="1" t="s">
        <v>10858</v>
      </c>
    </row>
    <row r="1436" spans="1:4" x14ac:dyDescent="0.25">
      <c r="A1436" s="1" t="s">
        <v>2883</v>
      </c>
      <c r="B1436" s="1" t="s">
        <v>10859</v>
      </c>
      <c r="C1436" s="1" t="s">
        <v>10860</v>
      </c>
      <c r="D1436" s="1" t="s">
        <v>10861</v>
      </c>
    </row>
    <row r="1437" spans="1:4" x14ac:dyDescent="0.25">
      <c r="A1437" s="1" t="s">
        <v>2885</v>
      </c>
      <c r="B1437" s="1" t="s">
        <v>10862</v>
      </c>
      <c r="C1437" s="1" t="s">
        <v>10863</v>
      </c>
      <c r="D1437" s="1" t="s">
        <v>10864</v>
      </c>
    </row>
    <row r="1438" spans="1:4" x14ac:dyDescent="0.25">
      <c r="A1438" s="1" t="s">
        <v>2887</v>
      </c>
      <c r="B1438" s="1" t="s">
        <v>10865</v>
      </c>
      <c r="C1438" s="1" t="s">
        <v>10866</v>
      </c>
      <c r="D1438" s="1" t="s">
        <v>10867</v>
      </c>
    </row>
    <row r="1439" spans="1:4" x14ac:dyDescent="0.25">
      <c r="A1439" s="1" t="s">
        <v>2889</v>
      </c>
      <c r="B1439" s="1" t="s">
        <v>10868</v>
      </c>
      <c r="C1439" s="1" t="s">
        <v>10869</v>
      </c>
      <c r="D1439" s="1" t="s">
        <v>10870</v>
      </c>
    </row>
    <row r="1440" spans="1:4" x14ac:dyDescent="0.25">
      <c r="A1440" s="1" t="s">
        <v>2891</v>
      </c>
      <c r="B1440" s="1" t="s">
        <v>10871</v>
      </c>
      <c r="C1440" s="1" t="s">
        <v>10872</v>
      </c>
      <c r="D1440" s="1" t="s">
        <v>10873</v>
      </c>
    </row>
    <row r="1441" spans="1:4" x14ac:dyDescent="0.25">
      <c r="A1441" s="1" t="s">
        <v>2893</v>
      </c>
      <c r="B1441" s="1" t="s">
        <v>10874</v>
      </c>
      <c r="C1441" s="1" t="s">
        <v>10875</v>
      </c>
      <c r="D1441" s="1" t="s">
        <v>10876</v>
      </c>
    </row>
    <row r="1442" spans="1:4" x14ac:dyDescent="0.25">
      <c r="A1442" s="1" t="s">
        <v>2895</v>
      </c>
      <c r="B1442" s="1" t="s">
        <v>10877</v>
      </c>
      <c r="C1442" s="1" t="s">
        <v>10878</v>
      </c>
      <c r="D1442" s="1" t="s">
        <v>10879</v>
      </c>
    </row>
    <row r="1443" spans="1:4" x14ac:dyDescent="0.25">
      <c r="A1443" s="1" t="s">
        <v>2897</v>
      </c>
      <c r="B1443" s="1" t="s">
        <v>10880</v>
      </c>
      <c r="C1443" s="1" t="s">
        <v>10881</v>
      </c>
      <c r="D1443" s="1" t="s">
        <v>10882</v>
      </c>
    </row>
    <row r="1444" spans="1:4" x14ac:dyDescent="0.25">
      <c r="A1444" s="1" t="s">
        <v>2899</v>
      </c>
      <c r="B1444" s="1" t="s">
        <v>10883</v>
      </c>
      <c r="C1444" s="1" t="s">
        <v>10884</v>
      </c>
      <c r="D1444" s="1" t="s">
        <v>10885</v>
      </c>
    </row>
    <row r="1445" spans="1:4" x14ac:dyDescent="0.25">
      <c r="A1445" s="1" t="s">
        <v>2901</v>
      </c>
      <c r="B1445" s="1" t="s">
        <v>10886</v>
      </c>
      <c r="C1445" s="1" t="s">
        <v>10887</v>
      </c>
      <c r="D1445" s="1" t="s">
        <v>10888</v>
      </c>
    </row>
    <row r="1446" spans="1:4" x14ac:dyDescent="0.25">
      <c r="A1446" s="1" t="s">
        <v>2903</v>
      </c>
      <c r="B1446" s="1" t="s">
        <v>10889</v>
      </c>
      <c r="C1446" s="1" t="s">
        <v>10890</v>
      </c>
      <c r="D1446" s="1" t="s">
        <v>10891</v>
      </c>
    </row>
    <row r="1447" spans="1:4" x14ac:dyDescent="0.25">
      <c r="A1447" s="1" t="s">
        <v>2905</v>
      </c>
      <c r="B1447" s="1" t="s">
        <v>10892</v>
      </c>
      <c r="C1447" s="1" t="s">
        <v>10893</v>
      </c>
      <c r="D1447" s="1" t="s">
        <v>10894</v>
      </c>
    </row>
    <row r="1448" spans="1:4" x14ac:dyDescent="0.25">
      <c r="A1448" s="1" t="s">
        <v>2907</v>
      </c>
      <c r="B1448" s="1" t="s">
        <v>10895</v>
      </c>
      <c r="C1448" s="1" t="s">
        <v>10896</v>
      </c>
      <c r="D1448" s="1" t="s">
        <v>10897</v>
      </c>
    </row>
    <row r="1449" spans="1:4" x14ac:dyDescent="0.25">
      <c r="A1449" s="1" t="s">
        <v>2909</v>
      </c>
      <c r="B1449" s="1" t="s">
        <v>10898</v>
      </c>
      <c r="C1449" s="1" t="s">
        <v>10899</v>
      </c>
      <c r="D1449" s="1" t="s">
        <v>10900</v>
      </c>
    </row>
    <row r="1450" spans="1:4" x14ac:dyDescent="0.25">
      <c r="A1450" s="1" t="s">
        <v>2911</v>
      </c>
      <c r="B1450" s="1" t="s">
        <v>10901</v>
      </c>
      <c r="C1450" s="1" t="s">
        <v>10902</v>
      </c>
      <c r="D1450" s="1" t="s">
        <v>10903</v>
      </c>
    </row>
    <row r="1451" spans="1:4" x14ac:dyDescent="0.25">
      <c r="A1451" s="1" t="s">
        <v>2913</v>
      </c>
      <c r="B1451" s="1" t="s">
        <v>10904</v>
      </c>
      <c r="C1451" s="1" t="s">
        <v>10905</v>
      </c>
      <c r="D1451" s="1" t="s">
        <v>10906</v>
      </c>
    </row>
    <row r="1452" spans="1:4" x14ac:dyDescent="0.25">
      <c r="A1452" s="1" t="s">
        <v>2915</v>
      </c>
      <c r="B1452" s="1" t="s">
        <v>10907</v>
      </c>
      <c r="C1452" s="1" t="s">
        <v>10908</v>
      </c>
      <c r="D1452" s="1" t="s">
        <v>10909</v>
      </c>
    </row>
    <row r="1453" spans="1:4" x14ac:dyDescent="0.25">
      <c r="A1453" s="1" t="s">
        <v>2917</v>
      </c>
      <c r="B1453" s="1" t="s">
        <v>10910</v>
      </c>
      <c r="C1453" s="1" t="s">
        <v>10911</v>
      </c>
      <c r="D1453" s="1" t="s">
        <v>10912</v>
      </c>
    </row>
    <row r="1454" spans="1:4" x14ac:dyDescent="0.25">
      <c r="A1454" s="1" t="s">
        <v>2919</v>
      </c>
      <c r="B1454" s="1" t="s">
        <v>10913</v>
      </c>
      <c r="C1454" s="1" t="s">
        <v>10914</v>
      </c>
      <c r="D1454" s="1" t="s">
        <v>10915</v>
      </c>
    </row>
    <row r="1455" spans="1:4" x14ac:dyDescent="0.25">
      <c r="A1455" s="1" t="s">
        <v>2921</v>
      </c>
      <c r="B1455" s="1" t="s">
        <v>10916</v>
      </c>
      <c r="C1455" s="1" t="s">
        <v>10917</v>
      </c>
      <c r="D1455" s="1" t="s">
        <v>10918</v>
      </c>
    </row>
    <row r="1456" spans="1:4" x14ac:dyDescent="0.25">
      <c r="A1456" s="1" t="s">
        <v>2923</v>
      </c>
      <c r="B1456" s="1" t="s">
        <v>10919</v>
      </c>
      <c r="C1456" s="1" t="s">
        <v>10920</v>
      </c>
      <c r="D1456" s="1" t="s">
        <v>10921</v>
      </c>
    </row>
    <row r="1457" spans="1:4" x14ac:dyDescent="0.25">
      <c r="A1457" s="1" t="s">
        <v>2925</v>
      </c>
      <c r="B1457" s="1" t="s">
        <v>10922</v>
      </c>
      <c r="C1457" s="1" t="s">
        <v>10923</v>
      </c>
      <c r="D1457" s="1" t="s">
        <v>10924</v>
      </c>
    </row>
    <row r="1458" spans="1:4" x14ac:dyDescent="0.25">
      <c r="A1458" s="1" t="s">
        <v>2927</v>
      </c>
      <c r="B1458" s="1" t="s">
        <v>10925</v>
      </c>
      <c r="C1458" s="1" t="s">
        <v>10926</v>
      </c>
      <c r="D1458" s="1" t="s">
        <v>10927</v>
      </c>
    </row>
    <row r="1459" spans="1:4" x14ac:dyDescent="0.25">
      <c r="A1459" s="1" t="s">
        <v>2929</v>
      </c>
      <c r="B1459" s="1" t="s">
        <v>10928</v>
      </c>
      <c r="C1459" s="1" t="s">
        <v>10929</v>
      </c>
      <c r="D1459" s="1" t="s">
        <v>10930</v>
      </c>
    </row>
    <row r="1460" spans="1:4" x14ac:dyDescent="0.25">
      <c r="A1460" s="1" t="s">
        <v>2931</v>
      </c>
      <c r="B1460" s="1" t="s">
        <v>10931</v>
      </c>
      <c r="C1460" s="1" t="s">
        <v>10932</v>
      </c>
      <c r="D1460" s="1" t="s">
        <v>10933</v>
      </c>
    </row>
    <row r="1461" spans="1:4" x14ac:dyDescent="0.25">
      <c r="A1461" s="1" t="s">
        <v>2933</v>
      </c>
      <c r="B1461" s="1" t="s">
        <v>10934</v>
      </c>
      <c r="C1461" s="1" t="s">
        <v>10935</v>
      </c>
      <c r="D1461" s="1" t="s">
        <v>10936</v>
      </c>
    </row>
    <row r="1462" spans="1:4" x14ac:dyDescent="0.25">
      <c r="A1462" s="1" t="s">
        <v>2935</v>
      </c>
      <c r="B1462" s="1" t="s">
        <v>10937</v>
      </c>
      <c r="C1462" s="1" t="s">
        <v>10938</v>
      </c>
      <c r="D1462" s="1" t="s">
        <v>10939</v>
      </c>
    </row>
    <row r="1463" spans="1:4" x14ac:dyDescent="0.25">
      <c r="A1463" s="1" t="s">
        <v>2937</v>
      </c>
      <c r="B1463" s="1" t="s">
        <v>10940</v>
      </c>
      <c r="C1463" s="1" t="s">
        <v>10941</v>
      </c>
      <c r="D1463" s="1" t="s">
        <v>10942</v>
      </c>
    </row>
    <row r="1464" spans="1:4" x14ac:dyDescent="0.25">
      <c r="A1464" s="1" t="s">
        <v>2939</v>
      </c>
      <c r="B1464" s="1" t="s">
        <v>10943</v>
      </c>
      <c r="C1464" s="1" t="s">
        <v>10944</v>
      </c>
      <c r="D1464" s="1" t="s">
        <v>10945</v>
      </c>
    </row>
    <row r="1465" spans="1:4" x14ac:dyDescent="0.25">
      <c r="A1465" s="1" t="s">
        <v>2941</v>
      </c>
      <c r="B1465" s="1" t="s">
        <v>10946</v>
      </c>
      <c r="C1465" s="1" t="s">
        <v>10947</v>
      </c>
      <c r="D1465" s="1" t="s">
        <v>10948</v>
      </c>
    </row>
    <row r="1466" spans="1:4" x14ac:dyDescent="0.25">
      <c r="A1466" s="1" t="s">
        <v>2943</v>
      </c>
      <c r="B1466" s="1" t="s">
        <v>10949</v>
      </c>
      <c r="C1466" s="1" t="s">
        <v>10950</v>
      </c>
      <c r="D1466" s="1" t="s">
        <v>10951</v>
      </c>
    </row>
    <row r="1467" spans="1:4" x14ac:dyDescent="0.25">
      <c r="A1467" s="1" t="s">
        <v>2945</v>
      </c>
      <c r="B1467" s="1" t="s">
        <v>10952</v>
      </c>
      <c r="C1467" s="1" t="s">
        <v>10953</v>
      </c>
      <c r="D1467" s="1" t="s">
        <v>10954</v>
      </c>
    </row>
    <row r="1468" spans="1:4" x14ac:dyDescent="0.25">
      <c r="A1468" s="1" t="s">
        <v>2947</v>
      </c>
      <c r="B1468" s="1" t="s">
        <v>10955</v>
      </c>
      <c r="C1468" s="1" t="s">
        <v>10956</v>
      </c>
      <c r="D1468" s="1" t="s">
        <v>10957</v>
      </c>
    </row>
    <row r="1469" spans="1:4" x14ac:dyDescent="0.25">
      <c r="A1469" s="1" t="s">
        <v>2949</v>
      </c>
      <c r="B1469" s="1" t="s">
        <v>10958</v>
      </c>
      <c r="C1469" s="1" t="s">
        <v>10959</v>
      </c>
      <c r="D1469" s="1" t="s">
        <v>10960</v>
      </c>
    </row>
    <row r="1470" spans="1:4" x14ac:dyDescent="0.25">
      <c r="A1470" s="1" t="s">
        <v>2951</v>
      </c>
      <c r="B1470" s="1" t="s">
        <v>10961</v>
      </c>
      <c r="C1470" s="1" t="s">
        <v>10962</v>
      </c>
      <c r="D1470" s="1" t="s">
        <v>10963</v>
      </c>
    </row>
    <row r="1471" spans="1:4" x14ac:dyDescent="0.25">
      <c r="A1471" s="1" t="s">
        <v>2953</v>
      </c>
      <c r="B1471" s="1" t="s">
        <v>10964</v>
      </c>
      <c r="C1471" s="1" t="s">
        <v>10965</v>
      </c>
      <c r="D1471" s="1" t="s">
        <v>10966</v>
      </c>
    </row>
    <row r="1472" spans="1:4" x14ac:dyDescent="0.25">
      <c r="A1472" s="1" t="s">
        <v>2955</v>
      </c>
      <c r="B1472" s="1" t="s">
        <v>10967</v>
      </c>
      <c r="C1472" s="1" t="s">
        <v>10968</v>
      </c>
      <c r="D1472" s="1" t="s">
        <v>10969</v>
      </c>
    </row>
    <row r="1473" spans="1:4" x14ac:dyDescent="0.25">
      <c r="A1473" s="1" t="s">
        <v>2957</v>
      </c>
      <c r="B1473" s="1" t="s">
        <v>10970</v>
      </c>
      <c r="C1473" s="1" t="s">
        <v>10971</v>
      </c>
      <c r="D1473" s="1" t="s">
        <v>10972</v>
      </c>
    </row>
    <row r="1474" spans="1:4" x14ac:dyDescent="0.25">
      <c r="A1474" s="1" t="s">
        <v>2959</v>
      </c>
      <c r="B1474" s="1" t="s">
        <v>10973</v>
      </c>
      <c r="C1474" s="1" t="s">
        <v>10974</v>
      </c>
      <c r="D1474" s="1" t="s">
        <v>10975</v>
      </c>
    </row>
    <row r="1475" spans="1:4" x14ac:dyDescent="0.25">
      <c r="A1475" s="1" t="s">
        <v>2961</v>
      </c>
      <c r="B1475" s="1" t="s">
        <v>10976</v>
      </c>
      <c r="C1475" s="1" t="s">
        <v>10977</v>
      </c>
      <c r="D1475" s="1" t="s">
        <v>10978</v>
      </c>
    </row>
    <row r="1476" spans="1:4" x14ac:dyDescent="0.25">
      <c r="A1476" s="1" t="s">
        <v>2963</v>
      </c>
      <c r="B1476" s="1" t="s">
        <v>10979</v>
      </c>
      <c r="C1476" s="1" t="s">
        <v>10980</v>
      </c>
      <c r="D1476" s="1" t="s">
        <v>10981</v>
      </c>
    </row>
    <row r="1477" spans="1:4" x14ac:dyDescent="0.25">
      <c r="A1477" s="1" t="s">
        <v>2965</v>
      </c>
      <c r="B1477" s="1" t="s">
        <v>10982</v>
      </c>
      <c r="C1477" s="1" t="s">
        <v>10983</v>
      </c>
      <c r="D1477" s="1" t="s">
        <v>10984</v>
      </c>
    </row>
    <row r="1478" spans="1:4" x14ac:dyDescent="0.25">
      <c r="A1478" s="1" t="s">
        <v>2967</v>
      </c>
      <c r="B1478" s="1" t="s">
        <v>10985</v>
      </c>
      <c r="C1478" s="1" t="s">
        <v>10986</v>
      </c>
      <c r="D1478" s="1" t="s">
        <v>10987</v>
      </c>
    </row>
    <row r="1479" spans="1:4" x14ac:dyDescent="0.25">
      <c r="A1479" s="1" t="s">
        <v>2969</v>
      </c>
      <c r="B1479" s="1" t="s">
        <v>10988</v>
      </c>
      <c r="C1479" s="1" t="s">
        <v>10989</v>
      </c>
      <c r="D1479" s="1" t="s">
        <v>10990</v>
      </c>
    </row>
    <row r="1480" spans="1:4" x14ac:dyDescent="0.25">
      <c r="A1480" s="1" t="s">
        <v>2971</v>
      </c>
      <c r="B1480" s="1" t="s">
        <v>10991</v>
      </c>
      <c r="C1480" s="1" t="s">
        <v>10992</v>
      </c>
      <c r="D1480" s="1" t="s">
        <v>10993</v>
      </c>
    </row>
    <row r="1481" spans="1:4" x14ac:dyDescent="0.25">
      <c r="A1481" s="1" t="s">
        <v>2973</v>
      </c>
      <c r="B1481" s="1" t="s">
        <v>10994</v>
      </c>
      <c r="C1481" s="1" t="s">
        <v>10995</v>
      </c>
      <c r="D1481" s="1" t="s">
        <v>10996</v>
      </c>
    </row>
    <row r="1482" spans="1:4" x14ac:dyDescent="0.25">
      <c r="A1482" s="1" t="s">
        <v>2975</v>
      </c>
      <c r="B1482" s="1" t="s">
        <v>10997</v>
      </c>
      <c r="C1482" s="1" t="s">
        <v>10998</v>
      </c>
      <c r="D1482" s="1" t="s">
        <v>10999</v>
      </c>
    </row>
    <row r="1483" spans="1:4" x14ac:dyDescent="0.25">
      <c r="A1483" s="1" t="s">
        <v>2977</v>
      </c>
      <c r="B1483" s="1" t="s">
        <v>11000</v>
      </c>
      <c r="C1483" s="1" t="s">
        <v>11001</v>
      </c>
      <c r="D1483" s="1" t="s">
        <v>11002</v>
      </c>
    </row>
    <row r="1484" spans="1:4" x14ac:dyDescent="0.25">
      <c r="A1484" s="1" t="s">
        <v>2979</v>
      </c>
      <c r="B1484" s="1" t="s">
        <v>11003</v>
      </c>
      <c r="C1484" s="1" t="s">
        <v>11004</v>
      </c>
      <c r="D1484" s="1" t="s">
        <v>11005</v>
      </c>
    </row>
    <row r="1485" spans="1:4" x14ac:dyDescent="0.25">
      <c r="A1485" s="1" t="s">
        <v>2981</v>
      </c>
      <c r="B1485" s="1" t="s">
        <v>11006</v>
      </c>
      <c r="C1485" s="1" t="s">
        <v>11007</v>
      </c>
      <c r="D1485" s="1" t="s">
        <v>11008</v>
      </c>
    </row>
    <row r="1486" spans="1:4" x14ac:dyDescent="0.25">
      <c r="A1486" s="1" t="s">
        <v>2983</v>
      </c>
      <c r="B1486" s="1" t="s">
        <v>11009</v>
      </c>
      <c r="C1486" s="1" t="s">
        <v>11010</v>
      </c>
      <c r="D1486" s="1" t="s">
        <v>11011</v>
      </c>
    </row>
    <row r="1487" spans="1:4" x14ac:dyDescent="0.25">
      <c r="A1487" s="1" t="s">
        <v>2985</v>
      </c>
      <c r="B1487" s="1" t="s">
        <v>11012</v>
      </c>
      <c r="C1487" s="1" t="s">
        <v>11013</v>
      </c>
      <c r="D1487" s="1" t="s">
        <v>11014</v>
      </c>
    </row>
    <row r="1488" spans="1:4" x14ac:dyDescent="0.25">
      <c r="A1488" s="1" t="s">
        <v>2987</v>
      </c>
      <c r="B1488" s="1" t="s">
        <v>11015</v>
      </c>
      <c r="C1488" s="1" t="s">
        <v>11016</v>
      </c>
      <c r="D1488" s="1" t="s">
        <v>11017</v>
      </c>
    </row>
    <row r="1489" spans="1:4" x14ac:dyDescent="0.25">
      <c r="A1489" s="1" t="s">
        <v>2989</v>
      </c>
      <c r="B1489" s="1" t="s">
        <v>11018</v>
      </c>
      <c r="C1489" s="1" t="s">
        <v>11019</v>
      </c>
      <c r="D1489" s="1" t="s">
        <v>11020</v>
      </c>
    </row>
    <row r="1490" spans="1:4" x14ac:dyDescent="0.25">
      <c r="A1490" s="1" t="s">
        <v>2991</v>
      </c>
      <c r="B1490" s="1" t="s">
        <v>11021</v>
      </c>
      <c r="C1490" s="1" t="s">
        <v>11022</v>
      </c>
      <c r="D1490" s="1" t="s">
        <v>11023</v>
      </c>
    </row>
    <row r="1491" spans="1:4" x14ac:dyDescent="0.25">
      <c r="A1491" s="1" t="s">
        <v>2993</v>
      </c>
      <c r="B1491" s="1" t="s">
        <v>11024</v>
      </c>
      <c r="C1491" s="1" t="s">
        <v>11025</v>
      </c>
      <c r="D1491" s="1" t="s">
        <v>11026</v>
      </c>
    </row>
    <row r="1492" spans="1:4" x14ac:dyDescent="0.25">
      <c r="A1492" s="1" t="s">
        <v>2995</v>
      </c>
      <c r="B1492" s="1" t="s">
        <v>11027</v>
      </c>
      <c r="C1492" s="1" t="s">
        <v>11028</v>
      </c>
      <c r="D1492" s="1" t="s">
        <v>11029</v>
      </c>
    </row>
    <row r="1493" spans="1:4" x14ac:dyDescent="0.25">
      <c r="A1493" s="1" t="s">
        <v>2997</v>
      </c>
      <c r="B1493" s="1" t="s">
        <v>11030</v>
      </c>
      <c r="C1493" s="1" t="s">
        <v>11031</v>
      </c>
      <c r="D1493" s="1" t="s">
        <v>11032</v>
      </c>
    </row>
    <row r="1494" spans="1:4" x14ac:dyDescent="0.25">
      <c r="A1494" s="1" t="s">
        <v>2999</v>
      </c>
      <c r="B1494" s="1" t="s">
        <v>11033</v>
      </c>
      <c r="C1494" s="1" t="s">
        <v>11034</v>
      </c>
      <c r="D1494" s="1" t="s">
        <v>11035</v>
      </c>
    </row>
    <row r="1495" spans="1:4" x14ac:dyDescent="0.25">
      <c r="A1495" s="1" t="s">
        <v>3001</v>
      </c>
      <c r="B1495" s="1" t="s">
        <v>11036</v>
      </c>
      <c r="C1495" s="1" t="s">
        <v>11037</v>
      </c>
      <c r="D1495" s="1" t="s">
        <v>11038</v>
      </c>
    </row>
    <row r="1496" spans="1:4" x14ac:dyDescent="0.25">
      <c r="A1496" s="1" t="s">
        <v>3003</v>
      </c>
      <c r="B1496" s="1" t="s">
        <v>11039</v>
      </c>
      <c r="C1496" s="1" t="s">
        <v>11040</v>
      </c>
      <c r="D1496" s="1" t="s">
        <v>11041</v>
      </c>
    </row>
    <row r="1497" spans="1:4" x14ac:dyDescent="0.25">
      <c r="A1497" s="1" t="s">
        <v>3005</v>
      </c>
      <c r="B1497" s="1" t="s">
        <v>11042</v>
      </c>
      <c r="C1497" s="1" t="s">
        <v>11043</v>
      </c>
      <c r="D1497" s="1" t="s">
        <v>11044</v>
      </c>
    </row>
    <row r="1498" spans="1:4" x14ac:dyDescent="0.25">
      <c r="A1498" s="1" t="s">
        <v>3007</v>
      </c>
      <c r="B1498" s="1" t="s">
        <v>11045</v>
      </c>
      <c r="C1498" s="1" t="s">
        <v>11046</v>
      </c>
      <c r="D1498" s="1" t="s">
        <v>11047</v>
      </c>
    </row>
    <row r="1499" spans="1:4" x14ac:dyDescent="0.25">
      <c r="A1499" s="1" t="s">
        <v>3009</v>
      </c>
      <c r="B1499" s="1" t="s">
        <v>11048</v>
      </c>
      <c r="C1499" s="1" t="s">
        <v>11049</v>
      </c>
      <c r="D1499" s="1" t="s">
        <v>11050</v>
      </c>
    </row>
    <row r="1500" spans="1:4" x14ac:dyDescent="0.25">
      <c r="A1500" s="1" t="s">
        <v>3011</v>
      </c>
      <c r="B1500" s="1" t="s">
        <v>11051</v>
      </c>
      <c r="C1500" s="1" t="s">
        <v>11052</v>
      </c>
      <c r="D1500" s="1" t="s">
        <v>11053</v>
      </c>
    </row>
    <row r="1501" spans="1:4" x14ac:dyDescent="0.25">
      <c r="A1501" s="1" t="s">
        <v>3013</v>
      </c>
      <c r="B1501" s="1" t="s">
        <v>11054</v>
      </c>
      <c r="C1501" s="1" t="s">
        <v>11055</v>
      </c>
      <c r="D1501" s="1" t="s">
        <v>11056</v>
      </c>
    </row>
    <row r="1502" spans="1:4" x14ac:dyDescent="0.25">
      <c r="A1502" s="1" t="s">
        <v>3015</v>
      </c>
      <c r="B1502" s="1" t="s">
        <v>11057</v>
      </c>
      <c r="C1502" s="1" t="s">
        <v>11058</v>
      </c>
      <c r="D1502" s="1" t="s">
        <v>11059</v>
      </c>
    </row>
    <row r="1503" spans="1:4" x14ac:dyDescent="0.25">
      <c r="A1503" s="1" t="s">
        <v>3017</v>
      </c>
      <c r="B1503" s="1" t="s">
        <v>11060</v>
      </c>
      <c r="C1503" s="1" t="s">
        <v>11061</v>
      </c>
      <c r="D1503" s="1" t="s">
        <v>11062</v>
      </c>
    </row>
    <row r="1504" spans="1:4" x14ac:dyDescent="0.25">
      <c r="A1504" s="1" t="s">
        <v>3019</v>
      </c>
      <c r="B1504" s="1" t="s">
        <v>11063</v>
      </c>
      <c r="C1504" s="1" t="s">
        <v>11064</v>
      </c>
      <c r="D1504" s="1" t="s">
        <v>11065</v>
      </c>
    </row>
    <row r="1505" spans="1:4" x14ac:dyDescent="0.25">
      <c r="A1505" s="1" t="s">
        <v>3021</v>
      </c>
      <c r="B1505" s="1" t="s">
        <v>11066</v>
      </c>
      <c r="C1505" s="1" t="s">
        <v>11067</v>
      </c>
      <c r="D1505" s="1" t="s">
        <v>11068</v>
      </c>
    </row>
    <row r="1506" spans="1:4" x14ac:dyDescent="0.25">
      <c r="A1506" s="1" t="s">
        <v>3023</v>
      </c>
      <c r="B1506" s="1" t="s">
        <v>11069</v>
      </c>
      <c r="C1506" s="1" t="s">
        <v>11070</v>
      </c>
      <c r="D1506" s="1" t="s">
        <v>11071</v>
      </c>
    </row>
    <row r="1507" spans="1:4" x14ac:dyDescent="0.25">
      <c r="A1507" s="1" t="s">
        <v>3025</v>
      </c>
      <c r="B1507" s="1" t="s">
        <v>11072</v>
      </c>
      <c r="C1507" s="1" t="s">
        <v>11073</v>
      </c>
      <c r="D1507" s="1" t="s">
        <v>11074</v>
      </c>
    </row>
    <row r="1508" spans="1:4" x14ac:dyDescent="0.25">
      <c r="A1508" s="1" t="s">
        <v>3027</v>
      </c>
      <c r="B1508" s="1" t="s">
        <v>11075</v>
      </c>
      <c r="C1508" s="1" t="s">
        <v>11076</v>
      </c>
      <c r="D1508" s="1" t="s">
        <v>11077</v>
      </c>
    </row>
    <row r="1509" spans="1:4" x14ac:dyDescent="0.25">
      <c r="A1509" s="1" t="s">
        <v>3029</v>
      </c>
      <c r="B1509" s="1" t="s">
        <v>11078</v>
      </c>
      <c r="C1509" s="1" t="s">
        <v>11079</v>
      </c>
      <c r="D1509" s="1" t="s">
        <v>11080</v>
      </c>
    </row>
    <row r="1510" spans="1:4" x14ac:dyDescent="0.25">
      <c r="A1510" s="1" t="s">
        <v>3031</v>
      </c>
      <c r="B1510" s="1" t="s">
        <v>11081</v>
      </c>
      <c r="C1510" s="1" t="s">
        <v>11082</v>
      </c>
      <c r="D1510" s="1" t="s">
        <v>11083</v>
      </c>
    </row>
    <row r="1511" spans="1:4" x14ac:dyDescent="0.25">
      <c r="A1511" s="1" t="s">
        <v>3033</v>
      </c>
      <c r="B1511" s="1" t="s">
        <v>11084</v>
      </c>
      <c r="C1511" s="1" t="s">
        <v>11085</v>
      </c>
      <c r="D1511" s="1" t="s">
        <v>11086</v>
      </c>
    </row>
    <row r="1512" spans="1:4" x14ac:dyDescent="0.25">
      <c r="A1512" s="1" t="s">
        <v>3035</v>
      </c>
      <c r="B1512" s="1" t="s">
        <v>11087</v>
      </c>
      <c r="C1512" s="1" t="s">
        <v>11088</v>
      </c>
      <c r="D1512" s="1" t="s">
        <v>11089</v>
      </c>
    </row>
    <row r="1513" spans="1:4" x14ac:dyDescent="0.25">
      <c r="A1513" s="1" t="s">
        <v>3037</v>
      </c>
      <c r="B1513" s="1" t="s">
        <v>11090</v>
      </c>
      <c r="C1513" s="1" t="s">
        <v>11091</v>
      </c>
      <c r="D1513" s="1" t="s">
        <v>11092</v>
      </c>
    </row>
    <row r="1514" spans="1:4" x14ac:dyDescent="0.25">
      <c r="A1514" s="1" t="s">
        <v>3039</v>
      </c>
      <c r="B1514" s="1" t="s">
        <v>11093</v>
      </c>
      <c r="C1514" s="1" t="s">
        <v>11094</v>
      </c>
      <c r="D1514" s="1" t="s">
        <v>11095</v>
      </c>
    </row>
    <row r="1515" spans="1:4" x14ac:dyDescent="0.25">
      <c r="A1515" s="1" t="s">
        <v>3041</v>
      </c>
      <c r="B1515" s="1" t="s">
        <v>11096</v>
      </c>
      <c r="C1515" s="1" t="s">
        <v>11097</v>
      </c>
      <c r="D1515" s="1" t="s">
        <v>11098</v>
      </c>
    </row>
    <row r="1516" spans="1:4" x14ac:dyDescent="0.25">
      <c r="A1516" s="1" t="s">
        <v>3043</v>
      </c>
      <c r="B1516" s="1" t="s">
        <v>11099</v>
      </c>
      <c r="C1516" s="1" t="s">
        <v>11100</v>
      </c>
      <c r="D1516" s="1" t="s">
        <v>11101</v>
      </c>
    </row>
    <row r="1517" spans="1:4" x14ac:dyDescent="0.25">
      <c r="A1517" s="1" t="s">
        <v>3045</v>
      </c>
      <c r="B1517" s="1" t="s">
        <v>11102</v>
      </c>
      <c r="C1517" s="1" t="s">
        <v>11103</v>
      </c>
      <c r="D1517" s="1" t="s">
        <v>11104</v>
      </c>
    </row>
    <row r="1518" spans="1:4" x14ac:dyDescent="0.25">
      <c r="A1518" s="1" t="s">
        <v>3047</v>
      </c>
      <c r="B1518" s="1" t="s">
        <v>11105</v>
      </c>
      <c r="C1518" s="1" t="s">
        <v>11106</v>
      </c>
      <c r="D1518" s="1" t="s">
        <v>11107</v>
      </c>
    </row>
    <row r="1519" spans="1:4" x14ac:dyDescent="0.25">
      <c r="A1519" s="1" t="s">
        <v>3049</v>
      </c>
      <c r="B1519" s="1" t="s">
        <v>11108</v>
      </c>
      <c r="C1519" s="1" t="s">
        <v>11109</v>
      </c>
      <c r="D1519" s="1" t="s">
        <v>11110</v>
      </c>
    </row>
    <row r="1520" spans="1:4" x14ac:dyDescent="0.25">
      <c r="A1520" s="1" t="s">
        <v>3051</v>
      </c>
      <c r="B1520" s="1" t="s">
        <v>11111</v>
      </c>
      <c r="C1520" s="1" t="s">
        <v>11112</v>
      </c>
      <c r="D1520" s="1" t="s">
        <v>11113</v>
      </c>
    </row>
    <row r="1521" spans="1:4" x14ac:dyDescent="0.25">
      <c r="A1521" s="1" t="s">
        <v>3053</v>
      </c>
      <c r="B1521" s="1" t="s">
        <v>11114</v>
      </c>
      <c r="C1521" s="1" t="s">
        <v>11115</v>
      </c>
      <c r="D1521" s="1" t="s">
        <v>11116</v>
      </c>
    </row>
    <row r="1522" spans="1:4" x14ac:dyDescent="0.25">
      <c r="A1522" s="1" t="s">
        <v>3055</v>
      </c>
      <c r="B1522" s="1" t="s">
        <v>11117</v>
      </c>
      <c r="C1522" s="1" t="s">
        <v>11118</v>
      </c>
      <c r="D1522" s="1" t="s">
        <v>11119</v>
      </c>
    </row>
    <row r="1523" spans="1:4" x14ac:dyDescent="0.25">
      <c r="A1523" s="1" t="s">
        <v>3057</v>
      </c>
      <c r="B1523" s="1" t="s">
        <v>11120</v>
      </c>
      <c r="C1523" s="1" t="s">
        <v>11121</v>
      </c>
      <c r="D1523" s="1" t="s">
        <v>11122</v>
      </c>
    </row>
    <row r="1524" spans="1:4" x14ac:dyDescent="0.25">
      <c r="A1524" s="1" t="s">
        <v>3059</v>
      </c>
      <c r="B1524" s="1" t="s">
        <v>11123</v>
      </c>
      <c r="C1524" s="1" t="s">
        <v>11124</v>
      </c>
      <c r="D1524" s="1" t="s">
        <v>11125</v>
      </c>
    </row>
    <row r="1525" spans="1:4" x14ac:dyDescent="0.25">
      <c r="A1525" s="1" t="s">
        <v>3061</v>
      </c>
      <c r="B1525" s="1" t="s">
        <v>11126</v>
      </c>
      <c r="C1525" s="1" t="s">
        <v>11127</v>
      </c>
      <c r="D1525" s="1" t="s">
        <v>11128</v>
      </c>
    </row>
    <row r="1526" spans="1:4" x14ac:dyDescent="0.25">
      <c r="A1526" s="1" t="s">
        <v>3063</v>
      </c>
      <c r="B1526" s="1" t="s">
        <v>11129</v>
      </c>
      <c r="C1526" s="1" t="s">
        <v>11130</v>
      </c>
      <c r="D1526" s="1" t="s">
        <v>11131</v>
      </c>
    </row>
    <row r="1527" spans="1:4" x14ac:dyDescent="0.25">
      <c r="A1527" s="1" t="s">
        <v>3065</v>
      </c>
      <c r="B1527" s="1" t="s">
        <v>11132</v>
      </c>
      <c r="C1527" s="1" t="s">
        <v>11133</v>
      </c>
      <c r="D1527" s="1" t="s">
        <v>11134</v>
      </c>
    </row>
    <row r="1528" spans="1:4" x14ac:dyDescent="0.25">
      <c r="A1528" s="1" t="s">
        <v>3067</v>
      </c>
      <c r="B1528" s="1" t="s">
        <v>11135</v>
      </c>
      <c r="C1528" s="1" t="s">
        <v>11136</v>
      </c>
      <c r="D1528" s="1" t="s">
        <v>11137</v>
      </c>
    </row>
    <row r="1529" spans="1:4" x14ac:dyDescent="0.25">
      <c r="A1529" s="1" t="s">
        <v>3069</v>
      </c>
      <c r="B1529" s="1" t="s">
        <v>11138</v>
      </c>
      <c r="C1529" s="1" t="s">
        <v>11139</v>
      </c>
      <c r="D1529" s="1" t="s">
        <v>11140</v>
      </c>
    </row>
    <row r="1530" spans="1:4" x14ac:dyDescent="0.25">
      <c r="A1530" s="1" t="s">
        <v>3071</v>
      </c>
      <c r="B1530" s="1" t="s">
        <v>11141</v>
      </c>
      <c r="C1530" s="1" t="s">
        <v>11142</v>
      </c>
      <c r="D1530" s="1" t="s">
        <v>11143</v>
      </c>
    </row>
    <row r="1531" spans="1:4" x14ac:dyDescent="0.25">
      <c r="A1531" s="1" t="s">
        <v>3073</v>
      </c>
      <c r="B1531" s="1" t="s">
        <v>11144</v>
      </c>
      <c r="C1531" s="1" t="s">
        <v>11145</v>
      </c>
      <c r="D1531" s="1" t="s">
        <v>11146</v>
      </c>
    </row>
    <row r="1532" spans="1:4" x14ac:dyDescent="0.25">
      <c r="A1532" s="1" t="s">
        <v>3075</v>
      </c>
      <c r="B1532" s="1" t="s">
        <v>11147</v>
      </c>
      <c r="C1532" s="1" t="s">
        <v>11148</v>
      </c>
      <c r="D1532" s="1" t="s">
        <v>11149</v>
      </c>
    </row>
    <row r="1533" spans="1:4" x14ac:dyDescent="0.25">
      <c r="A1533" s="1" t="s">
        <v>3077</v>
      </c>
      <c r="B1533" s="1" t="s">
        <v>11150</v>
      </c>
      <c r="C1533" s="1" t="s">
        <v>11151</v>
      </c>
      <c r="D1533" s="1" t="s">
        <v>11152</v>
      </c>
    </row>
    <row r="1534" spans="1:4" x14ac:dyDescent="0.25">
      <c r="A1534" s="1" t="s">
        <v>3079</v>
      </c>
      <c r="B1534" s="1" t="s">
        <v>11153</v>
      </c>
      <c r="C1534" s="1" t="s">
        <v>11154</v>
      </c>
      <c r="D1534" s="1" t="s">
        <v>11155</v>
      </c>
    </row>
    <row r="1535" spans="1:4" x14ac:dyDescent="0.25">
      <c r="A1535" s="1" t="s">
        <v>3081</v>
      </c>
      <c r="B1535" s="1" t="s">
        <v>11156</v>
      </c>
      <c r="C1535" s="1" t="s">
        <v>11157</v>
      </c>
      <c r="D1535" s="1" t="s">
        <v>11158</v>
      </c>
    </row>
    <row r="1536" spans="1:4" x14ac:dyDescent="0.25">
      <c r="A1536" s="1" t="s">
        <v>3083</v>
      </c>
      <c r="B1536" s="1" t="s">
        <v>11159</v>
      </c>
      <c r="C1536" s="1" t="s">
        <v>11160</v>
      </c>
      <c r="D1536" s="1" t="s">
        <v>11161</v>
      </c>
    </row>
    <row r="1537" spans="1:4" x14ac:dyDescent="0.25">
      <c r="A1537" s="1" t="s">
        <v>3085</v>
      </c>
      <c r="B1537" s="1" t="s">
        <v>11162</v>
      </c>
      <c r="C1537" s="1" t="s">
        <v>11163</v>
      </c>
      <c r="D1537" s="1" t="s">
        <v>11164</v>
      </c>
    </row>
    <row r="1538" spans="1:4" x14ac:dyDescent="0.25">
      <c r="A1538" s="1" t="s">
        <v>3087</v>
      </c>
      <c r="B1538" s="1" t="s">
        <v>11165</v>
      </c>
      <c r="C1538" s="1" t="s">
        <v>11166</v>
      </c>
      <c r="D1538" s="1" t="s">
        <v>11167</v>
      </c>
    </row>
    <row r="1539" spans="1:4" x14ac:dyDescent="0.25">
      <c r="A1539" s="1" t="s">
        <v>3089</v>
      </c>
      <c r="B1539" s="1" t="s">
        <v>11168</v>
      </c>
      <c r="C1539" s="1" t="s">
        <v>11169</v>
      </c>
      <c r="D1539" s="1" t="s">
        <v>11170</v>
      </c>
    </row>
    <row r="1540" spans="1:4" x14ac:dyDescent="0.25">
      <c r="A1540" s="1" t="s">
        <v>3091</v>
      </c>
      <c r="B1540" s="1" t="s">
        <v>11171</v>
      </c>
      <c r="C1540" s="1" t="s">
        <v>11172</v>
      </c>
      <c r="D1540" s="1" t="s">
        <v>11173</v>
      </c>
    </row>
    <row r="1541" spans="1:4" x14ac:dyDescent="0.25">
      <c r="A1541" s="1" t="s">
        <v>3093</v>
      </c>
      <c r="B1541" s="1" t="s">
        <v>11174</v>
      </c>
      <c r="C1541" s="1" t="s">
        <v>11175</v>
      </c>
      <c r="D1541" s="1" t="s">
        <v>11176</v>
      </c>
    </row>
    <row r="1542" spans="1:4" x14ac:dyDescent="0.25">
      <c r="A1542" s="1" t="s">
        <v>3095</v>
      </c>
      <c r="B1542" s="1" t="s">
        <v>11177</v>
      </c>
      <c r="C1542" s="1" t="s">
        <v>11178</v>
      </c>
      <c r="D1542" s="1" t="s">
        <v>11179</v>
      </c>
    </row>
    <row r="1543" spans="1:4" x14ac:dyDescent="0.25">
      <c r="A1543" s="1" t="s">
        <v>3097</v>
      </c>
      <c r="B1543" s="1" t="s">
        <v>11180</v>
      </c>
      <c r="C1543" s="1" t="s">
        <v>11181</v>
      </c>
      <c r="D1543" s="1" t="s">
        <v>11182</v>
      </c>
    </row>
    <row r="1544" spans="1:4" x14ac:dyDescent="0.25">
      <c r="A1544" s="1" t="s">
        <v>3099</v>
      </c>
      <c r="B1544" s="1" t="s">
        <v>11183</v>
      </c>
      <c r="C1544" s="1" t="s">
        <v>11184</v>
      </c>
      <c r="D1544" s="1" t="s">
        <v>11185</v>
      </c>
    </row>
    <row r="1545" spans="1:4" x14ac:dyDescent="0.25">
      <c r="A1545" s="1" t="s">
        <v>3101</v>
      </c>
      <c r="B1545" s="1" t="s">
        <v>11186</v>
      </c>
      <c r="C1545" s="1" t="s">
        <v>11187</v>
      </c>
      <c r="D1545" s="1" t="s">
        <v>11188</v>
      </c>
    </row>
    <row r="1546" spans="1:4" x14ac:dyDescent="0.25">
      <c r="A1546" s="1" t="s">
        <v>3103</v>
      </c>
      <c r="B1546" s="1" t="s">
        <v>11189</v>
      </c>
      <c r="C1546" s="1" t="s">
        <v>11190</v>
      </c>
      <c r="D1546" s="1" t="s">
        <v>11191</v>
      </c>
    </row>
    <row r="1547" spans="1:4" x14ac:dyDescent="0.25">
      <c r="A1547" s="1" t="s">
        <v>3105</v>
      </c>
      <c r="B1547" s="1" t="s">
        <v>11192</v>
      </c>
      <c r="C1547" s="1" t="s">
        <v>11193</v>
      </c>
      <c r="D1547" s="1" t="s">
        <v>11194</v>
      </c>
    </row>
    <row r="1548" spans="1:4" x14ac:dyDescent="0.25">
      <c r="A1548" s="1" t="s">
        <v>3107</v>
      </c>
      <c r="B1548" s="1" t="s">
        <v>11195</v>
      </c>
      <c r="C1548" s="1" t="s">
        <v>11196</v>
      </c>
      <c r="D1548" s="1" t="s">
        <v>11197</v>
      </c>
    </row>
    <row r="1549" spans="1:4" x14ac:dyDescent="0.25">
      <c r="A1549" s="1" t="s">
        <v>3109</v>
      </c>
      <c r="B1549" s="1" t="s">
        <v>11198</v>
      </c>
      <c r="C1549" s="1" t="s">
        <v>11199</v>
      </c>
      <c r="D1549" s="1" t="s">
        <v>11200</v>
      </c>
    </row>
    <row r="1550" spans="1:4" x14ac:dyDescent="0.25">
      <c r="A1550" s="1" t="s">
        <v>3111</v>
      </c>
      <c r="B1550" s="1" t="s">
        <v>11201</v>
      </c>
      <c r="C1550" s="1" t="s">
        <v>11202</v>
      </c>
      <c r="D1550" s="1" t="s">
        <v>11203</v>
      </c>
    </row>
    <row r="1551" spans="1:4" x14ac:dyDescent="0.25">
      <c r="A1551" s="1" t="s">
        <v>3113</v>
      </c>
      <c r="B1551" s="1" t="s">
        <v>11204</v>
      </c>
      <c r="C1551" s="1" t="s">
        <v>11205</v>
      </c>
      <c r="D1551" s="1" t="s">
        <v>11206</v>
      </c>
    </row>
    <row r="1552" spans="1:4" x14ac:dyDescent="0.25">
      <c r="A1552" s="1" t="s">
        <v>3115</v>
      </c>
      <c r="B1552" s="1" t="s">
        <v>11207</v>
      </c>
      <c r="C1552" s="1" t="s">
        <v>11208</v>
      </c>
      <c r="D1552" s="1" t="s">
        <v>11209</v>
      </c>
    </row>
    <row r="1553" spans="1:4" x14ac:dyDescent="0.25">
      <c r="A1553" s="1" t="s">
        <v>3117</v>
      </c>
      <c r="B1553" s="1" t="s">
        <v>11210</v>
      </c>
      <c r="C1553" s="1" t="s">
        <v>11211</v>
      </c>
      <c r="D1553" s="1" t="s">
        <v>11212</v>
      </c>
    </row>
    <row r="1554" spans="1:4" x14ac:dyDescent="0.25">
      <c r="A1554" s="1" t="s">
        <v>3119</v>
      </c>
      <c r="B1554" s="1" t="s">
        <v>11213</v>
      </c>
      <c r="C1554" s="1" t="s">
        <v>11214</v>
      </c>
      <c r="D1554" s="1" t="s">
        <v>11215</v>
      </c>
    </row>
    <row r="1555" spans="1:4" x14ac:dyDescent="0.25">
      <c r="A1555" s="1" t="s">
        <v>3121</v>
      </c>
      <c r="B1555" s="1" t="s">
        <v>11216</v>
      </c>
      <c r="C1555" s="1" t="s">
        <v>11217</v>
      </c>
      <c r="D1555" s="1" t="s">
        <v>11218</v>
      </c>
    </row>
    <row r="1556" spans="1:4" x14ac:dyDescent="0.25">
      <c r="A1556" s="1" t="s">
        <v>3123</v>
      </c>
      <c r="B1556" s="1" t="s">
        <v>11219</v>
      </c>
      <c r="C1556" s="1" t="s">
        <v>11220</v>
      </c>
      <c r="D1556" s="1" t="s">
        <v>11221</v>
      </c>
    </row>
    <row r="1557" spans="1:4" x14ac:dyDescent="0.25">
      <c r="A1557" s="1" t="s">
        <v>3125</v>
      </c>
      <c r="B1557" s="1" t="s">
        <v>11222</v>
      </c>
      <c r="C1557" s="1" t="s">
        <v>11223</v>
      </c>
      <c r="D1557" s="1" t="s">
        <v>11224</v>
      </c>
    </row>
    <row r="1558" spans="1:4" x14ac:dyDescent="0.25">
      <c r="A1558" s="1" t="s">
        <v>3127</v>
      </c>
      <c r="B1558" s="1" t="s">
        <v>11225</v>
      </c>
      <c r="C1558" s="1" t="s">
        <v>11226</v>
      </c>
      <c r="D1558" s="1" t="s">
        <v>11227</v>
      </c>
    </row>
    <row r="1559" spans="1:4" x14ac:dyDescent="0.25">
      <c r="A1559" s="1" t="s">
        <v>3129</v>
      </c>
      <c r="B1559" s="1" t="s">
        <v>11228</v>
      </c>
      <c r="C1559" s="1" t="s">
        <v>11229</v>
      </c>
      <c r="D1559" s="1" t="s">
        <v>11230</v>
      </c>
    </row>
    <row r="1560" spans="1:4" x14ac:dyDescent="0.25">
      <c r="A1560" s="1" t="s">
        <v>3131</v>
      </c>
      <c r="B1560" s="1" t="s">
        <v>11231</v>
      </c>
      <c r="C1560" s="1" t="s">
        <v>11232</v>
      </c>
      <c r="D1560" s="1" t="s">
        <v>11233</v>
      </c>
    </row>
    <row r="1561" spans="1:4" x14ac:dyDescent="0.25">
      <c r="A1561" s="1" t="s">
        <v>3133</v>
      </c>
      <c r="B1561" s="1" t="s">
        <v>11234</v>
      </c>
      <c r="C1561" s="1" t="s">
        <v>11235</v>
      </c>
      <c r="D1561" s="1" t="s">
        <v>11236</v>
      </c>
    </row>
    <row r="1562" spans="1:4" x14ac:dyDescent="0.25">
      <c r="A1562" s="1" t="s">
        <v>3135</v>
      </c>
      <c r="B1562" s="1" t="s">
        <v>11237</v>
      </c>
      <c r="C1562" s="1" t="s">
        <v>11238</v>
      </c>
      <c r="D1562" s="1" t="s">
        <v>11239</v>
      </c>
    </row>
    <row r="1563" spans="1:4" x14ac:dyDescent="0.25">
      <c r="A1563" s="1" t="s">
        <v>3137</v>
      </c>
      <c r="B1563" s="1" t="s">
        <v>11240</v>
      </c>
      <c r="C1563" s="1" t="s">
        <v>11241</v>
      </c>
      <c r="D1563" s="1" t="s">
        <v>11242</v>
      </c>
    </row>
    <row r="1564" spans="1:4" x14ac:dyDescent="0.25">
      <c r="A1564" s="1" t="s">
        <v>3139</v>
      </c>
      <c r="B1564" s="1" t="s">
        <v>11243</v>
      </c>
      <c r="C1564" s="1" t="s">
        <v>11244</v>
      </c>
      <c r="D1564" s="1" t="s">
        <v>11245</v>
      </c>
    </row>
    <row r="1565" spans="1:4" x14ac:dyDescent="0.25">
      <c r="A1565" s="1" t="s">
        <v>3141</v>
      </c>
      <c r="B1565" s="1" t="s">
        <v>11246</v>
      </c>
      <c r="C1565" s="1" t="s">
        <v>11247</v>
      </c>
      <c r="D1565" s="1" t="s">
        <v>11248</v>
      </c>
    </row>
    <row r="1566" spans="1:4" x14ac:dyDescent="0.25">
      <c r="A1566" s="1" t="s">
        <v>3143</v>
      </c>
      <c r="B1566" s="1" t="s">
        <v>11249</v>
      </c>
      <c r="C1566" s="1" t="s">
        <v>11250</v>
      </c>
      <c r="D1566" s="1" t="s">
        <v>11251</v>
      </c>
    </row>
    <row r="1567" spans="1:4" x14ac:dyDescent="0.25">
      <c r="A1567" s="1" t="s">
        <v>3145</v>
      </c>
      <c r="B1567" s="1" t="s">
        <v>11252</v>
      </c>
      <c r="C1567" s="1" t="s">
        <v>11253</v>
      </c>
      <c r="D1567" s="1" t="s">
        <v>11254</v>
      </c>
    </row>
    <row r="1568" spans="1:4" x14ac:dyDescent="0.25">
      <c r="A1568" s="1" t="s">
        <v>3147</v>
      </c>
      <c r="B1568" s="1" t="s">
        <v>11255</v>
      </c>
      <c r="C1568" s="1" t="s">
        <v>11256</v>
      </c>
      <c r="D1568" s="1" t="s">
        <v>11257</v>
      </c>
    </row>
    <row r="1569" spans="1:4" x14ac:dyDescent="0.25">
      <c r="A1569" s="1" t="s">
        <v>3149</v>
      </c>
      <c r="B1569" s="1" t="s">
        <v>11258</v>
      </c>
      <c r="C1569" s="1" t="s">
        <v>11259</v>
      </c>
      <c r="D1569" s="1" t="s">
        <v>11260</v>
      </c>
    </row>
    <row r="1570" spans="1:4" x14ac:dyDescent="0.25">
      <c r="A1570" s="1" t="s">
        <v>3151</v>
      </c>
      <c r="B1570" s="1" t="s">
        <v>11261</v>
      </c>
      <c r="C1570" s="1" t="s">
        <v>11262</v>
      </c>
      <c r="D1570" s="1" t="s">
        <v>11263</v>
      </c>
    </row>
    <row r="1571" spans="1:4" x14ac:dyDescent="0.25">
      <c r="A1571" s="1" t="s">
        <v>3153</v>
      </c>
      <c r="B1571" s="1" t="s">
        <v>11264</v>
      </c>
      <c r="C1571" s="1" t="s">
        <v>11265</v>
      </c>
      <c r="D1571" s="1" t="s">
        <v>11266</v>
      </c>
    </row>
    <row r="1572" spans="1:4" x14ac:dyDescent="0.25">
      <c r="A1572" s="1" t="s">
        <v>3155</v>
      </c>
      <c r="B1572" s="1" t="s">
        <v>11267</v>
      </c>
      <c r="C1572" s="1" t="s">
        <v>11268</v>
      </c>
      <c r="D1572" s="1" t="s">
        <v>11269</v>
      </c>
    </row>
    <row r="1573" spans="1:4" x14ac:dyDescent="0.25">
      <c r="A1573" s="1" t="s">
        <v>3157</v>
      </c>
      <c r="B1573" s="1" t="s">
        <v>11270</v>
      </c>
      <c r="C1573" s="1" t="s">
        <v>11271</v>
      </c>
      <c r="D1573" s="1" t="s">
        <v>11272</v>
      </c>
    </row>
    <row r="1574" spans="1:4" x14ac:dyDescent="0.25">
      <c r="A1574" s="1" t="s">
        <v>3159</v>
      </c>
      <c r="B1574" s="1" t="s">
        <v>11273</v>
      </c>
      <c r="C1574" s="1" t="s">
        <v>11274</v>
      </c>
      <c r="D1574" s="1" t="s">
        <v>11275</v>
      </c>
    </row>
    <row r="1575" spans="1:4" x14ac:dyDescent="0.25">
      <c r="A1575" s="1" t="s">
        <v>3161</v>
      </c>
      <c r="B1575" s="1" t="s">
        <v>11276</v>
      </c>
      <c r="C1575" s="1" t="s">
        <v>11277</v>
      </c>
      <c r="D1575" s="1" t="s">
        <v>11278</v>
      </c>
    </row>
    <row r="1576" spans="1:4" x14ac:dyDescent="0.25">
      <c r="A1576" s="1" t="s">
        <v>3163</v>
      </c>
      <c r="B1576" s="1" t="s">
        <v>11279</v>
      </c>
      <c r="C1576" s="1" t="s">
        <v>11280</v>
      </c>
      <c r="D1576" s="1" t="s">
        <v>11281</v>
      </c>
    </row>
    <row r="1577" spans="1:4" x14ac:dyDescent="0.25">
      <c r="A1577" s="1" t="s">
        <v>3165</v>
      </c>
      <c r="B1577" s="1" t="s">
        <v>11282</v>
      </c>
      <c r="C1577" s="1" t="s">
        <v>11283</v>
      </c>
      <c r="D1577" s="1" t="s">
        <v>11284</v>
      </c>
    </row>
    <row r="1578" spans="1:4" x14ac:dyDescent="0.25">
      <c r="A1578" s="1" t="s">
        <v>3167</v>
      </c>
      <c r="B1578" s="1" t="s">
        <v>11285</v>
      </c>
      <c r="C1578" s="1" t="s">
        <v>11286</v>
      </c>
      <c r="D1578" s="1" t="s">
        <v>11287</v>
      </c>
    </row>
    <row r="1579" spans="1:4" x14ac:dyDescent="0.25">
      <c r="A1579" s="1" t="s">
        <v>3169</v>
      </c>
      <c r="B1579" s="1" t="s">
        <v>11288</v>
      </c>
      <c r="C1579" s="1" t="s">
        <v>11289</v>
      </c>
      <c r="D1579" s="1" t="s">
        <v>11290</v>
      </c>
    </row>
    <row r="1580" spans="1:4" x14ac:dyDescent="0.25">
      <c r="A1580" s="1" t="s">
        <v>3171</v>
      </c>
      <c r="B1580" s="1" t="s">
        <v>11291</v>
      </c>
      <c r="C1580" s="1" t="s">
        <v>11292</v>
      </c>
      <c r="D1580" s="1" t="s">
        <v>11293</v>
      </c>
    </row>
    <row r="1581" spans="1:4" x14ac:dyDescent="0.25">
      <c r="A1581" s="1" t="s">
        <v>3173</v>
      </c>
      <c r="B1581" s="1" t="s">
        <v>11294</v>
      </c>
      <c r="C1581" s="1" t="s">
        <v>11295</v>
      </c>
      <c r="D1581" s="1" t="s">
        <v>11296</v>
      </c>
    </row>
    <row r="1582" spans="1:4" x14ac:dyDescent="0.25">
      <c r="A1582" s="1" t="s">
        <v>3175</v>
      </c>
      <c r="B1582" s="1" t="s">
        <v>11297</v>
      </c>
      <c r="C1582" s="1" t="s">
        <v>11298</v>
      </c>
      <c r="D1582" s="1" t="s">
        <v>11299</v>
      </c>
    </row>
    <row r="1583" spans="1:4" x14ac:dyDescent="0.25">
      <c r="A1583" s="1" t="s">
        <v>3177</v>
      </c>
      <c r="B1583" s="1" t="s">
        <v>11300</v>
      </c>
      <c r="C1583" s="1" t="s">
        <v>11301</v>
      </c>
      <c r="D1583" s="1" t="s">
        <v>11302</v>
      </c>
    </row>
    <row r="1584" spans="1:4" x14ac:dyDescent="0.25">
      <c r="A1584" s="1" t="s">
        <v>3179</v>
      </c>
      <c r="B1584" s="1" t="s">
        <v>11303</v>
      </c>
      <c r="C1584" s="1" t="s">
        <v>11304</v>
      </c>
      <c r="D1584" s="1" t="s">
        <v>11305</v>
      </c>
    </row>
    <row r="1585" spans="1:4" x14ac:dyDescent="0.25">
      <c r="A1585" s="1" t="s">
        <v>3181</v>
      </c>
      <c r="B1585" s="1" t="s">
        <v>11306</v>
      </c>
      <c r="C1585" s="1" t="s">
        <v>11307</v>
      </c>
      <c r="D1585" s="1" t="s">
        <v>11308</v>
      </c>
    </row>
    <row r="1586" spans="1:4" x14ac:dyDescent="0.25">
      <c r="A1586" s="1" t="s">
        <v>3183</v>
      </c>
      <c r="B1586" s="1" t="s">
        <v>11309</v>
      </c>
      <c r="C1586" s="1" t="s">
        <v>11310</v>
      </c>
      <c r="D1586" s="1" t="s">
        <v>11311</v>
      </c>
    </row>
    <row r="1587" spans="1:4" x14ac:dyDescent="0.25">
      <c r="A1587" s="1" t="s">
        <v>3185</v>
      </c>
      <c r="B1587" s="1" t="s">
        <v>11312</v>
      </c>
      <c r="C1587" s="1" t="s">
        <v>11313</v>
      </c>
      <c r="D1587" s="1" t="s">
        <v>11314</v>
      </c>
    </row>
    <row r="1588" spans="1:4" x14ac:dyDescent="0.25">
      <c r="A1588" s="1" t="s">
        <v>3187</v>
      </c>
      <c r="B1588" s="1" t="s">
        <v>11315</v>
      </c>
      <c r="C1588" s="1" t="s">
        <v>11316</v>
      </c>
      <c r="D1588" s="1" t="s">
        <v>11317</v>
      </c>
    </row>
    <row r="1589" spans="1:4" x14ac:dyDescent="0.25">
      <c r="A1589" s="1" t="s">
        <v>3189</v>
      </c>
      <c r="B1589" s="1" t="s">
        <v>11318</v>
      </c>
      <c r="C1589" s="1" t="s">
        <v>11319</v>
      </c>
      <c r="D1589" s="1" t="s">
        <v>11320</v>
      </c>
    </row>
    <row r="1590" spans="1:4" x14ac:dyDescent="0.25">
      <c r="A1590" s="1" t="s">
        <v>3191</v>
      </c>
      <c r="B1590" s="1" t="s">
        <v>11321</v>
      </c>
      <c r="C1590" s="1" t="s">
        <v>11322</v>
      </c>
      <c r="D1590" s="1" t="s">
        <v>11323</v>
      </c>
    </row>
    <row r="1591" spans="1:4" x14ac:dyDescent="0.25">
      <c r="A1591" s="1" t="s">
        <v>3193</v>
      </c>
      <c r="B1591" s="1" t="s">
        <v>11324</v>
      </c>
      <c r="C1591" s="1" t="s">
        <v>11325</v>
      </c>
      <c r="D1591" s="1" t="s">
        <v>11326</v>
      </c>
    </row>
    <row r="1592" spans="1:4" x14ac:dyDescent="0.25">
      <c r="A1592" s="1" t="s">
        <v>3195</v>
      </c>
      <c r="B1592" s="1" t="s">
        <v>11327</v>
      </c>
      <c r="C1592" s="1" t="s">
        <v>11328</v>
      </c>
      <c r="D1592" s="1" t="s">
        <v>11329</v>
      </c>
    </row>
    <row r="1593" spans="1:4" x14ac:dyDescent="0.25">
      <c r="A1593" s="1" t="s">
        <v>3197</v>
      </c>
      <c r="B1593" s="1" t="s">
        <v>11330</v>
      </c>
      <c r="C1593" s="1" t="s">
        <v>11331</v>
      </c>
      <c r="D1593" s="1" t="s">
        <v>11332</v>
      </c>
    </row>
    <row r="1594" spans="1:4" x14ac:dyDescent="0.25">
      <c r="A1594" s="1" t="s">
        <v>3199</v>
      </c>
      <c r="B1594" s="1" t="s">
        <v>11333</v>
      </c>
      <c r="C1594" s="1" t="s">
        <v>11334</v>
      </c>
      <c r="D1594" s="1" t="s">
        <v>11335</v>
      </c>
    </row>
    <row r="1595" spans="1:4" x14ac:dyDescent="0.25">
      <c r="A1595" s="1" t="s">
        <v>3201</v>
      </c>
      <c r="B1595" s="1" t="s">
        <v>11336</v>
      </c>
      <c r="C1595" s="1" t="s">
        <v>11337</v>
      </c>
      <c r="D1595" s="1" t="s">
        <v>11338</v>
      </c>
    </row>
    <row r="1596" spans="1:4" x14ac:dyDescent="0.25">
      <c r="A1596" s="1" t="s">
        <v>3203</v>
      </c>
      <c r="B1596" s="1" t="s">
        <v>11339</v>
      </c>
      <c r="C1596" s="1" t="s">
        <v>11340</v>
      </c>
      <c r="D1596" s="1" t="s">
        <v>11341</v>
      </c>
    </row>
    <row r="1597" spans="1:4" x14ac:dyDescent="0.25">
      <c r="A1597" s="1" t="s">
        <v>3205</v>
      </c>
      <c r="B1597" s="1" t="s">
        <v>11342</v>
      </c>
      <c r="C1597" s="1" t="s">
        <v>11343</v>
      </c>
      <c r="D1597" s="1" t="s">
        <v>11344</v>
      </c>
    </row>
    <row r="1598" spans="1:4" x14ac:dyDescent="0.25">
      <c r="A1598" s="1" t="s">
        <v>3207</v>
      </c>
      <c r="B1598" s="1" t="s">
        <v>11345</v>
      </c>
      <c r="C1598" s="1" t="s">
        <v>11346</v>
      </c>
      <c r="D1598" s="1" t="s">
        <v>11347</v>
      </c>
    </row>
    <row r="1599" spans="1:4" x14ac:dyDescent="0.25">
      <c r="A1599" s="1" t="s">
        <v>3209</v>
      </c>
      <c r="B1599" s="1" t="s">
        <v>11348</v>
      </c>
      <c r="C1599" s="1" t="s">
        <v>11349</v>
      </c>
      <c r="D1599" s="1" t="s">
        <v>11350</v>
      </c>
    </row>
    <row r="1600" spans="1:4" x14ac:dyDescent="0.25">
      <c r="A1600" s="1" t="s">
        <v>3211</v>
      </c>
      <c r="B1600" s="1" t="s">
        <v>11351</v>
      </c>
      <c r="C1600" s="1" t="s">
        <v>11352</v>
      </c>
      <c r="D1600" s="1" t="s">
        <v>11353</v>
      </c>
    </row>
    <row r="1601" spans="1:4" x14ac:dyDescent="0.25">
      <c r="A1601" s="1" t="s">
        <v>3213</v>
      </c>
      <c r="B1601" s="1" t="s">
        <v>11354</v>
      </c>
      <c r="C1601" s="1" t="s">
        <v>11355</v>
      </c>
      <c r="D1601" s="1" t="s">
        <v>11356</v>
      </c>
    </row>
    <row r="1602" spans="1:4" x14ac:dyDescent="0.25">
      <c r="A1602" s="1" t="s">
        <v>3215</v>
      </c>
      <c r="B1602" s="1" t="s">
        <v>11357</v>
      </c>
      <c r="C1602" s="1" t="s">
        <v>11358</v>
      </c>
      <c r="D1602" s="1" t="s">
        <v>11359</v>
      </c>
    </row>
    <row r="1603" spans="1:4" x14ac:dyDescent="0.25">
      <c r="A1603" s="1" t="s">
        <v>3217</v>
      </c>
      <c r="B1603" s="1" t="s">
        <v>11360</v>
      </c>
      <c r="C1603" s="1" t="s">
        <v>11361</v>
      </c>
      <c r="D1603" s="1" t="s">
        <v>11362</v>
      </c>
    </row>
    <row r="1604" spans="1:4" x14ac:dyDescent="0.25">
      <c r="A1604" s="1" t="s">
        <v>3219</v>
      </c>
      <c r="B1604" s="1" t="s">
        <v>11363</v>
      </c>
      <c r="C1604" s="1" t="s">
        <v>11364</v>
      </c>
      <c r="D1604" s="1" t="s">
        <v>11365</v>
      </c>
    </row>
    <row r="1605" spans="1:4" x14ac:dyDescent="0.25">
      <c r="A1605" s="1" t="s">
        <v>3221</v>
      </c>
      <c r="B1605" s="1" t="s">
        <v>11366</v>
      </c>
      <c r="C1605" s="1" t="s">
        <v>11367</v>
      </c>
      <c r="D1605" s="1" t="s">
        <v>11368</v>
      </c>
    </row>
    <row r="1606" spans="1:4" x14ac:dyDescent="0.25">
      <c r="A1606" s="1" t="s">
        <v>3223</v>
      </c>
      <c r="B1606" s="1" t="s">
        <v>11369</v>
      </c>
      <c r="C1606" s="1" t="s">
        <v>11370</v>
      </c>
      <c r="D1606" s="1" t="s">
        <v>11371</v>
      </c>
    </row>
    <row r="1607" spans="1:4" x14ac:dyDescent="0.25">
      <c r="A1607" s="1" t="s">
        <v>3225</v>
      </c>
      <c r="B1607" s="1" t="s">
        <v>11372</v>
      </c>
      <c r="C1607" s="1" t="s">
        <v>11373</v>
      </c>
      <c r="D1607" s="1" t="s">
        <v>11374</v>
      </c>
    </row>
    <row r="1608" spans="1:4" x14ac:dyDescent="0.25">
      <c r="A1608" s="1" t="s">
        <v>3227</v>
      </c>
      <c r="B1608" s="1" t="s">
        <v>11375</v>
      </c>
      <c r="C1608" s="1" t="s">
        <v>11376</v>
      </c>
      <c r="D1608" s="1" t="s">
        <v>11377</v>
      </c>
    </row>
    <row r="1609" spans="1:4" x14ac:dyDescent="0.25">
      <c r="A1609" s="1" t="s">
        <v>3229</v>
      </c>
      <c r="B1609" s="1" t="s">
        <v>11378</v>
      </c>
      <c r="C1609" s="1" t="s">
        <v>11379</v>
      </c>
      <c r="D1609" s="1" t="s">
        <v>11380</v>
      </c>
    </row>
    <row r="1610" spans="1:4" x14ac:dyDescent="0.25">
      <c r="A1610" s="1" t="s">
        <v>3231</v>
      </c>
      <c r="B1610" s="1" t="s">
        <v>11381</v>
      </c>
      <c r="C1610" s="1" t="s">
        <v>11382</v>
      </c>
      <c r="D1610" s="1" t="s">
        <v>11383</v>
      </c>
    </row>
    <row r="1611" spans="1:4" x14ac:dyDescent="0.25">
      <c r="A1611" s="1" t="s">
        <v>3233</v>
      </c>
      <c r="B1611" s="1" t="s">
        <v>11384</v>
      </c>
      <c r="C1611" s="1" t="s">
        <v>11385</v>
      </c>
      <c r="D1611" s="1" t="s">
        <v>11386</v>
      </c>
    </row>
    <row r="1612" spans="1:4" x14ac:dyDescent="0.25">
      <c r="A1612" s="1" t="s">
        <v>3235</v>
      </c>
      <c r="B1612" s="1" t="s">
        <v>11387</v>
      </c>
      <c r="C1612" s="1" t="s">
        <v>11388</v>
      </c>
      <c r="D1612" s="1" t="s">
        <v>11389</v>
      </c>
    </row>
    <row r="1613" spans="1:4" x14ac:dyDescent="0.25">
      <c r="A1613" s="1" t="s">
        <v>3237</v>
      </c>
      <c r="B1613" s="1" t="s">
        <v>11390</v>
      </c>
      <c r="C1613" s="1" t="s">
        <v>11391</v>
      </c>
      <c r="D1613" s="1" t="s">
        <v>11392</v>
      </c>
    </row>
    <row r="1614" spans="1:4" x14ac:dyDescent="0.25">
      <c r="A1614" s="1" t="s">
        <v>3239</v>
      </c>
      <c r="B1614" s="1" t="s">
        <v>11393</v>
      </c>
      <c r="C1614" s="1" t="s">
        <v>11394</v>
      </c>
      <c r="D1614" s="1" t="s">
        <v>11395</v>
      </c>
    </row>
    <row r="1615" spans="1:4" x14ac:dyDescent="0.25">
      <c r="A1615" s="1" t="s">
        <v>3241</v>
      </c>
      <c r="B1615" s="1" t="s">
        <v>11396</v>
      </c>
      <c r="C1615" s="1" t="s">
        <v>11397</v>
      </c>
      <c r="D1615" s="1" t="s">
        <v>11398</v>
      </c>
    </row>
    <row r="1616" spans="1:4" x14ac:dyDescent="0.25">
      <c r="A1616" s="1" t="s">
        <v>3243</v>
      </c>
      <c r="B1616" s="1" t="s">
        <v>11399</v>
      </c>
      <c r="C1616" s="1" t="s">
        <v>11400</v>
      </c>
      <c r="D1616" s="1" t="s">
        <v>11401</v>
      </c>
    </row>
    <row r="1617" spans="1:4" x14ac:dyDescent="0.25">
      <c r="A1617" s="1" t="s">
        <v>3245</v>
      </c>
      <c r="B1617" s="1" t="s">
        <v>11402</v>
      </c>
      <c r="C1617" s="1" t="s">
        <v>11403</v>
      </c>
      <c r="D1617" s="1" t="s">
        <v>11404</v>
      </c>
    </row>
    <row r="1618" spans="1:4" x14ac:dyDescent="0.25">
      <c r="A1618" s="1" t="s">
        <v>3247</v>
      </c>
      <c r="B1618" s="1" t="s">
        <v>11405</v>
      </c>
      <c r="C1618" s="1" t="s">
        <v>11406</v>
      </c>
      <c r="D1618" s="1" t="s">
        <v>11407</v>
      </c>
    </row>
    <row r="1619" spans="1:4" x14ac:dyDescent="0.25">
      <c r="A1619" s="1" t="s">
        <v>3249</v>
      </c>
      <c r="B1619" s="1" t="s">
        <v>11408</v>
      </c>
      <c r="C1619" s="1" t="s">
        <v>11409</v>
      </c>
      <c r="D1619" s="1" t="s">
        <v>11410</v>
      </c>
    </row>
    <row r="1620" spans="1:4" x14ac:dyDescent="0.25">
      <c r="A1620" s="1" t="s">
        <v>3251</v>
      </c>
      <c r="B1620" s="1" t="s">
        <v>11411</v>
      </c>
      <c r="C1620" s="1" t="s">
        <v>11412</v>
      </c>
      <c r="D1620" s="1" t="s">
        <v>11413</v>
      </c>
    </row>
    <row r="1621" spans="1:4" x14ac:dyDescent="0.25">
      <c r="A1621" s="1" t="s">
        <v>3253</v>
      </c>
      <c r="B1621" s="1" t="s">
        <v>11414</v>
      </c>
      <c r="C1621" s="1" t="s">
        <v>11415</v>
      </c>
      <c r="D1621" s="1" t="s">
        <v>11416</v>
      </c>
    </row>
    <row r="1622" spans="1:4" x14ac:dyDescent="0.25">
      <c r="A1622" s="1" t="s">
        <v>3255</v>
      </c>
      <c r="B1622" s="1" t="s">
        <v>11417</v>
      </c>
      <c r="C1622" s="1" t="s">
        <v>11418</v>
      </c>
      <c r="D1622" s="1" t="s">
        <v>11419</v>
      </c>
    </row>
    <row r="1623" spans="1:4" x14ac:dyDescent="0.25">
      <c r="A1623" s="1" t="s">
        <v>3257</v>
      </c>
      <c r="B1623" s="1" t="s">
        <v>11420</v>
      </c>
      <c r="C1623" s="1" t="s">
        <v>11421</v>
      </c>
      <c r="D1623" s="1" t="s">
        <v>11422</v>
      </c>
    </row>
    <row r="1624" spans="1:4" x14ac:dyDescent="0.25">
      <c r="A1624" s="1" t="s">
        <v>3259</v>
      </c>
      <c r="B1624" s="1" t="s">
        <v>11423</v>
      </c>
      <c r="C1624" s="1" t="s">
        <v>11424</v>
      </c>
      <c r="D1624" s="1" t="s">
        <v>11425</v>
      </c>
    </row>
    <row r="1625" spans="1:4" x14ac:dyDescent="0.25">
      <c r="A1625" s="1" t="s">
        <v>3261</v>
      </c>
      <c r="B1625" s="1" t="s">
        <v>11426</v>
      </c>
      <c r="C1625" s="1" t="s">
        <v>11427</v>
      </c>
      <c r="D1625" s="1" t="s">
        <v>11428</v>
      </c>
    </row>
    <row r="1626" spans="1:4" x14ac:dyDescent="0.25">
      <c r="A1626" s="1" t="s">
        <v>3263</v>
      </c>
      <c r="B1626" s="1" t="s">
        <v>11429</v>
      </c>
      <c r="C1626" s="1" t="s">
        <v>11430</v>
      </c>
      <c r="D1626" s="1" t="s">
        <v>11431</v>
      </c>
    </row>
    <row r="1627" spans="1:4" x14ac:dyDescent="0.25">
      <c r="A1627" s="1" t="s">
        <v>3265</v>
      </c>
      <c r="B1627" s="1" t="s">
        <v>11432</v>
      </c>
      <c r="C1627" s="1" t="s">
        <v>11433</v>
      </c>
      <c r="D1627" s="1" t="s">
        <v>11434</v>
      </c>
    </row>
    <row r="1628" spans="1:4" x14ac:dyDescent="0.25">
      <c r="A1628" s="1" t="s">
        <v>3267</v>
      </c>
      <c r="B1628" s="1" t="s">
        <v>11435</v>
      </c>
      <c r="C1628" s="1" t="s">
        <v>11436</v>
      </c>
      <c r="D1628" s="1" t="s">
        <v>11437</v>
      </c>
    </row>
    <row r="1629" spans="1:4" x14ac:dyDescent="0.25">
      <c r="A1629" s="1" t="s">
        <v>3269</v>
      </c>
      <c r="B1629" s="1" t="s">
        <v>11438</v>
      </c>
      <c r="C1629" s="1" t="s">
        <v>11439</v>
      </c>
      <c r="D1629" s="1" t="s">
        <v>11440</v>
      </c>
    </row>
    <row r="1630" spans="1:4" x14ac:dyDescent="0.25">
      <c r="A1630" s="1" t="s">
        <v>3271</v>
      </c>
      <c r="B1630" s="1" t="s">
        <v>11441</v>
      </c>
      <c r="C1630" s="1" t="s">
        <v>11442</v>
      </c>
      <c r="D1630" s="1" t="s">
        <v>11443</v>
      </c>
    </row>
    <row r="1631" spans="1:4" x14ac:dyDescent="0.25">
      <c r="A1631" s="1" t="s">
        <v>3273</v>
      </c>
      <c r="B1631" s="1" t="s">
        <v>11444</v>
      </c>
      <c r="C1631" s="1" t="s">
        <v>11445</v>
      </c>
      <c r="D1631" s="1" t="s">
        <v>11446</v>
      </c>
    </row>
    <row r="1632" spans="1:4" x14ac:dyDescent="0.25">
      <c r="A1632" s="1" t="s">
        <v>3275</v>
      </c>
      <c r="B1632" s="1" t="s">
        <v>11447</v>
      </c>
      <c r="C1632" s="1" t="s">
        <v>11448</v>
      </c>
      <c r="D1632" s="1" t="s">
        <v>11449</v>
      </c>
    </row>
    <row r="1633" spans="1:4" x14ac:dyDescent="0.25">
      <c r="A1633" s="1" t="s">
        <v>3277</v>
      </c>
      <c r="B1633" s="1" t="s">
        <v>11450</v>
      </c>
      <c r="C1633" s="1" t="s">
        <v>11451</v>
      </c>
      <c r="D1633" s="1" t="s">
        <v>11452</v>
      </c>
    </row>
    <row r="1634" spans="1:4" x14ac:dyDescent="0.25">
      <c r="A1634" s="1" t="s">
        <v>3279</v>
      </c>
      <c r="B1634" s="1" t="s">
        <v>11453</v>
      </c>
      <c r="C1634" s="1" t="s">
        <v>11454</v>
      </c>
      <c r="D1634" s="1" t="s">
        <v>11455</v>
      </c>
    </row>
    <row r="1635" spans="1:4" x14ac:dyDescent="0.25">
      <c r="A1635" s="1" t="s">
        <v>3281</v>
      </c>
      <c r="B1635" s="1" t="s">
        <v>11456</v>
      </c>
      <c r="C1635" s="1" t="s">
        <v>11457</v>
      </c>
      <c r="D1635" s="1" t="s">
        <v>11458</v>
      </c>
    </row>
    <row r="1636" spans="1:4" x14ac:dyDescent="0.25">
      <c r="A1636" s="1" t="s">
        <v>3283</v>
      </c>
      <c r="B1636" s="1" t="s">
        <v>11459</v>
      </c>
      <c r="C1636" s="1" t="s">
        <v>11460</v>
      </c>
      <c r="D1636" s="1" t="s">
        <v>11461</v>
      </c>
    </row>
    <row r="1637" spans="1:4" x14ac:dyDescent="0.25">
      <c r="A1637" s="1" t="s">
        <v>3285</v>
      </c>
      <c r="B1637" s="1" t="s">
        <v>11462</v>
      </c>
      <c r="C1637" s="1" t="s">
        <v>11463</v>
      </c>
      <c r="D1637" s="1" t="s">
        <v>11464</v>
      </c>
    </row>
    <row r="1638" spans="1:4" x14ac:dyDescent="0.25">
      <c r="A1638" s="1" t="s">
        <v>3287</v>
      </c>
      <c r="B1638" s="1" t="s">
        <v>11465</v>
      </c>
      <c r="C1638" s="1" t="s">
        <v>11466</v>
      </c>
      <c r="D1638" s="1" t="s">
        <v>11467</v>
      </c>
    </row>
    <row r="1639" spans="1:4" x14ac:dyDescent="0.25">
      <c r="A1639" s="1" t="s">
        <v>3289</v>
      </c>
      <c r="B1639" s="1" t="s">
        <v>11468</v>
      </c>
      <c r="C1639" s="1" t="s">
        <v>11469</v>
      </c>
      <c r="D1639" s="1" t="s">
        <v>11470</v>
      </c>
    </row>
    <row r="1640" spans="1:4" x14ac:dyDescent="0.25">
      <c r="A1640" s="1" t="s">
        <v>3291</v>
      </c>
      <c r="B1640" s="1" t="s">
        <v>11471</v>
      </c>
      <c r="C1640" s="1" t="s">
        <v>11472</v>
      </c>
      <c r="D1640" s="1" t="s">
        <v>11473</v>
      </c>
    </row>
    <row r="1641" spans="1:4" x14ac:dyDescent="0.25">
      <c r="A1641" s="1" t="s">
        <v>3293</v>
      </c>
      <c r="B1641" s="1" t="s">
        <v>11474</v>
      </c>
      <c r="C1641" s="1" t="s">
        <v>11475</v>
      </c>
      <c r="D1641" s="1" t="s">
        <v>11476</v>
      </c>
    </row>
    <row r="1642" spans="1:4" x14ac:dyDescent="0.25">
      <c r="A1642" s="1" t="s">
        <v>3295</v>
      </c>
      <c r="B1642" s="1" t="s">
        <v>11477</v>
      </c>
      <c r="C1642" s="1" t="s">
        <v>11478</v>
      </c>
      <c r="D1642" s="1" t="s">
        <v>11479</v>
      </c>
    </row>
    <row r="1643" spans="1:4" x14ac:dyDescent="0.25">
      <c r="A1643" s="1" t="s">
        <v>3297</v>
      </c>
      <c r="B1643" s="1" t="s">
        <v>11480</v>
      </c>
      <c r="C1643" s="1" t="s">
        <v>11481</v>
      </c>
      <c r="D1643" s="1" t="s">
        <v>11482</v>
      </c>
    </row>
    <row r="1644" spans="1:4" x14ac:dyDescent="0.25">
      <c r="A1644" s="1" t="s">
        <v>3299</v>
      </c>
      <c r="B1644" s="1" t="s">
        <v>11483</v>
      </c>
      <c r="C1644" s="1" t="s">
        <v>11484</v>
      </c>
      <c r="D1644" s="1" t="s">
        <v>11485</v>
      </c>
    </row>
    <row r="1645" spans="1:4" x14ac:dyDescent="0.25">
      <c r="A1645" s="1" t="s">
        <v>3301</v>
      </c>
      <c r="B1645" s="1" t="s">
        <v>11486</v>
      </c>
      <c r="C1645" s="1" t="s">
        <v>11487</v>
      </c>
      <c r="D1645" s="1" t="s">
        <v>11488</v>
      </c>
    </row>
    <row r="1646" spans="1:4" x14ac:dyDescent="0.25">
      <c r="A1646" s="1" t="s">
        <v>3303</v>
      </c>
      <c r="B1646" s="1" t="s">
        <v>11489</v>
      </c>
      <c r="C1646" s="1" t="s">
        <v>11490</v>
      </c>
      <c r="D1646" s="1" t="s">
        <v>11491</v>
      </c>
    </row>
    <row r="1647" spans="1:4" x14ac:dyDescent="0.25">
      <c r="A1647" s="1" t="s">
        <v>3305</v>
      </c>
      <c r="B1647" s="1" t="s">
        <v>11492</v>
      </c>
      <c r="C1647" s="1" t="s">
        <v>11493</v>
      </c>
      <c r="D1647" s="1" t="s">
        <v>11494</v>
      </c>
    </row>
    <row r="1648" spans="1:4" x14ac:dyDescent="0.25">
      <c r="A1648" s="1" t="s">
        <v>3307</v>
      </c>
      <c r="B1648" s="1" t="s">
        <v>11495</v>
      </c>
      <c r="C1648" s="1" t="s">
        <v>11496</v>
      </c>
      <c r="D1648" s="1" t="s">
        <v>11497</v>
      </c>
    </row>
    <row r="1649" spans="1:4" x14ac:dyDescent="0.25">
      <c r="A1649" s="1" t="s">
        <v>3309</v>
      </c>
      <c r="B1649" s="1" t="s">
        <v>11498</v>
      </c>
      <c r="C1649" s="1" t="s">
        <v>11499</v>
      </c>
      <c r="D1649" s="1" t="s">
        <v>11500</v>
      </c>
    </row>
    <row r="1650" spans="1:4" x14ac:dyDescent="0.25">
      <c r="A1650" s="1" t="s">
        <v>3311</v>
      </c>
      <c r="B1650" s="1" t="s">
        <v>11501</v>
      </c>
      <c r="C1650" s="1" t="s">
        <v>11502</v>
      </c>
      <c r="D1650" s="1" t="s">
        <v>11503</v>
      </c>
    </row>
    <row r="1651" spans="1:4" x14ac:dyDescent="0.25">
      <c r="A1651" s="1" t="s">
        <v>3313</v>
      </c>
      <c r="B1651" s="1" t="s">
        <v>11504</v>
      </c>
      <c r="C1651" s="1" t="s">
        <v>11505</v>
      </c>
      <c r="D1651" s="1" t="s">
        <v>11506</v>
      </c>
    </row>
    <row r="1652" spans="1:4" x14ac:dyDescent="0.25">
      <c r="A1652" s="1" t="s">
        <v>3315</v>
      </c>
      <c r="B1652" s="1" t="s">
        <v>11507</v>
      </c>
      <c r="C1652" s="1" t="s">
        <v>11508</v>
      </c>
      <c r="D1652" s="1" t="s">
        <v>11509</v>
      </c>
    </row>
    <row r="1653" spans="1:4" x14ac:dyDescent="0.25">
      <c r="A1653" s="1" t="s">
        <v>3317</v>
      </c>
      <c r="B1653" s="1" t="s">
        <v>11510</v>
      </c>
      <c r="C1653" s="1" t="s">
        <v>11511</v>
      </c>
      <c r="D1653" s="1" t="s">
        <v>11512</v>
      </c>
    </row>
    <row r="1654" spans="1:4" x14ac:dyDescent="0.25">
      <c r="A1654" s="1" t="s">
        <v>3319</v>
      </c>
      <c r="B1654" s="1" t="s">
        <v>11513</v>
      </c>
      <c r="C1654" s="1" t="s">
        <v>11514</v>
      </c>
      <c r="D1654" s="1" t="s">
        <v>11515</v>
      </c>
    </row>
    <row r="1655" spans="1:4" x14ac:dyDescent="0.25">
      <c r="A1655" s="1" t="s">
        <v>3321</v>
      </c>
      <c r="B1655" s="1" t="s">
        <v>11516</v>
      </c>
      <c r="C1655" s="1" t="s">
        <v>11517</v>
      </c>
      <c r="D1655" s="1" t="s">
        <v>11518</v>
      </c>
    </row>
    <row r="1656" spans="1:4" x14ac:dyDescent="0.25">
      <c r="A1656" s="1" t="s">
        <v>3323</v>
      </c>
      <c r="B1656" s="1" t="s">
        <v>11519</v>
      </c>
      <c r="C1656" s="1" t="s">
        <v>11520</v>
      </c>
      <c r="D1656" s="1" t="s">
        <v>11521</v>
      </c>
    </row>
    <row r="1657" spans="1:4" x14ac:dyDescent="0.25">
      <c r="A1657" s="1" t="s">
        <v>3325</v>
      </c>
      <c r="B1657" s="1" t="s">
        <v>11522</v>
      </c>
      <c r="C1657" s="1" t="s">
        <v>11523</v>
      </c>
      <c r="D1657" s="1" t="s">
        <v>11524</v>
      </c>
    </row>
    <row r="1658" spans="1:4" x14ac:dyDescent="0.25">
      <c r="A1658" s="1" t="s">
        <v>3327</v>
      </c>
      <c r="B1658" s="1" t="s">
        <v>11525</v>
      </c>
      <c r="C1658" s="1" t="s">
        <v>11526</v>
      </c>
      <c r="D1658" s="1" t="s">
        <v>11527</v>
      </c>
    </row>
    <row r="1659" spans="1:4" x14ac:dyDescent="0.25">
      <c r="A1659" s="1" t="s">
        <v>3329</v>
      </c>
      <c r="B1659" s="1" t="s">
        <v>11528</v>
      </c>
      <c r="C1659" s="1" t="s">
        <v>11529</v>
      </c>
      <c r="D1659" s="1" t="s">
        <v>11530</v>
      </c>
    </row>
    <row r="1660" spans="1:4" x14ac:dyDescent="0.25">
      <c r="A1660" s="1" t="s">
        <v>3331</v>
      </c>
      <c r="B1660" s="1" t="s">
        <v>11531</v>
      </c>
      <c r="C1660" s="1" t="s">
        <v>11532</v>
      </c>
      <c r="D1660" s="1" t="s">
        <v>11533</v>
      </c>
    </row>
    <row r="1661" spans="1:4" x14ac:dyDescent="0.25">
      <c r="A1661" s="1" t="s">
        <v>3333</v>
      </c>
      <c r="B1661" s="1" t="s">
        <v>11534</v>
      </c>
      <c r="C1661" s="1" t="s">
        <v>11535</v>
      </c>
      <c r="D1661" s="1" t="s">
        <v>11536</v>
      </c>
    </row>
    <row r="1662" spans="1:4" x14ac:dyDescent="0.25">
      <c r="A1662" s="1" t="s">
        <v>3335</v>
      </c>
      <c r="B1662" s="1" t="s">
        <v>11537</v>
      </c>
      <c r="C1662" s="1" t="s">
        <v>11538</v>
      </c>
      <c r="D1662" s="1" t="s">
        <v>11539</v>
      </c>
    </row>
    <row r="1663" spans="1:4" x14ac:dyDescent="0.25">
      <c r="A1663" s="1" t="s">
        <v>3337</v>
      </c>
      <c r="B1663" s="1" t="s">
        <v>11540</v>
      </c>
      <c r="C1663" s="1" t="s">
        <v>11541</v>
      </c>
      <c r="D1663" s="1" t="s">
        <v>11542</v>
      </c>
    </row>
    <row r="1664" spans="1:4" x14ac:dyDescent="0.25">
      <c r="A1664" s="1" t="s">
        <v>3339</v>
      </c>
      <c r="B1664" s="1" t="s">
        <v>11543</v>
      </c>
      <c r="C1664" s="1" t="s">
        <v>11544</v>
      </c>
      <c r="D1664" s="1" t="s">
        <v>11545</v>
      </c>
    </row>
    <row r="1665" spans="1:4" x14ac:dyDescent="0.25">
      <c r="A1665" s="1" t="s">
        <v>3341</v>
      </c>
      <c r="B1665" s="1" t="s">
        <v>11546</v>
      </c>
      <c r="C1665" s="1" t="s">
        <v>11547</v>
      </c>
      <c r="D1665" s="1" t="s">
        <v>11548</v>
      </c>
    </row>
    <row r="1666" spans="1:4" x14ac:dyDescent="0.25">
      <c r="A1666" s="1" t="s">
        <v>3343</v>
      </c>
      <c r="B1666" s="1" t="s">
        <v>11549</v>
      </c>
      <c r="C1666" s="1" t="s">
        <v>11550</v>
      </c>
      <c r="D1666" s="1" t="s">
        <v>11551</v>
      </c>
    </row>
    <row r="1667" spans="1:4" x14ac:dyDescent="0.25">
      <c r="A1667" s="1" t="s">
        <v>3345</v>
      </c>
      <c r="B1667" s="1" t="s">
        <v>11552</v>
      </c>
      <c r="C1667" s="1" t="s">
        <v>11553</v>
      </c>
      <c r="D1667" s="1" t="s">
        <v>11554</v>
      </c>
    </row>
    <row r="1668" spans="1:4" x14ac:dyDescent="0.25">
      <c r="A1668" s="1" t="s">
        <v>3347</v>
      </c>
      <c r="B1668" s="1" t="s">
        <v>11555</v>
      </c>
      <c r="C1668" s="1" t="s">
        <v>11556</v>
      </c>
      <c r="D1668" s="1" t="s">
        <v>11557</v>
      </c>
    </row>
    <row r="1669" spans="1:4" x14ac:dyDescent="0.25">
      <c r="A1669" s="1" t="s">
        <v>3349</v>
      </c>
      <c r="B1669" s="1" t="s">
        <v>11558</v>
      </c>
      <c r="C1669" s="1" t="s">
        <v>11559</v>
      </c>
      <c r="D1669" s="1" t="s">
        <v>11560</v>
      </c>
    </row>
    <row r="1670" spans="1:4" x14ac:dyDescent="0.25">
      <c r="A1670" s="1" t="s">
        <v>3351</v>
      </c>
      <c r="B1670" s="1" t="s">
        <v>11561</v>
      </c>
      <c r="C1670" s="1" t="s">
        <v>11562</v>
      </c>
      <c r="D1670" s="1" t="s">
        <v>11563</v>
      </c>
    </row>
    <row r="1671" spans="1:4" x14ac:dyDescent="0.25">
      <c r="A1671" s="1" t="s">
        <v>3353</v>
      </c>
      <c r="B1671" s="1" t="s">
        <v>11564</v>
      </c>
      <c r="C1671" s="1" t="s">
        <v>11565</v>
      </c>
      <c r="D1671" s="1" t="s">
        <v>11566</v>
      </c>
    </row>
    <row r="1672" spans="1:4" x14ac:dyDescent="0.25">
      <c r="A1672" s="1" t="s">
        <v>3355</v>
      </c>
      <c r="B1672" s="1" t="s">
        <v>11567</v>
      </c>
      <c r="C1672" s="1" t="s">
        <v>11568</v>
      </c>
      <c r="D1672" s="1" t="s">
        <v>11569</v>
      </c>
    </row>
    <row r="1673" spans="1:4" x14ac:dyDescent="0.25">
      <c r="A1673" s="1" t="s">
        <v>3357</v>
      </c>
      <c r="B1673" s="1" t="s">
        <v>11570</v>
      </c>
      <c r="C1673" s="1" t="s">
        <v>11571</v>
      </c>
      <c r="D1673" s="1" t="s">
        <v>11572</v>
      </c>
    </row>
    <row r="1674" spans="1:4" x14ac:dyDescent="0.25">
      <c r="A1674" s="1" t="s">
        <v>3359</v>
      </c>
      <c r="B1674" s="1" t="s">
        <v>11573</v>
      </c>
      <c r="C1674" s="1" t="s">
        <v>11574</v>
      </c>
      <c r="D1674" s="1" t="s">
        <v>11575</v>
      </c>
    </row>
    <row r="1675" spans="1:4" x14ac:dyDescent="0.25">
      <c r="A1675" s="1" t="s">
        <v>3361</v>
      </c>
      <c r="B1675" s="1" t="s">
        <v>11576</v>
      </c>
      <c r="C1675" s="1" t="s">
        <v>11577</v>
      </c>
      <c r="D1675" s="1" t="s">
        <v>11578</v>
      </c>
    </row>
    <row r="1676" spans="1:4" x14ac:dyDescent="0.25">
      <c r="A1676" s="1" t="s">
        <v>3363</v>
      </c>
      <c r="B1676" s="1" t="s">
        <v>11579</v>
      </c>
      <c r="C1676" s="1" t="s">
        <v>11580</v>
      </c>
      <c r="D1676" s="1" t="s">
        <v>11581</v>
      </c>
    </row>
    <row r="1677" spans="1:4" x14ac:dyDescent="0.25">
      <c r="A1677" s="1" t="s">
        <v>3365</v>
      </c>
      <c r="B1677" s="1" t="s">
        <v>11582</v>
      </c>
      <c r="C1677" s="1" t="s">
        <v>11583</v>
      </c>
      <c r="D1677" s="1" t="s">
        <v>11584</v>
      </c>
    </row>
    <row r="1678" spans="1:4" x14ac:dyDescent="0.25">
      <c r="A1678" s="1" t="s">
        <v>3367</v>
      </c>
      <c r="B1678" s="1" t="s">
        <v>11585</v>
      </c>
      <c r="C1678" s="1" t="s">
        <v>11586</v>
      </c>
      <c r="D1678" s="1" t="s">
        <v>11587</v>
      </c>
    </row>
    <row r="1679" spans="1:4" x14ac:dyDescent="0.25">
      <c r="A1679" s="1" t="s">
        <v>3369</v>
      </c>
      <c r="B1679" s="1" t="s">
        <v>11588</v>
      </c>
      <c r="C1679" s="1" t="s">
        <v>11589</v>
      </c>
      <c r="D1679" s="1" t="s">
        <v>11590</v>
      </c>
    </row>
    <row r="1680" spans="1:4" x14ac:dyDescent="0.25">
      <c r="A1680" s="1" t="s">
        <v>3371</v>
      </c>
      <c r="B1680" s="1" t="s">
        <v>11591</v>
      </c>
      <c r="C1680" s="1" t="s">
        <v>11592</v>
      </c>
      <c r="D1680" s="1" t="s">
        <v>11593</v>
      </c>
    </row>
    <row r="1681" spans="1:4" x14ac:dyDescent="0.25">
      <c r="A1681" s="1" t="s">
        <v>3373</v>
      </c>
      <c r="B1681" s="1" t="s">
        <v>11594</v>
      </c>
      <c r="C1681" s="1" t="s">
        <v>11595</v>
      </c>
      <c r="D1681" s="1" t="s">
        <v>11596</v>
      </c>
    </row>
    <row r="1682" spans="1:4" x14ac:dyDescent="0.25">
      <c r="A1682" s="1" t="s">
        <v>3375</v>
      </c>
      <c r="B1682" s="1" t="s">
        <v>11597</v>
      </c>
      <c r="C1682" s="1" t="s">
        <v>11598</v>
      </c>
      <c r="D1682" s="1" t="s">
        <v>11599</v>
      </c>
    </row>
    <row r="1683" spans="1:4" x14ac:dyDescent="0.25">
      <c r="A1683" s="1" t="s">
        <v>3377</v>
      </c>
      <c r="B1683" s="1" t="s">
        <v>11600</v>
      </c>
      <c r="C1683" s="1" t="s">
        <v>11601</v>
      </c>
      <c r="D1683" s="1" t="s">
        <v>11602</v>
      </c>
    </row>
    <row r="1684" spans="1:4" x14ac:dyDescent="0.25">
      <c r="A1684" s="1" t="s">
        <v>3379</v>
      </c>
      <c r="B1684" s="1" t="s">
        <v>11603</v>
      </c>
      <c r="C1684" s="1" t="s">
        <v>11604</v>
      </c>
      <c r="D1684" s="1" t="s">
        <v>11605</v>
      </c>
    </row>
    <row r="1685" spans="1:4" x14ac:dyDescent="0.25">
      <c r="A1685" s="1" t="s">
        <v>3381</v>
      </c>
      <c r="B1685" s="1" t="s">
        <v>11606</v>
      </c>
      <c r="C1685" s="1" t="s">
        <v>11607</v>
      </c>
      <c r="D1685" s="1" t="s">
        <v>11608</v>
      </c>
    </row>
    <row r="1686" spans="1:4" x14ac:dyDescent="0.25">
      <c r="A1686" s="1" t="s">
        <v>3383</v>
      </c>
      <c r="B1686" s="1" t="s">
        <v>11609</v>
      </c>
      <c r="C1686" s="1" t="s">
        <v>11610</v>
      </c>
      <c r="D1686" s="1" t="s">
        <v>11611</v>
      </c>
    </row>
    <row r="1687" spans="1:4" x14ac:dyDescent="0.25">
      <c r="A1687" s="1" t="s">
        <v>3385</v>
      </c>
      <c r="B1687" s="1" t="s">
        <v>11612</v>
      </c>
      <c r="C1687" s="1" t="s">
        <v>11613</v>
      </c>
      <c r="D1687" s="1" t="s">
        <v>11614</v>
      </c>
    </row>
    <row r="1688" spans="1:4" x14ac:dyDescent="0.25">
      <c r="A1688" s="1" t="s">
        <v>3387</v>
      </c>
      <c r="B1688" s="1" t="s">
        <v>11615</v>
      </c>
      <c r="C1688" s="1" t="s">
        <v>11616</v>
      </c>
      <c r="D1688" s="1" t="s">
        <v>11617</v>
      </c>
    </row>
    <row r="1689" spans="1:4" x14ac:dyDescent="0.25">
      <c r="A1689" s="1" t="s">
        <v>3389</v>
      </c>
      <c r="B1689" s="1" t="s">
        <v>11618</v>
      </c>
      <c r="C1689" s="1" t="s">
        <v>11619</v>
      </c>
      <c r="D1689" s="1" t="s">
        <v>11620</v>
      </c>
    </row>
    <row r="1690" spans="1:4" x14ac:dyDescent="0.25">
      <c r="A1690" s="1" t="s">
        <v>3391</v>
      </c>
      <c r="B1690" s="1" t="s">
        <v>11621</v>
      </c>
      <c r="C1690" s="1" t="s">
        <v>11622</v>
      </c>
      <c r="D1690" s="1" t="s">
        <v>11623</v>
      </c>
    </row>
    <row r="1691" spans="1:4" x14ac:dyDescent="0.25">
      <c r="A1691" s="1" t="s">
        <v>3393</v>
      </c>
      <c r="B1691" s="1" t="s">
        <v>11624</v>
      </c>
      <c r="C1691" s="1" t="s">
        <v>11625</v>
      </c>
      <c r="D1691" s="1" t="s">
        <v>11626</v>
      </c>
    </row>
    <row r="1692" spans="1:4" x14ac:dyDescent="0.25">
      <c r="A1692" s="1" t="s">
        <v>3395</v>
      </c>
      <c r="B1692" s="1" t="s">
        <v>11627</v>
      </c>
      <c r="C1692" s="1" t="s">
        <v>11628</v>
      </c>
      <c r="D1692" s="1" t="s">
        <v>11629</v>
      </c>
    </row>
    <row r="1693" spans="1:4" x14ac:dyDescent="0.25">
      <c r="A1693" s="1" t="s">
        <v>3397</v>
      </c>
      <c r="B1693" s="1" t="s">
        <v>11630</v>
      </c>
      <c r="C1693" s="1" t="s">
        <v>11631</v>
      </c>
      <c r="D1693" s="1" t="s">
        <v>11632</v>
      </c>
    </row>
    <row r="1694" spans="1:4" x14ac:dyDescent="0.25">
      <c r="A1694" s="1" t="s">
        <v>3399</v>
      </c>
      <c r="B1694" s="1" t="s">
        <v>11633</v>
      </c>
      <c r="C1694" s="1" t="s">
        <v>11634</v>
      </c>
      <c r="D1694" s="1" t="s">
        <v>11635</v>
      </c>
    </row>
    <row r="1695" spans="1:4" x14ac:dyDescent="0.25">
      <c r="A1695" s="1" t="s">
        <v>3401</v>
      </c>
      <c r="B1695" s="1" t="s">
        <v>11636</v>
      </c>
      <c r="C1695" s="1" t="s">
        <v>11637</v>
      </c>
      <c r="D1695" s="1" t="s">
        <v>11638</v>
      </c>
    </row>
    <row r="1696" spans="1:4" x14ac:dyDescent="0.25">
      <c r="A1696" s="1" t="s">
        <v>3403</v>
      </c>
      <c r="B1696" s="1" t="s">
        <v>11639</v>
      </c>
      <c r="C1696" s="1" t="s">
        <v>11640</v>
      </c>
      <c r="D1696" s="1" t="s">
        <v>11641</v>
      </c>
    </row>
    <row r="1697" spans="1:4" x14ac:dyDescent="0.25">
      <c r="A1697" s="1" t="s">
        <v>3405</v>
      </c>
      <c r="B1697" s="1" t="s">
        <v>11642</v>
      </c>
      <c r="C1697" s="1" t="s">
        <v>11643</v>
      </c>
      <c r="D1697" s="1" t="s">
        <v>11644</v>
      </c>
    </row>
    <row r="1698" spans="1:4" x14ac:dyDescent="0.25">
      <c r="A1698" s="1" t="s">
        <v>3407</v>
      </c>
      <c r="B1698" s="1" t="s">
        <v>11645</v>
      </c>
      <c r="C1698" s="1" t="s">
        <v>11646</v>
      </c>
      <c r="D1698" s="1" t="s">
        <v>11647</v>
      </c>
    </row>
    <row r="1699" spans="1:4" x14ac:dyDescent="0.25">
      <c r="A1699" s="1" t="s">
        <v>3409</v>
      </c>
      <c r="B1699" s="1" t="s">
        <v>11648</v>
      </c>
      <c r="C1699" s="1" t="s">
        <v>11649</v>
      </c>
      <c r="D1699" s="1" t="s">
        <v>11650</v>
      </c>
    </row>
    <row r="1700" spans="1:4" x14ac:dyDescent="0.25">
      <c r="A1700" s="1" t="s">
        <v>3411</v>
      </c>
      <c r="B1700" s="1" t="s">
        <v>11651</v>
      </c>
      <c r="C1700" s="1" t="s">
        <v>11652</v>
      </c>
      <c r="D1700" s="1" t="s">
        <v>11653</v>
      </c>
    </row>
    <row r="1701" spans="1:4" x14ac:dyDescent="0.25">
      <c r="A1701" s="1" t="s">
        <v>3413</v>
      </c>
      <c r="B1701" s="1" t="s">
        <v>11654</v>
      </c>
      <c r="C1701" s="1" t="s">
        <v>11655</v>
      </c>
      <c r="D1701" s="1" t="s">
        <v>11656</v>
      </c>
    </row>
    <row r="1702" spans="1:4" x14ac:dyDescent="0.25">
      <c r="A1702" s="1" t="s">
        <v>3415</v>
      </c>
      <c r="B1702" s="1" t="s">
        <v>11657</v>
      </c>
      <c r="C1702" s="1" t="s">
        <v>11658</v>
      </c>
      <c r="D1702" s="1" t="s">
        <v>11659</v>
      </c>
    </row>
    <row r="1703" spans="1:4" x14ac:dyDescent="0.25">
      <c r="A1703" s="1" t="s">
        <v>3417</v>
      </c>
      <c r="B1703" s="1" t="s">
        <v>11660</v>
      </c>
      <c r="C1703" s="1" t="s">
        <v>11661</v>
      </c>
      <c r="D1703" s="1" t="s">
        <v>11662</v>
      </c>
    </row>
    <row r="1704" spans="1:4" x14ac:dyDescent="0.25">
      <c r="A1704" s="1" t="s">
        <v>3419</v>
      </c>
      <c r="B1704" s="1" t="s">
        <v>11663</v>
      </c>
      <c r="C1704" s="1" t="s">
        <v>11664</v>
      </c>
      <c r="D1704" s="1" t="s">
        <v>11665</v>
      </c>
    </row>
    <row r="1705" spans="1:4" x14ac:dyDescent="0.25">
      <c r="A1705" s="1" t="s">
        <v>3421</v>
      </c>
      <c r="B1705" s="1" t="s">
        <v>11666</v>
      </c>
      <c r="C1705" s="1" t="s">
        <v>11667</v>
      </c>
      <c r="D1705" s="1" t="s">
        <v>11668</v>
      </c>
    </row>
    <row r="1706" spans="1:4" x14ac:dyDescent="0.25">
      <c r="A1706" s="1" t="s">
        <v>3423</v>
      </c>
      <c r="B1706" s="1" t="s">
        <v>11669</v>
      </c>
      <c r="C1706" s="1" t="s">
        <v>11670</v>
      </c>
      <c r="D1706" s="1" t="s">
        <v>11671</v>
      </c>
    </row>
    <row r="1707" spans="1:4" x14ac:dyDescent="0.25">
      <c r="A1707" s="1" t="s">
        <v>3425</v>
      </c>
      <c r="B1707" s="1" t="s">
        <v>11672</v>
      </c>
      <c r="C1707" s="1" t="s">
        <v>11673</v>
      </c>
      <c r="D1707" s="1" t="s">
        <v>11674</v>
      </c>
    </row>
    <row r="1708" spans="1:4" x14ac:dyDescent="0.25">
      <c r="A1708" s="1" t="s">
        <v>3427</v>
      </c>
      <c r="B1708" s="1" t="s">
        <v>11675</v>
      </c>
      <c r="C1708" s="1" t="s">
        <v>11676</v>
      </c>
      <c r="D1708" s="1" t="s">
        <v>11677</v>
      </c>
    </row>
    <row r="1709" spans="1:4" x14ac:dyDescent="0.25">
      <c r="A1709" s="1" t="s">
        <v>3429</v>
      </c>
      <c r="B1709" s="1" t="s">
        <v>11678</v>
      </c>
      <c r="C1709" s="1" t="s">
        <v>11679</v>
      </c>
      <c r="D1709" s="1" t="s">
        <v>11680</v>
      </c>
    </row>
    <row r="1710" spans="1:4" x14ac:dyDescent="0.25">
      <c r="A1710" s="1" t="s">
        <v>3431</v>
      </c>
      <c r="B1710" s="1" t="s">
        <v>11681</v>
      </c>
      <c r="C1710" s="1" t="s">
        <v>11682</v>
      </c>
      <c r="D1710" s="1" t="s">
        <v>11683</v>
      </c>
    </row>
    <row r="1711" spans="1:4" x14ac:dyDescent="0.25">
      <c r="A1711" s="1" t="s">
        <v>3433</v>
      </c>
      <c r="B1711" s="1" t="s">
        <v>11684</v>
      </c>
      <c r="C1711" s="1" t="s">
        <v>11685</v>
      </c>
      <c r="D1711" s="1" t="s">
        <v>11686</v>
      </c>
    </row>
    <row r="1712" spans="1:4" x14ac:dyDescent="0.25">
      <c r="A1712" s="1" t="s">
        <v>3435</v>
      </c>
      <c r="B1712" s="1" t="s">
        <v>11687</v>
      </c>
      <c r="C1712" s="1" t="s">
        <v>11688</v>
      </c>
      <c r="D1712" s="1" t="s">
        <v>11689</v>
      </c>
    </row>
    <row r="1713" spans="1:4" x14ac:dyDescent="0.25">
      <c r="A1713" s="1" t="s">
        <v>3437</v>
      </c>
      <c r="B1713" s="1" t="s">
        <v>11690</v>
      </c>
      <c r="C1713" s="1" t="s">
        <v>11691</v>
      </c>
      <c r="D1713" s="1" t="s">
        <v>11692</v>
      </c>
    </row>
    <row r="1714" spans="1:4" x14ac:dyDescent="0.25">
      <c r="A1714" s="1" t="s">
        <v>3439</v>
      </c>
      <c r="B1714" s="1" t="s">
        <v>11693</v>
      </c>
      <c r="C1714" s="1" t="s">
        <v>11694</v>
      </c>
      <c r="D1714" s="1" t="s">
        <v>11695</v>
      </c>
    </row>
    <row r="1715" spans="1:4" x14ac:dyDescent="0.25">
      <c r="A1715" s="1" t="s">
        <v>3441</v>
      </c>
      <c r="B1715" s="1" t="s">
        <v>11696</v>
      </c>
      <c r="C1715" s="1" t="s">
        <v>11697</v>
      </c>
      <c r="D1715" s="1" t="s">
        <v>11698</v>
      </c>
    </row>
    <row r="1716" spans="1:4" x14ac:dyDescent="0.25">
      <c r="A1716" s="1" t="s">
        <v>3443</v>
      </c>
      <c r="B1716" s="1" t="s">
        <v>11699</v>
      </c>
      <c r="C1716" s="1" t="s">
        <v>11700</v>
      </c>
      <c r="D1716" s="1" t="s">
        <v>11701</v>
      </c>
    </row>
    <row r="1717" spans="1:4" x14ac:dyDescent="0.25">
      <c r="A1717" s="1" t="s">
        <v>3445</v>
      </c>
      <c r="B1717" s="1" t="s">
        <v>11702</v>
      </c>
      <c r="C1717" s="1" t="s">
        <v>11703</v>
      </c>
      <c r="D1717" s="1" t="s">
        <v>11704</v>
      </c>
    </row>
    <row r="1718" spans="1:4" x14ac:dyDescent="0.25">
      <c r="A1718" s="1" t="s">
        <v>3447</v>
      </c>
      <c r="B1718" s="1" t="s">
        <v>11705</v>
      </c>
      <c r="C1718" s="1" t="s">
        <v>11706</v>
      </c>
      <c r="D1718" s="1" t="s">
        <v>11707</v>
      </c>
    </row>
    <row r="1719" spans="1:4" x14ac:dyDescent="0.25">
      <c r="A1719" s="1" t="s">
        <v>3449</v>
      </c>
      <c r="B1719" s="1" t="s">
        <v>11708</v>
      </c>
      <c r="C1719" s="1" t="s">
        <v>11709</v>
      </c>
      <c r="D1719" s="1" t="s">
        <v>11710</v>
      </c>
    </row>
    <row r="1720" spans="1:4" x14ac:dyDescent="0.25">
      <c r="A1720" s="1" t="s">
        <v>3451</v>
      </c>
      <c r="B1720" s="1" t="s">
        <v>11711</v>
      </c>
      <c r="C1720" s="1" t="s">
        <v>11712</v>
      </c>
      <c r="D1720" s="1" t="s">
        <v>11713</v>
      </c>
    </row>
    <row r="1721" spans="1:4" x14ac:dyDescent="0.25">
      <c r="A1721" s="1" t="s">
        <v>3453</v>
      </c>
      <c r="B1721" s="1" t="s">
        <v>11714</v>
      </c>
      <c r="C1721" s="1" t="s">
        <v>11715</v>
      </c>
      <c r="D1721" s="1" t="s">
        <v>11716</v>
      </c>
    </row>
    <row r="1722" spans="1:4" x14ac:dyDescent="0.25">
      <c r="A1722" s="1" t="s">
        <v>3455</v>
      </c>
      <c r="B1722" s="1" t="s">
        <v>11717</v>
      </c>
      <c r="C1722" s="1" t="s">
        <v>11718</v>
      </c>
      <c r="D1722" s="1" t="s">
        <v>11719</v>
      </c>
    </row>
    <row r="1723" spans="1:4" x14ac:dyDescent="0.25">
      <c r="A1723" s="1" t="s">
        <v>3457</v>
      </c>
      <c r="B1723" s="1" t="s">
        <v>11720</v>
      </c>
      <c r="C1723" s="1" t="s">
        <v>11721</v>
      </c>
      <c r="D1723" s="1" t="s">
        <v>11722</v>
      </c>
    </row>
    <row r="1724" spans="1:4" x14ac:dyDescent="0.25">
      <c r="A1724" s="1" t="s">
        <v>3459</v>
      </c>
      <c r="B1724" s="1" t="s">
        <v>11723</v>
      </c>
      <c r="C1724" s="1" t="s">
        <v>11724</v>
      </c>
      <c r="D1724" s="1" t="s">
        <v>11725</v>
      </c>
    </row>
    <row r="1725" spans="1:4" x14ac:dyDescent="0.25">
      <c r="A1725" s="1" t="s">
        <v>3461</v>
      </c>
      <c r="B1725" s="1" t="s">
        <v>11726</v>
      </c>
      <c r="C1725" s="1" t="s">
        <v>11727</v>
      </c>
      <c r="D1725" s="1" t="s">
        <v>11728</v>
      </c>
    </row>
    <row r="1726" spans="1:4" x14ac:dyDescent="0.25">
      <c r="A1726" s="1" t="s">
        <v>3463</v>
      </c>
      <c r="B1726" s="1" t="s">
        <v>11729</v>
      </c>
      <c r="C1726" s="1" t="s">
        <v>11730</v>
      </c>
      <c r="D1726" s="1" t="s">
        <v>11731</v>
      </c>
    </row>
    <row r="1727" spans="1:4" x14ac:dyDescent="0.25">
      <c r="A1727" s="1" t="s">
        <v>3465</v>
      </c>
      <c r="B1727" s="1" t="s">
        <v>11732</v>
      </c>
      <c r="C1727" s="1" t="s">
        <v>11733</v>
      </c>
      <c r="D1727" s="1" t="s">
        <v>11734</v>
      </c>
    </row>
    <row r="1728" spans="1:4" x14ac:dyDescent="0.25">
      <c r="A1728" s="1" t="s">
        <v>3467</v>
      </c>
      <c r="B1728" s="1" t="s">
        <v>11735</v>
      </c>
      <c r="C1728" s="1" t="s">
        <v>11736</v>
      </c>
      <c r="D1728" s="1" t="s">
        <v>11737</v>
      </c>
    </row>
    <row r="1729" spans="1:4" x14ac:dyDescent="0.25">
      <c r="A1729" s="1" t="s">
        <v>3469</v>
      </c>
      <c r="B1729" s="1" t="s">
        <v>11738</v>
      </c>
      <c r="C1729" s="1" t="s">
        <v>11739</v>
      </c>
      <c r="D1729" s="1" t="s">
        <v>11740</v>
      </c>
    </row>
    <row r="1730" spans="1:4" x14ac:dyDescent="0.25">
      <c r="A1730" s="1" t="s">
        <v>3471</v>
      </c>
      <c r="B1730" s="1" t="s">
        <v>11741</v>
      </c>
      <c r="C1730" s="1" t="s">
        <v>11742</v>
      </c>
      <c r="D1730" s="1" t="s">
        <v>11743</v>
      </c>
    </row>
    <row r="1731" spans="1:4" x14ac:dyDescent="0.25">
      <c r="A1731" s="1" t="s">
        <v>3473</v>
      </c>
      <c r="B1731" s="1" t="s">
        <v>11744</v>
      </c>
      <c r="C1731" s="1" t="s">
        <v>11745</v>
      </c>
      <c r="D1731" s="1" t="s">
        <v>11746</v>
      </c>
    </row>
    <row r="1732" spans="1:4" x14ac:dyDescent="0.25">
      <c r="A1732" s="1" t="s">
        <v>3475</v>
      </c>
      <c r="B1732" s="1" t="s">
        <v>11747</v>
      </c>
      <c r="C1732" s="1" t="s">
        <v>11748</v>
      </c>
      <c r="D1732" s="1" t="s">
        <v>11749</v>
      </c>
    </row>
    <row r="1733" spans="1:4" x14ac:dyDescent="0.25">
      <c r="A1733" s="1" t="s">
        <v>3477</v>
      </c>
      <c r="B1733" s="1" t="s">
        <v>11750</v>
      </c>
      <c r="C1733" s="1" t="s">
        <v>11751</v>
      </c>
      <c r="D1733" s="1" t="s">
        <v>11752</v>
      </c>
    </row>
    <row r="1734" spans="1:4" x14ac:dyDescent="0.25">
      <c r="A1734" s="1" t="s">
        <v>3479</v>
      </c>
      <c r="B1734" s="1" t="s">
        <v>11753</v>
      </c>
      <c r="C1734" s="1" t="s">
        <v>11754</v>
      </c>
      <c r="D1734" s="1" t="s">
        <v>11755</v>
      </c>
    </row>
    <row r="1735" spans="1:4" x14ac:dyDescent="0.25">
      <c r="A1735" s="1" t="s">
        <v>3481</v>
      </c>
      <c r="B1735" s="1" t="s">
        <v>11756</v>
      </c>
      <c r="C1735" s="1" t="s">
        <v>11757</v>
      </c>
      <c r="D1735" s="1" t="s">
        <v>11758</v>
      </c>
    </row>
    <row r="1736" spans="1:4" x14ac:dyDescent="0.25">
      <c r="A1736" s="1" t="s">
        <v>3483</v>
      </c>
      <c r="B1736" s="1" t="s">
        <v>11759</v>
      </c>
      <c r="C1736" s="1" t="s">
        <v>11760</v>
      </c>
      <c r="D1736" s="1" t="s">
        <v>11761</v>
      </c>
    </row>
    <row r="1737" spans="1:4" x14ac:dyDescent="0.25">
      <c r="A1737" s="1" t="s">
        <v>3485</v>
      </c>
      <c r="B1737" s="1" t="s">
        <v>11762</v>
      </c>
      <c r="C1737" s="1" t="s">
        <v>11763</v>
      </c>
      <c r="D1737" s="1" t="s">
        <v>11764</v>
      </c>
    </row>
    <row r="1738" spans="1:4" x14ac:dyDescent="0.25">
      <c r="A1738" s="1" t="s">
        <v>3487</v>
      </c>
      <c r="B1738" s="1" t="s">
        <v>11765</v>
      </c>
      <c r="C1738" s="1" t="s">
        <v>11766</v>
      </c>
      <c r="D1738" s="1" t="s">
        <v>11767</v>
      </c>
    </row>
    <row r="1739" spans="1:4" x14ac:dyDescent="0.25">
      <c r="A1739" s="1" t="s">
        <v>3489</v>
      </c>
      <c r="B1739" s="1" t="s">
        <v>11768</v>
      </c>
      <c r="C1739" s="1" t="s">
        <v>11769</v>
      </c>
      <c r="D1739" s="1" t="s">
        <v>11770</v>
      </c>
    </row>
    <row r="1740" spans="1:4" x14ac:dyDescent="0.25">
      <c r="A1740" s="1" t="s">
        <v>3491</v>
      </c>
      <c r="B1740" s="1" t="s">
        <v>11771</v>
      </c>
      <c r="C1740" s="1" t="s">
        <v>11772</v>
      </c>
      <c r="D1740" s="1" t="s">
        <v>11773</v>
      </c>
    </row>
    <row r="1741" spans="1:4" x14ac:dyDescent="0.25">
      <c r="A1741" s="1" t="s">
        <v>3493</v>
      </c>
      <c r="B1741" s="1" t="s">
        <v>11774</v>
      </c>
      <c r="C1741" s="1" t="s">
        <v>11775</v>
      </c>
      <c r="D1741" s="1" t="s">
        <v>11776</v>
      </c>
    </row>
    <row r="1742" spans="1:4" x14ac:dyDescent="0.25">
      <c r="A1742" s="1" t="s">
        <v>3495</v>
      </c>
      <c r="B1742" s="1" t="s">
        <v>11777</v>
      </c>
      <c r="C1742" s="1" t="s">
        <v>11778</v>
      </c>
      <c r="D1742" s="1" t="s">
        <v>11779</v>
      </c>
    </row>
    <row r="1743" spans="1:4" x14ac:dyDescent="0.25">
      <c r="A1743" s="1" t="s">
        <v>3497</v>
      </c>
      <c r="B1743" s="1" t="s">
        <v>11780</v>
      </c>
      <c r="C1743" s="1" t="s">
        <v>11781</v>
      </c>
      <c r="D1743" s="1" t="s">
        <v>11782</v>
      </c>
    </row>
    <row r="1744" spans="1:4" x14ac:dyDescent="0.25">
      <c r="A1744" s="1" t="s">
        <v>3499</v>
      </c>
      <c r="B1744" s="1" t="s">
        <v>11783</v>
      </c>
      <c r="C1744" s="1" t="s">
        <v>11784</v>
      </c>
      <c r="D1744" s="1" t="s">
        <v>11785</v>
      </c>
    </row>
    <row r="1745" spans="1:4" x14ac:dyDescent="0.25">
      <c r="A1745" s="1" t="s">
        <v>3501</v>
      </c>
      <c r="B1745" s="1" t="s">
        <v>11786</v>
      </c>
      <c r="C1745" s="1" t="s">
        <v>11787</v>
      </c>
      <c r="D1745" s="1" t="s">
        <v>11788</v>
      </c>
    </row>
    <row r="1746" spans="1:4" x14ac:dyDescent="0.25">
      <c r="A1746" s="1" t="s">
        <v>3503</v>
      </c>
      <c r="B1746" s="1" t="s">
        <v>11789</v>
      </c>
      <c r="C1746" s="1" t="s">
        <v>11790</v>
      </c>
      <c r="D1746" s="1" t="s">
        <v>11791</v>
      </c>
    </row>
    <row r="1747" spans="1:4" x14ac:dyDescent="0.25">
      <c r="A1747" s="1" t="s">
        <v>3505</v>
      </c>
      <c r="B1747" s="1" t="s">
        <v>11792</v>
      </c>
      <c r="C1747" s="1" t="s">
        <v>11793</v>
      </c>
      <c r="D1747" s="1" t="s">
        <v>11794</v>
      </c>
    </row>
    <row r="1748" spans="1:4" x14ac:dyDescent="0.25">
      <c r="A1748" s="1" t="s">
        <v>3507</v>
      </c>
      <c r="B1748" s="1" t="s">
        <v>11795</v>
      </c>
      <c r="C1748" s="1" t="s">
        <v>11796</v>
      </c>
      <c r="D1748" s="1" t="s">
        <v>11797</v>
      </c>
    </row>
    <row r="1749" spans="1:4" x14ac:dyDescent="0.25">
      <c r="A1749" s="1" t="s">
        <v>3509</v>
      </c>
      <c r="B1749" s="1" t="s">
        <v>11798</v>
      </c>
      <c r="C1749" s="1" t="s">
        <v>11799</v>
      </c>
      <c r="D1749" s="1" t="s">
        <v>11800</v>
      </c>
    </row>
    <row r="1750" spans="1:4" x14ac:dyDescent="0.25">
      <c r="A1750" s="1" t="s">
        <v>3511</v>
      </c>
      <c r="B1750" s="1" t="s">
        <v>11801</v>
      </c>
      <c r="C1750" s="1" t="s">
        <v>11802</v>
      </c>
      <c r="D1750" s="1" t="s">
        <v>11803</v>
      </c>
    </row>
    <row r="1751" spans="1:4" x14ac:dyDescent="0.25">
      <c r="A1751" s="1" t="s">
        <v>3513</v>
      </c>
      <c r="B1751" s="1" t="s">
        <v>11804</v>
      </c>
      <c r="C1751" s="1" t="s">
        <v>11805</v>
      </c>
      <c r="D1751" s="1" t="s">
        <v>11806</v>
      </c>
    </row>
    <row r="1752" spans="1:4" x14ac:dyDescent="0.25">
      <c r="A1752" s="1" t="s">
        <v>3515</v>
      </c>
      <c r="B1752" s="1" t="s">
        <v>11807</v>
      </c>
      <c r="C1752" s="1" t="s">
        <v>11808</v>
      </c>
      <c r="D1752" s="1" t="s">
        <v>11809</v>
      </c>
    </row>
    <row r="1753" spans="1:4" x14ac:dyDescent="0.25">
      <c r="A1753" s="1" t="s">
        <v>3517</v>
      </c>
      <c r="B1753" s="1" t="s">
        <v>11810</v>
      </c>
      <c r="C1753" s="1" t="s">
        <v>11811</v>
      </c>
      <c r="D1753" s="1" t="s">
        <v>11812</v>
      </c>
    </row>
    <row r="1754" spans="1:4" x14ac:dyDescent="0.25">
      <c r="A1754" s="1" t="s">
        <v>3519</v>
      </c>
      <c r="B1754" s="1" t="s">
        <v>11813</v>
      </c>
      <c r="C1754" s="1" t="s">
        <v>11814</v>
      </c>
      <c r="D1754" s="1" t="s">
        <v>11815</v>
      </c>
    </row>
    <row r="1755" spans="1:4" x14ac:dyDescent="0.25">
      <c r="A1755" s="1" t="s">
        <v>3521</v>
      </c>
      <c r="B1755" s="1" t="s">
        <v>11816</v>
      </c>
      <c r="C1755" s="1" t="s">
        <v>11817</v>
      </c>
      <c r="D1755" s="1" t="s">
        <v>11818</v>
      </c>
    </row>
    <row r="1756" spans="1:4" x14ac:dyDescent="0.25">
      <c r="A1756" s="1" t="s">
        <v>3523</v>
      </c>
      <c r="B1756" s="1" t="s">
        <v>11819</v>
      </c>
      <c r="C1756" s="1" t="s">
        <v>11820</v>
      </c>
      <c r="D1756" s="1" t="s">
        <v>11821</v>
      </c>
    </row>
    <row r="1757" spans="1:4" x14ac:dyDescent="0.25">
      <c r="A1757" s="1" t="s">
        <v>3525</v>
      </c>
      <c r="B1757" s="1" t="s">
        <v>11822</v>
      </c>
      <c r="C1757" s="1" t="s">
        <v>11823</v>
      </c>
      <c r="D1757" s="1" t="s">
        <v>11824</v>
      </c>
    </row>
    <row r="1758" spans="1:4" x14ac:dyDescent="0.25">
      <c r="A1758" s="1" t="s">
        <v>3527</v>
      </c>
      <c r="B1758" s="1" t="s">
        <v>11825</v>
      </c>
      <c r="C1758" s="1" t="s">
        <v>11826</v>
      </c>
      <c r="D1758" s="1" t="s">
        <v>11827</v>
      </c>
    </row>
    <row r="1759" spans="1:4" x14ac:dyDescent="0.25">
      <c r="A1759" s="1" t="s">
        <v>3529</v>
      </c>
      <c r="B1759" s="1" t="s">
        <v>11828</v>
      </c>
      <c r="C1759" s="1" t="s">
        <v>11829</v>
      </c>
      <c r="D1759" s="1" t="s">
        <v>11830</v>
      </c>
    </row>
    <row r="1760" spans="1:4" x14ac:dyDescent="0.25">
      <c r="A1760" s="1" t="s">
        <v>3531</v>
      </c>
      <c r="B1760" s="1" t="s">
        <v>11831</v>
      </c>
      <c r="C1760" s="1" t="s">
        <v>11832</v>
      </c>
      <c r="D1760" s="1" t="s">
        <v>11833</v>
      </c>
    </row>
    <row r="1761" spans="1:4" x14ac:dyDescent="0.25">
      <c r="A1761" s="1" t="s">
        <v>3533</v>
      </c>
      <c r="B1761" s="1" t="s">
        <v>11834</v>
      </c>
      <c r="C1761" s="1" t="s">
        <v>11835</v>
      </c>
      <c r="D1761" s="1" t="s">
        <v>11836</v>
      </c>
    </row>
    <row r="1762" spans="1:4" x14ac:dyDescent="0.25">
      <c r="A1762" s="1" t="s">
        <v>3535</v>
      </c>
      <c r="B1762" s="1" t="s">
        <v>11837</v>
      </c>
      <c r="C1762" s="1" t="s">
        <v>11838</v>
      </c>
      <c r="D1762" s="1" t="s">
        <v>11839</v>
      </c>
    </row>
    <row r="1763" spans="1:4" x14ac:dyDescent="0.25">
      <c r="A1763" s="1" t="s">
        <v>3537</v>
      </c>
      <c r="B1763" s="1" t="s">
        <v>11840</v>
      </c>
      <c r="C1763" s="1" t="s">
        <v>11841</v>
      </c>
      <c r="D1763" s="1" t="s">
        <v>11842</v>
      </c>
    </row>
    <row r="1764" spans="1:4" x14ac:dyDescent="0.25">
      <c r="A1764" s="1" t="s">
        <v>3539</v>
      </c>
      <c r="B1764" s="1" t="s">
        <v>11843</v>
      </c>
      <c r="C1764" s="1" t="s">
        <v>11844</v>
      </c>
      <c r="D1764" s="1" t="s">
        <v>11845</v>
      </c>
    </row>
    <row r="1765" spans="1:4" x14ac:dyDescent="0.25">
      <c r="A1765" s="1" t="s">
        <v>3541</v>
      </c>
      <c r="B1765" s="1" t="s">
        <v>11846</v>
      </c>
      <c r="C1765" s="1" t="s">
        <v>11847</v>
      </c>
      <c r="D1765" s="1" t="s">
        <v>11848</v>
      </c>
    </row>
    <row r="1766" spans="1:4" x14ac:dyDescent="0.25">
      <c r="A1766" s="1" t="s">
        <v>3543</v>
      </c>
      <c r="B1766" s="1" t="s">
        <v>11849</v>
      </c>
      <c r="C1766" s="1" t="s">
        <v>11850</v>
      </c>
      <c r="D1766" s="1" t="s">
        <v>11851</v>
      </c>
    </row>
    <row r="1767" spans="1:4" x14ac:dyDescent="0.25">
      <c r="A1767" s="1" t="s">
        <v>3545</v>
      </c>
      <c r="B1767" s="1" t="s">
        <v>11852</v>
      </c>
      <c r="C1767" s="1" t="s">
        <v>11853</v>
      </c>
      <c r="D1767" s="1" t="s">
        <v>11854</v>
      </c>
    </row>
    <row r="1768" spans="1:4" x14ac:dyDescent="0.25">
      <c r="A1768" s="1" t="s">
        <v>3547</v>
      </c>
      <c r="B1768" s="1" t="s">
        <v>11855</v>
      </c>
      <c r="C1768" s="1" t="s">
        <v>11856</v>
      </c>
      <c r="D1768" s="1" t="s">
        <v>11857</v>
      </c>
    </row>
    <row r="1769" spans="1:4" x14ac:dyDescent="0.25">
      <c r="A1769" s="1" t="s">
        <v>3549</v>
      </c>
      <c r="B1769" s="1" t="s">
        <v>11858</v>
      </c>
      <c r="C1769" s="1" t="s">
        <v>11859</v>
      </c>
      <c r="D1769" s="1" t="s">
        <v>11860</v>
      </c>
    </row>
    <row r="1770" spans="1:4" x14ac:dyDescent="0.25">
      <c r="A1770" s="1" t="s">
        <v>3551</v>
      </c>
      <c r="B1770" s="1" t="s">
        <v>11861</v>
      </c>
      <c r="C1770" s="1" t="s">
        <v>11862</v>
      </c>
      <c r="D1770" s="1" t="s">
        <v>11863</v>
      </c>
    </row>
    <row r="1771" spans="1:4" x14ac:dyDescent="0.25">
      <c r="A1771" s="1" t="s">
        <v>3553</v>
      </c>
      <c r="B1771" s="1" t="s">
        <v>11864</v>
      </c>
      <c r="C1771" s="1" t="s">
        <v>11865</v>
      </c>
      <c r="D1771" s="1" t="s">
        <v>11866</v>
      </c>
    </row>
    <row r="1772" spans="1:4" x14ac:dyDescent="0.25">
      <c r="A1772" s="1" t="s">
        <v>3555</v>
      </c>
      <c r="B1772" s="1" t="s">
        <v>11867</v>
      </c>
      <c r="C1772" s="1" t="s">
        <v>11868</v>
      </c>
      <c r="D1772" s="1" t="s">
        <v>11869</v>
      </c>
    </row>
    <row r="1773" spans="1:4" x14ac:dyDescent="0.25">
      <c r="A1773" s="1" t="s">
        <v>3557</v>
      </c>
      <c r="B1773" s="1" t="s">
        <v>11870</v>
      </c>
      <c r="C1773" s="1" t="s">
        <v>11871</v>
      </c>
      <c r="D1773" s="1" t="s">
        <v>11872</v>
      </c>
    </row>
    <row r="1774" spans="1:4" x14ac:dyDescent="0.25">
      <c r="A1774" s="1" t="s">
        <v>3559</v>
      </c>
      <c r="B1774" s="1" t="s">
        <v>11873</v>
      </c>
      <c r="C1774" s="1" t="s">
        <v>11874</v>
      </c>
      <c r="D1774" s="1" t="s">
        <v>11875</v>
      </c>
    </row>
    <row r="1775" spans="1:4" x14ac:dyDescent="0.25">
      <c r="A1775" s="1" t="s">
        <v>3561</v>
      </c>
      <c r="B1775" s="1" t="s">
        <v>11876</v>
      </c>
      <c r="C1775" s="1" t="s">
        <v>11877</v>
      </c>
      <c r="D1775" s="1" t="s">
        <v>11878</v>
      </c>
    </row>
    <row r="1776" spans="1:4" x14ac:dyDescent="0.25">
      <c r="A1776" s="1" t="s">
        <v>3563</v>
      </c>
      <c r="B1776" s="1" t="s">
        <v>11879</v>
      </c>
      <c r="C1776" s="1" t="s">
        <v>11880</v>
      </c>
      <c r="D1776" s="1" t="s">
        <v>11881</v>
      </c>
    </row>
    <row r="1777" spans="1:4" x14ac:dyDescent="0.25">
      <c r="A1777" s="1" t="s">
        <v>3565</v>
      </c>
      <c r="B1777" s="1" t="s">
        <v>11882</v>
      </c>
      <c r="C1777" s="1" t="s">
        <v>11883</v>
      </c>
      <c r="D1777" s="1" t="s">
        <v>11884</v>
      </c>
    </row>
    <row r="1778" spans="1:4" x14ac:dyDescent="0.25">
      <c r="A1778" s="1" t="s">
        <v>3567</v>
      </c>
      <c r="B1778" s="1" t="s">
        <v>11885</v>
      </c>
      <c r="C1778" s="1" t="s">
        <v>11886</v>
      </c>
      <c r="D1778" s="1" t="s">
        <v>11887</v>
      </c>
    </row>
    <row r="1779" spans="1:4" x14ac:dyDescent="0.25">
      <c r="A1779" s="1" t="s">
        <v>3569</v>
      </c>
      <c r="B1779" s="1" t="s">
        <v>11888</v>
      </c>
      <c r="C1779" s="1" t="s">
        <v>11889</v>
      </c>
      <c r="D1779" s="1" t="s">
        <v>11890</v>
      </c>
    </row>
    <row r="1780" spans="1:4" x14ac:dyDescent="0.25">
      <c r="A1780" s="1" t="s">
        <v>3571</v>
      </c>
      <c r="B1780" s="1" t="s">
        <v>11891</v>
      </c>
      <c r="C1780" s="1" t="s">
        <v>11892</v>
      </c>
      <c r="D1780" s="1" t="s">
        <v>11893</v>
      </c>
    </row>
    <row r="1781" spans="1:4" x14ac:dyDescent="0.25">
      <c r="A1781" s="1" t="s">
        <v>3573</v>
      </c>
      <c r="B1781" s="1" t="s">
        <v>11894</v>
      </c>
      <c r="C1781" s="1" t="s">
        <v>11895</v>
      </c>
      <c r="D1781" s="1" t="s">
        <v>11896</v>
      </c>
    </row>
    <row r="1782" spans="1:4" x14ac:dyDescent="0.25">
      <c r="A1782" s="1" t="s">
        <v>3575</v>
      </c>
      <c r="B1782" s="1" t="s">
        <v>11897</v>
      </c>
      <c r="C1782" s="1" t="s">
        <v>11898</v>
      </c>
      <c r="D1782" s="1" t="s">
        <v>11899</v>
      </c>
    </row>
    <row r="1783" spans="1:4" x14ac:dyDescent="0.25">
      <c r="A1783" s="1" t="s">
        <v>3577</v>
      </c>
      <c r="B1783" s="1" t="s">
        <v>11900</v>
      </c>
      <c r="C1783" s="1" t="s">
        <v>11901</v>
      </c>
      <c r="D1783" s="1" t="s">
        <v>11902</v>
      </c>
    </row>
    <row r="1784" spans="1:4" x14ac:dyDescent="0.25">
      <c r="A1784" s="1" t="s">
        <v>3579</v>
      </c>
      <c r="B1784" s="1" t="s">
        <v>11903</v>
      </c>
      <c r="C1784" s="1" t="s">
        <v>11904</v>
      </c>
      <c r="D1784" s="1" t="s">
        <v>11905</v>
      </c>
    </row>
    <row r="1785" spans="1:4" x14ac:dyDescent="0.25">
      <c r="A1785" s="1" t="s">
        <v>3581</v>
      </c>
      <c r="B1785" s="1" t="s">
        <v>11906</v>
      </c>
      <c r="C1785" s="1" t="s">
        <v>11907</v>
      </c>
      <c r="D1785" s="1" t="s">
        <v>11908</v>
      </c>
    </row>
    <row r="1786" spans="1:4" x14ac:dyDescent="0.25">
      <c r="A1786" s="1" t="s">
        <v>3583</v>
      </c>
      <c r="B1786" s="1" t="s">
        <v>11909</v>
      </c>
      <c r="C1786" s="1" t="s">
        <v>11910</v>
      </c>
      <c r="D1786" s="1" t="s">
        <v>11911</v>
      </c>
    </row>
    <row r="1787" spans="1:4" x14ac:dyDescent="0.25">
      <c r="A1787" s="1" t="s">
        <v>3585</v>
      </c>
      <c r="B1787" s="1" t="s">
        <v>11912</v>
      </c>
      <c r="C1787" s="1" t="s">
        <v>11913</v>
      </c>
      <c r="D1787" s="1" t="s">
        <v>11914</v>
      </c>
    </row>
    <row r="1788" spans="1:4" x14ac:dyDescent="0.25">
      <c r="A1788" s="1" t="s">
        <v>3587</v>
      </c>
      <c r="B1788" s="1" t="s">
        <v>11915</v>
      </c>
      <c r="C1788" s="1" t="s">
        <v>11916</v>
      </c>
      <c r="D1788" s="1" t="s">
        <v>11917</v>
      </c>
    </row>
    <row r="1789" spans="1:4" x14ac:dyDescent="0.25">
      <c r="A1789" s="1" t="s">
        <v>3589</v>
      </c>
      <c r="B1789" s="1" t="s">
        <v>11918</v>
      </c>
      <c r="C1789" s="1" t="s">
        <v>11919</v>
      </c>
      <c r="D1789" s="1" t="s">
        <v>11920</v>
      </c>
    </row>
    <row r="1790" spans="1:4" x14ac:dyDescent="0.25">
      <c r="A1790" s="1" t="s">
        <v>3591</v>
      </c>
      <c r="B1790" s="1" t="s">
        <v>11921</v>
      </c>
      <c r="C1790" s="1" t="s">
        <v>11922</v>
      </c>
      <c r="D1790" s="1" t="s">
        <v>11923</v>
      </c>
    </row>
    <row r="1791" spans="1:4" x14ac:dyDescent="0.25">
      <c r="A1791" s="1" t="s">
        <v>3593</v>
      </c>
      <c r="B1791" s="1" t="s">
        <v>11924</v>
      </c>
      <c r="C1791" s="1" t="s">
        <v>11925</v>
      </c>
      <c r="D1791" s="1" t="s">
        <v>11926</v>
      </c>
    </row>
    <row r="1792" spans="1:4" x14ac:dyDescent="0.25">
      <c r="A1792" s="1" t="s">
        <v>3595</v>
      </c>
      <c r="B1792" s="1" t="s">
        <v>11927</v>
      </c>
      <c r="C1792" s="1" t="s">
        <v>11928</v>
      </c>
      <c r="D1792" s="1" t="s">
        <v>11929</v>
      </c>
    </row>
    <row r="1793" spans="1:4" x14ac:dyDescent="0.25">
      <c r="A1793" s="1" t="s">
        <v>3597</v>
      </c>
      <c r="B1793" s="1" t="s">
        <v>11930</v>
      </c>
      <c r="C1793" s="1" t="s">
        <v>11931</v>
      </c>
      <c r="D1793" s="1" t="s">
        <v>11932</v>
      </c>
    </row>
    <row r="1794" spans="1:4" x14ac:dyDescent="0.25">
      <c r="A1794" s="1" t="s">
        <v>3599</v>
      </c>
      <c r="B1794" s="1" t="s">
        <v>11933</v>
      </c>
      <c r="C1794" s="1" t="s">
        <v>11934</v>
      </c>
      <c r="D1794" s="1" t="s">
        <v>11935</v>
      </c>
    </row>
    <row r="1795" spans="1:4" x14ac:dyDescent="0.25">
      <c r="A1795" s="1" t="s">
        <v>3601</v>
      </c>
      <c r="B1795" s="1" t="s">
        <v>11936</v>
      </c>
      <c r="C1795" s="1" t="s">
        <v>11937</v>
      </c>
      <c r="D1795" s="1" t="s">
        <v>11938</v>
      </c>
    </row>
    <row r="1796" spans="1:4" x14ac:dyDescent="0.25">
      <c r="A1796" s="1" t="s">
        <v>3603</v>
      </c>
      <c r="B1796" s="1" t="s">
        <v>11939</v>
      </c>
      <c r="C1796" s="1" t="s">
        <v>11940</v>
      </c>
      <c r="D1796" s="1" t="s">
        <v>11941</v>
      </c>
    </row>
    <row r="1797" spans="1:4" x14ac:dyDescent="0.25">
      <c r="A1797" s="1" t="s">
        <v>3605</v>
      </c>
      <c r="B1797" s="1" t="s">
        <v>11942</v>
      </c>
      <c r="C1797" s="1" t="s">
        <v>11943</v>
      </c>
      <c r="D1797" s="1" t="s">
        <v>11944</v>
      </c>
    </row>
    <row r="1798" spans="1:4" x14ac:dyDescent="0.25">
      <c r="A1798" s="1" t="s">
        <v>3607</v>
      </c>
      <c r="B1798" s="1" t="s">
        <v>11945</v>
      </c>
      <c r="C1798" s="1" t="s">
        <v>11946</v>
      </c>
      <c r="D1798" s="1" t="s">
        <v>11947</v>
      </c>
    </row>
    <row r="1799" spans="1:4" x14ac:dyDescent="0.25">
      <c r="A1799" s="1" t="s">
        <v>3609</v>
      </c>
      <c r="B1799" s="1" t="s">
        <v>11948</v>
      </c>
      <c r="C1799" s="1" t="s">
        <v>11949</v>
      </c>
      <c r="D1799" s="1" t="s">
        <v>11950</v>
      </c>
    </row>
    <row r="1800" spans="1:4" x14ac:dyDescent="0.25">
      <c r="A1800" s="1" t="s">
        <v>3611</v>
      </c>
      <c r="B1800" s="1" t="s">
        <v>11951</v>
      </c>
      <c r="C1800" s="1" t="s">
        <v>11952</v>
      </c>
      <c r="D1800" s="1" t="s">
        <v>11953</v>
      </c>
    </row>
    <row r="1801" spans="1:4" x14ac:dyDescent="0.25">
      <c r="A1801" s="1" t="s">
        <v>3613</v>
      </c>
      <c r="B1801" s="1" t="s">
        <v>11954</v>
      </c>
      <c r="C1801" s="1" t="s">
        <v>11955</v>
      </c>
      <c r="D1801" s="1" t="s">
        <v>11956</v>
      </c>
    </row>
    <row r="1802" spans="1:4" x14ac:dyDescent="0.25">
      <c r="A1802" s="1" t="s">
        <v>3615</v>
      </c>
      <c r="B1802" s="1" t="s">
        <v>11957</v>
      </c>
      <c r="C1802" s="1" t="s">
        <v>11958</v>
      </c>
      <c r="D1802" s="1" t="s">
        <v>11959</v>
      </c>
    </row>
    <row r="1803" spans="1:4" x14ac:dyDescent="0.25">
      <c r="A1803" s="1" t="s">
        <v>3617</v>
      </c>
      <c r="B1803" s="1" t="s">
        <v>11960</v>
      </c>
      <c r="C1803" s="1" t="s">
        <v>11961</v>
      </c>
      <c r="D1803" s="1" t="s">
        <v>11962</v>
      </c>
    </row>
    <row r="1804" spans="1:4" x14ac:dyDescent="0.25">
      <c r="A1804" s="1" t="s">
        <v>3619</v>
      </c>
      <c r="B1804" s="1" t="s">
        <v>11963</v>
      </c>
      <c r="C1804" s="1" t="s">
        <v>11964</v>
      </c>
      <c r="D1804" s="1" t="s">
        <v>11965</v>
      </c>
    </row>
    <row r="1805" spans="1:4" x14ac:dyDescent="0.25">
      <c r="A1805" s="1" t="s">
        <v>3621</v>
      </c>
      <c r="B1805" s="1" t="s">
        <v>11966</v>
      </c>
      <c r="C1805" s="1" t="s">
        <v>11967</v>
      </c>
      <c r="D1805" s="1" t="s">
        <v>11968</v>
      </c>
    </row>
    <row r="1806" spans="1:4" x14ac:dyDescent="0.25">
      <c r="A1806" s="1" t="s">
        <v>3623</v>
      </c>
      <c r="B1806" s="1" t="s">
        <v>11969</v>
      </c>
      <c r="C1806" s="1" t="s">
        <v>11970</v>
      </c>
      <c r="D1806" s="1" t="s">
        <v>11971</v>
      </c>
    </row>
    <row r="1807" spans="1:4" x14ac:dyDescent="0.25">
      <c r="A1807" s="1" t="s">
        <v>3625</v>
      </c>
      <c r="B1807" s="1" t="s">
        <v>11972</v>
      </c>
      <c r="C1807" s="1" t="s">
        <v>11973</v>
      </c>
      <c r="D1807" s="1" t="s">
        <v>11974</v>
      </c>
    </row>
    <row r="1808" spans="1:4" x14ac:dyDescent="0.25">
      <c r="A1808" s="1" t="s">
        <v>3627</v>
      </c>
      <c r="B1808" s="1" t="s">
        <v>11975</v>
      </c>
      <c r="C1808" s="1" t="s">
        <v>11976</v>
      </c>
      <c r="D1808" s="1" t="s">
        <v>11977</v>
      </c>
    </row>
    <row r="1809" spans="1:4" x14ac:dyDescent="0.25">
      <c r="A1809" s="1" t="s">
        <v>3629</v>
      </c>
      <c r="B1809" s="1" t="s">
        <v>11978</v>
      </c>
      <c r="C1809" s="1" t="s">
        <v>11979</v>
      </c>
      <c r="D1809" s="1" t="s">
        <v>11980</v>
      </c>
    </row>
    <row r="1810" spans="1:4" x14ac:dyDescent="0.25">
      <c r="A1810" s="1" t="s">
        <v>3631</v>
      </c>
      <c r="B1810" s="1" t="s">
        <v>11981</v>
      </c>
      <c r="C1810" s="1" t="s">
        <v>11982</v>
      </c>
      <c r="D1810" s="1" t="s">
        <v>11983</v>
      </c>
    </row>
    <row r="1811" spans="1:4" x14ac:dyDescent="0.25">
      <c r="A1811" s="1" t="s">
        <v>3633</v>
      </c>
      <c r="B1811" s="1" t="s">
        <v>11984</v>
      </c>
      <c r="C1811" s="1" t="s">
        <v>11985</v>
      </c>
      <c r="D1811" s="1" t="s">
        <v>11986</v>
      </c>
    </row>
    <row r="1812" spans="1:4" x14ac:dyDescent="0.25">
      <c r="A1812" s="1" t="s">
        <v>3635</v>
      </c>
      <c r="B1812" s="1" t="s">
        <v>11987</v>
      </c>
      <c r="C1812" s="1" t="s">
        <v>11988</v>
      </c>
      <c r="D1812" s="1" t="s">
        <v>11989</v>
      </c>
    </row>
    <row r="1813" spans="1:4" x14ac:dyDescent="0.25">
      <c r="A1813" s="1" t="s">
        <v>3637</v>
      </c>
      <c r="B1813" s="1" t="s">
        <v>11990</v>
      </c>
      <c r="C1813" s="1" t="s">
        <v>11991</v>
      </c>
      <c r="D1813" s="1" t="s">
        <v>11992</v>
      </c>
    </row>
    <row r="1814" spans="1:4" x14ac:dyDescent="0.25">
      <c r="A1814" s="1" t="s">
        <v>3639</v>
      </c>
      <c r="B1814" s="1" t="s">
        <v>11993</v>
      </c>
      <c r="C1814" s="1" t="s">
        <v>11994</v>
      </c>
      <c r="D1814" s="1" t="s">
        <v>11995</v>
      </c>
    </row>
    <row r="1815" spans="1:4" x14ac:dyDescent="0.25">
      <c r="A1815" s="1" t="s">
        <v>3641</v>
      </c>
      <c r="B1815" s="1" t="s">
        <v>11996</v>
      </c>
      <c r="C1815" s="1" t="s">
        <v>11997</v>
      </c>
      <c r="D1815" s="1" t="s">
        <v>11998</v>
      </c>
    </row>
    <row r="1816" spans="1:4" x14ac:dyDescent="0.25">
      <c r="A1816" s="1" t="s">
        <v>3643</v>
      </c>
      <c r="B1816" s="1" t="s">
        <v>11999</v>
      </c>
      <c r="C1816" s="1" t="s">
        <v>12000</v>
      </c>
      <c r="D1816" s="1" t="s">
        <v>12001</v>
      </c>
    </row>
    <row r="1817" spans="1:4" x14ac:dyDescent="0.25">
      <c r="A1817" s="1" t="s">
        <v>3645</v>
      </c>
      <c r="B1817" s="1" t="s">
        <v>12002</v>
      </c>
      <c r="C1817" s="1" t="s">
        <v>12003</v>
      </c>
      <c r="D1817" s="1" t="s">
        <v>12004</v>
      </c>
    </row>
    <row r="1818" spans="1:4" x14ac:dyDescent="0.25">
      <c r="A1818" s="1" t="s">
        <v>3647</v>
      </c>
      <c r="B1818" s="1" t="s">
        <v>12005</v>
      </c>
      <c r="C1818" s="1" t="s">
        <v>12006</v>
      </c>
      <c r="D1818" s="1" t="s">
        <v>12007</v>
      </c>
    </row>
    <row r="1819" spans="1:4" x14ac:dyDescent="0.25">
      <c r="A1819" s="1" t="s">
        <v>3649</v>
      </c>
      <c r="B1819" s="1" t="s">
        <v>12008</v>
      </c>
      <c r="C1819" s="1" t="s">
        <v>12009</v>
      </c>
      <c r="D1819" s="1" t="s">
        <v>12010</v>
      </c>
    </row>
    <row r="1820" spans="1:4" x14ac:dyDescent="0.25">
      <c r="A1820" s="1" t="s">
        <v>3651</v>
      </c>
      <c r="B1820" s="1" t="s">
        <v>12011</v>
      </c>
      <c r="C1820" s="1" t="s">
        <v>12012</v>
      </c>
      <c r="D1820" s="1" t="s">
        <v>12013</v>
      </c>
    </row>
    <row r="1821" spans="1:4" x14ac:dyDescent="0.25">
      <c r="A1821" s="1" t="s">
        <v>3653</v>
      </c>
      <c r="B1821" s="1" t="s">
        <v>12014</v>
      </c>
      <c r="C1821" s="1" t="s">
        <v>12015</v>
      </c>
      <c r="D1821" s="1" t="s">
        <v>12016</v>
      </c>
    </row>
    <row r="1822" spans="1:4" x14ac:dyDescent="0.25">
      <c r="A1822" s="1" t="s">
        <v>3655</v>
      </c>
      <c r="B1822" s="1" t="s">
        <v>12017</v>
      </c>
      <c r="C1822" s="1" t="s">
        <v>12018</v>
      </c>
      <c r="D1822" s="1" t="s">
        <v>12019</v>
      </c>
    </row>
    <row r="1823" spans="1:4" x14ac:dyDescent="0.25">
      <c r="A1823" s="1" t="s">
        <v>3657</v>
      </c>
      <c r="B1823" s="1" t="s">
        <v>12020</v>
      </c>
      <c r="C1823" s="1" t="s">
        <v>12021</v>
      </c>
      <c r="D1823" s="1" t="s">
        <v>12022</v>
      </c>
    </row>
    <row r="1824" spans="1:4" x14ac:dyDescent="0.25">
      <c r="A1824" s="1" t="s">
        <v>3659</v>
      </c>
      <c r="B1824" s="1" t="s">
        <v>12023</v>
      </c>
      <c r="C1824" s="1" t="s">
        <v>12024</v>
      </c>
      <c r="D1824" s="1" t="s">
        <v>12025</v>
      </c>
    </row>
    <row r="1825" spans="1:4" x14ac:dyDescent="0.25">
      <c r="A1825" s="1" t="s">
        <v>3661</v>
      </c>
      <c r="B1825" s="1" t="s">
        <v>12026</v>
      </c>
      <c r="C1825" s="1" t="s">
        <v>12027</v>
      </c>
      <c r="D1825" s="1" t="s">
        <v>12028</v>
      </c>
    </row>
    <row r="1826" spans="1:4" x14ac:dyDescent="0.25">
      <c r="A1826" s="1" t="s">
        <v>3663</v>
      </c>
      <c r="B1826" s="1" t="s">
        <v>12029</v>
      </c>
      <c r="C1826" s="1" t="s">
        <v>12030</v>
      </c>
      <c r="D1826" s="1" t="s">
        <v>12031</v>
      </c>
    </row>
    <row r="1827" spans="1:4" x14ac:dyDescent="0.25">
      <c r="A1827" s="1" t="s">
        <v>3665</v>
      </c>
      <c r="B1827" s="1" t="s">
        <v>12032</v>
      </c>
      <c r="C1827" s="1" t="s">
        <v>12033</v>
      </c>
      <c r="D1827" s="1" t="s">
        <v>12034</v>
      </c>
    </row>
    <row r="1828" spans="1:4" x14ac:dyDescent="0.25">
      <c r="A1828" s="1" t="s">
        <v>3667</v>
      </c>
      <c r="B1828" s="1" t="s">
        <v>12035</v>
      </c>
      <c r="C1828" s="1" t="s">
        <v>12036</v>
      </c>
      <c r="D1828" s="1" t="s">
        <v>12037</v>
      </c>
    </row>
    <row r="1829" spans="1:4" x14ac:dyDescent="0.25">
      <c r="A1829" s="1" t="s">
        <v>3669</v>
      </c>
      <c r="B1829" s="1" t="s">
        <v>12038</v>
      </c>
      <c r="C1829" s="1" t="s">
        <v>12039</v>
      </c>
      <c r="D1829" s="1" t="s">
        <v>12040</v>
      </c>
    </row>
    <row r="1830" spans="1:4" x14ac:dyDescent="0.25">
      <c r="A1830" s="1" t="s">
        <v>3671</v>
      </c>
      <c r="B1830" s="1" t="s">
        <v>12041</v>
      </c>
      <c r="C1830" s="1" t="s">
        <v>12042</v>
      </c>
      <c r="D1830" s="1" t="s">
        <v>12043</v>
      </c>
    </row>
    <row r="1831" spans="1:4" x14ac:dyDescent="0.25">
      <c r="A1831" s="1" t="s">
        <v>3673</v>
      </c>
      <c r="B1831" s="1" t="s">
        <v>12044</v>
      </c>
      <c r="C1831" s="1" t="s">
        <v>12045</v>
      </c>
      <c r="D1831" s="1" t="s">
        <v>12046</v>
      </c>
    </row>
    <row r="1832" spans="1:4" x14ac:dyDescent="0.25">
      <c r="A1832" s="1" t="s">
        <v>3675</v>
      </c>
      <c r="B1832" s="1" t="s">
        <v>12047</v>
      </c>
      <c r="C1832" s="1" t="s">
        <v>12048</v>
      </c>
      <c r="D1832" s="1" t="s">
        <v>12049</v>
      </c>
    </row>
    <row r="1833" spans="1:4" x14ac:dyDescent="0.25">
      <c r="A1833" s="1" t="s">
        <v>3677</v>
      </c>
      <c r="B1833" s="1" t="s">
        <v>12050</v>
      </c>
      <c r="C1833" s="1" t="s">
        <v>12051</v>
      </c>
      <c r="D1833" s="1" t="s">
        <v>12052</v>
      </c>
    </row>
    <row r="1834" spans="1:4" x14ac:dyDescent="0.25">
      <c r="A1834" s="1" t="s">
        <v>3679</v>
      </c>
      <c r="B1834" s="1" t="s">
        <v>12053</v>
      </c>
      <c r="C1834" s="1" t="s">
        <v>12054</v>
      </c>
      <c r="D1834" s="1" t="s">
        <v>12055</v>
      </c>
    </row>
    <row r="1835" spans="1:4" x14ac:dyDescent="0.25">
      <c r="A1835" s="1" t="s">
        <v>3681</v>
      </c>
      <c r="B1835" s="1" t="s">
        <v>12056</v>
      </c>
      <c r="C1835" s="1" t="s">
        <v>12057</v>
      </c>
      <c r="D1835" s="1" t="s">
        <v>12058</v>
      </c>
    </row>
    <row r="1836" spans="1:4" x14ac:dyDescent="0.25">
      <c r="A1836" s="1" t="s">
        <v>3683</v>
      </c>
      <c r="B1836" s="1" t="s">
        <v>12059</v>
      </c>
      <c r="C1836" s="1" t="s">
        <v>12060</v>
      </c>
      <c r="D1836" s="1" t="s">
        <v>12061</v>
      </c>
    </row>
    <row r="1837" spans="1:4" x14ac:dyDescent="0.25">
      <c r="A1837" s="1" t="s">
        <v>3685</v>
      </c>
      <c r="B1837" s="1" t="s">
        <v>12062</v>
      </c>
      <c r="C1837" s="1" t="s">
        <v>12063</v>
      </c>
      <c r="D1837" s="1" t="s">
        <v>12064</v>
      </c>
    </row>
    <row r="1838" spans="1:4" x14ac:dyDescent="0.25">
      <c r="A1838" s="1" t="s">
        <v>3687</v>
      </c>
      <c r="B1838" s="1" t="s">
        <v>12065</v>
      </c>
      <c r="C1838" s="1" t="s">
        <v>12066</v>
      </c>
      <c r="D1838" s="1" t="s">
        <v>12067</v>
      </c>
    </row>
    <row r="1839" spans="1:4" x14ac:dyDescent="0.25">
      <c r="A1839" s="1" t="s">
        <v>3689</v>
      </c>
      <c r="B1839" s="1" t="s">
        <v>12068</v>
      </c>
      <c r="C1839" s="1" t="s">
        <v>12069</v>
      </c>
      <c r="D1839" s="1" t="s">
        <v>12070</v>
      </c>
    </row>
    <row r="1840" spans="1:4" x14ac:dyDescent="0.25">
      <c r="A1840" s="1" t="s">
        <v>3691</v>
      </c>
      <c r="B1840" s="1" t="s">
        <v>12071</v>
      </c>
      <c r="C1840" s="1" t="s">
        <v>12072</v>
      </c>
      <c r="D1840" s="1" t="s">
        <v>12073</v>
      </c>
    </row>
    <row r="1841" spans="1:4" x14ac:dyDescent="0.25">
      <c r="A1841" s="1" t="s">
        <v>3693</v>
      </c>
      <c r="B1841" s="1" t="s">
        <v>12074</v>
      </c>
      <c r="C1841" s="1" t="s">
        <v>12075</v>
      </c>
      <c r="D1841" s="1" t="s">
        <v>12076</v>
      </c>
    </row>
    <row r="1842" spans="1:4" x14ac:dyDescent="0.25">
      <c r="A1842" s="1" t="s">
        <v>3695</v>
      </c>
      <c r="B1842" s="1" t="s">
        <v>12077</v>
      </c>
      <c r="C1842" s="1" t="s">
        <v>12078</v>
      </c>
      <c r="D1842" s="1" t="s">
        <v>12079</v>
      </c>
    </row>
    <row r="1843" spans="1:4" x14ac:dyDescent="0.25">
      <c r="A1843" s="1" t="s">
        <v>3697</v>
      </c>
      <c r="B1843" s="1" t="s">
        <v>12080</v>
      </c>
      <c r="C1843" s="1" t="s">
        <v>12081</v>
      </c>
      <c r="D1843" s="1" t="s">
        <v>12082</v>
      </c>
    </row>
    <row r="1844" spans="1:4" x14ac:dyDescent="0.25">
      <c r="A1844" s="1" t="s">
        <v>3699</v>
      </c>
      <c r="B1844" s="1" t="s">
        <v>12083</v>
      </c>
      <c r="C1844" s="1" t="s">
        <v>12084</v>
      </c>
      <c r="D1844" s="1" t="s">
        <v>12085</v>
      </c>
    </row>
    <row r="1845" spans="1:4" x14ac:dyDescent="0.25">
      <c r="A1845" s="1" t="s">
        <v>3701</v>
      </c>
      <c r="B1845" s="1" t="s">
        <v>12086</v>
      </c>
      <c r="C1845" s="1" t="s">
        <v>12087</v>
      </c>
      <c r="D1845" s="1" t="s">
        <v>12088</v>
      </c>
    </row>
    <row r="1846" spans="1:4" x14ac:dyDescent="0.25">
      <c r="A1846" s="1" t="s">
        <v>3703</v>
      </c>
      <c r="B1846" s="1" t="s">
        <v>12089</v>
      </c>
      <c r="C1846" s="1" t="s">
        <v>12090</v>
      </c>
      <c r="D1846" s="1" t="s">
        <v>12091</v>
      </c>
    </row>
    <row r="1847" spans="1:4" x14ac:dyDescent="0.25">
      <c r="A1847" s="1" t="s">
        <v>3705</v>
      </c>
      <c r="B1847" s="1" t="s">
        <v>12092</v>
      </c>
      <c r="C1847" s="1" t="s">
        <v>12093</v>
      </c>
      <c r="D1847" s="1" t="s">
        <v>12094</v>
      </c>
    </row>
    <row r="1848" spans="1:4" x14ac:dyDescent="0.25">
      <c r="A1848" s="1" t="s">
        <v>3707</v>
      </c>
      <c r="B1848" s="1" t="s">
        <v>12095</v>
      </c>
      <c r="C1848" s="1" t="s">
        <v>12096</v>
      </c>
      <c r="D1848" s="1" t="s">
        <v>12097</v>
      </c>
    </row>
    <row r="1849" spans="1:4" x14ac:dyDescent="0.25">
      <c r="A1849" s="1" t="s">
        <v>3709</v>
      </c>
      <c r="B1849" s="1" t="s">
        <v>12098</v>
      </c>
      <c r="C1849" s="1" t="s">
        <v>12099</v>
      </c>
      <c r="D1849" s="1" t="s">
        <v>12100</v>
      </c>
    </row>
    <row r="1850" spans="1:4" x14ac:dyDescent="0.25">
      <c r="A1850" s="1" t="s">
        <v>3711</v>
      </c>
      <c r="B1850" s="1" t="s">
        <v>12101</v>
      </c>
      <c r="C1850" s="1" t="s">
        <v>12102</v>
      </c>
      <c r="D1850" s="1" t="s">
        <v>12103</v>
      </c>
    </row>
    <row r="1851" spans="1:4" x14ac:dyDescent="0.25">
      <c r="A1851" s="1" t="s">
        <v>3713</v>
      </c>
      <c r="B1851" s="1" t="s">
        <v>12104</v>
      </c>
      <c r="C1851" s="1" t="s">
        <v>12105</v>
      </c>
      <c r="D1851" s="1" t="s">
        <v>12106</v>
      </c>
    </row>
    <row r="1852" spans="1:4" x14ac:dyDescent="0.25">
      <c r="A1852" s="1" t="s">
        <v>3715</v>
      </c>
      <c r="B1852" s="1" t="s">
        <v>12107</v>
      </c>
      <c r="C1852" s="1" t="s">
        <v>12108</v>
      </c>
      <c r="D1852" s="1" t="s">
        <v>12109</v>
      </c>
    </row>
    <row r="1853" spans="1:4" x14ac:dyDescent="0.25">
      <c r="A1853" s="1" t="s">
        <v>3717</v>
      </c>
      <c r="B1853" s="1" t="s">
        <v>12110</v>
      </c>
      <c r="C1853" s="1" t="s">
        <v>12111</v>
      </c>
      <c r="D1853" s="1" t="s">
        <v>12112</v>
      </c>
    </row>
    <row r="1854" spans="1:4" x14ac:dyDescent="0.25">
      <c r="A1854" s="1" t="s">
        <v>3719</v>
      </c>
      <c r="B1854" s="1" t="s">
        <v>12113</v>
      </c>
      <c r="C1854" s="1" t="s">
        <v>12114</v>
      </c>
      <c r="D1854" s="1" t="s">
        <v>12115</v>
      </c>
    </row>
    <row r="1855" spans="1:4" x14ac:dyDescent="0.25">
      <c r="A1855" s="1" t="s">
        <v>3721</v>
      </c>
      <c r="B1855" s="1" t="s">
        <v>12116</v>
      </c>
      <c r="C1855" s="1" t="s">
        <v>12117</v>
      </c>
      <c r="D1855" s="1" t="s">
        <v>12118</v>
      </c>
    </row>
    <row r="1856" spans="1:4" x14ac:dyDescent="0.25">
      <c r="A1856" s="1" t="s">
        <v>3723</v>
      </c>
      <c r="B1856" s="1" t="s">
        <v>12119</v>
      </c>
      <c r="C1856" s="1" t="s">
        <v>12120</v>
      </c>
      <c r="D1856" s="1" t="s">
        <v>12121</v>
      </c>
    </row>
    <row r="1857" spans="1:4" x14ac:dyDescent="0.25">
      <c r="A1857" s="1" t="s">
        <v>3725</v>
      </c>
      <c r="B1857" s="1" t="s">
        <v>12122</v>
      </c>
      <c r="C1857" s="1" t="s">
        <v>12123</v>
      </c>
      <c r="D1857" s="1" t="s">
        <v>12124</v>
      </c>
    </row>
    <row r="1858" spans="1:4" x14ac:dyDescent="0.25">
      <c r="A1858" s="1" t="s">
        <v>3727</v>
      </c>
      <c r="B1858" s="1" t="s">
        <v>12125</v>
      </c>
      <c r="C1858" s="1" t="s">
        <v>12126</v>
      </c>
      <c r="D1858" s="1" t="s">
        <v>12127</v>
      </c>
    </row>
    <row r="1859" spans="1:4" x14ac:dyDescent="0.25">
      <c r="A1859" s="1" t="s">
        <v>3729</v>
      </c>
      <c r="B1859" s="1" t="s">
        <v>12128</v>
      </c>
      <c r="C1859" s="1" t="s">
        <v>12129</v>
      </c>
      <c r="D1859" s="1" t="s">
        <v>12130</v>
      </c>
    </row>
    <row r="1860" spans="1:4" x14ac:dyDescent="0.25">
      <c r="A1860" s="1" t="s">
        <v>3731</v>
      </c>
      <c r="B1860" s="1" t="s">
        <v>12131</v>
      </c>
      <c r="C1860" s="1" t="s">
        <v>12132</v>
      </c>
      <c r="D1860" s="1" t="s">
        <v>12133</v>
      </c>
    </row>
    <row r="1861" spans="1:4" x14ac:dyDescent="0.25">
      <c r="A1861" s="1" t="s">
        <v>3733</v>
      </c>
      <c r="B1861" s="1" t="s">
        <v>12134</v>
      </c>
      <c r="C1861" s="1" t="s">
        <v>12135</v>
      </c>
      <c r="D1861" s="1" t="s">
        <v>12136</v>
      </c>
    </row>
    <row r="1862" spans="1:4" x14ac:dyDescent="0.25">
      <c r="A1862" s="1" t="s">
        <v>3735</v>
      </c>
      <c r="B1862" s="1" t="s">
        <v>12137</v>
      </c>
      <c r="C1862" s="1" t="s">
        <v>12138</v>
      </c>
      <c r="D1862" s="1" t="s">
        <v>12139</v>
      </c>
    </row>
    <row r="1863" spans="1:4" x14ac:dyDescent="0.25">
      <c r="A1863" s="1" t="s">
        <v>3737</v>
      </c>
      <c r="B1863" s="1" t="s">
        <v>12140</v>
      </c>
      <c r="C1863" s="1" t="s">
        <v>12141</v>
      </c>
      <c r="D1863" s="1" t="s">
        <v>12142</v>
      </c>
    </row>
    <row r="1864" spans="1:4" x14ac:dyDescent="0.25">
      <c r="A1864" s="1" t="s">
        <v>3739</v>
      </c>
      <c r="B1864" s="1" t="s">
        <v>12143</v>
      </c>
      <c r="C1864" s="1" t="s">
        <v>12144</v>
      </c>
      <c r="D1864" s="1" t="s">
        <v>12145</v>
      </c>
    </row>
    <row r="1865" spans="1:4" x14ac:dyDescent="0.25">
      <c r="A1865" s="1" t="s">
        <v>3741</v>
      </c>
      <c r="B1865" s="1" t="s">
        <v>12146</v>
      </c>
      <c r="C1865" s="1" t="s">
        <v>12147</v>
      </c>
      <c r="D1865" s="1" t="s">
        <v>12148</v>
      </c>
    </row>
    <row r="1866" spans="1:4" x14ac:dyDescent="0.25">
      <c r="A1866" s="1" t="s">
        <v>3743</v>
      </c>
      <c r="B1866" s="1" t="s">
        <v>12149</v>
      </c>
      <c r="C1866" s="1" t="s">
        <v>12150</v>
      </c>
      <c r="D1866" s="1" t="s">
        <v>12151</v>
      </c>
    </row>
    <row r="1867" spans="1:4" x14ac:dyDescent="0.25">
      <c r="A1867" s="1" t="s">
        <v>3745</v>
      </c>
      <c r="B1867" s="1" t="s">
        <v>12152</v>
      </c>
      <c r="C1867" s="1" t="s">
        <v>12153</v>
      </c>
      <c r="D1867" s="1" t="s">
        <v>12154</v>
      </c>
    </row>
    <row r="1868" spans="1:4" x14ac:dyDescent="0.25">
      <c r="A1868" s="1" t="s">
        <v>3747</v>
      </c>
      <c r="B1868" s="1" t="s">
        <v>12155</v>
      </c>
      <c r="C1868" s="1" t="s">
        <v>12156</v>
      </c>
      <c r="D1868" s="1" t="s">
        <v>12157</v>
      </c>
    </row>
    <row r="1869" spans="1:4" x14ac:dyDescent="0.25">
      <c r="A1869" s="1" t="s">
        <v>3749</v>
      </c>
      <c r="B1869" s="1" t="s">
        <v>12158</v>
      </c>
      <c r="C1869" s="1" t="s">
        <v>12159</v>
      </c>
      <c r="D1869" s="1" t="s">
        <v>12160</v>
      </c>
    </row>
    <row r="1870" spans="1:4" x14ac:dyDescent="0.25">
      <c r="A1870" s="1" t="s">
        <v>3751</v>
      </c>
      <c r="B1870" s="1" t="s">
        <v>12161</v>
      </c>
      <c r="C1870" s="1" t="s">
        <v>12162</v>
      </c>
      <c r="D1870" s="1" t="s">
        <v>12163</v>
      </c>
    </row>
    <row r="1871" spans="1:4" x14ac:dyDescent="0.25">
      <c r="A1871" s="1" t="s">
        <v>3753</v>
      </c>
      <c r="B1871" s="1" t="s">
        <v>12164</v>
      </c>
      <c r="C1871" s="1" t="s">
        <v>12165</v>
      </c>
      <c r="D1871" s="1" t="s">
        <v>12166</v>
      </c>
    </row>
    <row r="1872" spans="1:4" x14ac:dyDescent="0.25">
      <c r="A1872" s="1" t="s">
        <v>3755</v>
      </c>
      <c r="B1872" s="1" t="s">
        <v>12167</v>
      </c>
      <c r="C1872" s="1" t="s">
        <v>12168</v>
      </c>
      <c r="D1872" s="1" t="s">
        <v>12169</v>
      </c>
    </row>
    <row r="1873" spans="1:4" x14ac:dyDescent="0.25">
      <c r="A1873" s="1" t="s">
        <v>3757</v>
      </c>
      <c r="B1873" s="1" t="s">
        <v>12170</v>
      </c>
      <c r="C1873" s="1" t="s">
        <v>12171</v>
      </c>
      <c r="D1873" s="1" t="s">
        <v>12172</v>
      </c>
    </row>
    <row r="1874" spans="1:4" x14ac:dyDescent="0.25">
      <c r="A1874" s="1" t="s">
        <v>3759</v>
      </c>
      <c r="B1874" s="1" t="s">
        <v>12173</v>
      </c>
      <c r="C1874" s="1" t="s">
        <v>12174</v>
      </c>
      <c r="D1874" s="1" t="s">
        <v>12175</v>
      </c>
    </row>
    <row r="1875" spans="1:4" x14ac:dyDescent="0.25">
      <c r="A1875" s="1" t="s">
        <v>3761</v>
      </c>
      <c r="B1875" s="1" t="s">
        <v>12176</v>
      </c>
      <c r="C1875" s="1" t="s">
        <v>12177</v>
      </c>
      <c r="D1875" s="1" t="s">
        <v>12178</v>
      </c>
    </row>
    <row r="1876" spans="1:4" x14ac:dyDescent="0.25">
      <c r="A1876" s="1" t="s">
        <v>3763</v>
      </c>
      <c r="B1876" s="1" t="s">
        <v>12179</v>
      </c>
      <c r="C1876" s="1" t="s">
        <v>12180</v>
      </c>
      <c r="D1876" s="1" t="s">
        <v>12181</v>
      </c>
    </row>
    <row r="1877" spans="1:4" x14ac:dyDescent="0.25">
      <c r="A1877" s="1" t="s">
        <v>3765</v>
      </c>
      <c r="B1877" s="1" t="s">
        <v>12182</v>
      </c>
      <c r="C1877" s="1" t="s">
        <v>12183</v>
      </c>
      <c r="D1877" s="1" t="s">
        <v>12184</v>
      </c>
    </row>
    <row r="1878" spans="1:4" x14ac:dyDescent="0.25">
      <c r="A1878" s="1" t="s">
        <v>3767</v>
      </c>
      <c r="B1878" s="1" t="s">
        <v>12185</v>
      </c>
      <c r="C1878" s="1" t="s">
        <v>12186</v>
      </c>
      <c r="D1878" s="1" t="s">
        <v>12187</v>
      </c>
    </row>
    <row r="1879" spans="1:4" x14ac:dyDescent="0.25">
      <c r="A1879" s="1" t="s">
        <v>3769</v>
      </c>
      <c r="B1879" s="1" t="s">
        <v>12188</v>
      </c>
      <c r="C1879" s="1" t="s">
        <v>12189</v>
      </c>
      <c r="D1879" s="1" t="s">
        <v>12190</v>
      </c>
    </row>
    <row r="1880" spans="1:4" x14ac:dyDescent="0.25">
      <c r="A1880" s="1" t="s">
        <v>3771</v>
      </c>
      <c r="B1880" s="1" t="s">
        <v>12191</v>
      </c>
      <c r="C1880" s="1" t="s">
        <v>12192</v>
      </c>
      <c r="D1880" s="1" t="s">
        <v>12193</v>
      </c>
    </row>
    <row r="1881" spans="1:4" x14ac:dyDescent="0.25">
      <c r="A1881" s="1" t="s">
        <v>3773</v>
      </c>
      <c r="B1881" s="1" t="s">
        <v>12194</v>
      </c>
      <c r="C1881" s="1" t="s">
        <v>12195</v>
      </c>
      <c r="D1881" s="1" t="s">
        <v>12196</v>
      </c>
    </row>
    <row r="1882" spans="1:4" x14ac:dyDescent="0.25">
      <c r="A1882" s="1" t="s">
        <v>3775</v>
      </c>
      <c r="B1882" s="1" t="s">
        <v>12197</v>
      </c>
      <c r="C1882" s="1" t="s">
        <v>12198</v>
      </c>
      <c r="D1882" s="1" t="s">
        <v>12199</v>
      </c>
    </row>
    <row r="1883" spans="1:4" x14ac:dyDescent="0.25">
      <c r="A1883" s="1" t="s">
        <v>3777</v>
      </c>
      <c r="B1883" s="1" t="s">
        <v>12200</v>
      </c>
      <c r="C1883" s="1" t="s">
        <v>12201</v>
      </c>
      <c r="D1883" s="1" t="s">
        <v>12202</v>
      </c>
    </row>
    <row r="1884" spans="1:4" x14ac:dyDescent="0.25">
      <c r="A1884" s="1" t="s">
        <v>3779</v>
      </c>
      <c r="B1884" s="1" t="s">
        <v>12203</v>
      </c>
      <c r="C1884" s="1" t="s">
        <v>12204</v>
      </c>
      <c r="D1884" s="1" t="s">
        <v>12205</v>
      </c>
    </row>
    <row r="1885" spans="1:4" x14ac:dyDescent="0.25">
      <c r="A1885" s="1" t="s">
        <v>3781</v>
      </c>
      <c r="B1885" s="1" t="s">
        <v>12206</v>
      </c>
      <c r="C1885" s="1" t="s">
        <v>12207</v>
      </c>
      <c r="D1885" s="1" t="s">
        <v>12208</v>
      </c>
    </row>
    <row r="1886" spans="1:4" x14ac:dyDescent="0.25">
      <c r="A1886" s="1" t="s">
        <v>3783</v>
      </c>
      <c r="B1886" s="1" t="s">
        <v>12209</v>
      </c>
      <c r="C1886" s="1" t="s">
        <v>12210</v>
      </c>
      <c r="D1886" s="1" t="s">
        <v>12211</v>
      </c>
    </row>
    <row r="1887" spans="1:4" x14ac:dyDescent="0.25">
      <c r="A1887" s="1" t="s">
        <v>3785</v>
      </c>
      <c r="B1887" s="1" t="s">
        <v>12212</v>
      </c>
      <c r="C1887" s="1" t="s">
        <v>12213</v>
      </c>
      <c r="D1887" s="1" t="s">
        <v>12214</v>
      </c>
    </row>
    <row r="1888" spans="1:4" x14ac:dyDescent="0.25">
      <c r="A1888" s="1" t="s">
        <v>3787</v>
      </c>
      <c r="B1888" s="1" t="s">
        <v>12215</v>
      </c>
      <c r="C1888" s="1" t="s">
        <v>12216</v>
      </c>
      <c r="D1888" s="1" t="s">
        <v>12217</v>
      </c>
    </row>
    <row r="1889" spans="1:4" x14ac:dyDescent="0.25">
      <c r="A1889" s="1" t="s">
        <v>3789</v>
      </c>
      <c r="B1889" s="1" t="s">
        <v>12218</v>
      </c>
      <c r="C1889" s="1" t="s">
        <v>12219</v>
      </c>
      <c r="D1889" s="1" t="s">
        <v>12220</v>
      </c>
    </row>
    <row r="1890" spans="1:4" x14ac:dyDescent="0.25">
      <c r="A1890" s="1" t="s">
        <v>3791</v>
      </c>
      <c r="B1890" s="1" t="s">
        <v>12221</v>
      </c>
      <c r="C1890" s="1" t="s">
        <v>12222</v>
      </c>
      <c r="D1890" s="1" t="s">
        <v>12223</v>
      </c>
    </row>
    <row r="1891" spans="1:4" x14ac:dyDescent="0.25">
      <c r="A1891" s="1" t="s">
        <v>3793</v>
      </c>
      <c r="B1891" s="1" t="s">
        <v>12224</v>
      </c>
      <c r="C1891" s="1" t="s">
        <v>12225</v>
      </c>
      <c r="D1891" s="1" t="s">
        <v>12226</v>
      </c>
    </row>
    <row r="1892" spans="1:4" x14ac:dyDescent="0.25">
      <c r="A1892" s="1" t="s">
        <v>3795</v>
      </c>
      <c r="B1892" s="1" t="s">
        <v>12227</v>
      </c>
      <c r="C1892" s="1" t="s">
        <v>12228</v>
      </c>
      <c r="D1892" s="1" t="s">
        <v>12229</v>
      </c>
    </row>
    <row r="1893" spans="1:4" x14ac:dyDescent="0.25">
      <c r="A1893" s="1" t="s">
        <v>3797</v>
      </c>
      <c r="B1893" s="1" t="s">
        <v>12230</v>
      </c>
      <c r="C1893" s="1" t="s">
        <v>12231</v>
      </c>
      <c r="D1893" s="1" t="s">
        <v>12232</v>
      </c>
    </row>
    <row r="1894" spans="1:4" x14ac:dyDescent="0.25">
      <c r="A1894" s="1" t="s">
        <v>3799</v>
      </c>
      <c r="B1894" s="1" t="s">
        <v>12233</v>
      </c>
      <c r="C1894" s="1" t="s">
        <v>12234</v>
      </c>
      <c r="D1894" s="1" t="s">
        <v>12235</v>
      </c>
    </row>
    <row r="1895" spans="1:4" x14ac:dyDescent="0.25">
      <c r="A1895" s="1" t="s">
        <v>3801</v>
      </c>
      <c r="B1895" s="1" t="s">
        <v>12236</v>
      </c>
      <c r="C1895" s="1" t="s">
        <v>12237</v>
      </c>
      <c r="D1895" s="1" t="s">
        <v>12238</v>
      </c>
    </row>
    <row r="1896" spans="1:4" x14ac:dyDescent="0.25">
      <c r="A1896" s="1" t="s">
        <v>3803</v>
      </c>
      <c r="B1896" s="1" t="s">
        <v>12239</v>
      </c>
      <c r="C1896" s="1" t="s">
        <v>12240</v>
      </c>
      <c r="D1896" s="1" t="s">
        <v>12241</v>
      </c>
    </row>
    <row r="1897" spans="1:4" x14ac:dyDescent="0.25">
      <c r="A1897" s="1" t="s">
        <v>3805</v>
      </c>
      <c r="B1897" s="1" t="s">
        <v>12242</v>
      </c>
      <c r="C1897" s="1" t="s">
        <v>12243</v>
      </c>
      <c r="D1897" s="1" t="s">
        <v>12244</v>
      </c>
    </row>
    <row r="1898" spans="1:4" x14ac:dyDescent="0.25">
      <c r="A1898" s="1" t="s">
        <v>3807</v>
      </c>
      <c r="B1898" s="1" t="s">
        <v>12245</v>
      </c>
      <c r="C1898" s="1" t="s">
        <v>12246</v>
      </c>
      <c r="D1898" s="1" t="s">
        <v>12247</v>
      </c>
    </row>
    <row r="1899" spans="1:4" x14ac:dyDescent="0.25">
      <c r="A1899" s="1" t="s">
        <v>3809</v>
      </c>
      <c r="B1899" s="1" t="s">
        <v>12248</v>
      </c>
      <c r="C1899" s="1" t="s">
        <v>12249</v>
      </c>
      <c r="D1899" s="1" t="s">
        <v>12250</v>
      </c>
    </row>
    <row r="1900" spans="1:4" x14ac:dyDescent="0.25">
      <c r="A1900" s="1" t="s">
        <v>3811</v>
      </c>
      <c r="B1900" s="1" t="s">
        <v>12251</v>
      </c>
      <c r="C1900" s="1" t="s">
        <v>12252</v>
      </c>
      <c r="D1900" s="1" t="s">
        <v>12253</v>
      </c>
    </row>
    <row r="1901" spans="1:4" x14ac:dyDescent="0.25">
      <c r="A1901" s="1" t="s">
        <v>3813</v>
      </c>
      <c r="B1901" s="1" t="s">
        <v>12254</v>
      </c>
      <c r="C1901" s="1" t="s">
        <v>12255</v>
      </c>
      <c r="D1901" s="1" t="s">
        <v>12256</v>
      </c>
    </row>
    <row r="1902" spans="1:4" x14ac:dyDescent="0.25">
      <c r="A1902" s="1" t="s">
        <v>3815</v>
      </c>
      <c r="B1902" s="1" t="s">
        <v>12257</v>
      </c>
      <c r="C1902" s="1" t="s">
        <v>12258</v>
      </c>
      <c r="D1902" s="1" t="s">
        <v>12259</v>
      </c>
    </row>
    <row r="1903" spans="1:4" x14ac:dyDescent="0.25">
      <c r="A1903" s="1" t="s">
        <v>3817</v>
      </c>
      <c r="B1903" s="1" t="s">
        <v>12260</v>
      </c>
      <c r="C1903" s="1" t="s">
        <v>12261</v>
      </c>
      <c r="D1903" s="1" t="s">
        <v>12262</v>
      </c>
    </row>
    <row r="1904" spans="1:4" x14ac:dyDescent="0.25">
      <c r="A1904" s="1" t="s">
        <v>3819</v>
      </c>
      <c r="B1904" s="1" t="s">
        <v>12263</v>
      </c>
      <c r="C1904" s="1" t="s">
        <v>12264</v>
      </c>
      <c r="D1904" s="1" t="s">
        <v>12265</v>
      </c>
    </row>
    <row r="1905" spans="1:4" x14ac:dyDescent="0.25">
      <c r="A1905" s="1" t="s">
        <v>3821</v>
      </c>
      <c r="B1905" s="1" t="s">
        <v>12266</v>
      </c>
      <c r="C1905" s="1" t="s">
        <v>12267</v>
      </c>
      <c r="D1905" s="1" t="s">
        <v>12268</v>
      </c>
    </row>
    <row r="1906" spans="1:4" x14ac:dyDescent="0.25">
      <c r="A1906" s="1" t="s">
        <v>3823</v>
      </c>
      <c r="B1906" s="1" t="s">
        <v>12269</v>
      </c>
      <c r="C1906" s="1" t="s">
        <v>12270</v>
      </c>
      <c r="D1906" s="1" t="s">
        <v>12271</v>
      </c>
    </row>
    <row r="1907" spans="1:4" x14ac:dyDescent="0.25">
      <c r="A1907" s="1" t="s">
        <v>3825</v>
      </c>
      <c r="B1907" s="1" t="s">
        <v>12272</v>
      </c>
      <c r="C1907" s="1" t="s">
        <v>12273</v>
      </c>
      <c r="D1907" s="1" t="s">
        <v>12274</v>
      </c>
    </row>
    <row r="1908" spans="1:4" x14ac:dyDescent="0.25">
      <c r="A1908" s="1" t="s">
        <v>3827</v>
      </c>
      <c r="B1908" s="1" t="s">
        <v>12275</v>
      </c>
      <c r="C1908" s="1" t="s">
        <v>12276</v>
      </c>
      <c r="D1908" s="1" t="s">
        <v>12277</v>
      </c>
    </row>
    <row r="1909" spans="1:4" x14ac:dyDescent="0.25">
      <c r="A1909" s="1" t="s">
        <v>3829</v>
      </c>
      <c r="B1909" s="1" t="s">
        <v>12278</v>
      </c>
      <c r="C1909" s="1" t="s">
        <v>12279</v>
      </c>
      <c r="D1909" s="1" t="s">
        <v>12280</v>
      </c>
    </row>
    <row r="1910" spans="1:4" x14ac:dyDescent="0.25">
      <c r="A1910" s="1" t="s">
        <v>3831</v>
      </c>
      <c r="B1910" s="1" t="s">
        <v>12281</v>
      </c>
      <c r="C1910" s="1" t="s">
        <v>12282</v>
      </c>
      <c r="D1910" s="1" t="s">
        <v>12283</v>
      </c>
    </row>
    <row r="1911" spans="1:4" x14ac:dyDescent="0.25">
      <c r="A1911" s="1" t="s">
        <v>3833</v>
      </c>
      <c r="B1911" s="1" t="s">
        <v>12284</v>
      </c>
      <c r="C1911" s="1" t="s">
        <v>12285</v>
      </c>
      <c r="D1911" s="1" t="s">
        <v>12286</v>
      </c>
    </row>
    <row r="1912" spans="1:4" x14ac:dyDescent="0.25">
      <c r="A1912" s="1" t="s">
        <v>3835</v>
      </c>
      <c r="B1912" s="1" t="s">
        <v>12287</v>
      </c>
      <c r="C1912" s="1" t="s">
        <v>12288</v>
      </c>
      <c r="D1912" s="1" t="s">
        <v>12289</v>
      </c>
    </row>
    <row r="1913" spans="1:4" x14ac:dyDescent="0.25">
      <c r="A1913" s="1" t="s">
        <v>3837</v>
      </c>
      <c r="B1913" s="1" t="s">
        <v>12290</v>
      </c>
      <c r="C1913" s="1" t="s">
        <v>12291</v>
      </c>
      <c r="D1913" s="1" t="s">
        <v>12292</v>
      </c>
    </row>
    <row r="1914" spans="1:4" x14ac:dyDescent="0.25">
      <c r="A1914" s="1" t="s">
        <v>3839</v>
      </c>
      <c r="B1914" s="1" t="s">
        <v>12293</v>
      </c>
      <c r="C1914" s="1" t="s">
        <v>12294</v>
      </c>
      <c r="D1914" s="1" t="s">
        <v>12295</v>
      </c>
    </row>
    <row r="1915" spans="1:4" x14ac:dyDescent="0.25">
      <c r="A1915" s="1" t="s">
        <v>3841</v>
      </c>
      <c r="B1915" s="1" t="s">
        <v>12296</v>
      </c>
      <c r="C1915" s="1" t="s">
        <v>12297</v>
      </c>
      <c r="D1915" s="1" t="s">
        <v>12298</v>
      </c>
    </row>
    <row r="1916" spans="1:4" x14ac:dyDescent="0.25">
      <c r="A1916" s="1" t="s">
        <v>3843</v>
      </c>
      <c r="B1916" s="1" t="s">
        <v>12299</v>
      </c>
      <c r="C1916" s="1" t="s">
        <v>12300</v>
      </c>
      <c r="D1916" s="1" t="s">
        <v>12301</v>
      </c>
    </row>
    <row r="1917" spans="1:4" x14ac:dyDescent="0.25">
      <c r="A1917" s="1" t="s">
        <v>3845</v>
      </c>
      <c r="B1917" s="1" t="s">
        <v>12302</v>
      </c>
      <c r="C1917" s="1" t="s">
        <v>12303</v>
      </c>
      <c r="D1917" s="1" t="s">
        <v>12304</v>
      </c>
    </row>
    <row r="1918" spans="1:4" x14ac:dyDescent="0.25">
      <c r="A1918" s="1" t="s">
        <v>3847</v>
      </c>
      <c r="B1918" s="1" t="s">
        <v>12305</v>
      </c>
      <c r="C1918" s="1" t="s">
        <v>12306</v>
      </c>
      <c r="D1918" s="1" t="s">
        <v>12307</v>
      </c>
    </row>
    <row r="1919" spans="1:4" x14ac:dyDescent="0.25">
      <c r="A1919" s="1" t="s">
        <v>3849</v>
      </c>
      <c r="B1919" s="1" t="s">
        <v>12308</v>
      </c>
      <c r="C1919" s="1" t="s">
        <v>12309</v>
      </c>
      <c r="D1919" s="1" t="s">
        <v>12310</v>
      </c>
    </row>
    <row r="1920" spans="1:4" x14ac:dyDescent="0.25">
      <c r="A1920" s="1" t="s">
        <v>3851</v>
      </c>
      <c r="B1920" s="1" t="s">
        <v>12311</v>
      </c>
      <c r="C1920" s="1" t="s">
        <v>12312</v>
      </c>
      <c r="D1920" s="1" t="s">
        <v>12313</v>
      </c>
    </row>
    <row r="1921" spans="1:4" x14ac:dyDescent="0.25">
      <c r="A1921" s="1" t="s">
        <v>3853</v>
      </c>
      <c r="B1921" s="1" t="s">
        <v>12314</v>
      </c>
      <c r="C1921" s="1" t="s">
        <v>12315</v>
      </c>
      <c r="D1921" s="1" t="s">
        <v>12316</v>
      </c>
    </row>
    <row r="1922" spans="1:4" x14ac:dyDescent="0.25">
      <c r="A1922" s="1" t="s">
        <v>3855</v>
      </c>
      <c r="B1922" s="1" t="s">
        <v>12317</v>
      </c>
      <c r="C1922" s="1" t="s">
        <v>12318</v>
      </c>
      <c r="D1922" s="1" t="s">
        <v>12319</v>
      </c>
    </row>
    <row r="1923" spans="1:4" x14ac:dyDescent="0.25">
      <c r="A1923" s="1" t="s">
        <v>3857</v>
      </c>
      <c r="B1923" s="1" t="s">
        <v>12320</v>
      </c>
      <c r="C1923" s="1" t="s">
        <v>12321</v>
      </c>
      <c r="D1923" s="1" t="s">
        <v>12322</v>
      </c>
    </row>
    <row r="1924" spans="1:4" x14ac:dyDescent="0.25">
      <c r="A1924" s="1" t="s">
        <v>3859</v>
      </c>
      <c r="B1924" s="1" t="s">
        <v>12323</v>
      </c>
      <c r="C1924" s="1" t="s">
        <v>12324</v>
      </c>
      <c r="D1924" s="1" t="s">
        <v>12325</v>
      </c>
    </row>
    <row r="1925" spans="1:4" x14ac:dyDescent="0.25">
      <c r="A1925" s="1" t="s">
        <v>3861</v>
      </c>
      <c r="B1925" s="1" t="s">
        <v>12326</v>
      </c>
      <c r="C1925" s="1" t="s">
        <v>12327</v>
      </c>
      <c r="D1925" s="1" t="s">
        <v>12328</v>
      </c>
    </row>
    <row r="1926" spans="1:4" x14ac:dyDescent="0.25">
      <c r="A1926" s="1" t="s">
        <v>3863</v>
      </c>
      <c r="B1926" s="1" t="s">
        <v>12329</v>
      </c>
      <c r="C1926" s="1" t="s">
        <v>12330</v>
      </c>
      <c r="D1926" s="1" t="s">
        <v>12331</v>
      </c>
    </row>
    <row r="1927" spans="1:4" x14ac:dyDescent="0.25">
      <c r="A1927" s="1" t="s">
        <v>3865</v>
      </c>
      <c r="B1927" s="1" t="s">
        <v>12332</v>
      </c>
      <c r="C1927" s="1" t="s">
        <v>12333</v>
      </c>
      <c r="D1927" s="1" t="s">
        <v>12334</v>
      </c>
    </row>
    <row r="1928" spans="1:4" x14ac:dyDescent="0.25">
      <c r="A1928" s="1" t="s">
        <v>3867</v>
      </c>
      <c r="B1928" s="1" t="s">
        <v>12335</v>
      </c>
      <c r="C1928" s="1" t="s">
        <v>12336</v>
      </c>
      <c r="D1928" s="1" t="s">
        <v>12337</v>
      </c>
    </row>
    <row r="1929" spans="1:4" x14ac:dyDescent="0.25">
      <c r="A1929" s="1" t="s">
        <v>3869</v>
      </c>
      <c r="B1929" s="1" t="s">
        <v>12338</v>
      </c>
      <c r="C1929" s="1" t="s">
        <v>12339</v>
      </c>
      <c r="D1929" s="1" t="s">
        <v>12340</v>
      </c>
    </row>
    <row r="1930" spans="1:4" x14ac:dyDescent="0.25">
      <c r="A1930" s="1" t="s">
        <v>3871</v>
      </c>
      <c r="B1930" s="1" t="s">
        <v>12341</v>
      </c>
      <c r="C1930" s="1" t="s">
        <v>12342</v>
      </c>
      <c r="D1930" s="1" t="s">
        <v>12343</v>
      </c>
    </row>
    <row r="1931" spans="1:4" x14ac:dyDescent="0.25">
      <c r="A1931" s="1" t="s">
        <v>3873</v>
      </c>
      <c r="B1931" s="1" t="s">
        <v>12344</v>
      </c>
      <c r="C1931" s="1" t="s">
        <v>12345</v>
      </c>
      <c r="D1931" s="1" t="s">
        <v>12346</v>
      </c>
    </row>
    <row r="1932" spans="1:4" x14ac:dyDescent="0.25">
      <c r="A1932" s="1" t="s">
        <v>3875</v>
      </c>
      <c r="B1932" s="1" t="s">
        <v>12347</v>
      </c>
      <c r="C1932" s="1" t="s">
        <v>12348</v>
      </c>
      <c r="D1932" s="1" t="s">
        <v>12349</v>
      </c>
    </row>
    <row r="1933" spans="1:4" x14ac:dyDescent="0.25">
      <c r="A1933" s="1" t="s">
        <v>3877</v>
      </c>
      <c r="B1933" s="1" t="s">
        <v>12350</v>
      </c>
      <c r="C1933" s="1" t="s">
        <v>12351</v>
      </c>
      <c r="D1933" s="1" t="s">
        <v>12352</v>
      </c>
    </row>
    <row r="1934" spans="1:4" x14ac:dyDescent="0.25">
      <c r="A1934" s="1" t="s">
        <v>3879</v>
      </c>
      <c r="B1934" s="1" t="s">
        <v>12353</v>
      </c>
      <c r="C1934" s="1" t="s">
        <v>12354</v>
      </c>
      <c r="D1934" s="1" t="s">
        <v>12355</v>
      </c>
    </row>
    <row r="1935" spans="1:4" x14ac:dyDescent="0.25">
      <c r="A1935" s="1" t="s">
        <v>3881</v>
      </c>
      <c r="B1935" s="1" t="s">
        <v>12356</v>
      </c>
      <c r="C1935" s="1" t="s">
        <v>12357</v>
      </c>
      <c r="D1935" s="1" t="s">
        <v>12358</v>
      </c>
    </row>
    <row r="1936" spans="1:4" x14ac:dyDescent="0.25">
      <c r="A1936" s="1" t="s">
        <v>3883</v>
      </c>
      <c r="B1936" s="1" t="s">
        <v>12359</v>
      </c>
      <c r="C1936" s="1" t="s">
        <v>12360</v>
      </c>
      <c r="D1936" s="1" t="s">
        <v>12361</v>
      </c>
    </row>
    <row r="1937" spans="1:4" x14ac:dyDescent="0.25">
      <c r="A1937" s="1" t="s">
        <v>3885</v>
      </c>
      <c r="B1937" s="1" t="s">
        <v>12362</v>
      </c>
      <c r="C1937" s="1" t="s">
        <v>12363</v>
      </c>
      <c r="D1937" s="1" t="s">
        <v>12364</v>
      </c>
    </row>
    <row r="1938" spans="1:4" x14ac:dyDescent="0.25">
      <c r="A1938" s="1" t="s">
        <v>3887</v>
      </c>
      <c r="B1938" s="1" t="s">
        <v>12365</v>
      </c>
      <c r="C1938" s="1" t="s">
        <v>12366</v>
      </c>
      <c r="D1938" s="1" t="s">
        <v>12367</v>
      </c>
    </row>
    <row r="1939" spans="1:4" x14ac:dyDescent="0.25">
      <c r="A1939" s="1" t="s">
        <v>3889</v>
      </c>
      <c r="B1939" s="1" t="s">
        <v>12368</v>
      </c>
      <c r="C1939" s="1" t="s">
        <v>12369</v>
      </c>
      <c r="D1939" s="1" t="s">
        <v>12370</v>
      </c>
    </row>
    <row r="1940" spans="1:4" x14ac:dyDescent="0.25">
      <c r="A1940" s="1" t="s">
        <v>3891</v>
      </c>
      <c r="B1940" s="1" t="s">
        <v>12371</v>
      </c>
      <c r="C1940" s="1" t="s">
        <v>12372</v>
      </c>
      <c r="D1940" s="1" t="s">
        <v>12373</v>
      </c>
    </row>
    <row r="1941" spans="1:4" x14ac:dyDescent="0.25">
      <c r="A1941" s="1" t="s">
        <v>3893</v>
      </c>
      <c r="B1941" s="1" t="s">
        <v>12374</v>
      </c>
      <c r="C1941" s="1" t="s">
        <v>12375</v>
      </c>
      <c r="D1941" s="1" t="s">
        <v>12376</v>
      </c>
    </row>
    <row r="1942" spans="1:4" x14ac:dyDescent="0.25">
      <c r="A1942" s="1" t="s">
        <v>3895</v>
      </c>
      <c r="B1942" s="1" t="s">
        <v>12377</v>
      </c>
      <c r="C1942" s="1" t="s">
        <v>12378</v>
      </c>
      <c r="D1942" s="1" t="s">
        <v>12379</v>
      </c>
    </row>
    <row r="1943" spans="1:4" x14ac:dyDescent="0.25">
      <c r="A1943" s="1" t="s">
        <v>3897</v>
      </c>
      <c r="B1943" s="1" t="s">
        <v>12380</v>
      </c>
      <c r="C1943" s="1" t="s">
        <v>12381</v>
      </c>
      <c r="D1943" s="1" t="s">
        <v>12382</v>
      </c>
    </row>
    <row r="1944" spans="1:4" x14ac:dyDescent="0.25">
      <c r="A1944" s="1" t="s">
        <v>3899</v>
      </c>
      <c r="B1944" s="1" t="s">
        <v>12383</v>
      </c>
      <c r="C1944" s="1" t="s">
        <v>12384</v>
      </c>
      <c r="D1944" s="1" t="s">
        <v>12385</v>
      </c>
    </row>
    <row r="1945" spans="1:4" x14ac:dyDescent="0.25">
      <c r="A1945" s="1" t="s">
        <v>3901</v>
      </c>
      <c r="B1945" s="1" t="s">
        <v>12386</v>
      </c>
      <c r="C1945" s="1" t="s">
        <v>12387</v>
      </c>
      <c r="D1945" s="1" t="s">
        <v>12388</v>
      </c>
    </row>
    <row r="1946" spans="1:4" x14ac:dyDescent="0.25">
      <c r="A1946" s="1" t="s">
        <v>3903</v>
      </c>
      <c r="B1946" s="1" t="s">
        <v>12389</v>
      </c>
      <c r="C1946" s="1" t="s">
        <v>12390</v>
      </c>
      <c r="D1946" s="1" t="s">
        <v>12391</v>
      </c>
    </row>
    <row r="1947" spans="1:4" x14ac:dyDescent="0.25">
      <c r="A1947" s="1" t="s">
        <v>3905</v>
      </c>
      <c r="B1947" s="1" t="s">
        <v>12392</v>
      </c>
      <c r="C1947" s="1" t="s">
        <v>12393</v>
      </c>
      <c r="D1947" s="1" t="s">
        <v>12394</v>
      </c>
    </row>
    <row r="1948" spans="1:4" x14ac:dyDescent="0.25">
      <c r="A1948" s="1" t="s">
        <v>3907</v>
      </c>
      <c r="B1948" s="1" t="s">
        <v>12395</v>
      </c>
      <c r="C1948" s="1" t="s">
        <v>12396</v>
      </c>
      <c r="D1948" s="1" t="s">
        <v>12397</v>
      </c>
    </row>
    <row r="1949" spans="1:4" x14ac:dyDescent="0.25">
      <c r="A1949" s="1" t="s">
        <v>3909</v>
      </c>
      <c r="B1949" s="1" t="s">
        <v>12398</v>
      </c>
      <c r="C1949" s="1" t="s">
        <v>12399</v>
      </c>
      <c r="D1949" s="1" t="s">
        <v>12400</v>
      </c>
    </row>
    <row r="1950" spans="1:4" x14ac:dyDescent="0.25">
      <c r="A1950" s="1" t="s">
        <v>3911</v>
      </c>
      <c r="B1950" s="1" t="s">
        <v>12401</v>
      </c>
      <c r="C1950" s="1" t="s">
        <v>12402</v>
      </c>
      <c r="D1950" s="1" t="s">
        <v>12403</v>
      </c>
    </row>
    <row r="1951" spans="1:4" x14ac:dyDescent="0.25">
      <c r="A1951" s="1" t="s">
        <v>3913</v>
      </c>
      <c r="B1951" s="1" t="s">
        <v>12404</v>
      </c>
      <c r="C1951" s="1" t="s">
        <v>12405</v>
      </c>
      <c r="D1951" s="1" t="s">
        <v>12406</v>
      </c>
    </row>
    <row r="1952" spans="1:4" x14ac:dyDescent="0.25">
      <c r="A1952" s="1" t="s">
        <v>3915</v>
      </c>
      <c r="B1952" s="1" t="s">
        <v>12407</v>
      </c>
      <c r="C1952" s="1" t="s">
        <v>12408</v>
      </c>
      <c r="D1952" s="1" t="s">
        <v>12409</v>
      </c>
    </row>
    <row r="1953" spans="1:4" x14ac:dyDescent="0.25">
      <c r="A1953" s="1" t="s">
        <v>3917</v>
      </c>
      <c r="B1953" s="1" t="s">
        <v>12410</v>
      </c>
      <c r="C1953" s="1" t="s">
        <v>12411</v>
      </c>
      <c r="D1953" s="1" t="s">
        <v>12412</v>
      </c>
    </row>
    <row r="1954" spans="1:4" x14ac:dyDescent="0.25">
      <c r="A1954" s="1" t="s">
        <v>3919</v>
      </c>
      <c r="B1954" s="1" t="s">
        <v>12413</v>
      </c>
      <c r="C1954" s="1" t="s">
        <v>12414</v>
      </c>
      <c r="D1954" s="1" t="s">
        <v>12415</v>
      </c>
    </row>
    <row r="1955" spans="1:4" x14ac:dyDescent="0.25">
      <c r="A1955" s="1" t="s">
        <v>3921</v>
      </c>
      <c r="B1955" s="1" t="s">
        <v>12416</v>
      </c>
      <c r="C1955" s="1" t="s">
        <v>12417</v>
      </c>
      <c r="D1955" s="1" t="s">
        <v>12418</v>
      </c>
    </row>
    <row r="1956" spans="1:4" x14ac:dyDescent="0.25">
      <c r="A1956" s="1" t="s">
        <v>3923</v>
      </c>
      <c r="B1956" s="1" t="s">
        <v>12419</v>
      </c>
      <c r="C1956" s="1" t="s">
        <v>12420</v>
      </c>
      <c r="D1956" s="1" t="s">
        <v>12421</v>
      </c>
    </row>
    <row r="1957" spans="1:4" x14ac:dyDescent="0.25">
      <c r="A1957" s="1" t="s">
        <v>3925</v>
      </c>
      <c r="B1957" s="1" t="s">
        <v>12422</v>
      </c>
      <c r="C1957" s="1" t="s">
        <v>12423</v>
      </c>
      <c r="D1957" s="1" t="s">
        <v>12424</v>
      </c>
    </row>
    <row r="1958" spans="1:4" x14ac:dyDescent="0.25">
      <c r="A1958" s="1" t="s">
        <v>3927</v>
      </c>
      <c r="B1958" s="1" t="s">
        <v>12425</v>
      </c>
      <c r="C1958" s="1" t="s">
        <v>12426</v>
      </c>
      <c r="D1958" s="1" t="s">
        <v>12427</v>
      </c>
    </row>
    <row r="1959" spans="1:4" x14ac:dyDescent="0.25">
      <c r="A1959" s="1" t="s">
        <v>3929</v>
      </c>
      <c r="B1959" s="1" t="s">
        <v>12428</v>
      </c>
      <c r="C1959" s="1" t="s">
        <v>12429</v>
      </c>
      <c r="D1959" s="1" t="s">
        <v>12430</v>
      </c>
    </row>
    <row r="1960" spans="1:4" x14ac:dyDescent="0.25">
      <c r="A1960" s="1" t="s">
        <v>3931</v>
      </c>
      <c r="B1960" s="1" t="s">
        <v>12431</v>
      </c>
      <c r="C1960" s="1" t="s">
        <v>12432</v>
      </c>
      <c r="D1960" s="1" t="s">
        <v>12433</v>
      </c>
    </row>
    <row r="1961" spans="1:4" x14ac:dyDescent="0.25">
      <c r="A1961" s="1" t="s">
        <v>3933</v>
      </c>
      <c r="B1961" s="1" t="s">
        <v>12434</v>
      </c>
      <c r="C1961" s="1" t="s">
        <v>12435</v>
      </c>
      <c r="D1961" s="1" t="s">
        <v>12436</v>
      </c>
    </row>
    <row r="1962" spans="1:4" x14ac:dyDescent="0.25">
      <c r="A1962" s="1" t="s">
        <v>3935</v>
      </c>
      <c r="B1962" s="1" t="s">
        <v>12437</v>
      </c>
      <c r="C1962" s="1" t="s">
        <v>12438</v>
      </c>
      <c r="D1962" s="1" t="s">
        <v>12439</v>
      </c>
    </row>
    <row r="1963" spans="1:4" x14ac:dyDescent="0.25">
      <c r="A1963" s="1" t="s">
        <v>3937</v>
      </c>
      <c r="B1963" s="1" t="s">
        <v>12440</v>
      </c>
      <c r="C1963" s="1" t="s">
        <v>12441</v>
      </c>
      <c r="D1963" s="1" t="s">
        <v>12442</v>
      </c>
    </row>
    <row r="1964" spans="1:4" x14ac:dyDescent="0.25">
      <c r="A1964" s="1" t="s">
        <v>3939</v>
      </c>
      <c r="B1964" s="1" t="s">
        <v>12443</v>
      </c>
      <c r="C1964" s="1" t="s">
        <v>12444</v>
      </c>
      <c r="D1964" s="1" t="s">
        <v>12445</v>
      </c>
    </row>
    <row r="1965" spans="1:4" x14ac:dyDescent="0.25">
      <c r="A1965" s="1" t="s">
        <v>3941</v>
      </c>
      <c r="B1965" s="1" t="s">
        <v>12446</v>
      </c>
      <c r="C1965" s="1" t="s">
        <v>12447</v>
      </c>
      <c r="D1965" s="1" t="s">
        <v>12448</v>
      </c>
    </row>
    <row r="1966" spans="1:4" x14ac:dyDescent="0.25">
      <c r="A1966" s="1" t="s">
        <v>3943</v>
      </c>
      <c r="B1966" s="1" t="s">
        <v>12449</v>
      </c>
      <c r="C1966" s="1" t="s">
        <v>12450</v>
      </c>
      <c r="D1966" s="1" t="s">
        <v>12451</v>
      </c>
    </row>
    <row r="1967" spans="1:4" x14ac:dyDescent="0.25">
      <c r="A1967" s="1" t="s">
        <v>3945</v>
      </c>
      <c r="B1967" s="1" t="s">
        <v>12452</v>
      </c>
      <c r="C1967" s="1" t="s">
        <v>12453</v>
      </c>
      <c r="D1967" s="1" t="s">
        <v>12454</v>
      </c>
    </row>
    <row r="1968" spans="1:4" x14ac:dyDescent="0.25">
      <c r="A1968" s="1" t="s">
        <v>3947</v>
      </c>
      <c r="B1968" s="1" t="s">
        <v>12455</v>
      </c>
      <c r="C1968" s="1" t="s">
        <v>12456</v>
      </c>
      <c r="D1968" s="1" t="s">
        <v>12457</v>
      </c>
    </row>
    <row r="1969" spans="1:4" x14ac:dyDescent="0.25">
      <c r="A1969" s="1" t="s">
        <v>3949</v>
      </c>
      <c r="B1969" s="1" t="s">
        <v>12458</v>
      </c>
      <c r="C1969" s="1" t="s">
        <v>12459</v>
      </c>
      <c r="D1969" s="1" t="s">
        <v>12460</v>
      </c>
    </row>
    <row r="1970" spans="1:4" x14ac:dyDescent="0.25">
      <c r="A1970" s="1" t="s">
        <v>3951</v>
      </c>
      <c r="B1970" s="1" t="s">
        <v>12461</v>
      </c>
      <c r="C1970" s="1" t="s">
        <v>12462</v>
      </c>
      <c r="D1970" s="1" t="s">
        <v>12463</v>
      </c>
    </row>
    <row r="1971" spans="1:4" x14ac:dyDescent="0.25">
      <c r="A1971" s="1" t="s">
        <v>3953</v>
      </c>
      <c r="B1971" s="1" t="s">
        <v>12464</v>
      </c>
      <c r="C1971" s="1" t="s">
        <v>12465</v>
      </c>
      <c r="D1971" s="1" t="s">
        <v>12466</v>
      </c>
    </row>
    <row r="1972" spans="1:4" x14ac:dyDescent="0.25">
      <c r="A1972" s="1" t="s">
        <v>3955</v>
      </c>
      <c r="B1972" s="1" t="s">
        <v>12467</v>
      </c>
      <c r="C1972" s="1" t="s">
        <v>12468</v>
      </c>
      <c r="D1972" s="1" t="s">
        <v>12469</v>
      </c>
    </row>
    <row r="1973" spans="1:4" x14ac:dyDescent="0.25">
      <c r="A1973" s="1" t="s">
        <v>3957</v>
      </c>
      <c r="B1973" s="1" t="s">
        <v>12470</v>
      </c>
      <c r="C1973" s="1" t="s">
        <v>12471</v>
      </c>
      <c r="D1973" s="1" t="s">
        <v>12472</v>
      </c>
    </row>
    <row r="1974" spans="1:4" x14ac:dyDescent="0.25">
      <c r="A1974" s="1" t="s">
        <v>3959</v>
      </c>
      <c r="B1974" s="1" t="s">
        <v>12473</v>
      </c>
      <c r="C1974" s="1" t="s">
        <v>12474</v>
      </c>
      <c r="D1974" s="1" t="s">
        <v>12475</v>
      </c>
    </row>
    <row r="1975" spans="1:4" x14ac:dyDescent="0.25">
      <c r="A1975" s="1" t="s">
        <v>3961</v>
      </c>
      <c r="B1975" s="1" t="s">
        <v>12476</v>
      </c>
      <c r="C1975" s="1" t="s">
        <v>12477</v>
      </c>
      <c r="D1975" s="1" t="s">
        <v>12478</v>
      </c>
    </row>
    <row r="1976" spans="1:4" x14ac:dyDescent="0.25">
      <c r="A1976" s="1" t="s">
        <v>3963</v>
      </c>
      <c r="B1976" s="1" t="s">
        <v>12479</v>
      </c>
      <c r="C1976" s="1" t="s">
        <v>12480</v>
      </c>
      <c r="D1976" s="1" t="s">
        <v>12481</v>
      </c>
    </row>
    <row r="1977" spans="1:4" x14ac:dyDescent="0.25">
      <c r="A1977" s="1" t="s">
        <v>3965</v>
      </c>
      <c r="B1977" s="1" t="s">
        <v>12482</v>
      </c>
      <c r="C1977" s="1" t="s">
        <v>12483</v>
      </c>
      <c r="D1977" s="1" t="s">
        <v>12484</v>
      </c>
    </row>
    <row r="1978" spans="1:4" x14ac:dyDescent="0.25">
      <c r="A1978" s="1" t="s">
        <v>3967</v>
      </c>
      <c r="B1978" s="1" t="s">
        <v>12485</v>
      </c>
      <c r="C1978" s="1" t="s">
        <v>12486</v>
      </c>
      <c r="D1978" s="1" t="s">
        <v>12487</v>
      </c>
    </row>
    <row r="1979" spans="1:4" x14ac:dyDescent="0.25">
      <c r="A1979" s="1" t="s">
        <v>3969</v>
      </c>
      <c r="B1979" s="1" t="s">
        <v>12488</v>
      </c>
      <c r="C1979" s="1" t="s">
        <v>12489</v>
      </c>
      <c r="D1979" s="1" t="s">
        <v>12490</v>
      </c>
    </row>
    <row r="1980" spans="1:4" x14ac:dyDescent="0.25">
      <c r="A1980" s="1" t="s">
        <v>3971</v>
      </c>
      <c r="B1980" s="1" t="s">
        <v>12491</v>
      </c>
      <c r="C1980" s="1" t="s">
        <v>12492</v>
      </c>
      <c r="D1980" s="1" t="s">
        <v>12493</v>
      </c>
    </row>
    <row r="1981" spans="1:4" x14ac:dyDescent="0.25">
      <c r="A1981" s="1" t="s">
        <v>3973</v>
      </c>
      <c r="B1981" s="1" t="s">
        <v>12494</v>
      </c>
      <c r="C1981" s="1" t="s">
        <v>12495</v>
      </c>
      <c r="D1981" s="1" t="s">
        <v>12496</v>
      </c>
    </row>
    <row r="1982" spans="1:4" x14ac:dyDescent="0.25">
      <c r="A1982" s="1" t="s">
        <v>3975</v>
      </c>
      <c r="B1982" s="1" t="s">
        <v>12497</v>
      </c>
      <c r="C1982" s="1" t="s">
        <v>12498</v>
      </c>
      <c r="D1982" s="1" t="s">
        <v>12499</v>
      </c>
    </row>
    <row r="1983" spans="1:4" x14ac:dyDescent="0.25">
      <c r="A1983" s="1" t="s">
        <v>3977</v>
      </c>
      <c r="B1983" s="1" t="s">
        <v>12500</v>
      </c>
      <c r="C1983" s="1" t="s">
        <v>12501</v>
      </c>
      <c r="D1983" s="1" t="s">
        <v>12502</v>
      </c>
    </row>
    <row r="1984" spans="1:4" x14ac:dyDescent="0.25">
      <c r="A1984" s="1" t="s">
        <v>3979</v>
      </c>
      <c r="B1984" s="1" t="s">
        <v>12503</v>
      </c>
      <c r="C1984" s="1" t="s">
        <v>12504</v>
      </c>
      <c r="D1984" s="1" t="s">
        <v>12505</v>
      </c>
    </row>
    <row r="1985" spans="1:4" x14ac:dyDescent="0.25">
      <c r="A1985" s="1" t="s">
        <v>3981</v>
      </c>
      <c r="B1985" s="1" t="s">
        <v>12506</v>
      </c>
      <c r="C1985" s="1" t="s">
        <v>12507</v>
      </c>
      <c r="D1985" s="1" t="s">
        <v>12508</v>
      </c>
    </row>
    <row r="1986" spans="1:4" x14ac:dyDescent="0.25">
      <c r="A1986" s="1" t="s">
        <v>3983</v>
      </c>
      <c r="B1986" s="1" t="s">
        <v>12509</v>
      </c>
      <c r="C1986" s="1" t="s">
        <v>12510</v>
      </c>
      <c r="D1986" s="1" t="s">
        <v>12511</v>
      </c>
    </row>
    <row r="1987" spans="1:4" x14ac:dyDescent="0.25">
      <c r="A1987" s="1" t="s">
        <v>3985</v>
      </c>
      <c r="B1987" s="1" t="s">
        <v>12512</v>
      </c>
      <c r="C1987" s="1" t="s">
        <v>12513</v>
      </c>
      <c r="D1987" s="1" t="s">
        <v>12514</v>
      </c>
    </row>
    <row r="1988" spans="1:4" x14ac:dyDescent="0.25">
      <c r="A1988" s="1" t="s">
        <v>3987</v>
      </c>
      <c r="B1988" s="1" t="s">
        <v>12515</v>
      </c>
      <c r="C1988" s="1" t="s">
        <v>12516</v>
      </c>
      <c r="D1988" s="1" t="s">
        <v>12517</v>
      </c>
    </row>
    <row r="1989" spans="1:4" x14ac:dyDescent="0.25">
      <c r="A1989" s="1" t="s">
        <v>3989</v>
      </c>
      <c r="B1989" s="1" t="s">
        <v>12518</v>
      </c>
      <c r="C1989" s="1" t="s">
        <v>12519</v>
      </c>
      <c r="D1989" s="1" t="s">
        <v>12520</v>
      </c>
    </row>
    <row r="1990" spans="1:4" x14ac:dyDescent="0.25">
      <c r="A1990" s="1" t="s">
        <v>3991</v>
      </c>
      <c r="B1990" s="1" t="s">
        <v>12521</v>
      </c>
      <c r="C1990" s="1" t="s">
        <v>12522</v>
      </c>
      <c r="D1990" s="1" t="s">
        <v>12523</v>
      </c>
    </row>
    <row r="1991" spans="1:4" x14ac:dyDescent="0.25">
      <c r="A1991" s="1" t="s">
        <v>3993</v>
      </c>
      <c r="B1991" s="1" t="s">
        <v>12524</v>
      </c>
      <c r="C1991" s="1" t="s">
        <v>12525</v>
      </c>
      <c r="D1991" s="1" t="s">
        <v>12526</v>
      </c>
    </row>
    <row r="1992" spans="1:4" x14ac:dyDescent="0.25">
      <c r="A1992" s="1" t="s">
        <v>3995</v>
      </c>
      <c r="B1992" s="1" t="s">
        <v>12527</v>
      </c>
      <c r="C1992" s="1" t="s">
        <v>12528</v>
      </c>
      <c r="D1992" s="1" t="s">
        <v>12529</v>
      </c>
    </row>
    <row r="1993" spans="1:4" x14ac:dyDescent="0.25">
      <c r="A1993" s="1" t="s">
        <v>3997</v>
      </c>
      <c r="B1993" s="1" t="s">
        <v>12530</v>
      </c>
      <c r="C1993" s="1" t="s">
        <v>12531</v>
      </c>
      <c r="D1993" s="1" t="s">
        <v>12532</v>
      </c>
    </row>
    <row r="1994" spans="1:4" x14ac:dyDescent="0.25">
      <c r="A1994" s="1" t="s">
        <v>3999</v>
      </c>
      <c r="B1994" s="1" t="s">
        <v>12533</v>
      </c>
      <c r="C1994" s="1" t="s">
        <v>12534</v>
      </c>
      <c r="D1994" s="1" t="s">
        <v>12535</v>
      </c>
    </row>
    <row r="1995" spans="1:4" x14ac:dyDescent="0.25">
      <c r="A1995" s="1" t="s">
        <v>4001</v>
      </c>
      <c r="B1995" s="1" t="s">
        <v>12536</v>
      </c>
      <c r="C1995" s="1" t="s">
        <v>12537</v>
      </c>
      <c r="D1995" s="1" t="s">
        <v>12538</v>
      </c>
    </row>
    <row r="1996" spans="1:4" x14ac:dyDescent="0.25">
      <c r="A1996" s="1" t="s">
        <v>4003</v>
      </c>
      <c r="B1996" s="1" t="s">
        <v>12539</v>
      </c>
      <c r="C1996" s="1" t="s">
        <v>12540</v>
      </c>
      <c r="D1996" s="1" t="s">
        <v>12541</v>
      </c>
    </row>
    <row r="1997" spans="1:4" x14ac:dyDescent="0.25">
      <c r="A1997" s="1" t="s">
        <v>4005</v>
      </c>
      <c r="B1997" s="1" t="s">
        <v>12542</v>
      </c>
      <c r="C1997" s="1" t="s">
        <v>12543</v>
      </c>
      <c r="D1997" s="1" t="s">
        <v>12544</v>
      </c>
    </row>
    <row r="1998" spans="1:4" x14ac:dyDescent="0.25">
      <c r="A1998" s="1" t="s">
        <v>4007</v>
      </c>
      <c r="B1998" s="1" t="s">
        <v>12545</v>
      </c>
      <c r="C1998" s="1" t="s">
        <v>12546</v>
      </c>
      <c r="D1998" s="1" t="s">
        <v>12547</v>
      </c>
    </row>
    <row r="1999" spans="1:4" x14ac:dyDescent="0.25">
      <c r="A1999" s="1" t="s">
        <v>4009</v>
      </c>
      <c r="B1999" s="1" t="s">
        <v>12548</v>
      </c>
      <c r="C1999" s="1" t="s">
        <v>12549</v>
      </c>
      <c r="D1999" s="1" t="s">
        <v>12550</v>
      </c>
    </row>
    <row r="2000" spans="1:4" x14ac:dyDescent="0.25">
      <c r="A2000" s="1" t="s">
        <v>4011</v>
      </c>
      <c r="B2000" s="1" t="s">
        <v>12551</v>
      </c>
      <c r="C2000" s="1" t="s">
        <v>12552</v>
      </c>
      <c r="D2000" s="1" t="s">
        <v>12553</v>
      </c>
    </row>
    <row r="2001" spans="1:4" x14ac:dyDescent="0.25">
      <c r="A2001" s="1" t="s">
        <v>4013</v>
      </c>
      <c r="B2001" s="1" t="s">
        <v>12554</v>
      </c>
      <c r="C2001" s="1" t="s">
        <v>12555</v>
      </c>
      <c r="D2001" s="1" t="s">
        <v>12556</v>
      </c>
    </row>
    <row r="2002" spans="1:4" x14ac:dyDescent="0.25">
      <c r="A2002" s="1" t="s">
        <v>4015</v>
      </c>
      <c r="B2002" s="1" t="s">
        <v>12557</v>
      </c>
      <c r="C2002" s="1" t="s">
        <v>12558</v>
      </c>
      <c r="D2002" s="1" t="s">
        <v>12559</v>
      </c>
    </row>
    <row r="2003" spans="1:4" x14ac:dyDescent="0.25">
      <c r="A2003" s="1" t="s">
        <v>4017</v>
      </c>
      <c r="B2003" s="1" t="s">
        <v>12560</v>
      </c>
      <c r="C2003" s="1" t="s">
        <v>12561</v>
      </c>
      <c r="D2003" s="1" t="s">
        <v>12562</v>
      </c>
    </row>
    <row r="2004" spans="1:4" x14ac:dyDescent="0.25">
      <c r="A2004" s="1" t="s">
        <v>4019</v>
      </c>
      <c r="B2004" s="1" t="s">
        <v>12563</v>
      </c>
      <c r="C2004" s="1" t="s">
        <v>12564</v>
      </c>
      <c r="D2004" s="1" t="s">
        <v>12565</v>
      </c>
    </row>
    <row r="2005" spans="1:4" x14ac:dyDescent="0.25">
      <c r="A2005" s="1" t="s">
        <v>4021</v>
      </c>
      <c r="B2005" s="1" t="s">
        <v>12566</v>
      </c>
      <c r="C2005" s="1" t="s">
        <v>12567</v>
      </c>
      <c r="D2005" s="1" t="s">
        <v>12568</v>
      </c>
    </row>
    <row r="2006" spans="1:4" x14ac:dyDescent="0.25">
      <c r="A2006" s="1" t="s">
        <v>4023</v>
      </c>
      <c r="B2006" s="1" t="s">
        <v>12569</v>
      </c>
      <c r="C2006" s="1" t="s">
        <v>12570</v>
      </c>
      <c r="D2006" s="1" t="s">
        <v>12571</v>
      </c>
    </row>
    <row r="2007" spans="1:4" x14ac:dyDescent="0.25">
      <c r="A2007" s="1" t="s">
        <v>4025</v>
      </c>
      <c r="B2007" s="1" t="s">
        <v>12572</v>
      </c>
      <c r="C2007" s="1" t="s">
        <v>12573</v>
      </c>
      <c r="D2007" s="1" t="s">
        <v>12574</v>
      </c>
    </row>
    <row r="2008" spans="1:4" x14ac:dyDescent="0.25">
      <c r="A2008" s="1" t="s">
        <v>4027</v>
      </c>
      <c r="B2008" s="1" t="s">
        <v>12575</v>
      </c>
      <c r="C2008" s="1" t="s">
        <v>12576</v>
      </c>
      <c r="D2008" s="1" t="s">
        <v>12577</v>
      </c>
    </row>
    <row r="2009" spans="1:4" x14ac:dyDescent="0.25">
      <c r="A2009" s="1" t="s">
        <v>4029</v>
      </c>
      <c r="B2009" s="1" t="s">
        <v>12578</v>
      </c>
      <c r="C2009" s="1" t="s">
        <v>12579</v>
      </c>
      <c r="D2009" s="1" t="s">
        <v>12580</v>
      </c>
    </row>
    <row r="2010" spans="1:4" x14ac:dyDescent="0.25">
      <c r="A2010" s="1" t="s">
        <v>4031</v>
      </c>
      <c r="B2010" s="1" t="s">
        <v>12581</v>
      </c>
      <c r="C2010" s="1" t="s">
        <v>12582</v>
      </c>
      <c r="D2010" s="1" t="s">
        <v>12583</v>
      </c>
    </row>
    <row r="2011" spans="1:4" x14ac:dyDescent="0.25">
      <c r="A2011" s="1" t="s">
        <v>4033</v>
      </c>
      <c r="B2011" s="1" t="s">
        <v>12584</v>
      </c>
      <c r="C2011" s="1" t="s">
        <v>12585</v>
      </c>
      <c r="D2011" s="1" t="s">
        <v>12586</v>
      </c>
    </row>
    <row r="2012" spans="1:4" x14ac:dyDescent="0.25">
      <c r="A2012" s="1" t="s">
        <v>4035</v>
      </c>
      <c r="B2012" s="1" t="s">
        <v>12587</v>
      </c>
      <c r="C2012" s="1" t="s">
        <v>12588</v>
      </c>
      <c r="D2012" s="1" t="s">
        <v>12589</v>
      </c>
    </row>
    <row r="2013" spans="1:4" x14ac:dyDescent="0.25">
      <c r="A2013" s="1" t="s">
        <v>4037</v>
      </c>
      <c r="B2013" s="1" t="s">
        <v>12590</v>
      </c>
      <c r="C2013" s="1" t="s">
        <v>12591</v>
      </c>
      <c r="D2013" s="1" t="s">
        <v>12592</v>
      </c>
    </row>
    <row r="2014" spans="1:4" x14ac:dyDescent="0.25">
      <c r="A2014" s="1" t="s">
        <v>4039</v>
      </c>
      <c r="B2014" s="1" t="s">
        <v>12593</v>
      </c>
      <c r="C2014" s="1" t="s">
        <v>12594</v>
      </c>
      <c r="D2014" s="1" t="s">
        <v>12595</v>
      </c>
    </row>
    <row r="2015" spans="1:4" x14ac:dyDescent="0.25">
      <c r="A2015" s="1" t="s">
        <v>4041</v>
      </c>
      <c r="B2015" s="1" t="s">
        <v>12596</v>
      </c>
      <c r="C2015" s="1" t="s">
        <v>12597</v>
      </c>
      <c r="D2015" s="1" t="s">
        <v>12598</v>
      </c>
    </row>
    <row r="2016" spans="1:4" x14ac:dyDescent="0.25">
      <c r="A2016" s="1" t="s">
        <v>4043</v>
      </c>
      <c r="B2016" s="1" t="s">
        <v>12599</v>
      </c>
      <c r="C2016" s="1" t="s">
        <v>12600</v>
      </c>
      <c r="D2016" s="1" t="s">
        <v>12601</v>
      </c>
    </row>
    <row r="2017" spans="1:4" x14ac:dyDescent="0.25">
      <c r="A2017" s="1" t="s">
        <v>4045</v>
      </c>
      <c r="B2017" s="1" t="s">
        <v>12602</v>
      </c>
      <c r="C2017" s="1" t="s">
        <v>12603</v>
      </c>
      <c r="D2017" s="1" t="s">
        <v>12604</v>
      </c>
    </row>
    <row r="2018" spans="1:4" x14ac:dyDescent="0.25">
      <c r="A2018" s="1" t="s">
        <v>4047</v>
      </c>
      <c r="B2018" s="1" t="s">
        <v>12605</v>
      </c>
      <c r="C2018" s="1" t="s">
        <v>12606</v>
      </c>
      <c r="D2018" s="1" t="s">
        <v>12607</v>
      </c>
    </row>
    <row r="2019" spans="1:4" x14ac:dyDescent="0.25">
      <c r="A2019" s="1" t="s">
        <v>4049</v>
      </c>
      <c r="B2019" s="1" t="s">
        <v>12608</v>
      </c>
      <c r="C2019" s="1" t="s">
        <v>12609</v>
      </c>
      <c r="D2019" s="1" t="s">
        <v>12610</v>
      </c>
    </row>
    <row r="2020" spans="1:4" x14ac:dyDescent="0.25">
      <c r="A2020" s="1" t="s">
        <v>4051</v>
      </c>
      <c r="B2020" s="1" t="s">
        <v>12611</v>
      </c>
      <c r="C2020" s="1" t="s">
        <v>12612</v>
      </c>
      <c r="D2020" s="1" t="s">
        <v>12613</v>
      </c>
    </row>
    <row r="2021" spans="1:4" x14ac:dyDescent="0.25">
      <c r="A2021" s="1" t="s">
        <v>4053</v>
      </c>
      <c r="B2021" s="1" t="s">
        <v>12614</v>
      </c>
      <c r="C2021" s="1" t="s">
        <v>12615</v>
      </c>
      <c r="D2021" s="1" t="s">
        <v>12616</v>
      </c>
    </row>
    <row r="2022" spans="1:4" x14ac:dyDescent="0.25">
      <c r="A2022" s="1" t="s">
        <v>4055</v>
      </c>
      <c r="B2022" s="1" t="s">
        <v>12617</v>
      </c>
      <c r="C2022" s="1" t="s">
        <v>12618</v>
      </c>
      <c r="D2022" s="1" t="s">
        <v>12619</v>
      </c>
    </row>
    <row r="2023" spans="1:4" x14ac:dyDescent="0.25">
      <c r="A2023" s="1" t="s">
        <v>4057</v>
      </c>
      <c r="B2023" s="1" t="s">
        <v>12620</v>
      </c>
      <c r="C2023" s="1" t="s">
        <v>12621</v>
      </c>
      <c r="D2023" s="1" t="s">
        <v>12622</v>
      </c>
    </row>
    <row r="2024" spans="1:4" x14ac:dyDescent="0.25">
      <c r="A2024" s="1" t="s">
        <v>4059</v>
      </c>
      <c r="B2024" s="1" t="s">
        <v>12623</v>
      </c>
      <c r="C2024" s="1" t="s">
        <v>12624</v>
      </c>
      <c r="D2024" s="1" t="s">
        <v>12625</v>
      </c>
    </row>
    <row r="2025" spans="1:4" x14ac:dyDescent="0.25">
      <c r="A2025" s="1" t="s">
        <v>4061</v>
      </c>
      <c r="B2025" s="1" t="s">
        <v>12626</v>
      </c>
      <c r="C2025" s="1" t="s">
        <v>12627</v>
      </c>
      <c r="D2025" s="1" t="s">
        <v>12628</v>
      </c>
    </row>
    <row r="2026" spans="1:4" x14ac:dyDescent="0.25">
      <c r="A2026" s="1" t="s">
        <v>4063</v>
      </c>
      <c r="B2026" s="1" t="s">
        <v>12629</v>
      </c>
      <c r="C2026" s="1" t="s">
        <v>12630</v>
      </c>
      <c r="D2026" s="1" t="s">
        <v>12631</v>
      </c>
    </row>
    <row r="2027" spans="1:4" x14ac:dyDescent="0.25">
      <c r="A2027" s="1" t="s">
        <v>4065</v>
      </c>
      <c r="B2027" s="1" t="s">
        <v>12632</v>
      </c>
      <c r="C2027" s="1" t="s">
        <v>12633</v>
      </c>
      <c r="D2027" s="1" t="s">
        <v>12634</v>
      </c>
    </row>
    <row r="2028" spans="1:4" x14ac:dyDescent="0.25">
      <c r="A2028" s="1" t="s">
        <v>4067</v>
      </c>
      <c r="B2028" s="1" t="s">
        <v>12635</v>
      </c>
      <c r="C2028" s="1" t="s">
        <v>12636</v>
      </c>
      <c r="D2028" s="1" t="s">
        <v>12637</v>
      </c>
    </row>
    <row r="2029" spans="1:4" x14ac:dyDescent="0.25">
      <c r="A2029" s="1" t="s">
        <v>4069</v>
      </c>
      <c r="B2029" s="1" t="s">
        <v>12638</v>
      </c>
      <c r="C2029" s="1" t="s">
        <v>12639</v>
      </c>
      <c r="D2029" s="1" t="s">
        <v>12640</v>
      </c>
    </row>
    <row r="2030" spans="1:4" x14ac:dyDescent="0.25">
      <c r="A2030" s="1" t="s">
        <v>4071</v>
      </c>
      <c r="B2030" s="1" t="s">
        <v>12641</v>
      </c>
      <c r="C2030" s="1" t="s">
        <v>12642</v>
      </c>
      <c r="D2030" s="1" t="s">
        <v>12643</v>
      </c>
    </row>
    <row r="2031" spans="1:4" x14ac:dyDescent="0.25">
      <c r="A2031" s="1" t="s">
        <v>4073</v>
      </c>
      <c r="B2031" s="1" t="s">
        <v>12644</v>
      </c>
      <c r="C2031" s="1" t="s">
        <v>12645</v>
      </c>
      <c r="D2031" s="1" t="s">
        <v>12646</v>
      </c>
    </row>
    <row r="2032" spans="1:4" x14ac:dyDescent="0.25">
      <c r="A2032" s="1" t="s">
        <v>4075</v>
      </c>
      <c r="B2032" s="1" t="s">
        <v>12647</v>
      </c>
      <c r="C2032" s="1" t="s">
        <v>12648</v>
      </c>
      <c r="D2032" s="1" t="s">
        <v>12649</v>
      </c>
    </row>
    <row r="2033" spans="1:4" x14ac:dyDescent="0.25">
      <c r="A2033" s="1" t="s">
        <v>4077</v>
      </c>
      <c r="B2033" s="1" t="s">
        <v>12650</v>
      </c>
      <c r="C2033" s="1" t="s">
        <v>12651</v>
      </c>
      <c r="D2033" s="1" t="s">
        <v>12652</v>
      </c>
    </row>
    <row r="2034" spans="1:4" x14ac:dyDescent="0.25">
      <c r="A2034" s="1" t="s">
        <v>4079</v>
      </c>
      <c r="B2034" s="1" t="s">
        <v>12653</v>
      </c>
      <c r="C2034" s="1" t="s">
        <v>12654</v>
      </c>
      <c r="D2034" s="1" t="s">
        <v>12655</v>
      </c>
    </row>
    <row r="2035" spans="1:4" x14ac:dyDescent="0.25">
      <c r="A2035" s="1" t="s">
        <v>4081</v>
      </c>
      <c r="B2035" s="1" t="s">
        <v>12656</v>
      </c>
      <c r="C2035" s="1" t="s">
        <v>12657</v>
      </c>
      <c r="D2035" s="1" t="s">
        <v>12658</v>
      </c>
    </row>
    <row r="2036" spans="1:4" x14ac:dyDescent="0.25">
      <c r="A2036" s="1" t="s">
        <v>4083</v>
      </c>
      <c r="B2036" s="1" t="s">
        <v>12659</v>
      </c>
      <c r="C2036" s="1" t="s">
        <v>12660</v>
      </c>
      <c r="D2036" s="1" t="s">
        <v>12661</v>
      </c>
    </row>
    <row r="2037" spans="1:4" x14ac:dyDescent="0.25">
      <c r="A2037" s="1" t="s">
        <v>4085</v>
      </c>
      <c r="B2037" s="1" t="s">
        <v>12662</v>
      </c>
      <c r="C2037" s="1" t="s">
        <v>12663</v>
      </c>
      <c r="D2037" s="1" t="s">
        <v>12664</v>
      </c>
    </row>
    <row r="2038" spans="1:4" x14ac:dyDescent="0.25">
      <c r="A2038" s="1" t="s">
        <v>4087</v>
      </c>
      <c r="B2038" s="1" t="s">
        <v>12665</v>
      </c>
      <c r="C2038" s="1" t="s">
        <v>12666</v>
      </c>
      <c r="D2038" s="1" t="s">
        <v>12667</v>
      </c>
    </row>
    <row r="2039" spans="1:4" x14ac:dyDescent="0.25">
      <c r="A2039" s="1" t="s">
        <v>4089</v>
      </c>
      <c r="B2039" s="1" t="s">
        <v>12668</v>
      </c>
      <c r="C2039" s="1" t="s">
        <v>12669</v>
      </c>
      <c r="D2039" s="1" t="s">
        <v>12670</v>
      </c>
    </row>
    <row r="2040" spans="1:4" x14ac:dyDescent="0.25">
      <c r="A2040" s="1" t="s">
        <v>4091</v>
      </c>
      <c r="B2040" s="1" t="s">
        <v>12671</v>
      </c>
      <c r="C2040" s="1" t="s">
        <v>12672</v>
      </c>
      <c r="D2040" s="1" t="s">
        <v>12673</v>
      </c>
    </row>
    <row r="2041" spans="1:4" x14ac:dyDescent="0.25">
      <c r="A2041" s="1" t="s">
        <v>4093</v>
      </c>
      <c r="B2041" s="1" t="s">
        <v>12674</v>
      </c>
      <c r="C2041" s="1" t="s">
        <v>12675</v>
      </c>
      <c r="D2041" s="1" t="s">
        <v>12676</v>
      </c>
    </row>
    <row r="2042" spans="1:4" x14ac:dyDescent="0.25">
      <c r="A2042" s="1" t="s">
        <v>4095</v>
      </c>
      <c r="B2042" s="1" t="s">
        <v>12677</v>
      </c>
      <c r="C2042" s="1" t="s">
        <v>12678</v>
      </c>
      <c r="D2042" s="1" t="s">
        <v>12679</v>
      </c>
    </row>
    <row r="2043" spans="1:4" x14ac:dyDescent="0.25">
      <c r="A2043" s="1" t="s">
        <v>4097</v>
      </c>
      <c r="B2043" s="1" t="s">
        <v>12680</v>
      </c>
      <c r="C2043" s="1" t="s">
        <v>12681</v>
      </c>
      <c r="D2043" s="1" t="s">
        <v>12682</v>
      </c>
    </row>
    <row r="2044" spans="1:4" x14ac:dyDescent="0.25">
      <c r="A2044" s="1" t="s">
        <v>4099</v>
      </c>
      <c r="B2044" s="1" t="s">
        <v>12683</v>
      </c>
      <c r="C2044" s="1" t="s">
        <v>12684</v>
      </c>
      <c r="D2044" s="1" t="s">
        <v>12685</v>
      </c>
    </row>
    <row r="2045" spans="1:4" x14ac:dyDescent="0.25">
      <c r="A2045" s="1" t="s">
        <v>4101</v>
      </c>
      <c r="B2045" s="1" t="s">
        <v>12686</v>
      </c>
      <c r="C2045" s="1" t="s">
        <v>12687</v>
      </c>
      <c r="D2045" s="1" t="s">
        <v>12688</v>
      </c>
    </row>
    <row r="2046" spans="1:4" x14ac:dyDescent="0.25">
      <c r="A2046" s="1" t="s">
        <v>4103</v>
      </c>
      <c r="B2046" s="1" t="s">
        <v>12689</v>
      </c>
      <c r="C2046" s="1" t="s">
        <v>12690</v>
      </c>
      <c r="D2046" s="1" t="s">
        <v>12691</v>
      </c>
    </row>
    <row r="2047" spans="1:4" x14ac:dyDescent="0.25">
      <c r="A2047" s="1" t="s">
        <v>4105</v>
      </c>
      <c r="B2047" s="1" t="s">
        <v>12692</v>
      </c>
      <c r="C2047" s="1" t="s">
        <v>12693</v>
      </c>
      <c r="D2047" s="1" t="s">
        <v>12694</v>
      </c>
    </row>
    <row r="2048" spans="1:4" x14ac:dyDescent="0.25">
      <c r="A2048" s="1" t="s">
        <v>4107</v>
      </c>
      <c r="B2048" s="1" t="s">
        <v>12695</v>
      </c>
      <c r="C2048" s="1" t="s">
        <v>12696</v>
      </c>
      <c r="D2048" s="1" t="s">
        <v>12697</v>
      </c>
    </row>
    <row r="2049" spans="1:4" x14ac:dyDescent="0.25">
      <c r="A2049" s="1" t="s">
        <v>4109</v>
      </c>
      <c r="B2049" s="1" t="s">
        <v>12698</v>
      </c>
      <c r="C2049" s="1" t="s">
        <v>12699</v>
      </c>
      <c r="D2049" s="1" t="s">
        <v>12700</v>
      </c>
    </row>
    <row r="2050" spans="1:4" x14ac:dyDescent="0.25">
      <c r="A2050" s="1" t="s">
        <v>4111</v>
      </c>
      <c r="B2050" s="1" t="s">
        <v>12701</v>
      </c>
      <c r="C2050" s="1" t="s">
        <v>12702</v>
      </c>
      <c r="D2050" s="1" t="s">
        <v>12703</v>
      </c>
    </row>
    <row r="2051" spans="1:4" x14ac:dyDescent="0.25">
      <c r="A2051" s="1" t="s">
        <v>4113</v>
      </c>
      <c r="B2051" s="1" t="s">
        <v>12704</v>
      </c>
      <c r="C2051" s="1" t="s">
        <v>12705</v>
      </c>
      <c r="D2051" s="1" t="s">
        <v>12706</v>
      </c>
    </row>
    <row r="2052" spans="1:4" x14ac:dyDescent="0.25">
      <c r="A2052" s="1" t="s">
        <v>4115</v>
      </c>
      <c r="B2052" s="1" t="s">
        <v>12707</v>
      </c>
      <c r="C2052" s="1" t="s">
        <v>12708</v>
      </c>
      <c r="D2052" s="1" t="s">
        <v>12709</v>
      </c>
    </row>
    <row r="2053" spans="1:4" x14ac:dyDescent="0.25">
      <c r="A2053" s="1" t="s">
        <v>4117</v>
      </c>
      <c r="B2053" s="1" t="s">
        <v>12710</v>
      </c>
      <c r="C2053" s="1" t="s">
        <v>12711</v>
      </c>
      <c r="D2053" s="1" t="s">
        <v>12712</v>
      </c>
    </row>
    <row r="2054" spans="1:4" x14ac:dyDescent="0.25">
      <c r="A2054" s="1" t="s">
        <v>4119</v>
      </c>
      <c r="B2054" s="1" t="s">
        <v>12713</v>
      </c>
      <c r="C2054" s="1" t="s">
        <v>12714</v>
      </c>
      <c r="D2054" s="1" t="s">
        <v>12715</v>
      </c>
    </row>
    <row r="2055" spans="1:4" x14ac:dyDescent="0.25">
      <c r="A2055" s="1" t="s">
        <v>4121</v>
      </c>
      <c r="B2055" s="1" t="s">
        <v>12716</v>
      </c>
      <c r="C2055" s="1" t="s">
        <v>12717</v>
      </c>
      <c r="D2055" s="1" t="s">
        <v>12718</v>
      </c>
    </row>
    <row r="2056" spans="1:4" x14ac:dyDescent="0.25">
      <c r="A2056" s="1" t="s">
        <v>4123</v>
      </c>
      <c r="B2056" s="1" t="s">
        <v>12719</v>
      </c>
      <c r="C2056" s="1" t="s">
        <v>12720</v>
      </c>
      <c r="D2056" s="1" t="s">
        <v>12721</v>
      </c>
    </row>
    <row r="2057" spans="1:4" x14ac:dyDescent="0.25">
      <c r="A2057" s="1" t="s">
        <v>4125</v>
      </c>
      <c r="B2057" s="1" t="s">
        <v>12722</v>
      </c>
      <c r="C2057" s="1" t="s">
        <v>12723</v>
      </c>
      <c r="D2057" s="1" t="s">
        <v>12724</v>
      </c>
    </row>
    <row r="2058" spans="1:4" x14ac:dyDescent="0.25">
      <c r="A2058" s="1" t="s">
        <v>4127</v>
      </c>
      <c r="B2058" s="1" t="s">
        <v>12725</v>
      </c>
      <c r="C2058" s="1" t="s">
        <v>12726</v>
      </c>
      <c r="D2058" s="1" t="s">
        <v>12727</v>
      </c>
    </row>
    <row r="2059" spans="1:4" x14ac:dyDescent="0.25">
      <c r="A2059" s="1" t="s">
        <v>4129</v>
      </c>
      <c r="B2059" s="1" t="s">
        <v>12728</v>
      </c>
      <c r="C2059" s="1" t="s">
        <v>12729</v>
      </c>
      <c r="D2059" s="1" t="s">
        <v>12730</v>
      </c>
    </row>
    <row r="2060" spans="1:4" x14ac:dyDescent="0.25">
      <c r="A2060" s="1" t="s">
        <v>4131</v>
      </c>
      <c r="B2060" s="1" t="s">
        <v>12731</v>
      </c>
      <c r="C2060" s="1" t="s">
        <v>12732</v>
      </c>
      <c r="D2060" s="1" t="s">
        <v>12733</v>
      </c>
    </row>
    <row r="2061" spans="1:4" x14ac:dyDescent="0.25">
      <c r="A2061" s="1" t="s">
        <v>4133</v>
      </c>
      <c r="B2061" s="1" t="s">
        <v>12734</v>
      </c>
      <c r="C2061" s="1" t="s">
        <v>12735</v>
      </c>
      <c r="D2061" s="1" t="s">
        <v>12736</v>
      </c>
    </row>
    <row r="2062" spans="1:4" x14ac:dyDescent="0.25">
      <c r="A2062" s="1" t="s">
        <v>4135</v>
      </c>
      <c r="B2062" s="1" t="s">
        <v>12737</v>
      </c>
      <c r="C2062" s="1" t="s">
        <v>12738</v>
      </c>
      <c r="D2062" s="1" t="s">
        <v>12739</v>
      </c>
    </row>
    <row r="2063" spans="1:4" x14ac:dyDescent="0.25">
      <c r="A2063" s="1" t="s">
        <v>4137</v>
      </c>
      <c r="B2063" s="1" t="s">
        <v>12740</v>
      </c>
      <c r="C2063" s="1" t="s">
        <v>12741</v>
      </c>
      <c r="D2063" s="1" t="s">
        <v>12742</v>
      </c>
    </row>
    <row r="2064" spans="1:4" x14ac:dyDescent="0.25">
      <c r="A2064" s="1" t="s">
        <v>4139</v>
      </c>
      <c r="B2064" s="1" t="s">
        <v>12743</v>
      </c>
      <c r="C2064" s="1" t="s">
        <v>12744</v>
      </c>
      <c r="D2064" s="1" t="s">
        <v>12745</v>
      </c>
    </row>
    <row r="2065" spans="1:4" x14ac:dyDescent="0.25">
      <c r="A2065" s="1" t="s">
        <v>4141</v>
      </c>
      <c r="B2065" s="1" t="s">
        <v>12746</v>
      </c>
      <c r="C2065" s="1" t="s">
        <v>12747</v>
      </c>
      <c r="D2065" s="1" t="s">
        <v>12748</v>
      </c>
    </row>
    <row r="2066" spans="1:4" x14ac:dyDescent="0.25">
      <c r="A2066" s="1" t="s">
        <v>4143</v>
      </c>
      <c r="B2066" s="1" t="s">
        <v>12749</v>
      </c>
      <c r="C2066" s="1" t="s">
        <v>12750</v>
      </c>
      <c r="D2066" s="1" t="s">
        <v>12751</v>
      </c>
    </row>
    <row r="2067" spans="1:4" x14ac:dyDescent="0.25">
      <c r="A2067" s="1" t="s">
        <v>4145</v>
      </c>
      <c r="B2067" s="1" t="s">
        <v>12752</v>
      </c>
      <c r="C2067" s="1" t="s">
        <v>12753</v>
      </c>
      <c r="D2067" s="1" t="s">
        <v>12754</v>
      </c>
    </row>
    <row r="2068" spans="1:4" x14ac:dyDescent="0.25">
      <c r="A2068" s="1" t="s">
        <v>4147</v>
      </c>
      <c r="B2068" s="1" t="s">
        <v>12755</v>
      </c>
      <c r="C2068" s="1" t="s">
        <v>12756</v>
      </c>
      <c r="D2068" s="1" t="s">
        <v>12757</v>
      </c>
    </row>
    <row r="2069" spans="1:4" x14ac:dyDescent="0.25">
      <c r="A2069" s="1" t="s">
        <v>4149</v>
      </c>
      <c r="B2069" s="1" t="s">
        <v>12758</v>
      </c>
      <c r="C2069" s="1" t="s">
        <v>12759</v>
      </c>
      <c r="D2069" s="1" t="s">
        <v>12760</v>
      </c>
    </row>
    <row r="2070" spans="1:4" x14ac:dyDescent="0.25">
      <c r="A2070" s="1" t="s">
        <v>4151</v>
      </c>
      <c r="B2070" s="1" t="s">
        <v>12761</v>
      </c>
      <c r="C2070" s="1" t="s">
        <v>12762</v>
      </c>
      <c r="D2070" s="1" t="s">
        <v>12763</v>
      </c>
    </row>
    <row r="2071" spans="1:4" x14ac:dyDescent="0.25">
      <c r="A2071" s="1" t="s">
        <v>4153</v>
      </c>
      <c r="B2071" s="1" t="s">
        <v>12764</v>
      </c>
      <c r="C2071" s="1" t="s">
        <v>12765</v>
      </c>
      <c r="D2071" s="1" t="s">
        <v>12766</v>
      </c>
    </row>
    <row r="2072" spans="1:4" x14ac:dyDescent="0.25">
      <c r="A2072" s="1" t="s">
        <v>4155</v>
      </c>
      <c r="B2072" s="1" t="s">
        <v>12767</v>
      </c>
      <c r="C2072" s="1" t="s">
        <v>12768</v>
      </c>
      <c r="D2072" s="1" t="s">
        <v>12769</v>
      </c>
    </row>
    <row r="2073" spans="1:4" x14ac:dyDescent="0.25">
      <c r="A2073" s="1" t="s">
        <v>4157</v>
      </c>
      <c r="B2073" s="1" t="s">
        <v>12770</v>
      </c>
      <c r="C2073" s="1" t="s">
        <v>12771</v>
      </c>
      <c r="D2073" s="1" t="s">
        <v>12772</v>
      </c>
    </row>
    <row r="2074" spans="1:4" x14ac:dyDescent="0.25">
      <c r="A2074" s="1" t="s">
        <v>4159</v>
      </c>
      <c r="B2074" s="1" t="s">
        <v>12773</v>
      </c>
      <c r="C2074" s="1" t="s">
        <v>12774</v>
      </c>
      <c r="D2074" s="1" t="s">
        <v>12775</v>
      </c>
    </row>
    <row r="2075" spans="1:4" x14ac:dyDescent="0.25">
      <c r="A2075" s="1" t="s">
        <v>4161</v>
      </c>
      <c r="B2075" s="1" t="s">
        <v>12776</v>
      </c>
      <c r="C2075" s="1" t="s">
        <v>12777</v>
      </c>
      <c r="D2075" s="1" t="s">
        <v>12778</v>
      </c>
    </row>
    <row r="2076" spans="1:4" x14ac:dyDescent="0.25">
      <c r="A2076" s="1" t="s">
        <v>4163</v>
      </c>
      <c r="B2076" s="1" t="s">
        <v>12779</v>
      </c>
      <c r="C2076" s="1" t="s">
        <v>12780</v>
      </c>
      <c r="D2076" s="1" t="s">
        <v>12781</v>
      </c>
    </row>
    <row r="2077" spans="1:4" x14ac:dyDescent="0.25">
      <c r="A2077" s="1" t="s">
        <v>4165</v>
      </c>
      <c r="B2077" s="1" t="s">
        <v>12782</v>
      </c>
      <c r="C2077" s="1" t="s">
        <v>12783</v>
      </c>
      <c r="D2077" s="1" t="s">
        <v>12784</v>
      </c>
    </row>
    <row r="2078" spans="1:4" x14ac:dyDescent="0.25">
      <c r="A2078" s="1" t="s">
        <v>4167</v>
      </c>
      <c r="B2078" s="1" t="s">
        <v>12785</v>
      </c>
      <c r="C2078" s="1" t="s">
        <v>12786</v>
      </c>
      <c r="D2078" s="1" t="s">
        <v>12787</v>
      </c>
    </row>
    <row r="2079" spans="1:4" x14ac:dyDescent="0.25">
      <c r="A2079" s="1" t="s">
        <v>4169</v>
      </c>
      <c r="B2079" s="1" t="s">
        <v>12788</v>
      </c>
      <c r="C2079" s="1" t="s">
        <v>12789</v>
      </c>
      <c r="D2079" s="1" t="s">
        <v>12790</v>
      </c>
    </row>
    <row r="2080" spans="1:4" x14ac:dyDescent="0.25">
      <c r="A2080" s="1" t="s">
        <v>4171</v>
      </c>
      <c r="B2080" s="1" t="s">
        <v>12791</v>
      </c>
      <c r="C2080" s="1" t="s">
        <v>12792</v>
      </c>
      <c r="D2080" s="1" t="s">
        <v>12793</v>
      </c>
    </row>
    <row r="2081" spans="1:4" x14ac:dyDescent="0.25">
      <c r="A2081" s="1" t="s">
        <v>4173</v>
      </c>
      <c r="B2081" s="1" t="s">
        <v>12794</v>
      </c>
      <c r="C2081" s="1" t="s">
        <v>12795</v>
      </c>
      <c r="D2081" s="1" t="s">
        <v>12796</v>
      </c>
    </row>
    <row r="2082" spans="1:4" x14ac:dyDescent="0.25">
      <c r="A2082" s="1" t="s">
        <v>4175</v>
      </c>
      <c r="B2082" s="1" t="s">
        <v>12797</v>
      </c>
      <c r="C2082" s="1" t="s">
        <v>12798</v>
      </c>
      <c r="D2082" s="1" t="s">
        <v>12799</v>
      </c>
    </row>
    <row r="2083" spans="1:4" x14ac:dyDescent="0.25">
      <c r="A2083" s="1" t="s">
        <v>4177</v>
      </c>
      <c r="B2083" s="1" t="s">
        <v>12800</v>
      </c>
      <c r="C2083" s="1" t="s">
        <v>12801</v>
      </c>
      <c r="D2083" s="1" t="s">
        <v>12802</v>
      </c>
    </row>
    <row r="2084" spans="1:4" x14ac:dyDescent="0.25">
      <c r="A2084" s="1" t="s">
        <v>4179</v>
      </c>
      <c r="B2084" s="1" t="s">
        <v>12803</v>
      </c>
      <c r="C2084" s="1" t="s">
        <v>12804</v>
      </c>
      <c r="D2084" s="1" t="s">
        <v>12805</v>
      </c>
    </row>
    <row r="2085" spans="1:4" x14ac:dyDescent="0.25">
      <c r="A2085" s="1" t="s">
        <v>4181</v>
      </c>
      <c r="B2085" s="1" t="s">
        <v>12806</v>
      </c>
      <c r="C2085" s="1" t="s">
        <v>12807</v>
      </c>
      <c r="D2085" s="1" t="s">
        <v>12808</v>
      </c>
    </row>
    <row r="2086" spans="1:4" x14ac:dyDescent="0.25">
      <c r="A2086" s="1" t="s">
        <v>4183</v>
      </c>
      <c r="B2086" s="1" t="s">
        <v>12809</v>
      </c>
      <c r="C2086" s="1" t="s">
        <v>12810</v>
      </c>
      <c r="D2086" s="1" t="s">
        <v>12811</v>
      </c>
    </row>
    <row r="2087" spans="1:4" x14ac:dyDescent="0.25">
      <c r="A2087" s="1" t="s">
        <v>4185</v>
      </c>
      <c r="B2087" s="1" t="s">
        <v>12812</v>
      </c>
      <c r="C2087" s="1" t="s">
        <v>12813</v>
      </c>
      <c r="D2087" s="1" t="s">
        <v>12814</v>
      </c>
    </row>
    <row r="2088" spans="1:4" x14ac:dyDescent="0.25">
      <c r="A2088" s="1" t="s">
        <v>4187</v>
      </c>
      <c r="B2088" s="1" t="s">
        <v>12815</v>
      </c>
      <c r="C2088" s="1" t="s">
        <v>12816</v>
      </c>
      <c r="D2088" s="1" t="s">
        <v>12817</v>
      </c>
    </row>
    <row r="2089" spans="1:4" x14ac:dyDescent="0.25">
      <c r="A2089" s="1" t="s">
        <v>4189</v>
      </c>
      <c r="B2089" s="1" t="s">
        <v>12818</v>
      </c>
      <c r="C2089" s="1" t="s">
        <v>12819</v>
      </c>
      <c r="D2089" s="1" t="s">
        <v>12820</v>
      </c>
    </row>
    <row r="2090" spans="1:4" x14ac:dyDescent="0.25">
      <c r="A2090" s="1" t="s">
        <v>4191</v>
      </c>
      <c r="B2090" s="1" t="s">
        <v>12821</v>
      </c>
      <c r="C2090" s="1" t="s">
        <v>12822</v>
      </c>
      <c r="D2090" s="1" t="s">
        <v>12823</v>
      </c>
    </row>
    <row r="2091" spans="1:4" x14ac:dyDescent="0.25">
      <c r="A2091" s="1" t="s">
        <v>4193</v>
      </c>
      <c r="B2091" s="1" t="s">
        <v>12824</v>
      </c>
      <c r="C2091" s="1" t="s">
        <v>12825</v>
      </c>
      <c r="D2091" s="1" t="s">
        <v>12826</v>
      </c>
    </row>
    <row r="2092" spans="1:4" x14ac:dyDescent="0.25">
      <c r="A2092" s="1" t="s">
        <v>4195</v>
      </c>
      <c r="B2092" s="1" t="s">
        <v>12827</v>
      </c>
      <c r="C2092" s="1" t="s">
        <v>12828</v>
      </c>
      <c r="D2092" s="1" t="s">
        <v>12829</v>
      </c>
    </row>
    <row r="2093" spans="1:4" x14ac:dyDescent="0.25">
      <c r="A2093" s="1" t="s">
        <v>4197</v>
      </c>
      <c r="B2093" s="1" t="s">
        <v>12830</v>
      </c>
      <c r="C2093" s="1" t="s">
        <v>12831</v>
      </c>
      <c r="D2093" s="1" t="s">
        <v>12832</v>
      </c>
    </row>
    <row r="2094" spans="1:4" x14ac:dyDescent="0.25">
      <c r="A2094" s="1" t="s">
        <v>4199</v>
      </c>
      <c r="B2094" s="1" t="s">
        <v>12833</v>
      </c>
      <c r="C2094" s="1" t="s">
        <v>12834</v>
      </c>
      <c r="D2094" s="1" t="s">
        <v>12835</v>
      </c>
    </row>
    <row r="2095" spans="1:4" x14ac:dyDescent="0.25">
      <c r="A2095" s="1" t="s">
        <v>4201</v>
      </c>
      <c r="B2095" s="1" t="s">
        <v>12836</v>
      </c>
      <c r="C2095" s="1" t="s">
        <v>12837</v>
      </c>
      <c r="D2095" s="1" t="s">
        <v>12838</v>
      </c>
    </row>
    <row r="2096" spans="1:4" x14ac:dyDescent="0.25">
      <c r="A2096" s="1" t="s">
        <v>4203</v>
      </c>
      <c r="B2096" s="1" t="s">
        <v>12839</v>
      </c>
      <c r="C2096" s="1" t="s">
        <v>12840</v>
      </c>
      <c r="D2096" s="1" t="s">
        <v>12841</v>
      </c>
    </row>
    <row r="2097" spans="1:4" x14ac:dyDescent="0.25">
      <c r="A2097" s="1" t="s">
        <v>4205</v>
      </c>
      <c r="B2097" s="1" t="s">
        <v>12842</v>
      </c>
      <c r="C2097" s="1" t="s">
        <v>12843</v>
      </c>
      <c r="D2097" s="1" t="s">
        <v>12844</v>
      </c>
    </row>
    <row r="2098" spans="1:4" x14ac:dyDescent="0.25">
      <c r="A2098" s="1" t="s">
        <v>4207</v>
      </c>
      <c r="B2098" s="1" t="s">
        <v>12845</v>
      </c>
      <c r="C2098" s="1" t="s">
        <v>12846</v>
      </c>
      <c r="D2098" s="1" t="s">
        <v>12847</v>
      </c>
    </row>
    <row r="2099" spans="1:4" x14ac:dyDescent="0.25">
      <c r="A2099" s="1" t="s">
        <v>4209</v>
      </c>
      <c r="B2099" s="1" t="s">
        <v>12848</v>
      </c>
      <c r="C2099" s="1" t="s">
        <v>12849</v>
      </c>
      <c r="D2099" s="1" t="s">
        <v>12850</v>
      </c>
    </row>
    <row r="2100" spans="1:4" x14ac:dyDescent="0.25">
      <c r="A2100" s="1" t="s">
        <v>4211</v>
      </c>
      <c r="B2100" s="1" t="s">
        <v>12851</v>
      </c>
      <c r="C2100" s="1" t="s">
        <v>12852</v>
      </c>
      <c r="D2100" s="1" t="s">
        <v>12853</v>
      </c>
    </row>
    <row r="2101" spans="1:4" x14ac:dyDescent="0.25">
      <c r="A2101" s="1" t="s">
        <v>4213</v>
      </c>
      <c r="B2101" s="1" t="s">
        <v>12854</v>
      </c>
      <c r="C2101" s="1" t="s">
        <v>12855</v>
      </c>
      <c r="D2101" s="1" t="s">
        <v>12856</v>
      </c>
    </row>
    <row r="2102" spans="1:4" x14ac:dyDescent="0.25">
      <c r="A2102" s="1" t="s">
        <v>4215</v>
      </c>
      <c r="B2102" s="1" t="s">
        <v>12857</v>
      </c>
      <c r="C2102" s="1" t="s">
        <v>12858</v>
      </c>
      <c r="D2102" s="1" t="s">
        <v>12859</v>
      </c>
    </row>
    <row r="2103" spans="1:4" x14ac:dyDescent="0.25">
      <c r="A2103" s="1" t="s">
        <v>4217</v>
      </c>
      <c r="B2103" s="1" t="s">
        <v>12860</v>
      </c>
      <c r="C2103" s="1" t="s">
        <v>12861</v>
      </c>
      <c r="D2103" s="1" t="s">
        <v>12862</v>
      </c>
    </row>
    <row r="2104" spans="1:4" x14ac:dyDescent="0.25">
      <c r="A2104" s="1" t="s">
        <v>4219</v>
      </c>
      <c r="B2104" s="1" t="s">
        <v>12863</v>
      </c>
      <c r="C2104" s="1" t="s">
        <v>12864</v>
      </c>
      <c r="D2104" s="1" t="s">
        <v>12865</v>
      </c>
    </row>
    <row r="2105" spans="1:4" x14ac:dyDescent="0.25">
      <c r="A2105" s="1" t="s">
        <v>4221</v>
      </c>
      <c r="B2105" s="1" t="s">
        <v>12866</v>
      </c>
      <c r="C2105" s="1" t="s">
        <v>12867</v>
      </c>
      <c r="D2105" s="1" t="s">
        <v>12868</v>
      </c>
    </row>
    <row r="2106" spans="1:4" x14ac:dyDescent="0.25">
      <c r="A2106" s="1" t="s">
        <v>4223</v>
      </c>
      <c r="B2106" s="1" t="s">
        <v>12869</v>
      </c>
      <c r="C2106" s="1" t="s">
        <v>12870</v>
      </c>
      <c r="D2106" s="1" t="s">
        <v>12871</v>
      </c>
    </row>
    <row r="2107" spans="1:4" x14ac:dyDescent="0.25">
      <c r="A2107" s="1" t="s">
        <v>4225</v>
      </c>
      <c r="B2107" s="1" t="s">
        <v>12872</v>
      </c>
      <c r="C2107" s="1" t="s">
        <v>12873</v>
      </c>
      <c r="D2107" s="1" t="s">
        <v>12874</v>
      </c>
    </row>
    <row r="2108" spans="1:4" x14ac:dyDescent="0.25">
      <c r="A2108" s="1" t="s">
        <v>4227</v>
      </c>
      <c r="B2108" s="1" t="s">
        <v>12875</v>
      </c>
      <c r="C2108" s="1" t="s">
        <v>12876</v>
      </c>
      <c r="D2108" s="1" t="s">
        <v>12877</v>
      </c>
    </row>
    <row r="2109" spans="1:4" x14ac:dyDescent="0.25">
      <c r="A2109" s="1" t="s">
        <v>4229</v>
      </c>
      <c r="B2109" s="1" t="s">
        <v>12878</v>
      </c>
      <c r="C2109" s="1" t="s">
        <v>12879</v>
      </c>
      <c r="D2109" s="1" t="s">
        <v>12880</v>
      </c>
    </row>
    <row r="2110" spans="1:4" x14ac:dyDescent="0.25">
      <c r="A2110" s="1" t="s">
        <v>4231</v>
      </c>
      <c r="B2110" s="1" t="s">
        <v>12881</v>
      </c>
      <c r="C2110" s="1" t="s">
        <v>12882</v>
      </c>
      <c r="D2110" s="1" t="s">
        <v>12883</v>
      </c>
    </row>
    <row r="2111" spans="1:4" x14ac:dyDescent="0.25">
      <c r="A2111" s="1" t="s">
        <v>4233</v>
      </c>
      <c r="B2111" s="1" t="s">
        <v>12884</v>
      </c>
      <c r="C2111" s="1" t="s">
        <v>12885</v>
      </c>
      <c r="D2111" s="1" t="s">
        <v>12886</v>
      </c>
    </row>
    <row r="2112" spans="1:4" x14ac:dyDescent="0.25">
      <c r="A2112" s="1" t="s">
        <v>4235</v>
      </c>
      <c r="B2112" s="1" t="s">
        <v>12887</v>
      </c>
      <c r="C2112" s="1" t="s">
        <v>12888</v>
      </c>
      <c r="D2112" s="1" t="s">
        <v>12889</v>
      </c>
    </row>
    <row r="2113" spans="1:4" x14ac:dyDescent="0.25">
      <c r="A2113" s="1" t="s">
        <v>4237</v>
      </c>
      <c r="B2113" s="1" t="s">
        <v>12890</v>
      </c>
      <c r="C2113" s="1" t="s">
        <v>12891</v>
      </c>
      <c r="D2113" s="1" t="s">
        <v>12892</v>
      </c>
    </row>
    <row r="2114" spans="1:4" x14ac:dyDescent="0.25">
      <c r="A2114" s="1" t="s">
        <v>4239</v>
      </c>
      <c r="B2114" s="1" t="s">
        <v>12893</v>
      </c>
      <c r="C2114" s="1" t="s">
        <v>12894</v>
      </c>
      <c r="D2114" s="1" t="s">
        <v>12895</v>
      </c>
    </row>
    <row r="2115" spans="1:4" x14ac:dyDescent="0.25">
      <c r="A2115" s="1" t="s">
        <v>4241</v>
      </c>
      <c r="B2115" s="1" t="s">
        <v>12896</v>
      </c>
      <c r="C2115" s="1" t="s">
        <v>12897</v>
      </c>
      <c r="D2115" s="1" t="s">
        <v>12898</v>
      </c>
    </row>
    <row r="2116" spans="1:4" x14ac:dyDescent="0.25">
      <c r="A2116" s="1" t="s">
        <v>4243</v>
      </c>
      <c r="B2116" s="1" t="s">
        <v>12899</v>
      </c>
      <c r="C2116" s="1" t="s">
        <v>12900</v>
      </c>
      <c r="D2116" s="1" t="s">
        <v>12901</v>
      </c>
    </row>
    <row r="2117" spans="1:4" x14ac:dyDescent="0.25">
      <c r="A2117" s="1" t="s">
        <v>4245</v>
      </c>
      <c r="B2117" s="1" t="s">
        <v>12902</v>
      </c>
      <c r="C2117" s="1" t="s">
        <v>12903</v>
      </c>
      <c r="D2117" s="1" t="s">
        <v>12904</v>
      </c>
    </row>
    <row r="2118" spans="1:4" x14ac:dyDescent="0.25">
      <c r="A2118" s="1" t="s">
        <v>4247</v>
      </c>
      <c r="B2118" s="1" t="s">
        <v>12905</v>
      </c>
      <c r="C2118" s="1" t="s">
        <v>12906</v>
      </c>
      <c r="D2118" s="1" t="s">
        <v>12907</v>
      </c>
    </row>
    <row r="2119" spans="1:4" x14ac:dyDescent="0.25">
      <c r="A2119" s="1" t="s">
        <v>4249</v>
      </c>
      <c r="B2119" s="1" t="s">
        <v>12908</v>
      </c>
      <c r="C2119" s="1" t="s">
        <v>12909</v>
      </c>
      <c r="D2119" s="1" t="s">
        <v>12910</v>
      </c>
    </row>
    <row r="2120" spans="1:4" x14ac:dyDescent="0.25">
      <c r="A2120" s="1" t="s">
        <v>4251</v>
      </c>
      <c r="B2120" s="1" t="s">
        <v>12911</v>
      </c>
      <c r="C2120" s="1" t="s">
        <v>12912</v>
      </c>
      <c r="D2120" s="1" t="s">
        <v>12913</v>
      </c>
    </row>
    <row r="2121" spans="1:4" x14ac:dyDescent="0.25">
      <c r="A2121" s="1" t="s">
        <v>4253</v>
      </c>
      <c r="B2121" s="1" t="s">
        <v>12914</v>
      </c>
      <c r="C2121" s="1" t="s">
        <v>12915</v>
      </c>
      <c r="D2121" s="1" t="s">
        <v>12916</v>
      </c>
    </row>
    <row r="2122" spans="1:4" x14ac:dyDescent="0.25">
      <c r="A2122" s="1" t="s">
        <v>4255</v>
      </c>
      <c r="B2122" s="1" t="s">
        <v>12917</v>
      </c>
      <c r="C2122" s="1" t="s">
        <v>12918</v>
      </c>
      <c r="D2122" s="1" t="s">
        <v>12919</v>
      </c>
    </row>
    <row r="2123" spans="1:4" x14ac:dyDescent="0.25">
      <c r="A2123" s="1" t="s">
        <v>4257</v>
      </c>
      <c r="B2123" s="1" t="s">
        <v>12920</v>
      </c>
      <c r="C2123" s="1" t="s">
        <v>12921</v>
      </c>
      <c r="D2123" s="1" t="s">
        <v>12922</v>
      </c>
    </row>
    <row r="2124" spans="1:4" x14ac:dyDescent="0.25">
      <c r="A2124" s="1" t="s">
        <v>4259</v>
      </c>
      <c r="B2124" s="1" t="s">
        <v>12923</v>
      </c>
      <c r="C2124" s="1" t="s">
        <v>12924</v>
      </c>
      <c r="D2124" s="1" t="s">
        <v>12925</v>
      </c>
    </row>
    <row r="2125" spans="1:4" x14ac:dyDescent="0.25">
      <c r="A2125" s="1" t="s">
        <v>4261</v>
      </c>
      <c r="B2125" s="1" t="s">
        <v>12926</v>
      </c>
      <c r="C2125" s="1" t="s">
        <v>12927</v>
      </c>
      <c r="D2125" s="1" t="s">
        <v>12928</v>
      </c>
    </row>
    <row r="2126" spans="1:4" x14ac:dyDescent="0.25">
      <c r="A2126" s="1" t="s">
        <v>4263</v>
      </c>
      <c r="B2126" s="1" t="s">
        <v>12929</v>
      </c>
      <c r="C2126" s="1" t="s">
        <v>12930</v>
      </c>
      <c r="D2126" s="1" t="s">
        <v>12931</v>
      </c>
    </row>
    <row r="2127" spans="1:4" x14ac:dyDescent="0.25">
      <c r="A2127" s="1" t="s">
        <v>4265</v>
      </c>
      <c r="B2127" s="1" t="s">
        <v>12932</v>
      </c>
      <c r="C2127" s="1" t="s">
        <v>12933</v>
      </c>
      <c r="D2127" s="1" t="s">
        <v>12934</v>
      </c>
    </row>
    <row r="2128" spans="1:4" x14ac:dyDescent="0.25">
      <c r="A2128" s="1" t="s">
        <v>4267</v>
      </c>
      <c r="B2128" s="1" t="s">
        <v>12935</v>
      </c>
      <c r="C2128" s="1" t="s">
        <v>12936</v>
      </c>
      <c r="D2128" s="1" t="s">
        <v>12937</v>
      </c>
    </row>
    <row r="2129" spans="1:4" x14ac:dyDescent="0.25">
      <c r="A2129" s="1" t="s">
        <v>4269</v>
      </c>
      <c r="B2129" s="1" t="s">
        <v>12938</v>
      </c>
      <c r="C2129" s="1" t="s">
        <v>12939</v>
      </c>
      <c r="D2129" s="1" t="s">
        <v>12940</v>
      </c>
    </row>
    <row r="2130" spans="1:4" x14ac:dyDescent="0.25">
      <c r="A2130" s="1" t="s">
        <v>4271</v>
      </c>
      <c r="B2130" s="1" t="s">
        <v>12941</v>
      </c>
      <c r="C2130" s="1" t="s">
        <v>12942</v>
      </c>
      <c r="D2130" s="1" t="s">
        <v>12943</v>
      </c>
    </row>
    <row r="2131" spans="1:4" x14ac:dyDescent="0.25">
      <c r="A2131" s="1" t="s">
        <v>4273</v>
      </c>
      <c r="B2131" s="1" t="s">
        <v>12944</v>
      </c>
      <c r="C2131" s="1" t="s">
        <v>12945</v>
      </c>
      <c r="D2131" s="1" t="s">
        <v>12946</v>
      </c>
    </row>
    <row r="2132" spans="1:4" x14ac:dyDescent="0.25">
      <c r="A2132" s="1" t="s">
        <v>4275</v>
      </c>
      <c r="B2132" s="1" t="s">
        <v>12947</v>
      </c>
      <c r="C2132" s="1" t="s">
        <v>12948</v>
      </c>
      <c r="D2132" s="1" t="s">
        <v>12949</v>
      </c>
    </row>
    <row r="2133" spans="1:4" x14ac:dyDescent="0.25">
      <c r="A2133" s="1" t="s">
        <v>4277</v>
      </c>
      <c r="B2133" s="1" t="s">
        <v>12950</v>
      </c>
      <c r="C2133" s="1" t="s">
        <v>12951</v>
      </c>
      <c r="D2133" s="1" t="s">
        <v>12952</v>
      </c>
    </row>
    <row r="2134" spans="1:4" x14ac:dyDescent="0.25">
      <c r="A2134" s="1" t="s">
        <v>4279</v>
      </c>
      <c r="B2134" s="1" t="s">
        <v>12953</v>
      </c>
      <c r="C2134" s="1" t="s">
        <v>12954</v>
      </c>
      <c r="D2134" s="1" t="s">
        <v>12955</v>
      </c>
    </row>
    <row r="2135" spans="1:4" x14ac:dyDescent="0.25">
      <c r="A2135" s="1" t="s">
        <v>4281</v>
      </c>
      <c r="B2135" s="1" t="s">
        <v>12956</v>
      </c>
      <c r="C2135" s="1" t="s">
        <v>12957</v>
      </c>
      <c r="D2135" s="1" t="s">
        <v>12958</v>
      </c>
    </row>
    <row r="2136" spans="1:4" x14ac:dyDescent="0.25">
      <c r="A2136" s="1" t="s">
        <v>4283</v>
      </c>
      <c r="B2136" s="1" t="s">
        <v>12959</v>
      </c>
      <c r="C2136" s="1" t="s">
        <v>12960</v>
      </c>
      <c r="D2136" s="1" t="s">
        <v>12961</v>
      </c>
    </row>
    <row r="2137" spans="1:4" x14ac:dyDescent="0.25">
      <c r="A2137" s="1" t="s">
        <v>4285</v>
      </c>
      <c r="B2137" s="1" t="s">
        <v>12962</v>
      </c>
      <c r="C2137" s="1" t="s">
        <v>12963</v>
      </c>
      <c r="D2137" s="1" t="s">
        <v>12964</v>
      </c>
    </row>
    <row r="2138" spans="1:4" x14ac:dyDescent="0.25">
      <c r="A2138" s="1" t="s">
        <v>4287</v>
      </c>
      <c r="B2138" s="1" t="s">
        <v>12965</v>
      </c>
      <c r="C2138" s="1" t="s">
        <v>12966</v>
      </c>
      <c r="D2138" s="1" t="s">
        <v>12967</v>
      </c>
    </row>
    <row r="2139" spans="1:4" x14ac:dyDescent="0.25">
      <c r="A2139" s="1" t="s">
        <v>4289</v>
      </c>
      <c r="B2139" s="1" t="s">
        <v>12968</v>
      </c>
      <c r="C2139" s="1" t="s">
        <v>12969</v>
      </c>
      <c r="D2139" s="1" t="s">
        <v>12970</v>
      </c>
    </row>
    <row r="2140" spans="1:4" x14ac:dyDescent="0.25">
      <c r="A2140" s="1" t="s">
        <v>4291</v>
      </c>
      <c r="B2140" s="1" t="s">
        <v>12971</v>
      </c>
      <c r="C2140" s="1" t="s">
        <v>12972</v>
      </c>
      <c r="D2140" s="1" t="s">
        <v>12973</v>
      </c>
    </row>
    <row r="2141" spans="1:4" x14ac:dyDescent="0.25">
      <c r="A2141" s="1" t="s">
        <v>4293</v>
      </c>
      <c r="B2141" s="1" t="s">
        <v>12974</v>
      </c>
      <c r="C2141" s="1" t="s">
        <v>12975</v>
      </c>
      <c r="D2141" s="1" t="s">
        <v>12976</v>
      </c>
    </row>
    <row r="2142" spans="1:4" x14ac:dyDescent="0.25">
      <c r="A2142" s="1" t="s">
        <v>4295</v>
      </c>
      <c r="B2142" s="1" t="s">
        <v>12977</v>
      </c>
      <c r="C2142" s="1" t="s">
        <v>12978</v>
      </c>
      <c r="D2142" s="1" t="s">
        <v>12979</v>
      </c>
    </row>
    <row r="2143" spans="1:4" x14ac:dyDescent="0.25">
      <c r="A2143" s="1" t="s">
        <v>4297</v>
      </c>
      <c r="B2143" s="1" t="s">
        <v>12980</v>
      </c>
      <c r="C2143" s="1" t="s">
        <v>12981</v>
      </c>
      <c r="D2143" s="1" t="s">
        <v>12982</v>
      </c>
    </row>
    <row r="2144" spans="1:4" x14ac:dyDescent="0.25">
      <c r="A2144" s="1" t="s">
        <v>4299</v>
      </c>
      <c r="B2144" s="1" t="s">
        <v>12983</v>
      </c>
      <c r="C2144" s="1" t="s">
        <v>12984</v>
      </c>
      <c r="D2144" s="1" t="s">
        <v>12985</v>
      </c>
    </row>
    <row r="2145" spans="1:4" x14ac:dyDescent="0.25">
      <c r="A2145" s="1" t="s">
        <v>4301</v>
      </c>
      <c r="B2145" s="1" t="s">
        <v>12986</v>
      </c>
      <c r="C2145" s="1" t="s">
        <v>12987</v>
      </c>
      <c r="D2145" s="1" t="s">
        <v>12988</v>
      </c>
    </row>
    <row r="2146" spans="1:4" x14ac:dyDescent="0.25">
      <c r="A2146" s="1" t="s">
        <v>4303</v>
      </c>
      <c r="B2146" s="1" t="s">
        <v>12989</v>
      </c>
      <c r="C2146" s="1" t="s">
        <v>12990</v>
      </c>
      <c r="D2146" s="1" t="s">
        <v>12991</v>
      </c>
    </row>
    <row r="2147" spans="1:4" x14ac:dyDescent="0.25">
      <c r="A2147" s="1" t="s">
        <v>4305</v>
      </c>
      <c r="B2147" s="1" t="s">
        <v>12992</v>
      </c>
      <c r="C2147" s="1" t="s">
        <v>12993</v>
      </c>
      <c r="D2147" s="1" t="s">
        <v>12994</v>
      </c>
    </row>
    <row r="2148" spans="1:4" x14ac:dyDescent="0.25">
      <c r="A2148" s="1" t="s">
        <v>4307</v>
      </c>
      <c r="B2148" s="1" t="s">
        <v>12995</v>
      </c>
      <c r="C2148" s="1" t="s">
        <v>12996</v>
      </c>
      <c r="D2148" s="1" t="s">
        <v>12997</v>
      </c>
    </row>
    <row r="2149" spans="1:4" x14ac:dyDescent="0.25">
      <c r="A2149" s="1" t="s">
        <v>4309</v>
      </c>
      <c r="B2149" s="1" t="s">
        <v>12998</v>
      </c>
      <c r="C2149" s="1" t="s">
        <v>12999</v>
      </c>
      <c r="D2149" s="1" t="s">
        <v>13000</v>
      </c>
    </row>
    <row r="2150" spans="1:4" x14ac:dyDescent="0.25">
      <c r="A2150" s="1" t="s">
        <v>4311</v>
      </c>
      <c r="B2150" s="1" t="s">
        <v>13001</v>
      </c>
      <c r="C2150" s="1" t="s">
        <v>13002</v>
      </c>
      <c r="D2150" s="1" t="s">
        <v>13003</v>
      </c>
    </row>
    <row r="2151" spans="1:4" x14ac:dyDescent="0.25">
      <c r="A2151" s="1" t="s">
        <v>4313</v>
      </c>
      <c r="B2151" s="1" t="s">
        <v>13004</v>
      </c>
      <c r="C2151" s="1" t="s">
        <v>13005</v>
      </c>
      <c r="D2151" s="1" t="s">
        <v>13006</v>
      </c>
    </row>
    <row r="2152" spans="1:4" x14ac:dyDescent="0.25">
      <c r="A2152" s="1" t="s">
        <v>4315</v>
      </c>
      <c r="B2152" s="1" t="s">
        <v>13007</v>
      </c>
      <c r="C2152" s="1" t="s">
        <v>13008</v>
      </c>
      <c r="D2152" s="1" t="s">
        <v>13009</v>
      </c>
    </row>
    <row r="2153" spans="1:4" x14ac:dyDescent="0.25">
      <c r="A2153" s="1" t="s">
        <v>4317</v>
      </c>
      <c r="B2153" s="1" t="s">
        <v>13010</v>
      </c>
      <c r="C2153" s="1" t="s">
        <v>13011</v>
      </c>
      <c r="D2153" s="1" t="s">
        <v>13012</v>
      </c>
    </row>
    <row r="2154" spans="1:4" x14ac:dyDescent="0.25">
      <c r="A2154" s="1" t="s">
        <v>4319</v>
      </c>
      <c r="B2154" s="1" t="s">
        <v>13013</v>
      </c>
      <c r="C2154" s="1" t="s">
        <v>13014</v>
      </c>
      <c r="D2154" s="1" t="s">
        <v>13015</v>
      </c>
    </row>
    <row r="2155" spans="1:4" x14ac:dyDescent="0.25">
      <c r="A2155" s="1" t="s">
        <v>4321</v>
      </c>
      <c r="B2155" s="1" t="s">
        <v>13016</v>
      </c>
      <c r="C2155" s="1" t="s">
        <v>13017</v>
      </c>
      <c r="D2155" s="1" t="s">
        <v>13018</v>
      </c>
    </row>
    <row r="2156" spans="1:4" x14ac:dyDescent="0.25">
      <c r="A2156" s="1" t="s">
        <v>4323</v>
      </c>
      <c r="B2156" s="1" t="s">
        <v>13019</v>
      </c>
      <c r="C2156" s="1" t="s">
        <v>13020</v>
      </c>
      <c r="D2156" s="1" t="s">
        <v>13021</v>
      </c>
    </row>
    <row r="2157" spans="1:4" x14ac:dyDescent="0.25">
      <c r="A2157" s="1" t="s">
        <v>4325</v>
      </c>
      <c r="B2157" s="1" t="s">
        <v>13022</v>
      </c>
      <c r="C2157" s="1" t="s">
        <v>13023</v>
      </c>
      <c r="D2157" s="1" t="s">
        <v>13024</v>
      </c>
    </row>
    <row r="2158" spans="1:4" x14ac:dyDescent="0.25">
      <c r="A2158" s="1" t="s">
        <v>4327</v>
      </c>
      <c r="B2158" s="1" t="s">
        <v>13025</v>
      </c>
      <c r="C2158" s="1" t="s">
        <v>13026</v>
      </c>
      <c r="D2158" s="1" t="s">
        <v>13027</v>
      </c>
    </row>
    <row r="2159" spans="1:4" x14ac:dyDescent="0.25">
      <c r="A2159" s="1" t="s">
        <v>4329</v>
      </c>
      <c r="B2159" s="1" t="s">
        <v>13028</v>
      </c>
      <c r="C2159" s="1" t="s">
        <v>13029</v>
      </c>
      <c r="D2159" s="1" t="s">
        <v>13030</v>
      </c>
    </row>
    <row r="2160" spans="1:4" x14ac:dyDescent="0.25">
      <c r="A2160" s="1" t="s">
        <v>4331</v>
      </c>
      <c r="B2160" s="1" t="s">
        <v>13031</v>
      </c>
      <c r="C2160" s="1" t="s">
        <v>13032</v>
      </c>
      <c r="D2160" s="1" t="s">
        <v>13033</v>
      </c>
    </row>
    <row r="2161" spans="1:4" x14ac:dyDescent="0.25">
      <c r="A2161" s="1" t="s">
        <v>4333</v>
      </c>
      <c r="B2161" s="1" t="s">
        <v>13034</v>
      </c>
      <c r="C2161" s="1" t="s">
        <v>13035</v>
      </c>
      <c r="D2161" s="1" t="s">
        <v>13036</v>
      </c>
    </row>
    <row r="2162" spans="1:4" x14ac:dyDescent="0.25">
      <c r="A2162" s="1" t="s">
        <v>4335</v>
      </c>
      <c r="B2162" s="1" t="s">
        <v>13037</v>
      </c>
      <c r="C2162" s="1" t="s">
        <v>13038</v>
      </c>
      <c r="D2162" s="1" t="s">
        <v>13039</v>
      </c>
    </row>
    <row r="2163" spans="1:4" x14ac:dyDescent="0.25">
      <c r="A2163" s="1" t="s">
        <v>4337</v>
      </c>
      <c r="B2163" s="1" t="s">
        <v>13040</v>
      </c>
      <c r="C2163" s="1" t="s">
        <v>13041</v>
      </c>
      <c r="D2163" s="1" t="s">
        <v>13042</v>
      </c>
    </row>
    <row r="2164" spans="1:4" x14ac:dyDescent="0.25">
      <c r="A2164" s="1" t="s">
        <v>4339</v>
      </c>
      <c r="B2164" s="1" t="s">
        <v>13043</v>
      </c>
      <c r="C2164" s="1" t="s">
        <v>13044</v>
      </c>
      <c r="D2164" s="1" t="s">
        <v>13045</v>
      </c>
    </row>
    <row r="2165" spans="1:4" x14ac:dyDescent="0.25">
      <c r="A2165" s="1" t="s">
        <v>4341</v>
      </c>
      <c r="B2165" s="1" t="s">
        <v>13046</v>
      </c>
      <c r="C2165" s="1" t="s">
        <v>13047</v>
      </c>
      <c r="D2165" s="1" t="s">
        <v>13048</v>
      </c>
    </row>
    <row r="2166" spans="1:4" x14ac:dyDescent="0.25">
      <c r="A2166" s="1" t="s">
        <v>4343</v>
      </c>
      <c r="B2166" s="1" t="s">
        <v>13049</v>
      </c>
      <c r="C2166" s="1" t="s">
        <v>13050</v>
      </c>
      <c r="D2166" s="1" t="s">
        <v>13051</v>
      </c>
    </row>
    <row r="2167" spans="1:4" x14ac:dyDescent="0.25">
      <c r="A2167" s="1" t="s">
        <v>4345</v>
      </c>
      <c r="B2167" s="1" t="s">
        <v>13052</v>
      </c>
      <c r="C2167" s="1" t="s">
        <v>13053</v>
      </c>
      <c r="D2167" s="1" t="s">
        <v>13054</v>
      </c>
    </row>
    <row r="2168" spans="1:4" x14ac:dyDescent="0.25">
      <c r="A2168" s="1" t="s">
        <v>4347</v>
      </c>
      <c r="B2168" s="1" t="s">
        <v>13055</v>
      </c>
      <c r="C2168" s="1" t="s">
        <v>13056</v>
      </c>
      <c r="D2168" s="1" t="s">
        <v>13057</v>
      </c>
    </row>
    <row r="2169" spans="1:4" x14ac:dyDescent="0.25">
      <c r="A2169" s="1" t="s">
        <v>4349</v>
      </c>
      <c r="B2169" s="1" t="s">
        <v>13058</v>
      </c>
      <c r="C2169" s="1" t="s">
        <v>13059</v>
      </c>
      <c r="D2169" s="1" t="s">
        <v>13060</v>
      </c>
    </row>
    <row r="2170" spans="1:4" x14ac:dyDescent="0.25">
      <c r="A2170" s="1" t="s">
        <v>4351</v>
      </c>
      <c r="B2170" s="1" t="s">
        <v>13061</v>
      </c>
      <c r="C2170" s="1" t="s">
        <v>13062</v>
      </c>
      <c r="D2170" s="1" t="s">
        <v>13063</v>
      </c>
    </row>
    <row r="2171" spans="1:4" x14ac:dyDescent="0.25">
      <c r="A2171" s="1" t="s">
        <v>4353</v>
      </c>
      <c r="B2171" s="1" t="s">
        <v>13064</v>
      </c>
      <c r="C2171" s="1" t="s">
        <v>13065</v>
      </c>
      <c r="D2171" s="1" t="s">
        <v>13066</v>
      </c>
    </row>
    <row r="2172" spans="1:4" x14ac:dyDescent="0.25">
      <c r="A2172" s="1" t="s">
        <v>4355</v>
      </c>
      <c r="B2172" s="1" t="s">
        <v>13067</v>
      </c>
      <c r="C2172" s="1" t="s">
        <v>13068</v>
      </c>
      <c r="D2172" s="1" t="s">
        <v>13069</v>
      </c>
    </row>
    <row r="2173" spans="1:4" x14ac:dyDescent="0.25">
      <c r="A2173" s="1" t="s">
        <v>4357</v>
      </c>
      <c r="B2173" s="1" t="s">
        <v>13070</v>
      </c>
      <c r="C2173" s="1" t="s">
        <v>13071</v>
      </c>
      <c r="D2173" s="1" t="s">
        <v>13072</v>
      </c>
    </row>
    <row r="2174" spans="1:4" x14ac:dyDescent="0.25">
      <c r="A2174" s="1" t="s">
        <v>4359</v>
      </c>
      <c r="B2174" s="1" t="s">
        <v>13073</v>
      </c>
      <c r="C2174" s="1" t="s">
        <v>13074</v>
      </c>
      <c r="D2174" s="1" t="s">
        <v>13075</v>
      </c>
    </row>
    <row r="2175" spans="1:4" x14ac:dyDescent="0.25">
      <c r="A2175" s="1" t="s">
        <v>4361</v>
      </c>
      <c r="B2175" s="1" t="s">
        <v>13076</v>
      </c>
      <c r="C2175" s="1" t="s">
        <v>13077</v>
      </c>
      <c r="D2175" s="1" t="s">
        <v>13078</v>
      </c>
    </row>
    <row r="2176" spans="1:4" x14ac:dyDescent="0.25">
      <c r="A2176" s="1" t="s">
        <v>4363</v>
      </c>
      <c r="B2176" s="1" t="s">
        <v>13079</v>
      </c>
      <c r="C2176" s="1" t="s">
        <v>13080</v>
      </c>
      <c r="D2176" s="1" t="s">
        <v>13081</v>
      </c>
    </row>
    <row r="2177" spans="1:4" x14ac:dyDescent="0.25">
      <c r="A2177" s="1" t="s">
        <v>4365</v>
      </c>
      <c r="B2177" s="1" t="s">
        <v>13082</v>
      </c>
      <c r="C2177" s="1" t="s">
        <v>13083</v>
      </c>
      <c r="D2177" s="1" t="s">
        <v>13084</v>
      </c>
    </row>
    <row r="2178" spans="1:4" x14ac:dyDescent="0.25">
      <c r="A2178" s="1" t="s">
        <v>4367</v>
      </c>
      <c r="B2178" s="1" t="s">
        <v>13085</v>
      </c>
      <c r="C2178" s="1" t="s">
        <v>13086</v>
      </c>
      <c r="D2178" s="1" t="s">
        <v>13087</v>
      </c>
    </row>
    <row r="2179" spans="1:4" x14ac:dyDescent="0.25">
      <c r="A2179" s="1" t="s">
        <v>4369</v>
      </c>
      <c r="B2179" s="1" t="s">
        <v>13088</v>
      </c>
      <c r="C2179" s="1" t="s">
        <v>13089</v>
      </c>
      <c r="D2179" s="1" t="s">
        <v>13090</v>
      </c>
    </row>
    <row r="2180" spans="1:4" x14ac:dyDescent="0.25">
      <c r="A2180" s="1" t="s">
        <v>4371</v>
      </c>
      <c r="B2180" s="1" t="s">
        <v>13091</v>
      </c>
      <c r="C2180" s="1" t="s">
        <v>13092</v>
      </c>
      <c r="D2180" s="1" t="s">
        <v>13093</v>
      </c>
    </row>
    <row r="2181" spans="1:4" x14ac:dyDescent="0.25">
      <c r="A2181" s="1" t="s">
        <v>4373</v>
      </c>
      <c r="B2181" s="1" t="s">
        <v>13094</v>
      </c>
      <c r="C2181" s="1" t="s">
        <v>13095</v>
      </c>
      <c r="D2181" s="1" t="s">
        <v>13096</v>
      </c>
    </row>
    <row r="2182" spans="1:4" x14ac:dyDescent="0.25">
      <c r="A2182" s="1" t="s">
        <v>4375</v>
      </c>
      <c r="B2182" s="1" t="s">
        <v>13097</v>
      </c>
      <c r="C2182" s="1" t="s">
        <v>13098</v>
      </c>
      <c r="D2182" s="1" t="s">
        <v>13099</v>
      </c>
    </row>
    <row r="2183" spans="1:4" x14ac:dyDescent="0.25">
      <c r="A2183" s="1" t="s">
        <v>4377</v>
      </c>
      <c r="B2183" s="1" t="s">
        <v>13100</v>
      </c>
      <c r="C2183" s="1" t="s">
        <v>13101</v>
      </c>
      <c r="D2183" s="1" t="s">
        <v>13102</v>
      </c>
    </row>
    <row r="2184" spans="1:4" x14ac:dyDescent="0.25">
      <c r="A2184" s="1" t="s">
        <v>4379</v>
      </c>
      <c r="B2184" s="1" t="s">
        <v>13103</v>
      </c>
      <c r="C2184" s="1" t="s">
        <v>13104</v>
      </c>
      <c r="D2184" s="1" t="s">
        <v>13105</v>
      </c>
    </row>
    <row r="2185" spans="1:4" x14ac:dyDescent="0.25">
      <c r="A2185" s="1" t="s">
        <v>4381</v>
      </c>
      <c r="B2185" s="1" t="s">
        <v>13106</v>
      </c>
      <c r="C2185" s="1" t="s">
        <v>13107</v>
      </c>
      <c r="D2185" s="1" t="s">
        <v>13108</v>
      </c>
    </row>
    <row r="2186" spans="1:4" x14ac:dyDescent="0.25">
      <c r="A2186" s="1" t="s">
        <v>4383</v>
      </c>
      <c r="B2186" s="1" t="s">
        <v>13109</v>
      </c>
      <c r="C2186" s="1" t="s">
        <v>13110</v>
      </c>
      <c r="D2186" s="1" t="s">
        <v>13111</v>
      </c>
    </row>
    <row r="2187" spans="1:4" x14ac:dyDescent="0.25">
      <c r="A2187" s="1" t="s">
        <v>4385</v>
      </c>
      <c r="B2187" s="1" t="s">
        <v>13112</v>
      </c>
      <c r="C2187" s="1" t="s">
        <v>13113</v>
      </c>
      <c r="D2187" s="1" t="s">
        <v>13114</v>
      </c>
    </row>
    <row r="2188" spans="1:4" x14ac:dyDescent="0.25">
      <c r="A2188" s="1" t="s">
        <v>4387</v>
      </c>
      <c r="B2188" s="1" t="s">
        <v>13115</v>
      </c>
      <c r="C2188" s="1" t="s">
        <v>13116</v>
      </c>
      <c r="D2188" s="1" t="s">
        <v>13117</v>
      </c>
    </row>
    <row r="2189" spans="1:4" x14ac:dyDescent="0.25">
      <c r="A2189" s="1" t="s">
        <v>4389</v>
      </c>
      <c r="B2189" s="1" t="s">
        <v>13118</v>
      </c>
      <c r="C2189" s="1" t="s">
        <v>13119</v>
      </c>
      <c r="D2189" s="1" t="s">
        <v>13120</v>
      </c>
    </row>
    <row r="2190" spans="1:4" x14ac:dyDescent="0.25">
      <c r="A2190" s="1" t="s">
        <v>4391</v>
      </c>
      <c r="B2190" s="1" t="s">
        <v>13121</v>
      </c>
      <c r="C2190" s="1" t="s">
        <v>13122</v>
      </c>
      <c r="D2190" s="1" t="s">
        <v>13123</v>
      </c>
    </row>
    <row r="2191" spans="1:4" x14ac:dyDescent="0.25">
      <c r="A2191" s="1" t="s">
        <v>4393</v>
      </c>
      <c r="B2191" s="1" t="s">
        <v>13124</v>
      </c>
      <c r="C2191" s="1" t="s">
        <v>13125</v>
      </c>
      <c r="D2191" s="1" t="s">
        <v>13126</v>
      </c>
    </row>
    <row r="2192" spans="1:4" x14ac:dyDescent="0.25">
      <c r="A2192" s="1" t="s">
        <v>4395</v>
      </c>
      <c r="B2192" s="1" t="s">
        <v>13127</v>
      </c>
      <c r="C2192" s="1" t="s">
        <v>13128</v>
      </c>
      <c r="D2192" s="1" t="s">
        <v>13129</v>
      </c>
    </row>
    <row r="2193" spans="1:4" x14ac:dyDescent="0.25">
      <c r="A2193" s="1" t="s">
        <v>4397</v>
      </c>
      <c r="B2193" s="1" t="s">
        <v>13130</v>
      </c>
      <c r="C2193" s="1" t="s">
        <v>13131</v>
      </c>
      <c r="D2193" s="1" t="s">
        <v>13132</v>
      </c>
    </row>
    <row r="2194" spans="1:4" x14ac:dyDescent="0.25">
      <c r="A2194" s="1" t="s">
        <v>4399</v>
      </c>
      <c r="B2194" s="1" t="s">
        <v>13133</v>
      </c>
      <c r="C2194" s="1" t="s">
        <v>13134</v>
      </c>
      <c r="D2194" s="1" t="s">
        <v>13135</v>
      </c>
    </row>
    <row r="2195" spans="1:4" x14ac:dyDescent="0.25">
      <c r="A2195" s="1" t="s">
        <v>4401</v>
      </c>
      <c r="B2195" s="1" t="s">
        <v>13136</v>
      </c>
      <c r="C2195" s="1" t="s">
        <v>13137</v>
      </c>
      <c r="D2195" s="1" t="s">
        <v>13138</v>
      </c>
    </row>
    <row r="2196" spans="1:4" x14ac:dyDescent="0.25">
      <c r="A2196" s="1" t="s">
        <v>4403</v>
      </c>
      <c r="B2196" s="1" t="s">
        <v>13139</v>
      </c>
      <c r="C2196" s="1" t="s">
        <v>13140</v>
      </c>
      <c r="D2196" s="1" t="s">
        <v>13141</v>
      </c>
    </row>
    <row r="2197" spans="1:4" x14ac:dyDescent="0.25">
      <c r="A2197" s="1" t="s">
        <v>4405</v>
      </c>
      <c r="B2197" s="1" t="s">
        <v>13142</v>
      </c>
      <c r="C2197" s="1" t="s">
        <v>13143</v>
      </c>
      <c r="D2197" s="1" t="s">
        <v>13144</v>
      </c>
    </row>
    <row r="2198" spans="1:4" x14ac:dyDescent="0.25">
      <c r="A2198" s="1" t="s">
        <v>4407</v>
      </c>
      <c r="B2198" s="1" t="s">
        <v>13145</v>
      </c>
      <c r="C2198" s="1" t="s">
        <v>13146</v>
      </c>
      <c r="D2198" s="1" t="s">
        <v>13147</v>
      </c>
    </row>
    <row r="2199" spans="1:4" x14ac:dyDescent="0.25">
      <c r="A2199" s="1" t="s">
        <v>4409</v>
      </c>
      <c r="B2199" s="1" t="s">
        <v>13148</v>
      </c>
      <c r="C2199" s="1" t="s">
        <v>13149</v>
      </c>
      <c r="D2199" s="1" t="s">
        <v>13150</v>
      </c>
    </row>
    <row r="2200" spans="1:4" x14ac:dyDescent="0.25">
      <c r="A2200" s="1" t="s">
        <v>4411</v>
      </c>
      <c r="B2200" s="1" t="s">
        <v>13151</v>
      </c>
      <c r="C2200" s="1" t="s">
        <v>13152</v>
      </c>
      <c r="D2200" s="1" t="s">
        <v>13153</v>
      </c>
    </row>
    <row r="2201" spans="1:4" x14ac:dyDescent="0.25">
      <c r="A2201" s="1" t="s">
        <v>4413</v>
      </c>
      <c r="B2201" s="1" t="s">
        <v>13154</v>
      </c>
      <c r="C2201" s="1" t="s">
        <v>13155</v>
      </c>
      <c r="D2201" s="1" t="s">
        <v>13156</v>
      </c>
    </row>
    <row r="2202" spans="1:4" x14ac:dyDescent="0.25">
      <c r="A2202" s="1" t="s">
        <v>4415</v>
      </c>
      <c r="B2202" s="1" t="s">
        <v>13157</v>
      </c>
      <c r="C2202" s="1" t="s">
        <v>13158</v>
      </c>
      <c r="D2202" s="1" t="s">
        <v>13159</v>
      </c>
    </row>
    <row r="2203" spans="1:4" x14ac:dyDescent="0.25">
      <c r="A2203" s="1" t="s">
        <v>4417</v>
      </c>
      <c r="B2203" s="1" t="s">
        <v>13160</v>
      </c>
      <c r="C2203" s="1" t="s">
        <v>13161</v>
      </c>
      <c r="D2203" s="1" t="s">
        <v>13162</v>
      </c>
    </row>
    <row r="2204" spans="1:4" x14ac:dyDescent="0.25">
      <c r="A2204" s="1" t="s">
        <v>4419</v>
      </c>
      <c r="B2204" s="1" t="s">
        <v>13163</v>
      </c>
      <c r="C2204" s="1" t="s">
        <v>13164</v>
      </c>
      <c r="D2204" s="1" t="s">
        <v>13165</v>
      </c>
    </row>
    <row r="2205" spans="1:4" x14ac:dyDescent="0.25">
      <c r="A2205" s="1" t="s">
        <v>4421</v>
      </c>
      <c r="B2205" s="1" t="s">
        <v>13166</v>
      </c>
      <c r="C2205" s="1" t="s">
        <v>13167</v>
      </c>
      <c r="D2205" s="1" t="s">
        <v>13168</v>
      </c>
    </row>
    <row r="2206" spans="1:4" x14ac:dyDescent="0.25">
      <c r="A2206" s="1" t="s">
        <v>4423</v>
      </c>
      <c r="B2206" s="1" t="s">
        <v>13169</v>
      </c>
      <c r="C2206" s="1" t="s">
        <v>13170</v>
      </c>
      <c r="D2206" s="1" t="s">
        <v>13171</v>
      </c>
    </row>
    <row r="2207" spans="1:4" x14ac:dyDescent="0.25">
      <c r="A2207" s="1" t="s">
        <v>4425</v>
      </c>
      <c r="B2207" s="1" t="s">
        <v>13172</v>
      </c>
      <c r="C2207" s="1" t="s">
        <v>13173</v>
      </c>
      <c r="D2207" s="1" t="s">
        <v>13174</v>
      </c>
    </row>
    <row r="2208" spans="1:4" x14ac:dyDescent="0.25">
      <c r="A2208" s="1" t="s">
        <v>4427</v>
      </c>
      <c r="B2208" s="1" t="s">
        <v>13175</v>
      </c>
      <c r="C2208" s="1" t="s">
        <v>13176</v>
      </c>
      <c r="D2208" s="1" t="s">
        <v>13177</v>
      </c>
    </row>
    <row r="2209" spans="1:4" x14ac:dyDescent="0.25">
      <c r="A2209" s="1" t="s">
        <v>4429</v>
      </c>
      <c r="B2209" s="1" t="s">
        <v>13178</v>
      </c>
      <c r="C2209" s="1" t="s">
        <v>13179</v>
      </c>
      <c r="D2209" s="1" t="s">
        <v>13180</v>
      </c>
    </row>
    <row r="2210" spans="1:4" x14ac:dyDescent="0.25">
      <c r="A2210" s="1" t="s">
        <v>4431</v>
      </c>
      <c r="B2210" s="1" t="s">
        <v>13181</v>
      </c>
      <c r="C2210" s="1" t="s">
        <v>13182</v>
      </c>
      <c r="D2210" s="1" t="s">
        <v>13183</v>
      </c>
    </row>
    <row r="2211" spans="1:4" x14ac:dyDescent="0.25">
      <c r="A2211" s="1" t="s">
        <v>4433</v>
      </c>
      <c r="B2211" s="1" t="s">
        <v>13184</v>
      </c>
      <c r="C2211" s="1" t="s">
        <v>13185</v>
      </c>
      <c r="D2211" s="1" t="s">
        <v>13186</v>
      </c>
    </row>
    <row r="2212" spans="1:4" x14ac:dyDescent="0.25">
      <c r="A2212" s="1" t="s">
        <v>4435</v>
      </c>
      <c r="B2212" s="1" t="s">
        <v>13187</v>
      </c>
      <c r="C2212" s="1" t="s">
        <v>13188</v>
      </c>
      <c r="D2212" s="1" t="s">
        <v>13189</v>
      </c>
    </row>
    <row r="2213" spans="1:4" x14ac:dyDescent="0.25">
      <c r="A2213" s="1" t="s">
        <v>4437</v>
      </c>
      <c r="B2213" s="1" t="s">
        <v>13190</v>
      </c>
      <c r="C2213" s="1" t="s">
        <v>13191</v>
      </c>
      <c r="D2213" s="1" t="s">
        <v>13192</v>
      </c>
    </row>
    <row r="2214" spans="1:4" x14ac:dyDescent="0.25">
      <c r="A2214" s="1" t="s">
        <v>4439</v>
      </c>
      <c r="B2214" s="1" t="s">
        <v>13193</v>
      </c>
      <c r="C2214" s="1" t="s">
        <v>13194</v>
      </c>
      <c r="D2214" s="1" t="s">
        <v>13195</v>
      </c>
    </row>
    <row r="2215" spans="1:4" x14ac:dyDescent="0.25">
      <c r="A2215" s="1" t="s">
        <v>4441</v>
      </c>
      <c r="B2215" s="1" t="s">
        <v>13196</v>
      </c>
      <c r="C2215" s="1" t="s">
        <v>13197</v>
      </c>
      <c r="D2215" s="1" t="s">
        <v>13198</v>
      </c>
    </row>
    <row r="2216" spans="1:4" x14ac:dyDescent="0.25">
      <c r="A2216" s="1" t="s">
        <v>4443</v>
      </c>
      <c r="B2216" s="1" t="s">
        <v>13199</v>
      </c>
      <c r="C2216" s="1" t="s">
        <v>13200</v>
      </c>
      <c r="D2216" s="1" t="s">
        <v>13201</v>
      </c>
    </row>
    <row r="2217" spans="1:4" x14ac:dyDescent="0.25">
      <c r="A2217" s="1" t="s">
        <v>4445</v>
      </c>
      <c r="B2217" s="1" t="s">
        <v>13202</v>
      </c>
      <c r="C2217" s="1" t="s">
        <v>13203</v>
      </c>
      <c r="D2217" s="1" t="s">
        <v>13204</v>
      </c>
    </row>
    <row r="2218" spans="1:4" x14ac:dyDescent="0.25">
      <c r="A2218" s="1" t="s">
        <v>4447</v>
      </c>
      <c r="B2218" s="1" t="s">
        <v>13205</v>
      </c>
      <c r="C2218" s="1" t="s">
        <v>13206</v>
      </c>
      <c r="D2218" s="1" t="s">
        <v>13207</v>
      </c>
    </row>
    <row r="2219" spans="1:4" x14ac:dyDescent="0.25">
      <c r="A2219" s="1" t="s">
        <v>4449</v>
      </c>
      <c r="B2219" s="1" t="s">
        <v>13208</v>
      </c>
      <c r="C2219" s="1" t="s">
        <v>13209</v>
      </c>
      <c r="D2219" s="1" t="s">
        <v>13210</v>
      </c>
    </row>
    <row r="2220" spans="1:4" x14ac:dyDescent="0.25">
      <c r="A2220" s="1" t="s">
        <v>4451</v>
      </c>
      <c r="B2220" s="1" t="s">
        <v>13211</v>
      </c>
      <c r="C2220" s="1" t="s">
        <v>13212</v>
      </c>
      <c r="D2220" s="1" t="s">
        <v>13213</v>
      </c>
    </row>
    <row r="2221" spans="1:4" x14ac:dyDescent="0.25">
      <c r="A2221" s="1" t="s">
        <v>4453</v>
      </c>
      <c r="B2221" s="1" t="s">
        <v>13214</v>
      </c>
      <c r="C2221" s="1" t="s">
        <v>13215</v>
      </c>
      <c r="D2221" s="1" t="s">
        <v>13216</v>
      </c>
    </row>
    <row r="2222" spans="1:4" x14ac:dyDescent="0.25">
      <c r="A2222" s="1" t="s">
        <v>4455</v>
      </c>
      <c r="B2222" s="1" t="s">
        <v>13217</v>
      </c>
      <c r="C2222" s="1" t="s">
        <v>13218</v>
      </c>
      <c r="D2222" s="1" t="s">
        <v>13219</v>
      </c>
    </row>
    <row r="2223" spans="1:4" x14ac:dyDescent="0.25">
      <c r="A2223" s="1" t="s">
        <v>4457</v>
      </c>
      <c r="B2223" s="1" t="s">
        <v>13220</v>
      </c>
      <c r="C2223" s="1" t="s">
        <v>13221</v>
      </c>
      <c r="D2223" s="1" t="s">
        <v>13222</v>
      </c>
    </row>
    <row r="2224" spans="1:4" x14ac:dyDescent="0.25">
      <c r="A2224" s="1" t="s">
        <v>4459</v>
      </c>
      <c r="B2224" s="1" t="s">
        <v>13223</v>
      </c>
      <c r="C2224" s="1" t="s">
        <v>13224</v>
      </c>
      <c r="D2224" s="1" t="s">
        <v>13225</v>
      </c>
    </row>
    <row r="2225" spans="1:4" x14ac:dyDescent="0.25">
      <c r="A2225" s="1" t="s">
        <v>4461</v>
      </c>
      <c r="B2225" s="1" t="s">
        <v>13226</v>
      </c>
      <c r="C2225" s="1" t="s">
        <v>13227</v>
      </c>
      <c r="D2225" s="1" t="s">
        <v>13228</v>
      </c>
    </row>
    <row r="2226" spans="1:4" x14ac:dyDescent="0.25">
      <c r="A2226" s="1" t="s">
        <v>4463</v>
      </c>
      <c r="B2226" s="1" t="s">
        <v>13229</v>
      </c>
      <c r="C2226" s="1" t="s">
        <v>13230</v>
      </c>
      <c r="D2226" s="1" t="s">
        <v>13231</v>
      </c>
    </row>
    <row r="2227" spans="1:4" x14ac:dyDescent="0.25">
      <c r="A2227" s="1" t="s">
        <v>4465</v>
      </c>
      <c r="B2227" s="1" t="s">
        <v>13232</v>
      </c>
      <c r="C2227" s="1" t="s">
        <v>13233</v>
      </c>
      <c r="D2227" s="1" t="s">
        <v>13234</v>
      </c>
    </row>
    <row r="2228" spans="1:4" x14ac:dyDescent="0.25">
      <c r="A2228" s="1" t="s">
        <v>4467</v>
      </c>
      <c r="B2228" s="1" t="s">
        <v>13235</v>
      </c>
      <c r="C2228" s="1" t="s">
        <v>13236</v>
      </c>
      <c r="D2228" s="1" t="s">
        <v>13237</v>
      </c>
    </row>
    <row r="2229" spans="1:4" x14ac:dyDescent="0.25">
      <c r="A2229" s="1" t="s">
        <v>4469</v>
      </c>
      <c r="B2229" s="1" t="s">
        <v>13238</v>
      </c>
      <c r="C2229" s="1" t="s">
        <v>13239</v>
      </c>
      <c r="D2229" s="1" t="s">
        <v>13240</v>
      </c>
    </row>
    <row r="2230" spans="1:4" x14ac:dyDescent="0.25">
      <c r="A2230" s="1" t="s">
        <v>4471</v>
      </c>
      <c r="B2230" s="1" t="s">
        <v>13241</v>
      </c>
      <c r="C2230" s="1" t="s">
        <v>13242</v>
      </c>
      <c r="D2230" s="1" t="s">
        <v>13243</v>
      </c>
    </row>
    <row r="2231" spans="1:4" x14ac:dyDescent="0.25">
      <c r="A2231" s="1" t="s">
        <v>4473</v>
      </c>
      <c r="B2231" s="1" t="s">
        <v>13244</v>
      </c>
      <c r="C2231" s="1" t="s">
        <v>13245</v>
      </c>
      <c r="D2231" s="1" t="s">
        <v>13246</v>
      </c>
    </row>
    <row r="2232" spans="1:4" x14ac:dyDescent="0.25">
      <c r="A2232" s="1" t="s">
        <v>4475</v>
      </c>
      <c r="B2232" s="1" t="s">
        <v>13247</v>
      </c>
      <c r="C2232" s="1" t="s">
        <v>13248</v>
      </c>
      <c r="D2232" s="1" t="s">
        <v>13249</v>
      </c>
    </row>
    <row r="2233" spans="1:4" x14ac:dyDescent="0.25">
      <c r="A2233" s="1" t="s">
        <v>4477</v>
      </c>
      <c r="B2233" s="1" t="s">
        <v>13250</v>
      </c>
      <c r="C2233" s="1" t="s">
        <v>13251</v>
      </c>
      <c r="D2233" s="1" t="s">
        <v>13252</v>
      </c>
    </row>
    <row r="2234" spans="1:4" x14ac:dyDescent="0.25">
      <c r="A2234" s="1" t="s">
        <v>4479</v>
      </c>
      <c r="B2234" s="1" t="s">
        <v>13253</v>
      </c>
      <c r="C2234" s="1" t="s">
        <v>13254</v>
      </c>
      <c r="D2234" s="1" t="s">
        <v>13255</v>
      </c>
    </row>
    <row r="2235" spans="1:4" x14ac:dyDescent="0.25">
      <c r="A2235" s="1" t="s">
        <v>4481</v>
      </c>
      <c r="B2235" s="1" t="s">
        <v>13256</v>
      </c>
      <c r="C2235" s="1" t="s">
        <v>13257</v>
      </c>
      <c r="D2235" s="1" t="s">
        <v>13258</v>
      </c>
    </row>
    <row r="2236" spans="1:4" x14ac:dyDescent="0.25">
      <c r="A2236" s="1" t="s">
        <v>4483</v>
      </c>
      <c r="B2236" s="1" t="s">
        <v>13259</v>
      </c>
      <c r="C2236" s="1" t="s">
        <v>13260</v>
      </c>
      <c r="D2236" s="1" t="s">
        <v>13261</v>
      </c>
    </row>
    <row r="2237" spans="1:4" x14ac:dyDescent="0.25">
      <c r="A2237" s="1" t="s">
        <v>4485</v>
      </c>
      <c r="B2237" s="1" t="s">
        <v>13262</v>
      </c>
      <c r="C2237" s="1" t="s">
        <v>13263</v>
      </c>
      <c r="D2237" s="1" t="s">
        <v>13264</v>
      </c>
    </row>
    <row r="2238" spans="1:4" x14ac:dyDescent="0.25">
      <c r="A2238" s="1" t="s">
        <v>4487</v>
      </c>
      <c r="B2238" s="1" t="s">
        <v>13265</v>
      </c>
      <c r="C2238" s="1" t="s">
        <v>13266</v>
      </c>
      <c r="D2238" s="1" t="s">
        <v>13267</v>
      </c>
    </row>
    <row r="2239" spans="1:4" x14ac:dyDescent="0.25">
      <c r="A2239" s="1" t="s">
        <v>4489</v>
      </c>
      <c r="B2239" s="1" t="s">
        <v>13268</v>
      </c>
      <c r="C2239" s="1" t="s">
        <v>13269</v>
      </c>
      <c r="D2239" s="1" t="s">
        <v>13270</v>
      </c>
    </row>
    <row r="2240" spans="1:4" x14ac:dyDescent="0.25">
      <c r="A2240" s="1" t="s">
        <v>4491</v>
      </c>
      <c r="B2240" s="1" t="s">
        <v>13271</v>
      </c>
      <c r="C2240" s="1" t="s">
        <v>13272</v>
      </c>
      <c r="D2240" s="1" t="s">
        <v>13273</v>
      </c>
    </row>
    <row r="2241" spans="1:4" x14ac:dyDescent="0.25">
      <c r="A2241" s="1" t="s">
        <v>4493</v>
      </c>
      <c r="B2241" s="1" t="s">
        <v>13274</v>
      </c>
      <c r="C2241" s="1" t="s">
        <v>13275</v>
      </c>
      <c r="D2241" s="1" t="s">
        <v>13276</v>
      </c>
    </row>
    <row r="2242" spans="1:4" x14ac:dyDescent="0.25">
      <c r="A2242" s="1" t="s">
        <v>4495</v>
      </c>
      <c r="B2242" s="1" t="s">
        <v>13277</v>
      </c>
      <c r="C2242" s="1" t="s">
        <v>13278</v>
      </c>
      <c r="D2242" s="1" t="s">
        <v>13279</v>
      </c>
    </row>
    <row r="2243" spans="1:4" x14ac:dyDescent="0.25">
      <c r="A2243" s="1" t="s">
        <v>4497</v>
      </c>
      <c r="B2243" s="1" t="s">
        <v>13280</v>
      </c>
      <c r="C2243" s="1" t="s">
        <v>13281</v>
      </c>
      <c r="D2243" s="1" t="s">
        <v>13282</v>
      </c>
    </row>
    <row r="2244" spans="1:4" x14ac:dyDescent="0.25">
      <c r="A2244" s="1" t="s">
        <v>4499</v>
      </c>
      <c r="B2244" s="1" t="s">
        <v>13283</v>
      </c>
      <c r="C2244" s="1" t="s">
        <v>13284</v>
      </c>
      <c r="D2244" s="1" t="s">
        <v>13285</v>
      </c>
    </row>
    <row r="2245" spans="1:4" x14ac:dyDescent="0.25">
      <c r="A2245" s="1" t="s">
        <v>4501</v>
      </c>
      <c r="B2245" s="1" t="s">
        <v>13286</v>
      </c>
      <c r="C2245" s="1" t="s">
        <v>13287</v>
      </c>
      <c r="D2245" s="1" t="s">
        <v>13288</v>
      </c>
    </row>
    <row r="2246" spans="1:4" x14ac:dyDescent="0.25">
      <c r="A2246" s="1" t="s">
        <v>4503</v>
      </c>
      <c r="B2246" s="1" t="s">
        <v>13289</v>
      </c>
      <c r="C2246" s="1" t="s">
        <v>13290</v>
      </c>
      <c r="D2246" s="1" t="s">
        <v>13291</v>
      </c>
    </row>
    <row r="2247" spans="1:4" x14ac:dyDescent="0.25">
      <c r="A2247" s="1" t="s">
        <v>4505</v>
      </c>
      <c r="B2247" s="1" t="s">
        <v>13292</v>
      </c>
      <c r="C2247" s="1" t="s">
        <v>13293</v>
      </c>
      <c r="D2247" s="1" t="s">
        <v>13294</v>
      </c>
    </row>
    <row r="2248" spans="1:4" x14ac:dyDescent="0.25">
      <c r="A2248" s="1" t="s">
        <v>4507</v>
      </c>
      <c r="B2248" s="1" t="s">
        <v>13295</v>
      </c>
      <c r="C2248" s="1" t="s">
        <v>13296</v>
      </c>
      <c r="D2248" s="1" t="s">
        <v>13297</v>
      </c>
    </row>
    <row r="2249" spans="1:4" x14ac:dyDescent="0.25">
      <c r="A2249" s="1" t="s">
        <v>4509</v>
      </c>
      <c r="B2249" s="1" t="s">
        <v>13298</v>
      </c>
      <c r="C2249" s="1" t="s">
        <v>13299</v>
      </c>
      <c r="D2249" s="1" t="s">
        <v>13300</v>
      </c>
    </row>
    <row r="2250" spans="1:4" x14ac:dyDescent="0.25">
      <c r="A2250" s="1" t="s">
        <v>4511</v>
      </c>
      <c r="B2250" s="1" t="s">
        <v>13301</v>
      </c>
      <c r="C2250" s="1" t="s">
        <v>13302</v>
      </c>
      <c r="D2250" s="1" t="s">
        <v>13303</v>
      </c>
    </row>
    <row r="2251" spans="1:4" x14ac:dyDescent="0.25">
      <c r="A2251" s="1" t="s">
        <v>4513</v>
      </c>
      <c r="B2251" s="1" t="s">
        <v>13304</v>
      </c>
      <c r="C2251" s="1" t="s">
        <v>13305</v>
      </c>
      <c r="D2251" s="1" t="s">
        <v>13306</v>
      </c>
    </row>
    <row r="2252" spans="1:4" x14ac:dyDescent="0.25">
      <c r="A2252" s="1" t="s">
        <v>4515</v>
      </c>
      <c r="B2252" s="1" t="s">
        <v>13307</v>
      </c>
      <c r="C2252" s="1" t="s">
        <v>13308</v>
      </c>
      <c r="D2252" s="1" t="s">
        <v>13309</v>
      </c>
    </row>
    <row r="2253" spans="1:4" x14ac:dyDescent="0.25">
      <c r="A2253" s="1" t="s">
        <v>4517</v>
      </c>
      <c r="B2253" s="1" t="s">
        <v>13310</v>
      </c>
      <c r="C2253" s="1" t="s">
        <v>13311</v>
      </c>
      <c r="D2253" s="1" t="s">
        <v>13312</v>
      </c>
    </row>
    <row r="2254" spans="1:4" x14ac:dyDescent="0.25">
      <c r="A2254" s="1" t="s">
        <v>4519</v>
      </c>
      <c r="B2254" s="1" t="s">
        <v>13313</v>
      </c>
      <c r="C2254" s="1" t="s">
        <v>13314</v>
      </c>
      <c r="D2254" s="1" t="s">
        <v>13315</v>
      </c>
    </row>
    <row r="2255" spans="1:4" x14ac:dyDescent="0.25">
      <c r="A2255" s="1" t="s">
        <v>4521</v>
      </c>
      <c r="B2255" s="1" t="s">
        <v>13316</v>
      </c>
      <c r="C2255" s="1" t="s">
        <v>13317</v>
      </c>
      <c r="D2255" s="1" t="s">
        <v>13318</v>
      </c>
    </row>
    <row r="2256" spans="1:4" x14ac:dyDescent="0.25">
      <c r="A2256" s="1" t="s">
        <v>4523</v>
      </c>
      <c r="B2256" s="1" t="s">
        <v>13319</v>
      </c>
      <c r="C2256" s="1" t="s">
        <v>13320</v>
      </c>
      <c r="D2256" s="1" t="s">
        <v>13321</v>
      </c>
    </row>
    <row r="2257" spans="1:4" x14ac:dyDescent="0.25">
      <c r="A2257" s="1" t="s">
        <v>4525</v>
      </c>
      <c r="B2257" s="1" t="s">
        <v>13322</v>
      </c>
      <c r="C2257" s="1" t="s">
        <v>13323</v>
      </c>
      <c r="D2257" s="1" t="s">
        <v>13324</v>
      </c>
    </row>
    <row r="2258" spans="1:4" x14ac:dyDescent="0.25">
      <c r="A2258" s="1" t="s">
        <v>4527</v>
      </c>
      <c r="B2258" s="1" t="s">
        <v>13325</v>
      </c>
      <c r="C2258" s="1" t="s">
        <v>13326</v>
      </c>
      <c r="D2258" s="1" t="s">
        <v>13327</v>
      </c>
    </row>
    <row r="2259" spans="1:4" x14ac:dyDescent="0.25">
      <c r="A2259" s="1" t="s">
        <v>4529</v>
      </c>
      <c r="B2259" s="1" t="s">
        <v>13328</v>
      </c>
      <c r="C2259" s="1" t="s">
        <v>13329</v>
      </c>
      <c r="D2259" s="1" t="s">
        <v>13330</v>
      </c>
    </row>
    <row r="2260" spans="1:4" x14ac:dyDescent="0.25">
      <c r="A2260" s="1" t="s">
        <v>4531</v>
      </c>
      <c r="B2260" s="1" t="s">
        <v>13331</v>
      </c>
      <c r="C2260" s="1" t="s">
        <v>13332</v>
      </c>
      <c r="D2260" s="1" t="s">
        <v>13333</v>
      </c>
    </row>
    <row r="2261" spans="1:4" x14ac:dyDescent="0.25">
      <c r="A2261" s="1" t="s">
        <v>4533</v>
      </c>
      <c r="B2261" s="1" t="s">
        <v>13334</v>
      </c>
      <c r="C2261" s="1" t="s">
        <v>13335</v>
      </c>
      <c r="D2261" s="1" t="s">
        <v>13336</v>
      </c>
    </row>
    <row r="2262" spans="1:4" x14ac:dyDescent="0.25">
      <c r="A2262" s="1" t="s">
        <v>4535</v>
      </c>
      <c r="B2262" s="1" t="s">
        <v>13337</v>
      </c>
      <c r="C2262" s="1" t="s">
        <v>13338</v>
      </c>
      <c r="D2262" s="1" t="s">
        <v>13339</v>
      </c>
    </row>
    <row r="2263" spans="1:4" x14ac:dyDescent="0.25">
      <c r="A2263" s="1" t="s">
        <v>4537</v>
      </c>
      <c r="B2263" s="1" t="s">
        <v>13340</v>
      </c>
      <c r="C2263" s="1" t="s">
        <v>13341</v>
      </c>
      <c r="D2263" s="1" t="s">
        <v>13342</v>
      </c>
    </row>
    <row r="2264" spans="1:4" x14ac:dyDescent="0.25">
      <c r="A2264" s="1" t="s">
        <v>4539</v>
      </c>
      <c r="B2264" s="1" t="s">
        <v>13343</v>
      </c>
      <c r="C2264" s="1" t="s">
        <v>13344</v>
      </c>
      <c r="D2264" s="1" t="s">
        <v>13345</v>
      </c>
    </row>
    <row r="2265" spans="1:4" x14ac:dyDescent="0.25">
      <c r="A2265" s="1" t="s">
        <v>4541</v>
      </c>
      <c r="B2265" s="1" t="s">
        <v>13346</v>
      </c>
      <c r="C2265" s="1" t="s">
        <v>13347</v>
      </c>
      <c r="D2265" s="1" t="s">
        <v>13348</v>
      </c>
    </row>
    <row r="2266" spans="1:4" x14ac:dyDescent="0.25">
      <c r="A2266" s="1" t="s">
        <v>4543</v>
      </c>
      <c r="B2266" s="1" t="s">
        <v>13349</v>
      </c>
      <c r="C2266" s="1" t="s">
        <v>13350</v>
      </c>
      <c r="D2266" s="1" t="s">
        <v>13351</v>
      </c>
    </row>
    <row r="2267" spans="1:4" x14ac:dyDescent="0.25">
      <c r="A2267" s="1" t="s">
        <v>4545</v>
      </c>
      <c r="B2267" s="1" t="s">
        <v>13352</v>
      </c>
      <c r="C2267" s="1" t="s">
        <v>13353</v>
      </c>
      <c r="D2267" s="1" t="s">
        <v>13354</v>
      </c>
    </row>
    <row r="2268" spans="1:4" x14ac:dyDescent="0.25">
      <c r="A2268" s="1" t="s">
        <v>4547</v>
      </c>
      <c r="B2268" s="1" t="s">
        <v>13355</v>
      </c>
      <c r="C2268" s="1" t="s">
        <v>13356</v>
      </c>
      <c r="D2268" s="1" t="s">
        <v>13357</v>
      </c>
    </row>
    <row r="2269" spans="1:4" x14ac:dyDescent="0.25">
      <c r="A2269" s="1" t="s">
        <v>4549</v>
      </c>
      <c r="B2269" s="1" t="s">
        <v>13358</v>
      </c>
      <c r="C2269" s="1" t="s">
        <v>13359</v>
      </c>
      <c r="D2269" s="1" t="s">
        <v>13360</v>
      </c>
    </row>
    <row r="2270" spans="1:4" x14ac:dyDescent="0.25">
      <c r="A2270" s="1" t="s">
        <v>4551</v>
      </c>
      <c r="B2270" s="1" t="s">
        <v>13361</v>
      </c>
      <c r="C2270" s="1" t="s">
        <v>13362</v>
      </c>
      <c r="D2270" s="1" t="s">
        <v>13363</v>
      </c>
    </row>
    <row r="2271" spans="1:4" x14ac:dyDescent="0.25">
      <c r="A2271" s="1" t="s">
        <v>4553</v>
      </c>
      <c r="B2271" s="1" t="s">
        <v>13364</v>
      </c>
      <c r="C2271" s="1" t="s">
        <v>13365</v>
      </c>
      <c r="D2271" s="1" t="s">
        <v>13366</v>
      </c>
    </row>
    <row r="2272" spans="1:4" x14ac:dyDescent="0.25">
      <c r="A2272" s="1" t="s">
        <v>4555</v>
      </c>
      <c r="B2272" s="1" t="s">
        <v>13367</v>
      </c>
      <c r="C2272" s="1" t="s">
        <v>13368</v>
      </c>
      <c r="D2272" s="1" t="s">
        <v>13369</v>
      </c>
    </row>
    <row r="2273" spans="1:4" x14ac:dyDescent="0.25">
      <c r="A2273" s="1" t="s">
        <v>4557</v>
      </c>
      <c r="B2273" s="1" t="s">
        <v>13370</v>
      </c>
      <c r="C2273" s="1" t="s">
        <v>13371</v>
      </c>
      <c r="D2273" s="1" t="s">
        <v>13372</v>
      </c>
    </row>
    <row r="2274" spans="1:4" x14ac:dyDescent="0.25">
      <c r="A2274" s="1" t="s">
        <v>4559</v>
      </c>
      <c r="B2274" s="1" t="s">
        <v>13373</v>
      </c>
      <c r="C2274" s="1" t="s">
        <v>13374</v>
      </c>
      <c r="D2274" s="1" t="s">
        <v>13375</v>
      </c>
    </row>
    <row r="2275" spans="1:4" x14ac:dyDescent="0.25">
      <c r="A2275" s="1" t="s">
        <v>4561</v>
      </c>
      <c r="B2275" s="1" t="s">
        <v>13376</v>
      </c>
      <c r="C2275" s="1" t="s">
        <v>13377</v>
      </c>
      <c r="D2275" s="1" t="s">
        <v>13378</v>
      </c>
    </row>
    <row r="2276" spans="1:4" x14ac:dyDescent="0.25">
      <c r="A2276" s="1" t="s">
        <v>4563</v>
      </c>
      <c r="B2276" s="1" t="s">
        <v>13379</v>
      </c>
      <c r="C2276" s="1" t="s">
        <v>13380</v>
      </c>
      <c r="D2276" s="1" t="s">
        <v>13381</v>
      </c>
    </row>
    <row r="2277" spans="1:4" x14ac:dyDescent="0.25">
      <c r="A2277" s="1" t="s">
        <v>4565</v>
      </c>
      <c r="B2277" s="1" t="s">
        <v>13382</v>
      </c>
      <c r="C2277" s="1" t="s">
        <v>13383</v>
      </c>
      <c r="D2277" s="1" t="s">
        <v>13384</v>
      </c>
    </row>
    <row r="2278" spans="1:4" x14ac:dyDescent="0.25">
      <c r="A2278" s="1" t="s">
        <v>4567</v>
      </c>
      <c r="B2278" s="1" t="s">
        <v>13385</v>
      </c>
      <c r="C2278" s="1" t="s">
        <v>13386</v>
      </c>
      <c r="D2278" s="1" t="s">
        <v>13387</v>
      </c>
    </row>
    <row r="2279" spans="1:4" x14ac:dyDescent="0.25">
      <c r="A2279" s="1" t="s">
        <v>4569</v>
      </c>
      <c r="B2279" s="1" t="s">
        <v>13388</v>
      </c>
      <c r="C2279" s="1" t="s">
        <v>13389</v>
      </c>
      <c r="D2279" s="1" t="s">
        <v>13390</v>
      </c>
    </row>
    <row r="2280" spans="1:4" x14ac:dyDescent="0.25">
      <c r="A2280" s="1" t="s">
        <v>4571</v>
      </c>
      <c r="B2280" s="1" t="s">
        <v>13391</v>
      </c>
      <c r="C2280" s="1" t="s">
        <v>13392</v>
      </c>
      <c r="D2280" s="1" t="s">
        <v>13393</v>
      </c>
    </row>
    <row r="2281" spans="1:4" x14ac:dyDescent="0.25">
      <c r="A2281" s="1" t="s">
        <v>4573</v>
      </c>
      <c r="B2281" s="1" t="s">
        <v>13394</v>
      </c>
      <c r="C2281" s="1" t="s">
        <v>13395</v>
      </c>
      <c r="D2281" s="1" t="s">
        <v>13396</v>
      </c>
    </row>
    <row r="2282" spans="1:4" x14ac:dyDescent="0.25">
      <c r="A2282" s="1" t="s">
        <v>4575</v>
      </c>
      <c r="B2282" s="1" t="s">
        <v>13397</v>
      </c>
      <c r="C2282" s="1" t="s">
        <v>13398</v>
      </c>
      <c r="D2282" s="1" t="s">
        <v>13399</v>
      </c>
    </row>
    <row r="2283" spans="1:4" x14ac:dyDescent="0.25">
      <c r="A2283" s="1" t="s">
        <v>4577</v>
      </c>
      <c r="B2283" s="1" t="s">
        <v>13400</v>
      </c>
      <c r="C2283" s="1" t="s">
        <v>13401</v>
      </c>
      <c r="D2283" s="1" t="s">
        <v>13402</v>
      </c>
    </row>
    <row r="2284" spans="1:4" x14ac:dyDescent="0.25">
      <c r="A2284" s="1" t="s">
        <v>4579</v>
      </c>
      <c r="B2284" s="1" t="s">
        <v>13403</v>
      </c>
      <c r="C2284" s="1" t="s">
        <v>13404</v>
      </c>
      <c r="D2284" s="1" t="s">
        <v>13405</v>
      </c>
    </row>
    <row r="2285" spans="1:4" x14ac:dyDescent="0.25">
      <c r="A2285" s="1" t="s">
        <v>4581</v>
      </c>
      <c r="B2285" s="1" t="s">
        <v>13406</v>
      </c>
      <c r="C2285" s="1" t="s">
        <v>13407</v>
      </c>
      <c r="D2285" s="1" t="s">
        <v>13408</v>
      </c>
    </row>
    <row r="2286" spans="1:4" x14ac:dyDescent="0.25">
      <c r="A2286" s="1" t="s">
        <v>4583</v>
      </c>
      <c r="B2286" s="1" t="s">
        <v>13409</v>
      </c>
      <c r="C2286" s="1" t="s">
        <v>13410</v>
      </c>
      <c r="D2286" s="1" t="s">
        <v>13411</v>
      </c>
    </row>
    <row r="2287" spans="1:4" x14ac:dyDescent="0.25">
      <c r="A2287" s="1" t="s">
        <v>4585</v>
      </c>
      <c r="B2287" s="1" t="s">
        <v>13412</v>
      </c>
      <c r="C2287" s="1" t="s">
        <v>13413</v>
      </c>
      <c r="D2287" s="1" t="s">
        <v>13414</v>
      </c>
    </row>
    <row r="2288" spans="1:4" x14ac:dyDescent="0.25">
      <c r="A2288" s="1" t="s">
        <v>4587</v>
      </c>
      <c r="B2288" s="1" t="s">
        <v>13415</v>
      </c>
      <c r="C2288" s="1" t="s">
        <v>13416</v>
      </c>
      <c r="D2288" s="1" t="s">
        <v>13417</v>
      </c>
    </row>
    <row r="2289" spans="1:4" x14ac:dyDescent="0.25">
      <c r="A2289" s="1" t="s">
        <v>4589</v>
      </c>
      <c r="B2289" s="1" t="s">
        <v>13418</v>
      </c>
      <c r="C2289" s="1" t="s">
        <v>13419</v>
      </c>
      <c r="D2289" s="1" t="s">
        <v>13420</v>
      </c>
    </row>
    <row r="2290" spans="1:4" x14ac:dyDescent="0.25">
      <c r="A2290" s="1" t="s">
        <v>4591</v>
      </c>
      <c r="B2290" s="1" t="s">
        <v>13421</v>
      </c>
      <c r="C2290" s="1" t="s">
        <v>13422</v>
      </c>
      <c r="D2290" s="1" t="s">
        <v>13423</v>
      </c>
    </row>
    <row r="2291" spans="1:4" x14ac:dyDescent="0.25">
      <c r="A2291" s="1" t="s">
        <v>4593</v>
      </c>
      <c r="B2291" s="1" t="s">
        <v>13424</v>
      </c>
      <c r="C2291" s="1" t="s">
        <v>13425</v>
      </c>
      <c r="D2291" s="1" t="s">
        <v>13426</v>
      </c>
    </row>
    <row r="2292" spans="1:4" x14ac:dyDescent="0.25">
      <c r="A2292" s="1" t="s">
        <v>4595</v>
      </c>
      <c r="B2292" s="1" t="s">
        <v>13427</v>
      </c>
      <c r="C2292" s="1" t="s">
        <v>13428</v>
      </c>
      <c r="D2292" s="1" t="s">
        <v>13429</v>
      </c>
    </row>
    <row r="2293" spans="1:4" x14ac:dyDescent="0.25">
      <c r="A2293" s="1" t="s">
        <v>4597</v>
      </c>
      <c r="B2293" s="1" t="s">
        <v>13430</v>
      </c>
      <c r="C2293" s="1" t="s">
        <v>13431</v>
      </c>
      <c r="D2293" s="1" t="s">
        <v>13432</v>
      </c>
    </row>
    <row r="2294" spans="1:4" x14ac:dyDescent="0.25">
      <c r="A2294" s="1" t="s">
        <v>4599</v>
      </c>
      <c r="B2294" s="1" t="s">
        <v>13433</v>
      </c>
      <c r="C2294" s="1" t="s">
        <v>13434</v>
      </c>
      <c r="D2294" s="1" t="s">
        <v>13435</v>
      </c>
    </row>
    <row r="2295" spans="1:4" x14ac:dyDescent="0.25">
      <c r="A2295" s="1" t="s">
        <v>4601</v>
      </c>
      <c r="B2295" s="1" t="s">
        <v>13436</v>
      </c>
      <c r="C2295" s="1" t="s">
        <v>13437</v>
      </c>
      <c r="D2295" s="1" t="s">
        <v>13438</v>
      </c>
    </row>
    <row r="2296" spans="1:4" x14ac:dyDescent="0.25">
      <c r="A2296" s="1" t="s">
        <v>4603</v>
      </c>
      <c r="B2296" s="1" t="s">
        <v>13439</v>
      </c>
      <c r="C2296" s="1" t="s">
        <v>13440</v>
      </c>
      <c r="D2296" s="1" t="s">
        <v>13441</v>
      </c>
    </row>
    <row r="2297" spans="1:4" x14ac:dyDescent="0.25">
      <c r="A2297" s="1" t="s">
        <v>4605</v>
      </c>
      <c r="B2297" s="1" t="s">
        <v>13442</v>
      </c>
      <c r="C2297" s="1" t="s">
        <v>13443</v>
      </c>
      <c r="D2297" s="1" t="s">
        <v>13444</v>
      </c>
    </row>
    <row r="2298" spans="1:4" x14ac:dyDescent="0.25">
      <c r="A2298" s="1" t="s">
        <v>4607</v>
      </c>
      <c r="B2298" s="1" t="s">
        <v>13445</v>
      </c>
      <c r="C2298" s="1" t="s">
        <v>13446</v>
      </c>
      <c r="D2298" s="1" t="s">
        <v>13447</v>
      </c>
    </row>
    <row r="2299" spans="1:4" x14ac:dyDescent="0.25">
      <c r="A2299" s="1" t="s">
        <v>4609</v>
      </c>
      <c r="B2299" s="1" t="s">
        <v>13448</v>
      </c>
      <c r="C2299" s="1" t="s">
        <v>13449</v>
      </c>
      <c r="D2299" s="1" t="s">
        <v>13450</v>
      </c>
    </row>
    <row r="2300" spans="1:4" x14ac:dyDescent="0.25">
      <c r="A2300" s="1" t="s">
        <v>4611</v>
      </c>
      <c r="B2300" s="1" t="s">
        <v>13451</v>
      </c>
      <c r="C2300" s="1" t="s">
        <v>13452</v>
      </c>
      <c r="D2300" s="1" t="s">
        <v>13453</v>
      </c>
    </row>
    <row r="2301" spans="1:4" x14ac:dyDescent="0.25">
      <c r="A2301" s="1" t="s">
        <v>4613</v>
      </c>
      <c r="B2301" s="1" t="s">
        <v>13454</v>
      </c>
      <c r="C2301" s="1" t="s">
        <v>13455</v>
      </c>
      <c r="D2301" s="1" t="s">
        <v>13456</v>
      </c>
    </row>
    <row r="2302" spans="1:4" x14ac:dyDescent="0.25">
      <c r="A2302" s="1" t="s">
        <v>4615</v>
      </c>
      <c r="B2302" s="1" t="s">
        <v>13457</v>
      </c>
      <c r="C2302" s="1" t="s">
        <v>13458</v>
      </c>
      <c r="D2302" s="1" t="s">
        <v>13459</v>
      </c>
    </row>
    <row r="2303" spans="1:4" x14ac:dyDescent="0.25">
      <c r="A2303" s="1" t="s">
        <v>4617</v>
      </c>
      <c r="B2303" s="1" t="s">
        <v>13460</v>
      </c>
      <c r="C2303" s="1" t="s">
        <v>13461</v>
      </c>
      <c r="D2303" s="1" t="s">
        <v>13462</v>
      </c>
    </row>
    <row r="2304" spans="1:4" x14ac:dyDescent="0.25">
      <c r="A2304" s="1" t="s">
        <v>4619</v>
      </c>
      <c r="B2304" s="1" t="s">
        <v>13463</v>
      </c>
      <c r="C2304" s="1" t="s">
        <v>13464</v>
      </c>
      <c r="D2304" s="1" t="s">
        <v>13465</v>
      </c>
    </row>
    <row r="2305" spans="1:4" x14ac:dyDescent="0.25">
      <c r="A2305" s="1" t="s">
        <v>4621</v>
      </c>
      <c r="B2305" s="1" t="s">
        <v>13466</v>
      </c>
      <c r="C2305" s="1" t="s">
        <v>13467</v>
      </c>
      <c r="D2305" s="1" t="s">
        <v>13468</v>
      </c>
    </row>
    <row r="2306" spans="1:4" x14ac:dyDescent="0.25">
      <c r="A2306" s="1" t="s">
        <v>4623</v>
      </c>
      <c r="B2306" s="1" t="s">
        <v>13469</v>
      </c>
      <c r="C2306" s="1" t="s">
        <v>13470</v>
      </c>
      <c r="D2306" s="1" t="s">
        <v>13471</v>
      </c>
    </row>
    <row r="2307" spans="1:4" x14ac:dyDescent="0.25">
      <c r="A2307" s="1" t="s">
        <v>4625</v>
      </c>
      <c r="B2307" s="1" t="s">
        <v>13472</v>
      </c>
      <c r="C2307" s="1" t="s">
        <v>13473</v>
      </c>
      <c r="D2307" s="1" t="s">
        <v>13474</v>
      </c>
    </row>
    <row r="2308" spans="1:4" x14ac:dyDescent="0.25">
      <c r="A2308" s="1" t="s">
        <v>4627</v>
      </c>
      <c r="B2308" s="1" t="s">
        <v>13475</v>
      </c>
      <c r="C2308" s="1" t="s">
        <v>13476</v>
      </c>
      <c r="D2308" s="1" t="s">
        <v>13477</v>
      </c>
    </row>
    <row r="2309" spans="1:4" x14ac:dyDescent="0.25">
      <c r="A2309" s="1" t="s">
        <v>4629</v>
      </c>
      <c r="B2309" s="1" t="s">
        <v>13478</v>
      </c>
      <c r="C2309" s="1" t="s">
        <v>13479</v>
      </c>
      <c r="D2309" s="1" t="s">
        <v>13480</v>
      </c>
    </row>
    <row r="2310" spans="1:4" x14ac:dyDescent="0.25">
      <c r="A2310" s="1" t="s">
        <v>4631</v>
      </c>
      <c r="B2310" s="1" t="s">
        <v>13481</v>
      </c>
      <c r="C2310" s="1" t="s">
        <v>13482</v>
      </c>
      <c r="D2310" s="1" t="s">
        <v>13483</v>
      </c>
    </row>
    <row r="2311" spans="1:4" x14ac:dyDescent="0.25">
      <c r="A2311" s="1" t="s">
        <v>4633</v>
      </c>
      <c r="B2311" s="1" t="s">
        <v>13484</v>
      </c>
      <c r="C2311" s="1" t="s">
        <v>13485</v>
      </c>
      <c r="D2311" s="1" t="s">
        <v>13486</v>
      </c>
    </row>
    <row r="2312" spans="1:4" x14ac:dyDescent="0.25">
      <c r="A2312" s="1" t="s">
        <v>4635</v>
      </c>
      <c r="B2312" s="1" t="s">
        <v>13487</v>
      </c>
      <c r="C2312" s="1" t="s">
        <v>13488</v>
      </c>
      <c r="D2312" s="1" t="s">
        <v>13489</v>
      </c>
    </row>
    <row r="2313" spans="1:4" x14ac:dyDescent="0.25">
      <c r="A2313" s="1" t="s">
        <v>4637</v>
      </c>
      <c r="B2313" s="1" t="s">
        <v>13490</v>
      </c>
      <c r="C2313" s="1" t="s">
        <v>13491</v>
      </c>
      <c r="D2313" s="1" t="s">
        <v>13492</v>
      </c>
    </row>
    <row r="2314" spans="1:4" x14ac:dyDescent="0.25">
      <c r="A2314" s="1" t="s">
        <v>4639</v>
      </c>
      <c r="B2314" s="1" t="s">
        <v>13493</v>
      </c>
      <c r="C2314" s="1" t="s">
        <v>13494</v>
      </c>
      <c r="D2314" s="1" t="s">
        <v>13495</v>
      </c>
    </row>
    <row r="2315" spans="1:4" x14ac:dyDescent="0.25">
      <c r="A2315" s="1" t="s">
        <v>4641</v>
      </c>
      <c r="B2315" s="1" t="s">
        <v>13496</v>
      </c>
      <c r="C2315" s="1" t="s">
        <v>13497</v>
      </c>
      <c r="D2315" s="1" t="s">
        <v>13498</v>
      </c>
    </row>
    <row r="2316" spans="1:4" x14ac:dyDescent="0.25">
      <c r="A2316" s="1" t="s">
        <v>4643</v>
      </c>
      <c r="B2316" s="1" t="s">
        <v>13499</v>
      </c>
      <c r="C2316" s="1" t="s">
        <v>13500</v>
      </c>
      <c r="D2316" s="1" t="s">
        <v>13501</v>
      </c>
    </row>
    <row r="2317" spans="1:4" x14ac:dyDescent="0.25">
      <c r="A2317" s="1" t="s">
        <v>4645</v>
      </c>
      <c r="B2317" s="1" t="s">
        <v>13502</v>
      </c>
      <c r="C2317" s="1" t="s">
        <v>13503</v>
      </c>
      <c r="D2317" s="1" t="s">
        <v>13504</v>
      </c>
    </row>
    <row r="2318" spans="1:4" x14ac:dyDescent="0.25">
      <c r="A2318" s="1" t="s">
        <v>4647</v>
      </c>
      <c r="B2318" s="1" t="s">
        <v>13505</v>
      </c>
      <c r="C2318" s="1" t="s">
        <v>13506</v>
      </c>
      <c r="D2318" s="1" t="s">
        <v>13507</v>
      </c>
    </row>
    <row r="2319" spans="1:4" x14ac:dyDescent="0.25">
      <c r="A2319" s="1" t="s">
        <v>4649</v>
      </c>
      <c r="B2319" s="1" t="s">
        <v>13508</v>
      </c>
      <c r="C2319" s="1" t="s">
        <v>13509</v>
      </c>
      <c r="D2319" s="1" t="s">
        <v>13510</v>
      </c>
    </row>
    <row r="2320" spans="1:4" x14ac:dyDescent="0.25">
      <c r="A2320" s="1" t="s">
        <v>4651</v>
      </c>
      <c r="B2320" s="1" t="s">
        <v>13511</v>
      </c>
      <c r="C2320" s="1" t="s">
        <v>13512</v>
      </c>
      <c r="D2320" s="1" t="s">
        <v>13513</v>
      </c>
    </row>
    <row r="2321" spans="1:4" x14ac:dyDescent="0.25">
      <c r="A2321" s="1" t="s">
        <v>4653</v>
      </c>
      <c r="B2321" s="1" t="s">
        <v>13514</v>
      </c>
      <c r="C2321" s="1" t="s">
        <v>13515</v>
      </c>
      <c r="D2321" s="1" t="s">
        <v>13516</v>
      </c>
    </row>
    <row r="2322" spans="1:4" x14ac:dyDescent="0.25">
      <c r="A2322" s="1" t="s">
        <v>4655</v>
      </c>
      <c r="B2322" s="1" t="s">
        <v>13517</v>
      </c>
      <c r="C2322" s="1" t="s">
        <v>13518</v>
      </c>
      <c r="D2322" s="1" t="s">
        <v>13519</v>
      </c>
    </row>
    <row r="2323" spans="1:4" x14ac:dyDescent="0.25">
      <c r="A2323" s="1" t="s">
        <v>4657</v>
      </c>
      <c r="B2323" s="1" t="s">
        <v>13520</v>
      </c>
      <c r="C2323" s="1" t="s">
        <v>13521</v>
      </c>
      <c r="D2323" s="1" t="s">
        <v>13522</v>
      </c>
    </row>
    <row r="2324" spans="1:4" x14ac:dyDescent="0.25">
      <c r="A2324" s="1" t="s">
        <v>4659</v>
      </c>
      <c r="B2324" s="1" t="s">
        <v>13523</v>
      </c>
      <c r="C2324" s="1" t="s">
        <v>13524</v>
      </c>
      <c r="D2324" s="1" t="s">
        <v>13525</v>
      </c>
    </row>
    <row r="2325" spans="1:4" x14ac:dyDescent="0.25">
      <c r="A2325" s="1" t="s">
        <v>4661</v>
      </c>
      <c r="B2325" s="1" t="s">
        <v>13526</v>
      </c>
      <c r="C2325" s="1" t="s">
        <v>13527</v>
      </c>
      <c r="D2325" s="1" t="s">
        <v>13528</v>
      </c>
    </row>
    <row r="2326" spans="1:4" x14ac:dyDescent="0.25">
      <c r="A2326" s="1" t="s">
        <v>4663</v>
      </c>
      <c r="B2326" s="1" t="s">
        <v>13529</v>
      </c>
      <c r="C2326" s="1" t="s">
        <v>13530</v>
      </c>
      <c r="D2326" s="1" t="s">
        <v>13531</v>
      </c>
    </row>
    <row r="2327" spans="1:4" x14ac:dyDescent="0.25">
      <c r="A2327" s="1" t="s">
        <v>4665</v>
      </c>
      <c r="B2327" s="1" t="s">
        <v>13532</v>
      </c>
      <c r="C2327" s="1" t="s">
        <v>13533</v>
      </c>
      <c r="D2327" s="1" t="s">
        <v>13534</v>
      </c>
    </row>
    <row r="2328" spans="1:4" x14ac:dyDescent="0.25">
      <c r="A2328" s="1" t="s">
        <v>4667</v>
      </c>
      <c r="B2328" s="1" t="s">
        <v>13535</v>
      </c>
      <c r="C2328" s="1" t="s">
        <v>13536</v>
      </c>
      <c r="D2328" s="1" t="s">
        <v>13537</v>
      </c>
    </row>
    <row r="2329" spans="1:4" x14ac:dyDescent="0.25">
      <c r="A2329" s="1" t="s">
        <v>4669</v>
      </c>
      <c r="B2329" s="1" t="s">
        <v>13538</v>
      </c>
      <c r="C2329" s="1" t="s">
        <v>13539</v>
      </c>
      <c r="D2329" s="1" t="s">
        <v>13540</v>
      </c>
    </row>
    <row r="2330" spans="1:4" x14ac:dyDescent="0.25">
      <c r="A2330" s="1" t="s">
        <v>4671</v>
      </c>
      <c r="B2330" s="1" t="s">
        <v>13541</v>
      </c>
      <c r="C2330" s="1" t="s">
        <v>13542</v>
      </c>
      <c r="D2330" s="1" t="s">
        <v>13543</v>
      </c>
    </row>
    <row r="2331" spans="1:4" x14ac:dyDescent="0.25">
      <c r="A2331" s="1" t="s">
        <v>4673</v>
      </c>
      <c r="B2331" s="1" t="s">
        <v>13544</v>
      </c>
      <c r="C2331" s="1" t="s">
        <v>13545</v>
      </c>
      <c r="D2331" s="1" t="s">
        <v>13546</v>
      </c>
    </row>
    <row r="2332" spans="1:4" x14ac:dyDescent="0.25">
      <c r="A2332" s="1" t="s">
        <v>4675</v>
      </c>
      <c r="B2332" s="1" t="s">
        <v>13547</v>
      </c>
      <c r="C2332" s="1" t="s">
        <v>13548</v>
      </c>
      <c r="D2332" s="1" t="s">
        <v>13549</v>
      </c>
    </row>
    <row r="2333" spans="1:4" x14ac:dyDescent="0.25">
      <c r="A2333" s="1" t="s">
        <v>4677</v>
      </c>
      <c r="B2333" s="1" t="s">
        <v>13550</v>
      </c>
      <c r="C2333" s="1" t="s">
        <v>13551</v>
      </c>
      <c r="D2333" s="1" t="s">
        <v>13552</v>
      </c>
    </row>
    <row r="2334" spans="1:4" x14ac:dyDescent="0.25">
      <c r="A2334" s="1" t="s">
        <v>4679</v>
      </c>
      <c r="B2334" s="1" t="s">
        <v>13553</v>
      </c>
      <c r="C2334" s="1" t="s">
        <v>13554</v>
      </c>
      <c r="D2334" s="1" t="s">
        <v>13555</v>
      </c>
    </row>
    <row r="2335" spans="1:4" x14ac:dyDescent="0.25">
      <c r="A2335" s="1" t="s">
        <v>4681</v>
      </c>
      <c r="B2335" s="1" t="s">
        <v>13556</v>
      </c>
      <c r="C2335" s="1" t="s">
        <v>13557</v>
      </c>
      <c r="D2335" s="1" t="s">
        <v>13558</v>
      </c>
    </row>
    <row r="2336" spans="1:4" x14ac:dyDescent="0.25">
      <c r="A2336" s="1" t="s">
        <v>4683</v>
      </c>
      <c r="B2336" s="1" t="s">
        <v>13559</v>
      </c>
      <c r="C2336" s="1" t="s">
        <v>13560</v>
      </c>
      <c r="D2336" s="1" t="s">
        <v>13561</v>
      </c>
    </row>
    <row r="2337" spans="1:4" x14ac:dyDescent="0.25">
      <c r="A2337" s="1" t="s">
        <v>4685</v>
      </c>
      <c r="B2337" s="1" t="s">
        <v>13562</v>
      </c>
      <c r="C2337" s="1" t="s">
        <v>13563</v>
      </c>
      <c r="D2337" s="1" t="s">
        <v>13564</v>
      </c>
    </row>
    <row r="2338" spans="1:4" x14ac:dyDescent="0.25">
      <c r="A2338" s="1" t="s">
        <v>4687</v>
      </c>
      <c r="B2338" s="1" t="s">
        <v>13565</v>
      </c>
      <c r="C2338" s="1" t="s">
        <v>13566</v>
      </c>
      <c r="D2338" s="1" t="s">
        <v>13567</v>
      </c>
    </row>
    <row r="2339" spans="1:4" x14ac:dyDescent="0.25">
      <c r="A2339" s="1" t="s">
        <v>4689</v>
      </c>
      <c r="B2339" s="1" t="s">
        <v>13568</v>
      </c>
      <c r="C2339" s="1" t="s">
        <v>13569</v>
      </c>
      <c r="D2339" s="1" t="s">
        <v>13570</v>
      </c>
    </row>
    <row r="2340" spans="1:4" x14ac:dyDescent="0.25">
      <c r="A2340" s="1" t="s">
        <v>4691</v>
      </c>
      <c r="B2340" s="1" t="s">
        <v>13571</v>
      </c>
      <c r="C2340" s="1" t="s">
        <v>13572</v>
      </c>
      <c r="D2340" s="1" t="s">
        <v>13573</v>
      </c>
    </row>
    <row r="2341" spans="1:4" x14ac:dyDescent="0.25">
      <c r="A2341" s="1" t="s">
        <v>4693</v>
      </c>
      <c r="B2341" s="1" t="s">
        <v>13574</v>
      </c>
      <c r="C2341" s="1" t="s">
        <v>13575</v>
      </c>
      <c r="D2341" s="1" t="s">
        <v>13576</v>
      </c>
    </row>
    <row r="2342" spans="1:4" x14ac:dyDescent="0.25">
      <c r="A2342" s="1" t="s">
        <v>4695</v>
      </c>
      <c r="B2342" s="1" t="s">
        <v>13577</v>
      </c>
      <c r="C2342" s="1" t="s">
        <v>13578</v>
      </c>
      <c r="D2342" s="1" t="s">
        <v>13579</v>
      </c>
    </row>
    <row r="2343" spans="1:4" x14ac:dyDescent="0.25">
      <c r="A2343" s="1" t="s">
        <v>4697</v>
      </c>
      <c r="B2343" s="1" t="s">
        <v>13580</v>
      </c>
      <c r="C2343" s="1" t="s">
        <v>13581</v>
      </c>
      <c r="D2343" s="1" t="s">
        <v>13582</v>
      </c>
    </row>
    <row r="2344" spans="1:4" x14ac:dyDescent="0.25">
      <c r="A2344" s="1" t="s">
        <v>4699</v>
      </c>
      <c r="B2344" s="1" t="s">
        <v>13583</v>
      </c>
      <c r="C2344" s="1" t="s">
        <v>13584</v>
      </c>
      <c r="D2344" s="1" t="s">
        <v>13585</v>
      </c>
    </row>
    <row r="2345" spans="1:4" x14ac:dyDescent="0.25">
      <c r="A2345" s="1" t="s">
        <v>4701</v>
      </c>
      <c r="B2345" s="1" t="s">
        <v>13586</v>
      </c>
      <c r="C2345" s="1" t="s">
        <v>13587</v>
      </c>
      <c r="D2345" s="1" t="s">
        <v>13588</v>
      </c>
    </row>
    <row r="2346" spans="1:4" x14ac:dyDescent="0.25">
      <c r="A2346" s="1" t="s">
        <v>4703</v>
      </c>
      <c r="B2346" s="1" t="s">
        <v>13589</v>
      </c>
      <c r="C2346" s="1" t="s">
        <v>13590</v>
      </c>
      <c r="D2346" s="1" t="s">
        <v>13591</v>
      </c>
    </row>
    <row r="2347" spans="1:4" x14ac:dyDescent="0.25">
      <c r="A2347" s="1" t="s">
        <v>4705</v>
      </c>
      <c r="B2347" s="1" t="s">
        <v>13592</v>
      </c>
      <c r="C2347" s="1" t="s">
        <v>13593</v>
      </c>
      <c r="D2347" s="1" t="s">
        <v>13594</v>
      </c>
    </row>
    <row r="2348" spans="1:4" x14ac:dyDescent="0.25">
      <c r="A2348" s="1" t="s">
        <v>4707</v>
      </c>
      <c r="B2348" s="1" t="s">
        <v>13595</v>
      </c>
      <c r="C2348" s="1" t="s">
        <v>13596</v>
      </c>
      <c r="D2348" s="1" t="s">
        <v>13597</v>
      </c>
    </row>
    <row r="2349" spans="1:4" x14ac:dyDescent="0.25">
      <c r="A2349" s="1" t="s">
        <v>4709</v>
      </c>
      <c r="B2349" s="1" t="s">
        <v>13598</v>
      </c>
      <c r="C2349" s="1" t="s">
        <v>13599</v>
      </c>
      <c r="D2349" s="1" t="s">
        <v>13600</v>
      </c>
    </row>
    <row r="2350" spans="1:4" x14ac:dyDescent="0.25">
      <c r="A2350" s="1" t="s">
        <v>4711</v>
      </c>
      <c r="B2350" s="1" t="s">
        <v>13601</v>
      </c>
      <c r="C2350" s="1" t="s">
        <v>13602</v>
      </c>
      <c r="D2350" s="1" t="s">
        <v>13603</v>
      </c>
    </row>
    <row r="2351" spans="1:4" x14ac:dyDescent="0.25">
      <c r="A2351" s="1" t="s">
        <v>4713</v>
      </c>
      <c r="B2351" s="1" t="s">
        <v>13604</v>
      </c>
      <c r="C2351" s="1" t="s">
        <v>13605</v>
      </c>
      <c r="D2351" s="1" t="s">
        <v>13606</v>
      </c>
    </row>
    <row r="2352" spans="1:4" x14ac:dyDescent="0.25">
      <c r="A2352" s="1" t="s">
        <v>4715</v>
      </c>
      <c r="B2352" s="1" t="s">
        <v>13607</v>
      </c>
      <c r="C2352" s="1" t="s">
        <v>13608</v>
      </c>
      <c r="D2352" s="1" t="s">
        <v>13609</v>
      </c>
    </row>
    <row r="2353" spans="1:4" x14ac:dyDescent="0.25">
      <c r="A2353" s="1" t="s">
        <v>4717</v>
      </c>
      <c r="B2353" s="1" t="s">
        <v>13610</v>
      </c>
      <c r="C2353" s="1" t="s">
        <v>13611</v>
      </c>
      <c r="D2353" s="1" t="s">
        <v>13612</v>
      </c>
    </row>
    <row r="2354" spans="1:4" x14ac:dyDescent="0.25">
      <c r="A2354" s="1" t="s">
        <v>4719</v>
      </c>
      <c r="B2354" s="1" t="s">
        <v>13613</v>
      </c>
      <c r="C2354" s="1" t="s">
        <v>13614</v>
      </c>
      <c r="D2354" s="1" t="s">
        <v>13615</v>
      </c>
    </row>
    <row r="2355" spans="1:4" x14ac:dyDescent="0.25">
      <c r="A2355" s="1" t="s">
        <v>4721</v>
      </c>
      <c r="B2355" s="1" t="s">
        <v>13616</v>
      </c>
      <c r="C2355" s="1" t="s">
        <v>13617</v>
      </c>
      <c r="D2355" s="1" t="s">
        <v>13618</v>
      </c>
    </row>
    <row r="2356" spans="1:4" x14ac:dyDescent="0.25">
      <c r="A2356" s="1" t="s">
        <v>4723</v>
      </c>
      <c r="B2356" s="1" t="s">
        <v>13619</v>
      </c>
      <c r="C2356" s="1" t="s">
        <v>13620</v>
      </c>
      <c r="D2356" s="1" t="s">
        <v>13621</v>
      </c>
    </row>
    <row r="2357" spans="1:4" x14ac:dyDescent="0.25">
      <c r="A2357" s="1" t="s">
        <v>4725</v>
      </c>
      <c r="B2357" s="1" t="s">
        <v>13622</v>
      </c>
      <c r="C2357" s="1" t="s">
        <v>13623</v>
      </c>
      <c r="D2357" s="1" t="s">
        <v>13624</v>
      </c>
    </row>
    <row r="2358" spans="1:4" x14ac:dyDescent="0.25">
      <c r="A2358" s="1" t="s">
        <v>4727</v>
      </c>
      <c r="B2358" s="1" t="s">
        <v>13625</v>
      </c>
      <c r="C2358" s="1" t="s">
        <v>13626</v>
      </c>
      <c r="D2358" s="1" t="s">
        <v>13627</v>
      </c>
    </row>
    <row r="2359" spans="1:4" x14ac:dyDescent="0.25">
      <c r="A2359" s="1" t="s">
        <v>4729</v>
      </c>
      <c r="B2359" s="1" t="s">
        <v>13628</v>
      </c>
      <c r="C2359" s="1" t="s">
        <v>13629</v>
      </c>
      <c r="D2359" s="1" t="s">
        <v>13630</v>
      </c>
    </row>
    <row r="2360" spans="1:4" x14ac:dyDescent="0.25">
      <c r="A2360" s="1" t="s">
        <v>4731</v>
      </c>
      <c r="B2360" s="1" t="s">
        <v>13631</v>
      </c>
      <c r="C2360" s="1" t="s">
        <v>13632</v>
      </c>
      <c r="D2360" s="1" t="s">
        <v>13633</v>
      </c>
    </row>
    <row r="2361" spans="1:4" x14ac:dyDescent="0.25">
      <c r="A2361" s="1" t="s">
        <v>4733</v>
      </c>
      <c r="B2361" s="1" t="s">
        <v>13634</v>
      </c>
      <c r="C2361" s="1" t="s">
        <v>13635</v>
      </c>
      <c r="D2361" s="1" t="s">
        <v>13636</v>
      </c>
    </row>
    <row r="2362" spans="1:4" x14ac:dyDescent="0.25">
      <c r="A2362" s="1" t="s">
        <v>4735</v>
      </c>
      <c r="B2362" s="1" t="s">
        <v>13637</v>
      </c>
      <c r="C2362" s="1" t="s">
        <v>13638</v>
      </c>
      <c r="D2362" s="1" t="s">
        <v>13639</v>
      </c>
    </row>
    <row r="2363" spans="1:4" x14ac:dyDescent="0.25">
      <c r="A2363" s="1" t="s">
        <v>4737</v>
      </c>
      <c r="B2363" s="1" t="s">
        <v>13640</v>
      </c>
      <c r="C2363" s="1" t="s">
        <v>13641</v>
      </c>
      <c r="D2363" s="1" t="s">
        <v>13642</v>
      </c>
    </row>
    <row r="2364" spans="1:4" x14ac:dyDescent="0.25">
      <c r="A2364" s="1" t="s">
        <v>4739</v>
      </c>
      <c r="B2364" s="1" t="s">
        <v>13643</v>
      </c>
      <c r="C2364" s="1" t="s">
        <v>13644</v>
      </c>
      <c r="D2364" s="1" t="s">
        <v>13645</v>
      </c>
    </row>
    <row r="2365" spans="1:4" x14ac:dyDescent="0.25">
      <c r="A2365" s="1" t="s">
        <v>4741</v>
      </c>
      <c r="B2365" s="1" t="s">
        <v>13646</v>
      </c>
      <c r="C2365" s="1" t="s">
        <v>13647</v>
      </c>
      <c r="D2365" s="1" t="s">
        <v>13648</v>
      </c>
    </row>
    <row r="2366" spans="1:4" x14ac:dyDescent="0.25">
      <c r="A2366" s="1" t="s">
        <v>4743</v>
      </c>
      <c r="B2366" s="1" t="s">
        <v>13649</v>
      </c>
      <c r="C2366" s="1" t="s">
        <v>13650</v>
      </c>
      <c r="D2366" s="1" t="s">
        <v>13651</v>
      </c>
    </row>
    <row r="2367" spans="1:4" x14ac:dyDescent="0.25">
      <c r="A2367" s="1" t="s">
        <v>4745</v>
      </c>
      <c r="B2367" s="1" t="s">
        <v>13652</v>
      </c>
      <c r="C2367" s="1" t="s">
        <v>13653</v>
      </c>
      <c r="D2367" s="1" t="s">
        <v>13654</v>
      </c>
    </row>
    <row r="2368" spans="1:4" x14ac:dyDescent="0.25">
      <c r="A2368" s="1" t="s">
        <v>4747</v>
      </c>
      <c r="B2368" s="1" t="s">
        <v>13655</v>
      </c>
      <c r="C2368" s="1" t="s">
        <v>13656</v>
      </c>
      <c r="D2368" s="1" t="s">
        <v>13657</v>
      </c>
    </row>
    <row r="2369" spans="1:4" x14ac:dyDescent="0.25">
      <c r="A2369" s="1" t="s">
        <v>4749</v>
      </c>
      <c r="B2369" s="1" t="s">
        <v>13658</v>
      </c>
      <c r="C2369" s="1" t="s">
        <v>13659</v>
      </c>
      <c r="D2369" s="1" t="s">
        <v>13660</v>
      </c>
    </row>
    <row r="2370" spans="1:4" x14ac:dyDescent="0.25">
      <c r="A2370" s="1" t="s">
        <v>4751</v>
      </c>
      <c r="B2370" s="1" t="s">
        <v>13661</v>
      </c>
      <c r="C2370" s="1" t="s">
        <v>13662</v>
      </c>
      <c r="D2370" s="1" t="s">
        <v>13663</v>
      </c>
    </row>
    <row r="2371" spans="1:4" x14ac:dyDescent="0.25">
      <c r="A2371" s="1" t="s">
        <v>4753</v>
      </c>
      <c r="B2371" s="1" t="s">
        <v>13664</v>
      </c>
      <c r="C2371" s="1" t="s">
        <v>13665</v>
      </c>
      <c r="D2371" s="1" t="s">
        <v>13666</v>
      </c>
    </row>
    <row r="2372" spans="1:4" x14ac:dyDescent="0.25">
      <c r="A2372" s="1" t="s">
        <v>4755</v>
      </c>
      <c r="B2372" s="1" t="s">
        <v>13667</v>
      </c>
      <c r="C2372" s="1" t="s">
        <v>13668</v>
      </c>
      <c r="D2372" s="1" t="s">
        <v>13669</v>
      </c>
    </row>
    <row r="2373" spans="1:4" x14ac:dyDescent="0.25">
      <c r="A2373" s="1" t="s">
        <v>4757</v>
      </c>
      <c r="B2373" s="1" t="s">
        <v>13670</v>
      </c>
      <c r="C2373" s="1" t="s">
        <v>13671</v>
      </c>
      <c r="D2373" s="1" t="s">
        <v>13672</v>
      </c>
    </row>
    <row r="2374" spans="1:4" x14ac:dyDescent="0.25">
      <c r="A2374" s="1" t="s">
        <v>4759</v>
      </c>
      <c r="B2374" s="1" t="s">
        <v>13673</v>
      </c>
      <c r="C2374" s="1" t="s">
        <v>13674</v>
      </c>
      <c r="D2374" s="1" t="s">
        <v>13675</v>
      </c>
    </row>
    <row r="2375" spans="1:4" x14ac:dyDescent="0.25">
      <c r="A2375" s="1" t="s">
        <v>4761</v>
      </c>
      <c r="B2375" s="1" t="s">
        <v>13676</v>
      </c>
      <c r="C2375" s="1" t="s">
        <v>13677</v>
      </c>
      <c r="D2375" s="1" t="s">
        <v>13678</v>
      </c>
    </row>
    <row r="2376" spans="1:4" x14ac:dyDescent="0.25">
      <c r="A2376" s="1" t="s">
        <v>4763</v>
      </c>
      <c r="B2376" s="1" t="s">
        <v>13679</v>
      </c>
      <c r="C2376" s="1" t="s">
        <v>13680</v>
      </c>
      <c r="D2376" s="1" t="s">
        <v>13681</v>
      </c>
    </row>
    <row r="2377" spans="1:4" x14ac:dyDescent="0.25">
      <c r="A2377" s="1" t="s">
        <v>4765</v>
      </c>
      <c r="B2377" s="1" t="s">
        <v>13682</v>
      </c>
      <c r="C2377" s="1" t="s">
        <v>13683</v>
      </c>
      <c r="D2377" s="1" t="s">
        <v>13684</v>
      </c>
    </row>
    <row r="2378" spans="1:4" x14ac:dyDescent="0.25">
      <c r="A2378" s="1" t="s">
        <v>4767</v>
      </c>
      <c r="B2378" s="1" t="s">
        <v>13685</v>
      </c>
      <c r="C2378" s="1" t="s">
        <v>13686</v>
      </c>
      <c r="D2378" s="1" t="s">
        <v>13687</v>
      </c>
    </row>
    <row r="2379" spans="1:4" x14ac:dyDescent="0.25">
      <c r="A2379" s="1" t="s">
        <v>4769</v>
      </c>
      <c r="B2379" s="1" t="s">
        <v>13688</v>
      </c>
      <c r="C2379" s="1" t="s">
        <v>13689</v>
      </c>
      <c r="D2379" s="1" t="s">
        <v>13690</v>
      </c>
    </row>
    <row r="2380" spans="1:4" x14ac:dyDescent="0.25">
      <c r="A2380" s="1" t="s">
        <v>4771</v>
      </c>
      <c r="B2380" s="1" t="s">
        <v>13691</v>
      </c>
      <c r="C2380" s="1" t="s">
        <v>13692</v>
      </c>
      <c r="D2380" s="1" t="s">
        <v>13693</v>
      </c>
    </row>
    <row r="2381" spans="1:4" x14ac:dyDescent="0.25">
      <c r="A2381" s="1" t="s">
        <v>4773</v>
      </c>
      <c r="B2381" s="1" t="s">
        <v>13694</v>
      </c>
      <c r="C2381" s="1" t="s">
        <v>13695</v>
      </c>
      <c r="D2381" s="1" t="s">
        <v>13696</v>
      </c>
    </row>
    <row r="2382" spans="1:4" x14ac:dyDescent="0.25">
      <c r="A2382" s="1" t="s">
        <v>4775</v>
      </c>
      <c r="B2382" s="1" t="s">
        <v>13697</v>
      </c>
      <c r="C2382" s="1" t="s">
        <v>13698</v>
      </c>
      <c r="D2382" s="1" t="s">
        <v>13699</v>
      </c>
    </row>
    <row r="2383" spans="1:4" x14ac:dyDescent="0.25">
      <c r="A2383" s="1" t="s">
        <v>4777</v>
      </c>
      <c r="B2383" s="1" t="s">
        <v>13700</v>
      </c>
      <c r="C2383" s="1" t="s">
        <v>13701</v>
      </c>
      <c r="D2383" s="1" t="s">
        <v>13702</v>
      </c>
    </row>
    <row r="2384" spans="1:4" x14ac:dyDescent="0.25">
      <c r="A2384" s="1" t="s">
        <v>4779</v>
      </c>
      <c r="B2384" s="1" t="s">
        <v>13703</v>
      </c>
      <c r="C2384" s="1" t="s">
        <v>13704</v>
      </c>
      <c r="D2384" s="1" t="s">
        <v>13705</v>
      </c>
    </row>
    <row r="2385" spans="1:4" x14ac:dyDescent="0.25">
      <c r="A2385" s="1" t="s">
        <v>4781</v>
      </c>
      <c r="B2385" s="1" t="s">
        <v>13706</v>
      </c>
      <c r="C2385" s="1" t="s">
        <v>13707</v>
      </c>
      <c r="D2385" s="1" t="s">
        <v>13708</v>
      </c>
    </row>
    <row r="2386" spans="1:4" x14ac:dyDescent="0.25">
      <c r="A2386" s="1" t="s">
        <v>4783</v>
      </c>
      <c r="B2386" s="1" t="s">
        <v>13709</v>
      </c>
      <c r="C2386" s="1" t="s">
        <v>13710</v>
      </c>
      <c r="D2386" s="1" t="s">
        <v>13711</v>
      </c>
    </row>
    <row r="2387" spans="1:4" x14ac:dyDescent="0.25">
      <c r="A2387" s="1" t="s">
        <v>4785</v>
      </c>
      <c r="B2387" s="1" t="s">
        <v>13712</v>
      </c>
      <c r="C2387" s="1" t="s">
        <v>13713</v>
      </c>
      <c r="D2387" s="1" t="s">
        <v>13714</v>
      </c>
    </row>
    <row r="2388" spans="1:4" x14ac:dyDescent="0.25">
      <c r="A2388" s="1" t="s">
        <v>4787</v>
      </c>
      <c r="B2388" s="1" t="s">
        <v>13715</v>
      </c>
      <c r="C2388" s="1" t="s">
        <v>13716</v>
      </c>
      <c r="D2388" s="1" t="s">
        <v>13717</v>
      </c>
    </row>
    <row r="2389" spans="1:4" x14ac:dyDescent="0.25">
      <c r="A2389" s="1" t="s">
        <v>4789</v>
      </c>
      <c r="B2389" s="1" t="s">
        <v>13718</v>
      </c>
      <c r="C2389" s="1" t="s">
        <v>13719</v>
      </c>
      <c r="D2389" s="1" t="s">
        <v>13720</v>
      </c>
    </row>
    <row r="2390" spans="1:4" x14ac:dyDescent="0.25">
      <c r="A2390" s="1" t="s">
        <v>4791</v>
      </c>
      <c r="B2390" s="1" t="s">
        <v>13721</v>
      </c>
      <c r="C2390" s="1" t="s">
        <v>13722</v>
      </c>
      <c r="D2390" s="1" t="s">
        <v>13723</v>
      </c>
    </row>
    <row r="2391" spans="1:4" x14ac:dyDescent="0.25">
      <c r="A2391" s="1" t="s">
        <v>4793</v>
      </c>
      <c r="B2391" s="1" t="s">
        <v>13724</v>
      </c>
      <c r="C2391" s="1" t="s">
        <v>13725</v>
      </c>
      <c r="D2391" s="1" t="s">
        <v>13726</v>
      </c>
    </row>
    <row r="2392" spans="1:4" x14ac:dyDescent="0.25">
      <c r="A2392" s="1" t="s">
        <v>4795</v>
      </c>
      <c r="B2392" s="1" t="s">
        <v>13727</v>
      </c>
      <c r="C2392" s="1" t="s">
        <v>13728</v>
      </c>
      <c r="D2392" s="1" t="s">
        <v>13729</v>
      </c>
    </row>
    <row r="2393" spans="1:4" x14ac:dyDescent="0.25">
      <c r="A2393" s="1" t="s">
        <v>4797</v>
      </c>
      <c r="B2393" s="1" t="s">
        <v>13730</v>
      </c>
      <c r="C2393" s="1" t="s">
        <v>13731</v>
      </c>
      <c r="D2393" s="1" t="s">
        <v>13732</v>
      </c>
    </row>
    <row r="2394" spans="1:4" x14ac:dyDescent="0.25">
      <c r="A2394" s="1" t="s">
        <v>4799</v>
      </c>
      <c r="B2394" s="1" t="s">
        <v>13733</v>
      </c>
      <c r="C2394" s="1" t="s">
        <v>13734</v>
      </c>
      <c r="D2394" s="1" t="s">
        <v>13735</v>
      </c>
    </row>
    <row r="2395" spans="1:4" x14ac:dyDescent="0.25">
      <c r="A2395" s="1" t="s">
        <v>4801</v>
      </c>
      <c r="B2395" s="1" t="s">
        <v>13736</v>
      </c>
      <c r="C2395" s="1" t="s">
        <v>13737</v>
      </c>
      <c r="D2395" s="1" t="s">
        <v>13738</v>
      </c>
    </row>
    <row r="2396" spans="1:4" x14ac:dyDescent="0.25">
      <c r="A2396" s="1" t="s">
        <v>4803</v>
      </c>
      <c r="B2396" s="1" t="s">
        <v>13739</v>
      </c>
      <c r="C2396" s="1" t="s">
        <v>13740</v>
      </c>
      <c r="D2396" s="1" t="s">
        <v>13741</v>
      </c>
    </row>
    <row r="2397" spans="1:4" x14ac:dyDescent="0.25">
      <c r="A2397" s="1" t="s">
        <v>4805</v>
      </c>
      <c r="B2397" s="1" t="s">
        <v>13742</v>
      </c>
      <c r="C2397" s="1" t="s">
        <v>13743</v>
      </c>
      <c r="D2397" s="1" t="s">
        <v>13744</v>
      </c>
    </row>
    <row r="2398" spans="1:4" x14ac:dyDescent="0.25">
      <c r="A2398" s="1" t="s">
        <v>4807</v>
      </c>
      <c r="B2398" s="1" t="s">
        <v>13745</v>
      </c>
      <c r="C2398" s="1" t="s">
        <v>13746</v>
      </c>
      <c r="D2398" s="1" t="s">
        <v>13747</v>
      </c>
    </row>
    <row r="2399" spans="1:4" x14ac:dyDescent="0.25">
      <c r="A2399" s="1" t="s">
        <v>4809</v>
      </c>
      <c r="B2399" s="1" t="s">
        <v>13748</v>
      </c>
      <c r="C2399" s="1" t="s">
        <v>13749</v>
      </c>
      <c r="D2399" s="1" t="s">
        <v>13750</v>
      </c>
    </row>
    <row r="2400" spans="1:4" x14ac:dyDescent="0.25">
      <c r="A2400" s="1" t="s">
        <v>4811</v>
      </c>
      <c r="B2400" s="1" t="s">
        <v>13751</v>
      </c>
      <c r="C2400" s="1" t="s">
        <v>13752</v>
      </c>
      <c r="D2400" s="1" t="s">
        <v>13753</v>
      </c>
    </row>
    <row r="2401" spans="1:4" x14ac:dyDescent="0.25">
      <c r="A2401" s="1" t="s">
        <v>4813</v>
      </c>
      <c r="B2401" s="1" t="s">
        <v>13754</v>
      </c>
      <c r="C2401" s="1" t="s">
        <v>13755</v>
      </c>
      <c r="D2401" s="1" t="s">
        <v>13756</v>
      </c>
    </row>
    <row r="2402" spans="1:4" x14ac:dyDescent="0.25">
      <c r="A2402" s="1" t="s">
        <v>4815</v>
      </c>
      <c r="B2402" s="1" t="s">
        <v>13757</v>
      </c>
      <c r="C2402" s="1" t="s">
        <v>13758</v>
      </c>
      <c r="D2402" s="1" t="s">
        <v>13759</v>
      </c>
    </row>
    <row r="2403" spans="1:4" x14ac:dyDescent="0.25">
      <c r="A2403" s="1" t="s">
        <v>4817</v>
      </c>
      <c r="B2403" s="1" t="s">
        <v>13760</v>
      </c>
      <c r="C2403" s="1" t="s">
        <v>13761</v>
      </c>
      <c r="D2403" s="1" t="s">
        <v>13762</v>
      </c>
    </row>
    <row r="2404" spans="1:4" x14ac:dyDescent="0.25">
      <c r="A2404" s="1" t="s">
        <v>4819</v>
      </c>
      <c r="B2404" s="1" t="s">
        <v>13763</v>
      </c>
      <c r="C2404" s="1" t="s">
        <v>13764</v>
      </c>
      <c r="D2404" s="1" t="s">
        <v>13765</v>
      </c>
    </row>
    <row r="2405" spans="1:4" x14ac:dyDescent="0.25">
      <c r="A2405" s="1" t="s">
        <v>4821</v>
      </c>
      <c r="B2405" s="1" t="s">
        <v>13766</v>
      </c>
      <c r="C2405" s="1" t="s">
        <v>13767</v>
      </c>
      <c r="D2405" s="1" t="s">
        <v>13768</v>
      </c>
    </row>
    <row r="2406" spans="1:4" x14ac:dyDescent="0.25">
      <c r="A2406" s="1" t="s">
        <v>4823</v>
      </c>
      <c r="B2406" s="1" t="s">
        <v>13769</v>
      </c>
      <c r="C2406" s="1" t="s">
        <v>13770</v>
      </c>
      <c r="D2406" s="1" t="s">
        <v>13771</v>
      </c>
    </row>
    <row r="2407" spans="1:4" x14ac:dyDescent="0.25">
      <c r="A2407" s="1" t="s">
        <v>4825</v>
      </c>
      <c r="B2407" s="1" t="s">
        <v>13772</v>
      </c>
      <c r="C2407" s="1" t="s">
        <v>13773</v>
      </c>
      <c r="D2407" s="1" t="s">
        <v>13774</v>
      </c>
    </row>
    <row r="2408" spans="1:4" x14ac:dyDescent="0.25">
      <c r="A2408" s="1" t="s">
        <v>4827</v>
      </c>
      <c r="B2408" s="1" t="s">
        <v>13775</v>
      </c>
      <c r="C2408" s="1" t="s">
        <v>13776</v>
      </c>
      <c r="D2408" s="1" t="s">
        <v>13777</v>
      </c>
    </row>
    <row r="2409" spans="1:4" x14ac:dyDescent="0.25">
      <c r="A2409" s="1" t="s">
        <v>4829</v>
      </c>
      <c r="B2409" s="1" t="s">
        <v>13778</v>
      </c>
      <c r="C2409" s="1" t="s">
        <v>13779</v>
      </c>
      <c r="D2409" s="1" t="s">
        <v>13780</v>
      </c>
    </row>
    <row r="2410" spans="1:4" x14ac:dyDescent="0.25">
      <c r="A2410" s="1" t="s">
        <v>4831</v>
      </c>
      <c r="B2410" s="1" t="s">
        <v>13781</v>
      </c>
      <c r="C2410" s="1" t="s">
        <v>13782</v>
      </c>
      <c r="D2410" s="1" t="s">
        <v>13783</v>
      </c>
    </row>
    <row r="2411" spans="1:4" x14ac:dyDescent="0.25">
      <c r="A2411" s="1" t="s">
        <v>4833</v>
      </c>
      <c r="B2411" s="1" t="s">
        <v>13784</v>
      </c>
      <c r="C2411" s="1" t="s">
        <v>13785</v>
      </c>
      <c r="D2411" s="1" t="s">
        <v>13786</v>
      </c>
    </row>
    <row r="2412" spans="1:4" x14ac:dyDescent="0.25">
      <c r="A2412" s="1" t="s">
        <v>4835</v>
      </c>
      <c r="B2412" s="1" t="s">
        <v>13787</v>
      </c>
      <c r="C2412" s="1" t="s">
        <v>13788</v>
      </c>
      <c r="D2412" s="1" t="s">
        <v>13789</v>
      </c>
    </row>
    <row r="2413" spans="1:4" x14ac:dyDescent="0.25">
      <c r="A2413" s="1" t="s">
        <v>4837</v>
      </c>
      <c r="B2413" s="1" t="s">
        <v>13790</v>
      </c>
      <c r="C2413" s="1" t="s">
        <v>13791</v>
      </c>
      <c r="D2413" s="1" t="s">
        <v>13792</v>
      </c>
    </row>
    <row r="2414" spans="1:4" x14ac:dyDescent="0.25">
      <c r="A2414" s="1" t="s">
        <v>4839</v>
      </c>
      <c r="B2414" s="1" t="s">
        <v>13793</v>
      </c>
      <c r="C2414" s="1" t="s">
        <v>13794</v>
      </c>
      <c r="D2414" s="1" t="s">
        <v>13795</v>
      </c>
    </row>
    <row r="2415" spans="1:4" x14ac:dyDescent="0.25">
      <c r="A2415" s="1" t="s">
        <v>4841</v>
      </c>
      <c r="B2415" s="1" t="s">
        <v>13796</v>
      </c>
      <c r="C2415" s="1" t="s">
        <v>13797</v>
      </c>
      <c r="D2415" s="1" t="s">
        <v>13798</v>
      </c>
    </row>
    <row r="2416" spans="1:4" x14ac:dyDescent="0.25">
      <c r="A2416" s="1" t="s">
        <v>4843</v>
      </c>
      <c r="B2416" s="1" t="s">
        <v>13799</v>
      </c>
      <c r="C2416" s="1" t="s">
        <v>13800</v>
      </c>
      <c r="D2416" s="1" t="s">
        <v>13801</v>
      </c>
    </row>
    <row r="2417" spans="1:4" x14ac:dyDescent="0.25">
      <c r="A2417" s="1" t="s">
        <v>4845</v>
      </c>
      <c r="B2417" s="1" t="s">
        <v>13802</v>
      </c>
      <c r="C2417" s="1" t="s">
        <v>13803</v>
      </c>
      <c r="D2417" s="1" t="s">
        <v>13804</v>
      </c>
    </row>
    <row r="2418" spans="1:4" x14ac:dyDescent="0.25">
      <c r="A2418" s="1" t="s">
        <v>4847</v>
      </c>
      <c r="B2418" s="1" t="s">
        <v>13805</v>
      </c>
      <c r="C2418" s="1" t="s">
        <v>13806</v>
      </c>
      <c r="D2418" s="1" t="s">
        <v>13807</v>
      </c>
    </row>
    <row r="2419" spans="1:4" x14ac:dyDescent="0.25">
      <c r="A2419" s="1" t="s">
        <v>4849</v>
      </c>
      <c r="B2419" s="1" t="s">
        <v>13808</v>
      </c>
      <c r="C2419" s="1" t="s">
        <v>13809</v>
      </c>
      <c r="D2419" s="1" t="s">
        <v>13810</v>
      </c>
    </row>
    <row r="2420" spans="1:4" x14ac:dyDescent="0.25">
      <c r="A2420" s="1" t="s">
        <v>4851</v>
      </c>
      <c r="B2420" s="1" t="s">
        <v>13811</v>
      </c>
      <c r="C2420" s="1" t="s">
        <v>13812</v>
      </c>
      <c r="D2420" s="1" t="s">
        <v>13813</v>
      </c>
    </row>
    <row r="2421" spans="1:4" x14ac:dyDescent="0.25">
      <c r="A2421" s="1" t="s">
        <v>4853</v>
      </c>
      <c r="B2421" s="1" t="s">
        <v>13814</v>
      </c>
      <c r="C2421" s="1" t="s">
        <v>13815</v>
      </c>
      <c r="D2421" s="1" t="s">
        <v>13816</v>
      </c>
    </row>
    <row r="2422" spans="1:4" x14ac:dyDescent="0.25">
      <c r="A2422" s="1" t="s">
        <v>4855</v>
      </c>
      <c r="B2422" s="1" t="s">
        <v>13817</v>
      </c>
      <c r="C2422" s="1" t="s">
        <v>13818</v>
      </c>
      <c r="D2422" s="1" t="s">
        <v>13819</v>
      </c>
    </row>
    <row r="2423" spans="1:4" x14ac:dyDescent="0.25">
      <c r="A2423" s="1" t="s">
        <v>4857</v>
      </c>
      <c r="B2423" s="1" t="s">
        <v>13820</v>
      </c>
      <c r="C2423" s="1" t="s">
        <v>13821</v>
      </c>
      <c r="D2423" s="1" t="s">
        <v>13822</v>
      </c>
    </row>
    <row r="2424" spans="1:4" x14ac:dyDescent="0.25">
      <c r="A2424" s="1" t="s">
        <v>4859</v>
      </c>
      <c r="B2424" s="1" t="s">
        <v>13823</v>
      </c>
      <c r="C2424" s="1" t="s">
        <v>13824</v>
      </c>
      <c r="D2424" s="1" t="s">
        <v>13825</v>
      </c>
    </row>
    <row r="2425" spans="1:4" x14ac:dyDescent="0.25">
      <c r="A2425" s="1" t="s">
        <v>4861</v>
      </c>
      <c r="B2425" s="1" t="s">
        <v>13826</v>
      </c>
      <c r="C2425" s="1" t="s">
        <v>13827</v>
      </c>
      <c r="D2425" s="1" t="s">
        <v>13828</v>
      </c>
    </row>
    <row r="2426" spans="1:4" x14ac:dyDescent="0.25">
      <c r="A2426" s="1" t="s">
        <v>4863</v>
      </c>
      <c r="B2426" s="1" t="s">
        <v>13829</v>
      </c>
      <c r="C2426" s="1" t="s">
        <v>13830</v>
      </c>
      <c r="D2426" s="1" t="s">
        <v>13831</v>
      </c>
    </row>
    <row r="2427" spans="1:4" x14ac:dyDescent="0.25">
      <c r="A2427" s="1" t="s">
        <v>4865</v>
      </c>
      <c r="B2427" s="1" t="s">
        <v>13832</v>
      </c>
      <c r="C2427" s="1" t="s">
        <v>13833</v>
      </c>
      <c r="D2427" s="1" t="s">
        <v>13834</v>
      </c>
    </row>
    <row r="2428" spans="1:4" x14ac:dyDescent="0.25">
      <c r="A2428" s="1" t="s">
        <v>4867</v>
      </c>
      <c r="B2428" s="1" t="s">
        <v>13835</v>
      </c>
      <c r="C2428" s="1" t="s">
        <v>13836</v>
      </c>
      <c r="D2428" s="1" t="s">
        <v>13837</v>
      </c>
    </row>
    <row r="2429" spans="1:4" x14ac:dyDescent="0.25">
      <c r="A2429" s="1" t="s">
        <v>4869</v>
      </c>
      <c r="B2429" s="1" t="s">
        <v>13838</v>
      </c>
      <c r="C2429" s="1" t="s">
        <v>13839</v>
      </c>
      <c r="D2429" s="1" t="s">
        <v>13840</v>
      </c>
    </row>
    <row r="2430" spans="1:4" x14ac:dyDescent="0.25">
      <c r="A2430" s="1" t="s">
        <v>4871</v>
      </c>
      <c r="B2430" s="1" t="s">
        <v>13841</v>
      </c>
      <c r="C2430" s="1" t="s">
        <v>13842</v>
      </c>
      <c r="D2430" s="1" t="s">
        <v>13843</v>
      </c>
    </row>
    <row r="2431" spans="1:4" x14ac:dyDescent="0.25">
      <c r="A2431" s="1" t="s">
        <v>4873</v>
      </c>
      <c r="B2431" s="1" t="s">
        <v>13844</v>
      </c>
      <c r="C2431" s="1" t="s">
        <v>13845</v>
      </c>
      <c r="D2431" s="1" t="s">
        <v>13846</v>
      </c>
    </row>
    <row r="2432" spans="1:4" x14ac:dyDescent="0.25">
      <c r="A2432" s="1" t="s">
        <v>4875</v>
      </c>
      <c r="B2432" s="1" t="s">
        <v>13847</v>
      </c>
      <c r="C2432" s="1" t="s">
        <v>13848</v>
      </c>
      <c r="D2432" s="1" t="s">
        <v>13849</v>
      </c>
    </row>
    <row r="2433" spans="1:4" x14ac:dyDescent="0.25">
      <c r="A2433" s="1" t="s">
        <v>4877</v>
      </c>
      <c r="B2433" s="1" t="s">
        <v>13850</v>
      </c>
      <c r="C2433" s="1" t="s">
        <v>13851</v>
      </c>
      <c r="D2433" s="1" t="s">
        <v>13852</v>
      </c>
    </row>
    <row r="2434" spans="1:4" x14ac:dyDescent="0.25">
      <c r="A2434" s="1" t="s">
        <v>4879</v>
      </c>
      <c r="B2434" s="1" t="s">
        <v>13853</v>
      </c>
      <c r="C2434" s="1" t="s">
        <v>13854</v>
      </c>
      <c r="D2434" s="1" t="s">
        <v>13855</v>
      </c>
    </row>
    <row r="2435" spans="1:4" x14ac:dyDescent="0.25">
      <c r="A2435" s="1" t="s">
        <v>4881</v>
      </c>
      <c r="B2435" s="1" t="s">
        <v>13856</v>
      </c>
      <c r="C2435" s="1" t="s">
        <v>13857</v>
      </c>
      <c r="D2435" s="1" t="s">
        <v>13858</v>
      </c>
    </row>
    <row r="2436" spans="1:4" x14ac:dyDescent="0.25">
      <c r="A2436" s="1" t="s">
        <v>4883</v>
      </c>
      <c r="B2436" s="1" t="s">
        <v>13859</v>
      </c>
      <c r="C2436" s="1" t="s">
        <v>13860</v>
      </c>
      <c r="D2436" s="1" t="s">
        <v>13861</v>
      </c>
    </row>
    <row r="2437" spans="1:4" x14ac:dyDescent="0.25">
      <c r="A2437" s="1" t="s">
        <v>4885</v>
      </c>
      <c r="B2437" s="1" t="s">
        <v>13862</v>
      </c>
      <c r="C2437" s="1" t="s">
        <v>13863</v>
      </c>
      <c r="D2437" s="1" t="s">
        <v>13864</v>
      </c>
    </row>
    <row r="2438" spans="1:4" x14ac:dyDescent="0.25">
      <c r="A2438" s="1" t="s">
        <v>4887</v>
      </c>
      <c r="B2438" s="1" t="s">
        <v>13865</v>
      </c>
      <c r="C2438" s="1" t="s">
        <v>13866</v>
      </c>
      <c r="D2438" s="1" t="s">
        <v>13867</v>
      </c>
    </row>
    <row r="2439" spans="1:4" x14ac:dyDescent="0.25">
      <c r="A2439" s="1" t="s">
        <v>4889</v>
      </c>
      <c r="B2439" s="1" t="s">
        <v>13868</v>
      </c>
      <c r="C2439" s="1" t="s">
        <v>13869</v>
      </c>
      <c r="D2439" s="1" t="s">
        <v>13870</v>
      </c>
    </row>
    <row r="2440" spans="1:4" x14ac:dyDescent="0.25">
      <c r="A2440" s="1" t="s">
        <v>4891</v>
      </c>
      <c r="B2440" s="1" t="s">
        <v>13871</v>
      </c>
      <c r="C2440" s="1" t="s">
        <v>13872</v>
      </c>
      <c r="D2440" s="1" t="s">
        <v>13873</v>
      </c>
    </row>
    <row r="2441" spans="1:4" x14ac:dyDescent="0.25">
      <c r="A2441" s="1" t="s">
        <v>4893</v>
      </c>
      <c r="B2441" s="1" t="s">
        <v>13874</v>
      </c>
      <c r="C2441" s="1" t="s">
        <v>13875</v>
      </c>
      <c r="D2441" s="1" t="s">
        <v>13876</v>
      </c>
    </row>
    <row r="2442" spans="1:4" x14ac:dyDescent="0.25">
      <c r="A2442" s="1" t="s">
        <v>4895</v>
      </c>
      <c r="B2442" s="1" t="s">
        <v>13877</v>
      </c>
      <c r="C2442" s="1" t="s">
        <v>13878</v>
      </c>
      <c r="D2442" s="1" t="s">
        <v>13879</v>
      </c>
    </row>
    <row r="2443" spans="1:4" x14ac:dyDescent="0.25">
      <c r="A2443" s="1" t="s">
        <v>4897</v>
      </c>
      <c r="B2443" s="1" t="s">
        <v>13880</v>
      </c>
      <c r="C2443" s="1" t="s">
        <v>13881</v>
      </c>
      <c r="D2443" s="1" t="s">
        <v>13882</v>
      </c>
    </row>
    <row r="2444" spans="1:4" x14ac:dyDescent="0.25">
      <c r="A2444" s="1" t="s">
        <v>4899</v>
      </c>
      <c r="B2444" s="1" t="s">
        <v>13883</v>
      </c>
      <c r="C2444" s="1" t="s">
        <v>13884</v>
      </c>
      <c r="D2444" s="1" t="s">
        <v>13885</v>
      </c>
    </row>
    <row r="2445" spans="1:4" x14ac:dyDescent="0.25">
      <c r="A2445" s="1" t="s">
        <v>4901</v>
      </c>
      <c r="B2445" s="1" t="s">
        <v>13886</v>
      </c>
      <c r="C2445" s="1" t="s">
        <v>13887</v>
      </c>
      <c r="D2445" s="1" t="s">
        <v>13888</v>
      </c>
    </row>
    <row r="2446" spans="1:4" x14ac:dyDescent="0.25">
      <c r="A2446" s="1" t="s">
        <v>4903</v>
      </c>
      <c r="B2446" s="1" t="s">
        <v>13889</v>
      </c>
      <c r="C2446" s="1" t="s">
        <v>13890</v>
      </c>
      <c r="D2446" s="1" t="s">
        <v>13891</v>
      </c>
    </row>
    <row r="2447" spans="1:4" x14ac:dyDescent="0.25">
      <c r="A2447" s="1" t="s">
        <v>4905</v>
      </c>
      <c r="B2447" s="1" t="s">
        <v>13892</v>
      </c>
      <c r="C2447" s="1" t="s">
        <v>13893</v>
      </c>
      <c r="D2447" s="1" t="s">
        <v>13894</v>
      </c>
    </row>
    <row r="2448" spans="1:4" x14ac:dyDescent="0.25">
      <c r="A2448" s="1" t="s">
        <v>4907</v>
      </c>
      <c r="B2448" s="1" t="s">
        <v>13895</v>
      </c>
      <c r="C2448" s="1" t="s">
        <v>13896</v>
      </c>
      <c r="D2448" s="1" t="s">
        <v>13897</v>
      </c>
    </row>
    <row r="2449" spans="1:4" x14ac:dyDescent="0.25">
      <c r="A2449" s="1" t="s">
        <v>4909</v>
      </c>
      <c r="B2449" s="1" t="s">
        <v>13898</v>
      </c>
      <c r="C2449" s="1" t="s">
        <v>13899</v>
      </c>
      <c r="D2449" s="1" t="s">
        <v>13900</v>
      </c>
    </row>
    <row r="2450" spans="1:4" x14ac:dyDescent="0.25">
      <c r="A2450" s="1" t="s">
        <v>4911</v>
      </c>
      <c r="B2450" s="1" t="s">
        <v>13901</v>
      </c>
      <c r="C2450" s="1" t="s">
        <v>13902</v>
      </c>
      <c r="D2450" s="1" t="s">
        <v>13903</v>
      </c>
    </row>
    <row r="2451" spans="1:4" x14ac:dyDescent="0.25">
      <c r="A2451" s="1" t="s">
        <v>4913</v>
      </c>
      <c r="B2451" s="1" t="s">
        <v>13904</v>
      </c>
      <c r="C2451" s="1" t="s">
        <v>13905</v>
      </c>
      <c r="D2451" s="1" t="s">
        <v>13906</v>
      </c>
    </row>
    <row r="2452" spans="1:4" x14ac:dyDescent="0.25">
      <c r="A2452" s="1" t="s">
        <v>4915</v>
      </c>
      <c r="B2452" s="1" t="s">
        <v>13907</v>
      </c>
      <c r="C2452" s="1" t="s">
        <v>13908</v>
      </c>
      <c r="D2452" s="1" t="s">
        <v>13909</v>
      </c>
    </row>
    <row r="2453" spans="1:4" x14ac:dyDescent="0.25">
      <c r="A2453" s="1" t="s">
        <v>4917</v>
      </c>
      <c r="B2453" s="1" t="s">
        <v>13910</v>
      </c>
      <c r="C2453" s="1" t="s">
        <v>13911</v>
      </c>
      <c r="D2453" s="1" t="s">
        <v>13912</v>
      </c>
    </row>
    <row r="2454" spans="1:4" x14ac:dyDescent="0.25">
      <c r="A2454" s="1" t="s">
        <v>4919</v>
      </c>
      <c r="B2454" s="1" t="s">
        <v>13913</v>
      </c>
      <c r="C2454" s="1" t="s">
        <v>13914</v>
      </c>
      <c r="D2454" s="1" t="s">
        <v>13915</v>
      </c>
    </row>
    <row r="2455" spans="1:4" x14ac:dyDescent="0.25">
      <c r="A2455" s="1" t="s">
        <v>4921</v>
      </c>
      <c r="B2455" s="1" t="s">
        <v>13916</v>
      </c>
      <c r="C2455" s="1" t="s">
        <v>13917</v>
      </c>
      <c r="D2455" s="1" t="s">
        <v>13918</v>
      </c>
    </row>
    <row r="2456" spans="1:4" x14ac:dyDescent="0.25">
      <c r="A2456" s="1" t="s">
        <v>4923</v>
      </c>
      <c r="B2456" s="1" t="s">
        <v>13919</v>
      </c>
      <c r="C2456" s="1" t="s">
        <v>13920</v>
      </c>
      <c r="D2456" s="1" t="s">
        <v>13921</v>
      </c>
    </row>
    <row r="2457" spans="1:4" x14ac:dyDescent="0.25">
      <c r="A2457" s="1" t="s">
        <v>4925</v>
      </c>
      <c r="B2457" s="1" t="s">
        <v>13922</v>
      </c>
      <c r="C2457" s="1" t="s">
        <v>13923</v>
      </c>
      <c r="D2457" s="1" t="s">
        <v>13924</v>
      </c>
    </row>
    <row r="2458" spans="1:4" x14ac:dyDescent="0.25">
      <c r="A2458" s="1" t="s">
        <v>4927</v>
      </c>
      <c r="B2458" s="1" t="s">
        <v>13925</v>
      </c>
      <c r="C2458" s="1" t="s">
        <v>13926</v>
      </c>
      <c r="D2458" s="1" t="s">
        <v>13927</v>
      </c>
    </row>
    <row r="2459" spans="1:4" x14ac:dyDescent="0.25">
      <c r="A2459" s="1" t="s">
        <v>4929</v>
      </c>
      <c r="B2459" s="1" t="s">
        <v>13928</v>
      </c>
      <c r="C2459" s="1" t="s">
        <v>13929</v>
      </c>
      <c r="D2459" s="1" t="s">
        <v>13930</v>
      </c>
    </row>
    <row r="2460" spans="1:4" x14ac:dyDescent="0.25">
      <c r="A2460" s="1" t="s">
        <v>4931</v>
      </c>
      <c r="B2460" s="1" t="s">
        <v>13931</v>
      </c>
      <c r="C2460" s="1" t="s">
        <v>13932</v>
      </c>
      <c r="D2460" s="1" t="s">
        <v>13933</v>
      </c>
    </row>
    <row r="2461" spans="1:4" x14ac:dyDescent="0.25">
      <c r="A2461" s="1" t="s">
        <v>4933</v>
      </c>
      <c r="B2461" s="1" t="s">
        <v>13934</v>
      </c>
      <c r="C2461" s="1" t="s">
        <v>13935</v>
      </c>
      <c r="D2461" s="1" t="s">
        <v>13936</v>
      </c>
    </row>
    <row r="2462" spans="1:4" x14ac:dyDescent="0.25">
      <c r="A2462" s="1" t="s">
        <v>4935</v>
      </c>
      <c r="B2462" s="1" t="s">
        <v>13937</v>
      </c>
      <c r="C2462" s="1" t="s">
        <v>13938</v>
      </c>
      <c r="D2462" s="1" t="s">
        <v>13939</v>
      </c>
    </row>
    <row r="2463" spans="1:4" x14ac:dyDescent="0.25">
      <c r="A2463" s="1" t="s">
        <v>4937</v>
      </c>
      <c r="B2463" s="1" t="s">
        <v>13940</v>
      </c>
      <c r="C2463" s="1" t="s">
        <v>13941</v>
      </c>
      <c r="D2463" s="1" t="s">
        <v>13942</v>
      </c>
    </row>
    <row r="2464" spans="1:4" x14ac:dyDescent="0.25">
      <c r="A2464" s="1" t="s">
        <v>4939</v>
      </c>
      <c r="B2464" s="1" t="s">
        <v>13943</v>
      </c>
      <c r="C2464" s="1" t="s">
        <v>13944</v>
      </c>
      <c r="D2464" s="1" t="s">
        <v>13945</v>
      </c>
    </row>
    <row r="2465" spans="1:4" x14ac:dyDescent="0.25">
      <c r="A2465" s="1" t="s">
        <v>4941</v>
      </c>
      <c r="B2465" s="1" t="s">
        <v>13946</v>
      </c>
      <c r="C2465" s="1" t="s">
        <v>13947</v>
      </c>
      <c r="D2465" s="1" t="s">
        <v>13948</v>
      </c>
    </row>
    <row r="2466" spans="1:4" x14ac:dyDescent="0.25">
      <c r="A2466" s="1" t="s">
        <v>4943</v>
      </c>
      <c r="B2466" s="1" t="s">
        <v>13949</v>
      </c>
      <c r="C2466" s="1" t="s">
        <v>13950</v>
      </c>
      <c r="D2466" s="1" t="s">
        <v>13951</v>
      </c>
    </row>
    <row r="2467" spans="1:4" x14ac:dyDescent="0.25">
      <c r="A2467" s="1" t="s">
        <v>4945</v>
      </c>
      <c r="B2467" s="1" t="s">
        <v>13952</v>
      </c>
      <c r="C2467" s="1" t="s">
        <v>13953</v>
      </c>
      <c r="D2467" s="1" t="s">
        <v>13954</v>
      </c>
    </row>
    <row r="2468" spans="1:4" x14ac:dyDescent="0.25">
      <c r="A2468" s="1" t="s">
        <v>4947</v>
      </c>
      <c r="B2468" s="1" t="s">
        <v>13955</v>
      </c>
      <c r="C2468" s="1" t="s">
        <v>13956</v>
      </c>
      <c r="D2468" s="1" t="s">
        <v>13957</v>
      </c>
    </row>
    <row r="2469" spans="1:4" x14ac:dyDescent="0.25">
      <c r="A2469" s="1" t="s">
        <v>4949</v>
      </c>
      <c r="B2469" s="1" t="s">
        <v>13958</v>
      </c>
      <c r="C2469" s="1" t="s">
        <v>13959</v>
      </c>
      <c r="D2469" s="1" t="s">
        <v>13960</v>
      </c>
    </row>
    <row r="2470" spans="1:4" x14ac:dyDescent="0.25">
      <c r="A2470" s="1" t="s">
        <v>4951</v>
      </c>
      <c r="B2470" s="1" t="s">
        <v>13961</v>
      </c>
      <c r="C2470" s="1" t="s">
        <v>13962</v>
      </c>
      <c r="D2470" s="1" t="s">
        <v>13963</v>
      </c>
    </row>
    <row r="2471" spans="1:4" x14ac:dyDescent="0.25">
      <c r="A2471" s="1" t="s">
        <v>4953</v>
      </c>
      <c r="B2471" s="1" t="s">
        <v>13964</v>
      </c>
      <c r="C2471" s="1" t="s">
        <v>13965</v>
      </c>
      <c r="D2471" s="1" t="s">
        <v>13966</v>
      </c>
    </row>
    <row r="2472" spans="1:4" x14ac:dyDescent="0.25">
      <c r="A2472" s="1" t="s">
        <v>4955</v>
      </c>
      <c r="B2472" s="1" t="s">
        <v>13967</v>
      </c>
      <c r="C2472" s="1" t="s">
        <v>13968</v>
      </c>
      <c r="D2472" s="1" t="s">
        <v>13969</v>
      </c>
    </row>
    <row r="2473" spans="1:4" x14ac:dyDescent="0.25">
      <c r="A2473" s="1" t="s">
        <v>4957</v>
      </c>
      <c r="B2473" s="1" t="s">
        <v>13970</v>
      </c>
      <c r="C2473" s="1" t="s">
        <v>13971</v>
      </c>
      <c r="D2473" s="1" t="s">
        <v>13972</v>
      </c>
    </row>
    <row r="2474" spans="1:4" x14ac:dyDescent="0.25">
      <c r="A2474" s="1" t="s">
        <v>4959</v>
      </c>
      <c r="B2474" s="1" t="s">
        <v>13973</v>
      </c>
      <c r="C2474" s="1" t="s">
        <v>13974</v>
      </c>
      <c r="D2474" s="1" t="s">
        <v>13975</v>
      </c>
    </row>
    <row r="2475" spans="1:4" x14ac:dyDescent="0.25">
      <c r="A2475" s="1" t="s">
        <v>4961</v>
      </c>
      <c r="B2475" s="1" t="s">
        <v>13976</v>
      </c>
      <c r="C2475" s="1" t="s">
        <v>13977</v>
      </c>
      <c r="D2475" s="1" t="s">
        <v>13978</v>
      </c>
    </row>
    <row r="2476" spans="1:4" x14ac:dyDescent="0.25">
      <c r="A2476" s="1" t="s">
        <v>4963</v>
      </c>
      <c r="B2476" s="1" t="s">
        <v>13979</v>
      </c>
      <c r="C2476" s="1" t="s">
        <v>13980</v>
      </c>
      <c r="D2476" s="1" t="s">
        <v>13981</v>
      </c>
    </row>
    <row r="2477" spans="1:4" x14ac:dyDescent="0.25">
      <c r="A2477" s="1" t="s">
        <v>4965</v>
      </c>
      <c r="B2477" s="1" t="s">
        <v>13982</v>
      </c>
      <c r="C2477" s="1" t="s">
        <v>13983</v>
      </c>
      <c r="D2477" s="1" t="s">
        <v>13984</v>
      </c>
    </row>
    <row r="2478" spans="1:4" x14ac:dyDescent="0.25">
      <c r="A2478" s="1" t="s">
        <v>4967</v>
      </c>
      <c r="B2478" s="1" t="s">
        <v>13985</v>
      </c>
      <c r="C2478" s="1" t="s">
        <v>13986</v>
      </c>
      <c r="D2478" s="1" t="s">
        <v>13987</v>
      </c>
    </row>
    <row r="2479" spans="1:4" x14ac:dyDescent="0.25">
      <c r="A2479" s="1" t="s">
        <v>4969</v>
      </c>
      <c r="B2479" s="1" t="s">
        <v>13988</v>
      </c>
      <c r="C2479" s="1" t="s">
        <v>13989</v>
      </c>
      <c r="D2479" s="1" t="s">
        <v>13990</v>
      </c>
    </row>
    <row r="2480" spans="1:4" x14ac:dyDescent="0.25">
      <c r="A2480" s="1" t="s">
        <v>4971</v>
      </c>
      <c r="B2480" s="1" t="s">
        <v>13991</v>
      </c>
      <c r="C2480" s="1" t="s">
        <v>13992</v>
      </c>
      <c r="D2480" s="1" t="s">
        <v>13993</v>
      </c>
    </row>
    <row r="2481" spans="1:4" x14ac:dyDescent="0.25">
      <c r="A2481" s="1" t="s">
        <v>4973</v>
      </c>
      <c r="B2481" s="1" t="s">
        <v>13994</v>
      </c>
      <c r="C2481" s="1" t="s">
        <v>13995</v>
      </c>
      <c r="D2481" s="1" t="s">
        <v>13996</v>
      </c>
    </row>
    <row r="2482" spans="1:4" x14ac:dyDescent="0.25">
      <c r="A2482" s="1" t="s">
        <v>4975</v>
      </c>
      <c r="B2482" s="1" t="s">
        <v>13997</v>
      </c>
      <c r="C2482" s="1" t="s">
        <v>13998</v>
      </c>
      <c r="D2482" s="1" t="s">
        <v>13999</v>
      </c>
    </row>
    <row r="2483" spans="1:4" x14ac:dyDescent="0.25">
      <c r="A2483" s="1" t="s">
        <v>4977</v>
      </c>
      <c r="B2483" s="1" t="s">
        <v>14000</v>
      </c>
      <c r="C2483" s="1" t="s">
        <v>14001</v>
      </c>
      <c r="D2483" s="1" t="s">
        <v>14002</v>
      </c>
    </row>
    <row r="2484" spans="1:4" x14ac:dyDescent="0.25">
      <c r="A2484" s="1" t="s">
        <v>4979</v>
      </c>
      <c r="B2484" s="1" t="s">
        <v>14003</v>
      </c>
      <c r="C2484" s="1" t="s">
        <v>14004</v>
      </c>
      <c r="D2484" s="1" t="s">
        <v>14005</v>
      </c>
    </row>
    <row r="2485" spans="1:4" x14ac:dyDescent="0.25">
      <c r="A2485" s="1" t="s">
        <v>4981</v>
      </c>
      <c r="B2485" s="1" t="s">
        <v>14006</v>
      </c>
      <c r="C2485" s="1" t="s">
        <v>14007</v>
      </c>
      <c r="D2485" s="1" t="s">
        <v>14008</v>
      </c>
    </row>
    <row r="2486" spans="1:4" x14ac:dyDescent="0.25">
      <c r="A2486" s="1" t="s">
        <v>4983</v>
      </c>
      <c r="B2486" s="1" t="s">
        <v>14009</v>
      </c>
      <c r="C2486" s="1" t="s">
        <v>14010</v>
      </c>
      <c r="D2486" s="1" t="s">
        <v>14011</v>
      </c>
    </row>
    <row r="2487" spans="1:4" x14ac:dyDescent="0.25">
      <c r="A2487" s="1" t="s">
        <v>4985</v>
      </c>
      <c r="B2487" s="1" t="s">
        <v>14012</v>
      </c>
      <c r="C2487" s="1" t="s">
        <v>14013</v>
      </c>
      <c r="D2487" s="1" t="s">
        <v>14014</v>
      </c>
    </row>
    <row r="2488" spans="1:4" x14ac:dyDescent="0.25">
      <c r="A2488" s="1" t="s">
        <v>4987</v>
      </c>
      <c r="B2488" s="1" t="s">
        <v>14015</v>
      </c>
      <c r="C2488" s="1" t="s">
        <v>14016</v>
      </c>
      <c r="D2488" s="1" t="s">
        <v>14017</v>
      </c>
    </row>
    <row r="2489" spans="1:4" x14ac:dyDescent="0.25">
      <c r="A2489" s="1" t="s">
        <v>4989</v>
      </c>
      <c r="B2489" s="1" t="s">
        <v>14018</v>
      </c>
      <c r="C2489" s="1" t="s">
        <v>14019</v>
      </c>
      <c r="D2489" s="1" t="s">
        <v>14020</v>
      </c>
    </row>
    <row r="2490" spans="1:4" x14ac:dyDescent="0.25">
      <c r="A2490" s="1" t="s">
        <v>4991</v>
      </c>
      <c r="B2490" s="1" t="s">
        <v>14021</v>
      </c>
      <c r="C2490" s="1" t="s">
        <v>14022</v>
      </c>
      <c r="D2490" s="1" t="s">
        <v>14023</v>
      </c>
    </row>
    <row r="2491" spans="1:4" x14ac:dyDescent="0.25">
      <c r="A2491" s="1" t="s">
        <v>4993</v>
      </c>
      <c r="B2491" s="1" t="s">
        <v>14024</v>
      </c>
      <c r="C2491" s="1" t="s">
        <v>14025</v>
      </c>
      <c r="D2491" s="1" t="s">
        <v>14026</v>
      </c>
    </row>
    <row r="2492" spans="1:4" x14ac:dyDescent="0.25">
      <c r="A2492" s="1" t="s">
        <v>4995</v>
      </c>
      <c r="B2492" s="1" t="s">
        <v>14027</v>
      </c>
      <c r="C2492" s="1" t="s">
        <v>14028</v>
      </c>
      <c r="D2492" s="1" t="s">
        <v>14029</v>
      </c>
    </row>
    <row r="2493" spans="1:4" x14ac:dyDescent="0.25">
      <c r="A2493" s="1" t="s">
        <v>4997</v>
      </c>
      <c r="B2493" s="1" t="s">
        <v>14030</v>
      </c>
      <c r="C2493" s="1" t="s">
        <v>14031</v>
      </c>
      <c r="D2493" s="1" t="s">
        <v>14032</v>
      </c>
    </row>
    <row r="2494" spans="1:4" x14ac:dyDescent="0.25">
      <c r="A2494" s="1" t="s">
        <v>4999</v>
      </c>
      <c r="B2494" s="1" t="s">
        <v>14033</v>
      </c>
      <c r="C2494" s="1" t="s">
        <v>14034</v>
      </c>
      <c r="D2494" s="1" t="s">
        <v>14035</v>
      </c>
    </row>
    <row r="2495" spans="1:4" x14ac:dyDescent="0.25">
      <c r="A2495" s="1" t="s">
        <v>5001</v>
      </c>
      <c r="B2495" s="1" t="s">
        <v>14036</v>
      </c>
      <c r="C2495" s="1" t="s">
        <v>14037</v>
      </c>
      <c r="D2495" s="1" t="s">
        <v>14038</v>
      </c>
    </row>
    <row r="2496" spans="1:4" x14ac:dyDescent="0.25">
      <c r="A2496" s="1" t="s">
        <v>5003</v>
      </c>
      <c r="B2496" s="1" t="s">
        <v>14039</v>
      </c>
      <c r="C2496" s="1" t="s">
        <v>14040</v>
      </c>
      <c r="D2496" s="1" t="s">
        <v>14041</v>
      </c>
    </row>
    <row r="2497" spans="1:4" x14ac:dyDescent="0.25">
      <c r="A2497" s="1" t="s">
        <v>5005</v>
      </c>
      <c r="B2497" s="1" t="s">
        <v>14042</v>
      </c>
      <c r="C2497" s="1" t="s">
        <v>14043</v>
      </c>
      <c r="D2497" s="1" t="s">
        <v>14044</v>
      </c>
    </row>
    <row r="2498" spans="1:4" x14ac:dyDescent="0.25">
      <c r="A2498" s="1" t="s">
        <v>5007</v>
      </c>
      <c r="B2498" s="1" t="s">
        <v>14045</v>
      </c>
      <c r="C2498" s="1" t="s">
        <v>14046</v>
      </c>
      <c r="D2498" s="1" t="s">
        <v>14047</v>
      </c>
    </row>
    <row r="2499" spans="1:4" x14ac:dyDescent="0.25">
      <c r="A2499" s="1" t="s">
        <v>5009</v>
      </c>
      <c r="B2499" s="1" t="s">
        <v>14048</v>
      </c>
      <c r="C2499" s="1" t="s">
        <v>14049</v>
      </c>
      <c r="D2499" s="1" t="s">
        <v>14050</v>
      </c>
    </row>
    <row r="2500" spans="1:4" x14ac:dyDescent="0.25">
      <c r="A2500" s="1" t="s">
        <v>5011</v>
      </c>
      <c r="B2500" s="1" t="s">
        <v>14051</v>
      </c>
      <c r="C2500" s="1" t="s">
        <v>14052</v>
      </c>
      <c r="D2500" s="1" t="s">
        <v>14053</v>
      </c>
    </row>
    <row r="2501" spans="1:4" x14ac:dyDescent="0.25">
      <c r="A2501" s="1" t="s">
        <v>5013</v>
      </c>
      <c r="B2501" s="1" t="s">
        <v>14054</v>
      </c>
      <c r="C2501" s="1" t="s">
        <v>14055</v>
      </c>
      <c r="D2501" s="1" t="s">
        <v>14056</v>
      </c>
    </row>
    <row r="2502" spans="1:4" x14ac:dyDescent="0.25">
      <c r="A2502" s="1" t="s">
        <v>5015</v>
      </c>
      <c r="B2502" s="1" t="s">
        <v>14057</v>
      </c>
      <c r="C2502" s="1" t="s">
        <v>14058</v>
      </c>
      <c r="D2502" s="1" t="s">
        <v>14059</v>
      </c>
    </row>
    <row r="2503" spans="1:4" x14ac:dyDescent="0.25">
      <c r="A2503" s="1" t="s">
        <v>5017</v>
      </c>
      <c r="B2503" s="1" t="s">
        <v>14060</v>
      </c>
      <c r="C2503" s="1" t="s">
        <v>14061</v>
      </c>
      <c r="D2503" s="1" t="s">
        <v>14062</v>
      </c>
    </row>
    <row r="2504" spans="1:4" x14ac:dyDescent="0.25">
      <c r="A2504" s="1" t="s">
        <v>5019</v>
      </c>
      <c r="B2504" s="1" t="s">
        <v>14063</v>
      </c>
      <c r="C2504" s="1" t="s">
        <v>14064</v>
      </c>
      <c r="D2504" s="1" t="s">
        <v>14065</v>
      </c>
    </row>
    <row r="2505" spans="1:4" x14ac:dyDescent="0.25">
      <c r="A2505" s="1" t="s">
        <v>5021</v>
      </c>
      <c r="B2505" s="1" t="s">
        <v>14066</v>
      </c>
      <c r="C2505" s="1" t="s">
        <v>14067</v>
      </c>
      <c r="D2505" s="1" t="s">
        <v>14068</v>
      </c>
    </row>
    <row r="2506" spans="1:4" x14ac:dyDescent="0.25">
      <c r="A2506" s="1" t="s">
        <v>5023</v>
      </c>
      <c r="B2506" s="1" t="s">
        <v>14069</v>
      </c>
      <c r="C2506" s="1" t="s">
        <v>14070</v>
      </c>
      <c r="D2506" s="1" t="s">
        <v>14071</v>
      </c>
    </row>
    <row r="2507" spans="1:4" x14ac:dyDescent="0.25">
      <c r="A2507" s="1" t="s">
        <v>5025</v>
      </c>
      <c r="B2507" s="1" t="s">
        <v>14072</v>
      </c>
      <c r="C2507" s="1" t="s">
        <v>14073</v>
      </c>
      <c r="D2507" s="1" t="s">
        <v>14074</v>
      </c>
    </row>
    <row r="2508" spans="1:4" x14ac:dyDescent="0.25">
      <c r="A2508" s="1" t="s">
        <v>5027</v>
      </c>
      <c r="B2508" s="1" t="s">
        <v>14075</v>
      </c>
      <c r="C2508" s="1" t="s">
        <v>14076</v>
      </c>
      <c r="D2508" s="1" t="s">
        <v>14077</v>
      </c>
    </row>
    <row r="2509" spans="1:4" x14ac:dyDescent="0.25">
      <c r="A2509" s="1" t="s">
        <v>5029</v>
      </c>
      <c r="B2509" s="1" t="s">
        <v>14078</v>
      </c>
      <c r="C2509" s="1" t="s">
        <v>14079</v>
      </c>
      <c r="D2509" s="1" t="s">
        <v>14080</v>
      </c>
    </row>
    <row r="2510" spans="1:4" x14ac:dyDescent="0.25">
      <c r="A2510" s="1" t="s">
        <v>5031</v>
      </c>
      <c r="B2510" s="1" t="s">
        <v>14081</v>
      </c>
      <c r="C2510" s="1" t="s">
        <v>14082</v>
      </c>
      <c r="D2510" s="1" t="s">
        <v>14083</v>
      </c>
    </row>
    <row r="2511" spans="1:4" x14ac:dyDescent="0.25">
      <c r="A2511" s="1" t="s">
        <v>5033</v>
      </c>
      <c r="B2511" s="1" t="s">
        <v>14084</v>
      </c>
      <c r="C2511" s="1" t="s">
        <v>14085</v>
      </c>
      <c r="D2511" s="1" t="s">
        <v>14086</v>
      </c>
    </row>
    <row r="2512" spans="1:4" x14ac:dyDescent="0.25">
      <c r="A2512" s="1" t="s">
        <v>5035</v>
      </c>
      <c r="B2512" s="1" t="s">
        <v>14087</v>
      </c>
      <c r="C2512" s="1" t="s">
        <v>14088</v>
      </c>
      <c r="D2512" s="1" t="s">
        <v>14089</v>
      </c>
    </row>
    <row r="2513" spans="1:4" x14ac:dyDescent="0.25">
      <c r="A2513" s="1" t="s">
        <v>5037</v>
      </c>
      <c r="B2513" s="1" t="s">
        <v>14090</v>
      </c>
      <c r="C2513" s="1" t="s">
        <v>14091</v>
      </c>
      <c r="D2513" s="1" t="s">
        <v>14092</v>
      </c>
    </row>
    <row r="2514" spans="1:4" x14ac:dyDescent="0.25">
      <c r="A2514" s="1" t="s">
        <v>5039</v>
      </c>
      <c r="B2514" s="1" t="s">
        <v>14093</v>
      </c>
      <c r="C2514" s="1" t="s">
        <v>14094</v>
      </c>
      <c r="D2514" s="1" t="s">
        <v>14095</v>
      </c>
    </row>
    <row r="2515" spans="1:4" x14ac:dyDescent="0.25">
      <c r="A2515" s="1" t="s">
        <v>5041</v>
      </c>
      <c r="B2515" s="1" t="s">
        <v>14096</v>
      </c>
      <c r="C2515" s="1" t="s">
        <v>14097</v>
      </c>
      <c r="D2515" s="1" t="s">
        <v>14098</v>
      </c>
    </row>
    <row r="2516" spans="1:4" x14ac:dyDescent="0.25">
      <c r="A2516" s="1" t="s">
        <v>5043</v>
      </c>
      <c r="B2516" s="1" t="s">
        <v>14099</v>
      </c>
      <c r="C2516" s="1" t="s">
        <v>14100</v>
      </c>
      <c r="D2516" s="1" t="s">
        <v>14101</v>
      </c>
    </row>
    <row r="2517" spans="1:4" x14ac:dyDescent="0.25">
      <c r="A2517" s="1" t="s">
        <v>5045</v>
      </c>
      <c r="B2517" s="1" t="s">
        <v>14102</v>
      </c>
      <c r="C2517" s="1" t="s">
        <v>14103</v>
      </c>
      <c r="D2517" s="1" t="s">
        <v>14104</v>
      </c>
    </row>
    <row r="2518" spans="1:4" x14ac:dyDescent="0.25">
      <c r="A2518" s="1" t="s">
        <v>5047</v>
      </c>
      <c r="B2518" s="1" t="s">
        <v>14105</v>
      </c>
      <c r="C2518" s="1" t="s">
        <v>14106</v>
      </c>
      <c r="D2518" s="1" t="s">
        <v>14107</v>
      </c>
    </row>
    <row r="2519" spans="1:4" x14ac:dyDescent="0.25">
      <c r="A2519" s="1" t="s">
        <v>5049</v>
      </c>
      <c r="B2519" s="1" t="s">
        <v>14108</v>
      </c>
      <c r="C2519" s="1" t="s">
        <v>14109</v>
      </c>
      <c r="D2519" s="1" t="s">
        <v>14110</v>
      </c>
    </row>
    <row r="2520" spans="1:4" x14ac:dyDescent="0.25">
      <c r="A2520" s="1" t="s">
        <v>5051</v>
      </c>
      <c r="B2520" s="1" t="s">
        <v>14111</v>
      </c>
      <c r="C2520" s="1" t="s">
        <v>14112</v>
      </c>
      <c r="D2520" s="1" t="s">
        <v>14113</v>
      </c>
    </row>
    <row r="2521" spans="1:4" x14ac:dyDescent="0.25">
      <c r="A2521" s="1" t="s">
        <v>5053</v>
      </c>
      <c r="B2521" s="1" t="s">
        <v>14114</v>
      </c>
      <c r="C2521" s="1" t="s">
        <v>14115</v>
      </c>
      <c r="D2521" s="1" t="s">
        <v>14116</v>
      </c>
    </row>
    <row r="2522" spans="1:4" x14ac:dyDescent="0.25">
      <c r="A2522" s="1" t="s">
        <v>5055</v>
      </c>
      <c r="B2522" s="1" t="s">
        <v>14117</v>
      </c>
      <c r="C2522" s="1" t="s">
        <v>14118</v>
      </c>
      <c r="D2522" s="1" t="s">
        <v>14119</v>
      </c>
    </row>
    <row r="2523" spans="1:4" x14ac:dyDescent="0.25">
      <c r="A2523" s="1" t="s">
        <v>5057</v>
      </c>
      <c r="B2523" s="1" t="s">
        <v>14120</v>
      </c>
      <c r="C2523" s="1" t="s">
        <v>14121</v>
      </c>
      <c r="D2523" s="1" t="s">
        <v>14122</v>
      </c>
    </row>
    <row r="2524" spans="1:4" x14ac:dyDescent="0.25">
      <c r="A2524" s="1" t="s">
        <v>5059</v>
      </c>
      <c r="B2524" s="1" t="s">
        <v>14123</v>
      </c>
      <c r="C2524" s="1" t="s">
        <v>14124</v>
      </c>
      <c r="D2524" s="1" t="s">
        <v>14125</v>
      </c>
    </row>
    <row r="2525" spans="1:4" x14ac:dyDescent="0.25">
      <c r="A2525" s="1" t="s">
        <v>5061</v>
      </c>
      <c r="B2525" s="1" t="s">
        <v>14126</v>
      </c>
      <c r="C2525" s="1" t="s">
        <v>14127</v>
      </c>
      <c r="D2525" s="1" t="s">
        <v>14128</v>
      </c>
    </row>
    <row r="2526" spans="1:4" x14ac:dyDescent="0.25">
      <c r="A2526" s="1" t="s">
        <v>5063</v>
      </c>
      <c r="B2526" s="1" t="s">
        <v>14129</v>
      </c>
      <c r="C2526" s="1" t="s">
        <v>14130</v>
      </c>
      <c r="D2526" s="1" t="s">
        <v>14131</v>
      </c>
    </row>
    <row r="2527" spans="1:4" x14ac:dyDescent="0.25">
      <c r="A2527" s="1" t="s">
        <v>5065</v>
      </c>
      <c r="B2527" s="1" t="s">
        <v>14132</v>
      </c>
      <c r="C2527" s="1" t="s">
        <v>14133</v>
      </c>
      <c r="D2527" s="1" t="s">
        <v>14134</v>
      </c>
    </row>
    <row r="2528" spans="1:4" x14ac:dyDescent="0.25">
      <c r="A2528" s="1" t="s">
        <v>5067</v>
      </c>
      <c r="B2528" s="1" t="s">
        <v>14135</v>
      </c>
      <c r="C2528" s="1" t="s">
        <v>14136</v>
      </c>
      <c r="D2528" s="1" t="s">
        <v>14137</v>
      </c>
    </row>
    <row r="2529" spans="1:4" x14ac:dyDescent="0.25">
      <c r="A2529" s="1" t="s">
        <v>5069</v>
      </c>
      <c r="B2529" s="1" t="s">
        <v>14138</v>
      </c>
      <c r="C2529" s="1" t="s">
        <v>14139</v>
      </c>
      <c r="D2529" s="1" t="s">
        <v>14140</v>
      </c>
    </row>
    <row r="2530" spans="1:4" x14ac:dyDescent="0.25">
      <c r="A2530" s="1" t="s">
        <v>5071</v>
      </c>
      <c r="B2530" s="1" t="s">
        <v>14141</v>
      </c>
      <c r="C2530" s="1" t="s">
        <v>14142</v>
      </c>
      <c r="D2530" s="1" t="s">
        <v>14143</v>
      </c>
    </row>
    <row r="2531" spans="1:4" x14ac:dyDescent="0.25">
      <c r="A2531" s="1" t="s">
        <v>5073</v>
      </c>
      <c r="B2531" s="1" t="s">
        <v>14144</v>
      </c>
      <c r="C2531" s="1" t="s">
        <v>14145</v>
      </c>
      <c r="D2531" s="1" t="s">
        <v>14146</v>
      </c>
    </row>
    <row r="2532" spans="1:4" x14ac:dyDescent="0.25">
      <c r="A2532" s="1" t="s">
        <v>5075</v>
      </c>
      <c r="B2532" s="1" t="s">
        <v>14147</v>
      </c>
      <c r="C2532" s="1" t="s">
        <v>14148</v>
      </c>
      <c r="D2532" s="1" t="s">
        <v>14149</v>
      </c>
    </row>
    <row r="2533" spans="1:4" x14ac:dyDescent="0.25">
      <c r="A2533" s="1" t="s">
        <v>5077</v>
      </c>
      <c r="B2533" s="1" t="s">
        <v>14150</v>
      </c>
      <c r="C2533" s="1" t="s">
        <v>14151</v>
      </c>
      <c r="D2533" s="1" t="s">
        <v>14152</v>
      </c>
    </row>
    <row r="2534" spans="1:4" x14ac:dyDescent="0.25">
      <c r="A2534" s="1" t="s">
        <v>5079</v>
      </c>
      <c r="B2534" s="1" t="s">
        <v>14153</v>
      </c>
      <c r="C2534" s="1" t="s">
        <v>14154</v>
      </c>
      <c r="D2534" s="1" t="s">
        <v>14155</v>
      </c>
    </row>
    <row r="2535" spans="1:4" x14ac:dyDescent="0.25">
      <c r="A2535" s="1" t="s">
        <v>5081</v>
      </c>
      <c r="B2535" s="1" t="s">
        <v>14156</v>
      </c>
      <c r="C2535" s="1" t="s">
        <v>14157</v>
      </c>
      <c r="D2535" s="1" t="s">
        <v>14158</v>
      </c>
    </row>
    <row r="2536" spans="1:4" x14ac:dyDescent="0.25">
      <c r="A2536" s="1" t="s">
        <v>5083</v>
      </c>
      <c r="B2536" s="1" t="s">
        <v>14159</v>
      </c>
      <c r="C2536" s="1" t="s">
        <v>14160</v>
      </c>
      <c r="D2536" s="1" t="s">
        <v>14161</v>
      </c>
    </row>
    <row r="2537" spans="1:4" x14ac:dyDescent="0.25">
      <c r="A2537" s="1" t="s">
        <v>5085</v>
      </c>
      <c r="B2537" s="1" t="s">
        <v>14162</v>
      </c>
      <c r="C2537" s="1" t="s">
        <v>14163</v>
      </c>
      <c r="D2537" s="1" t="s">
        <v>14164</v>
      </c>
    </row>
    <row r="2538" spans="1:4" x14ac:dyDescent="0.25">
      <c r="A2538" s="1" t="s">
        <v>5087</v>
      </c>
      <c r="B2538" s="1" t="s">
        <v>14165</v>
      </c>
      <c r="C2538" s="1" t="s">
        <v>14166</v>
      </c>
      <c r="D2538" s="1" t="s">
        <v>14167</v>
      </c>
    </row>
    <row r="2539" spans="1:4" x14ac:dyDescent="0.25">
      <c r="A2539" s="1" t="s">
        <v>5089</v>
      </c>
      <c r="B2539" s="1" t="s">
        <v>14168</v>
      </c>
      <c r="C2539" s="1" t="s">
        <v>14169</v>
      </c>
      <c r="D2539" s="1" t="s">
        <v>14170</v>
      </c>
    </row>
    <row r="2540" spans="1:4" x14ac:dyDescent="0.25">
      <c r="A2540" s="1" t="s">
        <v>5091</v>
      </c>
      <c r="B2540" s="1" t="s">
        <v>14171</v>
      </c>
      <c r="C2540" s="1" t="s">
        <v>14172</v>
      </c>
      <c r="D2540" s="1" t="s">
        <v>14173</v>
      </c>
    </row>
    <row r="2541" spans="1:4" x14ac:dyDescent="0.25">
      <c r="A2541" s="1" t="s">
        <v>5093</v>
      </c>
      <c r="B2541" s="1" t="s">
        <v>14174</v>
      </c>
      <c r="C2541" s="1" t="s">
        <v>14175</v>
      </c>
      <c r="D2541" s="1" t="s">
        <v>14176</v>
      </c>
    </row>
    <row r="2542" spans="1:4" x14ac:dyDescent="0.25">
      <c r="A2542" s="1" t="s">
        <v>5095</v>
      </c>
      <c r="B2542" s="1" t="s">
        <v>14177</v>
      </c>
      <c r="C2542" s="1" t="s">
        <v>14178</v>
      </c>
      <c r="D2542" s="1" t="s">
        <v>14179</v>
      </c>
    </row>
    <row r="2543" spans="1:4" x14ac:dyDescent="0.25">
      <c r="A2543" s="1" t="s">
        <v>5097</v>
      </c>
      <c r="B2543" s="1" t="s">
        <v>14180</v>
      </c>
      <c r="C2543" s="1" t="s">
        <v>14181</v>
      </c>
      <c r="D2543" s="1" t="s">
        <v>14182</v>
      </c>
    </row>
    <row r="2544" spans="1:4" x14ac:dyDescent="0.25">
      <c r="A2544" s="1" t="s">
        <v>5099</v>
      </c>
      <c r="B2544" s="1" t="s">
        <v>14183</v>
      </c>
      <c r="C2544" s="1" t="s">
        <v>14184</v>
      </c>
      <c r="D2544" s="1" t="s">
        <v>14185</v>
      </c>
    </row>
    <row r="2545" spans="1:4" x14ac:dyDescent="0.25">
      <c r="A2545" s="1" t="s">
        <v>5101</v>
      </c>
      <c r="B2545" s="1" t="s">
        <v>14186</v>
      </c>
      <c r="C2545" s="1" t="s">
        <v>14187</v>
      </c>
      <c r="D2545" s="1" t="s">
        <v>14188</v>
      </c>
    </row>
    <row r="2546" spans="1:4" x14ac:dyDescent="0.25">
      <c r="A2546" s="1" t="s">
        <v>5103</v>
      </c>
      <c r="B2546" s="1" t="s">
        <v>14189</v>
      </c>
      <c r="C2546" s="1" t="s">
        <v>14190</v>
      </c>
      <c r="D2546" s="1" t="s">
        <v>14191</v>
      </c>
    </row>
    <row r="2547" spans="1:4" x14ac:dyDescent="0.25">
      <c r="A2547" s="1" t="s">
        <v>5105</v>
      </c>
      <c r="B2547" s="1" t="s">
        <v>14192</v>
      </c>
      <c r="C2547" s="1" t="s">
        <v>14193</v>
      </c>
      <c r="D2547" s="1" t="s">
        <v>14194</v>
      </c>
    </row>
    <row r="2548" spans="1:4" x14ac:dyDescent="0.25">
      <c r="A2548" s="1" t="s">
        <v>5107</v>
      </c>
      <c r="B2548" s="1" t="s">
        <v>14195</v>
      </c>
      <c r="C2548" s="1" t="s">
        <v>14196</v>
      </c>
      <c r="D2548" s="1" t="s">
        <v>14197</v>
      </c>
    </row>
    <row r="2549" spans="1:4" x14ac:dyDescent="0.25">
      <c r="A2549" s="1" t="s">
        <v>5109</v>
      </c>
      <c r="B2549" s="1" t="s">
        <v>14198</v>
      </c>
      <c r="C2549" s="1" t="s">
        <v>14199</v>
      </c>
      <c r="D2549" s="1" t="s">
        <v>14200</v>
      </c>
    </row>
    <row r="2550" spans="1:4" x14ac:dyDescent="0.25">
      <c r="A2550" s="1" t="s">
        <v>5111</v>
      </c>
      <c r="B2550" s="1" t="s">
        <v>14201</v>
      </c>
      <c r="C2550" s="1" t="s">
        <v>14202</v>
      </c>
      <c r="D2550" s="1" t="s">
        <v>14203</v>
      </c>
    </row>
    <row r="2551" spans="1:4" x14ac:dyDescent="0.25">
      <c r="A2551" s="1" t="s">
        <v>5113</v>
      </c>
      <c r="B2551" s="1" t="s">
        <v>14204</v>
      </c>
      <c r="C2551" s="1" t="s">
        <v>14205</v>
      </c>
      <c r="D2551" s="1" t="s">
        <v>14206</v>
      </c>
    </row>
    <row r="2552" spans="1:4" x14ac:dyDescent="0.25">
      <c r="A2552" s="1" t="s">
        <v>5115</v>
      </c>
      <c r="B2552" s="1" t="s">
        <v>14207</v>
      </c>
      <c r="C2552" s="1" t="s">
        <v>14208</v>
      </c>
      <c r="D2552" s="1" t="s">
        <v>14209</v>
      </c>
    </row>
    <row r="2553" spans="1:4" x14ac:dyDescent="0.25">
      <c r="A2553" s="1" t="s">
        <v>5117</v>
      </c>
      <c r="B2553" s="1" t="s">
        <v>14210</v>
      </c>
      <c r="C2553" s="1" t="s">
        <v>14211</v>
      </c>
      <c r="D2553" s="1" t="s">
        <v>14212</v>
      </c>
    </row>
    <row r="2554" spans="1:4" x14ac:dyDescent="0.25">
      <c r="A2554" s="1" t="s">
        <v>5119</v>
      </c>
      <c r="B2554" s="1" t="s">
        <v>14213</v>
      </c>
      <c r="C2554" s="1" t="s">
        <v>14214</v>
      </c>
      <c r="D2554" s="1" t="s">
        <v>14215</v>
      </c>
    </row>
    <row r="2555" spans="1:4" x14ac:dyDescent="0.25">
      <c r="A2555" s="1" t="s">
        <v>5121</v>
      </c>
      <c r="B2555" s="1" t="s">
        <v>14216</v>
      </c>
      <c r="C2555" s="1" t="s">
        <v>14217</v>
      </c>
      <c r="D2555" s="1" t="s">
        <v>14218</v>
      </c>
    </row>
    <row r="2556" spans="1:4" x14ac:dyDescent="0.25">
      <c r="A2556" s="1" t="s">
        <v>5123</v>
      </c>
      <c r="B2556" s="1" t="s">
        <v>14219</v>
      </c>
      <c r="C2556" s="1" t="s">
        <v>14220</v>
      </c>
      <c r="D2556" s="1" t="s">
        <v>14221</v>
      </c>
    </row>
    <row r="2557" spans="1:4" x14ac:dyDescent="0.25">
      <c r="A2557" s="1" t="s">
        <v>5125</v>
      </c>
      <c r="B2557" s="1" t="s">
        <v>14222</v>
      </c>
      <c r="C2557" s="1" t="s">
        <v>14223</v>
      </c>
      <c r="D2557" s="1" t="s">
        <v>14224</v>
      </c>
    </row>
    <row r="2558" spans="1:4" x14ac:dyDescent="0.25">
      <c r="A2558" s="1" t="s">
        <v>5127</v>
      </c>
      <c r="B2558" s="1" t="s">
        <v>14225</v>
      </c>
      <c r="C2558" s="1" t="s">
        <v>14226</v>
      </c>
      <c r="D2558" s="1" t="s">
        <v>14227</v>
      </c>
    </row>
    <row r="2559" spans="1:4" x14ac:dyDescent="0.25">
      <c r="A2559" s="1" t="s">
        <v>5129</v>
      </c>
      <c r="B2559" s="1" t="s">
        <v>14228</v>
      </c>
      <c r="C2559" s="1" t="s">
        <v>14229</v>
      </c>
      <c r="D2559" s="1" t="s">
        <v>14230</v>
      </c>
    </row>
    <row r="2560" spans="1:4" x14ac:dyDescent="0.25">
      <c r="A2560" s="1" t="s">
        <v>5131</v>
      </c>
      <c r="B2560" s="1" t="s">
        <v>14231</v>
      </c>
      <c r="C2560" s="1" t="s">
        <v>14232</v>
      </c>
      <c r="D2560" s="1" t="s">
        <v>14233</v>
      </c>
    </row>
    <row r="2561" spans="1:4" x14ac:dyDescent="0.25">
      <c r="A2561" s="1" t="s">
        <v>5133</v>
      </c>
      <c r="B2561" s="1" t="s">
        <v>14234</v>
      </c>
      <c r="C2561" s="1" t="s">
        <v>14235</v>
      </c>
      <c r="D2561" s="1" t="s">
        <v>14236</v>
      </c>
    </row>
    <row r="2562" spans="1:4" x14ac:dyDescent="0.25">
      <c r="A2562" s="1" t="s">
        <v>5135</v>
      </c>
      <c r="B2562" s="1" t="s">
        <v>14237</v>
      </c>
      <c r="C2562" s="1" t="s">
        <v>14238</v>
      </c>
      <c r="D2562" s="1" t="s">
        <v>14239</v>
      </c>
    </row>
    <row r="2563" spans="1:4" x14ac:dyDescent="0.25">
      <c r="A2563" s="1" t="s">
        <v>5137</v>
      </c>
      <c r="B2563" s="1" t="s">
        <v>14240</v>
      </c>
      <c r="C2563" s="1" t="s">
        <v>14241</v>
      </c>
      <c r="D2563" s="1" t="s">
        <v>14242</v>
      </c>
    </row>
    <row r="2564" spans="1:4" x14ac:dyDescent="0.25">
      <c r="A2564" s="1" t="s">
        <v>5139</v>
      </c>
      <c r="B2564" s="1" t="s">
        <v>14243</v>
      </c>
      <c r="C2564" s="1" t="s">
        <v>14244</v>
      </c>
      <c r="D2564" s="1" t="s">
        <v>14245</v>
      </c>
    </row>
    <row r="2565" spans="1:4" x14ac:dyDescent="0.25">
      <c r="A2565" s="1" t="s">
        <v>5141</v>
      </c>
      <c r="B2565" s="1" t="s">
        <v>14246</v>
      </c>
      <c r="C2565" s="1" t="s">
        <v>14247</v>
      </c>
      <c r="D2565" s="1" t="s">
        <v>14248</v>
      </c>
    </row>
    <row r="2566" spans="1:4" x14ac:dyDescent="0.25">
      <c r="A2566" s="1" t="s">
        <v>5143</v>
      </c>
      <c r="B2566" s="1" t="s">
        <v>14249</v>
      </c>
      <c r="C2566" s="1" t="s">
        <v>14250</v>
      </c>
      <c r="D2566" s="1" t="s">
        <v>14251</v>
      </c>
    </row>
    <row r="2567" spans="1:4" x14ac:dyDescent="0.25">
      <c r="A2567" s="1" t="s">
        <v>5145</v>
      </c>
      <c r="B2567" s="1" t="s">
        <v>14252</v>
      </c>
      <c r="C2567" s="1" t="s">
        <v>14253</v>
      </c>
      <c r="D2567" s="1" t="s">
        <v>14254</v>
      </c>
    </row>
    <row r="2568" spans="1:4" x14ac:dyDescent="0.25">
      <c r="A2568" s="1" t="s">
        <v>5147</v>
      </c>
      <c r="B2568" s="1" t="s">
        <v>14255</v>
      </c>
      <c r="C2568" s="1" t="s">
        <v>14256</v>
      </c>
      <c r="D2568" s="1" t="s">
        <v>14257</v>
      </c>
    </row>
    <row r="2569" spans="1:4" x14ac:dyDescent="0.25">
      <c r="A2569" s="1" t="s">
        <v>5149</v>
      </c>
      <c r="B2569" s="1" t="s">
        <v>14258</v>
      </c>
      <c r="C2569" s="1" t="s">
        <v>14259</v>
      </c>
      <c r="D2569" s="1" t="s">
        <v>14260</v>
      </c>
    </row>
    <row r="2570" spans="1:4" x14ac:dyDescent="0.25">
      <c r="A2570" s="1" t="s">
        <v>5151</v>
      </c>
      <c r="B2570" s="1" t="s">
        <v>14261</v>
      </c>
      <c r="C2570" s="1" t="s">
        <v>14262</v>
      </c>
      <c r="D2570" s="1" t="s">
        <v>14263</v>
      </c>
    </row>
    <row r="2571" spans="1:4" x14ac:dyDescent="0.25">
      <c r="A2571" s="1" t="s">
        <v>5153</v>
      </c>
      <c r="B2571" s="1" t="s">
        <v>14264</v>
      </c>
      <c r="C2571" s="1" t="s">
        <v>14265</v>
      </c>
      <c r="D2571" s="1" t="s">
        <v>14266</v>
      </c>
    </row>
    <row r="2572" spans="1:4" x14ac:dyDescent="0.25">
      <c r="A2572" s="1" t="s">
        <v>5155</v>
      </c>
      <c r="B2572" s="1" t="s">
        <v>14267</v>
      </c>
      <c r="C2572" s="1" t="s">
        <v>14268</v>
      </c>
      <c r="D2572" s="1" t="s">
        <v>14269</v>
      </c>
    </row>
    <row r="2573" spans="1:4" x14ac:dyDescent="0.25">
      <c r="A2573" s="1" t="s">
        <v>5157</v>
      </c>
      <c r="B2573" s="1" t="s">
        <v>14270</v>
      </c>
      <c r="C2573" s="1" t="s">
        <v>14271</v>
      </c>
      <c r="D2573" s="1" t="s">
        <v>14272</v>
      </c>
    </row>
    <row r="2574" spans="1:4" x14ac:dyDescent="0.25">
      <c r="A2574" s="1" t="s">
        <v>5159</v>
      </c>
      <c r="B2574" s="1" t="s">
        <v>14273</v>
      </c>
      <c r="C2574" s="1" t="s">
        <v>14274</v>
      </c>
      <c r="D2574" s="1" t="s">
        <v>14275</v>
      </c>
    </row>
    <row r="2575" spans="1:4" x14ac:dyDescent="0.25">
      <c r="A2575" s="1" t="s">
        <v>5161</v>
      </c>
      <c r="B2575" s="1" t="s">
        <v>14276</v>
      </c>
      <c r="C2575" s="1" t="s">
        <v>14277</v>
      </c>
      <c r="D2575" s="1" t="s">
        <v>14278</v>
      </c>
    </row>
    <row r="2576" spans="1:4" x14ac:dyDescent="0.25">
      <c r="A2576" s="1" t="s">
        <v>5163</v>
      </c>
      <c r="B2576" s="1" t="s">
        <v>14279</v>
      </c>
      <c r="C2576" s="1" t="s">
        <v>14280</v>
      </c>
      <c r="D2576" s="1" t="s">
        <v>14281</v>
      </c>
    </row>
    <row r="2577" spans="1:4" x14ac:dyDescent="0.25">
      <c r="A2577" s="1" t="s">
        <v>5165</v>
      </c>
      <c r="B2577" s="1" t="s">
        <v>14282</v>
      </c>
      <c r="C2577" s="1" t="s">
        <v>14283</v>
      </c>
      <c r="D2577" s="1" t="s">
        <v>14284</v>
      </c>
    </row>
    <row r="2578" spans="1:4" x14ac:dyDescent="0.25">
      <c r="A2578" s="1" t="s">
        <v>5167</v>
      </c>
      <c r="B2578" s="1" t="s">
        <v>14285</v>
      </c>
      <c r="C2578" s="1" t="s">
        <v>14286</v>
      </c>
      <c r="D2578" s="1" t="s">
        <v>14287</v>
      </c>
    </row>
    <row r="2579" spans="1:4" x14ac:dyDescent="0.25">
      <c r="A2579" s="1" t="s">
        <v>5169</v>
      </c>
      <c r="B2579" s="1" t="s">
        <v>14288</v>
      </c>
      <c r="C2579" s="1" t="s">
        <v>14289</v>
      </c>
      <c r="D2579" s="1" t="s">
        <v>14290</v>
      </c>
    </row>
    <row r="2580" spans="1:4" x14ac:dyDescent="0.25">
      <c r="A2580" s="1" t="s">
        <v>5171</v>
      </c>
      <c r="B2580" s="1" t="s">
        <v>14291</v>
      </c>
      <c r="C2580" s="1" t="s">
        <v>14292</v>
      </c>
      <c r="D2580" s="1" t="s">
        <v>14293</v>
      </c>
    </row>
    <row r="2581" spans="1:4" x14ac:dyDescent="0.25">
      <c r="A2581" s="1" t="s">
        <v>5173</v>
      </c>
      <c r="B2581" s="1" t="s">
        <v>14294</v>
      </c>
      <c r="C2581" s="1" t="s">
        <v>14295</v>
      </c>
      <c r="D2581" s="1" t="s">
        <v>14296</v>
      </c>
    </row>
    <row r="2582" spans="1:4" x14ac:dyDescent="0.25">
      <c r="A2582" s="1" t="s">
        <v>5175</v>
      </c>
      <c r="B2582" s="1" t="s">
        <v>14297</v>
      </c>
      <c r="C2582" s="1" t="s">
        <v>14298</v>
      </c>
      <c r="D2582" s="1" t="s">
        <v>14299</v>
      </c>
    </row>
    <row r="2583" spans="1:4" x14ac:dyDescent="0.25">
      <c r="A2583" s="1" t="s">
        <v>5177</v>
      </c>
      <c r="B2583" s="1" t="s">
        <v>14300</v>
      </c>
      <c r="C2583" s="1" t="s">
        <v>14301</v>
      </c>
      <c r="D2583" s="1" t="s">
        <v>14302</v>
      </c>
    </row>
    <row r="2584" spans="1:4" x14ac:dyDescent="0.25">
      <c r="A2584" s="1" t="s">
        <v>5179</v>
      </c>
      <c r="B2584" s="1" t="s">
        <v>14303</v>
      </c>
      <c r="C2584" s="1" t="s">
        <v>14304</v>
      </c>
      <c r="D2584" s="1" t="s">
        <v>14305</v>
      </c>
    </row>
    <row r="2585" spans="1:4" x14ac:dyDescent="0.25">
      <c r="A2585" s="1" t="s">
        <v>5181</v>
      </c>
      <c r="B2585" s="1" t="s">
        <v>14306</v>
      </c>
      <c r="C2585" s="1" t="s">
        <v>14307</v>
      </c>
      <c r="D2585" s="1" t="s">
        <v>14308</v>
      </c>
    </row>
    <row r="2586" spans="1:4" x14ac:dyDescent="0.25">
      <c r="A2586" s="1" t="s">
        <v>5183</v>
      </c>
      <c r="B2586" s="1" t="s">
        <v>14309</v>
      </c>
      <c r="C2586" s="1" t="s">
        <v>14310</v>
      </c>
      <c r="D2586" s="1" t="s">
        <v>14311</v>
      </c>
    </row>
    <row r="2587" spans="1:4" x14ac:dyDescent="0.25">
      <c r="A2587" s="1" t="s">
        <v>5185</v>
      </c>
      <c r="B2587" s="1" t="s">
        <v>14312</v>
      </c>
      <c r="C2587" s="1" t="s">
        <v>14313</v>
      </c>
      <c r="D2587" s="1" t="s">
        <v>14314</v>
      </c>
    </row>
    <row r="2588" spans="1:4" x14ac:dyDescent="0.25">
      <c r="A2588" s="1" t="s">
        <v>5187</v>
      </c>
      <c r="B2588" s="1" t="s">
        <v>14315</v>
      </c>
      <c r="C2588" s="1" t="s">
        <v>14316</v>
      </c>
      <c r="D2588" s="1" t="s">
        <v>14317</v>
      </c>
    </row>
    <row r="2589" spans="1:4" x14ac:dyDescent="0.25">
      <c r="A2589" s="1" t="s">
        <v>5189</v>
      </c>
      <c r="B2589" s="1" t="s">
        <v>14318</v>
      </c>
      <c r="C2589" s="1" t="s">
        <v>14319</v>
      </c>
      <c r="D2589" s="1" t="s">
        <v>14320</v>
      </c>
    </row>
    <row r="2590" spans="1:4" x14ac:dyDescent="0.25">
      <c r="A2590" s="1" t="s">
        <v>5191</v>
      </c>
      <c r="B2590" s="1" t="s">
        <v>14321</v>
      </c>
      <c r="C2590" s="1" t="s">
        <v>14322</v>
      </c>
      <c r="D2590" s="1" t="s">
        <v>14323</v>
      </c>
    </row>
    <row r="2591" spans="1:4" x14ac:dyDescent="0.25">
      <c r="A2591" s="1" t="s">
        <v>5193</v>
      </c>
      <c r="B2591" s="1" t="s">
        <v>14324</v>
      </c>
      <c r="C2591" s="1" t="s">
        <v>14325</v>
      </c>
      <c r="D2591" s="1" t="s">
        <v>14326</v>
      </c>
    </row>
    <row r="2592" spans="1:4" x14ac:dyDescent="0.25">
      <c r="A2592" s="1" t="s">
        <v>5195</v>
      </c>
      <c r="B2592" s="1" t="s">
        <v>14327</v>
      </c>
      <c r="C2592" s="1" t="s">
        <v>14328</v>
      </c>
      <c r="D2592" s="1" t="s">
        <v>14329</v>
      </c>
    </row>
    <row r="2593" spans="1:4" x14ac:dyDescent="0.25">
      <c r="A2593" s="1" t="s">
        <v>5197</v>
      </c>
      <c r="B2593" s="1" t="s">
        <v>14330</v>
      </c>
      <c r="C2593" s="1" t="s">
        <v>14331</v>
      </c>
      <c r="D2593" s="1" t="s">
        <v>14332</v>
      </c>
    </row>
    <row r="2594" spans="1:4" x14ac:dyDescent="0.25">
      <c r="A2594" s="1" t="s">
        <v>5199</v>
      </c>
      <c r="B2594" s="1" t="s">
        <v>14333</v>
      </c>
      <c r="C2594" s="1" t="s">
        <v>14334</v>
      </c>
      <c r="D2594" s="1" t="s">
        <v>14335</v>
      </c>
    </row>
    <row r="2595" spans="1:4" x14ac:dyDescent="0.25">
      <c r="A2595" s="1" t="s">
        <v>5201</v>
      </c>
      <c r="B2595" s="1" t="s">
        <v>14336</v>
      </c>
      <c r="C2595" s="1" t="s">
        <v>14337</v>
      </c>
      <c r="D2595" s="1" t="s">
        <v>14338</v>
      </c>
    </row>
    <row r="2596" spans="1:4" x14ac:dyDescent="0.25">
      <c r="A2596" s="1" t="s">
        <v>5203</v>
      </c>
      <c r="B2596" s="1" t="s">
        <v>14339</v>
      </c>
      <c r="C2596" s="1" t="s">
        <v>14340</v>
      </c>
      <c r="D2596" s="1" t="s">
        <v>14341</v>
      </c>
    </row>
    <row r="2597" spans="1:4" x14ac:dyDescent="0.25">
      <c r="A2597" s="1" t="s">
        <v>5205</v>
      </c>
      <c r="B2597" s="1" t="s">
        <v>14342</v>
      </c>
      <c r="C2597" s="1" t="s">
        <v>14343</v>
      </c>
      <c r="D2597" s="1" t="s">
        <v>14344</v>
      </c>
    </row>
    <row r="2598" spans="1:4" x14ac:dyDescent="0.25">
      <c r="A2598" s="1" t="s">
        <v>5207</v>
      </c>
      <c r="B2598" s="1" t="s">
        <v>14345</v>
      </c>
      <c r="C2598" s="1" t="s">
        <v>14346</v>
      </c>
      <c r="D2598" s="1" t="s">
        <v>14347</v>
      </c>
    </row>
    <row r="2599" spans="1:4" x14ac:dyDescent="0.25">
      <c r="A2599" s="1" t="s">
        <v>5209</v>
      </c>
      <c r="B2599" s="1" t="s">
        <v>14348</v>
      </c>
      <c r="C2599" s="1" t="s">
        <v>14349</v>
      </c>
      <c r="D2599" s="1" t="s">
        <v>14350</v>
      </c>
    </row>
    <row r="2600" spans="1:4" x14ac:dyDescent="0.25">
      <c r="A2600" s="1" t="s">
        <v>5211</v>
      </c>
      <c r="B2600" s="1" t="s">
        <v>14351</v>
      </c>
      <c r="C2600" s="1" t="s">
        <v>14352</v>
      </c>
      <c r="D2600" s="1" t="s">
        <v>14353</v>
      </c>
    </row>
    <row r="2601" spans="1:4" x14ac:dyDescent="0.25">
      <c r="A2601" s="1" t="s">
        <v>5213</v>
      </c>
      <c r="B2601" s="1" t="s">
        <v>14354</v>
      </c>
      <c r="C2601" s="1" t="s">
        <v>14355</v>
      </c>
      <c r="D2601" s="1" t="s">
        <v>14356</v>
      </c>
    </row>
    <row r="2602" spans="1:4" x14ac:dyDescent="0.25">
      <c r="A2602" s="1" t="s">
        <v>5215</v>
      </c>
      <c r="B2602" s="1" t="s">
        <v>14357</v>
      </c>
      <c r="C2602" s="1" t="s">
        <v>14358</v>
      </c>
      <c r="D2602" s="1" t="s">
        <v>14359</v>
      </c>
    </row>
    <row r="2603" spans="1:4" x14ac:dyDescent="0.25">
      <c r="A2603" s="1" t="s">
        <v>5217</v>
      </c>
      <c r="B2603" s="1" t="s">
        <v>14360</v>
      </c>
      <c r="C2603" s="1" t="s">
        <v>14361</v>
      </c>
      <c r="D2603" s="1" t="s">
        <v>14362</v>
      </c>
    </row>
    <row r="2604" spans="1:4" x14ac:dyDescent="0.25">
      <c r="A2604" s="1" t="s">
        <v>5219</v>
      </c>
      <c r="B2604" s="1" t="s">
        <v>14363</v>
      </c>
      <c r="C2604" s="1" t="s">
        <v>14364</v>
      </c>
      <c r="D2604" s="1" t="s">
        <v>14365</v>
      </c>
    </row>
    <row r="2605" spans="1:4" x14ac:dyDescent="0.25">
      <c r="A2605" s="1" t="s">
        <v>5221</v>
      </c>
      <c r="B2605" s="1" t="s">
        <v>14366</v>
      </c>
      <c r="C2605" s="1" t="s">
        <v>14367</v>
      </c>
      <c r="D2605" s="1" t="s">
        <v>14368</v>
      </c>
    </row>
    <row r="2606" spans="1:4" x14ac:dyDescent="0.25">
      <c r="A2606" s="1" t="s">
        <v>5223</v>
      </c>
      <c r="B2606" s="1" t="s">
        <v>14369</v>
      </c>
      <c r="C2606" s="1" t="s">
        <v>14370</v>
      </c>
      <c r="D2606" s="1" t="s">
        <v>14371</v>
      </c>
    </row>
    <row r="2607" spans="1:4" x14ac:dyDescent="0.25">
      <c r="A2607" s="1" t="s">
        <v>5225</v>
      </c>
      <c r="B2607" s="1" t="s">
        <v>14372</v>
      </c>
      <c r="C2607" s="1" t="s">
        <v>14373</v>
      </c>
      <c r="D2607" s="1" t="s">
        <v>14374</v>
      </c>
    </row>
    <row r="2608" spans="1:4" x14ac:dyDescent="0.25">
      <c r="A2608" s="1" t="s">
        <v>5227</v>
      </c>
      <c r="B2608" s="1" t="s">
        <v>14375</v>
      </c>
      <c r="C2608" s="1" t="s">
        <v>14376</v>
      </c>
      <c r="D2608" s="1" t="s">
        <v>14377</v>
      </c>
    </row>
    <row r="2609" spans="1:4" x14ac:dyDescent="0.25">
      <c r="A2609" s="1" t="s">
        <v>5229</v>
      </c>
      <c r="B2609" s="1" t="s">
        <v>14378</v>
      </c>
      <c r="C2609" s="1" t="s">
        <v>14379</v>
      </c>
      <c r="D2609" s="1" t="s">
        <v>14380</v>
      </c>
    </row>
    <row r="2610" spans="1:4" x14ac:dyDescent="0.25">
      <c r="A2610" s="1" t="s">
        <v>5231</v>
      </c>
      <c r="B2610" s="1" t="s">
        <v>14381</v>
      </c>
      <c r="C2610" s="1" t="s">
        <v>14382</v>
      </c>
      <c r="D2610" s="1" t="s">
        <v>14383</v>
      </c>
    </row>
    <row r="2611" spans="1:4" x14ac:dyDescent="0.25">
      <c r="A2611" s="1" t="s">
        <v>5233</v>
      </c>
      <c r="B2611" s="1" t="s">
        <v>14384</v>
      </c>
      <c r="C2611" s="1" t="s">
        <v>14385</v>
      </c>
      <c r="D2611" s="1" t="s">
        <v>14386</v>
      </c>
    </row>
    <row r="2612" spans="1:4" x14ac:dyDescent="0.25">
      <c r="A2612" s="1" t="s">
        <v>5235</v>
      </c>
      <c r="B2612" s="1" t="s">
        <v>14387</v>
      </c>
      <c r="C2612" s="1" t="s">
        <v>14388</v>
      </c>
      <c r="D2612" s="1" t="s">
        <v>14389</v>
      </c>
    </row>
    <row r="2613" spans="1:4" x14ac:dyDescent="0.25">
      <c r="A2613" s="1" t="s">
        <v>5237</v>
      </c>
      <c r="B2613" s="1" t="s">
        <v>14390</v>
      </c>
      <c r="C2613" s="1" t="s">
        <v>14391</v>
      </c>
      <c r="D2613" s="1" t="s">
        <v>14392</v>
      </c>
    </row>
    <row r="2614" spans="1:4" x14ac:dyDescent="0.25">
      <c r="A2614" s="1" t="s">
        <v>5239</v>
      </c>
      <c r="B2614" s="1" t="s">
        <v>14393</v>
      </c>
      <c r="C2614" s="1" t="s">
        <v>14394</v>
      </c>
      <c r="D2614" s="1" t="s">
        <v>14395</v>
      </c>
    </row>
    <row r="2615" spans="1:4" x14ac:dyDescent="0.25">
      <c r="A2615" s="1" t="s">
        <v>5241</v>
      </c>
      <c r="B2615" s="1" t="s">
        <v>14396</v>
      </c>
      <c r="C2615" s="1" t="s">
        <v>14397</v>
      </c>
      <c r="D2615" s="1" t="s">
        <v>14398</v>
      </c>
    </row>
    <row r="2616" spans="1:4" x14ac:dyDescent="0.25">
      <c r="A2616" s="1" t="s">
        <v>5243</v>
      </c>
      <c r="B2616" s="1" t="s">
        <v>14399</v>
      </c>
      <c r="C2616" s="1" t="s">
        <v>14400</v>
      </c>
      <c r="D2616" s="1" t="s">
        <v>14401</v>
      </c>
    </row>
    <row r="2617" spans="1:4" x14ac:dyDescent="0.25">
      <c r="A2617" s="1" t="s">
        <v>5245</v>
      </c>
      <c r="B2617" s="1" t="s">
        <v>14402</v>
      </c>
      <c r="C2617" s="1" t="s">
        <v>14403</v>
      </c>
      <c r="D2617" s="1" t="s">
        <v>14404</v>
      </c>
    </row>
    <row r="2618" spans="1:4" x14ac:dyDescent="0.25">
      <c r="A2618" s="1" t="s">
        <v>5247</v>
      </c>
      <c r="B2618" s="1" t="s">
        <v>14405</v>
      </c>
      <c r="C2618" s="1" t="s">
        <v>14406</v>
      </c>
      <c r="D2618" s="1" t="s">
        <v>14407</v>
      </c>
    </row>
    <row r="2619" spans="1:4" x14ac:dyDescent="0.25">
      <c r="A2619" s="1" t="s">
        <v>5249</v>
      </c>
      <c r="B2619" s="1" t="s">
        <v>14408</v>
      </c>
      <c r="C2619" s="1" t="s">
        <v>14409</v>
      </c>
      <c r="D2619" s="1" t="s">
        <v>14410</v>
      </c>
    </row>
    <row r="2620" spans="1:4" x14ac:dyDescent="0.25">
      <c r="A2620" s="1" t="s">
        <v>5251</v>
      </c>
      <c r="B2620" s="1" t="s">
        <v>14411</v>
      </c>
      <c r="C2620" s="1" t="s">
        <v>14412</v>
      </c>
      <c r="D2620" s="1" t="s">
        <v>14413</v>
      </c>
    </row>
    <row r="2621" spans="1:4" x14ac:dyDescent="0.25">
      <c r="A2621" s="1" t="s">
        <v>5253</v>
      </c>
      <c r="B2621" s="1" t="s">
        <v>14414</v>
      </c>
      <c r="C2621" s="1" t="s">
        <v>14415</v>
      </c>
      <c r="D2621" s="1" t="s">
        <v>14416</v>
      </c>
    </row>
    <row r="2622" spans="1:4" x14ac:dyDescent="0.25">
      <c r="A2622" s="1" t="s">
        <v>5255</v>
      </c>
      <c r="B2622" s="1" t="s">
        <v>14417</v>
      </c>
      <c r="C2622" s="1" t="s">
        <v>14418</v>
      </c>
      <c r="D2622" s="1" t="s">
        <v>14419</v>
      </c>
    </row>
    <row r="2623" spans="1:4" x14ac:dyDescent="0.25">
      <c r="A2623" s="1" t="s">
        <v>5257</v>
      </c>
      <c r="B2623" s="1" t="s">
        <v>14420</v>
      </c>
      <c r="C2623" s="1" t="s">
        <v>14421</v>
      </c>
      <c r="D2623" s="1" t="s">
        <v>14422</v>
      </c>
    </row>
    <row r="2624" spans="1:4" x14ac:dyDescent="0.25">
      <c r="A2624" s="1" t="s">
        <v>5259</v>
      </c>
      <c r="B2624" s="1" t="s">
        <v>14423</v>
      </c>
      <c r="C2624" s="1" t="s">
        <v>14424</v>
      </c>
      <c r="D2624" s="1" t="s">
        <v>14425</v>
      </c>
    </row>
    <row r="2625" spans="1:4" x14ac:dyDescent="0.25">
      <c r="A2625" s="1" t="s">
        <v>5261</v>
      </c>
      <c r="B2625" s="1" t="s">
        <v>14426</v>
      </c>
      <c r="C2625" s="1" t="s">
        <v>14427</v>
      </c>
      <c r="D2625" s="1" t="s">
        <v>14428</v>
      </c>
    </row>
    <row r="2626" spans="1:4" x14ac:dyDescent="0.25">
      <c r="A2626" s="1" t="s">
        <v>5263</v>
      </c>
      <c r="B2626" s="1" t="s">
        <v>14429</v>
      </c>
      <c r="C2626" s="1" t="s">
        <v>14430</v>
      </c>
      <c r="D2626" s="1" t="s">
        <v>14431</v>
      </c>
    </row>
    <row r="2627" spans="1:4" x14ac:dyDescent="0.25">
      <c r="A2627" s="1" t="s">
        <v>5265</v>
      </c>
      <c r="B2627" s="1" t="s">
        <v>14432</v>
      </c>
      <c r="C2627" s="1" t="s">
        <v>14433</v>
      </c>
      <c r="D2627" s="1" t="s">
        <v>14434</v>
      </c>
    </row>
    <row r="2628" spans="1:4" x14ac:dyDescent="0.25">
      <c r="A2628" s="1" t="s">
        <v>5267</v>
      </c>
      <c r="B2628" s="1" t="s">
        <v>14435</v>
      </c>
      <c r="C2628" s="1" t="s">
        <v>14436</v>
      </c>
      <c r="D2628" s="1" t="s">
        <v>14437</v>
      </c>
    </row>
    <row r="2629" spans="1:4" x14ac:dyDescent="0.25">
      <c r="A2629" s="1" t="s">
        <v>5269</v>
      </c>
      <c r="B2629" s="1" t="s">
        <v>14438</v>
      </c>
      <c r="C2629" s="1" t="s">
        <v>14439</v>
      </c>
      <c r="D2629" s="1" t="s">
        <v>14440</v>
      </c>
    </row>
    <row r="2630" spans="1:4" x14ac:dyDescent="0.25">
      <c r="A2630" s="1" t="s">
        <v>5271</v>
      </c>
      <c r="B2630" s="1" t="s">
        <v>14441</v>
      </c>
      <c r="C2630" s="1" t="s">
        <v>14442</v>
      </c>
      <c r="D2630" s="1" t="s">
        <v>14443</v>
      </c>
    </row>
    <row r="2631" spans="1:4" x14ac:dyDescent="0.25">
      <c r="A2631" s="1" t="s">
        <v>5273</v>
      </c>
      <c r="B2631" s="1" t="s">
        <v>14444</v>
      </c>
      <c r="C2631" s="1" t="s">
        <v>14445</v>
      </c>
      <c r="D2631" s="1" t="s">
        <v>14446</v>
      </c>
    </row>
    <row r="2632" spans="1:4" x14ac:dyDescent="0.25">
      <c r="A2632" s="1" t="s">
        <v>5275</v>
      </c>
      <c r="B2632" s="1" t="s">
        <v>14447</v>
      </c>
      <c r="C2632" s="1" t="s">
        <v>14448</v>
      </c>
      <c r="D2632" s="1" t="s">
        <v>14449</v>
      </c>
    </row>
    <row r="2633" spans="1:4" x14ac:dyDescent="0.25">
      <c r="A2633" s="1" t="s">
        <v>5277</v>
      </c>
      <c r="B2633" s="1" t="s">
        <v>14450</v>
      </c>
      <c r="C2633" s="1" t="s">
        <v>14451</v>
      </c>
      <c r="D2633" s="1" t="s">
        <v>14452</v>
      </c>
    </row>
    <row r="2634" spans="1:4" x14ac:dyDescent="0.25">
      <c r="A2634" s="1" t="s">
        <v>5279</v>
      </c>
      <c r="B2634" s="1" t="s">
        <v>14453</v>
      </c>
      <c r="C2634" s="1" t="s">
        <v>14454</v>
      </c>
      <c r="D2634" s="1" t="s">
        <v>14455</v>
      </c>
    </row>
    <row r="2635" spans="1:4" x14ac:dyDescent="0.25">
      <c r="A2635" s="1" t="s">
        <v>5281</v>
      </c>
      <c r="B2635" s="1" t="s">
        <v>14456</v>
      </c>
      <c r="C2635" s="1" t="s">
        <v>14457</v>
      </c>
      <c r="D2635" s="1" t="s">
        <v>14458</v>
      </c>
    </row>
    <row r="2636" spans="1:4" x14ac:dyDescent="0.25">
      <c r="A2636" s="1" t="s">
        <v>5283</v>
      </c>
      <c r="B2636" s="1" t="s">
        <v>14459</v>
      </c>
      <c r="C2636" s="1" t="s">
        <v>14460</v>
      </c>
      <c r="D2636" s="1" t="s">
        <v>14461</v>
      </c>
    </row>
    <row r="2637" spans="1:4" x14ac:dyDescent="0.25">
      <c r="A2637" s="1" t="s">
        <v>5285</v>
      </c>
      <c r="B2637" s="1" t="s">
        <v>14462</v>
      </c>
      <c r="C2637" s="1" t="s">
        <v>14463</v>
      </c>
      <c r="D2637" s="1" t="s">
        <v>14464</v>
      </c>
    </row>
    <row r="2638" spans="1:4" x14ac:dyDescent="0.25">
      <c r="A2638" s="1" t="s">
        <v>5287</v>
      </c>
      <c r="B2638" s="1" t="s">
        <v>14465</v>
      </c>
      <c r="C2638" s="1" t="s">
        <v>14466</v>
      </c>
      <c r="D2638" s="1" t="s">
        <v>14467</v>
      </c>
    </row>
    <row r="2639" spans="1:4" x14ac:dyDescent="0.25">
      <c r="A2639" s="1" t="s">
        <v>5289</v>
      </c>
      <c r="B2639" s="1" t="s">
        <v>14468</v>
      </c>
      <c r="C2639" s="1" t="s">
        <v>14469</v>
      </c>
      <c r="D2639" s="1" t="s">
        <v>14470</v>
      </c>
    </row>
    <row r="2640" spans="1:4" x14ac:dyDescent="0.25">
      <c r="A2640" s="1" t="s">
        <v>5291</v>
      </c>
      <c r="B2640" s="1" t="s">
        <v>14471</v>
      </c>
      <c r="C2640" s="1" t="s">
        <v>14472</v>
      </c>
      <c r="D2640" s="1" t="s">
        <v>14473</v>
      </c>
    </row>
    <row r="2641" spans="1:4" x14ac:dyDescent="0.25">
      <c r="A2641" s="1" t="s">
        <v>5293</v>
      </c>
      <c r="B2641" s="1" t="s">
        <v>14474</v>
      </c>
      <c r="C2641" s="1" t="s">
        <v>14475</v>
      </c>
      <c r="D2641" s="1" t="s">
        <v>14476</v>
      </c>
    </row>
    <row r="2642" spans="1:4" x14ac:dyDescent="0.25">
      <c r="A2642" s="1" t="s">
        <v>5295</v>
      </c>
      <c r="B2642" s="1" t="s">
        <v>14477</v>
      </c>
      <c r="C2642" s="1" t="s">
        <v>14478</v>
      </c>
      <c r="D2642" s="1" t="s">
        <v>14479</v>
      </c>
    </row>
    <row r="2643" spans="1:4" x14ac:dyDescent="0.25">
      <c r="A2643" s="1" t="s">
        <v>5297</v>
      </c>
      <c r="B2643" s="1" t="s">
        <v>14480</v>
      </c>
      <c r="C2643" s="1" t="s">
        <v>14481</v>
      </c>
      <c r="D2643" s="1" t="s">
        <v>14482</v>
      </c>
    </row>
    <row r="2644" spans="1:4" x14ac:dyDescent="0.25">
      <c r="A2644" s="1" t="s">
        <v>5299</v>
      </c>
      <c r="B2644" s="1" t="s">
        <v>14483</v>
      </c>
      <c r="C2644" s="1" t="s">
        <v>14484</v>
      </c>
      <c r="D2644" s="1" t="s">
        <v>14485</v>
      </c>
    </row>
    <row r="2645" spans="1:4" x14ac:dyDescent="0.25">
      <c r="A2645" s="1" t="s">
        <v>5301</v>
      </c>
      <c r="B2645" s="1" t="s">
        <v>14486</v>
      </c>
      <c r="C2645" s="1" t="s">
        <v>14487</v>
      </c>
      <c r="D2645" s="1" t="s">
        <v>14488</v>
      </c>
    </row>
    <row r="2646" spans="1:4" x14ac:dyDescent="0.25">
      <c r="A2646" s="1" t="s">
        <v>5303</v>
      </c>
      <c r="B2646" s="1" t="s">
        <v>14489</v>
      </c>
      <c r="C2646" s="1" t="s">
        <v>14490</v>
      </c>
      <c r="D2646" s="1" t="s">
        <v>14491</v>
      </c>
    </row>
    <row r="2647" spans="1:4" x14ac:dyDescent="0.25">
      <c r="A2647" s="1" t="s">
        <v>5305</v>
      </c>
      <c r="B2647" s="1" t="s">
        <v>14492</v>
      </c>
      <c r="C2647" s="1" t="s">
        <v>14493</v>
      </c>
      <c r="D2647" s="1" t="s">
        <v>14494</v>
      </c>
    </row>
    <row r="2648" spans="1:4" x14ac:dyDescent="0.25">
      <c r="A2648" s="1" t="s">
        <v>5307</v>
      </c>
      <c r="B2648" s="1" t="s">
        <v>14495</v>
      </c>
      <c r="C2648" s="1" t="s">
        <v>14496</v>
      </c>
      <c r="D2648" s="1" t="s">
        <v>14497</v>
      </c>
    </row>
    <row r="2649" spans="1:4" x14ac:dyDescent="0.25">
      <c r="A2649" s="1" t="s">
        <v>5309</v>
      </c>
      <c r="B2649" s="1" t="s">
        <v>14498</v>
      </c>
      <c r="C2649" s="1" t="s">
        <v>14499</v>
      </c>
      <c r="D2649" s="1" t="s">
        <v>14500</v>
      </c>
    </row>
    <row r="2650" spans="1:4" x14ac:dyDescent="0.25">
      <c r="A2650" s="1" t="s">
        <v>5311</v>
      </c>
      <c r="B2650" s="1" t="s">
        <v>14501</v>
      </c>
      <c r="C2650" s="1" t="s">
        <v>14502</v>
      </c>
      <c r="D2650" s="1" t="s">
        <v>14503</v>
      </c>
    </row>
    <row r="2651" spans="1:4" x14ac:dyDescent="0.25">
      <c r="A2651" s="1" t="s">
        <v>5313</v>
      </c>
      <c r="B2651" s="1" t="s">
        <v>14504</v>
      </c>
      <c r="C2651" s="1" t="s">
        <v>14505</v>
      </c>
      <c r="D2651" s="1" t="s">
        <v>14506</v>
      </c>
    </row>
    <row r="2652" spans="1:4" x14ac:dyDescent="0.25">
      <c r="A2652" s="1" t="s">
        <v>5315</v>
      </c>
      <c r="B2652" s="1" t="s">
        <v>14507</v>
      </c>
      <c r="C2652" s="1" t="s">
        <v>14508</v>
      </c>
      <c r="D2652" s="1" t="s">
        <v>14509</v>
      </c>
    </row>
    <row r="2653" spans="1:4" x14ac:dyDescent="0.25">
      <c r="A2653" s="1" t="s">
        <v>5317</v>
      </c>
      <c r="B2653" s="1" t="s">
        <v>14510</v>
      </c>
      <c r="C2653" s="1" t="s">
        <v>14511</v>
      </c>
      <c r="D2653" s="1" t="s">
        <v>14512</v>
      </c>
    </row>
    <row r="2654" spans="1:4" x14ac:dyDescent="0.25">
      <c r="A2654" s="1" t="s">
        <v>5319</v>
      </c>
      <c r="B2654" s="1" t="s">
        <v>14513</v>
      </c>
      <c r="C2654" s="1" t="s">
        <v>14514</v>
      </c>
      <c r="D2654" s="1" t="s">
        <v>14515</v>
      </c>
    </row>
    <row r="2655" spans="1:4" x14ac:dyDescent="0.25">
      <c r="A2655" s="1" t="s">
        <v>5321</v>
      </c>
      <c r="B2655" s="1" t="s">
        <v>14516</v>
      </c>
      <c r="C2655" s="1" t="s">
        <v>14517</v>
      </c>
      <c r="D2655" s="1" t="s">
        <v>14518</v>
      </c>
    </row>
    <row r="2656" spans="1:4" x14ac:dyDescent="0.25">
      <c r="A2656" s="1" t="s">
        <v>5323</v>
      </c>
      <c r="B2656" s="1" t="s">
        <v>14519</v>
      </c>
      <c r="C2656" s="1" t="s">
        <v>14520</v>
      </c>
      <c r="D2656" s="1" t="s">
        <v>14521</v>
      </c>
    </row>
    <row r="2657" spans="1:4" x14ac:dyDescent="0.25">
      <c r="A2657" s="1" t="s">
        <v>5325</v>
      </c>
      <c r="B2657" s="1" t="s">
        <v>14522</v>
      </c>
      <c r="C2657" s="1" t="s">
        <v>14523</v>
      </c>
      <c r="D2657" s="1" t="s">
        <v>14524</v>
      </c>
    </row>
    <row r="2658" spans="1:4" x14ac:dyDescent="0.25">
      <c r="A2658" s="1" t="s">
        <v>5327</v>
      </c>
      <c r="B2658" s="1" t="s">
        <v>14525</v>
      </c>
      <c r="C2658" s="1" t="s">
        <v>14526</v>
      </c>
      <c r="D2658" s="1" t="s">
        <v>14527</v>
      </c>
    </row>
    <row r="2659" spans="1:4" x14ac:dyDescent="0.25">
      <c r="A2659" s="1" t="s">
        <v>5329</v>
      </c>
      <c r="B2659" s="1" t="s">
        <v>14528</v>
      </c>
      <c r="C2659" s="1" t="s">
        <v>14529</v>
      </c>
      <c r="D2659" s="1" t="s">
        <v>14530</v>
      </c>
    </row>
    <row r="2660" spans="1:4" x14ac:dyDescent="0.25">
      <c r="A2660" s="1" t="s">
        <v>5331</v>
      </c>
      <c r="B2660" s="1" t="s">
        <v>14531</v>
      </c>
      <c r="C2660" s="1" t="s">
        <v>14532</v>
      </c>
      <c r="D2660" s="1" t="s">
        <v>14533</v>
      </c>
    </row>
    <row r="2661" spans="1:4" x14ac:dyDescent="0.25">
      <c r="A2661" s="1" t="s">
        <v>5333</v>
      </c>
      <c r="B2661" s="1" t="s">
        <v>14534</v>
      </c>
      <c r="C2661" s="1" t="s">
        <v>14535</v>
      </c>
      <c r="D2661" s="1" t="s">
        <v>14536</v>
      </c>
    </row>
    <row r="2662" spans="1:4" x14ac:dyDescent="0.25">
      <c r="A2662" s="1" t="s">
        <v>5335</v>
      </c>
      <c r="B2662" s="1" t="s">
        <v>14537</v>
      </c>
      <c r="C2662" s="1" t="s">
        <v>14538</v>
      </c>
      <c r="D2662" s="1" t="s">
        <v>14539</v>
      </c>
    </row>
    <row r="2663" spans="1:4" x14ac:dyDescent="0.25">
      <c r="A2663" s="1" t="s">
        <v>5337</v>
      </c>
      <c r="B2663" s="1" t="s">
        <v>14540</v>
      </c>
      <c r="C2663" s="1" t="s">
        <v>14541</v>
      </c>
      <c r="D2663" s="1" t="s">
        <v>14542</v>
      </c>
    </row>
    <row r="2664" spans="1:4" x14ac:dyDescent="0.25">
      <c r="A2664" s="1" t="s">
        <v>5339</v>
      </c>
      <c r="B2664" s="1" t="s">
        <v>14543</v>
      </c>
      <c r="C2664" s="1" t="s">
        <v>14544</v>
      </c>
      <c r="D2664" s="1" t="s">
        <v>14545</v>
      </c>
    </row>
    <row r="2665" spans="1:4" x14ac:dyDescent="0.25">
      <c r="A2665" s="1" t="s">
        <v>5341</v>
      </c>
      <c r="B2665" s="1" t="s">
        <v>14546</v>
      </c>
      <c r="C2665" s="1" t="s">
        <v>14547</v>
      </c>
      <c r="D2665" s="1" t="s">
        <v>14548</v>
      </c>
    </row>
    <row r="2666" spans="1:4" x14ac:dyDescent="0.25">
      <c r="A2666" s="1" t="s">
        <v>5343</v>
      </c>
      <c r="B2666" s="1" t="s">
        <v>14549</v>
      </c>
      <c r="C2666" s="1" t="s">
        <v>14550</v>
      </c>
      <c r="D2666" s="1" t="s">
        <v>14551</v>
      </c>
    </row>
    <row r="2667" spans="1:4" x14ac:dyDescent="0.25">
      <c r="A2667" s="1" t="s">
        <v>5345</v>
      </c>
      <c r="B2667" s="1" t="s">
        <v>14552</v>
      </c>
      <c r="C2667" s="1" t="s">
        <v>14553</v>
      </c>
      <c r="D2667" s="1" t="s">
        <v>14554</v>
      </c>
    </row>
    <row r="2668" spans="1:4" x14ac:dyDescent="0.25">
      <c r="A2668" s="1" t="s">
        <v>5347</v>
      </c>
      <c r="B2668" s="1" t="s">
        <v>14555</v>
      </c>
      <c r="C2668" s="1" t="s">
        <v>14556</v>
      </c>
      <c r="D2668" s="1" t="s">
        <v>14557</v>
      </c>
    </row>
    <row r="2669" spans="1:4" x14ac:dyDescent="0.25">
      <c r="A2669" s="1" t="s">
        <v>5349</v>
      </c>
      <c r="B2669" s="1" t="s">
        <v>14558</v>
      </c>
      <c r="C2669" s="1" t="s">
        <v>14559</v>
      </c>
      <c r="D2669" s="1" t="s">
        <v>14560</v>
      </c>
    </row>
    <row r="2670" spans="1:4" x14ac:dyDescent="0.25">
      <c r="A2670" s="1" t="s">
        <v>5351</v>
      </c>
      <c r="B2670" s="1" t="s">
        <v>14561</v>
      </c>
      <c r="C2670" s="1" t="s">
        <v>14562</v>
      </c>
      <c r="D2670" s="1" t="s">
        <v>14563</v>
      </c>
    </row>
    <row r="2671" spans="1:4" x14ac:dyDescent="0.25">
      <c r="A2671" s="1" t="s">
        <v>5353</v>
      </c>
      <c r="B2671" s="1" t="s">
        <v>14564</v>
      </c>
      <c r="C2671" s="1" t="s">
        <v>14565</v>
      </c>
      <c r="D2671" s="1" t="s">
        <v>14566</v>
      </c>
    </row>
    <row r="2672" spans="1:4" x14ac:dyDescent="0.25">
      <c r="A2672" s="1" t="s">
        <v>5355</v>
      </c>
      <c r="B2672" s="1" t="s">
        <v>14567</v>
      </c>
      <c r="C2672" s="1" t="s">
        <v>14568</v>
      </c>
      <c r="D2672" s="1" t="s">
        <v>14569</v>
      </c>
    </row>
    <row r="2673" spans="1:4" x14ac:dyDescent="0.25">
      <c r="A2673" s="1" t="s">
        <v>5357</v>
      </c>
      <c r="B2673" s="1" t="s">
        <v>14570</v>
      </c>
      <c r="C2673" s="1" t="s">
        <v>14571</v>
      </c>
      <c r="D2673" s="1" t="s">
        <v>14572</v>
      </c>
    </row>
    <row r="2674" spans="1:4" x14ac:dyDescent="0.25">
      <c r="A2674" s="1" t="s">
        <v>5359</v>
      </c>
      <c r="B2674" s="1" t="s">
        <v>14573</v>
      </c>
      <c r="C2674" s="1" t="s">
        <v>14574</v>
      </c>
      <c r="D2674" s="1" t="s">
        <v>14575</v>
      </c>
    </row>
    <row r="2675" spans="1:4" x14ac:dyDescent="0.25">
      <c r="A2675" s="1" t="s">
        <v>5361</v>
      </c>
      <c r="B2675" s="1" t="s">
        <v>14576</v>
      </c>
      <c r="C2675" s="1" t="s">
        <v>14577</v>
      </c>
      <c r="D2675" s="1" t="s">
        <v>14578</v>
      </c>
    </row>
    <row r="2676" spans="1:4" x14ac:dyDescent="0.25">
      <c r="A2676" s="1" t="s">
        <v>5363</v>
      </c>
      <c r="B2676" s="1" t="s">
        <v>14579</v>
      </c>
      <c r="C2676" s="1" t="s">
        <v>14580</v>
      </c>
      <c r="D2676" s="1" t="s">
        <v>14581</v>
      </c>
    </row>
    <row r="2677" spans="1:4" x14ac:dyDescent="0.25">
      <c r="A2677" s="1" t="s">
        <v>5365</v>
      </c>
      <c r="B2677" s="1" t="s">
        <v>14582</v>
      </c>
      <c r="C2677" s="1" t="s">
        <v>14583</v>
      </c>
      <c r="D2677" s="1" t="s">
        <v>14584</v>
      </c>
    </row>
    <row r="2678" spans="1:4" x14ac:dyDescent="0.25">
      <c r="A2678" s="1" t="s">
        <v>5367</v>
      </c>
      <c r="B2678" s="1" t="s">
        <v>14585</v>
      </c>
      <c r="C2678" s="1" t="s">
        <v>14586</v>
      </c>
      <c r="D2678" s="1" t="s">
        <v>14587</v>
      </c>
    </row>
    <row r="2679" spans="1:4" x14ac:dyDescent="0.25">
      <c r="A2679" s="1" t="s">
        <v>5369</v>
      </c>
      <c r="B2679" s="1" t="s">
        <v>14588</v>
      </c>
      <c r="C2679" s="1" t="s">
        <v>14589</v>
      </c>
      <c r="D2679" s="1" t="s">
        <v>14590</v>
      </c>
    </row>
    <row r="2680" spans="1:4" x14ac:dyDescent="0.25">
      <c r="A2680" s="1" t="s">
        <v>5371</v>
      </c>
      <c r="B2680" s="1" t="s">
        <v>14591</v>
      </c>
      <c r="C2680" s="1" t="s">
        <v>14592</v>
      </c>
      <c r="D2680" s="1" t="s">
        <v>14593</v>
      </c>
    </row>
    <row r="2681" spans="1:4" x14ac:dyDescent="0.25">
      <c r="A2681" s="1" t="s">
        <v>5373</v>
      </c>
      <c r="B2681" s="1" t="s">
        <v>14594</v>
      </c>
      <c r="C2681" s="1" t="s">
        <v>14595</v>
      </c>
      <c r="D2681" s="1" t="s">
        <v>14596</v>
      </c>
    </row>
    <row r="2682" spans="1:4" x14ac:dyDescent="0.25">
      <c r="A2682" s="1" t="s">
        <v>5375</v>
      </c>
      <c r="B2682" s="1" t="s">
        <v>14597</v>
      </c>
      <c r="C2682" s="1" t="s">
        <v>14598</v>
      </c>
      <c r="D2682" s="1" t="s">
        <v>14599</v>
      </c>
    </row>
    <row r="2683" spans="1:4" x14ac:dyDescent="0.25">
      <c r="A2683" s="1" t="s">
        <v>5377</v>
      </c>
      <c r="B2683" s="1" t="s">
        <v>14600</v>
      </c>
      <c r="C2683" s="1" t="s">
        <v>14601</v>
      </c>
      <c r="D2683" s="1" t="s">
        <v>14602</v>
      </c>
    </row>
    <row r="2684" spans="1:4" x14ac:dyDescent="0.25">
      <c r="A2684" s="1" t="s">
        <v>5379</v>
      </c>
      <c r="B2684" s="1" t="s">
        <v>14603</v>
      </c>
      <c r="C2684" s="1" t="s">
        <v>14604</v>
      </c>
      <c r="D2684" s="1" t="s">
        <v>14605</v>
      </c>
    </row>
    <row r="2685" spans="1:4" x14ac:dyDescent="0.25">
      <c r="A2685" s="1" t="s">
        <v>5381</v>
      </c>
      <c r="B2685" s="1" t="s">
        <v>14606</v>
      </c>
      <c r="C2685" s="1" t="s">
        <v>14607</v>
      </c>
      <c r="D2685" s="1" t="s">
        <v>14608</v>
      </c>
    </row>
    <row r="2686" spans="1:4" x14ac:dyDescent="0.25">
      <c r="A2686" s="1" t="s">
        <v>5383</v>
      </c>
      <c r="B2686" s="1" t="s">
        <v>14609</v>
      </c>
      <c r="C2686" s="1" t="s">
        <v>14610</v>
      </c>
      <c r="D2686" s="1" t="s">
        <v>14611</v>
      </c>
    </row>
    <row r="2687" spans="1:4" x14ac:dyDescent="0.25">
      <c r="A2687" s="1" t="s">
        <v>5385</v>
      </c>
      <c r="B2687" s="1" t="s">
        <v>14612</v>
      </c>
      <c r="C2687" s="1" t="s">
        <v>14613</v>
      </c>
      <c r="D2687" s="1" t="s">
        <v>14614</v>
      </c>
    </row>
    <row r="2688" spans="1:4" x14ac:dyDescent="0.25">
      <c r="A2688" s="1" t="s">
        <v>5387</v>
      </c>
      <c r="B2688" s="1" t="s">
        <v>14615</v>
      </c>
      <c r="C2688" s="1" t="s">
        <v>14616</v>
      </c>
      <c r="D2688" s="1" t="s">
        <v>14617</v>
      </c>
    </row>
    <row r="2689" spans="1:4" x14ac:dyDescent="0.25">
      <c r="A2689" s="1" t="s">
        <v>5389</v>
      </c>
      <c r="B2689" s="1" t="s">
        <v>14618</v>
      </c>
      <c r="C2689" s="1" t="s">
        <v>14619</v>
      </c>
      <c r="D2689" s="1" t="s">
        <v>14620</v>
      </c>
    </row>
    <row r="2690" spans="1:4" x14ac:dyDescent="0.25">
      <c r="A2690" s="1" t="s">
        <v>5391</v>
      </c>
      <c r="B2690" s="1" t="s">
        <v>14621</v>
      </c>
      <c r="C2690" s="1" t="s">
        <v>14622</v>
      </c>
      <c r="D2690" s="1" t="s">
        <v>14623</v>
      </c>
    </row>
    <row r="2691" spans="1:4" x14ac:dyDescent="0.25">
      <c r="A2691" s="1" t="s">
        <v>5393</v>
      </c>
      <c r="B2691" s="1" t="s">
        <v>14624</v>
      </c>
      <c r="C2691" s="1" t="s">
        <v>14625</v>
      </c>
      <c r="D2691" s="1" t="s">
        <v>14626</v>
      </c>
    </row>
    <row r="2692" spans="1:4" x14ac:dyDescent="0.25">
      <c r="A2692" s="1" t="s">
        <v>5395</v>
      </c>
      <c r="B2692" s="1" t="s">
        <v>14627</v>
      </c>
      <c r="C2692" s="1" t="s">
        <v>14628</v>
      </c>
      <c r="D2692" s="1" t="s">
        <v>14629</v>
      </c>
    </row>
    <row r="2693" spans="1:4" x14ac:dyDescent="0.25">
      <c r="A2693" s="1" t="s">
        <v>5397</v>
      </c>
      <c r="B2693" s="1" t="s">
        <v>14630</v>
      </c>
      <c r="C2693" s="1" t="s">
        <v>14631</v>
      </c>
      <c r="D2693" s="1" t="s">
        <v>14632</v>
      </c>
    </row>
    <row r="2694" spans="1:4" x14ac:dyDescent="0.25">
      <c r="A2694" s="1" t="s">
        <v>5399</v>
      </c>
      <c r="B2694" s="1" t="s">
        <v>14633</v>
      </c>
      <c r="C2694" s="1" t="s">
        <v>14634</v>
      </c>
      <c r="D2694" s="1" t="s">
        <v>14635</v>
      </c>
    </row>
    <row r="2695" spans="1:4" x14ac:dyDescent="0.25">
      <c r="A2695" s="1" t="s">
        <v>5401</v>
      </c>
      <c r="B2695" s="1" t="s">
        <v>14636</v>
      </c>
      <c r="C2695" s="1" t="s">
        <v>14637</v>
      </c>
      <c r="D2695" s="1" t="s">
        <v>14638</v>
      </c>
    </row>
    <row r="2696" spans="1:4" x14ac:dyDescent="0.25">
      <c r="A2696" s="1" t="s">
        <v>5403</v>
      </c>
      <c r="B2696" s="1" t="s">
        <v>14639</v>
      </c>
      <c r="C2696" s="1" t="s">
        <v>14640</v>
      </c>
      <c r="D2696" s="1" t="s">
        <v>14641</v>
      </c>
    </row>
    <row r="2697" spans="1:4" x14ac:dyDescent="0.25">
      <c r="A2697" s="1" t="s">
        <v>5405</v>
      </c>
      <c r="B2697" s="1" t="s">
        <v>14642</v>
      </c>
      <c r="C2697" s="1" t="s">
        <v>14643</v>
      </c>
      <c r="D2697" s="1" t="s">
        <v>14644</v>
      </c>
    </row>
    <row r="2698" spans="1:4" x14ac:dyDescent="0.25">
      <c r="A2698" s="1" t="s">
        <v>5407</v>
      </c>
      <c r="B2698" s="1" t="s">
        <v>14645</v>
      </c>
      <c r="C2698" s="1" t="s">
        <v>14646</v>
      </c>
      <c r="D2698" s="1" t="s">
        <v>14647</v>
      </c>
    </row>
    <row r="2699" spans="1:4" x14ac:dyDescent="0.25">
      <c r="A2699" s="1" t="s">
        <v>5409</v>
      </c>
      <c r="B2699" s="1" t="s">
        <v>14648</v>
      </c>
      <c r="C2699" s="1" t="s">
        <v>14649</v>
      </c>
      <c r="D2699" s="1" t="s">
        <v>14650</v>
      </c>
    </row>
    <row r="2700" spans="1:4" x14ac:dyDescent="0.25">
      <c r="A2700" s="1" t="s">
        <v>5411</v>
      </c>
      <c r="B2700" s="1" t="s">
        <v>14651</v>
      </c>
      <c r="C2700" s="1" t="s">
        <v>14652</v>
      </c>
      <c r="D2700" s="1" t="s">
        <v>14653</v>
      </c>
    </row>
    <row r="2701" spans="1:4" x14ac:dyDescent="0.25">
      <c r="A2701" s="1" t="s">
        <v>5413</v>
      </c>
      <c r="B2701" s="1" t="s">
        <v>14654</v>
      </c>
      <c r="C2701" s="1" t="s">
        <v>14655</v>
      </c>
      <c r="D2701" s="1" t="s">
        <v>14656</v>
      </c>
    </row>
    <row r="2702" spans="1:4" x14ac:dyDescent="0.25">
      <c r="A2702" s="1" t="s">
        <v>5415</v>
      </c>
      <c r="B2702" s="1" t="s">
        <v>14657</v>
      </c>
      <c r="C2702" s="1" t="s">
        <v>14658</v>
      </c>
      <c r="D2702" s="1" t="s">
        <v>14659</v>
      </c>
    </row>
    <row r="2703" spans="1:4" x14ac:dyDescent="0.25">
      <c r="A2703" s="1" t="s">
        <v>5417</v>
      </c>
      <c r="B2703" s="1" t="s">
        <v>14660</v>
      </c>
      <c r="C2703" s="1" t="s">
        <v>14661</v>
      </c>
      <c r="D2703" s="1" t="s">
        <v>14662</v>
      </c>
    </row>
    <row r="2704" spans="1:4" x14ac:dyDescent="0.25">
      <c r="A2704" s="1" t="s">
        <v>5419</v>
      </c>
      <c r="B2704" s="1" t="s">
        <v>14663</v>
      </c>
      <c r="C2704" s="1" t="s">
        <v>14664</v>
      </c>
      <c r="D2704" s="1" t="s">
        <v>14665</v>
      </c>
    </row>
    <row r="2705" spans="1:4" x14ac:dyDescent="0.25">
      <c r="A2705" s="1" t="s">
        <v>5421</v>
      </c>
      <c r="B2705" s="1" t="s">
        <v>14666</v>
      </c>
      <c r="C2705" s="1" t="s">
        <v>14667</v>
      </c>
      <c r="D2705" s="1" t="s">
        <v>14668</v>
      </c>
    </row>
    <row r="2706" spans="1:4" x14ac:dyDescent="0.25">
      <c r="A2706" s="1" t="s">
        <v>5423</v>
      </c>
      <c r="B2706" s="1" t="s">
        <v>14669</v>
      </c>
      <c r="C2706" s="1" t="s">
        <v>14670</v>
      </c>
      <c r="D2706" s="1" t="s">
        <v>14671</v>
      </c>
    </row>
    <row r="2707" spans="1:4" x14ac:dyDescent="0.25">
      <c r="A2707" s="1" t="s">
        <v>5425</v>
      </c>
      <c r="B2707" s="1" t="s">
        <v>14672</v>
      </c>
      <c r="C2707" s="1" t="s">
        <v>14673</v>
      </c>
      <c r="D2707" s="1" t="s">
        <v>14674</v>
      </c>
    </row>
    <row r="2708" spans="1:4" x14ac:dyDescent="0.25">
      <c r="A2708" s="1" t="s">
        <v>5427</v>
      </c>
      <c r="B2708" s="1" t="s">
        <v>14675</v>
      </c>
      <c r="C2708" s="1" t="s">
        <v>14676</v>
      </c>
      <c r="D2708" s="1" t="s">
        <v>14677</v>
      </c>
    </row>
    <row r="2709" spans="1:4" x14ac:dyDescent="0.25">
      <c r="A2709" s="1" t="s">
        <v>5429</v>
      </c>
      <c r="B2709" s="1" t="s">
        <v>14678</v>
      </c>
      <c r="C2709" s="1" t="s">
        <v>14679</v>
      </c>
      <c r="D2709" s="1" t="s">
        <v>14680</v>
      </c>
    </row>
    <row r="2710" spans="1:4" x14ac:dyDescent="0.25">
      <c r="A2710" s="1" t="s">
        <v>5431</v>
      </c>
      <c r="B2710" s="1" t="s">
        <v>14681</v>
      </c>
      <c r="C2710" s="1" t="s">
        <v>14682</v>
      </c>
      <c r="D2710" s="1" t="s">
        <v>14683</v>
      </c>
    </row>
    <row r="2711" spans="1:4" x14ac:dyDescent="0.25">
      <c r="A2711" s="1" t="s">
        <v>5433</v>
      </c>
      <c r="B2711" s="1" t="s">
        <v>14684</v>
      </c>
      <c r="C2711" s="1" t="s">
        <v>14685</v>
      </c>
      <c r="D2711" s="1" t="s">
        <v>14686</v>
      </c>
    </row>
    <row r="2712" spans="1:4" x14ac:dyDescent="0.25">
      <c r="A2712" s="1" t="s">
        <v>5435</v>
      </c>
      <c r="B2712" s="1" t="s">
        <v>14687</v>
      </c>
      <c r="C2712" s="1" t="s">
        <v>14688</v>
      </c>
      <c r="D2712" s="1" t="s">
        <v>14689</v>
      </c>
    </row>
    <row r="2713" spans="1:4" x14ac:dyDescent="0.25">
      <c r="A2713" s="1" t="s">
        <v>5437</v>
      </c>
      <c r="B2713" s="1" t="s">
        <v>14690</v>
      </c>
      <c r="C2713" s="1" t="s">
        <v>14691</v>
      </c>
      <c r="D2713" s="1" t="s">
        <v>14692</v>
      </c>
    </row>
    <row r="2714" spans="1:4" x14ac:dyDescent="0.25">
      <c r="A2714" s="1" t="s">
        <v>5439</v>
      </c>
      <c r="B2714" s="1" t="s">
        <v>14693</v>
      </c>
      <c r="C2714" s="1" t="s">
        <v>14694</v>
      </c>
      <c r="D2714" s="1" t="s">
        <v>14695</v>
      </c>
    </row>
    <row r="2715" spans="1:4" x14ac:dyDescent="0.25">
      <c r="A2715" s="1" t="s">
        <v>5441</v>
      </c>
      <c r="B2715" s="1" t="s">
        <v>14696</v>
      </c>
      <c r="C2715" s="1" t="s">
        <v>14697</v>
      </c>
      <c r="D2715" s="1" t="s">
        <v>14698</v>
      </c>
    </row>
    <row r="2716" spans="1:4" x14ac:dyDescent="0.25">
      <c r="A2716" s="1" t="s">
        <v>5443</v>
      </c>
      <c r="B2716" s="1" t="s">
        <v>14699</v>
      </c>
      <c r="C2716" s="1" t="s">
        <v>14700</v>
      </c>
      <c r="D2716" s="1" t="s">
        <v>14701</v>
      </c>
    </row>
    <row r="2717" spans="1:4" x14ac:dyDescent="0.25">
      <c r="A2717" s="1" t="s">
        <v>5445</v>
      </c>
      <c r="B2717" s="1" t="s">
        <v>14702</v>
      </c>
      <c r="C2717" s="1" t="s">
        <v>14703</v>
      </c>
      <c r="D2717" s="1" t="s">
        <v>14704</v>
      </c>
    </row>
    <row r="2718" spans="1:4" x14ac:dyDescent="0.25">
      <c r="A2718" s="1" t="s">
        <v>5447</v>
      </c>
      <c r="B2718" s="1" t="s">
        <v>14705</v>
      </c>
      <c r="C2718" s="1" t="s">
        <v>14706</v>
      </c>
      <c r="D2718" s="1" t="s">
        <v>14707</v>
      </c>
    </row>
    <row r="2719" spans="1:4" x14ac:dyDescent="0.25">
      <c r="A2719" s="1" t="s">
        <v>5449</v>
      </c>
      <c r="B2719" s="1" t="s">
        <v>14708</v>
      </c>
      <c r="C2719" s="1" t="s">
        <v>14709</v>
      </c>
      <c r="D2719" s="1" t="s">
        <v>14710</v>
      </c>
    </row>
    <row r="2720" spans="1:4" x14ac:dyDescent="0.25">
      <c r="A2720" s="1" t="s">
        <v>5451</v>
      </c>
      <c r="B2720" s="1" t="s">
        <v>14711</v>
      </c>
      <c r="C2720" s="1" t="s">
        <v>14712</v>
      </c>
      <c r="D2720" s="1" t="s">
        <v>14713</v>
      </c>
    </row>
    <row r="2721" spans="1:4" x14ac:dyDescent="0.25">
      <c r="A2721" s="1" t="s">
        <v>5453</v>
      </c>
      <c r="B2721" s="1" t="s">
        <v>14714</v>
      </c>
      <c r="C2721" s="1" t="s">
        <v>14715</v>
      </c>
      <c r="D2721" s="1" t="s">
        <v>14716</v>
      </c>
    </row>
    <row r="2722" spans="1:4" x14ac:dyDescent="0.25">
      <c r="A2722" s="1" t="s">
        <v>5455</v>
      </c>
      <c r="B2722" s="1" t="s">
        <v>14717</v>
      </c>
      <c r="C2722" s="1" t="s">
        <v>14718</v>
      </c>
      <c r="D2722" s="1" t="s">
        <v>14719</v>
      </c>
    </row>
    <row r="2723" spans="1:4" x14ac:dyDescent="0.25">
      <c r="A2723" s="1" t="s">
        <v>5457</v>
      </c>
      <c r="B2723" s="1" t="s">
        <v>14720</v>
      </c>
      <c r="C2723" s="1" t="s">
        <v>14721</v>
      </c>
      <c r="D2723" s="1" t="s">
        <v>14722</v>
      </c>
    </row>
    <row r="2724" spans="1:4" x14ac:dyDescent="0.25">
      <c r="A2724" s="1" t="s">
        <v>5459</v>
      </c>
      <c r="B2724" s="1" t="s">
        <v>14723</v>
      </c>
      <c r="C2724" s="1" t="s">
        <v>14724</v>
      </c>
      <c r="D2724" s="1" t="s">
        <v>14725</v>
      </c>
    </row>
    <row r="2725" spans="1:4" x14ac:dyDescent="0.25">
      <c r="A2725" s="1" t="s">
        <v>5461</v>
      </c>
      <c r="B2725" s="1" t="s">
        <v>14726</v>
      </c>
      <c r="C2725" s="1" t="s">
        <v>14727</v>
      </c>
      <c r="D2725" s="1" t="s">
        <v>14728</v>
      </c>
    </row>
    <row r="2726" spans="1:4" x14ac:dyDescent="0.25">
      <c r="A2726" s="1" t="s">
        <v>5463</v>
      </c>
      <c r="B2726" s="1" t="s">
        <v>14729</v>
      </c>
      <c r="C2726" s="1" t="s">
        <v>14730</v>
      </c>
      <c r="D2726" s="1" t="s">
        <v>14731</v>
      </c>
    </row>
    <row r="2727" spans="1:4" x14ac:dyDescent="0.25">
      <c r="A2727" s="1" t="s">
        <v>5465</v>
      </c>
      <c r="B2727" s="1" t="s">
        <v>14732</v>
      </c>
      <c r="C2727" s="1" t="s">
        <v>14733</v>
      </c>
      <c r="D2727" s="1" t="s">
        <v>14734</v>
      </c>
    </row>
    <row r="2728" spans="1:4" x14ac:dyDescent="0.25">
      <c r="A2728" s="1" t="s">
        <v>5467</v>
      </c>
      <c r="B2728" s="1" t="s">
        <v>14735</v>
      </c>
      <c r="C2728" s="1" t="s">
        <v>14736</v>
      </c>
      <c r="D2728" s="1" t="s">
        <v>14737</v>
      </c>
    </row>
    <row r="2729" spans="1:4" x14ac:dyDescent="0.25">
      <c r="A2729" s="1" t="s">
        <v>5469</v>
      </c>
      <c r="B2729" s="1" t="s">
        <v>14738</v>
      </c>
      <c r="C2729" s="1" t="s">
        <v>14739</v>
      </c>
      <c r="D2729" s="1" t="s">
        <v>14740</v>
      </c>
    </row>
    <row r="2730" spans="1:4" x14ac:dyDescent="0.25">
      <c r="A2730" s="1" t="s">
        <v>5471</v>
      </c>
      <c r="B2730" s="1" t="s">
        <v>14741</v>
      </c>
      <c r="C2730" s="1" t="s">
        <v>14742</v>
      </c>
      <c r="D2730" s="1" t="s">
        <v>14743</v>
      </c>
    </row>
    <row r="2731" spans="1:4" x14ac:dyDescent="0.25">
      <c r="A2731" s="1" t="s">
        <v>5473</v>
      </c>
      <c r="B2731" s="1" t="s">
        <v>14744</v>
      </c>
      <c r="C2731" s="1" t="s">
        <v>14745</v>
      </c>
      <c r="D2731" s="1" t="s">
        <v>14746</v>
      </c>
    </row>
    <row r="2732" spans="1:4" x14ac:dyDescent="0.25">
      <c r="A2732" s="1" t="s">
        <v>5475</v>
      </c>
      <c r="B2732" s="1" t="s">
        <v>14747</v>
      </c>
      <c r="C2732" s="1" t="s">
        <v>14748</v>
      </c>
      <c r="D2732" s="1" t="s">
        <v>14749</v>
      </c>
    </row>
    <row r="2733" spans="1:4" x14ac:dyDescent="0.25">
      <c r="A2733" s="1" t="s">
        <v>5477</v>
      </c>
      <c r="B2733" s="1" t="s">
        <v>14750</v>
      </c>
      <c r="C2733" s="1" t="s">
        <v>14751</v>
      </c>
      <c r="D2733" s="1" t="s">
        <v>14752</v>
      </c>
    </row>
    <row r="2734" spans="1:4" x14ac:dyDescent="0.25">
      <c r="A2734" s="1" t="s">
        <v>5479</v>
      </c>
      <c r="B2734" s="1" t="s">
        <v>14753</v>
      </c>
      <c r="C2734" s="1" t="s">
        <v>14754</v>
      </c>
      <c r="D2734" s="1" t="s">
        <v>14755</v>
      </c>
    </row>
    <row r="2735" spans="1:4" x14ac:dyDescent="0.25">
      <c r="A2735" s="1" t="s">
        <v>5481</v>
      </c>
      <c r="B2735" s="1" t="s">
        <v>14756</v>
      </c>
      <c r="C2735" s="1" t="s">
        <v>14757</v>
      </c>
      <c r="D2735" s="1" t="s">
        <v>14758</v>
      </c>
    </row>
    <row r="2736" spans="1:4" x14ac:dyDescent="0.25">
      <c r="A2736" s="1" t="s">
        <v>5483</v>
      </c>
      <c r="B2736" s="1" t="s">
        <v>14759</v>
      </c>
      <c r="C2736" s="1" t="s">
        <v>14760</v>
      </c>
      <c r="D2736" s="1" t="s">
        <v>14761</v>
      </c>
    </row>
    <row r="2737" spans="1:4" x14ac:dyDescent="0.25">
      <c r="A2737" s="1" t="s">
        <v>5485</v>
      </c>
      <c r="B2737" s="1" t="s">
        <v>14762</v>
      </c>
      <c r="C2737" s="1" t="s">
        <v>14763</v>
      </c>
      <c r="D2737" s="1" t="s">
        <v>14764</v>
      </c>
    </row>
    <row r="2738" spans="1:4" x14ac:dyDescent="0.25">
      <c r="A2738" s="1" t="s">
        <v>5487</v>
      </c>
      <c r="B2738" s="1" t="s">
        <v>14765</v>
      </c>
      <c r="C2738" s="1" t="s">
        <v>14766</v>
      </c>
      <c r="D2738" s="1" t="s">
        <v>14767</v>
      </c>
    </row>
    <row r="2739" spans="1:4" x14ac:dyDescent="0.25">
      <c r="A2739" s="1" t="s">
        <v>5489</v>
      </c>
      <c r="B2739" s="1" t="s">
        <v>14768</v>
      </c>
      <c r="C2739" s="1" t="s">
        <v>14769</v>
      </c>
      <c r="D2739" s="1" t="s">
        <v>14770</v>
      </c>
    </row>
    <row r="2740" spans="1:4" x14ac:dyDescent="0.25">
      <c r="A2740" s="1" t="s">
        <v>5491</v>
      </c>
      <c r="B2740" s="1" t="s">
        <v>14771</v>
      </c>
      <c r="C2740" s="1" t="s">
        <v>14772</v>
      </c>
      <c r="D2740" s="1" t="s">
        <v>14773</v>
      </c>
    </row>
    <row r="2741" spans="1:4" x14ac:dyDescent="0.25">
      <c r="A2741" s="1" t="s">
        <v>5493</v>
      </c>
      <c r="B2741" s="1" t="s">
        <v>14774</v>
      </c>
      <c r="C2741" s="1" t="s">
        <v>14775</v>
      </c>
      <c r="D2741" s="1" t="s">
        <v>14776</v>
      </c>
    </row>
    <row r="2742" spans="1:4" x14ac:dyDescent="0.25">
      <c r="A2742" s="1" t="s">
        <v>5495</v>
      </c>
      <c r="B2742" s="1" t="s">
        <v>14777</v>
      </c>
      <c r="C2742" s="1" t="s">
        <v>14778</v>
      </c>
      <c r="D2742" s="1" t="s">
        <v>14779</v>
      </c>
    </row>
    <row r="2743" spans="1:4" x14ac:dyDescent="0.25">
      <c r="A2743" s="1" t="s">
        <v>5497</v>
      </c>
      <c r="B2743" s="1" t="s">
        <v>14780</v>
      </c>
      <c r="C2743" s="1" t="s">
        <v>14781</v>
      </c>
      <c r="D2743" s="1" t="s">
        <v>14782</v>
      </c>
    </row>
    <row r="2744" spans="1:4" x14ac:dyDescent="0.25">
      <c r="A2744" s="1" t="s">
        <v>5499</v>
      </c>
      <c r="B2744" s="1" t="s">
        <v>14783</v>
      </c>
      <c r="C2744" s="1" t="s">
        <v>14784</v>
      </c>
      <c r="D2744" s="1" t="s">
        <v>14785</v>
      </c>
    </row>
    <row r="2745" spans="1:4" x14ac:dyDescent="0.25">
      <c r="A2745" s="1" t="s">
        <v>5501</v>
      </c>
      <c r="B2745" s="1" t="s">
        <v>14786</v>
      </c>
      <c r="C2745" s="1" t="s">
        <v>14787</v>
      </c>
      <c r="D2745" s="1" t="s">
        <v>14788</v>
      </c>
    </row>
    <row r="2746" spans="1:4" x14ac:dyDescent="0.25">
      <c r="A2746" s="1" t="s">
        <v>5503</v>
      </c>
      <c r="B2746" s="1" t="s">
        <v>14789</v>
      </c>
      <c r="C2746" s="1" t="s">
        <v>14790</v>
      </c>
      <c r="D2746" s="1" t="s">
        <v>14791</v>
      </c>
    </row>
    <row r="2747" spans="1:4" x14ac:dyDescent="0.25">
      <c r="A2747" s="1" t="s">
        <v>5505</v>
      </c>
      <c r="B2747" s="1" t="s">
        <v>14792</v>
      </c>
      <c r="C2747" s="1" t="s">
        <v>14793</v>
      </c>
      <c r="D2747" s="1" t="s">
        <v>14794</v>
      </c>
    </row>
    <row r="2748" spans="1:4" x14ac:dyDescent="0.25">
      <c r="A2748" s="1" t="s">
        <v>5507</v>
      </c>
      <c r="B2748" s="1" t="s">
        <v>14795</v>
      </c>
      <c r="C2748" s="1" t="s">
        <v>14796</v>
      </c>
      <c r="D2748" s="1" t="s">
        <v>14797</v>
      </c>
    </row>
    <row r="2749" spans="1:4" x14ac:dyDescent="0.25">
      <c r="A2749" s="1" t="s">
        <v>5509</v>
      </c>
      <c r="B2749" s="1" t="s">
        <v>14798</v>
      </c>
      <c r="C2749" s="1" t="s">
        <v>14799</v>
      </c>
      <c r="D2749" s="1" t="s">
        <v>14800</v>
      </c>
    </row>
    <row r="2750" spans="1:4" x14ac:dyDescent="0.25">
      <c r="A2750" s="1" t="s">
        <v>5511</v>
      </c>
      <c r="B2750" s="1" t="s">
        <v>14801</v>
      </c>
      <c r="C2750" s="1" t="s">
        <v>14802</v>
      </c>
      <c r="D2750" s="1" t="s">
        <v>14803</v>
      </c>
    </row>
    <row r="2751" spans="1:4" x14ac:dyDescent="0.25">
      <c r="A2751" s="1" t="s">
        <v>5513</v>
      </c>
      <c r="B2751" s="1" t="s">
        <v>14804</v>
      </c>
      <c r="C2751" s="1" t="s">
        <v>14805</v>
      </c>
      <c r="D2751" s="1" t="s">
        <v>14806</v>
      </c>
    </row>
    <row r="2752" spans="1:4" x14ac:dyDescent="0.25">
      <c r="A2752" s="1" t="s">
        <v>5515</v>
      </c>
      <c r="B2752" s="1" t="s">
        <v>14807</v>
      </c>
      <c r="C2752" s="1" t="s">
        <v>14808</v>
      </c>
      <c r="D2752" s="1" t="s">
        <v>14809</v>
      </c>
    </row>
    <row r="2753" spans="1:4" x14ac:dyDescent="0.25">
      <c r="A2753" s="1" t="s">
        <v>5517</v>
      </c>
      <c r="B2753" s="1" t="s">
        <v>14810</v>
      </c>
      <c r="C2753" s="1" t="s">
        <v>14811</v>
      </c>
      <c r="D2753" s="1" t="s">
        <v>14812</v>
      </c>
    </row>
    <row r="2754" spans="1:4" x14ac:dyDescent="0.25">
      <c r="A2754" s="1" t="s">
        <v>5519</v>
      </c>
      <c r="B2754" s="1" t="s">
        <v>14813</v>
      </c>
      <c r="C2754" s="1" t="s">
        <v>14814</v>
      </c>
      <c r="D2754" s="1" t="s">
        <v>14815</v>
      </c>
    </row>
    <row r="2755" spans="1:4" x14ac:dyDescent="0.25">
      <c r="A2755" s="1" t="s">
        <v>5521</v>
      </c>
      <c r="B2755" s="1" t="s">
        <v>14816</v>
      </c>
      <c r="C2755" s="1" t="s">
        <v>14817</v>
      </c>
      <c r="D2755" s="1" t="s">
        <v>14818</v>
      </c>
    </row>
    <row r="2756" spans="1:4" x14ac:dyDescent="0.25">
      <c r="A2756" s="1" t="s">
        <v>5523</v>
      </c>
      <c r="B2756" s="1" t="s">
        <v>14819</v>
      </c>
      <c r="C2756" s="1" t="s">
        <v>14820</v>
      </c>
      <c r="D2756" s="1" t="s">
        <v>14821</v>
      </c>
    </row>
    <row r="2757" spans="1:4" x14ac:dyDescent="0.25">
      <c r="A2757" s="1" t="s">
        <v>5525</v>
      </c>
      <c r="B2757" s="1" t="s">
        <v>14822</v>
      </c>
      <c r="C2757" s="1" t="s">
        <v>14823</v>
      </c>
      <c r="D2757" s="1" t="s">
        <v>14824</v>
      </c>
    </row>
    <row r="2758" spans="1:4" x14ac:dyDescent="0.25">
      <c r="A2758" s="1" t="s">
        <v>5527</v>
      </c>
      <c r="B2758" s="1" t="s">
        <v>14825</v>
      </c>
      <c r="C2758" s="1" t="s">
        <v>14826</v>
      </c>
      <c r="D2758" s="1" t="s">
        <v>14827</v>
      </c>
    </row>
    <row r="2759" spans="1:4" x14ac:dyDescent="0.25">
      <c r="A2759" s="1" t="s">
        <v>5529</v>
      </c>
      <c r="B2759" s="1" t="s">
        <v>14828</v>
      </c>
      <c r="C2759" s="1" t="s">
        <v>14829</v>
      </c>
      <c r="D2759" s="1" t="s">
        <v>14830</v>
      </c>
    </row>
    <row r="2760" spans="1:4" x14ac:dyDescent="0.25">
      <c r="A2760" s="1" t="s">
        <v>5531</v>
      </c>
      <c r="B2760" s="1" t="s">
        <v>14831</v>
      </c>
      <c r="C2760" s="1" t="s">
        <v>14832</v>
      </c>
      <c r="D2760" s="1" t="s">
        <v>14833</v>
      </c>
    </row>
    <row r="2761" spans="1:4" x14ac:dyDescent="0.25">
      <c r="A2761" s="1" t="s">
        <v>5533</v>
      </c>
      <c r="B2761" s="1" t="s">
        <v>14834</v>
      </c>
      <c r="C2761" s="1" t="s">
        <v>14835</v>
      </c>
      <c r="D2761" s="1" t="s">
        <v>14836</v>
      </c>
    </row>
    <row r="2762" spans="1:4" x14ac:dyDescent="0.25">
      <c r="A2762" s="1" t="s">
        <v>5535</v>
      </c>
      <c r="B2762" s="1" t="s">
        <v>14837</v>
      </c>
      <c r="C2762" s="1" t="s">
        <v>14838</v>
      </c>
      <c r="D2762" s="1" t="s">
        <v>14839</v>
      </c>
    </row>
    <row r="2763" spans="1:4" x14ac:dyDescent="0.25">
      <c r="A2763" s="1" t="s">
        <v>5537</v>
      </c>
      <c r="B2763" s="1" t="s">
        <v>14840</v>
      </c>
      <c r="C2763" s="1" t="s">
        <v>14841</v>
      </c>
      <c r="D2763" s="1" t="s">
        <v>14842</v>
      </c>
    </row>
    <row r="2764" spans="1:4" x14ac:dyDescent="0.25">
      <c r="A2764" s="1" t="s">
        <v>5539</v>
      </c>
      <c r="B2764" s="1" t="s">
        <v>14843</v>
      </c>
      <c r="C2764" s="1" t="s">
        <v>14844</v>
      </c>
      <c r="D2764" s="1" t="s">
        <v>14845</v>
      </c>
    </row>
    <row r="2765" spans="1:4" x14ac:dyDescent="0.25">
      <c r="A2765" s="1" t="s">
        <v>5541</v>
      </c>
      <c r="B2765" s="1" t="s">
        <v>14846</v>
      </c>
      <c r="C2765" s="1" t="s">
        <v>14847</v>
      </c>
      <c r="D2765" s="1" t="s">
        <v>14848</v>
      </c>
    </row>
    <row r="2766" spans="1:4" x14ac:dyDescent="0.25">
      <c r="A2766" s="1" t="s">
        <v>5543</v>
      </c>
      <c r="B2766" s="1" t="s">
        <v>14849</v>
      </c>
      <c r="C2766" s="1" t="s">
        <v>14850</v>
      </c>
      <c r="D2766" s="1" t="s">
        <v>14851</v>
      </c>
    </row>
    <row r="2767" spans="1:4" x14ac:dyDescent="0.25">
      <c r="A2767" s="1" t="s">
        <v>5545</v>
      </c>
      <c r="B2767" s="1" t="s">
        <v>14852</v>
      </c>
      <c r="C2767" s="1" t="s">
        <v>14853</v>
      </c>
      <c r="D2767" s="1" t="s">
        <v>14854</v>
      </c>
    </row>
    <row r="2768" spans="1:4" x14ac:dyDescent="0.25">
      <c r="A2768" s="1" t="s">
        <v>5547</v>
      </c>
      <c r="B2768" s="1" t="s">
        <v>14855</v>
      </c>
      <c r="C2768" s="1" t="s">
        <v>14856</v>
      </c>
      <c r="D2768" s="1" t="s">
        <v>14857</v>
      </c>
    </row>
    <row r="2769" spans="1:4" x14ac:dyDescent="0.25">
      <c r="A2769" s="1" t="s">
        <v>5549</v>
      </c>
      <c r="B2769" s="1" t="s">
        <v>14858</v>
      </c>
      <c r="C2769" s="1" t="s">
        <v>14859</v>
      </c>
      <c r="D2769" s="1" t="s">
        <v>14860</v>
      </c>
    </row>
    <row r="2770" spans="1:4" x14ac:dyDescent="0.25">
      <c r="A2770" s="1" t="s">
        <v>5551</v>
      </c>
      <c r="B2770" s="1" t="s">
        <v>14861</v>
      </c>
      <c r="C2770" s="1" t="s">
        <v>14862</v>
      </c>
      <c r="D2770" s="1" t="s">
        <v>14863</v>
      </c>
    </row>
    <row r="2771" spans="1:4" x14ac:dyDescent="0.25">
      <c r="A2771" s="1" t="s">
        <v>5553</v>
      </c>
      <c r="B2771" s="1" t="s">
        <v>14864</v>
      </c>
      <c r="C2771" s="1" t="s">
        <v>14865</v>
      </c>
      <c r="D2771" s="1" t="s">
        <v>14866</v>
      </c>
    </row>
    <row r="2772" spans="1:4" x14ac:dyDescent="0.25">
      <c r="A2772" s="1" t="s">
        <v>5555</v>
      </c>
      <c r="B2772" s="1" t="s">
        <v>14867</v>
      </c>
      <c r="C2772" s="1" t="s">
        <v>14868</v>
      </c>
      <c r="D2772" s="1" t="s">
        <v>14869</v>
      </c>
    </row>
    <row r="2773" spans="1:4" x14ac:dyDescent="0.25">
      <c r="A2773" s="1" t="s">
        <v>5557</v>
      </c>
      <c r="B2773" s="1" t="s">
        <v>14870</v>
      </c>
      <c r="C2773" s="1" t="s">
        <v>14871</v>
      </c>
      <c r="D2773" s="1" t="s">
        <v>14872</v>
      </c>
    </row>
    <row r="2774" spans="1:4" x14ac:dyDescent="0.25">
      <c r="A2774" s="1" t="s">
        <v>5559</v>
      </c>
      <c r="B2774" s="1" t="s">
        <v>14873</v>
      </c>
      <c r="C2774" s="1" t="s">
        <v>14874</v>
      </c>
      <c r="D2774" s="1" t="s">
        <v>14875</v>
      </c>
    </row>
    <row r="2775" spans="1:4" x14ac:dyDescent="0.25">
      <c r="A2775" s="1" t="s">
        <v>5561</v>
      </c>
      <c r="B2775" s="1" t="s">
        <v>14876</v>
      </c>
      <c r="C2775" s="1" t="s">
        <v>14877</v>
      </c>
      <c r="D2775" s="1" t="s">
        <v>14878</v>
      </c>
    </row>
    <row r="2776" spans="1:4" x14ac:dyDescent="0.25">
      <c r="A2776" s="1" t="s">
        <v>5563</v>
      </c>
      <c r="B2776" s="1" t="s">
        <v>14879</v>
      </c>
      <c r="C2776" s="1" t="s">
        <v>14880</v>
      </c>
      <c r="D2776" s="1" t="s">
        <v>14881</v>
      </c>
    </row>
    <row r="2777" spans="1:4" x14ac:dyDescent="0.25">
      <c r="A2777" s="1" t="s">
        <v>5565</v>
      </c>
      <c r="B2777" s="1" t="s">
        <v>14882</v>
      </c>
      <c r="C2777" s="1" t="s">
        <v>14883</v>
      </c>
      <c r="D2777" s="1" t="s">
        <v>14884</v>
      </c>
    </row>
    <row r="2778" spans="1:4" x14ac:dyDescent="0.25">
      <c r="A2778" s="1" t="s">
        <v>5567</v>
      </c>
      <c r="B2778" s="1" t="s">
        <v>14885</v>
      </c>
      <c r="C2778" s="1" t="s">
        <v>14886</v>
      </c>
      <c r="D2778" s="1" t="s">
        <v>14887</v>
      </c>
    </row>
    <row r="2779" spans="1:4" x14ac:dyDescent="0.25">
      <c r="A2779" s="1" t="s">
        <v>5569</v>
      </c>
      <c r="B2779" s="1" t="s">
        <v>14888</v>
      </c>
      <c r="C2779" s="1" t="s">
        <v>14889</v>
      </c>
      <c r="D2779" s="1" t="s">
        <v>14890</v>
      </c>
    </row>
    <row r="2780" spans="1:4" x14ac:dyDescent="0.25">
      <c r="A2780" s="1" t="s">
        <v>5571</v>
      </c>
      <c r="B2780" s="1" t="s">
        <v>14891</v>
      </c>
      <c r="C2780" s="1" t="s">
        <v>14892</v>
      </c>
      <c r="D2780" s="1" t="s">
        <v>14893</v>
      </c>
    </row>
    <row r="2781" spans="1:4" x14ac:dyDescent="0.25">
      <c r="A2781" s="1" t="s">
        <v>5573</v>
      </c>
      <c r="B2781" s="1" t="s">
        <v>14894</v>
      </c>
      <c r="C2781" s="1" t="s">
        <v>14895</v>
      </c>
      <c r="D2781" s="1" t="s">
        <v>14896</v>
      </c>
    </row>
    <row r="2782" spans="1:4" x14ac:dyDescent="0.25">
      <c r="A2782" s="1" t="s">
        <v>5575</v>
      </c>
      <c r="B2782" s="1" t="s">
        <v>14897</v>
      </c>
      <c r="C2782" s="1" t="s">
        <v>14898</v>
      </c>
      <c r="D2782" s="1" t="s">
        <v>14899</v>
      </c>
    </row>
    <row r="2783" spans="1:4" x14ac:dyDescent="0.25">
      <c r="A2783" s="1" t="s">
        <v>5577</v>
      </c>
      <c r="B2783" s="1" t="s">
        <v>14900</v>
      </c>
      <c r="C2783" s="1" t="s">
        <v>14901</v>
      </c>
      <c r="D2783" s="1" t="s">
        <v>14902</v>
      </c>
    </row>
    <row r="2784" spans="1:4" x14ac:dyDescent="0.25">
      <c r="A2784" s="1" t="s">
        <v>5579</v>
      </c>
      <c r="B2784" s="1" t="s">
        <v>14903</v>
      </c>
      <c r="C2784" s="1" t="s">
        <v>14904</v>
      </c>
      <c r="D2784" s="1" t="s">
        <v>14905</v>
      </c>
    </row>
    <row r="2785" spans="1:4" x14ac:dyDescent="0.25">
      <c r="A2785" s="1" t="s">
        <v>5581</v>
      </c>
      <c r="B2785" s="1" t="s">
        <v>14906</v>
      </c>
      <c r="C2785" s="1" t="s">
        <v>14907</v>
      </c>
      <c r="D2785" s="1" t="s">
        <v>14908</v>
      </c>
    </row>
    <row r="2786" spans="1:4" x14ac:dyDescent="0.25">
      <c r="A2786" s="1" t="s">
        <v>5583</v>
      </c>
      <c r="B2786" s="1" t="s">
        <v>14909</v>
      </c>
      <c r="C2786" s="1" t="s">
        <v>14910</v>
      </c>
      <c r="D2786" s="1" t="s">
        <v>14911</v>
      </c>
    </row>
    <row r="2787" spans="1:4" x14ac:dyDescent="0.25">
      <c r="A2787" s="1" t="s">
        <v>5585</v>
      </c>
      <c r="B2787" s="1" t="s">
        <v>14912</v>
      </c>
      <c r="C2787" s="1" t="s">
        <v>14913</v>
      </c>
      <c r="D2787" s="1" t="s">
        <v>14914</v>
      </c>
    </row>
    <row r="2788" spans="1:4" x14ac:dyDescent="0.25">
      <c r="A2788" s="1" t="s">
        <v>5587</v>
      </c>
      <c r="B2788" s="1" t="s">
        <v>14915</v>
      </c>
      <c r="C2788" s="1" t="s">
        <v>14916</v>
      </c>
      <c r="D2788" s="1" t="s">
        <v>14917</v>
      </c>
    </row>
    <row r="2789" spans="1:4" x14ac:dyDescent="0.25">
      <c r="A2789" s="1" t="s">
        <v>5589</v>
      </c>
      <c r="B2789" s="1" t="s">
        <v>14918</v>
      </c>
      <c r="C2789" s="1" t="s">
        <v>14919</v>
      </c>
      <c r="D2789" s="1" t="s">
        <v>14920</v>
      </c>
    </row>
    <row r="2790" spans="1:4" x14ac:dyDescent="0.25">
      <c r="A2790" s="1" t="s">
        <v>5591</v>
      </c>
      <c r="B2790" s="1" t="s">
        <v>14921</v>
      </c>
      <c r="C2790" s="1" t="s">
        <v>14922</v>
      </c>
      <c r="D2790" s="1" t="s">
        <v>14923</v>
      </c>
    </row>
    <row r="2791" spans="1:4" x14ac:dyDescent="0.25">
      <c r="A2791" s="1" t="s">
        <v>5593</v>
      </c>
      <c r="B2791" s="1" t="s">
        <v>14924</v>
      </c>
      <c r="C2791" s="1" t="s">
        <v>14925</v>
      </c>
      <c r="D2791" s="1" t="s">
        <v>14926</v>
      </c>
    </row>
    <row r="2792" spans="1:4" x14ac:dyDescent="0.25">
      <c r="A2792" s="1" t="s">
        <v>5595</v>
      </c>
      <c r="B2792" s="1" t="s">
        <v>14927</v>
      </c>
      <c r="C2792" s="1" t="s">
        <v>14928</v>
      </c>
      <c r="D2792" s="1" t="s">
        <v>14929</v>
      </c>
    </row>
    <row r="2793" spans="1:4" x14ac:dyDescent="0.25">
      <c r="A2793" s="1" t="s">
        <v>5597</v>
      </c>
      <c r="B2793" s="1" t="s">
        <v>14930</v>
      </c>
      <c r="C2793" s="1" t="s">
        <v>14931</v>
      </c>
      <c r="D2793" s="1" t="s">
        <v>14932</v>
      </c>
    </row>
    <row r="2794" spans="1:4" x14ac:dyDescent="0.25">
      <c r="A2794" s="1" t="s">
        <v>5599</v>
      </c>
      <c r="B2794" s="1" t="s">
        <v>14933</v>
      </c>
      <c r="C2794" s="1" t="s">
        <v>14934</v>
      </c>
      <c r="D2794" s="1" t="s">
        <v>14935</v>
      </c>
    </row>
    <row r="2795" spans="1:4" x14ac:dyDescent="0.25">
      <c r="A2795" s="1" t="s">
        <v>5601</v>
      </c>
      <c r="B2795" s="1" t="s">
        <v>14936</v>
      </c>
      <c r="C2795" s="1" t="s">
        <v>14937</v>
      </c>
      <c r="D2795" s="1" t="s">
        <v>14938</v>
      </c>
    </row>
    <row r="2796" spans="1:4" x14ac:dyDescent="0.25">
      <c r="A2796" s="1" t="s">
        <v>5603</v>
      </c>
      <c r="B2796" s="1" t="s">
        <v>14939</v>
      </c>
      <c r="C2796" s="1" t="s">
        <v>14940</v>
      </c>
      <c r="D2796" s="1" t="s">
        <v>14941</v>
      </c>
    </row>
    <row r="2797" spans="1:4" x14ac:dyDescent="0.25">
      <c r="A2797" s="1" t="s">
        <v>5605</v>
      </c>
      <c r="B2797" s="1" t="s">
        <v>14942</v>
      </c>
      <c r="C2797" s="1" t="s">
        <v>14943</v>
      </c>
      <c r="D2797" s="1" t="s">
        <v>14944</v>
      </c>
    </row>
    <row r="2798" spans="1:4" x14ac:dyDescent="0.25">
      <c r="A2798" s="1" t="s">
        <v>5607</v>
      </c>
      <c r="B2798" s="1" t="s">
        <v>14945</v>
      </c>
      <c r="C2798" s="1" t="s">
        <v>14946</v>
      </c>
      <c r="D2798" s="1" t="s">
        <v>14947</v>
      </c>
    </row>
    <row r="2799" spans="1:4" x14ac:dyDescent="0.25">
      <c r="A2799" s="1" t="s">
        <v>5609</v>
      </c>
      <c r="B2799" s="1" t="s">
        <v>14948</v>
      </c>
      <c r="C2799" s="1" t="s">
        <v>14949</v>
      </c>
      <c r="D2799" s="1" t="s">
        <v>14950</v>
      </c>
    </row>
    <row r="2800" spans="1:4" x14ac:dyDescent="0.25">
      <c r="A2800" s="1" t="s">
        <v>5611</v>
      </c>
      <c r="B2800" s="1" t="s">
        <v>14951</v>
      </c>
      <c r="C2800" s="1" t="s">
        <v>14952</v>
      </c>
      <c r="D2800" s="1" t="s">
        <v>14953</v>
      </c>
    </row>
    <row r="2801" spans="1:4" x14ac:dyDescent="0.25">
      <c r="A2801" s="1" t="s">
        <v>5613</v>
      </c>
      <c r="B2801" s="1" t="s">
        <v>14954</v>
      </c>
      <c r="C2801" s="1" t="s">
        <v>14955</v>
      </c>
      <c r="D2801" s="1" t="s">
        <v>14956</v>
      </c>
    </row>
    <row r="2802" spans="1:4" x14ac:dyDescent="0.25">
      <c r="A2802" s="1" t="s">
        <v>5615</v>
      </c>
      <c r="B2802" s="1" t="s">
        <v>14957</v>
      </c>
      <c r="C2802" s="1" t="s">
        <v>14958</v>
      </c>
      <c r="D2802" s="1" t="s">
        <v>14959</v>
      </c>
    </row>
    <row r="2803" spans="1:4" x14ac:dyDescent="0.25">
      <c r="A2803" s="1" t="s">
        <v>5617</v>
      </c>
      <c r="B2803" s="1" t="s">
        <v>14960</v>
      </c>
      <c r="C2803" s="1" t="s">
        <v>14961</v>
      </c>
      <c r="D2803" s="1" t="s">
        <v>14962</v>
      </c>
    </row>
    <row r="2804" spans="1:4" x14ac:dyDescent="0.25">
      <c r="A2804" s="1" t="s">
        <v>5619</v>
      </c>
      <c r="B2804" s="1" t="s">
        <v>14963</v>
      </c>
      <c r="C2804" s="1" t="s">
        <v>14964</v>
      </c>
      <c r="D2804" s="1" t="s">
        <v>14965</v>
      </c>
    </row>
    <row r="2805" spans="1:4" x14ac:dyDescent="0.25">
      <c r="A2805" s="1" t="s">
        <v>5621</v>
      </c>
      <c r="B2805" s="1" t="s">
        <v>14966</v>
      </c>
      <c r="C2805" s="1" t="s">
        <v>14967</v>
      </c>
      <c r="D2805" s="1" t="s">
        <v>14968</v>
      </c>
    </row>
    <row r="2806" spans="1:4" x14ac:dyDescent="0.25">
      <c r="A2806" s="1" t="s">
        <v>5623</v>
      </c>
      <c r="B2806" s="1" t="s">
        <v>14969</v>
      </c>
      <c r="C2806" s="1" t="s">
        <v>14970</v>
      </c>
      <c r="D2806" s="1" t="s">
        <v>14971</v>
      </c>
    </row>
    <row r="2807" spans="1:4" x14ac:dyDescent="0.25">
      <c r="A2807" s="1" t="s">
        <v>5625</v>
      </c>
      <c r="B2807" s="1" t="s">
        <v>14972</v>
      </c>
      <c r="C2807" s="1" t="s">
        <v>14973</v>
      </c>
      <c r="D2807" s="1" t="s">
        <v>14974</v>
      </c>
    </row>
    <row r="2808" spans="1:4" x14ac:dyDescent="0.25">
      <c r="A2808" s="1" t="s">
        <v>5627</v>
      </c>
      <c r="B2808" s="1" t="s">
        <v>14975</v>
      </c>
      <c r="C2808" s="1" t="s">
        <v>14976</v>
      </c>
      <c r="D2808" s="1" t="s">
        <v>14977</v>
      </c>
    </row>
    <row r="2809" spans="1:4" x14ac:dyDescent="0.25">
      <c r="A2809" s="1" t="s">
        <v>5629</v>
      </c>
      <c r="B2809" s="1" t="s">
        <v>14978</v>
      </c>
      <c r="C2809" s="1" t="s">
        <v>14979</v>
      </c>
      <c r="D2809" s="1" t="s">
        <v>14980</v>
      </c>
    </row>
    <row r="2810" spans="1:4" x14ac:dyDescent="0.25">
      <c r="A2810" s="1" t="s">
        <v>5631</v>
      </c>
      <c r="B2810" s="1" t="s">
        <v>14981</v>
      </c>
      <c r="C2810" s="1" t="s">
        <v>14982</v>
      </c>
      <c r="D2810" s="1" t="s">
        <v>14983</v>
      </c>
    </row>
    <row r="2811" spans="1:4" x14ac:dyDescent="0.25">
      <c r="A2811" s="1" t="s">
        <v>5633</v>
      </c>
      <c r="B2811" s="1" t="s">
        <v>14984</v>
      </c>
      <c r="C2811" s="1" t="s">
        <v>14985</v>
      </c>
      <c r="D2811" s="1" t="s">
        <v>14986</v>
      </c>
    </row>
    <row r="2812" spans="1:4" x14ac:dyDescent="0.25">
      <c r="A2812" s="1" t="s">
        <v>5635</v>
      </c>
      <c r="B2812" s="1" t="s">
        <v>14987</v>
      </c>
      <c r="C2812" s="1" t="s">
        <v>14988</v>
      </c>
      <c r="D2812" s="1" t="s">
        <v>14989</v>
      </c>
    </row>
    <row r="2813" spans="1:4" x14ac:dyDescent="0.25">
      <c r="A2813" s="1" t="s">
        <v>5637</v>
      </c>
      <c r="B2813" s="1" t="s">
        <v>14990</v>
      </c>
      <c r="C2813" s="1" t="s">
        <v>14991</v>
      </c>
      <c r="D2813" s="1" t="s">
        <v>14992</v>
      </c>
    </row>
    <row r="2814" spans="1:4" x14ac:dyDescent="0.25">
      <c r="A2814" s="1" t="s">
        <v>5639</v>
      </c>
      <c r="B2814" s="1" t="s">
        <v>14993</v>
      </c>
      <c r="C2814" s="1" t="s">
        <v>14994</v>
      </c>
      <c r="D2814" s="1" t="s">
        <v>14995</v>
      </c>
    </row>
    <row r="2815" spans="1:4" x14ac:dyDescent="0.25">
      <c r="A2815" s="1" t="s">
        <v>5641</v>
      </c>
      <c r="B2815" s="1" t="s">
        <v>14996</v>
      </c>
      <c r="C2815" s="1" t="s">
        <v>14997</v>
      </c>
      <c r="D2815" s="1" t="s">
        <v>14998</v>
      </c>
    </row>
    <row r="2816" spans="1:4" x14ac:dyDescent="0.25">
      <c r="A2816" s="1" t="s">
        <v>5643</v>
      </c>
      <c r="B2816" s="1" t="s">
        <v>14999</v>
      </c>
      <c r="C2816" s="1" t="s">
        <v>15000</v>
      </c>
      <c r="D2816" s="1" t="s">
        <v>15001</v>
      </c>
    </row>
    <row r="2817" spans="1:4" x14ac:dyDescent="0.25">
      <c r="A2817" s="1" t="s">
        <v>5645</v>
      </c>
      <c r="B2817" s="1" t="s">
        <v>15002</v>
      </c>
      <c r="C2817" s="1" t="s">
        <v>15003</v>
      </c>
      <c r="D2817" s="1" t="s">
        <v>15004</v>
      </c>
    </row>
    <row r="2818" spans="1:4" x14ac:dyDescent="0.25">
      <c r="A2818" s="1" t="s">
        <v>5647</v>
      </c>
      <c r="B2818" s="1" t="s">
        <v>15005</v>
      </c>
      <c r="C2818" s="1" t="s">
        <v>15006</v>
      </c>
      <c r="D2818" s="1" t="s">
        <v>15007</v>
      </c>
    </row>
    <row r="2819" spans="1:4" x14ac:dyDescent="0.25">
      <c r="A2819" s="1" t="s">
        <v>5649</v>
      </c>
      <c r="B2819" s="1" t="s">
        <v>15008</v>
      </c>
      <c r="C2819" s="1" t="s">
        <v>15009</v>
      </c>
      <c r="D2819" s="1" t="s">
        <v>15010</v>
      </c>
    </row>
    <row r="2820" spans="1:4" x14ac:dyDescent="0.25">
      <c r="A2820" s="1" t="s">
        <v>5651</v>
      </c>
      <c r="B2820" s="1" t="s">
        <v>15011</v>
      </c>
      <c r="C2820" s="1" t="s">
        <v>15012</v>
      </c>
      <c r="D2820" s="1" t="s">
        <v>15013</v>
      </c>
    </row>
    <row r="2821" spans="1:4" x14ac:dyDescent="0.25">
      <c r="A2821" s="1" t="s">
        <v>5653</v>
      </c>
      <c r="B2821" s="1" t="s">
        <v>15014</v>
      </c>
      <c r="C2821" s="1" t="s">
        <v>15015</v>
      </c>
      <c r="D2821" s="1" t="s">
        <v>15016</v>
      </c>
    </row>
    <row r="2822" spans="1:4" x14ac:dyDescent="0.25">
      <c r="A2822" s="1" t="s">
        <v>5655</v>
      </c>
      <c r="B2822" s="1" t="s">
        <v>15017</v>
      </c>
      <c r="C2822" s="1" t="s">
        <v>15018</v>
      </c>
      <c r="D2822" s="1" t="s">
        <v>15019</v>
      </c>
    </row>
    <row r="2823" spans="1:4" x14ac:dyDescent="0.25">
      <c r="A2823" s="1" t="s">
        <v>5657</v>
      </c>
      <c r="B2823" s="1" t="s">
        <v>15020</v>
      </c>
      <c r="C2823" s="1" t="s">
        <v>15021</v>
      </c>
      <c r="D2823" s="1" t="s">
        <v>15022</v>
      </c>
    </row>
    <row r="2824" spans="1:4" x14ac:dyDescent="0.25">
      <c r="A2824" s="1" t="s">
        <v>5659</v>
      </c>
      <c r="B2824" s="1" t="s">
        <v>15023</v>
      </c>
      <c r="C2824" s="1" t="s">
        <v>15024</v>
      </c>
      <c r="D2824" s="1" t="s">
        <v>15025</v>
      </c>
    </row>
    <row r="2825" spans="1:4" x14ac:dyDescent="0.25">
      <c r="A2825" s="1" t="s">
        <v>5661</v>
      </c>
      <c r="B2825" s="1" t="s">
        <v>15026</v>
      </c>
      <c r="C2825" s="1" t="s">
        <v>15027</v>
      </c>
      <c r="D2825" s="1" t="s">
        <v>15028</v>
      </c>
    </row>
    <row r="2826" spans="1:4" x14ac:dyDescent="0.25">
      <c r="A2826" s="1" t="s">
        <v>5663</v>
      </c>
      <c r="B2826" s="1" t="s">
        <v>15029</v>
      </c>
      <c r="C2826" s="1" t="s">
        <v>15030</v>
      </c>
      <c r="D2826" s="1" t="s">
        <v>15031</v>
      </c>
    </row>
    <row r="2827" spans="1:4" x14ac:dyDescent="0.25">
      <c r="A2827" s="1" t="s">
        <v>5665</v>
      </c>
      <c r="B2827" s="1" t="s">
        <v>15032</v>
      </c>
      <c r="C2827" s="1" t="s">
        <v>15033</v>
      </c>
      <c r="D2827" s="1" t="s">
        <v>15034</v>
      </c>
    </row>
    <row r="2828" spans="1:4" x14ac:dyDescent="0.25">
      <c r="A2828" s="1" t="s">
        <v>5667</v>
      </c>
      <c r="B2828" s="1" t="s">
        <v>15035</v>
      </c>
      <c r="C2828" s="1" t="s">
        <v>15036</v>
      </c>
      <c r="D2828" s="1" t="s">
        <v>15037</v>
      </c>
    </row>
    <row r="2829" spans="1:4" x14ac:dyDescent="0.25">
      <c r="A2829" s="1" t="s">
        <v>5669</v>
      </c>
      <c r="B2829" s="1" t="s">
        <v>15038</v>
      </c>
      <c r="C2829" s="1" t="s">
        <v>15039</v>
      </c>
      <c r="D2829" s="1" t="s">
        <v>15040</v>
      </c>
    </row>
    <row r="2830" spans="1:4" x14ac:dyDescent="0.25">
      <c r="A2830" s="1" t="s">
        <v>5671</v>
      </c>
      <c r="B2830" s="1" t="s">
        <v>15041</v>
      </c>
      <c r="C2830" s="1" t="s">
        <v>15042</v>
      </c>
      <c r="D2830" s="1" t="s">
        <v>15043</v>
      </c>
    </row>
    <row r="2831" spans="1:4" x14ac:dyDescent="0.25">
      <c r="A2831" s="1" t="s">
        <v>5673</v>
      </c>
      <c r="B2831" s="1" t="s">
        <v>15044</v>
      </c>
      <c r="C2831" s="1" t="s">
        <v>15045</v>
      </c>
      <c r="D2831" s="1" t="s">
        <v>15046</v>
      </c>
    </row>
    <row r="2832" spans="1:4" x14ac:dyDescent="0.25">
      <c r="A2832" s="1" t="s">
        <v>5675</v>
      </c>
      <c r="B2832" s="1" t="s">
        <v>15047</v>
      </c>
      <c r="C2832" s="1" t="s">
        <v>15048</v>
      </c>
      <c r="D2832" s="1" t="s">
        <v>15049</v>
      </c>
    </row>
    <row r="2833" spans="1:4" x14ac:dyDescent="0.25">
      <c r="A2833" s="1" t="s">
        <v>5677</v>
      </c>
      <c r="B2833" s="1" t="s">
        <v>15050</v>
      </c>
      <c r="C2833" s="1" t="s">
        <v>15051</v>
      </c>
      <c r="D2833" s="1" t="s">
        <v>15052</v>
      </c>
    </row>
    <row r="2834" spans="1:4" x14ac:dyDescent="0.25">
      <c r="A2834" s="1" t="s">
        <v>5679</v>
      </c>
      <c r="B2834" s="1" t="s">
        <v>15053</v>
      </c>
      <c r="C2834" s="1" t="s">
        <v>15054</v>
      </c>
      <c r="D2834" s="1" t="s">
        <v>15055</v>
      </c>
    </row>
    <row r="2835" spans="1:4" x14ac:dyDescent="0.25">
      <c r="A2835" s="1" t="s">
        <v>5681</v>
      </c>
      <c r="B2835" s="1" t="s">
        <v>15056</v>
      </c>
      <c r="C2835" s="1" t="s">
        <v>15057</v>
      </c>
      <c r="D2835" s="1" t="s">
        <v>15058</v>
      </c>
    </row>
    <row r="2836" spans="1:4" x14ac:dyDescent="0.25">
      <c r="A2836" s="1" t="s">
        <v>5683</v>
      </c>
      <c r="B2836" s="1" t="s">
        <v>15059</v>
      </c>
      <c r="C2836" s="1" t="s">
        <v>15060</v>
      </c>
      <c r="D2836" s="1" t="s">
        <v>15061</v>
      </c>
    </row>
    <row r="2837" spans="1:4" x14ac:dyDescent="0.25">
      <c r="A2837" s="1" t="s">
        <v>5685</v>
      </c>
      <c r="B2837" s="1" t="s">
        <v>15062</v>
      </c>
      <c r="C2837" s="1" t="s">
        <v>15063</v>
      </c>
      <c r="D2837" s="1" t="s">
        <v>15064</v>
      </c>
    </row>
    <row r="2838" spans="1:4" x14ac:dyDescent="0.25">
      <c r="A2838" s="1" t="s">
        <v>5687</v>
      </c>
      <c r="B2838" s="1" t="s">
        <v>15065</v>
      </c>
      <c r="C2838" s="1" t="s">
        <v>15066</v>
      </c>
      <c r="D2838" s="1" t="s">
        <v>15067</v>
      </c>
    </row>
    <row r="2839" spans="1:4" x14ac:dyDescent="0.25">
      <c r="A2839" s="1" t="s">
        <v>5689</v>
      </c>
      <c r="B2839" s="1" t="s">
        <v>15068</v>
      </c>
      <c r="C2839" s="1" t="s">
        <v>15069</v>
      </c>
      <c r="D2839" s="1" t="s">
        <v>15070</v>
      </c>
    </row>
    <row r="2840" spans="1:4" x14ac:dyDescent="0.25">
      <c r="A2840" s="1" t="s">
        <v>5691</v>
      </c>
      <c r="B2840" s="1" t="s">
        <v>15071</v>
      </c>
      <c r="C2840" s="1" t="s">
        <v>15072</v>
      </c>
      <c r="D2840" s="1" t="s">
        <v>15073</v>
      </c>
    </row>
    <row r="2841" spans="1:4" x14ac:dyDescent="0.25">
      <c r="A2841" s="1" t="s">
        <v>5693</v>
      </c>
      <c r="B2841" s="1" t="s">
        <v>15074</v>
      </c>
      <c r="C2841" s="1" t="s">
        <v>15075</v>
      </c>
      <c r="D2841" s="1" t="s">
        <v>15076</v>
      </c>
    </row>
    <row r="2842" spans="1:4" x14ac:dyDescent="0.25">
      <c r="A2842" s="1" t="s">
        <v>5695</v>
      </c>
      <c r="B2842" s="1" t="s">
        <v>15077</v>
      </c>
      <c r="C2842" s="1" t="s">
        <v>15078</v>
      </c>
      <c r="D2842" s="1" t="s">
        <v>15079</v>
      </c>
    </row>
    <row r="2843" spans="1:4" x14ac:dyDescent="0.25">
      <c r="A2843" s="1" t="s">
        <v>5697</v>
      </c>
      <c r="B2843" s="1" t="s">
        <v>15080</v>
      </c>
      <c r="C2843" s="1" t="s">
        <v>15081</v>
      </c>
      <c r="D2843" s="1" t="s">
        <v>15082</v>
      </c>
    </row>
    <row r="2844" spans="1:4" x14ac:dyDescent="0.25">
      <c r="A2844" s="1" t="s">
        <v>5699</v>
      </c>
      <c r="B2844" s="1" t="s">
        <v>15083</v>
      </c>
      <c r="C2844" s="1" t="s">
        <v>15084</v>
      </c>
      <c r="D2844" s="1" t="s">
        <v>15085</v>
      </c>
    </row>
    <row r="2845" spans="1:4" x14ac:dyDescent="0.25">
      <c r="A2845" s="1" t="s">
        <v>5701</v>
      </c>
      <c r="B2845" s="1" t="s">
        <v>15086</v>
      </c>
      <c r="C2845" s="1" t="s">
        <v>15087</v>
      </c>
      <c r="D2845" s="1" t="s">
        <v>15088</v>
      </c>
    </row>
    <row r="2846" spans="1:4" x14ac:dyDescent="0.25">
      <c r="A2846" s="1" t="s">
        <v>5703</v>
      </c>
      <c r="B2846" s="1" t="s">
        <v>15089</v>
      </c>
      <c r="C2846" s="1" t="s">
        <v>15090</v>
      </c>
      <c r="D2846" s="1" t="s">
        <v>15091</v>
      </c>
    </row>
    <row r="2847" spans="1:4" x14ac:dyDescent="0.25">
      <c r="A2847" s="1" t="s">
        <v>5705</v>
      </c>
      <c r="B2847" s="1" t="s">
        <v>15092</v>
      </c>
      <c r="C2847" s="1" t="s">
        <v>15093</v>
      </c>
      <c r="D2847" s="1" t="s">
        <v>15094</v>
      </c>
    </row>
    <row r="2848" spans="1:4" x14ac:dyDescent="0.25">
      <c r="A2848" s="1" t="s">
        <v>5707</v>
      </c>
      <c r="B2848" s="1" t="s">
        <v>15095</v>
      </c>
      <c r="C2848" s="1" t="s">
        <v>15096</v>
      </c>
      <c r="D2848" s="1" t="s">
        <v>15097</v>
      </c>
    </row>
    <row r="2849" spans="1:4" x14ac:dyDescent="0.25">
      <c r="A2849" s="1" t="s">
        <v>5709</v>
      </c>
      <c r="B2849" s="1" t="s">
        <v>15098</v>
      </c>
      <c r="C2849" s="1" t="s">
        <v>15099</v>
      </c>
      <c r="D2849" s="1" t="s">
        <v>15100</v>
      </c>
    </row>
    <row r="2850" spans="1:4" x14ac:dyDescent="0.25">
      <c r="A2850" s="1" t="s">
        <v>5711</v>
      </c>
      <c r="B2850" s="1" t="s">
        <v>15101</v>
      </c>
      <c r="C2850" s="1" t="s">
        <v>15102</v>
      </c>
      <c r="D2850" s="1" t="s">
        <v>15103</v>
      </c>
    </row>
    <row r="2851" spans="1:4" x14ac:dyDescent="0.25">
      <c r="A2851" s="1" t="s">
        <v>5713</v>
      </c>
      <c r="B2851" s="1" t="s">
        <v>15104</v>
      </c>
      <c r="C2851" s="1" t="s">
        <v>15105</v>
      </c>
      <c r="D2851" s="1" t="s">
        <v>15106</v>
      </c>
    </row>
    <row r="2852" spans="1:4" x14ac:dyDescent="0.25">
      <c r="A2852" s="1" t="s">
        <v>5715</v>
      </c>
      <c r="B2852" s="1" t="s">
        <v>15107</v>
      </c>
      <c r="C2852" s="1" t="s">
        <v>15108</v>
      </c>
      <c r="D2852" s="1" t="s">
        <v>15109</v>
      </c>
    </row>
    <row r="2853" spans="1:4" x14ac:dyDescent="0.25">
      <c r="A2853" s="1" t="s">
        <v>5717</v>
      </c>
      <c r="B2853" s="1" t="s">
        <v>15110</v>
      </c>
      <c r="C2853" s="1" t="s">
        <v>15111</v>
      </c>
      <c r="D2853" s="1" t="s">
        <v>15112</v>
      </c>
    </row>
    <row r="2854" spans="1:4" x14ac:dyDescent="0.25">
      <c r="A2854" s="1" t="s">
        <v>5719</v>
      </c>
      <c r="B2854" s="1" t="s">
        <v>15113</v>
      </c>
      <c r="C2854" s="1" t="s">
        <v>15114</v>
      </c>
      <c r="D2854" s="1" t="s">
        <v>15115</v>
      </c>
    </row>
    <row r="2855" spans="1:4" x14ac:dyDescent="0.25">
      <c r="A2855" s="1" t="s">
        <v>5721</v>
      </c>
      <c r="B2855" s="1" t="s">
        <v>15116</v>
      </c>
      <c r="C2855" s="1" t="s">
        <v>15117</v>
      </c>
      <c r="D2855" s="1" t="s">
        <v>15118</v>
      </c>
    </row>
    <row r="2856" spans="1:4" x14ac:dyDescent="0.25">
      <c r="A2856" s="1" t="s">
        <v>5723</v>
      </c>
      <c r="B2856" s="1" t="s">
        <v>15119</v>
      </c>
      <c r="C2856" s="1" t="s">
        <v>15120</v>
      </c>
      <c r="D2856" s="1" t="s">
        <v>15121</v>
      </c>
    </row>
    <row r="2857" spans="1:4" x14ac:dyDescent="0.25">
      <c r="A2857" s="1" t="s">
        <v>5725</v>
      </c>
      <c r="B2857" s="1" t="s">
        <v>15122</v>
      </c>
      <c r="C2857" s="1" t="s">
        <v>15123</v>
      </c>
      <c r="D2857" s="1" t="s">
        <v>15124</v>
      </c>
    </row>
    <row r="2858" spans="1:4" x14ac:dyDescent="0.25">
      <c r="A2858" s="1" t="s">
        <v>5727</v>
      </c>
      <c r="B2858" s="1" t="s">
        <v>15125</v>
      </c>
      <c r="C2858" s="1" t="s">
        <v>15126</v>
      </c>
      <c r="D2858" s="1" t="s">
        <v>15127</v>
      </c>
    </row>
    <row r="2859" spans="1:4" x14ac:dyDescent="0.25">
      <c r="A2859" s="1" t="s">
        <v>5729</v>
      </c>
      <c r="B2859" s="1" t="s">
        <v>15128</v>
      </c>
      <c r="C2859" s="1" t="s">
        <v>15129</v>
      </c>
      <c r="D2859" s="1" t="s">
        <v>15130</v>
      </c>
    </row>
    <row r="2860" spans="1:4" x14ac:dyDescent="0.25">
      <c r="A2860" s="1" t="s">
        <v>5731</v>
      </c>
      <c r="B2860" s="1" t="s">
        <v>15131</v>
      </c>
      <c r="C2860" s="1" t="s">
        <v>15132</v>
      </c>
      <c r="D2860" s="1" t="s">
        <v>15133</v>
      </c>
    </row>
    <row r="2861" spans="1:4" x14ac:dyDescent="0.25">
      <c r="A2861" s="1" t="s">
        <v>5733</v>
      </c>
      <c r="B2861" s="1" t="s">
        <v>15134</v>
      </c>
      <c r="C2861" s="1" t="s">
        <v>15135</v>
      </c>
      <c r="D2861" s="1" t="s">
        <v>15136</v>
      </c>
    </row>
    <row r="2862" spans="1:4" x14ac:dyDescent="0.25">
      <c r="A2862" s="1" t="s">
        <v>5735</v>
      </c>
      <c r="B2862" s="1" t="s">
        <v>15137</v>
      </c>
      <c r="C2862" s="1" t="s">
        <v>15138</v>
      </c>
      <c r="D2862" s="1" t="s">
        <v>15139</v>
      </c>
    </row>
    <row r="2863" spans="1:4" x14ac:dyDescent="0.25">
      <c r="A2863" s="1" t="s">
        <v>5737</v>
      </c>
      <c r="B2863" s="1" t="s">
        <v>15140</v>
      </c>
      <c r="C2863" s="1" t="s">
        <v>15141</v>
      </c>
      <c r="D2863" s="1" t="s">
        <v>15142</v>
      </c>
    </row>
    <row r="2864" spans="1:4" x14ac:dyDescent="0.25">
      <c r="A2864" s="1" t="s">
        <v>5739</v>
      </c>
      <c r="B2864" s="1" t="s">
        <v>15143</v>
      </c>
      <c r="C2864" s="1" t="s">
        <v>15144</v>
      </c>
      <c r="D2864" s="1" t="s">
        <v>15145</v>
      </c>
    </row>
    <row r="2865" spans="1:4" x14ac:dyDescent="0.25">
      <c r="A2865" s="1" t="s">
        <v>5741</v>
      </c>
      <c r="B2865" s="1" t="s">
        <v>15146</v>
      </c>
      <c r="C2865" s="1" t="s">
        <v>15147</v>
      </c>
      <c r="D2865" s="1" t="s">
        <v>15148</v>
      </c>
    </row>
    <row r="2866" spans="1:4" x14ac:dyDescent="0.25">
      <c r="A2866" s="1" t="s">
        <v>5743</v>
      </c>
      <c r="B2866" s="1" t="s">
        <v>15149</v>
      </c>
      <c r="C2866" s="1" t="s">
        <v>15150</v>
      </c>
      <c r="D2866" s="1" t="s">
        <v>15151</v>
      </c>
    </row>
    <row r="2867" spans="1:4" x14ac:dyDescent="0.25">
      <c r="A2867" s="1" t="s">
        <v>5745</v>
      </c>
      <c r="B2867" s="1" t="s">
        <v>15152</v>
      </c>
      <c r="C2867" s="1" t="s">
        <v>15153</v>
      </c>
      <c r="D2867" s="1" t="s">
        <v>15154</v>
      </c>
    </row>
    <row r="2868" spans="1:4" x14ac:dyDescent="0.25">
      <c r="A2868" s="1" t="s">
        <v>5747</v>
      </c>
      <c r="B2868" s="1" t="s">
        <v>15155</v>
      </c>
      <c r="C2868" s="1" t="s">
        <v>15156</v>
      </c>
      <c r="D2868" s="1" t="s">
        <v>15157</v>
      </c>
    </row>
    <row r="2869" spans="1:4" x14ac:dyDescent="0.25">
      <c r="A2869" s="1" t="s">
        <v>5749</v>
      </c>
      <c r="B2869" s="1" t="s">
        <v>15158</v>
      </c>
      <c r="C2869" s="1" t="s">
        <v>15159</v>
      </c>
      <c r="D2869" s="1" t="s">
        <v>15160</v>
      </c>
    </row>
    <row r="2870" spans="1:4" x14ac:dyDescent="0.25">
      <c r="A2870" s="1" t="s">
        <v>5751</v>
      </c>
      <c r="B2870" s="1" t="s">
        <v>15161</v>
      </c>
      <c r="C2870" s="1" t="s">
        <v>15162</v>
      </c>
      <c r="D2870" s="1" t="s">
        <v>15163</v>
      </c>
    </row>
    <row r="2871" spans="1:4" x14ac:dyDescent="0.25">
      <c r="A2871" s="1" t="s">
        <v>5753</v>
      </c>
      <c r="B2871" s="1" t="s">
        <v>15164</v>
      </c>
      <c r="C2871" s="1" t="s">
        <v>15165</v>
      </c>
      <c r="D2871" s="1" t="s">
        <v>15166</v>
      </c>
    </row>
    <row r="2872" spans="1:4" x14ac:dyDescent="0.25">
      <c r="A2872" s="1" t="s">
        <v>5755</v>
      </c>
      <c r="B2872" s="1" t="s">
        <v>15167</v>
      </c>
      <c r="C2872" s="1" t="s">
        <v>15168</v>
      </c>
      <c r="D2872" s="1" t="s">
        <v>15169</v>
      </c>
    </row>
    <row r="2873" spans="1:4" x14ac:dyDescent="0.25">
      <c r="A2873" s="1" t="s">
        <v>5757</v>
      </c>
      <c r="B2873" s="1" t="s">
        <v>15170</v>
      </c>
      <c r="C2873" s="1" t="s">
        <v>15171</v>
      </c>
      <c r="D2873" s="1" t="s">
        <v>15172</v>
      </c>
    </row>
    <row r="2874" spans="1:4" x14ac:dyDescent="0.25">
      <c r="A2874" s="1" t="s">
        <v>5759</v>
      </c>
      <c r="B2874" s="1" t="s">
        <v>15173</v>
      </c>
      <c r="C2874" s="1" t="s">
        <v>15174</v>
      </c>
      <c r="D2874" s="1" t="s">
        <v>15175</v>
      </c>
    </row>
    <row r="2875" spans="1:4" x14ac:dyDescent="0.25">
      <c r="A2875" s="1" t="s">
        <v>5761</v>
      </c>
      <c r="B2875" s="1" t="s">
        <v>15176</v>
      </c>
      <c r="C2875" s="1" t="s">
        <v>15177</v>
      </c>
      <c r="D2875" s="1" t="s">
        <v>15178</v>
      </c>
    </row>
    <row r="2876" spans="1:4" x14ac:dyDescent="0.25">
      <c r="A2876" s="1" t="s">
        <v>5763</v>
      </c>
      <c r="B2876" s="1" t="s">
        <v>15179</v>
      </c>
      <c r="C2876" s="1" t="s">
        <v>15180</v>
      </c>
      <c r="D2876" s="1" t="s">
        <v>15181</v>
      </c>
    </row>
    <row r="2877" spans="1:4" x14ac:dyDescent="0.25">
      <c r="A2877" s="1" t="s">
        <v>5765</v>
      </c>
      <c r="B2877" s="1" t="s">
        <v>15182</v>
      </c>
      <c r="C2877" s="1" t="s">
        <v>15183</v>
      </c>
      <c r="D2877" s="1" t="s">
        <v>15184</v>
      </c>
    </row>
    <row r="2878" spans="1:4" x14ac:dyDescent="0.25">
      <c r="A2878" s="1" t="s">
        <v>5767</v>
      </c>
      <c r="B2878" s="1" t="s">
        <v>15185</v>
      </c>
      <c r="C2878" s="1" t="s">
        <v>15186</v>
      </c>
      <c r="D2878" s="1" t="s">
        <v>15187</v>
      </c>
    </row>
    <row r="2879" spans="1:4" x14ac:dyDescent="0.25">
      <c r="A2879" s="1" t="s">
        <v>5769</v>
      </c>
      <c r="B2879" s="1" t="s">
        <v>15188</v>
      </c>
      <c r="C2879" s="1" t="s">
        <v>15189</v>
      </c>
      <c r="D2879" s="1" t="s">
        <v>15190</v>
      </c>
    </row>
    <row r="2880" spans="1:4" x14ac:dyDescent="0.25">
      <c r="A2880" s="1" t="s">
        <v>5771</v>
      </c>
      <c r="B2880" s="1" t="s">
        <v>15191</v>
      </c>
      <c r="C2880" s="1" t="s">
        <v>15192</v>
      </c>
      <c r="D2880" s="1" t="s">
        <v>15193</v>
      </c>
    </row>
    <row r="2881" spans="1:4" x14ac:dyDescent="0.25">
      <c r="A2881" s="1" t="s">
        <v>5773</v>
      </c>
      <c r="B2881" s="1" t="s">
        <v>15194</v>
      </c>
      <c r="C2881" s="1" t="s">
        <v>15195</v>
      </c>
      <c r="D2881" s="1" t="s">
        <v>15196</v>
      </c>
    </row>
    <row r="2882" spans="1:4" x14ac:dyDescent="0.25">
      <c r="A2882" s="1" t="s">
        <v>5775</v>
      </c>
      <c r="B2882" s="1" t="s">
        <v>15197</v>
      </c>
      <c r="C2882" s="1" t="s">
        <v>15198</v>
      </c>
      <c r="D2882" s="1" t="s">
        <v>15199</v>
      </c>
    </row>
    <row r="2883" spans="1:4" x14ac:dyDescent="0.25">
      <c r="A2883" s="1" t="s">
        <v>5777</v>
      </c>
      <c r="B2883" s="1" t="s">
        <v>15200</v>
      </c>
      <c r="C2883" s="1" t="s">
        <v>15201</v>
      </c>
      <c r="D2883" s="1" t="s">
        <v>15202</v>
      </c>
    </row>
    <row r="2884" spans="1:4" x14ac:dyDescent="0.25">
      <c r="A2884" s="1" t="s">
        <v>5779</v>
      </c>
      <c r="B2884" s="1" t="s">
        <v>15203</v>
      </c>
      <c r="C2884" s="1" t="s">
        <v>15204</v>
      </c>
      <c r="D2884" s="1" t="s">
        <v>15205</v>
      </c>
    </row>
    <row r="2885" spans="1:4" x14ac:dyDescent="0.25">
      <c r="A2885" s="1" t="s">
        <v>5781</v>
      </c>
      <c r="B2885" s="1" t="s">
        <v>15206</v>
      </c>
      <c r="C2885" s="1" t="s">
        <v>15207</v>
      </c>
      <c r="D2885" s="1" t="s">
        <v>15208</v>
      </c>
    </row>
    <row r="2886" spans="1:4" x14ac:dyDescent="0.25">
      <c r="A2886" s="1" t="s">
        <v>5783</v>
      </c>
      <c r="B2886" s="1" t="s">
        <v>15209</v>
      </c>
      <c r="C2886" s="1" t="s">
        <v>15210</v>
      </c>
      <c r="D2886" s="1" t="s">
        <v>15211</v>
      </c>
    </row>
    <row r="2887" spans="1:4" x14ac:dyDescent="0.25">
      <c r="A2887" s="1" t="s">
        <v>5785</v>
      </c>
      <c r="B2887" s="1" t="s">
        <v>15212</v>
      </c>
      <c r="C2887" s="1" t="s">
        <v>15213</v>
      </c>
      <c r="D2887" s="1" t="s">
        <v>15214</v>
      </c>
    </row>
    <row r="2888" spans="1:4" x14ac:dyDescent="0.25">
      <c r="A2888" s="1" t="s">
        <v>5787</v>
      </c>
      <c r="B2888" s="1" t="s">
        <v>15215</v>
      </c>
      <c r="C2888" s="1" t="s">
        <v>15216</v>
      </c>
      <c r="D2888" s="1" t="s">
        <v>15217</v>
      </c>
    </row>
    <row r="2889" spans="1:4" x14ac:dyDescent="0.25">
      <c r="A2889" s="1" t="s">
        <v>5789</v>
      </c>
      <c r="B2889" s="1" t="s">
        <v>15218</v>
      </c>
      <c r="C2889" s="1" t="s">
        <v>15219</v>
      </c>
      <c r="D2889" s="1" t="s">
        <v>15220</v>
      </c>
    </row>
    <row r="2890" spans="1:4" x14ac:dyDescent="0.25">
      <c r="A2890" s="1" t="s">
        <v>5791</v>
      </c>
      <c r="B2890" s="1" t="s">
        <v>15221</v>
      </c>
      <c r="C2890" s="1" t="s">
        <v>15222</v>
      </c>
      <c r="D2890" s="1" t="s">
        <v>15223</v>
      </c>
    </row>
    <row r="2891" spans="1:4" x14ac:dyDescent="0.25">
      <c r="A2891" s="1" t="s">
        <v>5793</v>
      </c>
      <c r="B2891" s="1" t="s">
        <v>15224</v>
      </c>
      <c r="C2891" s="1" t="s">
        <v>15225</v>
      </c>
      <c r="D2891" s="1" t="s">
        <v>15226</v>
      </c>
    </row>
    <row r="2892" spans="1:4" x14ac:dyDescent="0.25">
      <c r="A2892" s="1" t="s">
        <v>5795</v>
      </c>
      <c r="B2892" s="1" t="s">
        <v>15227</v>
      </c>
      <c r="C2892" s="1" t="s">
        <v>15228</v>
      </c>
      <c r="D2892" s="1" t="s">
        <v>15229</v>
      </c>
    </row>
    <row r="2893" spans="1:4" x14ac:dyDescent="0.25">
      <c r="A2893" s="1" t="s">
        <v>5797</v>
      </c>
      <c r="B2893" s="1" t="s">
        <v>15230</v>
      </c>
      <c r="C2893" s="1" t="s">
        <v>15231</v>
      </c>
      <c r="D2893" s="1" t="s">
        <v>15232</v>
      </c>
    </row>
    <row r="2894" spans="1:4" x14ac:dyDescent="0.25">
      <c r="A2894" s="1" t="s">
        <v>5799</v>
      </c>
      <c r="B2894" s="1" t="s">
        <v>15233</v>
      </c>
      <c r="C2894" s="1" t="s">
        <v>15234</v>
      </c>
      <c r="D2894" s="1" t="s">
        <v>15235</v>
      </c>
    </row>
    <row r="2895" spans="1:4" x14ac:dyDescent="0.25">
      <c r="A2895" s="1" t="s">
        <v>5801</v>
      </c>
      <c r="B2895" s="1" t="s">
        <v>15236</v>
      </c>
      <c r="C2895" s="1" t="s">
        <v>15237</v>
      </c>
      <c r="D2895" s="1" t="s">
        <v>15238</v>
      </c>
    </row>
    <row r="2896" spans="1:4" x14ac:dyDescent="0.25">
      <c r="A2896" s="1" t="s">
        <v>5803</v>
      </c>
      <c r="B2896" s="1" t="s">
        <v>15239</v>
      </c>
      <c r="C2896" s="1" t="s">
        <v>15240</v>
      </c>
      <c r="D2896" s="1" t="s">
        <v>15241</v>
      </c>
    </row>
    <row r="2897" spans="1:4" x14ac:dyDescent="0.25">
      <c r="A2897" s="1" t="s">
        <v>5805</v>
      </c>
      <c r="B2897" s="1" t="s">
        <v>15242</v>
      </c>
      <c r="C2897" s="1" t="s">
        <v>15243</v>
      </c>
      <c r="D2897" s="1" t="s">
        <v>15244</v>
      </c>
    </row>
    <row r="2898" spans="1:4" x14ac:dyDescent="0.25">
      <c r="A2898" s="1" t="s">
        <v>5807</v>
      </c>
      <c r="B2898" s="1" t="s">
        <v>15245</v>
      </c>
      <c r="C2898" s="1" t="s">
        <v>15246</v>
      </c>
      <c r="D2898" s="1" t="s">
        <v>15247</v>
      </c>
    </row>
    <row r="2899" spans="1:4" x14ac:dyDescent="0.25">
      <c r="A2899" s="1" t="s">
        <v>5809</v>
      </c>
      <c r="B2899" s="1" t="s">
        <v>15248</v>
      </c>
      <c r="C2899" s="1" t="s">
        <v>15249</v>
      </c>
      <c r="D2899" s="1" t="s">
        <v>15250</v>
      </c>
    </row>
    <row r="2900" spans="1:4" x14ac:dyDescent="0.25">
      <c r="A2900" s="1" t="s">
        <v>5811</v>
      </c>
      <c r="B2900" s="1" t="s">
        <v>15251</v>
      </c>
      <c r="C2900" s="1" t="s">
        <v>15252</v>
      </c>
      <c r="D2900" s="1" t="s">
        <v>15253</v>
      </c>
    </row>
    <row r="2901" spans="1:4" x14ac:dyDescent="0.25">
      <c r="A2901" s="1" t="s">
        <v>5813</v>
      </c>
      <c r="B2901" s="1" t="s">
        <v>15254</v>
      </c>
      <c r="C2901" s="1" t="s">
        <v>15255</v>
      </c>
      <c r="D2901" s="1" t="s">
        <v>15256</v>
      </c>
    </row>
    <row r="2902" spans="1:4" x14ac:dyDescent="0.25">
      <c r="A2902" s="1" t="s">
        <v>5815</v>
      </c>
      <c r="B2902" s="1" t="s">
        <v>15257</v>
      </c>
      <c r="C2902" s="1" t="s">
        <v>15258</v>
      </c>
      <c r="D2902" s="1" t="s">
        <v>15259</v>
      </c>
    </row>
    <row r="2903" spans="1:4" x14ac:dyDescent="0.25">
      <c r="A2903" s="1" t="s">
        <v>5817</v>
      </c>
      <c r="B2903" s="1" t="s">
        <v>15260</v>
      </c>
      <c r="C2903" s="1" t="s">
        <v>15261</v>
      </c>
      <c r="D2903" s="1" t="s">
        <v>15262</v>
      </c>
    </row>
    <row r="2904" spans="1:4" x14ac:dyDescent="0.25">
      <c r="A2904" s="1" t="s">
        <v>5819</v>
      </c>
      <c r="B2904" s="1" t="s">
        <v>15263</v>
      </c>
      <c r="C2904" s="1" t="s">
        <v>15264</v>
      </c>
      <c r="D2904" s="1" t="s">
        <v>15265</v>
      </c>
    </row>
    <row r="2905" spans="1:4" x14ac:dyDescent="0.25">
      <c r="A2905" s="1" t="s">
        <v>5821</v>
      </c>
      <c r="B2905" s="1" t="s">
        <v>15266</v>
      </c>
      <c r="C2905" s="1" t="s">
        <v>15267</v>
      </c>
      <c r="D2905" s="1" t="s">
        <v>15268</v>
      </c>
    </row>
    <row r="2906" spans="1:4" x14ac:dyDescent="0.25">
      <c r="A2906" s="1" t="s">
        <v>5823</v>
      </c>
      <c r="B2906" s="1" t="s">
        <v>15269</v>
      </c>
      <c r="C2906" s="1" t="s">
        <v>15270</v>
      </c>
      <c r="D2906" s="1" t="s">
        <v>15271</v>
      </c>
    </row>
    <row r="2907" spans="1:4" x14ac:dyDescent="0.25">
      <c r="A2907" s="1" t="s">
        <v>5825</v>
      </c>
      <c r="B2907" s="1" t="s">
        <v>15272</v>
      </c>
      <c r="C2907" s="1" t="s">
        <v>15273</v>
      </c>
      <c r="D2907" s="1" t="s">
        <v>15274</v>
      </c>
    </row>
    <row r="2908" spans="1:4" x14ac:dyDescent="0.25">
      <c r="A2908" s="1" t="s">
        <v>5827</v>
      </c>
      <c r="B2908" s="1" t="s">
        <v>15275</v>
      </c>
      <c r="C2908" s="1" t="s">
        <v>15276</v>
      </c>
      <c r="D2908" s="1" t="s">
        <v>15277</v>
      </c>
    </row>
    <row r="2909" spans="1:4" x14ac:dyDescent="0.25">
      <c r="A2909" s="1" t="s">
        <v>5829</v>
      </c>
      <c r="B2909" s="1" t="s">
        <v>15278</v>
      </c>
      <c r="C2909" s="1" t="s">
        <v>15279</v>
      </c>
      <c r="D2909" s="1" t="s">
        <v>15280</v>
      </c>
    </row>
    <row r="2910" spans="1:4" x14ac:dyDescent="0.25">
      <c r="A2910" s="1" t="s">
        <v>5831</v>
      </c>
      <c r="B2910" s="1" t="s">
        <v>15281</v>
      </c>
      <c r="C2910" s="1" t="s">
        <v>15282</v>
      </c>
      <c r="D2910" s="1" t="s">
        <v>15283</v>
      </c>
    </row>
    <row r="2911" spans="1:4" x14ac:dyDescent="0.25">
      <c r="A2911" s="1" t="s">
        <v>5833</v>
      </c>
      <c r="B2911" s="1" t="s">
        <v>15284</v>
      </c>
      <c r="C2911" s="1" t="s">
        <v>15285</v>
      </c>
      <c r="D2911" s="1" t="s">
        <v>15286</v>
      </c>
    </row>
    <row r="2912" spans="1:4" x14ac:dyDescent="0.25">
      <c r="A2912" s="1" t="s">
        <v>5835</v>
      </c>
      <c r="B2912" s="1" t="s">
        <v>15287</v>
      </c>
      <c r="C2912" s="1" t="s">
        <v>15288</v>
      </c>
      <c r="D2912" s="1" t="s">
        <v>15289</v>
      </c>
    </row>
    <row r="2913" spans="1:4" x14ac:dyDescent="0.25">
      <c r="A2913" s="1" t="s">
        <v>5837</v>
      </c>
      <c r="B2913" s="1" t="s">
        <v>15290</v>
      </c>
      <c r="C2913" s="1" t="s">
        <v>15291</v>
      </c>
      <c r="D2913" s="1" t="s">
        <v>15292</v>
      </c>
    </row>
    <row r="2914" spans="1:4" x14ac:dyDescent="0.25">
      <c r="A2914" s="1" t="s">
        <v>5839</v>
      </c>
      <c r="B2914" s="1" t="s">
        <v>15293</v>
      </c>
      <c r="C2914" s="1" t="s">
        <v>15294</v>
      </c>
      <c r="D2914" s="1" t="s">
        <v>15295</v>
      </c>
    </row>
    <row r="2915" spans="1:4" x14ac:dyDescent="0.25">
      <c r="A2915" s="1" t="s">
        <v>5841</v>
      </c>
      <c r="B2915" s="1" t="s">
        <v>15296</v>
      </c>
      <c r="C2915" s="1" t="s">
        <v>15297</v>
      </c>
      <c r="D2915" s="1" t="s">
        <v>15298</v>
      </c>
    </row>
    <row r="2916" spans="1:4" x14ac:dyDescent="0.25">
      <c r="A2916" s="1" t="s">
        <v>5843</v>
      </c>
      <c r="B2916" s="1" t="s">
        <v>15299</v>
      </c>
      <c r="C2916" s="1" t="s">
        <v>15300</v>
      </c>
      <c r="D2916" s="1" t="s">
        <v>15301</v>
      </c>
    </row>
    <row r="2917" spans="1:4" x14ac:dyDescent="0.25">
      <c r="A2917" s="1" t="s">
        <v>5845</v>
      </c>
      <c r="B2917" s="1" t="s">
        <v>15302</v>
      </c>
      <c r="C2917" s="1" t="s">
        <v>15303</v>
      </c>
      <c r="D2917" s="1" t="s">
        <v>15304</v>
      </c>
    </row>
    <row r="2918" spans="1:4" x14ac:dyDescent="0.25">
      <c r="A2918" s="1" t="s">
        <v>5847</v>
      </c>
      <c r="B2918" s="1" t="s">
        <v>15305</v>
      </c>
      <c r="C2918" s="1" t="s">
        <v>15306</v>
      </c>
      <c r="D2918" s="1" t="s">
        <v>15307</v>
      </c>
    </row>
    <row r="2919" spans="1:4" x14ac:dyDescent="0.25">
      <c r="A2919" s="1" t="s">
        <v>5849</v>
      </c>
      <c r="B2919" s="1" t="s">
        <v>15308</v>
      </c>
      <c r="C2919" s="1" t="s">
        <v>15309</v>
      </c>
      <c r="D2919" s="1" t="s">
        <v>15310</v>
      </c>
    </row>
    <row r="2920" spans="1:4" x14ac:dyDescent="0.25">
      <c r="A2920" s="1" t="s">
        <v>5851</v>
      </c>
      <c r="B2920" s="1" t="s">
        <v>15311</v>
      </c>
      <c r="C2920" s="1" t="s">
        <v>15312</v>
      </c>
      <c r="D2920" s="1" t="s">
        <v>15313</v>
      </c>
    </row>
    <row r="2921" spans="1:4" x14ac:dyDescent="0.25">
      <c r="A2921" s="1" t="s">
        <v>5853</v>
      </c>
      <c r="B2921" s="1" t="s">
        <v>15314</v>
      </c>
      <c r="C2921" s="1" t="s">
        <v>15315</v>
      </c>
      <c r="D2921" s="1" t="s">
        <v>15316</v>
      </c>
    </row>
    <row r="2922" spans="1:4" x14ac:dyDescent="0.25">
      <c r="A2922" s="1" t="s">
        <v>5855</v>
      </c>
      <c r="B2922" s="1" t="s">
        <v>15317</v>
      </c>
      <c r="C2922" s="1" t="s">
        <v>15318</v>
      </c>
      <c r="D2922" s="1" t="s">
        <v>15319</v>
      </c>
    </row>
    <row r="2923" spans="1:4" x14ac:dyDescent="0.25">
      <c r="A2923" s="1" t="s">
        <v>5857</v>
      </c>
      <c r="B2923" s="1" t="s">
        <v>15320</v>
      </c>
      <c r="C2923" s="1" t="s">
        <v>15321</v>
      </c>
      <c r="D2923" s="1" t="s">
        <v>15322</v>
      </c>
    </row>
    <row r="2924" spans="1:4" x14ac:dyDescent="0.25">
      <c r="A2924" s="1" t="s">
        <v>5859</v>
      </c>
      <c r="B2924" s="1" t="s">
        <v>15323</v>
      </c>
      <c r="C2924" s="1" t="s">
        <v>15324</v>
      </c>
      <c r="D2924" s="1" t="s">
        <v>15325</v>
      </c>
    </row>
    <row r="2925" spans="1:4" x14ac:dyDescent="0.25">
      <c r="A2925" s="1" t="s">
        <v>5861</v>
      </c>
      <c r="B2925" s="1" t="s">
        <v>15326</v>
      </c>
      <c r="C2925" s="1" t="s">
        <v>15327</v>
      </c>
      <c r="D2925" s="1" t="s">
        <v>15328</v>
      </c>
    </row>
    <row r="2926" spans="1:4" x14ac:dyDescent="0.25">
      <c r="A2926" s="1" t="s">
        <v>5863</v>
      </c>
      <c r="B2926" s="1" t="s">
        <v>15329</v>
      </c>
      <c r="C2926" s="1" t="s">
        <v>15330</v>
      </c>
      <c r="D2926" s="1" t="s">
        <v>15331</v>
      </c>
    </row>
    <row r="2927" spans="1:4" x14ac:dyDescent="0.25">
      <c r="A2927" s="1" t="s">
        <v>5865</v>
      </c>
      <c r="B2927" s="1" t="s">
        <v>15332</v>
      </c>
      <c r="C2927" s="1" t="s">
        <v>15333</v>
      </c>
      <c r="D2927" s="1" t="s">
        <v>15334</v>
      </c>
    </row>
    <row r="2928" spans="1:4" x14ac:dyDescent="0.25">
      <c r="A2928" s="1" t="s">
        <v>5867</v>
      </c>
      <c r="B2928" s="1" t="s">
        <v>15335</v>
      </c>
      <c r="C2928" s="1" t="s">
        <v>15336</v>
      </c>
      <c r="D2928" s="1" t="s">
        <v>15337</v>
      </c>
    </row>
    <row r="2929" spans="1:4" x14ac:dyDescent="0.25">
      <c r="A2929" s="1" t="s">
        <v>5869</v>
      </c>
      <c r="B2929" s="1" t="s">
        <v>15338</v>
      </c>
      <c r="C2929" s="1" t="s">
        <v>15339</v>
      </c>
      <c r="D2929" s="1" t="s">
        <v>15340</v>
      </c>
    </row>
    <row r="2930" spans="1:4" x14ac:dyDescent="0.25">
      <c r="A2930" s="1" t="s">
        <v>5871</v>
      </c>
      <c r="B2930" s="1" t="s">
        <v>15341</v>
      </c>
      <c r="C2930" s="1" t="s">
        <v>15342</v>
      </c>
      <c r="D2930" s="1" t="s">
        <v>15343</v>
      </c>
    </row>
    <row r="2931" spans="1:4" x14ac:dyDescent="0.25">
      <c r="A2931" s="1" t="s">
        <v>5873</v>
      </c>
      <c r="B2931" s="1" t="s">
        <v>15344</v>
      </c>
      <c r="C2931" s="1" t="s">
        <v>15345</v>
      </c>
      <c r="D2931" s="1" t="s">
        <v>15346</v>
      </c>
    </row>
    <row r="2932" spans="1:4" x14ac:dyDescent="0.25">
      <c r="A2932" s="1" t="s">
        <v>5875</v>
      </c>
      <c r="B2932" s="1" t="s">
        <v>15347</v>
      </c>
      <c r="C2932" s="1" t="s">
        <v>15348</v>
      </c>
      <c r="D2932" s="1" t="s">
        <v>15349</v>
      </c>
    </row>
    <row r="2933" spans="1:4" x14ac:dyDescent="0.25">
      <c r="A2933" s="1" t="s">
        <v>5877</v>
      </c>
      <c r="B2933" s="1" t="s">
        <v>15350</v>
      </c>
      <c r="C2933" s="1" t="s">
        <v>15351</v>
      </c>
      <c r="D2933" s="1" t="s">
        <v>15352</v>
      </c>
    </row>
    <row r="2934" spans="1:4" x14ac:dyDescent="0.25">
      <c r="A2934" s="1" t="s">
        <v>5879</v>
      </c>
      <c r="B2934" s="1" t="s">
        <v>15353</v>
      </c>
      <c r="C2934" s="1" t="s">
        <v>15354</v>
      </c>
      <c r="D2934" s="1" t="s">
        <v>15355</v>
      </c>
    </row>
    <row r="2935" spans="1:4" x14ac:dyDescent="0.25">
      <c r="A2935" s="1" t="s">
        <v>5881</v>
      </c>
      <c r="B2935" s="1" t="s">
        <v>15356</v>
      </c>
      <c r="C2935" s="1" t="s">
        <v>15357</v>
      </c>
      <c r="D2935" s="1" t="s">
        <v>15358</v>
      </c>
    </row>
    <row r="2936" spans="1:4" x14ac:dyDescent="0.25">
      <c r="A2936" s="1" t="s">
        <v>5883</v>
      </c>
      <c r="B2936" s="1" t="s">
        <v>15359</v>
      </c>
      <c r="C2936" s="1" t="s">
        <v>15360</v>
      </c>
      <c r="D2936" s="1" t="s">
        <v>15361</v>
      </c>
    </row>
    <row r="2937" spans="1:4" x14ac:dyDescent="0.25">
      <c r="A2937" s="1" t="s">
        <v>5885</v>
      </c>
      <c r="B2937" s="1" t="s">
        <v>15362</v>
      </c>
      <c r="C2937" s="1" t="s">
        <v>15363</v>
      </c>
      <c r="D2937" s="1" t="s">
        <v>15364</v>
      </c>
    </row>
    <row r="2938" spans="1:4" x14ac:dyDescent="0.25">
      <c r="A2938" s="1" t="s">
        <v>5887</v>
      </c>
      <c r="B2938" s="1" t="s">
        <v>15365</v>
      </c>
      <c r="C2938" s="1" t="s">
        <v>15366</v>
      </c>
      <c r="D2938" s="1" t="s">
        <v>15367</v>
      </c>
    </row>
    <row r="2939" spans="1:4" x14ac:dyDescent="0.25">
      <c r="A2939" s="1" t="s">
        <v>5889</v>
      </c>
      <c r="B2939" s="1" t="s">
        <v>15368</v>
      </c>
      <c r="C2939" s="1" t="s">
        <v>15369</v>
      </c>
      <c r="D2939" s="1" t="s">
        <v>15370</v>
      </c>
    </row>
    <row r="2940" spans="1:4" x14ac:dyDescent="0.25">
      <c r="A2940" s="1" t="s">
        <v>5891</v>
      </c>
      <c r="B2940" s="1" t="s">
        <v>15371</v>
      </c>
      <c r="C2940" s="1" t="s">
        <v>15372</v>
      </c>
      <c r="D2940" s="1" t="s">
        <v>15373</v>
      </c>
    </row>
    <row r="2941" spans="1:4" x14ac:dyDescent="0.25">
      <c r="A2941" s="1" t="s">
        <v>5893</v>
      </c>
      <c r="B2941" s="1" t="s">
        <v>15374</v>
      </c>
      <c r="C2941" s="1" t="s">
        <v>15375</v>
      </c>
      <c r="D2941" s="1" t="s">
        <v>15376</v>
      </c>
    </row>
    <row r="2942" spans="1:4" x14ac:dyDescent="0.25">
      <c r="A2942" s="1" t="s">
        <v>5895</v>
      </c>
      <c r="B2942" s="1" t="s">
        <v>15377</v>
      </c>
      <c r="C2942" s="1" t="s">
        <v>15378</v>
      </c>
      <c r="D2942" s="1" t="s">
        <v>15379</v>
      </c>
    </row>
    <row r="2943" spans="1:4" x14ac:dyDescent="0.25">
      <c r="A2943" s="1" t="s">
        <v>5897</v>
      </c>
      <c r="B2943" s="1" t="s">
        <v>15380</v>
      </c>
      <c r="C2943" s="1" t="s">
        <v>15381</v>
      </c>
      <c r="D2943" s="1" t="s">
        <v>15382</v>
      </c>
    </row>
    <row r="2944" spans="1:4" x14ac:dyDescent="0.25">
      <c r="A2944" s="1" t="s">
        <v>5899</v>
      </c>
      <c r="B2944" s="1" t="s">
        <v>15383</v>
      </c>
      <c r="C2944" s="1" t="s">
        <v>15384</v>
      </c>
      <c r="D2944" s="1" t="s">
        <v>15385</v>
      </c>
    </row>
    <row r="2945" spans="1:4" x14ac:dyDescent="0.25">
      <c r="A2945" s="1" t="s">
        <v>5901</v>
      </c>
      <c r="B2945" s="1" t="s">
        <v>15386</v>
      </c>
      <c r="C2945" s="1" t="s">
        <v>15387</v>
      </c>
      <c r="D2945" s="1" t="s">
        <v>15388</v>
      </c>
    </row>
    <row r="2946" spans="1:4" x14ac:dyDescent="0.25">
      <c r="A2946" s="1" t="s">
        <v>5903</v>
      </c>
      <c r="B2946" s="1" t="s">
        <v>15389</v>
      </c>
      <c r="C2946" s="1" t="s">
        <v>15390</v>
      </c>
      <c r="D2946" s="1" t="s">
        <v>15391</v>
      </c>
    </row>
    <row r="2947" spans="1:4" x14ac:dyDescent="0.25">
      <c r="A2947" s="1" t="s">
        <v>5905</v>
      </c>
      <c r="B2947" s="1" t="s">
        <v>15392</v>
      </c>
      <c r="C2947" s="1" t="s">
        <v>15393</v>
      </c>
      <c r="D2947" s="1" t="s">
        <v>15394</v>
      </c>
    </row>
    <row r="2948" spans="1:4" x14ac:dyDescent="0.25">
      <c r="A2948" s="1" t="s">
        <v>5907</v>
      </c>
      <c r="B2948" s="1" t="s">
        <v>15395</v>
      </c>
      <c r="C2948" s="1" t="s">
        <v>15396</v>
      </c>
      <c r="D2948" s="1" t="s">
        <v>15397</v>
      </c>
    </row>
    <row r="2949" spans="1:4" x14ac:dyDescent="0.25">
      <c r="A2949" s="1" t="s">
        <v>5909</v>
      </c>
      <c r="B2949" s="1" t="s">
        <v>15398</v>
      </c>
      <c r="C2949" s="1" t="s">
        <v>15399</v>
      </c>
      <c r="D2949" s="1" t="s">
        <v>15400</v>
      </c>
    </row>
    <row r="2950" spans="1:4" x14ac:dyDescent="0.25">
      <c r="A2950" s="1" t="s">
        <v>5911</v>
      </c>
      <c r="B2950" s="1" t="s">
        <v>15401</v>
      </c>
      <c r="C2950" s="1" t="s">
        <v>15402</v>
      </c>
      <c r="D2950" s="1" t="s">
        <v>15403</v>
      </c>
    </row>
    <row r="2951" spans="1:4" x14ac:dyDescent="0.25">
      <c r="A2951" s="1" t="s">
        <v>5913</v>
      </c>
      <c r="B2951" s="1" t="s">
        <v>15404</v>
      </c>
      <c r="C2951" s="1" t="s">
        <v>15405</v>
      </c>
      <c r="D2951" s="1" t="s">
        <v>15406</v>
      </c>
    </row>
    <row r="2952" spans="1:4" x14ac:dyDescent="0.25">
      <c r="A2952" s="1" t="s">
        <v>5915</v>
      </c>
      <c r="B2952" s="1" t="s">
        <v>15407</v>
      </c>
      <c r="C2952" s="1" t="s">
        <v>15408</v>
      </c>
      <c r="D2952" s="1" t="s">
        <v>15409</v>
      </c>
    </row>
    <row r="2953" spans="1:4" x14ac:dyDescent="0.25">
      <c r="A2953" s="1" t="s">
        <v>5917</v>
      </c>
      <c r="B2953" s="1" t="s">
        <v>15410</v>
      </c>
      <c r="C2953" s="1" t="s">
        <v>15411</v>
      </c>
      <c r="D2953" s="1" t="s">
        <v>15412</v>
      </c>
    </row>
    <row r="2954" spans="1:4" x14ac:dyDescent="0.25">
      <c r="A2954" s="1" t="s">
        <v>5919</v>
      </c>
      <c r="B2954" s="1" t="s">
        <v>15413</v>
      </c>
      <c r="C2954" s="1" t="s">
        <v>15414</v>
      </c>
      <c r="D2954" s="1" t="s">
        <v>15415</v>
      </c>
    </row>
    <row r="2955" spans="1:4" x14ac:dyDescent="0.25">
      <c r="A2955" s="1" t="s">
        <v>5921</v>
      </c>
      <c r="B2955" s="1" t="s">
        <v>15416</v>
      </c>
      <c r="C2955" s="1" t="s">
        <v>15417</v>
      </c>
      <c r="D2955" s="1" t="s">
        <v>15418</v>
      </c>
    </row>
    <row r="2956" spans="1:4" x14ac:dyDescent="0.25">
      <c r="A2956" s="1" t="s">
        <v>5923</v>
      </c>
      <c r="B2956" s="1" t="s">
        <v>15419</v>
      </c>
      <c r="C2956" s="1" t="s">
        <v>15420</v>
      </c>
      <c r="D2956" s="1" t="s">
        <v>15421</v>
      </c>
    </row>
    <row r="2957" spans="1:4" x14ac:dyDescent="0.25">
      <c r="A2957" s="1" t="s">
        <v>5925</v>
      </c>
      <c r="B2957" s="1" t="s">
        <v>15422</v>
      </c>
      <c r="C2957" s="1" t="s">
        <v>15423</v>
      </c>
      <c r="D2957" s="1" t="s">
        <v>15424</v>
      </c>
    </row>
    <row r="2958" spans="1:4" x14ac:dyDescent="0.25">
      <c r="A2958" s="1" t="s">
        <v>5927</v>
      </c>
      <c r="B2958" s="1" t="s">
        <v>15425</v>
      </c>
      <c r="C2958" s="1" t="s">
        <v>15426</v>
      </c>
      <c r="D2958" s="1" t="s">
        <v>15427</v>
      </c>
    </row>
    <row r="2959" spans="1:4" x14ac:dyDescent="0.25">
      <c r="A2959" s="1" t="s">
        <v>5929</v>
      </c>
      <c r="B2959" s="1" t="s">
        <v>15428</v>
      </c>
      <c r="C2959" s="1" t="s">
        <v>15429</v>
      </c>
      <c r="D2959" s="1" t="s">
        <v>15430</v>
      </c>
    </row>
    <row r="2960" spans="1:4" x14ac:dyDescent="0.25">
      <c r="A2960" s="1" t="s">
        <v>5931</v>
      </c>
      <c r="B2960" s="1" t="s">
        <v>15431</v>
      </c>
      <c r="C2960" s="1" t="s">
        <v>15432</v>
      </c>
      <c r="D2960" s="1" t="s">
        <v>15433</v>
      </c>
    </row>
    <row r="2961" spans="1:4" x14ac:dyDescent="0.25">
      <c r="A2961" s="1" t="s">
        <v>5933</v>
      </c>
      <c r="B2961" s="1" t="s">
        <v>15434</v>
      </c>
      <c r="C2961" s="1" t="s">
        <v>15435</v>
      </c>
      <c r="D2961" s="1" t="s">
        <v>15436</v>
      </c>
    </row>
    <row r="2962" spans="1:4" x14ac:dyDescent="0.25">
      <c r="A2962" s="1" t="s">
        <v>5935</v>
      </c>
      <c r="B2962" s="1" t="s">
        <v>15437</v>
      </c>
      <c r="C2962" s="1" t="s">
        <v>15438</v>
      </c>
      <c r="D2962" s="1" t="s">
        <v>15439</v>
      </c>
    </row>
    <row r="2963" spans="1:4" x14ac:dyDescent="0.25">
      <c r="A2963" s="1" t="s">
        <v>5937</v>
      </c>
      <c r="B2963" s="1" t="s">
        <v>15440</v>
      </c>
      <c r="C2963" s="1" t="s">
        <v>15441</v>
      </c>
      <c r="D2963" s="1" t="s">
        <v>15442</v>
      </c>
    </row>
    <row r="2964" spans="1:4" x14ac:dyDescent="0.25">
      <c r="A2964" s="1" t="s">
        <v>5939</v>
      </c>
      <c r="B2964" s="1" t="s">
        <v>15443</v>
      </c>
      <c r="C2964" s="1" t="s">
        <v>15444</v>
      </c>
      <c r="D2964" s="1" t="s">
        <v>15445</v>
      </c>
    </row>
    <row r="2965" spans="1:4" x14ac:dyDescent="0.25">
      <c r="A2965" s="1" t="s">
        <v>5941</v>
      </c>
      <c r="B2965" s="1" t="s">
        <v>15446</v>
      </c>
      <c r="C2965" s="1" t="s">
        <v>15447</v>
      </c>
      <c r="D2965" s="1" t="s">
        <v>15448</v>
      </c>
    </row>
    <row r="2966" spans="1:4" x14ac:dyDescent="0.25">
      <c r="A2966" s="1" t="s">
        <v>5943</v>
      </c>
      <c r="B2966" s="1" t="s">
        <v>15449</v>
      </c>
      <c r="C2966" s="1" t="s">
        <v>15450</v>
      </c>
      <c r="D2966" s="1" t="s">
        <v>15451</v>
      </c>
    </row>
    <row r="2967" spans="1:4" x14ac:dyDescent="0.25">
      <c r="A2967" s="1" t="s">
        <v>5945</v>
      </c>
      <c r="B2967" s="1" t="s">
        <v>15452</v>
      </c>
      <c r="C2967" s="1" t="s">
        <v>15453</v>
      </c>
      <c r="D2967" s="1" t="s">
        <v>15454</v>
      </c>
    </row>
    <row r="2968" spans="1:4" x14ac:dyDescent="0.25">
      <c r="A2968" s="1" t="s">
        <v>5947</v>
      </c>
      <c r="B2968" s="1" t="s">
        <v>15455</v>
      </c>
      <c r="C2968" s="1" t="s">
        <v>15456</v>
      </c>
      <c r="D2968" s="1" t="s">
        <v>15457</v>
      </c>
    </row>
    <row r="2969" spans="1:4" x14ac:dyDescent="0.25">
      <c r="A2969" s="1" t="s">
        <v>5949</v>
      </c>
      <c r="B2969" s="1" t="s">
        <v>15458</v>
      </c>
      <c r="C2969" s="1" t="s">
        <v>15459</v>
      </c>
      <c r="D2969" s="1" t="s">
        <v>15460</v>
      </c>
    </row>
    <row r="2970" spans="1:4" x14ac:dyDescent="0.25">
      <c r="A2970" s="1" t="s">
        <v>5951</v>
      </c>
      <c r="B2970" s="1" t="s">
        <v>15461</v>
      </c>
      <c r="C2970" s="1" t="s">
        <v>15462</v>
      </c>
      <c r="D2970" s="1" t="s">
        <v>15463</v>
      </c>
    </row>
    <row r="2971" spans="1:4" x14ac:dyDescent="0.25">
      <c r="A2971" s="1" t="s">
        <v>5953</v>
      </c>
      <c r="B2971" s="1" t="s">
        <v>15464</v>
      </c>
      <c r="C2971" s="1" t="s">
        <v>15465</v>
      </c>
      <c r="D2971" s="1" t="s">
        <v>15466</v>
      </c>
    </row>
    <row r="2972" spans="1:4" x14ac:dyDescent="0.25">
      <c r="A2972" s="1" t="s">
        <v>5955</v>
      </c>
      <c r="B2972" s="1" t="s">
        <v>15467</v>
      </c>
      <c r="C2972" s="1" t="s">
        <v>15468</v>
      </c>
      <c r="D2972" s="1" t="s">
        <v>15469</v>
      </c>
    </row>
    <row r="2973" spans="1:4" x14ac:dyDescent="0.25">
      <c r="A2973" s="1" t="s">
        <v>5957</v>
      </c>
      <c r="B2973" s="1" t="s">
        <v>15470</v>
      </c>
      <c r="C2973" s="1" t="s">
        <v>15471</v>
      </c>
      <c r="D2973" s="1" t="s">
        <v>15472</v>
      </c>
    </row>
    <row r="2974" spans="1:4" x14ac:dyDescent="0.25">
      <c r="A2974" s="1" t="s">
        <v>5959</v>
      </c>
      <c r="B2974" s="1" t="s">
        <v>15473</v>
      </c>
      <c r="C2974" s="1" t="s">
        <v>15474</v>
      </c>
      <c r="D2974" s="1" t="s">
        <v>15475</v>
      </c>
    </row>
    <row r="2975" spans="1:4" x14ac:dyDescent="0.25">
      <c r="A2975" s="1" t="s">
        <v>5961</v>
      </c>
      <c r="B2975" s="1" t="s">
        <v>15476</v>
      </c>
      <c r="C2975" s="1" t="s">
        <v>15477</v>
      </c>
      <c r="D2975" s="1" t="s">
        <v>15478</v>
      </c>
    </row>
    <row r="2976" spans="1:4" x14ac:dyDescent="0.25">
      <c r="A2976" s="1" t="s">
        <v>5963</v>
      </c>
      <c r="B2976" s="1" t="s">
        <v>15479</v>
      </c>
      <c r="C2976" s="1" t="s">
        <v>15480</v>
      </c>
      <c r="D2976" s="1" t="s">
        <v>15481</v>
      </c>
    </row>
    <row r="2977" spans="1:4" x14ac:dyDescent="0.25">
      <c r="A2977" s="1" t="s">
        <v>5965</v>
      </c>
      <c r="B2977" s="1" t="s">
        <v>15482</v>
      </c>
      <c r="C2977" s="1" t="s">
        <v>15483</v>
      </c>
      <c r="D2977" s="1" t="s">
        <v>15484</v>
      </c>
    </row>
    <row r="2978" spans="1:4" x14ac:dyDescent="0.25">
      <c r="A2978" s="1" t="s">
        <v>5967</v>
      </c>
      <c r="B2978" s="1" t="s">
        <v>15485</v>
      </c>
      <c r="C2978" s="1" t="s">
        <v>15486</v>
      </c>
      <c r="D2978" s="1" t="s">
        <v>15487</v>
      </c>
    </row>
    <row r="2979" spans="1:4" x14ac:dyDescent="0.25">
      <c r="A2979" s="1" t="s">
        <v>5969</v>
      </c>
      <c r="B2979" s="1" t="s">
        <v>15488</v>
      </c>
      <c r="C2979" s="1" t="s">
        <v>15489</v>
      </c>
      <c r="D2979" s="1" t="s">
        <v>15490</v>
      </c>
    </row>
    <row r="2980" spans="1:4" x14ac:dyDescent="0.25">
      <c r="A2980" s="1" t="s">
        <v>5971</v>
      </c>
      <c r="B2980" s="1" t="s">
        <v>15491</v>
      </c>
      <c r="C2980" s="1" t="s">
        <v>15492</v>
      </c>
      <c r="D2980" s="1" t="s">
        <v>15493</v>
      </c>
    </row>
    <row r="2981" spans="1:4" x14ac:dyDescent="0.25">
      <c r="A2981" s="1" t="s">
        <v>5973</v>
      </c>
      <c r="B2981" s="1" t="s">
        <v>15494</v>
      </c>
      <c r="C2981" s="1" t="s">
        <v>15495</v>
      </c>
      <c r="D2981" s="1" t="s">
        <v>15496</v>
      </c>
    </row>
    <row r="2982" spans="1:4" x14ac:dyDescent="0.25">
      <c r="A2982" s="1" t="s">
        <v>5975</v>
      </c>
      <c r="B2982" s="1" t="s">
        <v>15497</v>
      </c>
      <c r="C2982" s="1" t="s">
        <v>15498</v>
      </c>
      <c r="D2982" s="1" t="s">
        <v>15499</v>
      </c>
    </row>
    <row r="2983" spans="1:4" x14ac:dyDescent="0.25">
      <c r="A2983" s="1" t="s">
        <v>5977</v>
      </c>
      <c r="B2983" s="1" t="s">
        <v>15500</v>
      </c>
      <c r="C2983" s="1" t="s">
        <v>15501</v>
      </c>
      <c r="D2983" s="1" t="s">
        <v>15502</v>
      </c>
    </row>
    <row r="2984" spans="1:4" x14ac:dyDescent="0.25">
      <c r="A2984" s="1" t="s">
        <v>5979</v>
      </c>
      <c r="B2984" s="1" t="s">
        <v>15503</v>
      </c>
      <c r="C2984" s="1" t="s">
        <v>15504</v>
      </c>
      <c r="D2984" s="1" t="s">
        <v>15505</v>
      </c>
    </row>
    <row r="2985" spans="1:4" x14ac:dyDescent="0.25">
      <c r="A2985" s="1" t="s">
        <v>5981</v>
      </c>
      <c r="B2985" s="1" t="s">
        <v>15506</v>
      </c>
      <c r="C2985" s="1" t="s">
        <v>15507</v>
      </c>
      <c r="D2985" s="1" t="s">
        <v>15508</v>
      </c>
    </row>
    <row r="2986" spans="1:4" x14ac:dyDescent="0.25">
      <c r="A2986" s="1" t="s">
        <v>5983</v>
      </c>
      <c r="B2986" s="1" t="s">
        <v>15509</v>
      </c>
      <c r="C2986" s="1" t="s">
        <v>15510</v>
      </c>
      <c r="D2986" s="1" t="s">
        <v>15511</v>
      </c>
    </row>
    <row r="2987" spans="1:4" x14ac:dyDescent="0.25">
      <c r="A2987" s="1" t="s">
        <v>5985</v>
      </c>
      <c r="B2987" s="1" t="s">
        <v>15512</v>
      </c>
      <c r="C2987" s="1" t="s">
        <v>15513</v>
      </c>
      <c r="D2987" s="1" t="s">
        <v>15514</v>
      </c>
    </row>
    <row r="2988" spans="1:4" x14ac:dyDescent="0.25">
      <c r="A2988" s="1" t="s">
        <v>5987</v>
      </c>
      <c r="B2988" s="1" t="s">
        <v>15515</v>
      </c>
      <c r="C2988" s="1" t="s">
        <v>15516</v>
      </c>
      <c r="D2988" s="1" t="s">
        <v>15517</v>
      </c>
    </row>
    <row r="2989" spans="1:4" x14ac:dyDescent="0.25">
      <c r="A2989" s="1" t="s">
        <v>5989</v>
      </c>
      <c r="B2989" s="1" t="s">
        <v>15518</v>
      </c>
      <c r="C2989" s="1" t="s">
        <v>15519</v>
      </c>
      <c r="D2989" s="1" t="s">
        <v>15520</v>
      </c>
    </row>
    <row r="2990" spans="1:4" x14ac:dyDescent="0.25">
      <c r="A2990" s="1" t="s">
        <v>5991</v>
      </c>
      <c r="B2990" s="1" t="s">
        <v>15521</v>
      </c>
      <c r="C2990" s="1" t="s">
        <v>15522</v>
      </c>
      <c r="D2990" s="1" t="s">
        <v>15523</v>
      </c>
    </row>
    <row r="2991" spans="1:4" x14ac:dyDescent="0.25">
      <c r="A2991" s="1" t="s">
        <v>5993</v>
      </c>
      <c r="B2991" s="1" t="s">
        <v>15524</v>
      </c>
      <c r="C2991" s="1" t="s">
        <v>15525</v>
      </c>
      <c r="D2991" s="1" t="s">
        <v>15526</v>
      </c>
    </row>
    <row r="2992" spans="1:4" x14ac:dyDescent="0.25">
      <c r="A2992" s="1" t="s">
        <v>5995</v>
      </c>
      <c r="B2992" s="1" t="s">
        <v>15527</v>
      </c>
      <c r="C2992" s="1" t="s">
        <v>15528</v>
      </c>
      <c r="D2992" s="1" t="s">
        <v>15529</v>
      </c>
    </row>
    <row r="2993" spans="1:4" x14ac:dyDescent="0.25">
      <c r="A2993" s="1" t="s">
        <v>5997</v>
      </c>
      <c r="B2993" s="1" t="s">
        <v>15530</v>
      </c>
      <c r="C2993" s="1" t="s">
        <v>15531</v>
      </c>
      <c r="D2993" s="1" t="s">
        <v>15532</v>
      </c>
    </row>
    <row r="2994" spans="1:4" x14ac:dyDescent="0.25">
      <c r="A2994" s="1" t="s">
        <v>5999</v>
      </c>
      <c r="B2994" s="1" t="s">
        <v>15533</v>
      </c>
      <c r="C2994" s="1" t="s">
        <v>15534</v>
      </c>
      <c r="D2994" s="1" t="s">
        <v>15535</v>
      </c>
    </row>
    <row r="2995" spans="1:4" x14ac:dyDescent="0.25">
      <c r="A2995" s="1" t="s">
        <v>6001</v>
      </c>
      <c r="B2995" s="1" t="s">
        <v>15536</v>
      </c>
      <c r="C2995" s="1" t="s">
        <v>15537</v>
      </c>
      <c r="D2995" s="1" t="s">
        <v>15538</v>
      </c>
    </row>
    <row r="2996" spans="1:4" x14ac:dyDescent="0.25">
      <c r="A2996" s="1" t="s">
        <v>6003</v>
      </c>
      <c r="B2996" s="1" t="s">
        <v>15539</v>
      </c>
      <c r="C2996" s="1" t="s">
        <v>15540</v>
      </c>
      <c r="D2996" s="1" t="s">
        <v>15541</v>
      </c>
    </row>
    <row r="2997" spans="1:4" x14ac:dyDescent="0.25">
      <c r="A2997" s="1" t="s">
        <v>6005</v>
      </c>
      <c r="B2997" s="1" t="s">
        <v>15542</v>
      </c>
      <c r="C2997" s="1" t="s">
        <v>15543</v>
      </c>
      <c r="D2997" s="1" t="s">
        <v>15544</v>
      </c>
    </row>
    <row r="2998" spans="1:4" x14ac:dyDescent="0.25">
      <c r="A2998" s="1" t="s">
        <v>6007</v>
      </c>
      <c r="B2998" s="1" t="s">
        <v>15545</v>
      </c>
      <c r="C2998" s="1" t="s">
        <v>15546</v>
      </c>
      <c r="D2998" s="1" t="s">
        <v>15547</v>
      </c>
    </row>
    <row r="2999" spans="1:4" x14ac:dyDescent="0.25">
      <c r="A2999" s="1" t="s">
        <v>6009</v>
      </c>
      <c r="B2999" s="1" t="s">
        <v>15548</v>
      </c>
      <c r="C2999" s="1" t="s">
        <v>15549</v>
      </c>
      <c r="D2999" s="1" t="s">
        <v>15550</v>
      </c>
    </row>
    <row r="3000" spans="1:4" x14ac:dyDescent="0.25">
      <c r="A3000" s="1" t="s">
        <v>6011</v>
      </c>
      <c r="B3000" s="1" t="s">
        <v>15551</v>
      </c>
      <c r="C3000" s="1" t="s">
        <v>15552</v>
      </c>
      <c r="D3000" s="1" t="s">
        <v>15553</v>
      </c>
    </row>
    <row r="3001" spans="1:4" x14ac:dyDescent="0.25">
      <c r="A3001" s="1" t="s">
        <v>6013</v>
      </c>
      <c r="B3001" s="1" t="s">
        <v>15554</v>
      </c>
      <c r="C3001" s="1" t="s">
        <v>15555</v>
      </c>
      <c r="D3001" s="1" t="s">
        <v>15556</v>
      </c>
    </row>
    <row r="3002" spans="1:4" x14ac:dyDescent="0.25">
      <c r="A3002" s="1" t="s">
        <v>6015</v>
      </c>
      <c r="B3002" s="1" t="s">
        <v>15557</v>
      </c>
      <c r="C3002" s="1" t="s">
        <v>15558</v>
      </c>
      <c r="D3002" s="1" t="s">
        <v>15559</v>
      </c>
    </row>
    <row r="3003" spans="1:4" x14ac:dyDescent="0.25">
      <c r="A3003" s="1" t="s">
        <v>6017</v>
      </c>
      <c r="B3003" s="1" t="s">
        <v>15560</v>
      </c>
      <c r="C3003" s="1" t="s">
        <v>15561</v>
      </c>
      <c r="D3003" s="1" t="s">
        <v>15562</v>
      </c>
    </row>
    <row r="3004" spans="1:4" x14ac:dyDescent="0.25">
      <c r="A3004" s="1" t="s">
        <v>6019</v>
      </c>
      <c r="B3004" s="1" t="s">
        <v>15563</v>
      </c>
      <c r="C3004" s="1" t="s">
        <v>15564</v>
      </c>
      <c r="D3004" s="1" t="s">
        <v>15565</v>
      </c>
    </row>
    <row r="3005" spans="1:4" x14ac:dyDescent="0.25">
      <c r="A3005" s="1" t="s">
        <v>6021</v>
      </c>
      <c r="B3005" s="1" t="s">
        <v>15566</v>
      </c>
      <c r="C3005" s="1" t="s">
        <v>15567</v>
      </c>
      <c r="D3005" s="1" t="s">
        <v>15568</v>
      </c>
    </row>
    <row r="3006" spans="1:4" x14ac:dyDescent="0.25">
      <c r="A3006" s="1" t="s">
        <v>6023</v>
      </c>
      <c r="B3006" s="1" t="s">
        <v>15569</v>
      </c>
      <c r="C3006" s="1" t="s">
        <v>15570</v>
      </c>
      <c r="D3006" s="1" t="s">
        <v>15571</v>
      </c>
    </row>
    <row r="3007" spans="1:4" x14ac:dyDescent="0.25">
      <c r="A3007" s="1" t="s">
        <v>6025</v>
      </c>
      <c r="B3007" s="1" t="s">
        <v>15572</v>
      </c>
      <c r="C3007" s="1" t="s">
        <v>15573</v>
      </c>
      <c r="D3007" s="1" t="s">
        <v>15574</v>
      </c>
    </row>
    <row r="3008" spans="1:4" x14ac:dyDescent="0.25">
      <c r="A3008" s="1" t="s">
        <v>6027</v>
      </c>
      <c r="B3008" s="1" t="s">
        <v>15575</v>
      </c>
      <c r="C3008" s="1" t="s">
        <v>15576</v>
      </c>
      <c r="D3008" s="1" t="s">
        <v>15577</v>
      </c>
    </row>
    <row r="3009" spans="1:4" x14ac:dyDescent="0.25">
      <c r="A3009" s="1" t="s">
        <v>6029</v>
      </c>
      <c r="B3009" s="1" t="s">
        <v>15578</v>
      </c>
      <c r="C3009" s="1" t="s">
        <v>15579</v>
      </c>
      <c r="D3009" s="1" t="s">
        <v>15580</v>
      </c>
    </row>
    <row r="3010" spans="1:4" x14ac:dyDescent="0.25">
      <c r="A3010" s="1" t="s">
        <v>6031</v>
      </c>
      <c r="B3010" s="1" t="s">
        <v>15581</v>
      </c>
      <c r="C3010" s="1" t="s">
        <v>15582</v>
      </c>
      <c r="D3010" s="1" t="s">
        <v>15583</v>
      </c>
    </row>
    <row r="3011" spans="1:4" x14ac:dyDescent="0.25">
      <c r="A3011" s="1" t="s">
        <v>6033</v>
      </c>
      <c r="B3011" s="1" t="s">
        <v>15584</v>
      </c>
      <c r="C3011" s="1" t="s">
        <v>15585</v>
      </c>
      <c r="D3011" s="1" t="s">
        <v>15586</v>
      </c>
    </row>
    <row r="3012" spans="1:4" x14ac:dyDescent="0.25">
      <c r="A3012" s="1" t="s">
        <v>6035</v>
      </c>
      <c r="B3012" s="1" t="s">
        <v>15587</v>
      </c>
      <c r="C3012" s="1" t="s">
        <v>15588</v>
      </c>
      <c r="D3012" s="1" t="s">
        <v>15589</v>
      </c>
    </row>
    <row r="3013" spans="1:4" x14ac:dyDescent="0.25">
      <c r="A3013" s="1" t="s">
        <v>6037</v>
      </c>
      <c r="B3013" s="1" t="s">
        <v>15590</v>
      </c>
      <c r="C3013" s="1" t="s">
        <v>15591</v>
      </c>
      <c r="D3013" s="1" t="s">
        <v>15592</v>
      </c>
    </row>
    <row r="3014" spans="1:4" x14ac:dyDescent="0.25">
      <c r="A3014" s="1" t="s">
        <v>6039</v>
      </c>
      <c r="B3014" s="1" t="s">
        <v>15593</v>
      </c>
      <c r="C3014" s="1" t="s">
        <v>15594</v>
      </c>
      <c r="D3014" s="1" t="s">
        <v>15595</v>
      </c>
    </row>
    <row r="3015" spans="1:4" x14ac:dyDescent="0.25">
      <c r="A3015" s="1" t="s">
        <v>6041</v>
      </c>
      <c r="B3015" s="1" t="s">
        <v>15596</v>
      </c>
      <c r="C3015" s="1" t="s">
        <v>15597</v>
      </c>
      <c r="D3015" s="1" t="s">
        <v>15598</v>
      </c>
    </row>
    <row r="3016" spans="1:4" x14ac:dyDescent="0.25">
      <c r="A3016" s="1" t="s">
        <v>6043</v>
      </c>
      <c r="B3016" s="1" t="s">
        <v>15599</v>
      </c>
      <c r="C3016" s="1" t="s">
        <v>15600</v>
      </c>
      <c r="D3016" s="1" t="s">
        <v>15601</v>
      </c>
    </row>
    <row r="3017" spans="1:4" x14ac:dyDescent="0.25">
      <c r="A3017" s="1" t="s">
        <v>6045</v>
      </c>
      <c r="B3017" s="1" t="s">
        <v>15602</v>
      </c>
      <c r="C3017" s="1" t="s">
        <v>15603</v>
      </c>
      <c r="D3017" s="1" t="s">
        <v>15604</v>
      </c>
    </row>
    <row r="3018" spans="1:4" x14ac:dyDescent="0.25">
      <c r="A3018" s="1" t="s">
        <v>6047</v>
      </c>
      <c r="B3018" s="1" t="s">
        <v>15605</v>
      </c>
      <c r="C3018" s="1" t="s">
        <v>15606</v>
      </c>
      <c r="D3018" s="1" t="s">
        <v>15607</v>
      </c>
    </row>
    <row r="3019" spans="1:4" x14ac:dyDescent="0.25">
      <c r="A3019" s="1" t="s">
        <v>6049</v>
      </c>
      <c r="B3019" s="1" t="s">
        <v>15608</v>
      </c>
      <c r="C3019" s="1" t="s">
        <v>15609</v>
      </c>
      <c r="D3019" s="1" t="s">
        <v>15610</v>
      </c>
    </row>
    <row r="3020" spans="1:4" x14ac:dyDescent="0.25">
      <c r="A3020" s="1" t="s">
        <v>6051</v>
      </c>
      <c r="B3020" s="1" t="s">
        <v>15611</v>
      </c>
      <c r="C3020" s="1" t="s">
        <v>15612</v>
      </c>
      <c r="D3020" s="1" t="s">
        <v>15613</v>
      </c>
    </row>
    <row r="3021" spans="1:4" x14ac:dyDescent="0.25">
      <c r="A3021" s="1" t="s">
        <v>6053</v>
      </c>
      <c r="B3021" s="1" t="s">
        <v>15614</v>
      </c>
      <c r="C3021" s="1" t="s">
        <v>15615</v>
      </c>
      <c r="D3021" s="1" t="s">
        <v>15616</v>
      </c>
    </row>
    <row r="3022" spans="1:4" x14ac:dyDescent="0.25">
      <c r="A3022" s="1" t="s">
        <v>6055</v>
      </c>
      <c r="B3022" s="1" t="s">
        <v>15617</v>
      </c>
      <c r="C3022" s="1" t="s">
        <v>15618</v>
      </c>
      <c r="D3022" s="1" t="s">
        <v>15619</v>
      </c>
    </row>
    <row r="3023" spans="1:4" x14ac:dyDescent="0.25">
      <c r="A3023" s="1" t="s">
        <v>6057</v>
      </c>
      <c r="B3023" s="1" t="s">
        <v>15620</v>
      </c>
      <c r="C3023" s="1" t="s">
        <v>15621</v>
      </c>
      <c r="D3023" s="1" t="s">
        <v>15622</v>
      </c>
    </row>
    <row r="3024" spans="1:4" x14ac:dyDescent="0.25">
      <c r="A3024" s="1" t="s">
        <v>6059</v>
      </c>
      <c r="B3024" s="1" t="s">
        <v>15623</v>
      </c>
      <c r="C3024" s="1" t="s">
        <v>15624</v>
      </c>
      <c r="D3024" s="1" t="s">
        <v>15625</v>
      </c>
    </row>
    <row r="3025" spans="1:4" x14ac:dyDescent="0.25">
      <c r="A3025" s="1" t="s">
        <v>6061</v>
      </c>
      <c r="B3025" s="1" t="s">
        <v>15626</v>
      </c>
      <c r="C3025" s="1" t="s">
        <v>15627</v>
      </c>
      <c r="D3025" s="1" t="s">
        <v>15628</v>
      </c>
    </row>
    <row r="3026" spans="1:4" x14ac:dyDescent="0.25">
      <c r="A3026" s="1" t="s">
        <v>6063</v>
      </c>
      <c r="B3026" s="1" t="s">
        <v>15629</v>
      </c>
      <c r="C3026" s="1" t="s">
        <v>15630</v>
      </c>
      <c r="D3026" s="1" t="s">
        <v>15631</v>
      </c>
    </row>
    <row r="3027" spans="1:4" x14ac:dyDescent="0.25">
      <c r="A3027" s="1" t="s">
        <v>6065</v>
      </c>
      <c r="B3027" s="1" t="s">
        <v>15632</v>
      </c>
      <c r="C3027" s="1" t="s">
        <v>15633</v>
      </c>
      <c r="D3027" s="1" t="s">
        <v>15634</v>
      </c>
    </row>
    <row r="3028" spans="1:4" x14ac:dyDescent="0.25">
      <c r="A3028" s="1" t="s">
        <v>6067</v>
      </c>
      <c r="B3028" s="1" t="s">
        <v>15635</v>
      </c>
      <c r="C3028" s="1" t="s">
        <v>15636</v>
      </c>
      <c r="D3028" s="1" t="s">
        <v>15637</v>
      </c>
    </row>
    <row r="3029" spans="1:4" x14ac:dyDescent="0.25">
      <c r="A3029" s="1" t="s">
        <v>6069</v>
      </c>
      <c r="B3029" s="1" t="s">
        <v>15638</v>
      </c>
      <c r="C3029" s="1" t="s">
        <v>15639</v>
      </c>
      <c r="D3029" s="1" t="s">
        <v>15640</v>
      </c>
    </row>
    <row r="3030" spans="1:4" x14ac:dyDescent="0.25">
      <c r="A3030" s="1" t="s">
        <v>6071</v>
      </c>
      <c r="B3030" s="1" t="s">
        <v>15641</v>
      </c>
      <c r="C3030" s="1" t="s">
        <v>15642</v>
      </c>
      <c r="D3030" s="1" t="s">
        <v>15643</v>
      </c>
    </row>
    <row r="3031" spans="1:4" x14ac:dyDescent="0.25">
      <c r="A3031" s="1" t="s">
        <v>6073</v>
      </c>
      <c r="B3031" s="1" t="s">
        <v>15644</v>
      </c>
      <c r="C3031" s="1" t="s">
        <v>15645</v>
      </c>
      <c r="D3031" s="1" t="s">
        <v>15646</v>
      </c>
    </row>
    <row r="3032" spans="1:4" x14ac:dyDescent="0.25">
      <c r="A3032" s="1" t="s">
        <v>6075</v>
      </c>
      <c r="B3032" s="1" t="s">
        <v>15647</v>
      </c>
      <c r="C3032" s="1" t="s">
        <v>15648</v>
      </c>
      <c r="D3032" s="1" t="s">
        <v>15649</v>
      </c>
    </row>
    <row r="3033" spans="1:4" x14ac:dyDescent="0.25">
      <c r="A3033" s="1" t="s">
        <v>6077</v>
      </c>
      <c r="B3033" s="1" t="s">
        <v>15650</v>
      </c>
      <c r="C3033" s="1" t="s">
        <v>15651</v>
      </c>
      <c r="D3033" s="1" t="s">
        <v>15652</v>
      </c>
    </row>
    <row r="3034" spans="1:4" x14ac:dyDescent="0.25">
      <c r="A3034" s="1" t="s">
        <v>6079</v>
      </c>
      <c r="B3034" s="1" t="s">
        <v>15653</v>
      </c>
      <c r="C3034" s="1" t="s">
        <v>15654</v>
      </c>
      <c r="D3034" s="1" t="s">
        <v>15655</v>
      </c>
    </row>
    <row r="3035" spans="1:4" x14ac:dyDescent="0.25">
      <c r="A3035" s="1" t="s">
        <v>6081</v>
      </c>
      <c r="B3035" s="1" t="s">
        <v>15656</v>
      </c>
      <c r="C3035" s="1" t="s">
        <v>15657</v>
      </c>
      <c r="D3035" s="1" t="s">
        <v>15658</v>
      </c>
    </row>
    <row r="3036" spans="1:4" x14ac:dyDescent="0.25">
      <c r="A3036" s="1" t="s">
        <v>6083</v>
      </c>
      <c r="B3036" s="1" t="s">
        <v>15659</v>
      </c>
      <c r="C3036" s="1" t="s">
        <v>15660</v>
      </c>
      <c r="D3036" s="1" t="s">
        <v>15661</v>
      </c>
    </row>
    <row r="3037" spans="1:4" x14ac:dyDescent="0.25">
      <c r="A3037" s="1" t="s">
        <v>6085</v>
      </c>
      <c r="B3037" s="1" t="s">
        <v>15662</v>
      </c>
      <c r="C3037" s="1" t="s">
        <v>15663</v>
      </c>
      <c r="D3037" s="1" t="s">
        <v>15664</v>
      </c>
    </row>
    <row r="3038" spans="1:4" x14ac:dyDescent="0.25">
      <c r="A3038" s="1" t="s">
        <v>6087</v>
      </c>
      <c r="B3038" s="1" t="s">
        <v>15665</v>
      </c>
      <c r="C3038" s="1" t="s">
        <v>15666</v>
      </c>
      <c r="D3038" s="1" t="s">
        <v>15667</v>
      </c>
    </row>
    <row r="3039" spans="1:4" x14ac:dyDescent="0.25">
      <c r="A3039" s="1" t="s">
        <v>6089</v>
      </c>
      <c r="B3039" s="1" t="s">
        <v>15668</v>
      </c>
      <c r="C3039" s="1" t="s">
        <v>15669</v>
      </c>
      <c r="D3039" s="1" t="s">
        <v>15670</v>
      </c>
    </row>
    <row r="3040" spans="1:4" x14ac:dyDescent="0.25">
      <c r="A3040" s="1" t="s">
        <v>6091</v>
      </c>
      <c r="B3040" s="1" t="s">
        <v>15671</v>
      </c>
      <c r="C3040" s="1" t="s">
        <v>15672</v>
      </c>
      <c r="D3040" s="1" t="s">
        <v>15673</v>
      </c>
    </row>
    <row r="3041" spans="1:4" x14ac:dyDescent="0.25">
      <c r="A3041" s="1" t="s">
        <v>6093</v>
      </c>
      <c r="B3041" s="1" t="s">
        <v>15674</v>
      </c>
      <c r="C3041" s="1" t="s">
        <v>15675</v>
      </c>
      <c r="D3041" s="1" t="s">
        <v>15676</v>
      </c>
    </row>
    <row r="3042" spans="1:4" x14ac:dyDescent="0.25">
      <c r="A3042" s="1" t="s">
        <v>6095</v>
      </c>
      <c r="B3042" s="1" t="s">
        <v>15677</v>
      </c>
      <c r="C3042" s="1" t="s">
        <v>15678</v>
      </c>
      <c r="D3042" s="1" t="s">
        <v>15679</v>
      </c>
    </row>
    <row r="3043" spans="1:4" x14ac:dyDescent="0.25">
      <c r="A3043" s="1" t="s">
        <v>6097</v>
      </c>
      <c r="B3043" s="1" t="s">
        <v>15680</v>
      </c>
      <c r="C3043" s="1" t="s">
        <v>15681</v>
      </c>
      <c r="D3043" s="1" t="s">
        <v>15682</v>
      </c>
    </row>
    <row r="3044" spans="1:4" x14ac:dyDescent="0.25">
      <c r="A3044" s="1" t="s">
        <v>6099</v>
      </c>
      <c r="B3044" s="1" t="s">
        <v>15683</v>
      </c>
      <c r="C3044" s="1" t="s">
        <v>15684</v>
      </c>
      <c r="D3044" s="1" t="s">
        <v>15685</v>
      </c>
    </row>
    <row r="3045" spans="1:4" x14ac:dyDescent="0.25">
      <c r="A3045" s="1" t="s">
        <v>6101</v>
      </c>
      <c r="B3045" s="1" t="s">
        <v>15686</v>
      </c>
      <c r="C3045" s="1" t="s">
        <v>15687</v>
      </c>
      <c r="D3045" s="1" t="s">
        <v>15688</v>
      </c>
    </row>
    <row r="3046" spans="1:4" x14ac:dyDescent="0.25">
      <c r="A3046" s="1" t="s">
        <v>6103</v>
      </c>
      <c r="B3046" s="1" t="s">
        <v>15689</v>
      </c>
      <c r="C3046" s="1" t="s">
        <v>15690</v>
      </c>
      <c r="D3046" s="1" t="s">
        <v>15691</v>
      </c>
    </row>
    <row r="3047" spans="1:4" x14ac:dyDescent="0.25">
      <c r="A3047" s="1" t="s">
        <v>6105</v>
      </c>
      <c r="B3047" s="1" t="s">
        <v>15692</v>
      </c>
      <c r="C3047" s="1" t="s">
        <v>15693</v>
      </c>
      <c r="D3047" s="1" t="s">
        <v>15694</v>
      </c>
    </row>
    <row r="3048" spans="1:4" x14ac:dyDescent="0.25">
      <c r="A3048" s="1" t="s">
        <v>6107</v>
      </c>
      <c r="B3048" s="1" t="s">
        <v>15695</v>
      </c>
      <c r="C3048" s="1" t="s">
        <v>15696</v>
      </c>
      <c r="D3048" s="1" t="s">
        <v>15697</v>
      </c>
    </row>
    <row r="3049" spans="1:4" x14ac:dyDescent="0.25">
      <c r="A3049" s="1" t="s">
        <v>6109</v>
      </c>
      <c r="B3049" s="1" t="s">
        <v>15698</v>
      </c>
      <c r="C3049" s="1" t="s">
        <v>15699</v>
      </c>
      <c r="D3049" s="1" t="s">
        <v>15700</v>
      </c>
    </row>
    <row r="3050" spans="1:4" x14ac:dyDescent="0.25">
      <c r="A3050" s="1" t="s">
        <v>6111</v>
      </c>
      <c r="B3050" s="1" t="s">
        <v>15701</v>
      </c>
      <c r="C3050" s="1" t="s">
        <v>15702</v>
      </c>
      <c r="D3050" s="1" t="s">
        <v>15703</v>
      </c>
    </row>
    <row r="3051" spans="1:4" x14ac:dyDescent="0.25">
      <c r="A3051" s="1" t="s">
        <v>6113</v>
      </c>
      <c r="B3051" s="1" t="s">
        <v>15704</v>
      </c>
      <c r="C3051" s="1" t="s">
        <v>15705</v>
      </c>
      <c r="D3051" s="1" t="s">
        <v>15706</v>
      </c>
    </row>
    <row r="3052" spans="1:4" x14ac:dyDescent="0.25">
      <c r="A3052" s="1" t="s">
        <v>6115</v>
      </c>
      <c r="B3052" s="1" t="s">
        <v>15707</v>
      </c>
      <c r="C3052" s="1" t="s">
        <v>15708</v>
      </c>
      <c r="D3052" s="1" t="s">
        <v>15709</v>
      </c>
    </row>
    <row r="3053" spans="1:4" x14ac:dyDescent="0.25">
      <c r="A3053" s="1" t="s">
        <v>6117</v>
      </c>
      <c r="B3053" s="1" t="s">
        <v>15710</v>
      </c>
      <c r="C3053" s="1" t="s">
        <v>15711</v>
      </c>
      <c r="D3053" s="1" t="s">
        <v>15712</v>
      </c>
    </row>
    <row r="3054" spans="1:4" x14ac:dyDescent="0.25">
      <c r="A3054" s="1" t="s">
        <v>6119</v>
      </c>
      <c r="B3054" s="1" t="s">
        <v>15713</v>
      </c>
      <c r="C3054" s="1" t="s">
        <v>15714</v>
      </c>
      <c r="D3054" s="1" t="s">
        <v>15715</v>
      </c>
    </row>
    <row r="3055" spans="1:4" x14ac:dyDescent="0.25">
      <c r="A3055" s="1" t="s">
        <v>6121</v>
      </c>
      <c r="B3055" s="1" t="s">
        <v>15716</v>
      </c>
      <c r="C3055" s="1" t="s">
        <v>15717</v>
      </c>
      <c r="D3055" s="1" t="s">
        <v>15718</v>
      </c>
    </row>
    <row r="3056" spans="1:4" x14ac:dyDescent="0.25">
      <c r="A3056" s="1" t="s">
        <v>6123</v>
      </c>
      <c r="B3056" s="1" t="s">
        <v>15719</v>
      </c>
      <c r="C3056" s="1" t="s">
        <v>15720</v>
      </c>
      <c r="D3056" s="1" t="s">
        <v>15721</v>
      </c>
    </row>
    <row r="3057" spans="1:4" x14ac:dyDescent="0.25">
      <c r="A3057" s="1" t="s">
        <v>6125</v>
      </c>
      <c r="B3057" s="1" t="s">
        <v>15722</v>
      </c>
      <c r="C3057" s="1" t="s">
        <v>15723</v>
      </c>
      <c r="D3057" s="1" t="s">
        <v>15724</v>
      </c>
    </row>
    <row r="3058" spans="1:4" x14ac:dyDescent="0.25">
      <c r="A3058" s="1" t="s">
        <v>6127</v>
      </c>
      <c r="B3058" s="1" t="s">
        <v>15725</v>
      </c>
      <c r="C3058" s="1" t="s">
        <v>15726</v>
      </c>
      <c r="D3058" s="1" t="s">
        <v>15727</v>
      </c>
    </row>
    <row r="3059" spans="1:4" x14ac:dyDescent="0.25">
      <c r="A3059" s="1" t="s">
        <v>6129</v>
      </c>
      <c r="B3059" s="1" t="s">
        <v>15728</v>
      </c>
      <c r="C3059" s="1" t="s">
        <v>15729</v>
      </c>
      <c r="D3059" s="1" t="s">
        <v>15730</v>
      </c>
    </row>
    <row r="3060" spans="1:4" x14ac:dyDescent="0.25">
      <c r="A3060" s="1" t="s">
        <v>6131</v>
      </c>
      <c r="B3060" s="1" t="s">
        <v>15731</v>
      </c>
      <c r="C3060" s="1" t="s">
        <v>15732</v>
      </c>
      <c r="D3060" s="1" t="s">
        <v>15733</v>
      </c>
    </row>
    <row r="3061" spans="1:4" x14ac:dyDescent="0.25">
      <c r="A3061" s="1" t="s">
        <v>6133</v>
      </c>
      <c r="B3061" s="1" t="s">
        <v>15734</v>
      </c>
      <c r="C3061" s="1" t="s">
        <v>15735</v>
      </c>
      <c r="D3061" s="1" t="s">
        <v>15736</v>
      </c>
    </row>
    <row r="3062" spans="1:4" x14ac:dyDescent="0.25">
      <c r="A3062" s="1" t="s">
        <v>6135</v>
      </c>
      <c r="B3062" s="1" t="s">
        <v>15737</v>
      </c>
      <c r="C3062" s="1" t="s">
        <v>15738</v>
      </c>
      <c r="D3062" s="1" t="s">
        <v>15739</v>
      </c>
    </row>
    <row r="3063" spans="1:4" x14ac:dyDescent="0.25">
      <c r="A3063" s="1" t="s">
        <v>6137</v>
      </c>
      <c r="B3063" s="1" t="s">
        <v>15740</v>
      </c>
      <c r="C3063" s="1" t="s">
        <v>15741</v>
      </c>
      <c r="D3063" s="1" t="s">
        <v>15742</v>
      </c>
    </row>
    <row r="3064" spans="1:4" x14ac:dyDescent="0.25">
      <c r="A3064" s="1" t="s">
        <v>6139</v>
      </c>
      <c r="B3064" s="1" t="s">
        <v>15743</v>
      </c>
      <c r="C3064" s="1" t="s">
        <v>15744</v>
      </c>
      <c r="D3064" s="1" t="s">
        <v>15745</v>
      </c>
    </row>
    <row r="3065" spans="1:4" x14ac:dyDescent="0.25">
      <c r="A3065" s="1" t="s">
        <v>6141</v>
      </c>
      <c r="B3065" s="1" t="s">
        <v>15746</v>
      </c>
      <c r="C3065" s="1" t="s">
        <v>15747</v>
      </c>
      <c r="D3065" s="1" t="s">
        <v>15748</v>
      </c>
    </row>
    <row r="3066" spans="1:4" x14ac:dyDescent="0.25">
      <c r="A3066" s="1" t="s">
        <v>6143</v>
      </c>
      <c r="B3066" s="1" t="s">
        <v>15749</v>
      </c>
      <c r="C3066" s="1" t="s">
        <v>15750</v>
      </c>
      <c r="D3066" s="1" t="s">
        <v>15751</v>
      </c>
    </row>
    <row r="3067" spans="1:4" x14ac:dyDescent="0.25">
      <c r="A3067" s="1" t="s">
        <v>6145</v>
      </c>
      <c r="B3067" s="1" t="s">
        <v>15752</v>
      </c>
      <c r="C3067" s="1" t="s">
        <v>15753</v>
      </c>
      <c r="D3067" s="1" t="s">
        <v>15754</v>
      </c>
    </row>
    <row r="3068" spans="1:4" x14ac:dyDescent="0.25">
      <c r="A3068" s="1" t="s">
        <v>6147</v>
      </c>
      <c r="B3068" s="1" t="s">
        <v>15755</v>
      </c>
      <c r="C3068" s="1" t="s">
        <v>15756</v>
      </c>
      <c r="D3068" s="1" t="s">
        <v>15757</v>
      </c>
    </row>
    <row r="3069" spans="1:4" x14ac:dyDescent="0.25">
      <c r="A3069" s="1" t="s">
        <v>6149</v>
      </c>
      <c r="B3069" s="1" t="s">
        <v>15758</v>
      </c>
      <c r="C3069" s="1" t="s">
        <v>15759</v>
      </c>
      <c r="D3069" s="1" t="s">
        <v>15760</v>
      </c>
    </row>
    <row r="3070" spans="1:4" x14ac:dyDescent="0.25">
      <c r="A3070" s="1" t="s">
        <v>6151</v>
      </c>
      <c r="B3070" s="1" t="s">
        <v>15761</v>
      </c>
      <c r="C3070" s="1" t="s">
        <v>15762</v>
      </c>
      <c r="D3070" s="1" t="s">
        <v>15763</v>
      </c>
    </row>
    <row r="3071" spans="1:4" x14ac:dyDescent="0.25">
      <c r="A3071" s="1" t="s">
        <v>6153</v>
      </c>
      <c r="B3071" s="1" t="s">
        <v>15764</v>
      </c>
      <c r="C3071" s="1" t="s">
        <v>15765</v>
      </c>
      <c r="D3071" s="1" t="s">
        <v>15766</v>
      </c>
    </row>
    <row r="3072" spans="1:4" x14ac:dyDescent="0.25">
      <c r="A3072" s="1" t="s">
        <v>6155</v>
      </c>
      <c r="B3072" s="1" t="s">
        <v>15767</v>
      </c>
      <c r="C3072" s="1" t="s">
        <v>15768</v>
      </c>
      <c r="D3072" s="1" t="s">
        <v>15769</v>
      </c>
    </row>
    <row r="3073" spans="1:4" x14ac:dyDescent="0.25">
      <c r="A3073" s="1" t="s">
        <v>6157</v>
      </c>
      <c r="B3073" s="1" t="s">
        <v>15770</v>
      </c>
      <c r="C3073" s="1" t="s">
        <v>15771</v>
      </c>
      <c r="D3073" s="1" t="s">
        <v>15772</v>
      </c>
    </row>
    <row r="3074" spans="1:4" x14ac:dyDescent="0.25">
      <c r="A3074" s="1" t="s">
        <v>6159</v>
      </c>
      <c r="B3074" s="1" t="s">
        <v>15773</v>
      </c>
      <c r="C3074" s="1" t="s">
        <v>15774</v>
      </c>
      <c r="D3074" s="1" t="s">
        <v>15775</v>
      </c>
    </row>
    <row r="3075" spans="1:4" x14ac:dyDescent="0.25">
      <c r="A3075" s="1" t="s">
        <v>6161</v>
      </c>
      <c r="B3075" s="1" t="s">
        <v>15776</v>
      </c>
      <c r="C3075" s="1" t="s">
        <v>15777</v>
      </c>
      <c r="D3075" s="1" t="s">
        <v>15778</v>
      </c>
    </row>
    <row r="3076" spans="1:4" x14ac:dyDescent="0.25">
      <c r="A3076" s="1" t="s">
        <v>6163</v>
      </c>
      <c r="B3076" s="1" t="s">
        <v>15779</v>
      </c>
      <c r="C3076" s="1" t="s">
        <v>15780</v>
      </c>
      <c r="D3076" s="1" t="s">
        <v>15781</v>
      </c>
    </row>
    <row r="3077" spans="1:4" x14ac:dyDescent="0.25">
      <c r="A3077" s="1" t="s">
        <v>6165</v>
      </c>
      <c r="B3077" s="1" t="s">
        <v>15782</v>
      </c>
      <c r="C3077" s="1" t="s">
        <v>15783</v>
      </c>
      <c r="D3077" s="1" t="s">
        <v>15784</v>
      </c>
    </row>
    <row r="3078" spans="1:4" x14ac:dyDescent="0.25">
      <c r="A3078" s="1" t="s">
        <v>6167</v>
      </c>
      <c r="B3078" s="1" t="s">
        <v>15785</v>
      </c>
      <c r="C3078" s="1" t="s">
        <v>15786</v>
      </c>
      <c r="D3078" s="1" t="s">
        <v>15787</v>
      </c>
    </row>
    <row r="3079" spans="1:4" x14ac:dyDescent="0.25">
      <c r="A3079" s="1" t="s">
        <v>6169</v>
      </c>
      <c r="B3079" s="1" t="s">
        <v>15788</v>
      </c>
      <c r="C3079" s="1" t="s">
        <v>15789</v>
      </c>
      <c r="D3079" s="1" t="s">
        <v>15790</v>
      </c>
    </row>
    <row r="3080" spans="1:4" x14ac:dyDescent="0.25">
      <c r="A3080" s="1" t="s">
        <v>6171</v>
      </c>
      <c r="B3080" s="1" t="s">
        <v>15791</v>
      </c>
      <c r="C3080" s="1" t="s">
        <v>15792</v>
      </c>
      <c r="D3080" s="1" t="s">
        <v>15793</v>
      </c>
    </row>
    <row r="3081" spans="1:4" x14ac:dyDescent="0.25">
      <c r="A3081" s="1" t="s">
        <v>6173</v>
      </c>
      <c r="B3081" s="1" t="s">
        <v>15794</v>
      </c>
      <c r="C3081" s="1" t="s">
        <v>15795</v>
      </c>
      <c r="D3081" s="1" t="s">
        <v>15796</v>
      </c>
    </row>
    <row r="3082" spans="1:4" x14ac:dyDescent="0.25">
      <c r="A3082" s="1" t="s">
        <v>6175</v>
      </c>
      <c r="B3082" s="1" t="s">
        <v>15797</v>
      </c>
      <c r="C3082" s="1" t="s">
        <v>15798</v>
      </c>
      <c r="D3082" s="1" t="s">
        <v>15799</v>
      </c>
    </row>
    <row r="3083" spans="1:4" x14ac:dyDescent="0.25">
      <c r="A3083" s="1" t="s">
        <v>6177</v>
      </c>
      <c r="B3083" s="1" t="s">
        <v>15800</v>
      </c>
      <c r="C3083" s="1" t="s">
        <v>15801</v>
      </c>
      <c r="D3083" s="1" t="s">
        <v>15802</v>
      </c>
    </row>
    <row r="3084" spans="1:4" x14ac:dyDescent="0.25">
      <c r="A3084" s="1" t="s">
        <v>6179</v>
      </c>
      <c r="B3084" s="1" t="s">
        <v>15803</v>
      </c>
      <c r="C3084" s="1" t="s">
        <v>15804</v>
      </c>
      <c r="D3084" s="1" t="s">
        <v>15805</v>
      </c>
    </row>
    <row r="3085" spans="1:4" x14ac:dyDescent="0.25">
      <c r="A3085" s="1" t="s">
        <v>6181</v>
      </c>
      <c r="B3085" s="1" t="s">
        <v>15806</v>
      </c>
      <c r="C3085" s="1" t="s">
        <v>15807</v>
      </c>
      <c r="D3085" s="1" t="s">
        <v>15808</v>
      </c>
    </row>
    <row r="3086" spans="1:4" x14ac:dyDescent="0.25">
      <c r="A3086" s="1" t="s">
        <v>6183</v>
      </c>
      <c r="B3086" s="1" t="s">
        <v>15809</v>
      </c>
      <c r="C3086" s="1" t="s">
        <v>15810</v>
      </c>
      <c r="D3086" s="1" t="s">
        <v>15811</v>
      </c>
    </row>
    <row r="3087" spans="1:4" x14ac:dyDescent="0.25">
      <c r="A3087" s="1" t="s">
        <v>6185</v>
      </c>
      <c r="B3087" s="1" t="s">
        <v>15812</v>
      </c>
      <c r="C3087" s="1" t="s">
        <v>15813</v>
      </c>
      <c r="D3087" s="1" t="s">
        <v>15814</v>
      </c>
    </row>
    <row r="3088" spans="1:4" x14ac:dyDescent="0.25">
      <c r="A3088" s="1" t="s">
        <v>6187</v>
      </c>
      <c r="B3088" s="1" t="s">
        <v>15815</v>
      </c>
      <c r="C3088" s="1" t="s">
        <v>15816</v>
      </c>
      <c r="D3088" s="1" t="s">
        <v>15817</v>
      </c>
    </row>
    <row r="3089" spans="1:4" x14ac:dyDescent="0.25">
      <c r="A3089" s="1" t="s">
        <v>6189</v>
      </c>
      <c r="B3089" s="1" t="s">
        <v>15818</v>
      </c>
      <c r="C3089" s="1" t="s">
        <v>15819</v>
      </c>
      <c r="D3089" s="1" t="s">
        <v>15820</v>
      </c>
    </row>
    <row r="3090" spans="1:4" x14ac:dyDescent="0.25">
      <c r="A3090" s="1" t="s">
        <v>6191</v>
      </c>
      <c r="B3090" s="1" t="s">
        <v>15821</v>
      </c>
      <c r="C3090" s="1" t="s">
        <v>15822</v>
      </c>
      <c r="D3090" s="1" t="s">
        <v>15823</v>
      </c>
    </row>
    <row r="3091" spans="1:4" x14ac:dyDescent="0.25">
      <c r="A3091" s="1" t="s">
        <v>6193</v>
      </c>
      <c r="B3091" s="1" t="s">
        <v>15824</v>
      </c>
      <c r="C3091" s="1" t="s">
        <v>15825</v>
      </c>
      <c r="D3091" s="1" t="s">
        <v>15826</v>
      </c>
    </row>
    <row r="3092" spans="1:4" x14ac:dyDescent="0.25">
      <c r="A3092" s="1" t="s">
        <v>6195</v>
      </c>
      <c r="B3092" s="1" t="s">
        <v>15827</v>
      </c>
      <c r="C3092" s="1" t="s">
        <v>15828</v>
      </c>
      <c r="D3092" s="1" t="s">
        <v>15829</v>
      </c>
    </row>
    <row r="3093" spans="1:4" x14ac:dyDescent="0.25">
      <c r="A3093" s="1" t="s">
        <v>6197</v>
      </c>
      <c r="B3093" s="1" t="s">
        <v>15830</v>
      </c>
      <c r="C3093" s="1" t="s">
        <v>15831</v>
      </c>
      <c r="D3093" s="1" t="s">
        <v>15832</v>
      </c>
    </row>
    <row r="3094" spans="1:4" x14ac:dyDescent="0.25">
      <c r="A3094" s="1" t="s">
        <v>6199</v>
      </c>
      <c r="B3094" s="1" t="s">
        <v>15833</v>
      </c>
      <c r="C3094" s="1" t="s">
        <v>15834</v>
      </c>
      <c r="D3094" s="1" t="s">
        <v>15835</v>
      </c>
    </row>
    <row r="3095" spans="1:4" x14ac:dyDescent="0.25">
      <c r="A3095" s="1" t="s">
        <v>6201</v>
      </c>
      <c r="B3095" s="1" t="s">
        <v>15836</v>
      </c>
      <c r="C3095" s="1" t="s">
        <v>15837</v>
      </c>
      <c r="D3095" s="1" t="s">
        <v>15838</v>
      </c>
    </row>
    <row r="3096" spans="1:4" x14ac:dyDescent="0.25">
      <c r="A3096" s="1" t="s">
        <v>6203</v>
      </c>
      <c r="B3096" s="1" t="s">
        <v>15839</v>
      </c>
      <c r="C3096" s="1" t="s">
        <v>15840</v>
      </c>
      <c r="D3096" s="1" t="s">
        <v>15841</v>
      </c>
    </row>
    <row r="3097" spans="1:4" x14ac:dyDescent="0.25">
      <c r="A3097" s="1" t="s">
        <v>6205</v>
      </c>
      <c r="B3097" s="1" t="s">
        <v>15842</v>
      </c>
      <c r="C3097" s="1" t="s">
        <v>15843</v>
      </c>
      <c r="D3097" s="1" t="s">
        <v>15844</v>
      </c>
    </row>
    <row r="3098" spans="1:4" x14ac:dyDescent="0.25">
      <c r="A3098" s="1" t="s">
        <v>6207</v>
      </c>
      <c r="B3098" s="1" t="s">
        <v>15845</v>
      </c>
      <c r="C3098" s="1" t="s">
        <v>15846</v>
      </c>
      <c r="D3098" s="1" t="s">
        <v>15847</v>
      </c>
    </row>
    <row r="3099" spans="1:4" x14ac:dyDescent="0.25">
      <c r="A3099" s="1" t="s">
        <v>6209</v>
      </c>
      <c r="B3099" s="1" t="s">
        <v>15848</v>
      </c>
      <c r="C3099" s="1" t="s">
        <v>15849</v>
      </c>
      <c r="D3099" s="1" t="s">
        <v>15850</v>
      </c>
    </row>
    <row r="3100" spans="1:4" x14ac:dyDescent="0.25">
      <c r="A3100" s="1" t="s">
        <v>6211</v>
      </c>
      <c r="B3100" s="1" t="s">
        <v>15851</v>
      </c>
      <c r="C3100" s="1" t="s">
        <v>15852</v>
      </c>
      <c r="D3100" s="1" t="s">
        <v>15853</v>
      </c>
    </row>
    <row r="3101" spans="1:4" x14ac:dyDescent="0.25">
      <c r="A3101" s="1" t="s">
        <v>6213</v>
      </c>
      <c r="B3101" s="1" t="s">
        <v>15854</v>
      </c>
      <c r="C3101" s="1" t="s">
        <v>15855</v>
      </c>
      <c r="D3101" s="1" t="s">
        <v>15856</v>
      </c>
    </row>
    <row r="3102" spans="1:4" x14ac:dyDescent="0.25">
      <c r="A3102" s="1" t="s">
        <v>6215</v>
      </c>
      <c r="B3102" s="1" t="s">
        <v>15857</v>
      </c>
      <c r="C3102" s="1" t="s">
        <v>15858</v>
      </c>
      <c r="D3102" s="1" t="s">
        <v>15859</v>
      </c>
    </row>
    <row r="3103" spans="1:4" x14ac:dyDescent="0.25">
      <c r="A3103" s="1" t="s">
        <v>6217</v>
      </c>
      <c r="B3103" s="1" t="s">
        <v>15860</v>
      </c>
      <c r="C3103" s="1" t="s">
        <v>15861</v>
      </c>
      <c r="D3103" s="1" t="s">
        <v>15862</v>
      </c>
    </row>
    <row r="3104" spans="1:4" x14ac:dyDescent="0.25">
      <c r="A3104" s="1" t="s">
        <v>6219</v>
      </c>
      <c r="B3104" s="1" t="s">
        <v>15863</v>
      </c>
      <c r="C3104" s="1" t="s">
        <v>15864</v>
      </c>
      <c r="D3104" s="1" t="s">
        <v>15865</v>
      </c>
    </row>
    <row r="3105" spans="1:4" x14ac:dyDescent="0.25">
      <c r="A3105" s="1" t="s">
        <v>6221</v>
      </c>
      <c r="B3105" s="1" t="s">
        <v>15866</v>
      </c>
      <c r="C3105" s="1" t="s">
        <v>15867</v>
      </c>
      <c r="D3105" s="1" t="s">
        <v>15868</v>
      </c>
    </row>
    <row r="3106" spans="1:4" x14ac:dyDescent="0.25">
      <c r="A3106" s="1" t="s">
        <v>6223</v>
      </c>
      <c r="B3106" s="1" t="s">
        <v>15869</v>
      </c>
      <c r="C3106" s="1" t="s">
        <v>15870</v>
      </c>
      <c r="D3106" s="1" t="s">
        <v>15871</v>
      </c>
    </row>
    <row r="3107" spans="1:4" x14ac:dyDescent="0.25">
      <c r="A3107" s="1" t="s">
        <v>6225</v>
      </c>
      <c r="B3107" s="1" t="s">
        <v>15872</v>
      </c>
      <c r="C3107" s="1" t="s">
        <v>15873</v>
      </c>
      <c r="D3107" s="1" t="s">
        <v>15874</v>
      </c>
    </row>
    <row r="3108" spans="1:4" x14ac:dyDescent="0.25">
      <c r="A3108" s="1" t="s">
        <v>6227</v>
      </c>
      <c r="B3108" s="1" t="s">
        <v>15875</v>
      </c>
      <c r="C3108" s="1" t="s">
        <v>15876</v>
      </c>
      <c r="D3108" s="1" t="s">
        <v>15877</v>
      </c>
    </row>
    <row r="3109" spans="1:4" x14ac:dyDescent="0.25">
      <c r="A3109" s="1" t="s">
        <v>6229</v>
      </c>
      <c r="B3109" s="1" t="s">
        <v>15878</v>
      </c>
      <c r="C3109" s="1" t="s">
        <v>15879</v>
      </c>
      <c r="D3109" s="1" t="s">
        <v>15880</v>
      </c>
    </row>
    <row r="3110" spans="1:4" x14ac:dyDescent="0.25">
      <c r="A3110" s="1" t="s">
        <v>6231</v>
      </c>
      <c r="B3110" s="1" t="s">
        <v>15881</v>
      </c>
      <c r="C3110" s="1" t="s">
        <v>15882</v>
      </c>
      <c r="D3110" s="1" t="s">
        <v>15883</v>
      </c>
    </row>
    <row r="3111" spans="1:4" x14ac:dyDescent="0.25">
      <c r="A3111" s="1" t="s">
        <v>6233</v>
      </c>
      <c r="B3111" s="1" t="s">
        <v>15884</v>
      </c>
      <c r="C3111" s="1" t="s">
        <v>15885</v>
      </c>
      <c r="D3111" s="1" t="s">
        <v>15886</v>
      </c>
    </row>
    <row r="3112" spans="1:4" x14ac:dyDescent="0.25">
      <c r="A3112" s="1" t="s">
        <v>6235</v>
      </c>
      <c r="B3112" s="1" t="s">
        <v>15887</v>
      </c>
      <c r="C3112" s="1" t="s">
        <v>15888</v>
      </c>
      <c r="D3112" s="1" t="s">
        <v>15889</v>
      </c>
    </row>
    <row r="3113" spans="1:4" x14ac:dyDescent="0.25">
      <c r="A3113" s="1" t="s">
        <v>6237</v>
      </c>
      <c r="B3113" s="1" t="s">
        <v>15890</v>
      </c>
      <c r="C3113" s="1" t="s">
        <v>15891</v>
      </c>
      <c r="D3113" s="1" t="s">
        <v>15892</v>
      </c>
    </row>
    <row r="3114" spans="1:4" x14ac:dyDescent="0.25">
      <c r="A3114" s="1" t="s">
        <v>6239</v>
      </c>
      <c r="B3114" s="1" t="s">
        <v>15893</v>
      </c>
      <c r="C3114" s="1" t="s">
        <v>15894</v>
      </c>
      <c r="D3114" s="1" t="s">
        <v>15895</v>
      </c>
    </row>
    <row r="3115" spans="1:4" x14ac:dyDescent="0.25">
      <c r="A3115" s="1" t="s">
        <v>6241</v>
      </c>
      <c r="B3115" s="1" t="s">
        <v>15896</v>
      </c>
      <c r="C3115" s="1" t="s">
        <v>15897</v>
      </c>
      <c r="D3115" s="1" t="s">
        <v>15898</v>
      </c>
    </row>
    <row r="3116" spans="1:4" x14ac:dyDescent="0.25">
      <c r="A3116" s="1" t="s">
        <v>6243</v>
      </c>
      <c r="B3116" s="1" t="s">
        <v>15899</v>
      </c>
      <c r="C3116" s="1" t="s">
        <v>15900</v>
      </c>
      <c r="D3116" s="1" t="s">
        <v>15901</v>
      </c>
    </row>
    <row r="3117" spans="1:4" x14ac:dyDescent="0.25">
      <c r="A3117" s="1" t="s">
        <v>6245</v>
      </c>
      <c r="B3117" s="1" t="s">
        <v>15902</v>
      </c>
      <c r="C3117" s="1" t="s">
        <v>15903</v>
      </c>
      <c r="D3117" s="1" t="s">
        <v>15904</v>
      </c>
    </row>
    <row r="3118" spans="1:4" x14ac:dyDescent="0.25">
      <c r="A3118" s="1" t="s">
        <v>6247</v>
      </c>
      <c r="B3118" s="1" t="s">
        <v>15905</v>
      </c>
      <c r="C3118" s="1" t="s">
        <v>15906</v>
      </c>
      <c r="D3118" s="1" t="s">
        <v>15907</v>
      </c>
    </row>
    <row r="3119" spans="1:4" x14ac:dyDescent="0.25">
      <c r="A3119" s="1" t="s">
        <v>6249</v>
      </c>
      <c r="B3119" s="1" t="s">
        <v>15908</v>
      </c>
      <c r="C3119" s="1" t="s">
        <v>15909</v>
      </c>
      <c r="D3119" s="1" t="s">
        <v>15910</v>
      </c>
    </row>
    <row r="3120" spans="1:4" x14ac:dyDescent="0.25">
      <c r="A3120" s="1" t="s">
        <v>6251</v>
      </c>
      <c r="B3120" s="1" t="s">
        <v>15911</v>
      </c>
      <c r="C3120" s="1" t="s">
        <v>15912</v>
      </c>
      <c r="D3120" s="1" t="s">
        <v>15913</v>
      </c>
    </row>
    <row r="3121" spans="1:4" x14ac:dyDescent="0.25">
      <c r="A3121" s="1" t="s">
        <v>6253</v>
      </c>
      <c r="B3121" s="1" t="s">
        <v>15914</v>
      </c>
      <c r="C3121" s="1" t="s">
        <v>15915</v>
      </c>
      <c r="D3121" s="1" t="s">
        <v>15916</v>
      </c>
    </row>
    <row r="3122" spans="1:4" x14ac:dyDescent="0.25">
      <c r="A3122" s="1" t="s">
        <v>6255</v>
      </c>
      <c r="B3122" s="1" t="s">
        <v>15917</v>
      </c>
      <c r="C3122" s="1" t="s">
        <v>15918</v>
      </c>
      <c r="D3122" s="1" t="s">
        <v>15919</v>
      </c>
    </row>
    <row r="3123" spans="1:4" x14ac:dyDescent="0.25">
      <c r="A3123" s="1" t="s">
        <v>6257</v>
      </c>
      <c r="B3123" s="1" t="s">
        <v>15920</v>
      </c>
      <c r="C3123" s="1" t="s">
        <v>15921</v>
      </c>
      <c r="D3123" s="1" t="s">
        <v>15922</v>
      </c>
    </row>
    <row r="3124" spans="1:4" x14ac:dyDescent="0.25">
      <c r="A3124" s="1" t="s">
        <v>6259</v>
      </c>
      <c r="B3124" s="1" t="s">
        <v>15923</v>
      </c>
      <c r="C3124" s="1" t="s">
        <v>15924</v>
      </c>
      <c r="D3124" s="1" t="s">
        <v>15925</v>
      </c>
    </row>
    <row r="3125" spans="1:4" x14ac:dyDescent="0.25">
      <c r="A3125" s="1" t="s">
        <v>6261</v>
      </c>
      <c r="B3125" s="1" t="s">
        <v>15926</v>
      </c>
      <c r="C3125" s="1" t="s">
        <v>15927</v>
      </c>
      <c r="D3125" s="1" t="s">
        <v>15928</v>
      </c>
    </row>
    <row r="3126" spans="1:4" x14ac:dyDescent="0.25">
      <c r="A3126" s="1" t="s">
        <v>6263</v>
      </c>
      <c r="B3126" s="1" t="s">
        <v>15929</v>
      </c>
      <c r="C3126" s="1" t="s">
        <v>15930</v>
      </c>
      <c r="D3126" s="1" t="s">
        <v>15931</v>
      </c>
    </row>
    <row r="3127" spans="1:4" x14ac:dyDescent="0.25">
      <c r="A3127" s="1" t="s">
        <v>6265</v>
      </c>
      <c r="B3127" s="1" t="s">
        <v>15932</v>
      </c>
      <c r="C3127" s="1" t="s">
        <v>15933</v>
      </c>
      <c r="D3127" s="1" t="s">
        <v>15934</v>
      </c>
    </row>
    <row r="3128" spans="1:4" x14ac:dyDescent="0.25">
      <c r="A3128" s="1" t="s">
        <v>6267</v>
      </c>
      <c r="B3128" s="1" t="s">
        <v>15935</v>
      </c>
      <c r="C3128" s="1" t="s">
        <v>15936</v>
      </c>
      <c r="D3128" s="1" t="s">
        <v>15937</v>
      </c>
    </row>
    <row r="3129" spans="1:4" x14ac:dyDescent="0.25">
      <c r="A3129" s="1" t="s">
        <v>6269</v>
      </c>
      <c r="B3129" s="1" t="s">
        <v>15938</v>
      </c>
      <c r="C3129" s="1" t="s">
        <v>15939</v>
      </c>
      <c r="D3129" s="1" t="s">
        <v>15940</v>
      </c>
    </row>
    <row r="3130" spans="1:4" x14ac:dyDescent="0.25">
      <c r="A3130" s="1" t="s">
        <v>6271</v>
      </c>
      <c r="B3130" s="1" t="s">
        <v>15941</v>
      </c>
      <c r="C3130" s="1" t="s">
        <v>15942</v>
      </c>
      <c r="D3130" s="1" t="s">
        <v>15943</v>
      </c>
    </row>
    <row r="3131" spans="1:4" x14ac:dyDescent="0.25">
      <c r="A3131" s="1" t="s">
        <v>6273</v>
      </c>
      <c r="B3131" s="1" t="s">
        <v>15944</v>
      </c>
      <c r="C3131" s="1" t="s">
        <v>15945</v>
      </c>
      <c r="D3131" s="1" t="s">
        <v>15946</v>
      </c>
    </row>
    <row r="3132" spans="1:4" x14ac:dyDescent="0.25">
      <c r="A3132" s="1" t="s">
        <v>6275</v>
      </c>
      <c r="B3132" s="1" t="s">
        <v>15947</v>
      </c>
      <c r="C3132" s="1" t="s">
        <v>15948</v>
      </c>
      <c r="D3132" s="1" t="s">
        <v>15949</v>
      </c>
    </row>
    <row r="3133" spans="1:4" x14ac:dyDescent="0.25">
      <c r="A3133" s="1" t="s">
        <v>6277</v>
      </c>
      <c r="B3133" s="1" t="s">
        <v>15950</v>
      </c>
      <c r="C3133" s="1" t="s">
        <v>15951</v>
      </c>
      <c r="D3133" s="1" t="s">
        <v>15952</v>
      </c>
    </row>
    <row r="3134" spans="1:4" x14ac:dyDescent="0.25">
      <c r="A3134" s="1" t="s">
        <v>6279</v>
      </c>
      <c r="B3134" s="1" t="s">
        <v>15953</v>
      </c>
      <c r="C3134" s="1" t="s">
        <v>15954</v>
      </c>
      <c r="D3134" s="1" t="s">
        <v>15955</v>
      </c>
    </row>
    <row r="3135" spans="1:4" x14ac:dyDescent="0.25">
      <c r="A3135" s="1" t="s">
        <v>6281</v>
      </c>
      <c r="B3135" s="1" t="s">
        <v>15956</v>
      </c>
      <c r="C3135" s="1" t="s">
        <v>15957</v>
      </c>
      <c r="D3135" s="1" t="s">
        <v>15958</v>
      </c>
    </row>
    <row r="3136" spans="1:4" x14ac:dyDescent="0.25">
      <c r="A3136" s="1" t="s">
        <v>6283</v>
      </c>
      <c r="B3136" s="1" t="s">
        <v>15959</v>
      </c>
      <c r="C3136" s="1" t="s">
        <v>15960</v>
      </c>
      <c r="D3136" s="1" t="s">
        <v>15961</v>
      </c>
    </row>
    <row r="3137" spans="1:4" x14ac:dyDescent="0.25">
      <c r="A3137" s="1" t="s">
        <v>6285</v>
      </c>
      <c r="B3137" s="1" t="s">
        <v>15962</v>
      </c>
      <c r="C3137" s="1" t="s">
        <v>15963</v>
      </c>
      <c r="D3137" s="1" t="s">
        <v>15964</v>
      </c>
    </row>
    <row r="3138" spans="1:4" x14ac:dyDescent="0.25">
      <c r="A3138" s="1" t="s">
        <v>6287</v>
      </c>
      <c r="B3138" s="1" t="s">
        <v>15965</v>
      </c>
      <c r="C3138" s="1" t="s">
        <v>15966</v>
      </c>
      <c r="D3138" s="1" t="s">
        <v>15967</v>
      </c>
    </row>
    <row r="3139" spans="1:4" x14ac:dyDescent="0.25">
      <c r="A3139" s="1" t="s">
        <v>6289</v>
      </c>
      <c r="B3139" s="1" t="s">
        <v>15968</v>
      </c>
      <c r="C3139" s="1" t="s">
        <v>15969</v>
      </c>
      <c r="D3139" s="1" t="s">
        <v>15970</v>
      </c>
    </row>
    <row r="3140" spans="1:4" x14ac:dyDescent="0.25">
      <c r="A3140" s="1" t="s">
        <v>6291</v>
      </c>
      <c r="B3140" s="1" t="s">
        <v>15971</v>
      </c>
      <c r="C3140" s="1" t="s">
        <v>15972</v>
      </c>
      <c r="D3140" s="1" t="s">
        <v>15973</v>
      </c>
    </row>
    <row r="3141" spans="1:4" x14ac:dyDescent="0.25">
      <c r="A3141" s="1" t="s">
        <v>6293</v>
      </c>
      <c r="B3141" s="1" t="s">
        <v>15974</v>
      </c>
      <c r="C3141" s="1" t="s">
        <v>15975</v>
      </c>
      <c r="D3141" s="1" t="s">
        <v>15976</v>
      </c>
    </row>
    <row r="3142" spans="1:4" x14ac:dyDescent="0.25">
      <c r="A3142" s="1" t="s">
        <v>6295</v>
      </c>
      <c r="B3142" s="1" t="s">
        <v>15977</v>
      </c>
      <c r="C3142" s="1" t="s">
        <v>15978</v>
      </c>
      <c r="D3142" s="1" t="s">
        <v>15979</v>
      </c>
    </row>
    <row r="3143" spans="1:4" x14ac:dyDescent="0.25">
      <c r="A3143" s="1" t="s">
        <v>6297</v>
      </c>
      <c r="B3143" s="1" t="s">
        <v>15980</v>
      </c>
      <c r="C3143" s="1" t="s">
        <v>15981</v>
      </c>
      <c r="D3143" s="1" t="s">
        <v>15982</v>
      </c>
    </row>
    <row r="3144" spans="1:4" x14ac:dyDescent="0.25">
      <c r="A3144" s="1" t="s">
        <v>6299</v>
      </c>
      <c r="B3144" s="1" t="s">
        <v>15983</v>
      </c>
      <c r="C3144" s="1" t="s">
        <v>15984</v>
      </c>
      <c r="D3144" s="1" t="s">
        <v>15985</v>
      </c>
    </row>
    <row r="3145" spans="1:4" x14ac:dyDescent="0.25">
      <c r="A3145" s="1" t="s">
        <v>6301</v>
      </c>
      <c r="B3145" s="1" t="s">
        <v>15986</v>
      </c>
      <c r="C3145" s="1" t="s">
        <v>15987</v>
      </c>
      <c r="D3145" s="1" t="s">
        <v>15988</v>
      </c>
    </row>
    <row r="3146" spans="1:4" x14ac:dyDescent="0.25">
      <c r="A3146" s="1" t="s">
        <v>6303</v>
      </c>
      <c r="B3146" s="1" t="s">
        <v>15989</v>
      </c>
      <c r="C3146" s="1" t="s">
        <v>15990</v>
      </c>
      <c r="D3146" s="1" t="s">
        <v>15991</v>
      </c>
    </row>
    <row r="3147" spans="1:4" x14ac:dyDescent="0.25">
      <c r="A3147" s="1" t="s">
        <v>6305</v>
      </c>
      <c r="B3147" s="1" t="s">
        <v>15992</v>
      </c>
      <c r="C3147" s="1" t="s">
        <v>15993</v>
      </c>
      <c r="D3147" s="1" t="s">
        <v>15994</v>
      </c>
    </row>
    <row r="3148" spans="1:4" x14ac:dyDescent="0.25">
      <c r="A3148" s="1" t="s">
        <v>6307</v>
      </c>
      <c r="B3148" s="1" t="s">
        <v>15995</v>
      </c>
      <c r="C3148" s="1" t="s">
        <v>15996</v>
      </c>
      <c r="D3148" s="1" t="s">
        <v>15997</v>
      </c>
    </row>
    <row r="3149" spans="1:4" x14ac:dyDescent="0.25">
      <c r="A3149" s="1" t="s">
        <v>6309</v>
      </c>
      <c r="B3149" s="1" t="s">
        <v>15998</v>
      </c>
      <c r="C3149" s="1" t="s">
        <v>15999</v>
      </c>
      <c r="D3149" s="1" t="s">
        <v>16000</v>
      </c>
    </row>
    <row r="3150" spans="1:4" x14ac:dyDescent="0.25">
      <c r="A3150" s="1" t="s">
        <v>6311</v>
      </c>
      <c r="B3150" s="1" t="s">
        <v>16001</v>
      </c>
      <c r="C3150" s="1" t="s">
        <v>16002</v>
      </c>
      <c r="D3150" s="1" t="s">
        <v>16003</v>
      </c>
    </row>
    <row r="3151" spans="1:4" x14ac:dyDescent="0.25">
      <c r="A3151" s="1" t="s">
        <v>6313</v>
      </c>
      <c r="B3151" s="1" t="s">
        <v>16004</v>
      </c>
      <c r="C3151" s="1" t="s">
        <v>16005</v>
      </c>
      <c r="D3151" s="1" t="s">
        <v>16006</v>
      </c>
    </row>
    <row r="3152" spans="1:4" x14ac:dyDescent="0.25">
      <c r="A3152" s="1" t="s">
        <v>6315</v>
      </c>
      <c r="B3152" s="1" t="s">
        <v>16007</v>
      </c>
      <c r="C3152" s="1" t="s">
        <v>16008</v>
      </c>
      <c r="D3152" s="1" t="s">
        <v>16009</v>
      </c>
    </row>
    <row r="3153" spans="1:4" x14ac:dyDescent="0.25">
      <c r="A3153" s="1" t="s">
        <v>6317</v>
      </c>
      <c r="B3153" s="1" t="s">
        <v>16010</v>
      </c>
      <c r="C3153" s="1" t="s">
        <v>16011</v>
      </c>
      <c r="D3153" s="1" t="s">
        <v>16012</v>
      </c>
    </row>
    <row r="3154" spans="1:4" x14ac:dyDescent="0.25">
      <c r="A3154" s="1" t="s">
        <v>6319</v>
      </c>
      <c r="B3154" s="1" t="s">
        <v>16013</v>
      </c>
      <c r="C3154" s="1" t="s">
        <v>16014</v>
      </c>
      <c r="D3154" s="1" t="s">
        <v>16015</v>
      </c>
    </row>
    <row r="3155" spans="1:4" x14ac:dyDescent="0.25">
      <c r="A3155" s="1" t="s">
        <v>6321</v>
      </c>
      <c r="B3155" s="1" t="s">
        <v>16016</v>
      </c>
      <c r="C3155" s="1" t="s">
        <v>16017</v>
      </c>
      <c r="D3155" s="1" t="s">
        <v>16018</v>
      </c>
    </row>
    <row r="3156" spans="1:4" x14ac:dyDescent="0.25">
      <c r="A3156" s="1" t="s">
        <v>6323</v>
      </c>
      <c r="B3156" s="1" t="s">
        <v>16019</v>
      </c>
      <c r="C3156" s="1" t="s">
        <v>16020</v>
      </c>
      <c r="D3156" s="1" t="s">
        <v>16021</v>
      </c>
    </row>
    <row r="3157" spans="1:4" x14ac:dyDescent="0.25">
      <c r="A3157" s="1" t="s">
        <v>6325</v>
      </c>
      <c r="B3157" s="1" t="s">
        <v>16022</v>
      </c>
      <c r="C3157" s="1" t="s">
        <v>16023</v>
      </c>
      <c r="D3157" s="1" t="s">
        <v>16024</v>
      </c>
    </row>
    <row r="3158" spans="1:4" x14ac:dyDescent="0.25">
      <c r="A3158" s="1" t="s">
        <v>6327</v>
      </c>
      <c r="B3158" s="1" t="s">
        <v>16025</v>
      </c>
      <c r="C3158" s="1" t="s">
        <v>16026</v>
      </c>
      <c r="D3158" s="1" t="s">
        <v>16027</v>
      </c>
    </row>
    <row r="3159" spans="1:4" x14ac:dyDescent="0.25">
      <c r="A3159" s="1" t="s">
        <v>6329</v>
      </c>
      <c r="B3159" s="1" t="s">
        <v>16028</v>
      </c>
      <c r="C3159" s="1" t="s">
        <v>16029</v>
      </c>
      <c r="D3159" s="1" t="s">
        <v>16030</v>
      </c>
    </row>
    <row r="3160" spans="1:4" x14ac:dyDescent="0.25">
      <c r="A3160" s="1" t="s">
        <v>6331</v>
      </c>
      <c r="B3160" s="1" t="s">
        <v>16031</v>
      </c>
      <c r="C3160" s="1" t="s">
        <v>16032</v>
      </c>
      <c r="D3160" s="1" t="s">
        <v>16033</v>
      </c>
    </row>
    <row r="3161" spans="1:4" x14ac:dyDescent="0.25">
      <c r="A3161" s="1" t="s">
        <v>6333</v>
      </c>
      <c r="B3161" s="1" t="s">
        <v>16034</v>
      </c>
      <c r="C3161" s="1" t="s">
        <v>16035</v>
      </c>
      <c r="D3161" s="1" t="s">
        <v>16036</v>
      </c>
    </row>
    <row r="3162" spans="1:4" x14ac:dyDescent="0.25">
      <c r="A3162" s="1" t="s">
        <v>6335</v>
      </c>
      <c r="B3162" s="1" t="s">
        <v>16037</v>
      </c>
      <c r="C3162" s="1" t="s">
        <v>16038</v>
      </c>
      <c r="D3162" s="1" t="s">
        <v>16039</v>
      </c>
    </row>
    <row r="3163" spans="1:4" x14ac:dyDescent="0.25">
      <c r="A3163" s="1" t="s">
        <v>6337</v>
      </c>
      <c r="B3163" s="1" t="s">
        <v>16040</v>
      </c>
      <c r="C3163" s="1" t="s">
        <v>16041</v>
      </c>
      <c r="D3163" s="1" t="s">
        <v>16042</v>
      </c>
    </row>
    <row r="3164" spans="1:4" x14ac:dyDescent="0.25">
      <c r="A3164" s="1" t="s">
        <v>6339</v>
      </c>
      <c r="B3164" s="1" t="s">
        <v>16043</v>
      </c>
      <c r="C3164" s="1" t="s">
        <v>16044</v>
      </c>
      <c r="D3164" s="1" t="s">
        <v>16045</v>
      </c>
    </row>
    <row r="3165" spans="1:4" x14ac:dyDescent="0.25">
      <c r="A3165" s="1" t="s">
        <v>6341</v>
      </c>
      <c r="B3165" s="1" t="s">
        <v>16046</v>
      </c>
      <c r="C3165" s="1" t="s">
        <v>16047</v>
      </c>
      <c r="D3165" s="1" t="s">
        <v>16048</v>
      </c>
    </row>
    <row r="3166" spans="1:4" x14ac:dyDescent="0.25">
      <c r="A3166" s="1" t="s">
        <v>6343</v>
      </c>
      <c r="B3166" s="1" t="s">
        <v>16049</v>
      </c>
      <c r="C3166" s="1" t="s">
        <v>16050</v>
      </c>
      <c r="D3166" s="1" t="s">
        <v>16051</v>
      </c>
    </row>
    <row r="3167" spans="1:4" x14ac:dyDescent="0.25">
      <c r="A3167" s="1" t="s">
        <v>6345</v>
      </c>
      <c r="B3167" s="1" t="s">
        <v>16052</v>
      </c>
      <c r="C3167" s="1" t="s">
        <v>16053</v>
      </c>
      <c r="D3167" s="1" t="s">
        <v>16054</v>
      </c>
    </row>
    <row r="3168" spans="1:4" x14ac:dyDescent="0.25">
      <c r="A3168" s="1" t="s">
        <v>6347</v>
      </c>
      <c r="B3168" s="1" t="s">
        <v>16055</v>
      </c>
      <c r="C3168" s="1" t="s">
        <v>16056</v>
      </c>
      <c r="D3168" s="1" t="s">
        <v>16057</v>
      </c>
    </row>
    <row r="3169" spans="1:4" x14ac:dyDescent="0.25">
      <c r="A3169" s="1" t="s">
        <v>6349</v>
      </c>
      <c r="B3169" s="1" t="s">
        <v>16058</v>
      </c>
      <c r="C3169" s="1" t="s">
        <v>16059</v>
      </c>
      <c r="D3169" s="1" t="s">
        <v>16060</v>
      </c>
    </row>
    <row r="3170" spans="1:4" x14ac:dyDescent="0.25">
      <c r="A3170" s="1" t="s">
        <v>6351</v>
      </c>
      <c r="B3170" s="1" t="s">
        <v>16061</v>
      </c>
      <c r="C3170" s="1" t="s">
        <v>16062</v>
      </c>
      <c r="D3170" s="1" t="s">
        <v>16063</v>
      </c>
    </row>
    <row r="3171" spans="1:4" x14ac:dyDescent="0.25">
      <c r="A3171" s="1" t="s">
        <v>6353</v>
      </c>
      <c r="B3171" s="1" t="s">
        <v>16064</v>
      </c>
      <c r="C3171" s="1" t="s">
        <v>16065</v>
      </c>
      <c r="D3171" s="1" t="s">
        <v>16066</v>
      </c>
    </row>
    <row r="3172" spans="1:4" x14ac:dyDescent="0.25">
      <c r="A3172" s="1" t="s">
        <v>6355</v>
      </c>
      <c r="B3172" s="1" t="s">
        <v>16067</v>
      </c>
      <c r="C3172" s="1" t="s">
        <v>16068</v>
      </c>
      <c r="D3172" s="1" t="s">
        <v>16069</v>
      </c>
    </row>
    <row r="3173" spans="1:4" x14ac:dyDescent="0.25">
      <c r="A3173" s="1" t="s">
        <v>6357</v>
      </c>
      <c r="B3173" s="1" t="s">
        <v>16070</v>
      </c>
      <c r="C3173" s="1" t="s">
        <v>16071</v>
      </c>
      <c r="D3173" s="1" t="s">
        <v>16072</v>
      </c>
    </row>
    <row r="3174" spans="1:4" x14ac:dyDescent="0.25">
      <c r="A3174" s="1" t="s">
        <v>6359</v>
      </c>
      <c r="B3174" s="1" t="s">
        <v>16073</v>
      </c>
      <c r="C3174" s="1" t="s">
        <v>16074</v>
      </c>
      <c r="D3174" s="1" t="s">
        <v>16075</v>
      </c>
    </row>
    <row r="3175" spans="1:4" x14ac:dyDescent="0.25">
      <c r="A3175" s="1" t="s">
        <v>6361</v>
      </c>
      <c r="B3175" s="1" t="s">
        <v>16076</v>
      </c>
      <c r="C3175" s="1" t="s">
        <v>16077</v>
      </c>
      <c r="D3175" s="1" t="s">
        <v>16078</v>
      </c>
    </row>
    <row r="3176" spans="1:4" x14ac:dyDescent="0.25">
      <c r="A3176" s="1" t="s">
        <v>6363</v>
      </c>
      <c r="B3176" s="1" t="s">
        <v>16079</v>
      </c>
      <c r="C3176" s="1" t="s">
        <v>16080</v>
      </c>
      <c r="D3176" s="1" t="s">
        <v>16081</v>
      </c>
    </row>
    <row r="3177" spans="1:4" x14ac:dyDescent="0.25">
      <c r="A3177" s="1" t="s">
        <v>6365</v>
      </c>
      <c r="B3177" s="1" t="s">
        <v>16082</v>
      </c>
      <c r="C3177" s="1" t="s">
        <v>16083</v>
      </c>
      <c r="D3177" s="1" t="s">
        <v>16084</v>
      </c>
    </row>
    <row r="3178" spans="1:4" x14ac:dyDescent="0.25">
      <c r="A3178" s="1" t="s">
        <v>6367</v>
      </c>
      <c r="B3178" s="1" t="s">
        <v>16085</v>
      </c>
      <c r="C3178" s="1" t="s">
        <v>16086</v>
      </c>
      <c r="D3178" s="1" t="s">
        <v>16087</v>
      </c>
    </row>
    <row r="3179" spans="1:4" x14ac:dyDescent="0.25">
      <c r="A3179" s="1" t="s">
        <v>6369</v>
      </c>
      <c r="B3179" s="1" t="s">
        <v>16088</v>
      </c>
      <c r="C3179" s="1" t="s">
        <v>16089</v>
      </c>
      <c r="D3179" s="1" t="s">
        <v>16090</v>
      </c>
    </row>
    <row r="3180" spans="1:4" x14ac:dyDescent="0.25">
      <c r="A3180" s="1" t="s">
        <v>6371</v>
      </c>
      <c r="B3180" s="1" t="s">
        <v>16091</v>
      </c>
      <c r="C3180" s="1" t="s">
        <v>16092</v>
      </c>
      <c r="D3180" s="1" t="s">
        <v>16093</v>
      </c>
    </row>
    <row r="3181" spans="1:4" x14ac:dyDescent="0.25">
      <c r="A3181" s="1" t="s">
        <v>6373</v>
      </c>
      <c r="B3181" s="1" t="s">
        <v>16094</v>
      </c>
      <c r="C3181" s="1" t="s">
        <v>16095</v>
      </c>
      <c r="D3181" s="1" t="s">
        <v>16096</v>
      </c>
    </row>
    <row r="3182" spans="1:4" x14ac:dyDescent="0.25">
      <c r="A3182" s="1" t="s">
        <v>6375</v>
      </c>
      <c r="B3182" s="1" t="s">
        <v>16097</v>
      </c>
      <c r="C3182" s="1" t="s">
        <v>16098</v>
      </c>
      <c r="D3182" s="1" t="s">
        <v>16099</v>
      </c>
    </row>
    <row r="3183" spans="1:4" x14ac:dyDescent="0.25">
      <c r="A3183" s="1" t="s">
        <v>6377</v>
      </c>
      <c r="B3183" s="1" t="s">
        <v>16100</v>
      </c>
      <c r="C3183" s="1" t="s">
        <v>16101</v>
      </c>
      <c r="D3183" s="1" t="s">
        <v>16102</v>
      </c>
    </row>
    <row r="3184" spans="1:4" x14ac:dyDescent="0.25">
      <c r="A3184" s="1" t="s">
        <v>6379</v>
      </c>
      <c r="B3184" s="1" t="s">
        <v>16103</v>
      </c>
      <c r="C3184" s="1" t="s">
        <v>16104</v>
      </c>
      <c r="D3184" s="1" t="s">
        <v>16105</v>
      </c>
    </row>
    <row r="3185" spans="1:4" x14ac:dyDescent="0.25">
      <c r="A3185" s="1" t="s">
        <v>6381</v>
      </c>
      <c r="B3185" s="1" t="s">
        <v>16106</v>
      </c>
      <c r="C3185" s="1" t="s">
        <v>16107</v>
      </c>
      <c r="D3185" s="1" t="s">
        <v>16108</v>
      </c>
    </row>
    <row r="3186" spans="1:4" x14ac:dyDescent="0.25">
      <c r="A3186" s="1" t="s">
        <v>6383</v>
      </c>
      <c r="B3186" s="1" t="s">
        <v>16109</v>
      </c>
      <c r="C3186" s="1" t="s">
        <v>16110</v>
      </c>
      <c r="D3186" s="1" t="s">
        <v>16111</v>
      </c>
    </row>
    <row r="3187" spans="1:4" x14ac:dyDescent="0.25">
      <c r="A3187" s="1" t="s">
        <v>6385</v>
      </c>
      <c r="B3187" s="1" t="s">
        <v>16112</v>
      </c>
      <c r="C3187" s="1" t="s">
        <v>16113</v>
      </c>
      <c r="D3187" s="1" t="s">
        <v>16114</v>
      </c>
    </row>
    <row r="3188" spans="1:4" x14ac:dyDescent="0.25">
      <c r="A3188" s="1" t="s">
        <v>6387</v>
      </c>
      <c r="B3188" s="1" t="s">
        <v>16115</v>
      </c>
      <c r="C3188" s="1" t="s">
        <v>16116</v>
      </c>
      <c r="D3188" s="1" t="s">
        <v>16117</v>
      </c>
    </row>
    <row r="3189" spans="1:4" x14ac:dyDescent="0.25">
      <c r="A3189" s="1" t="s">
        <v>6389</v>
      </c>
      <c r="B3189" s="1" t="s">
        <v>16118</v>
      </c>
      <c r="C3189" s="1" t="s">
        <v>16119</v>
      </c>
      <c r="D3189" s="1" t="s">
        <v>16120</v>
      </c>
    </row>
    <row r="3190" spans="1:4" x14ac:dyDescent="0.25">
      <c r="A3190" s="1" t="s">
        <v>6391</v>
      </c>
      <c r="B3190" s="1" t="s">
        <v>16121</v>
      </c>
      <c r="C3190" s="1" t="s">
        <v>16122</v>
      </c>
      <c r="D3190" s="1" t="s">
        <v>16123</v>
      </c>
    </row>
    <row r="3191" spans="1:4" x14ac:dyDescent="0.25">
      <c r="A3191" s="1" t="s">
        <v>6393</v>
      </c>
      <c r="B3191" s="1" t="s">
        <v>16124</v>
      </c>
      <c r="C3191" s="1" t="s">
        <v>16125</v>
      </c>
      <c r="D3191" s="1" t="s">
        <v>16126</v>
      </c>
    </row>
    <row r="3192" spans="1:4" x14ac:dyDescent="0.25">
      <c r="A3192" s="1" t="s">
        <v>6395</v>
      </c>
      <c r="B3192" s="1" t="s">
        <v>16127</v>
      </c>
      <c r="C3192" s="1" t="s">
        <v>16128</v>
      </c>
      <c r="D3192" s="1" t="s">
        <v>16129</v>
      </c>
    </row>
    <row r="3193" spans="1:4" x14ac:dyDescent="0.25">
      <c r="A3193" s="1" t="s">
        <v>6397</v>
      </c>
      <c r="B3193" s="1" t="s">
        <v>16130</v>
      </c>
      <c r="C3193" s="1" t="s">
        <v>16131</v>
      </c>
      <c r="D3193" s="1" t="s">
        <v>16132</v>
      </c>
    </row>
    <row r="3194" spans="1:4" x14ac:dyDescent="0.25">
      <c r="A3194" s="1" t="s">
        <v>6399</v>
      </c>
      <c r="B3194" s="1" t="s">
        <v>16133</v>
      </c>
      <c r="C3194" s="1" t="s">
        <v>16134</v>
      </c>
      <c r="D3194" s="1" t="s">
        <v>16135</v>
      </c>
    </row>
    <row r="3195" spans="1:4" x14ac:dyDescent="0.25">
      <c r="A3195" s="1" t="s">
        <v>6401</v>
      </c>
      <c r="B3195" s="1" t="s">
        <v>16136</v>
      </c>
      <c r="C3195" s="1" t="s">
        <v>16137</v>
      </c>
      <c r="D3195" s="1" t="s">
        <v>16138</v>
      </c>
    </row>
    <row r="3196" spans="1:4" x14ac:dyDescent="0.25">
      <c r="A3196" s="1" t="s">
        <v>6403</v>
      </c>
      <c r="B3196" s="1" t="s">
        <v>16139</v>
      </c>
      <c r="C3196" s="1" t="s">
        <v>16140</v>
      </c>
      <c r="D3196" s="1" t="s">
        <v>16141</v>
      </c>
    </row>
    <row r="3197" spans="1:4" x14ac:dyDescent="0.25">
      <c r="A3197" s="1" t="s">
        <v>6405</v>
      </c>
      <c r="B3197" s="1" t="s">
        <v>16142</v>
      </c>
      <c r="C3197" s="1" t="s">
        <v>16143</v>
      </c>
      <c r="D3197" s="1" t="s">
        <v>16144</v>
      </c>
    </row>
    <row r="3198" spans="1:4" x14ac:dyDescent="0.25">
      <c r="A3198" s="1" t="s">
        <v>6407</v>
      </c>
      <c r="B3198" s="1" t="s">
        <v>16145</v>
      </c>
      <c r="C3198" s="1" t="s">
        <v>16146</v>
      </c>
      <c r="D3198" s="1" t="s">
        <v>16147</v>
      </c>
    </row>
    <row r="3199" spans="1:4" x14ac:dyDescent="0.25">
      <c r="A3199" s="1" t="s">
        <v>6409</v>
      </c>
      <c r="B3199" s="1" t="s">
        <v>16148</v>
      </c>
      <c r="C3199" s="1" t="s">
        <v>16149</v>
      </c>
      <c r="D3199" s="1" t="s">
        <v>16150</v>
      </c>
    </row>
    <row r="3200" spans="1:4" x14ac:dyDescent="0.25">
      <c r="A3200" s="1" t="s">
        <v>6411</v>
      </c>
      <c r="B3200" s="1" t="s">
        <v>16151</v>
      </c>
      <c r="C3200" s="1" t="s">
        <v>16152</v>
      </c>
      <c r="D3200" s="1" t="s">
        <v>16153</v>
      </c>
    </row>
    <row r="3201" spans="1:4" x14ac:dyDescent="0.25">
      <c r="A3201" s="1" t="s">
        <v>6413</v>
      </c>
      <c r="B3201" s="1" t="s">
        <v>16154</v>
      </c>
      <c r="C3201" s="1" t="s">
        <v>16155</v>
      </c>
      <c r="D3201" s="1" t="s">
        <v>16156</v>
      </c>
    </row>
    <row r="3202" spans="1:4" x14ac:dyDescent="0.25">
      <c r="A3202" s="1" t="s">
        <v>6415</v>
      </c>
      <c r="B3202" s="1" t="s">
        <v>16157</v>
      </c>
      <c r="C3202" s="1" t="s">
        <v>16158</v>
      </c>
      <c r="D3202" s="1" t="s">
        <v>16159</v>
      </c>
    </row>
    <row r="3203" spans="1:4" x14ac:dyDescent="0.25">
      <c r="A3203" s="1" t="s">
        <v>6417</v>
      </c>
      <c r="B3203" s="1" t="s">
        <v>16160</v>
      </c>
      <c r="C3203" s="1" t="s">
        <v>16161</v>
      </c>
      <c r="D3203" s="1" t="s">
        <v>16162</v>
      </c>
    </row>
    <row r="3204" spans="1:4" x14ac:dyDescent="0.25">
      <c r="A3204" s="1" t="s">
        <v>6419</v>
      </c>
      <c r="B3204" s="1" t="s">
        <v>16163</v>
      </c>
      <c r="C3204" s="1" t="s">
        <v>16164</v>
      </c>
      <c r="D3204" s="1" t="s">
        <v>16165</v>
      </c>
    </row>
    <row r="3205" spans="1:4" x14ac:dyDescent="0.25">
      <c r="A3205" s="1" t="s">
        <v>6421</v>
      </c>
      <c r="B3205" s="1" t="s">
        <v>16166</v>
      </c>
      <c r="C3205" s="1" t="s">
        <v>16167</v>
      </c>
      <c r="D3205" s="1" t="s">
        <v>16168</v>
      </c>
    </row>
    <row r="3206" spans="1:4" x14ac:dyDescent="0.25">
      <c r="A3206" s="1" t="s">
        <v>6423</v>
      </c>
      <c r="B3206" s="1" t="s">
        <v>16169</v>
      </c>
      <c r="C3206" s="1" t="s">
        <v>16170</v>
      </c>
      <c r="D3206" s="1" t="s">
        <v>16171</v>
      </c>
    </row>
    <row r="3207" spans="1:4" x14ac:dyDescent="0.25">
      <c r="A3207" s="1" t="s">
        <v>6425</v>
      </c>
      <c r="B3207" s="1" t="s">
        <v>16172</v>
      </c>
      <c r="C3207" s="1" t="s">
        <v>16173</v>
      </c>
      <c r="D3207" s="1" t="s">
        <v>16174</v>
      </c>
    </row>
    <row r="3208" spans="1:4" x14ac:dyDescent="0.25">
      <c r="A3208" s="1" t="s">
        <v>6427</v>
      </c>
      <c r="B3208" s="1" t="s">
        <v>16175</v>
      </c>
      <c r="C3208" s="1" t="s">
        <v>16176</v>
      </c>
      <c r="D3208" s="1" t="s">
        <v>16177</v>
      </c>
    </row>
    <row r="3209" spans="1:4" x14ac:dyDescent="0.25">
      <c r="A3209" s="1" t="s">
        <v>6429</v>
      </c>
      <c r="B3209" s="1" t="s">
        <v>16178</v>
      </c>
      <c r="C3209" s="1" t="s">
        <v>16179</v>
      </c>
      <c r="D3209" s="1" t="s">
        <v>16180</v>
      </c>
    </row>
    <row r="3210" spans="1:4" x14ac:dyDescent="0.25">
      <c r="A3210" s="1" t="s">
        <v>6431</v>
      </c>
      <c r="B3210" s="1" t="s">
        <v>16181</v>
      </c>
      <c r="C3210" s="1" t="s">
        <v>16182</v>
      </c>
      <c r="D3210" s="1" t="s">
        <v>16183</v>
      </c>
    </row>
    <row r="3211" spans="1:4" x14ac:dyDescent="0.25">
      <c r="A3211" s="1" t="s">
        <v>6433</v>
      </c>
      <c r="B3211" s="1" t="s">
        <v>16184</v>
      </c>
      <c r="C3211" s="1" t="s">
        <v>16185</v>
      </c>
      <c r="D3211" s="1" t="s">
        <v>16186</v>
      </c>
    </row>
    <row r="3212" spans="1:4" x14ac:dyDescent="0.25">
      <c r="A3212" s="1" t="s">
        <v>6435</v>
      </c>
      <c r="B3212" s="1" t="s">
        <v>16187</v>
      </c>
      <c r="C3212" s="1" t="s">
        <v>16188</v>
      </c>
      <c r="D3212" s="1" t="s">
        <v>16189</v>
      </c>
    </row>
    <row r="3213" spans="1:4" x14ac:dyDescent="0.25">
      <c r="A3213" s="1" t="s">
        <v>6437</v>
      </c>
      <c r="B3213" s="1" t="s">
        <v>16190</v>
      </c>
      <c r="C3213" s="1" t="s">
        <v>16191</v>
      </c>
      <c r="D3213" s="1" t="s">
        <v>16192</v>
      </c>
    </row>
    <row r="3214" spans="1:4" x14ac:dyDescent="0.25">
      <c r="A3214" s="1" t="s">
        <v>6439</v>
      </c>
      <c r="B3214" s="1" t="s">
        <v>16193</v>
      </c>
      <c r="C3214" s="1" t="s">
        <v>16194</v>
      </c>
      <c r="D3214" s="1" t="s">
        <v>16195</v>
      </c>
    </row>
    <row r="3215" spans="1:4" x14ac:dyDescent="0.25">
      <c r="A3215" s="1" t="s">
        <v>6441</v>
      </c>
      <c r="B3215" s="1" t="s">
        <v>16196</v>
      </c>
      <c r="C3215" s="1" t="s">
        <v>16197</v>
      </c>
      <c r="D3215" s="1" t="s">
        <v>16198</v>
      </c>
    </row>
    <row r="3216" spans="1:4" x14ac:dyDescent="0.25">
      <c r="A3216" s="1" t="s">
        <v>6443</v>
      </c>
      <c r="B3216" s="1" t="s">
        <v>16199</v>
      </c>
      <c r="C3216" s="1" t="s">
        <v>16200</v>
      </c>
      <c r="D3216" s="1" t="s">
        <v>16201</v>
      </c>
    </row>
    <row r="3217" spans="1:4" x14ac:dyDescent="0.25">
      <c r="A3217" s="1" t="s">
        <v>6445</v>
      </c>
      <c r="B3217" s="1" t="s">
        <v>16202</v>
      </c>
      <c r="C3217" s="1" t="s">
        <v>16203</v>
      </c>
      <c r="D3217" s="1" t="s">
        <v>16204</v>
      </c>
    </row>
    <row r="3218" spans="1:4" x14ac:dyDescent="0.25">
      <c r="A3218" s="1" t="s">
        <v>6447</v>
      </c>
      <c r="B3218" s="1" t="s">
        <v>16205</v>
      </c>
      <c r="C3218" s="1" t="s">
        <v>16206</v>
      </c>
      <c r="D3218" s="1" t="s">
        <v>16207</v>
      </c>
    </row>
    <row r="3219" spans="1:4" x14ac:dyDescent="0.25">
      <c r="A3219" s="1" t="s">
        <v>6449</v>
      </c>
      <c r="B3219" s="1" t="s">
        <v>16208</v>
      </c>
      <c r="C3219" s="1" t="s">
        <v>16209</v>
      </c>
      <c r="D3219" s="1" t="s">
        <v>16210</v>
      </c>
    </row>
    <row r="3220" spans="1:4" x14ac:dyDescent="0.25">
      <c r="A3220" s="1" t="s">
        <v>6451</v>
      </c>
      <c r="B3220" s="1" t="s">
        <v>16211</v>
      </c>
      <c r="C3220" s="1" t="s">
        <v>16212</v>
      </c>
      <c r="D3220" s="1" t="s">
        <v>16213</v>
      </c>
    </row>
    <row r="3221" spans="1:4" x14ac:dyDescent="0.25">
      <c r="A3221" s="1" t="s">
        <v>6453</v>
      </c>
      <c r="B3221" s="1" t="s">
        <v>16214</v>
      </c>
      <c r="C3221" s="1" t="s">
        <v>16215</v>
      </c>
      <c r="D3221" s="1" t="s">
        <v>16216</v>
      </c>
    </row>
    <row r="3222" spans="1:4" x14ac:dyDescent="0.25">
      <c r="A3222" s="1" t="s">
        <v>6455</v>
      </c>
      <c r="B3222" s="1" t="s">
        <v>16217</v>
      </c>
      <c r="C3222" s="1" t="s">
        <v>16218</v>
      </c>
      <c r="D3222" s="1" t="s">
        <v>16219</v>
      </c>
    </row>
    <row r="3223" spans="1:4" x14ac:dyDescent="0.25">
      <c r="A3223" s="1" t="s">
        <v>6457</v>
      </c>
      <c r="B3223" s="1" t="s">
        <v>16220</v>
      </c>
      <c r="C3223" s="1" t="s">
        <v>16221</v>
      </c>
      <c r="D3223" s="1" t="s">
        <v>16222</v>
      </c>
    </row>
    <row r="3224" spans="1:4" x14ac:dyDescent="0.25">
      <c r="A3224" s="1" t="s">
        <v>6459</v>
      </c>
      <c r="B3224" s="1" t="s">
        <v>16223</v>
      </c>
      <c r="C3224" s="1" t="s">
        <v>16224</v>
      </c>
      <c r="D3224" s="1" t="s">
        <v>16225</v>
      </c>
    </row>
    <row r="3225" spans="1:4" x14ac:dyDescent="0.25">
      <c r="A3225" s="1" t="s">
        <v>6461</v>
      </c>
      <c r="B3225" s="1" t="s">
        <v>16226</v>
      </c>
      <c r="C3225" s="1" t="s">
        <v>16227</v>
      </c>
      <c r="D3225" s="1" t="s">
        <v>16228</v>
      </c>
    </row>
    <row r="3226" spans="1:4" x14ac:dyDescent="0.25">
      <c r="A3226" s="1" t="s">
        <v>6463</v>
      </c>
      <c r="B3226" s="1" t="s">
        <v>16229</v>
      </c>
      <c r="C3226" s="1" t="s">
        <v>16230</v>
      </c>
      <c r="D3226" s="1" t="s">
        <v>16231</v>
      </c>
    </row>
    <row r="3227" spans="1:4" x14ac:dyDescent="0.25">
      <c r="A3227" s="1" t="s">
        <v>6465</v>
      </c>
      <c r="B3227" s="1" t="s">
        <v>16232</v>
      </c>
      <c r="C3227" s="1" t="s">
        <v>16233</v>
      </c>
      <c r="D3227" s="1" t="s">
        <v>16234</v>
      </c>
    </row>
    <row r="3228" spans="1:4" x14ac:dyDescent="0.25">
      <c r="A3228" s="1" t="s">
        <v>6467</v>
      </c>
      <c r="B3228" s="1" t="s">
        <v>16235</v>
      </c>
      <c r="C3228" s="1" t="s">
        <v>16236</v>
      </c>
      <c r="D3228" s="1" t="s">
        <v>16237</v>
      </c>
    </row>
    <row r="3229" spans="1:4" x14ac:dyDescent="0.25">
      <c r="A3229" s="1" t="s">
        <v>6469</v>
      </c>
      <c r="B3229" s="1" t="s">
        <v>16238</v>
      </c>
      <c r="C3229" s="1" t="s">
        <v>16239</v>
      </c>
      <c r="D3229" s="1" t="s">
        <v>16240</v>
      </c>
    </row>
    <row r="3230" spans="1:4" x14ac:dyDescent="0.25">
      <c r="A3230" s="1" t="s">
        <v>6471</v>
      </c>
      <c r="B3230" s="1" t="s">
        <v>16241</v>
      </c>
      <c r="C3230" s="1" t="s">
        <v>16242</v>
      </c>
      <c r="D3230" s="1" t="s">
        <v>16243</v>
      </c>
    </row>
    <row r="3231" spans="1:4" x14ac:dyDescent="0.25">
      <c r="A3231" s="1" t="s">
        <v>6473</v>
      </c>
      <c r="B3231" s="1" t="s">
        <v>16244</v>
      </c>
      <c r="C3231" s="1" t="s">
        <v>16245</v>
      </c>
      <c r="D3231" s="1" t="s">
        <v>16246</v>
      </c>
    </row>
    <row r="3232" spans="1:4" x14ac:dyDescent="0.25">
      <c r="A3232" s="1" t="s">
        <v>6475</v>
      </c>
      <c r="B3232" s="1" t="s">
        <v>16247</v>
      </c>
      <c r="C3232" s="1" t="s">
        <v>16248</v>
      </c>
      <c r="D3232" s="1" t="s">
        <v>16249</v>
      </c>
    </row>
    <row r="3233" spans="1:4" x14ac:dyDescent="0.25">
      <c r="A3233" s="1" t="s">
        <v>6477</v>
      </c>
      <c r="B3233" s="1" t="s">
        <v>16250</v>
      </c>
      <c r="C3233" s="1" t="s">
        <v>16251</v>
      </c>
      <c r="D3233" s="1" t="s">
        <v>16252</v>
      </c>
    </row>
    <row r="3234" spans="1:4" x14ac:dyDescent="0.25">
      <c r="A3234" s="1" t="s">
        <v>6479</v>
      </c>
      <c r="B3234" s="1" t="s">
        <v>16253</v>
      </c>
      <c r="C3234" s="1" t="s">
        <v>16254</v>
      </c>
      <c r="D3234" s="1" t="s">
        <v>16255</v>
      </c>
    </row>
    <row r="3235" spans="1:4" x14ac:dyDescent="0.25">
      <c r="A3235" s="1" t="s">
        <v>6481</v>
      </c>
      <c r="B3235" s="1" t="s">
        <v>16256</v>
      </c>
      <c r="C3235" s="1" t="s">
        <v>16257</v>
      </c>
      <c r="D3235" s="1" t="s">
        <v>16258</v>
      </c>
    </row>
    <row r="3236" spans="1:4" x14ac:dyDescent="0.25">
      <c r="A3236" s="1" t="s">
        <v>6483</v>
      </c>
      <c r="B3236" s="1" t="s">
        <v>16259</v>
      </c>
      <c r="C3236" s="1" t="s">
        <v>16260</v>
      </c>
      <c r="D3236" s="1" t="s">
        <v>16261</v>
      </c>
    </row>
    <row r="3237" spans="1:4" x14ac:dyDescent="0.25">
      <c r="A3237" s="1" t="s">
        <v>6485</v>
      </c>
      <c r="B3237" s="1" t="s">
        <v>16262</v>
      </c>
      <c r="C3237" s="1" t="s">
        <v>16263</v>
      </c>
      <c r="D3237" s="1" t="s">
        <v>16264</v>
      </c>
    </row>
    <row r="3238" spans="1:4" x14ac:dyDescent="0.25">
      <c r="A3238" s="1" t="s">
        <v>6487</v>
      </c>
      <c r="B3238" s="1" t="s">
        <v>16265</v>
      </c>
      <c r="C3238" s="1" t="s">
        <v>16266</v>
      </c>
      <c r="D3238" s="1" t="s">
        <v>16267</v>
      </c>
    </row>
    <row r="3239" spans="1:4" x14ac:dyDescent="0.25">
      <c r="A3239" s="1" t="s">
        <v>6489</v>
      </c>
      <c r="B3239" s="1" t="s">
        <v>16268</v>
      </c>
      <c r="C3239" s="1" t="s">
        <v>16269</v>
      </c>
      <c r="D3239" s="1" t="s">
        <v>16270</v>
      </c>
    </row>
    <row r="3240" spans="1:4" x14ac:dyDescent="0.25">
      <c r="A3240" s="1" t="s">
        <v>6491</v>
      </c>
      <c r="B3240" s="1" t="s">
        <v>16271</v>
      </c>
      <c r="C3240" s="1" t="s">
        <v>16272</v>
      </c>
      <c r="D3240" s="1" t="s">
        <v>16273</v>
      </c>
    </row>
    <row r="3241" spans="1:4" x14ac:dyDescent="0.25">
      <c r="A3241" s="1" t="s">
        <v>6493</v>
      </c>
      <c r="B3241" s="1" t="s">
        <v>16274</v>
      </c>
      <c r="C3241" s="1" t="s">
        <v>16275</v>
      </c>
      <c r="D3241" s="1" t="s">
        <v>16276</v>
      </c>
    </row>
    <row r="3242" spans="1:4" x14ac:dyDescent="0.25">
      <c r="A3242" s="1" t="s">
        <v>6495</v>
      </c>
      <c r="B3242" s="1" t="s">
        <v>16277</v>
      </c>
      <c r="C3242" s="1" t="s">
        <v>16278</v>
      </c>
      <c r="D3242" s="1" t="s">
        <v>16279</v>
      </c>
    </row>
    <row r="3243" spans="1:4" x14ac:dyDescent="0.25">
      <c r="A3243" s="1" t="s">
        <v>6497</v>
      </c>
      <c r="B3243" s="1" t="s">
        <v>16280</v>
      </c>
      <c r="C3243" s="1" t="s">
        <v>16281</v>
      </c>
      <c r="D3243" s="1" t="s">
        <v>16282</v>
      </c>
    </row>
    <row r="3244" spans="1:4" x14ac:dyDescent="0.25">
      <c r="A3244" s="1" t="s">
        <v>6499</v>
      </c>
      <c r="B3244" s="1" t="s">
        <v>16283</v>
      </c>
      <c r="C3244" s="1" t="s">
        <v>16284</v>
      </c>
      <c r="D3244" s="1" t="s">
        <v>16285</v>
      </c>
    </row>
    <row r="3245" spans="1:4" x14ac:dyDescent="0.25">
      <c r="A3245" s="1" t="s">
        <v>6501</v>
      </c>
      <c r="B3245" s="1" t="s">
        <v>16286</v>
      </c>
      <c r="C3245" s="1" t="s">
        <v>16287</v>
      </c>
      <c r="D3245" s="1" t="s">
        <v>16288</v>
      </c>
    </row>
    <row r="3246" spans="1:4" x14ac:dyDescent="0.25">
      <c r="A3246" s="1" t="s">
        <v>6503</v>
      </c>
      <c r="B3246" s="1" t="s">
        <v>16289</v>
      </c>
      <c r="C3246" s="1" t="s">
        <v>16290</v>
      </c>
      <c r="D3246" s="1" t="s">
        <v>16291</v>
      </c>
    </row>
    <row r="3247" spans="1:4" x14ac:dyDescent="0.25">
      <c r="A3247" s="1" t="s">
        <v>6505</v>
      </c>
      <c r="B3247" s="1" t="s">
        <v>16292</v>
      </c>
      <c r="C3247" s="1" t="s">
        <v>16293</v>
      </c>
      <c r="D3247" s="1" t="s">
        <v>16294</v>
      </c>
    </row>
    <row r="3248" spans="1:4" x14ac:dyDescent="0.25">
      <c r="A3248" s="1" t="s">
        <v>6507</v>
      </c>
      <c r="B3248" s="1" t="s">
        <v>16295</v>
      </c>
      <c r="C3248" s="1" t="s">
        <v>16296</v>
      </c>
      <c r="D3248" s="1" t="s">
        <v>16297</v>
      </c>
    </row>
    <row r="3249" spans="1:4" x14ac:dyDescent="0.25">
      <c r="A3249" s="1" t="s">
        <v>6509</v>
      </c>
      <c r="B3249" s="1" t="s">
        <v>16298</v>
      </c>
      <c r="C3249" s="1" t="s">
        <v>16299</v>
      </c>
      <c r="D3249" s="1" t="s">
        <v>16300</v>
      </c>
    </row>
    <row r="3250" spans="1:4" x14ac:dyDescent="0.25">
      <c r="A3250" s="1" t="s">
        <v>6511</v>
      </c>
      <c r="B3250" s="1" t="s">
        <v>16301</v>
      </c>
      <c r="C3250" s="1" t="s">
        <v>16302</v>
      </c>
      <c r="D3250" s="1" t="s">
        <v>16303</v>
      </c>
    </row>
    <row r="3251" spans="1:4" x14ac:dyDescent="0.25">
      <c r="A3251" s="1" t="s">
        <v>6513</v>
      </c>
      <c r="B3251" s="1" t="s">
        <v>16304</v>
      </c>
      <c r="C3251" s="1" t="s">
        <v>16305</v>
      </c>
      <c r="D3251" s="1" t="s">
        <v>16306</v>
      </c>
    </row>
    <row r="3252" spans="1:4" x14ac:dyDescent="0.25">
      <c r="A3252" s="1" t="s">
        <v>6515</v>
      </c>
      <c r="B3252" s="1" t="s">
        <v>16307</v>
      </c>
      <c r="C3252" s="1" t="s">
        <v>16308</v>
      </c>
      <c r="D3252" s="1" t="s">
        <v>16309</v>
      </c>
    </row>
    <row r="3253" spans="1:4" x14ac:dyDescent="0.25">
      <c r="A3253" s="1" t="s">
        <v>6517</v>
      </c>
      <c r="B3253" s="1" t="s">
        <v>16310</v>
      </c>
      <c r="C3253" s="1" t="s">
        <v>16311</v>
      </c>
      <c r="D3253" s="1" t="s">
        <v>16312</v>
      </c>
    </row>
    <row r="3254" spans="1:4" x14ac:dyDescent="0.25">
      <c r="A3254" s="1" t="s">
        <v>6519</v>
      </c>
      <c r="B3254" s="1" t="s">
        <v>16313</v>
      </c>
      <c r="C3254" s="1" t="s">
        <v>16314</v>
      </c>
      <c r="D3254" s="1" t="s">
        <v>16315</v>
      </c>
    </row>
    <row r="3255" spans="1:4" x14ac:dyDescent="0.25">
      <c r="A3255" s="1" t="s">
        <v>6521</v>
      </c>
      <c r="B3255" s="1" t="s">
        <v>16316</v>
      </c>
      <c r="C3255" s="1" t="s">
        <v>16317</v>
      </c>
      <c r="D3255" s="1" t="s">
        <v>16318</v>
      </c>
    </row>
    <row r="3256" spans="1:4" x14ac:dyDescent="0.25">
      <c r="A3256" s="1" t="s">
        <v>6523</v>
      </c>
      <c r="B3256" s="1" t="s">
        <v>16319</v>
      </c>
      <c r="C3256" s="1" t="s">
        <v>16320</v>
      </c>
      <c r="D3256" s="1" t="s">
        <v>16321</v>
      </c>
    </row>
    <row r="3257" spans="1:4" x14ac:dyDescent="0.25">
      <c r="A3257" s="1" t="s">
        <v>6525</v>
      </c>
      <c r="B3257" s="1" t="s">
        <v>16322</v>
      </c>
      <c r="C3257" s="1" t="s">
        <v>16323</v>
      </c>
      <c r="D3257" s="1" t="s">
        <v>16324</v>
      </c>
    </row>
    <row r="3258" spans="1:4" x14ac:dyDescent="0.25">
      <c r="A3258" s="1" t="s">
        <v>6527</v>
      </c>
      <c r="B3258" s="1" t="s">
        <v>16325</v>
      </c>
      <c r="C3258" s="1" t="s">
        <v>16326</v>
      </c>
      <c r="D3258" s="1" t="s">
        <v>16327</v>
      </c>
    </row>
    <row r="3259" spans="1:4" x14ac:dyDescent="0.25">
      <c r="A3259" s="1" t="s">
        <v>6529</v>
      </c>
      <c r="B3259" s="1" t="s">
        <v>16328</v>
      </c>
      <c r="C3259" s="1" t="s">
        <v>16329</v>
      </c>
      <c r="D3259" s="1" t="s">
        <v>16330</v>
      </c>
    </row>
    <row r="3260" spans="1:4" x14ac:dyDescent="0.25">
      <c r="A3260" s="1" t="s">
        <v>6531</v>
      </c>
      <c r="B3260" s="1" t="s">
        <v>16331</v>
      </c>
      <c r="C3260" s="1" t="s">
        <v>16332</v>
      </c>
      <c r="D3260" s="1" t="s">
        <v>16333</v>
      </c>
    </row>
    <row r="3261" spans="1:4" x14ac:dyDescent="0.25">
      <c r="A3261" s="1" t="s">
        <v>6533</v>
      </c>
      <c r="B3261" s="1" t="s">
        <v>16334</v>
      </c>
      <c r="C3261" s="1" t="s">
        <v>16335</v>
      </c>
      <c r="D3261" s="1" t="s">
        <v>16336</v>
      </c>
    </row>
    <row r="3262" spans="1:4" x14ac:dyDescent="0.25">
      <c r="A3262" s="1" t="s">
        <v>6535</v>
      </c>
      <c r="B3262" s="1" t="s">
        <v>16337</v>
      </c>
      <c r="C3262" s="1" t="s">
        <v>16338</v>
      </c>
      <c r="D3262" s="1" t="s">
        <v>16339</v>
      </c>
    </row>
    <row r="3263" spans="1:4" x14ac:dyDescent="0.25">
      <c r="A3263" s="1" t="s">
        <v>6537</v>
      </c>
      <c r="B3263" s="1" t="s">
        <v>16340</v>
      </c>
      <c r="C3263" s="1" t="s">
        <v>16341</v>
      </c>
      <c r="D3263" s="1" t="s">
        <v>16342</v>
      </c>
    </row>
    <row r="3264" spans="1:4" x14ac:dyDescent="0.25">
      <c r="A3264" s="1" t="s">
        <v>6539</v>
      </c>
      <c r="B3264" s="1" t="s">
        <v>16343</v>
      </c>
      <c r="C3264" s="1" t="s">
        <v>16344</v>
      </c>
      <c r="D3264" s="1" t="s">
        <v>16345</v>
      </c>
    </row>
    <row r="3265" spans="1:4" x14ac:dyDescent="0.25">
      <c r="A3265" s="1" t="s">
        <v>6541</v>
      </c>
      <c r="B3265" s="1" t="s">
        <v>16346</v>
      </c>
      <c r="C3265" s="1" t="s">
        <v>16347</v>
      </c>
      <c r="D3265" s="1" t="s">
        <v>16348</v>
      </c>
    </row>
    <row r="3266" spans="1:4" x14ac:dyDescent="0.25">
      <c r="A3266" s="1" t="s">
        <v>6543</v>
      </c>
      <c r="B3266" s="1" t="s">
        <v>16349</v>
      </c>
      <c r="C3266" s="1" t="s">
        <v>16350</v>
      </c>
      <c r="D3266" s="1" t="s">
        <v>16351</v>
      </c>
    </row>
    <row r="3267" spans="1:4" x14ac:dyDescent="0.25">
      <c r="A3267" s="1" t="s">
        <v>6545</v>
      </c>
      <c r="B3267" s="1" t="s">
        <v>16352</v>
      </c>
      <c r="C3267" s="1" t="s">
        <v>16353</v>
      </c>
      <c r="D3267" s="1" t="s">
        <v>16354</v>
      </c>
    </row>
    <row r="3268" spans="1:4" x14ac:dyDescent="0.25">
      <c r="A3268" s="1" t="s">
        <v>6547</v>
      </c>
      <c r="B3268" s="1" t="s">
        <v>16355</v>
      </c>
      <c r="C3268" s="1" t="s">
        <v>16356</v>
      </c>
      <c r="D3268" s="1" t="s">
        <v>16357</v>
      </c>
    </row>
    <row r="3269" spans="1:4" x14ac:dyDescent="0.25">
      <c r="A3269" s="1" t="s">
        <v>6549</v>
      </c>
      <c r="B3269" s="1" t="s">
        <v>16358</v>
      </c>
      <c r="C3269" s="1" t="s">
        <v>16359</v>
      </c>
      <c r="D3269" s="1" t="s">
        <v>16360</v>
      </c>
    </row>
    <row r="3270" spans="1:4" x14ac:dyDescent="0.25">
      <c r="A3270" s="1" t="s">
        <v>6551</v>
      </c>
      <c r="B3270" s="1" t="s">
        <v>16361</v>
      </c>
      <c r="C3270" s="1" t="s">
        <v>16362</v>
      </c>
      <c r="D3270" s="1" t="s">
        <v>16363</v>
      </c>
    </row>
    <row r="3271" spans="1:4" x14ac:dyDescent="0.25">
      <c r="A3271" s="1" t="s">
        <v>6553</v>
      </c>
      <c r="B3271" s="1" t="s">
        <v>16364</v>
      </c>
      <c r="C3271" s="1" t="s">
        <v>16365</v>
      </c>
      <c r="D3271" s="1" t="s">
        <v>16366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71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3" width="20" customWidth="1"/>
  </cols>
  <sheetData>
    <row r="1" spans="1:3" x14ac:dyDescent="0.25">
      <c r="A1" s="2" t="s">
        <v>6554</v>
      </c>
      <c r="B1" s="2" t="s">
        <v>16368</v>
      </c>
      <c r="C1" s="2" t="s">
        <v>16369</v>
      </c>
    </row>
    <row r="2" spans="1:3" x14ac:dyDescent="0.25">
      <c r="A2" s="1" t="s">
        <v>6557</v>
      </c>
      <c r="B2" s="1" t="s">
        <v>16370</v>
      </c>
      <c r="C2" s="3">
        <f>IF(B2="","",SUMIFS('Factory Costs'!$C:$C,'Factory Costs'!$A:$A,"Blades",'Factory Costs'!$B:$B,B2))</f>
        <v>34</v>
      </c>
    </row>
    <row r="3" spans="1:3" x14ac:dyDescent="0.25">
      <c r="A3" s="1" t="s">
        <v>6560</v>
      </c>
      <c r="B3" s="1" t="s">
        <v>16370</v>
      </c>
      <c r="C3" s="3">
        <f>IF(B3="","",SUMIFS('Factory Costs'!$C:$C,'Factory Costs'!$A:$A,"Blades",'Factory Costs'!$B:$B,B3))</f>
        <v>34</v>
      </c>
    </row>
    <row r="4" spans="1:3" x14ac:dyDescent="0.25">
      <c r="A4" s="1" t="s">
        <v>6563</v>
      </c>
      <c r="B4" s="1" t="s">
        <v>16371</v>
      </c>
      <c r="C4" s="3">
        <f>IF(B4="","",SUMIFS('Factory Costs'!$C:$C,'Factory Costs'!$A:$A,"Blades",'Factory Costs'!$B:$B,B4))</f>
        <v>37</v>
      </c>
    </row>
    <row r="5" spans="1:3" x14ac:dyDescent="0.25">
      <c r="A5" s="1" t="s">
        <v>6566</v>
      </c>
      <c r="B5" s="1" t="s">
        <v>16370</v>
      </c>
      <c r="C5" s="3">
        <f>IF(B5="","",SUMIFS('Factory Costs'!$C:$C,'Factory Costs'!$A:$A,"Blades",'Factory Costs'!$B:$B,B5))</f>
        <v>34</v>
      </c>
    </row>
    <row r="6" spans="1:3" x14ac:dyDescent="0.25">
      <c r="A6" s="1" t="s">
        <v>6569</v>
      </c>
      <c r="B6" s="1" t="s">
        <v>16370</v>
      </c>
      <c r="C6" s="3">
        <f>IF(B6="","",SUMIFS('Factory Costs'!$C:$C,'Factory Costs'!$A:$A,"Blades",'Factory Costs'!$B:$B,B6))</f>
        <v>34</v>
      </c>
    </row>
    <row r="7" spans="1:3" x14ac:dyDescent="0.25">
      <c r="A7" s="1" t="s">
        <v>6572</v>
      </c>
      <c r="B7" s="1" t="s">
        <v>16370</v>
      </c>
      <c r="C7" s="3">
        <f>IF(B7="","",SUMIFS('Factory Costs'!$C:$C,'Factory Costs'!$A:$A,"Blades",'Factory Costs'!$B:$B,B7))</f>
        <v>34</v>
      </c>
    </row>
    <row r="8" spans="1:3" x14ac:dyDescent="0.25">
      <c r="A8" s="1" t="s">
        <v>6575</v>
      </c>
      <c r="B8" s="1" t="s">
        <v>16370</v>
      </c>
      <c r="C8" s="3">
        <f>IF(B8="","",SUMIFS('Factory Costs'!$C:$C,'Factory Costs'!$A:$A,"Blades",'Factory Costs'!$B:$B,B8))</f>
        <v>34</v>
      </c>
    </row>
    <row r="9" spans="1:3" x14ac:dyDescent="0.25">
      <c r="A9" s="1" t="s">
        <v>6578</v>
      </c>
      <c r="B9" s="1" t="s">
        <v>16372</v>
      </c>
      <c r="C9" s="3">
        <f>IF(B9="","",SUMIFS('Factory Costs'!$C:$C,'Factory Costs'!$A:$A,"Blades",'Factory Costs'!$B:$B,B9))</f>
        <v>42</v>
      </c>
    </row>
    <row r="10" spans="1:3" x14ac:dyDescent="0.25">
      <c r="A10" s="1" t="s">
        <v>6581</v>
      </c>
      <c r="B10" s="1" t="s">
        <v>16371</v>
      </c>
      <c r="C10" s="3">
        <f>IF(B10="","",SUMIFS('Factory Costs'!$C:$C,'Factory Costs'!$A:$A,"Blades",'Factory Costs'!$B:$B,B10))</f>
        <v>37</v>
      </c>
    </row>
    <row r="11" spans="1:3" x14ac:dyDescent="0.25">
      <c r="A11" s="1" t="s">
        <v>6584</v>
      </c>
      <c r="B11" s="1" t="s">
        <v>16372</v>
      </c>
      <c r="C11" s="3">
        <f>IF(B11="","",SUMIFS('Factory Costs'!$C:$C,'Factory Costs'!$A:$A,"Blades",'Factory Costs'!$B:$B,B11))</f>
        <v>42</v>
      </c>
    </row>
    <row r="12" spans="1:3" x14ac:dyDescent="0.25">
      <c r="A12" s="1" t="s">
        <v>6587</v>
      </c>
      <c r="B12" s="1" t="s">
        <v>16370</v>
      </c>
      <c r="C12" s="3">
        <f>IF(B12="","",SUMIFS('Factory Costs'!$C:$C,'Factory Costs'!$A:$A,"Blades",'Factory Costs'!$B:$B,B12))</f>
        <v>34</v>
      </c>
    </row>
    <row r="13" spans="1:3" x14ac:dyDescent="0.25">
      <c r="A13" s="1" t="s">
        <v>6590</v>
      </c>
      <c r="B13" s="1" t="s">
        <v>16370</v>
      </c>
      <c r="C13" s="3">
        <f>IF(B13="","",SUMIFS('Factory Costs'!$C:$C,'Factory Costs'!$A:$A,"Blades",'Factory Costs'!$B:$B,B13))</f>
        <v>34</v>
      </c>
    </row>
    <row r="14" spans="1:3" x14ac:dyDescent="0.25">
      <c r="A14" s="1" t="s">
        <v>6593</v>
      </c>
      <c r="B14" s="1" t="s">
        <v>16370</v>
      </c>
      <c r="C14" s="3">
        <f>IF(B14="","",SUMIFS('Factory Costs'!$C:$C,'Factory Costs'!$A:$A,"Blades",'Factory Costs'!$B:$B,B14))</f>
        <v>34</v>
      </c>
    </row>
    <row r="15" spans="1:3" x14ac:dyDescent="0.25">
      <c r="A15" s="1" t="s">
        <v>6596</v>
      </c>
      <c r="B15" s="1" t="s">
        <v>16371</v>
      </c>
      <c r="C15" s="3">
        <f>IF(B15="","",SUMIFS('Factory Costs'!$C:$C,'Factory Costs'!$A:$A,"Blades",'Factory Costs'!$B:$B,B15))</f>
        <v>37</v>
      </c>
    </row>
    <row r="16" spans="1:3" x14ac:dyDescent="0.25">
      <c r="A16" s="1" t="s">
        <v>6599</v>
      </c>
      <c r="B16" s="1" t="s">
        <v>16370</v>
      </c>
      <c r="C16" s="3">
        <f>IF(B16="","",SUMIFS('Factory Costs'!$C:$C,'Factory Costs'!$A:$A,"Blades",'Factory Costs'!$B:$B,B16))</f>
        <v>34</v>
      </c>
    </row>
    <row r="17" spans="1:3" x14ac:dyDescent="0.25">
      <c r="A17" s="1" t="s">
        <v>6602</v>
      </c>
      <c r="B17" s="1" t="s">
        <v>16372</v>
      </c>
      <c r="C17" s="3">
        <f>IF(B17="","",SUMIFS('Factory Costs'!$C:$C,'Factory Costs'!$A:$A,"Blades",'Factory Costs'!$B:$B,B17))</f>
        <v>42</v>
      </c>
    </row>
    <row r="18" spans="1:3" x14ac:dyDescent="0.25">
      <c r="A18" s="1" t="s">
        <v>6605</v>
      </c>
      <c r="B18" s="1" t="s">
        <v>16371</v>
      </c>
      <c r="C18" s="3">
        <f>IF(B18="","",SUMIFS('Factory Costs'!$C:$C,'Factory Costs'!$A:$A,"Blades",'Factory Costs'!$B:$B,B18))</f>
        <v>37</v>
      </c>
    </row>
    <row r="19" spans="1:3" x14ac:dyDescent="0.25">
      <c r="A19" s="1" t="s">
        <v>6608</v>
      </c>
      <c r="B19" s="1" t="s">
        <v>16372</v>
      </c>
      <c r="C19" s="3">
        <f>IF(B19="","",SUMIFS('Factory Costs'!$C:$C,'Factory Costs'!$A:$A,"Blades",'Factory Costs'!$B:$B,B19))</f>
        <v>42</v>
      </c>
    </row>
    <row r="20" spans="1:3" x14ac:dyDescent="0.25">
      <c r="A20" s="1" t="s">
        <v>6611</v>
      </c>
      <c r="B20" s="1" t="s">
        <v>16371</v>
      </c>
      <c r="C20" s="3">
        <f>IF(B20="","",SUMIFS('Factory Costs'!$C:$C,'Factory Costs'!$A:$A,"Blades",'Factory Costs'!$B:$B,B20))</f>
        <v>37</v>
      </c>
    </row>
    <row r="21" spans="1:3" x14ac:dyDescent="0.25">
      <c r="A21" s="1" t="s">
        <v>6614</v>
      </c>
      <c r="B21" s="1" t="s">
        <v>16370</v>
      </c>
      <c r="C21" s="3">
        <f>IF(B21="","",SUMIFS('Factory Costs'!$C:$C,'Factory Costs'!$A:$A,"Blades",'Factory Costs'!$B:$B,B21))</f>
        <v>34</v>
      </c>
    </row>
    <row r="22" spans="1:3" x14ac:dyDescent="0.25">
      <c r="A22" s="1" t="s">
        <v>6617</v>
      </c>
      <c r="B22" s="1" t="s">
        <v>16370</v>
      </c>
      <c r="C22" s="3">
        <f>IF(B22="","",SUMIFS('Factory Costs'!$C:$C,'Factory Costs'!$A:$A,"Blades",'Factory Costs'!$B:$B,B22))</f>
        <v>34</v>
      </c>
    </row>
    <row r="23" spans="1:3" x14ac:dyDescent="0.25">
      <c r="A23" s="1" t="s">
        <v>6620</v>
      </c>
      <c r="B23" s="1" t="s">
        <v>16372</v>
      </c>
      <c r="C23" s="3">
        <f>IF(B23="","",SUMIFS('Factory Costs'!$C:$C,'Factory Costs'!$A:$A,"Blades",'Factory Costs'!$B:$B,B23))</f>
        <v>42</v>
      </c>
    </row>
    <row r="24" spans="1:3" x14ac:dyDescent="0.25">
      <c r="A24" s="1" t="s">
        <v>6623</v>
      </c>
      <c r="B24" s="1" t="s">
        <v>16372</v>
      </c>
      <c r="C24" s="3">
        <f>IF(B24="","",SUMIFS('Factory Costs'!$C:$C,'Factory Costs'!$A:$A,"Blades",'Factory Costs'!$B:$B,B24))</f>
        <v>42</v>
      </c>
    </row>
    <row r="25" spans="1:3" x14ac:dyDescent="0.25">
      <c r="A25" s="1" t="s">
        <v>6626</v>
      </c>
      <c r="B25" s="1" t="s">
        <v>16371</v>
      </c>
      <c r="C25" s="3">
        <f>IF(B25="","",SUMIFS('Factory Costs'!$C:$C,'Factory Costs'!$A:$A,"Blades",'Factory Costs'!$B:$B,B25))</f>
        <v>37</v>
      </c>
    </row>
    <row r="26" spans="1:3" x14ac:dyDescent="0.25">
      <c r="A26" s="1" t="s">
        <v>6629</v>
      </c>
      <c r="B26" s="1" t="s">
        <v>16372</v>
      </c>
      <c r="C26" s="3">
        <f>IF(B26="","",SUMIFS('Factory Costs'!$C:$C,'Factory Costs'!$A:$A,"Blades",'Factory Costs'!$B:$B,B26))</f>
        <v>42</v>
      </c>
    </row>
    <row r="27" spans="1:3" x14ac:dyDescent="0.25">
      <c r="A27" s="1" t="s">
        <v>6632</v>
      </c>
      <c r="B27" s="1" t="s">
        <v>16372</v>
      </c>
      <c r="C27" s="3">
        <f>IF(B27="","",SUMIFS('Factory Costs'!$C:$C,'Factory Costs'!$A:$A,"Blades",'Factory Costs'!$B:$B,B27))</f>
        <v>42</v>
      </c>
    </row>
    <row r="28" spans="1:3" x14ac:dyDescent="0.25">
      <c r="A28" s="1" t="s">
        <v>6635</v>
      </c>
      <c r="B28" s="1" t="s">
        <v>16371</v>
      </c>
      <c r="C28" s="3">
        <f>IF(B28="","",SUMIFS('Factory Costs'!$C:$C,'Factory Costs'!$A:$A,"Blades",'Factory Costs'!$B:$B,B28))</f>
        <v>37</v>
      </c>
    </row>
    <row r="29" spans="1:3" x14ac:dyDescent="0.25">
      <c r="A29" s="1" t="s">
        <v>6638</v>
      </c>
      <c r="B29" s="1" t="s">
        <v>16371</v>
      </c>
      <c r="C29" s="3">
        <f>IF(B29="","",SUMIFS('Factory Costs'!$C:$C,'Factory Costs'!$A:$A,"Blades",'Factory Costs'!$B:$B,B29))</f>
        <v>37</v>
      </c>
    </row>
    <row r="30" spans="1:3" x14ac:dyDescent="0.25">
      <c r="A30" s="1" t="s">
        <v>6641</v>
      </c>
      <c r="B30" s="1" t="s">
        <v>16372</v>
      </c>
      <c r="C30" s="3">
        <f>IF(B30="","",SUMIFS('Factory Costs'!$C:$C,'Factory Costs'!$A:$A,"Blades",'Factory Costs'!$B:$B,B30))</f>
        <v>42</v>
      </c>
    </row>
    <row r="31" spans="1:3" x14ac:dyDescent="0.25">
      <c r="A31" s="1" t="s">
        <v>6644</v>
      </c>
      <c r="B31" s="1" t="s">
        <v>16372</v>
      </c>
      <c r="C31" s="3">
        <f>IF(B31="","",SUMIFS('Factory Costs'!$C:$C,'Factory Costs'!$A:$A,"Blades",'Factory Costs'!$B:$B,B31))</f>
        <v>42</v>
      </c>
    </row>
    <row r="32" spans="1:3" x14ac:dyDescent="0.25">
      <c r="A32" s="1" t="s">
        <v>6647</v>
      </c>
      <c r="B32" s="1" t="s">
        <v>16370</v>
      </c>
      <c r="C32" s="3">
        <f>IF(B32="","",SUMIFS('Factory Costs'!$C:$C,'Factory Costs'!$A:$A,"Blades",'Factory Costs'!$B:$B,B32))</f>
        <v>34</v>
      </c>
    </row>
    <row r="33" spans="1:3" x14ac:dyDescent="0.25">
      <c r="A33" s="1" t="s">
        <v>6650</v>
      </c>
      <c r="B33" s="1" t="s">
        <v>16370</v>
      </c>
      <c r="C33" s="3">
        <f>IF(B33="","",SUMIFS('Factory Costs'!$C:$C,'Factory Costs'!$A:$A,"Blades",'Factory Costs'!$B:$B,B33))</f>
        <v>34</v>
      </c>
    </row>
    <row r="34" spans="1:3" x14ac:dyDescent="0.25">
      <c r="A34" s="1" t="s">
        <v>6653</v>
      </c>
      <c r="B34" s="1" t="s">
        <v>16371</v>
      </c>
      <c r="C34" s="3">
        <f>IF(B34="","",SUMIFS('Factory Costs'!$C:$C,'Factory Costs'!$A:$A,"Blades",'Factory Costs'!$B:$B,B34))</f>
        <v>37</v>
      </c>
    </row>
    <row r="35" spans="1:3" x14ac:dyDescent="0.25">
      <c r="A35" s="1" t="s">
        <v>6656</v>
      </c>
      <c r="B35" s="1" t="s">
        <v>16370</v>
      </c>
      <c r="C35" s="3">
        <f>IF(B35="","",SUMIFS('Factory Costs'!$C:$C,'Factory Costs'!$A:$A,"Blades",'Factory Costs'!$B:$B,B35))</f>
        <v>34</v>
      </c>
    </row>
    <row r="36" spans="1:3" x14ac:dyDescent="0.25">
      <c r="A36" s="1" t="s">
        <v>6659</v>
      </c>
      <c r="B36" s="1" t="s">
        <v>16372</v>
      </c>
      <c r="C36" s="3">
        <f>IF(B36="","",SUMIFS('Factory Costs'!$C:$C,'Factory Costs'!$A:$A,"Blades",'Factory Costs'!$B:$B,B36))</f>
        <v>42</v>
      </c>
    </row>
    <row r="37" spans="1:3" x14ac:dyDescent="0.25">
      <c r="A37" s="1" t="s">
        <v>6662</v>
      </c>
      <c r="B37" s="1" t="s">
        <v>16370</v>
      </c>
      <c r="C37" s="3">
        <f>IF(B37="","",SUMIFS('Factory Costs'!$C:$C,'Factory Costs'!$A:$A,"Blades",'Factory Costs'!$B:$B,B37))</f>
        <v>34</v>
      </c>
    </row>
    <row r="38" spans="1:3" x14ac:dyDescent="0.25">
      <c r="A38" s="1" t="s">
        <v>6665</v>
      </c>
      <c r="B38" s="1" t="s">
        <v>16371</v>
      </c>
      <c r="C38" s="3">
        <f>IF(B38="","",SUMIFS('Factory Costs'!$C:$C,'Factory Costs'!$A:$A,"Blades",'Factory Costs'!$B:$B,B38))</f>
        <v>37</v>
      </c>
    </row>
    <row r="39" spans="1:3" x14ac:dyDescent="0.25">
      <c r="A39" s="1" t="s">
        <v>6668</v>
      </c>
      <c r="B39" s="1" t="s">
        <v>16370</v>
      </c>
      <c r="C39" s="3">
        <f>IF(B39="","",SUMIFS('Factory Costs'!$C:$C,'Factory Costs'!$A:$A,"Blades",'Factory Costs'!$B:$B,B39))</f>
        <v>34</v>
      </c>
    </row>
    <row r="40" spans="1:3" x14ac:dyDescent="0.25">
      <c r="A40" s="1" t="s">
        <v>6671</v>
      </c>
      <c r="B40" s="1" t="s">
        <v>16371</v>
      </c>
      <c r="C40" s="3">
        <f>IF(B40="","",SUMIFS('Factory Costs'!$C:$C,'Factory Costs'!$A:$A,"Blades",'Factory Costs'!$B:$B,B40))</f>
        <v>37</v>
      </c>
    </row>
    <row r="41" spans="1:3" x14ac:dyDescent="0.25">
      <c r="A41" s="1" t="s">
        <v>6674</v>
      </c>
      <c r="B41" s="1" t="s">
        <v>16371</v>
      </c>
      <c r="C41" s="3">
        <f>IF(B41="","",SUMIFS('Factory Costs'!$C:$C,'Factory Costs'!$A:$A,"Blades",'Factory Costs'!$B:$B,B41))</f>
        <v>37</v>
      </c>
    </row>
    <row r="42" spans="1:3" x14ac:dyDescent="0.25">
      <c r="A42" s="1" t="s">
        <v>6677</v>
      </c>
      <c r="B42" s="1" t="s">
        <v>16371</v>
      </c>
      <c r="C42" s="3">
        <f>IF(B42="","",SUMIFS('Factory Costs'!$C:$C,'Factory Costs'!$A:$A,"Blades",'Factory Costs'!$B:$B,B42))</f>
        <v>37</v>
      </c>
    </row>
    <row r="43" spans="1:3" x14ac:dyDescent="0.25">
      <c r="A43" s="1" t="s">
        <v>6680</v>
      </c>
      <c r="B43" s="1" t="s">
        <v>16370</v>
      </c>
      <c r="C43" s="3">
        <f>IF(B43="","",SUMIFS('Factory Costs'!$C:$C,'Factory Costs'!$A:$A,"Blades",'Factory Costs'!$B:$B,B43))</f>
        <v>34</v>
      </c>
    </row>
    <row r="44" spans="1:3" x14ac:dyDescent="0.25">
      <c r="A44" s="1" t="s">
        <v>6683</v>
      </c>
      <c r="B44" s="1" t="s">
        <v>16371</v>
      </c>
      <c r="C44" s="3">
        <f>IF(B44="","",SUMIFS('Factory Costs'!$C:$C,'Factory Costs'!$A:$A,"Blades",'Factory Costs'!$B:$B,B44))</f>
        <v>37</v>
      </c>
    </row>
    <row r="45" spans="1:3" x14ac:dyDescent="0.25">
      <c r="A45" s="1" t="s">
        <v>6686</v>
      </c>
      <c r="B45" s="1" t="s">
        <v>16370</v>
      </c>
      <c r="C45" s="3">
        <f>IF(B45="","",SUMIFS('Factory Costs'!$C:$C,'Factory Costs'!$A:$A,"Blades",'Factory Costs'!$B:$B,B45))</f>
        <v>34</v>
      </c>
    </row>
    <row r="46" spans="1:3" x14ac:dyDescent="0.25">
      <c r="A46" s="1" t="s">
        <v>6689</v>
      </c>
      <c r="B46" s="1" t="s">
        <v>16370</v>
      </c>
      <c r="C46" s="3">
        <f>IF(B46="","",SUMIFS('Factory Costs'!$C:$C,'Factory Costs'!$A:$A,"Blades",'Factory Costs'!$B:$B,B46))</f>
        <v>34</v>
      </c>
    </row>
    <row r="47" spans="1:3" x14ac:dyDescent="0.25">
      <c r="A47" s="1" t="s">
        <v>6692</v>
      </c>
      <c r="B47" s="1" t="s">
        <v>16371</v>
      </c>
      <c r="C47" s="3">
        <f>IF(B47="","",SUMIFS('Factory Costs'!$C:$C,'Factory Costs'!$A:$A,"Blades",'Factory Costs'!$B:$B,B47))</f>
        <v>37</v>
      </c>
    </row>
    <row r="48" spans="1:3" x14ac:dyDescent="0.25">
      <c r="A48" s="1" t="s">
        <v>6695</v>
      </c>
      <c r="B48" s="1" t="s">
        <v>16372</v>
      </c>
      <c r="C48" s="3">
        <f>IF(B48="","",SUMIFS('Factory Costs'!$C:$C,'Factory Costs'!$A:$A,"Blades",'Factory Costs'!$B:$B,B48))</f>
        <v>42</v>
      </c>
    </row>
    <row r="49" spans="1:3" x14ac:dyDescent="0.25">
      <c r="A49" s="1" t="s">
        <v>6698</v>
      </c>
      <c r="B49" s="1" t="s">
        <v>16370</v>
      </c>
      <c r="C49" s="3">
        <f>IF(B49="","",SUMIFS('Factory Costs'!$C:$C,'Factory Costs'!$A:$A,"Blades",'Factory Costs'!$B:$B,B49))</f>
        <v>34</v>
      </c>
    </row>
    <row r="50" spans="1:3" x14ac:dyDescent="0.25">
      <c r="A50" s="1" t="s">
        <v>6701</v>
      </c>
      <c r="B50" s="1" t="s">
        <v>16370</v>
      </c>
      <c r="C50" s="3">
        <f>IF(B50="","",SUMIFS('Factory Costs'!$C:$C,'Factory Costs'!$A:$A,"Blades",'Factory Costs'!$B:$B,B50))</f>
        <v>34</v>
      </c>
    </row>
    <row r="51" spans="1:3" x14ac:dyDescent="0.25">
      <c r="A51" s="1" t="s">
        <v>6704</v>
      </c>
      <c r="B51" s="1" t="s">
        <v>16370</v>
      </c>
      <c r="C51" s="3">
        <f>IF(B51="","",SUMIFS('Factory Costs'!$C:$C,'Factory Costs'!$A:$A,"Blades",'Factory Costs'!$B:$B,B51))</f>
        <v>34</v>
      </c>
    </row>
    <row r="52" spans="1:3" x14ac:dyDescent="0.25">
      <c r="A52" s="1" t="s">
        <v>6707</v>
      </c>
      <c r="B52" s="1" t="s">
        <v>16370</v>
      </c>
      <c r="C52" s="3">
        <f>IF(B52="","",SUMIFS('Factory Costs'!$C:$C,'Factory Costs'!$A:$A,"Blades",'Factory Costs'!$B:$B,B52))</f>
        <v>34</v>
      </c>
    </row>
    <row r="53" spans="1:3" x14ac:dyDescent="0.25">
      <c r="A53" s="1" t="s">
        <v>6710</v>
      </c>
      <c r="B53" s="1" t="s">
        <v>16370</v>
      </c>
      <c r="C53" s="3">
        <f>IF(B53="","",SUMIFS('Factory Costs'!$C:$C,'Factory Costs'!$A:$A,"Blades",'Factory Costs'!$B:$B,B53))</f>
        <v>34</v>
      </c>
    </row>
    <row r="54" spans="1:3" x14ac:dyDescent="0.25">
      <c r="A54" s="1" t="s">
        <v>6713</v>
      </c>
      <c r="B54" s="1" t="s">
        <v>16372</v>
      </c>
      <c r="C54" s="3">
        <f>IF(B54="","",SUMIFS('Factory Costs'!$C:$C,'Factory Costs'!$A:$A,"Blades",'Factory Costs'!$B:$B,B54))</f>
        <v>42</v>
      </c>
    </row>
    <row r="55" spans="1:3" x14ac:dyDescent="0.25">
      <c r="A55" s="1" t="s">
        <v>6716</v>
      </c>
      <c r="B55" s="1" t="s">
        <v>16372</v>
      </c>
      <c r="C55" s="3">
        <f>IF(B55="","",SUMIFS('Factory Costs'!$C:$C,'Factory Costs'!$A:$A,"Blades",'Factory Costs'!$B:$B,B55))</f>
        <v>42</v>
      </c>
    </row>
    <row r="56" spans="1:3" x14ac:dyDescent="0.25">
      <c r="A56" s="1" t="s">
        <v>6719</v>
      </c>
      <c r="B56" s="1" t="s">
        <v>16372</v>
      </c>
      <c r="C56" s="3">
        <f>IF(B56="","",SUMIFS('Factory Costs'!$C:$C,'Factory Costs'!$A:$A,"Blades",'Factory Costs'!$B:$B,B56))</f>
        <v>42</v>
      </c>
    </row>
    <row r="57" spans="1:3" x14ac:dyDescent="0.25">
      <c r="A57" s="1" t="s">
        <v>6722</v>
      </c>
      <c r="B57" s="1" t="s">
        <v>16372</v>
      </c>
      <c r="C57" s="3">
        <f>IF(B57="","",SUMIFS('Factory Costs'!$C:$C,'Factory Costs'!$A:$A,"Blades",'Factory Costs'!$B:$B,B57))</f>
        <v>42</v>
      </c>
    </row>
    <row r="58" spans="1:3" x14ac:dyDescent="0.25">
      <c r="A58" s="1" t="s">
        <v>6725</v>
      </c>
      <c r="B58" s="1" t="s">
        <v>16370</v>
      </c>
      <c r="C58" s="3">
        <f>IF(B58="","",SUMIFS('Factory Costs'!$C:$C,'Factory Costs'!$A:$A,"Blades",'Factory Costs'!$B:$B,B58))</f>
        <v>34</v>
      </c>
    </row>
    <row r="59" spans="1:3" x14ac:dyDescent="0.25">
      <c r="A59" s="1" t="s">
        <v>6728</v>
      </c>
      <c r="B59" s="1" t="s">
        <v>16370</v>
      </c>
      <c r="C59" s="3">
        <f>IF(B59="","",SUMIFS('Factory Costs'!$C:$C,'Factory Costs'!$A:$A,"Blades",'Factory Costs'!$B:$B,B59))</f>
        <v>34</v>
      </c>
    </row>
    <row r="60" spans="1:3" x14ac:dyDescent="0.25">
      <c r="A60" s="1" t="s">
        <v>6731</v>
      </c>
      <c r="B60" s="1" t="s">
        <v>16370</v>
      </c>
      <c r="C60" s="3">
        <f>IF(B60="","",SUMIFS('Factory Costs'!$C:$C,'Factory Costs'!$A:$A,"Blades",'Factory Costs'!$B:$B,B60))</f>
        <v>34</v>
      </c>
    </row>
    <row r="61" spans="1:3" x14ac:dyDescent="0.25">
      <c r="A61" s="1" t="s">
        <v>6734</v>
      </c>
      <c r="B61" s="1" t="s">
        <v>16372</v>
      </c>
      <c r="C61" s="3">
        <f>IF(B61="","",SUMIFS('Factory Costs'!$C:$C,'Factory Costs'!$A:$A,"Blades",'Factory Costs'!$B:$B,B61))</f>
        <v>42</v>
      </c>
    </row>
    <row r="62" spans="1:3" x14ac:dyDescent="0.25">
      <c r="A62" s="1" t="s">
        <v>6737</v>
      </c>
      <c r="B62" s="1" t="s">
        <v>16370</v>
      </c>
      <c r="C62" s="3">
        <f>IF(B62="","",SUMIFS('Factory Costs'!$C:$C,'Factory Costs'!$A:$A,"Blades",'Factory Costs'!$B:$B,B62))</f>
        <v>34</v>
      </c>
    </row>
    <row r="63" spans="1:3" x14ac:dyDescent="0.25">
      <c r="A63" s="1" t="s">
        <v>6740</v>
      </c>
      <c r="B63" s="1" t="s">
        <v>16370</v>
      </c>
      <c r="C63" s="3">
        <f>IF(B63="","",SUMIFS('Factory Costs'!$C:$C,'Factory Costs'!$A:$A,"Blades",'Factory Costs'!$B:$B,B63))</f>
        <v>34</v>
      </c>
    </row>
    <row r="64" spans="1:3" x14ac:dyDescent="0.25">
      <c r="A64" s="1" t="s">
        <v>6743</v>
      </c>
      <c r="B64" s="1" t="s">
        <v>16371</v>
      </c>
      <c r="C64" s="3">
        <f>IF(B64="","",SUMIFS('Factory Costs'!$C:$C,'Factory Costs'!$A:$A,"Blades",'Factory Costs'!$B:$B,B64))</f>
        <v>37</v>
      </c>
    </row>
    <row r="65" spans="1:3" x14ac:dyDescent="0.25">
      <c r="A65" s="1" t="s">
        <v>6746</v>
      </c>
      <c r="B65" s="1" t="s">
        <v>16370</v>
      </c>
      <c r="C65" s="3">
        <f>IF(B65="","",SUMIFS('Factory Costs'!$C:$C,'Factory Costs'!$A:$A,"Blades",'Factory Costs'!$B:$B,B65))</f>
        <v>34</v>
      </c>
    </row>
    <row r="66" spans="1:3" x14ac:dyDescent="0.25">
      <c r="A66" s="1" t="s">
        <v>6749</v>
      </c>
      <c r="B66" s="1" t="s">
        <v>16372</v>
      </c>
      <c r="C66" s="3">
        <f>IF(B66="","",SUMIFS('Factory Costs'!$C:$C,'Factory Costs'!$A:$A,"Blades",'Factory Costs'!$B:$B,B66))</f>
        <v>42</v>
      </c>
    </row>
    <row r="67" spans="1:3" x14ac:dyDescent="0.25">
      <c r="A67" s="1" t="s">
        <v>6752</v>
      </c>
      <c r="B67" s="1" t="s">
        <v>16371</v>
      </c>
      <c r="C67" s="3">
        <f>IF(B67="","",SUMIFS('Factory Costs'!$C:$C,'Factory Costs'!$A:$A,"Blades",'Factory Costs'!$B:$B,B67))</f>
        <v>37</v>
      </c>
    </row>
    <row r="68" spans="1:3" x14ac:dyDescent="0.25">
      <c r="A68" s="1" t="s">
        <v>6755</v>
      </c>
      <c r="B68" s="1" t="s">
        <v>16370</v>
      </c>
      <c r="C68" s="3">
        <f>IF(B68="","",SUMIFS('Factory Costs'!$C:$C,'Factory Costs'!$A:$A,"Blades",'Factory Costs'!$B:$B,B68))</f>
        <v>34</v>
      </c>
    </row>
    <row r="69" spans="1:3" x14ac:dyDescent="0.25">
      <c r="A69" s="1" t="s">
        <v>6758</v>
      </c>
      <c r="B69" s="1" t="s">
        <v>16370</v>
      </c>
      <c r="C69" s="3">
        <f>IF(B69="","",SUMIFS('Factory Costs'!$C:$C,'Factory Costs'!$A:$A,"Blades",'Factory Costs'!$B:$B,B69))</f>
        <v>34</v>
      </c>
    </row>
    <row r="70" spans="1:3" x14ac:dyDescent="0.25">
      <c r="A70" s="1" t="s">
        <v>6761</v>
      </c>
      <c r="B70" s="1" t="s">
        <v>16370</v>
      </c>
      <c r="C70" s="3">
        <f>IF(B70="","",SUMIFS('Factory Costs'!$C:$C,'Factory Costs'!$A:$A,"Blades",'Factory Costs'!$B:$B,B70))</f>
        <v>34</v>
      </c>
    </row>
    <row r="71" spans="1:3" x14ac:dyDescent="0.25">
      <c r="A71" s="1" t="s">
        <v>6764</v>
      </c>
      <c r="B71" s="1" t="s">
        <v>16371</v>
      </c>
      <c r="C71" s="3">
        <f>IF(B71="","",SUMIFS('Factory Costs'!$C:$C,'Factory Costs'!$A:$A,"Blades",'Factory Costs'!$B:$B,B71))</f>
        <v>37</v>
      </c>
    </row>
    <row r="72" spans="1:3" x14ac:dyDescent="0.25">
      <c r="A72" s="1" t="s">
        <v>6767</v>
      </c>
      <c r="B72" s="1" t="s">
        <v>16371</v>
      </c>
      <c r="C72" s="3">
        <f>IF(B72="","",SUMIFS('Factory Costs'!$C:$C,'Factory Costs'!$A:$A,"Blades",'Factory Costs'!$B:$B,B72))</f>
        <v>37</v>
      </c>
    </row>
    <row r="73" spans="1:3" x14ac:dyDescent="0.25">
      <c r="A73" s="1" t="s">
        <v>6770</v>
      </c>
      <c r="B73" s="1" t="s">
        <v>16370</v>
      </c>
      <c r="C73" s="3">
        <f>IF(B73="","",SUMIFS('Factory Costs'!$C:$C,'Factory Costs'!$A:$A,"Blades",'Factory Costs'!$B:$B,B73))</f>
        <v>34</v>
      </c>
    </row>
    <row r="74" spans="1:3" x14ac:dyDescent="0.25">
      <c r="A74" s="1" t="s">
        <v>6773</v>
      </c>
      <c r="B74" s="1" t="s">
        <v>16371</v>
      </c>
      <c r="C74" s="3">
        <f>IF(B74="","",SUMIFS('Factory Costs'!$C:$C,'Factory Costs'!$A:$A,"Blades",'Factory Costs'!$B:$B,B74))</f>
        <v>37</v>
      </c>
    </row>
    <row r="75" spans="1:3" x14ac:dyDescent="0.25">
      <c r="A75" s="1" t="s">
        <v>6776</v>
      </c>
      <c r="B75" s="1" t="s">
        <v>16370</v>
      </c>
      <c r="C75" s="3">
        <f>IF(B75="","",SUMIFS('Factory Costs'!$C:$C,'Factory Costs'!$A:$A,"Blades",'Factory Costs'!$B:$B,B75))</f>
        <v>34</v>
      </c>
    </row>
    <row r="76" spans="1:3" x14ac:dyDescent="0.25">
      <c r="A76" s="1" t="s">
        <v>6779</v>
      </c>
      <c r="B76" s="1" t="s">
        <v>16370</v>
      </c>
      <c r="C76" s="3">
        <f>IF(B76="","",SUMIFS('Factory Costs'!$C:$C,'Factory Costs'!$A:$A,"Blades",'Factory Costs'!$B:$B,B76))</f>
        <v>34</v>
      </c>
    </row>
    <row r="77" spans="1:3" x14ac:dyDescent="0.25">
      <c r="A77" s="1" t="s">
        <v>6782</v>
      </c>
      <c r="B77" s="1" t="s">
        <v>16370</v>
      </c>
      <c r="C77" s="3">
        <f>IF(B77="","",SUMIFS('Factory Costs'!$C:$C,'Factory Costs'!$A:$A,"Blades",'Factory Costs'!$B:$B,B77))</f>
        <v>34</v>
      </c>
    </row>
    <row r="78" spans="1:3" x14ac:dyDescent="0.25">
      <c r="A78" s="1" t="s">
        <v>6785</v>
      </c>
      <c r="B78" s="1" t="s">
        <v>16370</v>
      </c>
      <c r="C78" s="3">
        <f>IF(B78="","",SUMIFS('Factory Costs'!$C:$C,'Factory Costs'!$A:$A,"Blades",'Factory Costs'!$B:$B,B78))</f>
        <v>34</v>
      </c>
    </row>
    <row r="79" spans="1:3" x14ac:dyDescent="0.25">
      <c r="A79" s="1" t="s">
        <v>6788</v>
      </c>
      <c r="B79" s="1" t="s">
        <v>16371</v>
      </c>
      <c r="C79" s="3">
        <f>IF(B79="","",SUMIFS('Factory Costs'!$C:$C,'Factory Costs'!$A:$A,"Blades",'Factory Costs'!$B:$B,B79))</f>
        <v>37</v>
      </c>
    </row>
    <row r="80" spans="1:3" x14ac:dyDescent="0.25">
      <c r="A80" s="1" t="s">
        <v>6791</v>
      </c>
      <c r="B80" s="1" t="s">
        <v>16371</v>
      </c>
      <c r="C80" s="3">
        <f>IF(B80="","",SUMIFS('Factory Costs'!$C:$C,'Factory Costs'!$A:$A,"Blades",'Factory Costs'!$B:$B,B80))</f>
        <v>37</v>
      </c>
    </row>
    <row r="81" spans="1:3" x14ac:dyDescent="0.25">
      <c r="A81" s="1" t="s">
        <v>6794</v>
      </c>
      <c r="B81" s="1" t="s">
        <v>16371</v>
      </c>
      <c r="C81" s="3">
        <f>IF(B81="","",SUMIFS('Factory Costs'!$C:$C,'Factory Costs'!$A:$A,"Blades",'Factory Costs'!$B:$B,B81))</f>
        <v>37</v>
      </c>
    </row>
    <row r="82" spans="1:3" x14ac:dyDescent="0.25">
      <c r="A82" s="1" t="s">
        <v>6797</v>
      </c>
      <c r="B82" s="1" t="s">
        <v>16372</v>
      </c>
      <c r="C82" s="3">
        <f>IF(B82="","",SUMIFS('Factory Costs'!$C:$C,'Factory Costs'!$A:$A,"Blades",'Factory Costs'!$B:$B,B82))</f>
        <v>42</v>
      </c>
    </row>
    <row r="83" spans="1:3" x14ac:dyDescent="0.25">
      <c r="A83" s="1" t="s">
        <v>6800</v>
      </c>
      <c r="B83" s="1" t="s">
        <v>16372</v>
      </c>
      <c r="C83" s="3">
        <f>IF(B83="","",SUMIFS('Factory Costs'!$C:$C,'Factory Costs'!$A:$A,"Blades",'Factory Costs'!$B:$B,B83))</f>
        <v>42</v>
      </c>
    </row>
    <row r="84" spans="1:3" x14ac:dyDescent="0.25">
      <c r="A84" s="1" t="s">
        <v>6803</v>
      </c>
      <c r="B84" s="1" t="s">
        <v>16370</v>
      </c>
      <c r="C84" s="3">
        <f>IF(B84="","",SUMIFS('Factory Costs'!$C:$C,'Factory Costs'!$A:$A,"Blades",'Factory Costs'!$B:$B,B84))</f>
        <v>34</v>
      </c>
    </row>
    <row r="85" spans="1:3" x14ac:dyDescent="0.25">
      <c r="A85" s="1" t="s">
        <v>6806</v>
      </c>
      <c r="B85" s="1" t="s">
        <v>16371</v>
      </c>
      <c r="C85" s="3">
        <f>IF(B85="","",SUMIFS('Factory Costs'!$C:$C,'Factory Costs'!$A:$A,"Blades",'Factory Costs'!$B:$B,B85))</f>
        <v>37</v>
      </c>
    </row>
    <row r="86" spans="1:3" x14ac:dyDescent="0.25">
      <c r="A86" s="1" t="s">
        <v>6809</v>
      </c>
      <c r="B86" s="1" t="s">
        <v>16371</v>
      </c>
      <c r="C86" s="3">
        <f>IF(B86="","",SUMIFS('Factory Costs'!$C:$C,'Factory Costs'!$A:$A,"Blades",'Factory Costs'!$B:$B,B86))</f>
        <v>37</v>
      </c>
    </row>
    <row r="87" spans="1:3" x14ac:dyDescent="0.25">
      <c r="A87" s="1" t="s">
        <v>6812</v>
      </c>
      <c r="B87" s="1" t="s">
        <v>16372</v>
      </c>
      <c r="C87" s="3">
        <f>IF(B87="","",SUMIFS('Factory Costs'!$C:$C,'Factory Costs'!$A:$A,"Blades",'Factory Costs'!$B:$B,B87))</f>
        <v>42</v>
      </c>
    </row>
    <row r="88" spans="1:3" x14ac:dyDescent="0.25">
      <c r="A88" s="1" t="s">
        <v>6815</v>
      </c>
      <c r="B88" s="1" t="s">
        <v>16370</v>
      </c>
      <c r="C88" s="3">
        <f>IF(B88="","",SUMIFS('Factory Costs'!$C:$C,'Factory Costs'!$A:$A,"Blades",'Factory Costs'!$B:$B,B88))</f>
        <v>34</v>
      </c>
    </row>
    <row r="89" spans="1:3" x14ac:dyDescent="0.25">
      <c r="A89" s="1" t="s">
        <v>6818</v>
      </c>
      <c r="B89" s="1" t="s">
        <v>16371</v>
      </c>
      <c r="C89" s="3">
        <f>IF(B89="","",SUMIFS('Factory Costs'!$C:$C,'Factory Costs'!$A:$A,"Blades",'Factory Costs'!$B:$B,B89))</f>
        <v>37</v>
      </c>
    </row>
    <row r="90" spans="1:3" x14ac:dyDescent="0.25">
      <c r="A90" s="1" t="s">
        <v>6821</v>
      </c>
      <c r="B90" s="1" t="s">
        <v>16370</v>
      </c>
      <c r="C90" s="3">
        <f>IF(B90="","",SUMIFS('Factory Costs'!$C:$C,'Factory Costs'!$A:$A,"Blades",'Factory Costs'!$B:$B,B90))</f>
        <v>34</v>
      </c>
    </row>
    <row r="91" spans="1:3" x14ac:dyDescent="0.25">
      <c r="A91" s="1" t="s">
        <v>6824</v>
      </c>
      <c r="B91" s="1" t="s">
        <v>16371</v>
      </c>
      <c r="C91" s="3">
        <f>IF(B91="","",SUMIFS('Factory Costs'!$C:$C,'Factory Costs'!$A:$A,"Blades",'Factory Costs'!$B:$B,B91))</f>
        <v>37</v>
      </c>
    </row>
    <row r="92" spans="1:3" x14ac:dyDescent="0.25">
      <c r="A92" s="1" t="s">
        <v>6827</v>
      </c>
      <c r="B92" s="1" t="s">
        <v>16371</v>
      </c>
      <c r="C92" s="3">
        <f>IF(B92="","",SUMIFS('Factory Costs'!$C:$C,'Factory Costs'!$A:$A,"Blades",'Factory Costs'!$B:$B,B92))</f>
        <v>37</v>
      </c>
    </row>
    <row r="93" spans="1:3" x14ac:dyDescent="0.25">
      <c r="A93" s="1" t="s">
        <v>6830</v>
      </c>
      <c r="B93" s="1" t="s">
        <v>16372</v>
      </c>
      <c r="C93" s="3">
        <f>IF(B93="","",SUMIFS('Factory Costs'!$C:$C,'Factory Costs'!$A:$A,"Blades",'Factory Costs'!$B:$B,B93))</f>
        <v>42</v>
      </c>
    </row>
    <row r="94" spans="1:3" x14ac:dyDescent="0.25">
      <c r="A94" s="1" t="s">
        <v>6833</v>
      </c>
      <c r="B94" s="1" t="s">
        <v>16372</v>
      </c>
      <c r="C94" s="3">
        <f>IF(B94="","",SUMIFS('Factory Costs'!$C:$C,'Factory Costs'!$A:$A,"Blades",'Factory Costs'!$B:$B,B94))</f>
        <v>42</v>
      </c>
    </row>
    <row r="95" spans="1:3" x14ac:dyDescent="0.25">
      <c r="A95" s="1" t="s">
        <v>6836</v>
      </c>
      <c r="B95" s="1" t="s">
        <v>16370</v>
      </c>
      <c r="C95" s="3">
        <f>IF(B95="","",SUMIFS('Factory Costs'!$C:$C,'Factory Costs'!$A:$A,"Blades",'Factory Costs'!$B:$B,B95))</f>
        <v>34</v>
      </c>
    </row>
    <row r="96" spans="1:3" x14ac:dyDescent="0.25">
      <c r="A96" s="1" t="s">
        <v>6839</v>
      </c>
      <c r="B96" s="1" t="s">
        <v>16371</v>
      </c>
      <c r="C96" s="3">
        <f>IF(B96="","",SUMIFS('Factory Costs'!$C:$C,'Factory Costs'!$A:$A,"Blades",'Factory Costs'!$B:$B,B96))</f>
        <v>37</v>
      </c>
    </row>
    <row r="97" spans="1:3" x14ac:dyDescent="0.25">
      <c r="A97" s="1" t="s">
        <v>6842</v>
      </c>
      <c r="B97" s="1" t="s">
        <v>16371</v>
      </c>
      <c r="C97" s="3">
        <f>IF(B97="","",SUMIFS('Factory Costs'!$C:$C,'Factory Costs'!$A:$A,"Blades",'Factory Costs'!$B:$B,B97))</f>
        <v>37</v>
      </c>
    </row>
    <row r="98" spans="1:3" x14ac:dyDescent="0.25">
      <c r="A98" s="1" t="s">
        <v>6845</v>
      </c>
      <c r="B98" s="1" t="s">
        <v>16370</v>
      </c>
      <c r="C98" s="3">
        <f>IF(B98="","",SUMIFS('Factory Costs'!$C:$C,'Factory Costs'!$A:$A,"Blades",'Factory Costs'!$B:$B,B98))</f>
        <v>34</v>
      </c>
    </row>
    <row r="99" spans="1:3" x14ac:dyDescent="0.25">
      <c r="A99" s="1" t="s">
        <v>6848</v>
      </c>
      <c r="B99" s="1" t="s">
        <v>16370</v>
      </c>
      <c r="C99" s="3">
        <f>IF(B99="","",SUMIFS('Factory Costs'!$C:$C,'Factory Costs'!$A:$A,"Blades",'Factory Costs'!$B:$B,B99))</f>
        <v>34</v>
      </c>
    </row>
    <row r="100" spans="1:3" x14ac:dyDescent="0.25">
      <c r="A100" s="1" t="s">
        <v>6851</v>
      </c>
      <c r="B100" s="1" t="s">
        <v>16371</v>
      </c>
      <c r="C100" s="3">
        <f>IF(B100="","",SUMIFS('Factory Costs'!$C:$C,'Factory Costs'!$A:$A,"Blades",'Factory Costs'!$B:$B,B100))</f>
        <v>37</v>
      </c>
    </row>
    <row r="101" spans="1:3" x14ac:dyDescent="0.25">
      <c r="A101" s="1" t="s">
        <v>6854</v>
      </c>
      <c r="B101" s="1" t="s">
        <v>16372</v>
      </c>
      <c r="C101" s="3">
        <f>IF(B101="","",SUMIFS('Factory Costs'!$C:$C,'Factory Costs'!$A:$A,"Blades",'Factory Costs'!$B:$B,B101))</f>
        <v>42</v>
      </c>
    </row>
    <row r="102" spans="1:3" x14ac:dyDescent="0.25">
      <c r="A102" s="1" t="s">
        <v>6857</v>
      </c>
      <c r="B102" s="1" t="s">
        <v>16371</v>
      </c>
      <c r="C102" s="3">
        <f>IF(B102="","",SUMIFS('Factory Costs'!$C:$C,'Factory Costs'!$A:$A,"Blades",'Factory Costs'!$B:$B,B102))</f>
        <v>37</v>
      </c>
    </row>
    <row r="103" spans="1:3" x14ac:dyDescent="0.25">
      <c r="A103" s="1" t="s">
        <v>6860</v>
      </c>
      <c r="B103" s="1" t="s">
        <v>16372</v>
      </c>
      <c r="C103" s="3">
        <f>IF(B103="","",SUMIFS('Factory Costs'!$C:$C,'Factory Costs'!$A:$A,"Blades",'Factory Costs'!$B:$B,B103))</f>
        <v>42</v>
      </c>
    </row>
    <row r="104" spans="1:3" x14ac:dyDescent="0.25">
      <c r="A104" s="1" t="s">
        <v>6863</v>
      </c>
      <c r="B104" s="1" t="s">
        <v>16370</v>
      </c>
      <c r="C104" s="3">
        <f>IF(B104="","",SUMIFS('Factory Costs'!$C:$C,'Factory Costs'!$A:$A,"Blades",'Factory Costs'!$B:$B,B104))</f>
        <v>34</v>
      </c>
    </row>
    <row r="105" spans="1:3" x14ac:dyDescent="0.25">
      <c r="A105" s="1" t="s">
        <v>6866</v>
      </c>
      <c r="B105" s="1" t="s">
        <v>16372</v>
      </c>
      <c r="C105" s="3">
        <f>IF(B105="","",SUMIFS('Factory Costs'!$C:$C,'Factory Costs'!$A:$A,"Blades",'Factory Costs'!$B:$B,B105))</f>
        <v>42</v>
      </c>
    </row>
    <row r="106" spans="1:3" x14ac:dyDescent="0.25">
      <c r="A106" s="1" t="s">
        <v>6869</v>
      </c>
      <c r="B106" s="1" t="s">
        <v>16371</v>
      </c>
      <c r="C106" s="3">
        <f>IF(B106="","",SUMIFS('Factory Costs'!$C:$C,'Factory Costs'!$A:$A,"Blades",'Factory Costs'!$B:$B,B106))</f>
        <v>37</v>
      </c>
    </row>
    <row r="107" spans="1:3" x14ac:dyDescent="0.25">
      <c r="A107" s="1" t="s">
        <v>6872</v>
      </c>
      <c r="B107" s="1" t="s">
        <v>16370</v>
      </c>
      <c r="C107" s="3">
        <f>IF(B107="","",SUMIFS('Factory Costs'!$C:$C,'Factory Costs'!$A:$A,"Blades",'Factory Costs'!$B:$B,B107))</f>
        <v>34</v>
      </c>
    </row>
    <row r="108" spans="1:3" x14ac:dyDescent="0.25">
      <c r="A108" s="1" t="s">
        <v>6875</v>
      </c>
      <c r="B108" s="1" t="s">
        <v>16370</v>
      </c>
      <c r="C108" s="3">
        <f>IF(B108="","",SUMIFS('Factory Costs'!$C:$C,'Factory Costs'!$A:$A,"Blades",'Factory Costs'!$B:$B,B108))</f>
        <v>34</v>
      </c>
    </row>
    <row r="109" spans="1:3" x14ac:dyDescent="0.25">
      <c r="A109" s="1" t="s">
        <v>6878</v>
      </c>
      <c r="B109" s="1" t="s">
        <v>16370</v>
      </c>
      <c r="C109" s="3">
        <f>IF(B109="","",SUMIFS('Factory Costs'!$C:$C,'Factory Costs'!$A:$A,"Blades",'Factory Costs'!$B:$B,B109))</f>
        <v>34</v>
      </c>
    </row>
    <row r="110" spans="1:3" x14ac:dyDescent="0.25">
      <c r="A110" s="1" t="s">
        <v>6881</v>
      </c>
      <c r="B110" s="1" t="s">
        <v>16372</v>
      </c>
      <c r="C110" s="3">
        <f>IF(B110="","",SUMIFS('Factory Costs'!$C:$C,'Factory Costs'!$A:$A,"Blades",'Factory Costs'!$B:$B,B110))</f>
        <v>42</v>
      </c>
    </row>
    <row r="111" spans="1:3" x14ac:dyDescent="0.25">
      <c r="A111" s="1" t="s">
        <v>6884</v>
      </c>
      <c r="B111" s="1" t="s">
        <v>16372</v>
      </c>
      <c r="C111" s="3">
        <f>IF(B111="","",SUMIFS('Factory Costs'!$C:$C,'Factory Costs'!$A:$A,"Blades",'Factory Costs'!$B:$B,B111))</f>
        <v>42</v>
      </c>
    </row>
    <row r="112" spans="1:3" x14ac:dyDescent="0.25">
      <c r="A112" s="1" t="s">
        <v>6887</v>
      </c>
      <c r="B112" s="1" t="s">
        <v>16372</v>
      </c>
      <c r="C112" s="3">
        <f>IF(B112="","",SUMIFS('Factory Costs'!$C:$C,'Factory Costs'!$A:$A,"Blades",'Factory Costs'!$B:$B,B112))</f>
        <v>42</v>
      </c>
    </row>
    <row r="113" spans="1:3" x14ac:dyDescent="0.25">
      <c r="A113" s="1" t="s">
        <v>6890</v>
      </c>
      <c r="B113" s="1" t="s">
        <v>16370</v>
      </c>
      <c r="C113" s="3">
        <f>IF(B113="","",SUMIFS('Factory Costs'!$C:$C,'Factory Costs'!$A:$A,"Blades",'Factory Costs'!$B:$B,B113))</f>
        <v>34</v>
      </c>
    </row>
    <row r="114" spans="1:3" x14ac:dyDescent="0.25">
      <c r="A114" s="1" t="s">
        <v>6893</v>
      </c>
      <c r="B114" s="1" t="s">
        <v>16372</v>
      </c>
      <c r="C114" s="3">
        <f>IF(B114="","",SUMIFS('Factory Costs'!$C:$C,'Factory Costs'!$A:$A,"Blades",'Factory Costs'!$B:$B,B114))</f>
        <v>42</v>
      </c>
    </row>
    <row r="115" spans="1:3" x14ac:dyDescent="0.25">
      <c r="A115" s="1" t="s">
        <v>6896</v>
      </c>
      <c r="B115" s="1" t="s">
        <v>16370</v>
      </c>
      <c r="C115" s="3">
        <f>IF(B115="","",SUMIFS('Factory Costs'!$C:$C,'Factory Costs'!$A:$A,"Blades",'Factory Costs'!$B:$B,B115))</f>
        <v>34</v>
      </c>
    </row>
    <row r="116" spans="1:3" x14ac:dyDescent="0.25">
      <c r="A116" s="1" t="s">
        <v>6899</v>
      </c>
      <c r="B116" s="1" t="s">
        <v>16370</v>
      </c>
      <c r="C116" s="3">
        <f>IF(B116="","",SUMIFS('Factory Costs'!$C:$C,'Factory Costs'!$A:$A,"Blades",'Factory Costs'!$B:$B,B116))</f>
        <v>34</v>
      </c>
    </row>
    <row r="117" spans="1:3" x14ac:dyDescent="0.25">
      <c r="A117" s="1" t="s">
        <v>6902</v>
      </c>
      <c r="B117" s="1" t="s">
        <v>16370</v>
      </c>
      <c r="C117" s="3">
        <f>IF(B117="","",SUMIFS('Factory Costs'!$C:$C,'Factory Costs'!$A:$A,"Blades",'Factory Costs'!$B:$B,B117))</f>
        <v>34</v>
      </c>
    </row>
    <row r="118" spans="1:3" x14ac:dyDescent="0.25">
      <c r="A118" s="1" t="s">
        <v>6905</v>
      </c>
      <c r="B118" s="1" t="s">
        <v>16371</v>
      </c>
      <c r="C118" s="3">
        <f>IF(B118="","",SUMIFS('Factory Costs'!$C:$C,'Factory Costs'!$A:$A,"Blades",'Factory Costs'!$B:$B,B118))</f>
        <v>37</v>
      </c>
    </row>
    <row r="119" spans="1:3" x14ac:dyDescent="0.25">
      <c r="A119" s="1" t="s">
        <v>6908</v>
      </c>
      <c r="B119" s="1" t="s">
        <v>16370</v>
      </c>
      <c r="C119" s="3">
        <f>IF(B119="","",SUMIFS('Factory Costs'!$C:$C,'Factory Costs'!$A:$A,"Blades",'Factory Costs'!$B:$B,B119))</f>
        <v>34</v>
      </c>
    </row>
    <row r="120" spans="1:3" x14ac:dyDescent="0.25">
      <c r="A120" s="1" t="s">
        <v>6911</v>
      </c>
      <c r="B120" s="1" t="s">
        <v>16370</v>
      </c>
      <c r="C120" s="3">
        <f>IF(B120="","",SUMIFS('Factory Costs'!$C:$C,'Factory Costs'!$A:$A,"Blades",'Factory Costs'!$B:$B,B120))</f>
        <v>34</v>
      </c>
    </row>
    <row r="121" spans="1:3" x14ac:dyDescent="0.25">
      <c r="A121" s="1" t="s">
        <v>6914</v>
      </c>
      <c r="B121" s="1" t="s">
        <v>16372</v>
      </c>
      <c r="C121" s="3">
        <f>IF(B121="","",SUMIFS('Factory Costs'!$C:$C,'Factory Costs'!$A:$A,"Blades",'Factory Costs'!$B:$B,B121))</f>
        <v>42</v>
      </c>
    </row>
    <row r="122" spans="1:3" x14ac:dyDescent="0.25">
      <c r="A122" s="1" t="s">
        <v>6917</v>
      </c>
      <c r="B122" s="1" t="s">
        <v>16372</v>
      </c>
      <c r="C122" s="3">
        <f>IF(B122="","",SUMIFS('Factory Costs'!$C:$C,'Factory Costs'!$A:$A,"Blades",'Factory Costs'!$B:$B,B122))</f>
        <v>42</v>
      </c>
    </row>
    <row r="123" spans="1:3" x14ac:dyDescent="0.25">
      <c r="A123" s="1" t="s">
        <v>6920</v>
      </c>
      <c r="B123" s="1" t="s">
        <v>16371</v>
      </c>
      <c r="C123" s="3">
        <f>IF(B123="","",SUMIFS('Factory Costs'!$C:$C,'Factory Costs'!$A:$A,"Blades",'Factory Costs'!$B:$B,B123))</f>
        <v>37</v>
      </c>
    </row>
    <row r="124" spans="1:3" x14ac:dyDescent="0.25">
      <c r="A124" s="1" t="s">
        <v>6923</v>
      </c>
      <c r="B124" s="1" t="s">
        <v>16371</v>
      </c>
      <c r="C124" s="3">
        <f>IF(B124="","",SUMIFS('Factory Costs'!$C:$C,'Factory Costs'!$A:$A,"Blades",'Factory Costs'!$B:$B,B124))</f>
        <v>37</v>
      </c>
    </row>
    <row r="125" spans="1:3" x14ac:dyDescent="0.25">
      <c r="A125" s="1" t="s">
        <v>6926</v>
      </c>
      <c r="B125" s="1" t="s">
        <v>16370</v>
      </c>
      <c r="C125" s="3">
        <f>IF(B125="","",SUMIFS('Factory Costs'!$C:$C,'Factory Costs'!$A:$A,"Blades",'Factory Costs'!$B:$B,B125))</f>
        <v>34</v>
      </c>
    </row>
    <row r="126" spans="1:3" x14ac:dyDescent="0.25">
      <c r="A126" s="1" t="s">
        <v>6929</v>
      </c>
      <c r="B126" s="1" t="s">
        <v>16371</v>
      </c>
      <c r="C126" s="3">
        <f>IF(B126="","",SUMIFS('Factory Costs'!$C:$C,'Factory Costs'!$A:$A,"Blades",'Factory Costs'!$B:$B,B126))</f>
        <v>37</v>
      </c>
    </row>
    <row r="127" spans="1:3" x14ac:dyDescent="0.25">
      <c r="A127" s="1" t="s">
        <v>6932</v>
      </c>
      <c r="B127" s="1" t="s">
        <v>16371</v>
      </c>
      <c r="C127" s="3">
        <f>IF(B127="","",SUMIFS('Factory Costs'!$C:$C,'Factory Costs'!$A:$A,"Blades",'Factory Costs'!$B:$B,B127))</f>
        <v>37</v>
      </c>
    </row>
    <row r="128" spans="1:3" x14ac:dyDescent="0.25">
      <c r="A128" s="1" t="s">
        <v>6935</v>
      </c>
      <c r="B128" s="1" t="s">
        <v>16371</v>
      </c>
      <c r="C128" s="3">
        <f>IF(B128="","",SUMIFS('Factory Costs'!$C:$C,'Factory Costs'!$A:$A,"Blades",'Factory Costs'!$B:$B,B128))</f>
        <v>37</v>
      </c>
    </row>
    <row r="129" spans="1:3" x14ac:dyDescent="0.25">
      <c r="A129" s="1" t="s">
        <v>6938</v>
      </c>
      <c r="B129" s="1" t="s">
        <v>16372</v>
      </c>
      <c r="C129" s="3">
        <f>IF(B129="","",SUMIFS('Factory Costs'!$C:$C,'Factory Costs'!$A:$A,"Blades",'Factory Costs'!$B:$B,B129))</f>
        <v>42</v>
      </c>
    </row>
    <row r="130" spans="1:3" x14ac:dyDescent="0.25">
      <c r="A130" s="1" t="s">
        <v>6941</v>
      </c>
      <c r="B130" s="1" t="s">
        <v>16372</v>
      </c>
      <c r="C130" s="3">
        <f>IF(B130="","",SUMIFS('Factory Costs'!$C:$C,'Factory Costs'!$A:$A,"Blades",'Factory Costs'!$B:$B,B130))</f>
        <v>42</v>
      </c>
    </row>
    <row r="131" spans="1:3" x14ac:dyDescent="0.25">
      <c r="A131" s="1" t="s">
        <v>6944</v>
      </c>
      <c r="B131" s="1" t="s">
        <v>16370</v>
      </c>
      <c r="C131" s="3">
        <f>IF(B131="","",SUMIFS('Factory Costs'!$C:$C,'Factory Costs'!$A:$A,"Blades",'Factory Costs'!$B:$B,B131))</f>
        <v>34</v>
      </c>
    </row>
    <row r="132" spans="1:3" x14ac:dyDescent="0.25">
      <c r="A132" s="1" t="s">
        <v>6947</v>
      </c>
      <c r="B132" s="1" t="s">
        <v>16372</v>
      </c>
      <c r="C132" s="3">
        <f>IF(B132="","",SUMIFS('Factory Costs'!$C:$C,'Factory Costs'!$A:$A,"Blades",'Factory Costs'!$B:$B,B132))</f>
        <v>42</v>
      </c>
    </row>
    <row r="133" spans="1:3" x14ac:dyDescent="0.25">
      <c r="A133" s="1" t="s">
        <v>6950</v>
      </c>
      <c r="B133" s="1" t="s">
        <v>16372</v>
      </c>
      <c r="C133" s="3">
        <f>IF(B133="","",SUMIFS('Factory Costs'!$C:$C,'Factory Costs'!$A:$A,"Blades",'Factory Costs'!$B:$B,B133))</f>
        <v>42</v>
      </c>
    </row>
    <row r="134" spans="1:3" x14ac:dyDescent="0.25">
      <c r="A134" s="1" t="s">
        <v>6953</v>
      </c>
      <c r="B134" s="1" t="s">
        <v>16371</v>
      </c>
      <c r="C134" s="3">
        <f>IF(B134="","",SUMIFS('Factory Costs'!$C:$C,'Factory Costs'!$A:$A,"Blades",'Factory Costs'!$B:$B,B134))</f>
        <v>37</v>
      </c>
    </row>
    <row r="135" spans="1:3" x14ac:dyDescent="0.25">
      <c r="A135" s="1" t="s">
        <v>6956</v>
      </c>
      <c r="B135" s="1" t="s">
        <v>16370</v>
      </c>
      <c r="C135" s="3">
        <f>IF(B135="","",SUMIFS('Factory Costs'!$C:$C,'Factory Costs'!$A:$A,"Blades",'Factory Costs'!$B:$B,B135))</f>
        <v>34</v>
      </c>
    </row>
    <row r="136" spans="1:3" x14ac:dyDescent="0.25">
      <c r="A136" s="1" t="s">
        <v>6959</v>
      </c>
      <c r="B136" s="1" t="s">
        <v>16371</v>
      </c>
      <c r="C136" s="3">
        <f>IF(B136="","",SUMIFS('Factory Costs'!$C:$C,'Factory Costs'!$A:$A,"Blades",'Factory Costs'!$B:$B,B136))</f>
        <v>37</v>
      </c>
    </row>
    <row r="137" spans="1:3" x14ac:dyDescent="0.25">
      <c r="A137" s="1" t="s">
        <v>6962</v>
      </c>
      <c r="B137" s="1" t="s">
        <v>16372</v>
      </c>
      <c r="C137" s="3">
        <f>IF(B137="","",SUMIFS('Factory Costs'!$C:$C,'Factory Costs'!$A:$A,"Blades",'Factory Costs'!$B:$B,B137))</f>
        <v>42</v>
      </c>
    </row>
    <row r="138" spans="1:3" x14ac:dyDescent="0.25">
      <c r="A138" s="1" t="s">
        <v>6965</v>
      </c>
      <c r="B138" s="1" t="s">
        <v>16370</v>
      </c>
      <c r="C138" s="3">
        <f>IF(B138="","",SUMIFS('Factory Costs'!$C:$C,'Factory Costs'!$A:$A,"Blades",'Factory Costs'!$B:$B,B138))</f>
        <v>34</v>
      </c>
    </row>
    <row r="139" spans="1:3" x14ac:dyDescent="0.25">
      <c r="A139" s="1" t="s">
        <v>6968</v>
      </c>
      <c r="B139" s="1" t="s">
        <v>16372</v>
      </c>
      <c r="C139" s="3">
        <f>IF(B139="","",SUMIFS('Factory Costs'!$C:$C,'Factory Costs'!$A:$A,"Blades",'Factory Costs'!$B:$B,B139))</f>
        <v>42</v>
      </c>
    </row>
    <row r="140" spans="1:3" x14ac:dyDescent="0.25">
      <c r="A140" s="1" t="s">
        <v>6971</v>
      </c>
      <c r="B140" s="1" t="s">
        <v>16371</v>
      </c>
      <c r="C140" s="3">
        <f>IF(B140="","",SUMIFS('Factory Costs'!$C:$C,'Factory Costs'!$A:$A,"Blades",'Factory Costs'!$B:$B,B140))</f>
        <v>37</v>
      </c>
    </row>
    <row r="141" spans="1:3" x14ac:dyDescent="0.25">
      <c r="A141" s="1" t="s">
        <v>6974</v>
      </c>
      <c r="B141" s="1" t="s">
        <v>16370</v>
      </c>
      <c r="C141" s="3">
        <f>IF(B141="","",SUMIFS('Factory Costs'!$C:$C,'Factory Costs'!$A:$A,"Blades",'Factory Costs'!$B:$B,B141))</f>
        <v>34</v>
      </c>
    </row>
    <row r="142" spans="1:3" x14ac:dyDescent="0.25">
      <c r="A142" s="1" t="s">
        <v>6977</v>
      </c>
      <c r="B142" s="1" t="s">
        <v>16371</v>
      </c>
      <c r="C142" s="3">
        <f>IF(B142="","",SUMIFS('Factory Costs'!$C:$C,'Factory Costs'!$A:$A,"Blades",'Factory Costs'!$B:$B,B142))</f>
        <v>37</v>
      </c>
    </row>
    <row r="143" spans="1:3" x14ac:dyDescent="0.25">
      <c r="A143" s="1" t="s">
        <v>6980</v>
      </c>
      <c r="B143" s="1" t="s">
        <v>16371</v>
      </c>
      <c r="C143" s="3">
        <f>IF(B143="","",SUMIFS('Factory Costs'!$C:$C,'Factory Costs'!$A:$A,"Blades",'Factory Costs'!$B:$B,B143))</f>
        <v>37</v>
      </c>
    </row>
    <row r="144" spans="1:3" x14ac:dyDescent="0.25">
      <c r="A144" s="1" t="s">
        <v>6983</v>
      </c>
      <c r="B144" s="1" t="s">
        <v>16371</v>
      </c>
      <c r="C144" s="3">
        <f>IF(B144="","",SUMIFS('Factory Costs'!$C:$C,'Factory Costs'!$A:$A,"Blades",'Factory Costs'!$B:$B,B144))</f>
        <v>37</v>
      </c>
    </row>
    <row r="145" spans="1:3" x14ac:dyDescent="0.25">
      <c r="A145" s="1" t="s">
        <v>6986</v>
      </c>
      <c r="B145" s="1" t="s">
        <v>16371</v>
      </c>
      <c r="C145" s="3">
        <f>IF(B145="","",SUMIFS('Factory Costs'!$C:$C,'Factory Costs'!$A:$A,"Blades",'Factory Costs'!$B:$B,B145))</f>
        <v>37</v>
      </c>
    </row>
    <row r="146" spans="1:3" x14ac:dyDescent="0.25">
      <c r="A146" s="1" t="s">
        <v>6989</v>
      </c>
      <c r="B146" s="1" t="s">
        <v>16372</v>
      </c>
      <c r="C146" s="3">
        <f>IF(B146="","",SUMIFS('Factory Costs'!$C:$C,'Factory Costs'!$A:$A,"Blades",'Factory Costs'!$B:$B,B146))</f>
        <v>42</v>
      </c>
    </row>
    <row r="147" spans="1:3" x14ac:dyDescent="0.25">
      <c r="A147" s="1" t="s">
        <v>6992</v>
      </c>
      <c r="B147" s="1" t="s">
        <v>16370</v>
      </c>
      <c r="C147" s="3">
        <f>IF(B147="","",SUMIFS('Factory Costs'!$C:$C,'Factory Costs'!$A:$A,"Blades",'Factory Costs'!$B:$B,B147))</f>
        <v>34</v>
      </c>
    </row>
    <row r="148" spans="1:3" x14ac:dyDescent="0.25">
      <c r="A148" s="1" t="s">
        <v>6995</v>
      </c>
      <c r="B148" s="1" t="s">
        <v>16370</v>
      </c>
      <c r="C148" s="3">
        <f>IF(B148="","",SUMIFS('Factory Costs'!$C:$C,'Factory Costs'!$A:$A,"Blades",'Factory Costs'!$B:$B,B148))</f>
        <v>34</v>
      </c>
    </row>
    <row r="149" spans="1:3" x14ac:dyDescent="0.25">
      <c r="A149" s="1" t="s">
        <v>6998</v>
      </c>
      <c r="B149" s="1" t="s">
        <v>16371</v>
      </c>
      <c r="C149" s="3">
        <f>IF(B149="","",SUMIFS('Factory Costs'!$C:$C,'Factory Costs'!$A:$A,"Blades",'Factory Costs'!$B:$B,B149))</f>
        <v>37</v>
      </c>
    </row>
    <row r="150" spans="1:3" x14ac:dyDescent="0.25">
      <c r="A150" s="1" t="s">
        <v>7001</v>
      </c>
      <c r="B150" s="1" t="s">
        <v>16370</v>
      </c>
      <c r="C150" s="3">
        <f>IF(B150="","",SUMIFS('Factory Costs'!$C:$C,'Factory Costs'!$A:$A,"Blades",'Factory Costs'!$B:$B,B150))</f>
        <v>34</v>
      </c>
    </row>
    <row r="151" spans="1:3" x14ac:dyDescent="0.25">
      <c r="A151" s="1" t="s">
        <v>7004</v>
      </c>
      <c r="B151" s="1" t="s">
        <v>16372</v>
      </c>
      <c r="C151" s="3">
        <f>IF(B151="","",SUMIFS('Factory Costs'!$C:$C,'Factory Costs'!$A:$A,"Blades",'Factory Costs'!$B:$B,B151))</f>
        <v>42</v>
      </c>
    </row>
    <row r="152" spans="1:3" x14ac:dyDescent="0.25">
      <c r="A152" s="1" t="s">
        <v>7007</v>
      </c>
      <c r="B152" s="1" t="s">
        <v>16371</v>
      </c>
      <c r="C152" s="3">
        <f>IF(B152="","",SUMIFS('Factory Costs'!$C:$C,'Factory Costs'!$A:$A,"Blades",'Factory Costs'!$B:$B,B152))</f>
        <v>37</v>
      </c>
    </row>
    <row r="153" spans="1:3" x14ac:dyDescent="0.25">
      <c r="A153" s="1" t="s">
        <v>7010</v>
      </c>
      <c r="B153" s="1" t="s">
        <v>16370</v>
      </c>
      <c r="C153" s="3">
        <f>IF(B153="","",SUMIFS('Factory Costs'!$C:$C,'Factory Costs'!$A:$A,"Blades",'Factory Costs'!$B:$B,B153))</f>
        <v>34</v>
      </c>
    </row>
    <row r="154" spans="1:3" x14ac:dyDescent="0.25">
      <c r="A154" s="1" t="s">
        <v>7013</v>
      </c>
      <c r="B154" s="1" t="s">
        <v>16370</v>
      </c>
      <c r="C154" s="3">
        <f>IF(B154="","",SUMIFS('Factory Costs'!$C:$C,'Factory Costs'!$A:$A,"Blades",'Factory Costs'!$B:$B,B154))</f>
        <v>34</v>
      </c>
    </row>
    <row r="155" spans="1:3" x14ac:dyDescent="0.25">
      <c r="A155" s="1" t="s">
        <v>7016</v>
      </c>
      <c r="B155" s="1" t="s">
        <v>16371</v>
      </c>
      <c r="C155" s="3">
        <f>IF(B155="","",SUMIFS('Factory Costs'!$C:$C,'Factory Costs'!$A:$A,"Blades",'Factory Costs'!$B:$B,B155))</f>
        <v>37</v>
      </c>
    </row>
    <row r="156" spans="1:3" x14ac:dyDescent="0.25">
      <c r="A156" s="1" t="s">
        <v>7019</v>
      </c>
      <c r="B156" s="1" t="s">
        <v>16372</v>
      </c>
      <c r="C156" s="3">
        <f>IF(B156="","",SUMIFS('Factory Costs'!$C:$C,'Factory Costs'!$A:$A,"Blades",'Factory Costs'!$B:$B,B156))</f>
        <v>42</v>
      </c>
    </row>
    <row r="157" spans="1:3" x14ac:dyDescent="0.25">
      <c r="A157" s="1" t="s">
        <v>7022</v>
      </c>
      <c r="B157" s="1" t="s">
        <v>16372</v>
      </c>
      <c r="C157" s="3">
        <f>IF(B157="","",SUMIFS('Factory Costs'!$C:$C,'Factory Costs'!$A:$A,"Blades",'Factory Costs'!$B:$B,B157))</f>
        <v>42</v>
      </c>
    </row>
    <row r="158" spans="1:3" x14ac:dyDescent="0.25">
      <c r="A158" s="1" t="s">
        <v>7025</v>
      </c>
      <c r="B158" s="1" t="s">
        <v>16370</v>
      </c>
      <c r="C158" s="3">
        <f>IF(B158="","",SUMIFS('Factory Costs'!$C:$C,'Factory Costs'!$A:$A,"Blades",'Factory Costs'!$B:$B,B158))</f>
        <v>34</v>
      </c>
    </row>
    <row r="159" spans="1:3" x14ac:dyDescent="0.25">
      <c r="A159" s="1" t="s">
        <v>7028</v>
      </c>
      <c r="B159" s="1" t="s">
        <v>16371</v>
      </c>
      <c r="C159" s="3">
        <f>IF(B159="","",SUMIFS('Factory Costs'!$C:$C,'Factory Costs'!$A:$A,"Blades",'Factory Costs'!$B:$B,B159))</f>
        <v>37</v>
      </c>
    </row>
    <row r="160" spans="1:3" x14ac:dyDescent="0.25">
      <c r="A160" s="1" t="s">
        <v>7031</v>
      </c>
      <c r="B160" s="1" t="s">
        <v>16370</v>
      </c>
      <c r="C160" s="3">
        <f>IF(B160="","",SUMIFS('Factory Costs'!$C:$C,'Factory Costs'!$A:$A,"Blades",'Factory Costs'!$B:$B,B160))</f>
        <v>34</v>
      </c>
    </row>
    <row r="161" spans="1:3" x14ac:dyDescent="0.25">
      <c r="A161" s="1" t="s">
        <v>7034</v>
      </c>
      <c r="B161" s="1" t="s">
        <v>16370</v>
      </c>
      <c r="C161" s="3">
        <f>IF(B161="","",SUMIFS('Factory Costs'!$C:$C,'Factory Costs'!$A:$A,"Blades",'Factory Costs'!$B:$B,B161))</f>
        <v>34</v>
      </c>
    </row>
    <row r="162" spans="1:3" x14ac:dyDescent="0.25">
      <c r="A162" s="1" t="s">
        <v>7037</v>
      </c>
      <c r="B162" s="1" t="s">
        <v>16371</v>
      </c>
      <c r="C162" s="3">
        <f>IF(B162="","",SUMIFS('Factory Costs'!$C:$C,'Factory Costs'!$A:$A,"Blades",'Factory Costs'!$B:$B,B162))</f>
        <v>37</v>
      </c>
    </row>
    <row r="163" spans="1:3" x14ac:dyDescent="0.25">
      <c r="A163" s="1" t="s">
        <v>7040</v>
      </c>
      <c r="B163" s="1" t="s">
        <v>16372</v>
      </c>
      <c r="C163" s="3">
        <f>IF(B163="","",SUMIFS('Factory Costs'!$C:$C,'Factory Costs'!$A:$A,"Blades",'Factory Costs'!$B:$B,B163))</f>
        <v>42</v>
      </c>
    </row>
    <row r="164" spans="1:3" x14ac:dyDescent="0.25">
      <c r="A164" s="1" t="s">
        <v>7043</v>
      </c>
      <c r="B164" s="1" t="s">
        <v>16371</v>
      </c>
      <c r="C164" s="3">
        <f>IF(B164="","",SUMIFS('Factory Costs'!$C:$C,'Factory Costs'!$A:$A,"Blades",'Factory Costs'!$B:$B,B164))</f>
        <v>37</v>
      </c>
    </row>
    <row r="165" spans="1:3" x14ac:dyDescent="0.25">
      <c r="A165" s="1" t="s">
        <v>7046</v>
      </c>
      <c r="B165" s="1" t="s">
        <v>16370</v>
      </c>
      <c r="C165" s="3">
        <f>IF(B165="","",SUMIFS('Factory Costs'!$C:$C,'Factory Costs'!$A:$A,"Blades",'Factory Costs'!$B:$B,B165))</f>
        <v>34</v>
      </c>
    </row>
    <row r="166" spans="1:3" x14ac:dyDescent="0.25">
      <c r="A166" s="1" t="s">
        <v>7049</v>
      </c>
      <c r="B166" s="1" t="s">
        <v>16372</v>
      </c>
      <c r="C166" s="3">
        <f>IF(B166="","",SUMIFS('Factory Costs'!$C:$C,'Factory Costs'!$A:$A,"Blades",'Factory Costs'!$B:$B,B166))</f>
        <v>42</v>
      </c>
    </row>
    <row r="167" spans="1:3" x14ac:dyDescent="0.25">
      <c r="A167" s="1" t="s">
        <v>7052</v>
      </c>
      <c r="B167" s="1" t="s">
        <v>16372</v>
      </c>
      <c r="C167" s="3">
        <f>IF(B167="","",SUMIFS('Factory Costs'!$C:$C,'Factory Costs'!$A:$A,"Blades",'Factory Costs'!$B:$B,B167))</f>
        <v>42</v>
      </c>
    </row>
    <row r="168" spans="1:3" x14ac:dyDescent="0.25">
      <c r="A168" s="1" t="s">
        <v>7055</v>
      </c>
      <c r="B168" s="1" t="s">
        <v>16371</v>
      </c>
      <c r="C168" s="3">
        <f>IF(B168="","",SUMIFS('Factory Costs'!$C:$C,'Factory Costs'!$A:$A,"Blades",'Factory Costs'!$B:$B,B168))</f>
        <v>37</v>
      </c>
    </row>
    <row r="169" spans="1:3" x14ac:dyDescent="0.25">
      <c r="A169" s="1" t="s">
        <v>7058</v>
      </c>
      <c r="B169" s="1" t="s">
        <v>16370</v>
      </c>
      <c r="C169" s="3">
        <f>IF(B169="","",SUMIFS('Factory Costs'!$C:$C,'Factory Costs'!$A:$A,"Blades",'Factory Costs'!$B:$B,B169))</f>
        <v>34</v>
      </c>
    </row>
    <row r="170" spans="1:3" x14ac:dyDescent="0.25">
      <c r="A170" s="1" t="s">
        <v>7061</v>
      </c>
      <c r="B170" s="1" t="s">
        <v>16370</v>
      </c>
      <c r="C170" s="3">
        <f>IF(B170="","",SUMIFS('Factory Costs'!$C:$C,'Factory Costs'!$A:$A,"Blades",'Factory Costs'!$B:$B,B170))</f>
        <v>34</v>
      </c>
    </row>
    <row r="171" spans="1:3" x14ac:dyDescent="0.25">
      <c r="A171" s="1" t="s">
        <v>7064</v>
      </c>
      <c r="B171" s="1" t="s">
        <v>16372</v>
      </c>
      <c r="C171" s="3">
        <f>IF(B171="","",SUMIFS('Factory Costs'!$C:$C,'Factory Costs'!$A:$A,"Blades",'Factory Costs'!$B:$B,B171))</f>
        <v>42</v>
      </c>
    </row>
    <row r="172" spans="1:3" x14ac:dyDescent="0.25">
      <c r="A172" s="1" t="s">
        <v>7067</v>
      </c>
      <c r="B172" s="1" t="s">
        <v>16371</v>
      </c>
      <c r="C172" s="3">
        <f>IF(B172="","",SUMIFS('Factory Costs'!$C:$C,'Factory Costs'!$A:$A,"Blades",'Factory Costs'!$B:$B,B172))</f>
        <v>37</v>
      </c>
    </row>
    <row r="173" spans="1:3" x14ac:dyDescent="0.25">
      <c r="A173" s="1" t="s">
        <v>7070</v>
      </c>
      <c r="B173" s="1" t="s">
        <v>16371</v>
      </c>
      <c r="C173" s="3">
        <f>IF(B173="","",SUMIFS('Factory Costs'!$C:$C,'Factory Costs'!$A:$A,"Blades",'Factory Costs'!$B:$B,B173))</f>
        <v>37</v>
      </c>
    </row>
    <row r="174" spans="1:3" x14ac:dyDescent="0.25">
      <c r="A174" s="1" t="s">
        <v>7073</v>
      </c>
      <c r="B174" s="1" t="s">
        <v>16371</v>
      </c>
      <c r="C174" s="3">
        <f>IF(B174="","",SUMIFS('Factory Costs'!$C:$C,'Factory Costs'!$A:$A,"Blades",'Factory Costs'!$B:$B,B174))</f>
        <v>37</v>
      </c>
    </row>
    <row r="175" spans="1:3" x14ac:dyDescent="0.25">
      <c r="A175" s="1" t="s">
        <v>7076</v>
      </c>
      <c r="B175" s="1" t="s">
        <v>16371</v>
      </c>
      <c r="C175" s="3">
        <f>IF(B175="","",SUMIFS('Factory Costs'!$C:$C,'Factory Costs'!$A:$A,"Blades",'Factory Costs'!$B:$B,B175))</f>
        <v>37</v>
      </c>
    </row>
    <row r="176" spans="1:3" x14ac:dyDescent="0.25">
      <c r="A176" s="1" t="s">
        <v>7079</v>
      </c>
      <c r="B176" s="1" t="s">
        <v>16372</v>
      </c>
      <c r="C176" s="3">
        <f>IF(B176="","",SUMIFS('Factory Costs'!$C:$C,'Factory Costs'!$A:$A,"Blades",'Factory Costs'!$B:$B,B176))</f>
        <v>42</v>
      </c>
    </row>
    <row r="177" spans="1:3" x14ac:dyDescent="0.25">
      <c r="A177" s="1" t="s">
        <v>7082</v>
      </c>
      <c r="B177" s="1" t="s">
        <v>16370</v>
      </c>
      <c r="C177" s="3">
        <f>IF(B177="","",SUMIFS('Factory Costs'!$C:$C,'Factory Costs'!$A:$A,"Blades",'Factory Costs'!$B:$B,B177))</f>
        <v>34</v>
      </c>
    </row>
    <row r="178" spans="1:3" x14ac:dyDescent="0.25">
      <c r="A178" s="1" t="s">
        <v>7085</v>
      </c>
      <c r="B178" s="1" t="s">
        <v>16372</v>
      </c>
      <c r="C178" s="3">
        <f>IF(B178="","",SUMIFS('Factory Costs'!$C:$C,'Factory Costs'!$A:$A,"Blades",'Factory Costs'!$B:$B,B178))</f>
        <v>42</v>
      </c>
    </row>
    <row r="179" spans="1:3" x14ac:dyDescent="0.25">
      <c r="A179" s="1" t="s">
        <v>7088</v>
      </c>
      <c r="B179" s="1" t="s">
        <v>16372</v>
      </c>
      <c r="C179" s="3">
        <f>IF(B179="","",SUMIFS('Factory Costs'!$C:$C,'Factory Costs'!$A:$A,"Blades",'Factory Costs'!$B:$B,B179))</f>
        <v>42</v>
      </c>
    </row>
    <row r="180" spans="1:3" x14ac:dyDescent="0.25">
      <c r="A180" s="1" t="s">
        <v>7091</v>
      </c>
      <c r="B180" s="1" t="s">
        <v>16371</v>
      </c>
      <c r="C180" s="3">
        <f>IF(B180="","",SUMIFS('Factory Costs'!$C:$C,'Factory Costs'!$A:$A,"Blades",'Factory Costs'!$B:$B,B180))</f>
        <v>37</v>
      </c>
    </row>
    <row r="181" spans="1:3" x14ac:dyDescent="0.25">
      <c r="A181" s="1" t="s">
        <v>7094</v>
      </c>
      <c r="B181" s="1" t="s">
        <v>16370</v>
      </c>
      <c r="C181" s="3">
        <f>IF(B181="","",SUMIFS('Factory Costs'!$C:$C,'Factory Costs'!$A:$A,"Blades",'Factory Costs'!$B:$B,B181))</f>
        <v>34</v>
      </c>
    </row>
    <row r="182" spans="1:3" x14ac:dyDescent="0.25">
      <c r="A182" s="1" t="s">
        <v>7097</v>
      </c>
      <c r="B182" s="1" t="s">
        <v>16371</v>
      </c>
      <c r="C182" s="3">
        <f>IF(B182="","",SUMIFS('Factory Costs'!$C:$C,'Factory Costs'!$A:$A,"Blades",'Factory Costs'!$B:$B,B182))</f>
        <v>37</v>
      </c>
    </row>
    <row r="183" spans="1:3" x14ac:dyDescent="0.25">
      <c r="A183" s="1" t="s">
        <v>7100</v>
      </c>
      <c r="B183" s="1" t="s">
        <v>16371</v>
      </c>
      <c r="C183" s="3">
        <f>IF(B183="","",SUMIFS('Factory Costs'!$C:$C,'Factory Costs'!$A:$A,"Blades",'Factory Costs'!$B:$B,B183))</f>
        <v>37</v>
      </c>
    </row>
    <row r="184" spans="1:3" x14ac:dyDescent="0.25">
      <c r="A184" s="1" t="s">
        <v>7103</v>
      </c>
      <c r="B184" s="1" t="s">
        <v>16372</v>
      </c>
      <c r="C184" s="3">
        <f>IF(B184="","",SUMIFS('Factory Costs'!$C:$C,'Factory Costs'!$A:$A,"Blades",'Factory Costs'!$B:$B,B184))</f>
        <v>42</v>
      </c>
    </row>
    <row r="185" spans="1:3" x14ac:dyDescent="0.25">
      <c r="A185" s="1" t="s">
        <v>7106</v>
      </c>
      <c r="B185" s="1" t="s">
        <v>16371</v>
      </c>
      <c r="C185" s="3">
        <f>IF(B185="","",SUMIFS('Factory Costs'!$C:$C,'Factory Costs'!$A:$A,"Blades",'Factory Costs'!$B:$B,B185))</f>
        <v>37</v>
      </c>
    </row>
    <row r="186" spans="1:3" x14ac:dyDescent="0.25">
      <c r="A186" s="1" t="s">
        <v>7109</v>
      </c>
      <c r="B186" s="1" t="s">
        <v>16372</v>
      </c>
      <c r="C186" s="3">
        <f>IF(B186="","",SUMIFS('Factory Costs'!$C:$C,'Factory Costs'!$A:$A,"Blades",'Factory Costs'!$B:$B,B186))</f>
        <v>42</v>
      </c>
    </row>
    <row r="187" spans="1:3" x14ac:dyDescent="0.25">
      <c r="A187" s="1" t="s">
        <v>7112</v>
      </c>
      <c r="B187" s="1" t="s">
        <v>16370</v>
      </c>
      <c r="C187" s="3">
        <f>IF(B187="","",SUMIFS('Factory Costs'!$C:$C,'Factory Costs'!$A:$A,"Blades",'Factory Costs'!$B:$B,B187))</f>
        <v>34</v>
      </c>
    </row>
    <row r="188" spans="1:3" x14ac:dyDescent="0.25">
      <c r="A188" s="1" t="s">
        <v>7115</v>
      </c>
      <c r="B188" s="1" t="s">
        <v>16371</v>
      </c>
      <c r="C188" s="3">
        <f>IF(B188="","",SUMIFS('Factory Costs'!$C:$C,'Factory Costs'!$A:$A,"Blades",'Factory Costs'!$B:$B,B188))</f>
        <v>37</v>
      </c>
    </row>
    <row r="189" spans="1:3" x14ac:dyDescent="0.25">
      <c r="A189" s="1" t="s">
        <v>7118</v>
      </c>
      <c r="B189" s="1" t="s">
        <v>16371</v>
      </c>
      <c r="C189" s="3">
        <f>IF(B189="","",SUMIFS('Factory Costs'!$C:$C,'Factory Costs'!$A:$A,"Blades",'Factory Costs'!$B:$B,B189))</f>
        <v>37</v>
      </c>
    </row>
    <row r="190" spans="1:3" x14ac:dyDescent="0.25">
      <c r="A190" s="1" t="s">
        <v>7121</v>
      </c>
      <c r="B190" s="1" t="s">
        <v>16372</v>
      </c>
      <c r="C190" s="3">
        <f>IF(B190="","",SUMIFS('Factory Costs'!$C:$C,'Factory Costs'!$A:$A,"Blades",'Factory Costs'!$B:$B,B190))</f>
        <v>42</v>
      </c>
    </row>
    <row r="191" spans="1:3" x14ac:dyDescent="0.25">
      <c r="A191" s="1" t="s">
        <v>7124</v>
      </c>
      <c r="B191" s="1" t="s">
        <v>16372</v>
      </c>
      <c r="C191" s="3">
        <f>IF(B191="","",SUMIFS('Factory Costs'!$C:$C,'Factory Costs'!$A:$A,"Blades",'Factory Costs'!$B:$B,B191))</f>
        <v>42</v>
      </c>
    </row>
    <row r="192" spans="1:3" x14ac:dyDescent="0.25">
      <c r="A192" s="1" t="s">
        <v>7127</v>
      </c>
      <c r="B192" s="1" t="s">
        <v>16371</v>
      </c>
      <c r="C192" s="3">
        <f>IF(B192="","",SUMIFS('Factory Costs'!$C:$C,'Factory Costs'!$A:$A,"Blades",'Factory Costs'!$B:$B,B192))</f>
        <v>37</v>
      </c>
    </row>
    <row r="193" spans="1:3" x14ac:dyDescent="0.25">
      <c r="A193" s="1" t="s">
        <v>7130</v>
      </c>
      <c r="B193" s="1" t="s">
        <v>16370</v>
      </c>
      <c r="C193" s="3">
        <f>IF(B193="","",SUMIFS('Factory Costs'!$C:$C,'Factory Costs'!$A:$A,"Blades",'Factory Costs'!$B:$B,B193))</f>
        <v>34</v>
      </c>
    </row>
    <row r="194" spans="1:3" x14ac:dyDescent="0.25">
      <c r="A194" s="1" t="s">
        <v>7133</v>
      </c>
      <c r="B194" s="1" t="s">
        <v>16370</v>
      </c>
      <c r="C194" s="3">
        <f>IF(B194="","",SUMIFS('Factory Costs'!$C:$C,'Factory Costs'!$A:$A,"Blades",'Factory Costs'!$B:$B,B194))</f>
        <v>34</v>
      </c>
    </row>
    <row r="195" spans="1:3" x14ac:dyDescent="0.25">
      <c r="A195" s="1" t="s">
        <v>7136</v>
      </c>
      <c r="B195" s="1" t="s">
        <v>16372</v>
      </c>
      <c r="C195" s="3">
        <f>IF(B195="","",SUMIFS('Factory Costs'!$C:$C,'Factory Costs'!$A:$A,"Blades",'Factory Costs'!$B:$B,B195))</f>
        <v>42</v>
      </c>
    </row>
    <row r="196" spans="1:3" x14ac:dyDescent="0.25">
      <c r="A196" s="1" t="s">
        <v>7139</v>
      </c>
      <c r="B196" s="1" t="s">
        <v>16371</v>
      </c>
      <c r="C196" s="3">
        <f>IF(B196="","",SUMIFS('Factory Costs'!$C:$C,'Factory Costs'!$A:$A,"Blades",'Factory Costs'!$B:$B,B196))</f>
        <v>37</v>
      </c>
    </row>
    <row r="197" spans="1:3" x14ac:dyDescent="0.25">
      <c r="A197" s="1" t="s">
        <v>7142</v>
      </c>
      <c r="B197" s="1" t="s">
        <v>16371</v>
      </c>
      <c r="C197" s="3">
        <f>IF(B197="","",SUMIFS('Factory Costs'!$C:$C,'Factory Costs'!$A:$A,"Blades",'Factory Costs'!$B:$B,B197))</f>
        <v>37</v>
      </c>
    </row>
    <row r="198" spans="1:3" x14ac:dyDescent="0.25">
      <c r="A198" s="1" t="s">
        <v>7145</v>
      </c>
      <c r="B198" s="1" t="s">
        <v>16370</v>
      </c>
      <c r="C198" s="3">
        <f>IF(B198="","",SUMIFS('Factory Costs'!$C:$C,'Factory Costs'!$A:$A,"Blades",'Factory Costs'!$B:$B,B198))</f>
        <v>34</v>
      </c>
    </row>
    <row r="199" spans="1:3" x14ac:dyDescent="0.25">
      <c r="A199" s="1" t="s">
        <v>7148</v>
      </c>
      <c r="B199" s="1" t="s">
        <v>16371</v>
      </c>
      <c r="C199" s="3">
        <f>IF(B199="","",SUMIFS('Factory Costs'!$C:$C,'Factory Costs'!$A:$A,"Blades",'Factory Costs'!$B:$B,B199))</f>
        <v>37</v>
      </c>
    </row>
    <row r="200" spans="1:3" x14ac:dyDescent="0.25">
      <c r="A200" s="1" t="s">
        <v>7151</v>
      </c>
      <c r="B200" s="1" t="s">
        <v>16370</v>
      </c>
      <c r="C200" s="3">
        <f>IF(B200="","",SUMIFS('Factory Costs'!$C:$C,'Factory Costs'!$A:$A,"Blades",'Factory Costs'!$B:$B,B200))</f>
        <v>34</v>
      </c>
    </row>
    <row r="201" spans="1:3" x14ac:dyDescent="0.25">
      <c r="A201" s="1" t="s">
        <v>7154</v>
      </c>
      <c r="B201" s="1" t="s">
        <v>16372</v>
      </c>
      <c r="C201" s="3">
        <f>IF(B201="","",SUMIFS('Factory Costs'!$C:$C,'Factory Costs'!$A:$A,"Blades",'Factory Costs'!$B:$B,B201))</f>
        <v>42</v>
      </c>
    </row>
    <row r="202" spans="1:3" x14ac:dyDescent="0.25">
      <c r="A202" s="1" t="s">
        <v>7157</v>
      </c>
      <c r="B202" s="1" t="s">
        <v>16372</v>
      </c>
      <c r="C202" s="3">
        <f>IF(B202="","",SUMIFS('Factory Costs'!$C:$C,'Factory Costs'!$A:$A,"Blades",'Factory Costs'!$B:$B,B202))</f>
        <v>42</v>
      </c>
    </row>
    <row r="203" spans="1:3" x14ac:dyDescent="0.25">
      <c r="A203" s="1" t="s">
        <v>7160</v>
      </c>
      <c r="B203" s="1" t="s">
        <v>16371</v>
      </c>
      <c r="C203" s="3">
        <f>IF(B203="","",SUMIFS('Factory Costs'!$C:$C,'Factory Costs'!$A:$A,"Blades",'Factory Costs'!$B:$B,B203))</f>
        <v>37</v>
      </c>
    </row>
    <row r="204" spans="1:3" x14ac:dyDescent="0.25">
      <c r="A204" s="1" t="s">
        <v>7163</v>
      </c>
      <c r="B204" s="1" t="s">
        <v>16371</v>
      </c>
      <c r="C204" s="3">
        <f>IF(B204="","",SUMIFS('Factory Costs'!$C:$C,'Factory Costs'!$A:$A,"Blades",'Factory Costs'!$B:$B,B204))</f>
        <v>37</v>
      </c>
    </row>
    <row r="205" spans="1:3" x14ac:dyDescent="0.25">
      <c r="A205" s="1" t="s">
        <v>7166</v>
      </c>
      <c r="B205" s="1" t="s">
        <v>16370</v>
      </c>
      <c r="C205" s="3">
        <f>IF(B205="","",SUMIFS('Factory Costs'!$C:$C,'Factory Costs'!$A:$A,"Blades",'Factory Costs'!$B:$B,B205))</f>
        <v>34</v>
      </c>
    </row>
    <row r="206" spans="1:3" x14ac:dyDescent="0.25">
      <c r="A206" s="1" t="s">
        <v>7169</v>
      </c>
      <c r="B206" s="1" t="s">
        <v>16370</v>
      </c>
      <c r="C206" s="3">
        <f>IF(B206="","",SUMIFS('Factory Costs'!$C:$C,'Factory Costs'!$A:$A,"Blades",'Factory Costs'!$B:$B,B206))</f>
        <v>34</v>
      </c>
    </row>
    <row r="207" spans="1:3" x14ac:dyDescent="0.25">
      <c r="A207" s="1" t="s">
        <v>7172</v>
      </c>
      <c r="B207" s="1" t="s">
        <v>16370</v>
      </c>
      <c r="C207" s="3">
        <f>IF(B207="","",SUMIFS('Factory Costs'!$C:$C,'Factory Costs'!$A:$A,"Blades",'Factory Costs'!$B:$B,B207))</f>
        <v>34</v>
      </c>
    </row>
    <row r="208" spans="1:3" x14ac:dyDescent="0.25">
      <c r="A208" s="1" t="s">
        <v>7175</v>
      </c>
      <c r="B208" s="1" t="s">
        <v>16372</v>
      </c>
      <c r="C208" s="3">
        <f>IF(B208="","",SUMIFS('Factory Costs'!$C:$C,'Factory Costs'!$A:$A,"Blades",'Factory Costs'!$B:$B,B208))</f>
        <v>42</v>
      </c>
    </row>
    <row r="209" spans="1:3" x14ac:dyDescent="0.25">
      <c r="A209" s="1" t="s">
        <v>7178</v>
      </c>
      <c r="B209" s="1" t="s">
        <v>16371</v>
      </c>
      <c r="C209" s="3">
        <f>IF(B209="","",SUMIFS('Factory Costs'!$C:$C,'Factory Costs'!$A:$A,"Blades",'Factory Costs'!$B:$B,B209))</f>
        <v>37</v>
      </c>
    </row>
    <row r="210" spans="1:3" x14ac:dyDescent="0.25">
      <c r="A210" s="1" t="s">
        <v>7181</v>
      </c>
      <c r="B210" s="1" t="s">
        <v>16370</v>
      </c>
      <c r="C210" s="3">
        <f>IF(B210="","",SUMIFS('Factory Costs'!$C:$C,'Factory Costs'!$A:$A,"Blades",'Factory Costs'!$B:$B,B210))</f>
        <v>34</v>
      </c>
    </row>
    <row r="211" spans="1:3" x14ac:dyDescent="0.25">
      <c r="A211" s="1" t="s">
        <v>7184</v>
      </c>
      <c r="B211" s="1" t="s">
        <v>16371</v>
      </c>
      <c r="C211" s="3">
        <f>IF(B211="","",SUMIFS('Factory Costs'!$C:$C,'Factory Costs'!$A:$A,"Blades",'Factory Costs'!$B:$B,B211))</f>
        <v>37</v>
      </c>
    </row>
    <row r="212" spans="1:3" x14ac:dyDescent="0.25">
      <c r="A212" s="1" t="s">
        <v>7187</v>
      </c>
      <c r="B212" s="1" t="s">
        <v>16370</v>
      </c>
      <c r="C212" s="3">
        <f>IF(B212="","",SUMIFS('Factory Costs'!$C:$C,'Factory Costs'!$A:$A,"Blades",'Factory Costs'!$B:$B,B212))</f>
        <v>34</v>
      </c>
    </row>
    <row r="213" spans="1:3" x14ac:dyDescent="0.25">
      <c r="A213" s="1" t="s">
        <v>7190</v>
      </c>
      <c r="B213" s="1" t="s">
        <v>16370</v>
      </c>
      <c r="C213" s="3">
        <f>IF(B213="","",SUMIFS('Factory Costs'!$C:$C,'Factory Costs'!$A:$A,"Blades",'Factory Costs'!$B:$B,B213))</f>
        <v>34</v>
      </c>
    </row>
    <row r="214" spans="1:3" x14ac:dyDescent="0.25">
      <c r="A214" s="1" t="s">
        <v>7193</v>
      </c>
      <c r="B214" s="1" t="s">
        <v>16370</v>
      </c>
      <c r="C214" s="3">
        <f>IF(B214="","",SUMIFS('Factory Costs'!$C:$C,'Factory Costs'!$A:$A,"Blades",'Factory Costs'!$B:$B,B214))</f>
        <v>34</v>
      </c>
    </row>
    <row r="215" spans="1:3" x14ac:dyDescent="0.25">
      <c r="A215" s="1" t="s">
        <v>7196</v>
      </c>
      <c r="B215" s="1" t="s">
        <v>16370</v>
      </c>
      <c r="C215" s="3">
        <f>IF(B215="","",SUMIFS('Factory Costs'!$C:$C,'Factory Costs'!$A:$A,"Blades",'Factory Costs'!$B:$B,B215))</f>
        <v>34</v>
      </c>
    </row>
    <row r="216" spans="1:3" x14ac:dyDescent="0.25">
      <c r="A216" s="1" t="s">
        <v>7199</v>
      </c>
      <c r="B216" s="1" t="s">
        <v>16371</v>
      </c>
      <c r="C216" s="3">
        <f>IF(B216="","",SUMIFS('Factory Costs'!$C:$C,'Factory Costs'!$A:$A,"Blades",'Factory Costs'!$B:$B,B216))</f>
        <v>37</v>
      </c>
    </row>
    <row r="217" spans="1:3" x14ac:dyDescent="0.25">
      <c r="A217" s="1" t="s">
        <v>7202</v>
      </c>
      <c r="B217" s="1" t="s">
        <v>16370</v>
      </c>
      <c r="C217" s="3">
        <f>IF(B217="","",SUMIFS('Factory Costs'!$C:$C,'Factory Costs'!$A:$A,"Blades",'Factory Costs'!$B:$B,B217))</f>
        <v>34</v>
      </c>
    </row>
    <row r="218" spans="1:3" x14ac:dyDescent="0.25">
      <c r="A218" s="1" t="s">
        <v>7205</v>
      </c>
      <c r="B218" s="1" t="s">
        <v>16371</v>
      </c>
      <c r="C218" s="3">
        <f>IF(B218="","",SUMIFS('Factory Costs'!$C:$C,'Factory Costs'!$A:$A,"Blades",'Factory Costs'!$B:$B,B218))</f>
        <v>37</v>
      </c>
    </row>
    <row r="219" spans="1:3" x14ac:dyDescent="0.25">
      <c r="A219" s="1" t="s">
        <v>7208</v>
      </c>
      <c r="B219" s="1" t="s">
        <v>16370</v>
      </c>
      <c r="C219" s="3">
        <f>IF(B219="","",SUMIFS('Factory Costs'!$C:$C,'Factory Costs'!$A:$A,"Blades",'Factory Costs'!$B:$B,B219))</f>
        <v>34</v>
      </c>
    </row>
    <row r="220" spans="1:3" x14ac:dyDescent="0.25">
      <c r="A220" s="1" t="s">
        <v>7211</v>
      </c>
      <c r="B220" s="1" t="s">
        <v>16370</v>
      </c>
      <c r="C220" s="3">
        <f>IF(B220="","",SUMIFS('Factory Costs'!$C:$C,'Factory Costs'!$A:$A,"Blades",'Factory Costs'!$B:$B,B220))</f>
        <v>34</v>
      </c>
    </row>
    <row r="221" spans="1:3" x14ac:dyDescent="0.25">
      <c r="A221" s="1" t="s">
        <v>7214</v>
      </c>
      <c r="B221" s="1" t="s">
        <v>16372</v>
      </c>
      <c r="C221" s="3">
        <f>IF(B221="","",SUMIFS('Factory Costs'!$C:$C,'Factory Costs'!$A:$A,"Blades",'Factory Costs'!$B:$B,B221))</f>
        <v>42</v>
      </c>
    </row>
    <row r="222" spans="1:3" x14ac:dyDescent="0.25">
      <c r="A222" s="1" t="s">
        <v>7217</v>
      </c>
      <c r="B222" s="1" t="s">
        <v>16372</v>
      </c>
      <c r="C222" s="3">
        <f>IF(B222="","",SUMIFS('Factory Costs'!$C:$C,'Factory Costs'!$A:$A,"Blades",'Factory Costs'!$B:$B,B222))</f>
        <v>42</v>
      </c>
    </row>
    <row r="223" spans="1:3" x14ac:dyDescent="0.25">
      <c r="A223" s="1" t="s">
        <v>7220</v>
      </c>
      <c r="B223" s="1" t="s">
        <v>16372</v>
      </c>
      <c r="C223" s="3">
        <f>IF(B223="","",SUMIFS('Factory Costs'!$C:$C,'Factory Costs'!$A:$A,"Blades",'Factory Costs'!$B:$B,B223))</f>
        <v>42</v>
      </c>
    </row>
    <row r="224" spans="1:3" x14ac:dyDescent="0.25">
      <c r="A224" s="1" t="s">
        <v>7223</v>
      </c>
      <c r="B224" s="1" t="s">
        <v>16370</v>
      </c>
      <c r="C224" s="3">
        <f>IF(B224="","",SUMIFS('Factory Costs'!$C:$C,'Factory Costs'!$A:$A,"Blades",'Factory Costs'!$B:$B,B224))</f>
        <v>34</v>
      </c>
    </row>
    <row r="225" spans="1:3" x14ac:dyDescent="0.25">
      <c r="A225" s="1" t="s">
        <v>7226</v>
      </c>
      <c r="B225" s="1" t="s">
        <v>16371</v>
      </c>
      <c r="C225" s="3">
        <f>IF(B225="","",SUMIFS('Factory Costs'!$C:$C,'Factory Costs'!$A:$A,"Blades",'Factory Costs'!$B:$B,B225))</f>
        <v>37</v>
      </c>
    </row>
    <row r="226" spans="1:3" x14ac:dyDescent="0.25">
      <c r="A226" s="1" t="s">
        <v>7229</v>
      </c>
      <c r="B226" s="1" t="s">
        <v>16370</v>
      </c>
      <c r="C226" s="3">
        <f>IF(B226="","",SUMIFS('Factory Costs'!$C:$C,'Factory Costs'!$A:$A,"Blades",'Factory Costs'!$B:$B,B226))</f>
        <v>34</v>
      </c>
    </row>
    <row r="227" spans="1:3" x14ac:dyDescent="0.25">
      <c r="A227" s="1" t="s">
        <v>7232</v>
      </c>
      <c r="B227" s="1" t="s">
        <v>16370</v>
      </c>
      <c r="C227" s="3">
        <f>IF(B227="","",SUMIFS('Factory Costs'!$C:$C,'Factory Costs'!$A:$A,"Blades",'Factory Costs'!$B:$B,B227))</f>
        <v>34</v>
      </c>
    </row>
    <row r="228" spans="1:3" x14ac:dyDescent="0.25">
      <c r="A228" s="1" t="s">
        <v>7235</v>
      </c>
      <c r="B228" s="1" t="s">
        <v>16370</v>
      </c>
      <c r="C228" s="3">
        <f>IF(B228="","",SUMIFS('Factory Costs'!$C:$C,'Factory Costs'!$A:$A,"Blades",'Factory Costs'!$B:$B,B228))</f>
        <v>34</v>
      </c>
    </row>
    <row r="229" spans="1:3" x14ac:dyDescent="0.25">
      <c r="A229" s="1" t="s">
        <v>7238</v>
      </c>
      <c r="B229" s="1" t="s">
        <v>16370</v>
      </c>
      <c r="C229" s="3">
        <f>IF(B229="","",SUMIFS('Factory Costs'!$C:$C,'Factory Costs'!$A:$A,"Blades",'Factory Costs'!$B:$B,B229))</f>
        <v>34</v>
      </c>
    </row>
    <row r="230" spans="1:3" x14ac:dyDescent="0.25">
      <c r="A230" s="1" t="s">
        <v>7241</v>
      </c>
      <c r="B230" s="1" t="s">
        <v>16370</v>
      </c>
      <c r="C230" s="3">
        <f>IF(B230="","",SUMIFS('Factory Costs'!$C:$C,'Factory Costs'!$A:$A,"Blades",'Factory Costs'!$B:$B,B230))</f>
        <v>34</v>
      </c>
    </row>
    <row r="231" spans="1:3" x14ac:dyDescent="0.25">
      <c r="A231" s="1" t="s">
        <v>7244</v>
      </c>
      <c r="B231" s="1" t="s">
        <v>16370</v>
      </c>
      <c r="C231" s="3">
        <f>IF(B231="","",SUMIFS('Factory Costs'!$C:$C,'Factory Costs'!$A:$A,"Blades",'Factory Costs'!$B:$B,B231))</f>
        <v>34</v>
      </c>
    </row>
    <row r="232" spans="1:3" x14ac:dyDescent="0.25">
      <c r="A232" s="1" t="s">
        <v>7247</v>
      </c>
      <c r="B232" s="1" t="s">
        <v>16372</v>
      </c>
      <c r="C232" s="3">
        <f>IF(B232="","",SUMIFS('Factory Costs'!$C:$C,'Factory Costs'!$A:$A,"Blades",'Factory Costs'!$B:$B,B232))</f>
        <v>42</v>
      </c>
    </row>
    <row r="233" spans="1:3" x14ac:dyDescent="0.25">
      <c r="A233" s="1" t="s">
        <v>7250</v>
      </c>
      <c r="B233" s="1" t="s">
        <v>16370</v>
      </c>
      <c r="C233" s="3">
        <f>IF(B233="","",SUMIFS('Factory Costs'!$C:$C,'Factory Costs'!$A:$A,"Blades",'Factory Costs'!$B:$B,B233))</f>
        <v>34</v>
      </c>
    </row>
    <row r="234" spans="1:3" x14ac:dyDescent="0.25">
      <c r="A234" s="1" t="s">
        <v>7253</v>
      </c>
      <c r="B234" s="1" t="s">
        <v>16371</v>
      </c>
      <c r="C234" s="3">
        <f>IF(B234="","",SUMIFS('Factory Costs'!$C:$C,'Factory Costs'!$A:$A,"Blades",'Factory Costs'!$B:$B,B234))</f>
        <v>37</v>
      </c>
    </row>
    <row r="235" spans="1:3" x14ac:dyDescent="0.25">
      <c r="A235" s="1" t="s">
        <v>7256</v>
      </c>
      <c r="B235" s="1" t="s">
        <v>16372</v>
      </c>
      <c r="C235" s="3">
        <f>IF(B235="","",SUMIFS('Factory Costs'!$C:$C,'Factory Costs'!$A:$A,"Blades",'Factory Costs'!$B:$B,B235))</f>
        <v>42</v>
      </c>
    </row>
    <row r="236" spans="1:3" x14ac:dyDescent="0.25">
      <c r="A236" s="1" t="s">
        <v>7259</v>
      </c>
      <c r="B236" s="1" t="s">
        <v>16370</v>
      </c>
      <c r="C236" s="3">
        <f>IF(B236="","",SUMIFS('Factory Costs'!$C:$C,'Factory Costs'!$A:$A,"Blades",'Factory Costs'!$B:$B,B236))</f>
        <v>34</v>
      </c>
    </row>
    <row r="237" spans="1:3" x14ac:dyDescent="0.25">
      <c r="A237" s="1" t="s">
        <v>7262</v>
      </c>
      <c r="B237" s="1" t="s">
        <v>16371</v>
      </c>
      <c r="C237" s="3">
        <f>IF(B237="","",SUMIFS('Factory Costs'!$C:$C,'Factory Costs'!$A:$A,"Blades",'Factory Costs'!$B:$B,B237))</f>
        <v>37</v>
      </c>
    </row>
    <row r="238" spans="1:3" x14ac:dyDescent="0.25">
      <c r="A238" s="1" t="s">
        <v>7265</v>
      </c>
      <c r="B238" s="1" t="s">
        <v>16370</v>
      </c>
      <c r="C238" s="3">
        <f>IF(B238="","",SUMIFS('Factory Costs'!$C:$C,'Factory Costs'!$A:$A,"Blades",'Factory Costs'!$B:$B,B238))</f>
        <v>34</v>
      </c>
    </row>
    <row r="239" spans="1:3" x14ac:dyDescent="0.25">
      <c r="A239" s="1" t="s">
        <v>7268</v>
      </c>
      <c r="B239" s="1" t="s">
        <v>16370</v>
      </c>
      <c r="C239" s="3">
        <f>IF(B239="","",SUMIFS('Factory Costs'!$C:$C,'Factory Costs'!$A:$A,"Blades",'Factory Costs'!$B:$B,B239))</f>
        <v>34</v>
      </c>
    </row>
    <row r="240" spans="1:3" x14ac:dyDescent="0.25">
      <c r="A240" s="1" t="s">
        <v>7271</v>
      </c>
      <c r="B240" s="1" t="s">
        <v>16370</v>
      </c>
      <c r="C240" s="3">
        <f>IF(B240="","",SUMIFS('Factory Costs'!$C:$C,'Factory Costs'!$A:$A,"Blades",'Factory Costs'!$B:$B,B240))</f>
        <v>34</v>
      </c>
    </row>
    <row r="241" spans="1:3" x14ac:dyDescent="0.25">
      <c r="A241" s="1" t="s">
        <v>7274</v>
      </c>
      <c r="B241" s="1" t="s">
        <v>16371</v>
      </c>
      <c r="C241" s="3">
        <f>IF(B241="","",SUMIFS('Factory Costs'!$C:$C,'Factory Costs'!$A:$A,"Blades",'Factory Costs'!$B:$B,B241))</f>
        <v>37</v>
      </c>
    </row>
    <row r="242" spans="1:3" x14ac:dyDescent="0.25">
      <c r="A242" s="1" t="s">
        <v>7277</v>
      </c>
      <c r="B242" s="1" t="s">
        <v>16372</v>
      </c>
      <c r="C242" s="3">
        <f>IF(B242="","",SUMIFS('Factory Costs'!$C:$C,'Factory Costs'!$A:$A,"Blades",'Factory Costs'!$B:$B,B242))</f>
        <v>42</v>
      </c>
    </row>
    <row r="243" spans="1:3" x14ac:dyDescent="0.25">
      <c r="A243" s="1" t="s">
        <v>7280</v>
      </c>
      <c r="B243" s="1" t="s">
        <v>16370</v>
      </c>
      <c r="C243" s="3">
        <f>IF(B243="","",SUMIFS('Factory Costs'!$C:$C,'Factory Costs'!$A:$A,"Blades",'Factory Costs'!$B:$B,B243))</f>
        <v>34</v>
      </c>
    </row>
    <row r="244" spans="1:3" x14ac:dyDescent="0.25">
      <c r="A244" s="1" t="s">
        <v>7283</v>
      </c>
      <c r="B244" s="1" t="s">
        <v>16370</v>
      </c>
      <c r="C244" s="3">
        <f>IF(B244="","",SUMIFS('Factory Costs'!$C:$C,'Factory Costs'!$A:$A,"Blades",'Factory Costs'!$B:$B,B244))</f>
        <v>34</v>
      </c>
    </row>
    <row r="245" spans="1:3" x14ac:dyDescent="0.25">
      <c r="A245" s="1" t="s">
        <v>7286</v>
      </c>
      <c r="B245" s="1" t="s">
        <v>16370</v>
      </c>
      <c r="C245" s="3">
        <f>IF(B245="","",SUMIFS('Factory Costs'!$C:$C,'Factory Costs'!$A:$A,"Blades",'Factory Costs'!$B:$B,B245))</f>
        <v>34</v>
      </c>
    </row>
    <row r="246" spans="1:3" x14ac:dyDescent="0.25">
      <c r="A246" s="1" t="s">
        <v>7289</v>
      </c>
      <c r="B246" s="1" t="s">
        <v>16371</v>
      </c>
      <c r="C246" s="3">
        <f>IF(B246="","",SUMIFS('Factory Costs'!$C:$C,'Factory Costs'!$A:$A,"Blades",'Factory Costs'!$B:$B,B246))</f>
        <v>37</v>
      </c>
    </row>
    <row r="247" spans="1:3" x14ac:dyDescent="0.25">
      <c r="A247" s="1" t="s">
        <v>7292</v>
      </c>
      <c r="B247" s="1" t="s">
        <v>16370</v>
      </c>
      <c r="C247" s="3">
        <f>IF(B247="","",SUMIFS('Factory Costs'!$C:$C,'Factory Costs'!$A:$A,"Blades",'Factory Costs'!$B:$B,B247))</f>
        <v>34</v>
      </c>
    </row>
    <row r="248" spans="1:3" x14ac:dyDescent="0.25">
      <c r="A248" s="1" t="s">
        <v>7295</v>
      </c>
      <c r="B248" s="1" t="s">
        <v>16371</v>
      </c>
      <c r="C248" s="3">
        <f>IF(B248="","",SUMIFS('Factory Costs'!$C:$C,'Factory Costs'!$A:$A,"Blades",'Factory Costs'!$B:$B,B248))</f>
        <v>37</v>
      </c>
    </row>
    <row r="249" spans="1:3" x14ac:dyDescent="0.25">
      <c r="A249" s="1" t="s">
        <v>7298</v>
      </c>
      <c r="B249" s="1" t="s">
        <v>16372</v>
      </c>
      <c r="C249" s="3">
        <f>IF(B249="","",SUMIFS('Factory Costs'!$C:$C,'Factory Costs'!$A:$A,"Blades",'Factory Costs'!$B:$B,B249))</f>
        <v>42</v>
      </c>
    </row>
    <row r="250" spans="1:3" x14ac:dyDescent="0.25">
      <c r="A250" s="1" t="s">
        <v>7301</v>
      </c>
      <c r="B250" s="1" t="s">
        <v>16372</v>
      </c>
      <c r="C250" s="3">
        <f>IF(B250="","",SUMIFS('Factory Costs'!$C:$C,'Factory Costs'!$A:$A,"Blades",'Factory Costs'!$B:$B,B250))</f>
        <v>42</v>
      </c>
    </row>
    <row r="251" spans="1:3" x14ac:dyDescent="0.25">
      <c r="A251" s="1" t="s">
        <v>7304</v>
      </c>
      <c r="B251" s="1" t="s">
        <v>16370</v>
      </c>
      <c r="C251" s="3">
        <f>IF(B251="","",SUMIFS('Factory Costs'!$C:$C,'Factory Costs'!$A:$A,"Blades",'Factory Costs'!$B:$B,B251))</f>
        <v>34</v>
      </c>
    </row>
    <row r="252" spans="1:3" x14ac:dyDescent="0.25">
      <c r="A252" s="1" t="s">
        <v>7307</v>
      </c>
      <c r="B252" s="1" t="s">
        <v>16370</v>
      </c>
      <c r="C252" s="3">
        <f>IF(B252="","",SUMIFS('Factory Costs'!$C:$C,'Factory Costs'!$A:$A,"Blades",'Factory Costs'!$B:$B,B252))</f>
        <v>34</v>
      </c>
    </row>
    <row r="253" spans="1:3" x14ac:dyDescent="0.25">
      <c r="A253" s="1" t="s">
        <v>7310</v>
      </c>
      <c r="B253" s="1" t="s">
        <v>16370</v>
      </c>
      <c r="C253" s="3">
        <f>IF(B253="","",SUMIFS('Factory Costs'!$C:$C,'Factory Costs'!$A:$A,"Blades",'Factory Costs'!$B:$B,B253))</f>
        <v>34</v>
      </c>
    </row>
    <row r="254" spans="1:3" x14ac:dyDescent="0.25">
      <c r="A254" s="1" t="s">
        <v>7313</v>
      </c>
      <c r="B254" s="1" t="s">
        <v>16370</v>
      </c>
      <c r="C254" s="3">
        <f>IF(B254="","",SUMIFS('Factory Costs'!$C:$C,'Factory Costs'!$A:$A,"Blades",'Factory Costs'!$B:$B,B254))</f>
        <v>34</v>
      </c>
    </row>
    <row r="255" spans="1:3" x14ac:dyDescent="0.25">
      <c r="A255" s="1" t="s">
        <v>7316</v>
      </c>
      <c r="B255" s="1" t="s">
        <v>16370</v>
      </c>
      <c r="C255" s="3">
        <f>IF(B255="","",SUMIFS('Factory Costs'!$C:$C,'Factory Costs'!$A:$A,"Blades",'Factory Costs'!$B:$B,B255))</f>
        <v>34</v>
      </c>
    </row>
    <row r="256" spans="1:3" x14ac:dyDescent="0.25">
      <c r="A256" s="1" t="s">
        <v>7319</v>
      </c>
      <c r="B256" s="1" t="s">
        <v>16372</v>
      </c>
      <c r="C256" s="3">
        <f>IF(B256="","",SUMIFS('Factory Costs'!$C:$C,'Factory Costs'!$A:$A,"Blades",'Factory Costs'!$B:$B,B256))</f>
        <v>42</v>
      </c>
    </row>
    <row r="257" spans="1:3" x14ac:dyDescent="0.25">
      <c r="A257" s="1" t="s">
        <v>7322</v>
      </c>
      <c r="B257" s="1" t="s">
        <v>16370</v>
      </c>
      <c r="C257" s="3">
        <f>IF(B257="","",SUMIFS('Factory Costs'!$C:$C,'Factory Costs'!$A:$A,"Blades",'Factory Costs'!$B:$B,B257))</f>
        <v>34</v>
      </c>
    </row>
    <row r="258" spans="1:3" x14ac:dyDescent="0.25">
      <c r="A258" s="1" t="s">
        <v>7325</v>
      </c>
      <c r="B258" s="1" t="s">
        <v>16370</v>
      </c>
      <c r="C258" s="3">
        <f>IF(B258="","",SUMIFS('Factory Costs'!$C:$C,'Factory Costs'!$A:$A,"Blades",'Factory Costs'!$B:$B,B258))</f>
        <v>34</v>
      </c>
    </row>
    <row r="259" spans="1:3" x14ac:dyDescent="0.25">
      <c r="A259" s="1" t="s">
        <v>7328</v>
      </c>
      <c r="B259" s="1" t="s">
        <v>16370</v>
      </c>
      <c r="C259" s="3">
        <f>IF(B259="","",SUMIFS('Factory Costs'!$C:$C,'Factory Costs'!$A:$A,"Blades",'Factory Costs'!$B:$B,B259))</f>
        <v>34</v>
      </c>
    </row>
    <row r="260" spans="1:3" x14ac:dyDescent="0.25">
      <c r="A260" s="1" t="s">
        <v>7331</v>
      </c>
      <c r="B260" s="1" t="s">
        <v>16370</v>
      </c>
      <c r="C260" s="3">
        <f>IF(B260="","",SUMIFS('Factory Costs'!$C:$C,'Factory Costs'!$A:$A,"Blades",'Factory Costs'!$B:$B,B260))</f>
        <v>34</v>
      </c>
    </row>
    <row r="261" spans="1:3" x14ac:dyDescent="0.25">
      <c r="A261" s="1" t="s">
        <v>7334</v>
      </c>
      <c r="B261" s="1" t="s">
        <v>16370</v>
      </c>
      <c r="C261" s="3">
        <f>IF(B261="","",SUMIFS('Factory Costs'!$C:$C,'Factory Costs'!$A:$A,"Blades",'Factory Costs'!$B:$B,B261))</f>
        <v>34</v>
      </c>
    </row>
    <row r="262" spans="1:3" x14ac:dyDescent="0.25">
      <c r="A262" s="1" t="s">
        <v>7337</v>
      </c>
      <c r="B262" s="1" t="s">
        <v>16370</v>
      </c>
      <c r="C262" s="3">
        <f>IF(B262="","",SUMIFS('Factory Costs'!$C:$C,'Factory Costs'!$A:$A,"Blades",'Factory Costs'!$B:$B,B262))</f>
        <v>34</v>
      </c>
    </row>
    <row r="263" spans="1:3" x14ac:dyDescent="0.25">
      <c r="A263" s="1" t="s">
        <v>7340</v>
      </c>
      <c r="B263" s="1" t="s">
        <v>16370</v>
      </c>
      <c r="C263" s="3">
        <f>IF(B263="","",SUMIFS('Factory Costs'!$C:$C,'Factory Costs'!$A:$A,"Blades",'Factory Costs'!$B:$B,B263))</f>
        <v>34</v>
      </c>
    </row>
    <row r="264" spans="1:3" x14ac:dyDescent="0.25">
      <c r="A264" s="1" t="s">
        <v>7343</v>
      </c>
      <c r="B264" s="1" t="s">
        <v>16371</v>
      </c>
      <c r="C264" s="3">
        <f>IF(B264="","",SUMIFS('Factory Costs'!$C:$C,'Factory Costs'!$A:$A,"Blades",'Factory Costs'!$B:$B,B264))</f>
        <v>37</v>
      </c>
    </row>
    <row r="265" spans="1:3" x14ac:dyDescent="0.25">
      <c r="A265" s="1" t="s">
        <v>7346</v>
      </c>
      <c r="B265" s="1" t="s">
        <v>16372</v>
      </c>
      <c r="C265" s="3">
        <f>IF(B265="","",SUMIFS('Factory Costs'!$C:$C,'Factory Costs'!$A:$A,"Blades",'Factory Costs'!$B:$B,B265))</f>
        <v>42</v>
      </c>
    </row>
    <row r="266" spans="1:3" x14ac:dyDescent="0.25">
      <c r="A266" s="1" t="s">
        <v>7349</v>
      </c>
      <c r="B266" s="1" t="s">
        <v>16370</v>
      </c>
      <c r="C266" s="3">
        <f>IF(B266="","",SUMIFS('Factory Costs'!$C:$C,'Factory Costs'!$A:$A,"Blades",'Factory Costs'!$B:$B,B266))</f>
        <v>34</v>
      </c>
    </row>
    <row r="267" spans="1:3" x14ac:dyDescent="0.25">
      <c r="A267" s="1" t="s">
        <v>7352</v>
      </c>
      <c r="B267" s="1" t="s">
        <v>16370</v>
      </c>
      <c r="C267" s="3">
        <f>IF(B267="","",SUMIFS('Factory Costs'!$C:$C,'Factory Costs'!$A:$A,"Blades",'Factory Costs'!$B:$B,B267))</f>
        <v>34</v>
      </c>
    </row>
    <row r="268" spans="1:3" x14ac:dyDescent="0.25">
      <c r="A268" s="1" t="s">
        <v>7355</v>
      </c>
      <c r="B268" s="1" t="s">
        <v>16370</v>
      </c>
      <c r="C268" s="3">
        <f>IF(B268="","",SUMIFS('Factory Costs'!$C:$C,'Factory Costs'!$A:$A,"Blades",'Factory Costs'!$B:$B,B268))</f>
        <v>34</v>
      </c>
    </row>
    <row r="269" spans="1:3" x14ac:dyDescent="0.25">
      <c r="A269" s="1" t="s">
        <v>7358</v>
      </c>
      <c r="B269" s="1" t="s">
        <v>16371</v>
      </c>
      <c r="C269" s="3">
        <f>IF(B269="","",SUMIFS('Factory Costs'!$C:$C,'Factory Costs'!$A:$A,"Blades",'Factory Costs'!$B:$B,B269))</f>
        <v>37</v>
      </c>
    </row>
    <row r="270" spans="1:3" x14ac:dyDescent="0.25">
      <c r="A270" s="1" t="s">
        <v>7361</v>
      </c>
      <c r="B270" s="1" t="s">
        <v>16370</v>
      </c>
      <c r="C270" s="3">
        <f>IF(B270="","",SUMIFS('Factory Costs'!$C:$C,'Factory Costs'!$A:$A,"Blades",'Factory Costs'!$B:$B,B270))</f>
        <v>34</v>
      </c>
    </row>
    <row r="271" spans="1:3" x14ac:dyDescent="0.25">
      <c r="A271" s="1" t="s">
        <v>7364</v>
      </c>
      <c r="B271" s="1" t="s">
        <v>16371</v>
      </c>
      <c r="C271" s="3">
        <f>IF(B271="","",SUMIFS('Factory Costs'!$C:$C,'Factory Costs'!$A:$A,"Blades",'Factory Costs'!$B:$B,B271))</f>
        <v>37</v>
      </c>
    </row>
    <row r="272" spans="1:3" x14ac:dyDescent="0.25">
      <c r="A272" s="1" t="s">
        <v>7367</v>
      </c>
      <c r="B272" s="1" t="s">
        <v>16372</v>
      </c>
      <c r="C272" s="3">
        <f>IF(B272="","",SUMIFS('Factory Costs'!$C:$C,'Factory Costs'!$A:$A,"Blades",'Factory Costs'!$B:$B,B272))</f>
        <v>42</v>
      </c>
    </row>
    <row r="273" spans="1:3" x14ac:dyDescent="0.25">
      <c r="A273" s="1" t="s">
        <v>7370</v>
      </c>
      <c r="B273" s="1" t="s">
        <v>16371</v>
      </c>
      <c r="C273" s="3">
        <f>IF(B273="","",SUMIFS('Factory Costs'!$C:$C,'Factory Costs'!$A:$A,"Blades",'Factory Costs'!$B:$B,B273))</f>
        <v>37</v>
      </c>
    </row>
    <row r="274" spans="1:3" x14ac:dyDescent="0.25">
      <c r="A274" s="1" t="s">
        <v>7373</v>
      </c>
      <c r="B274" s="1" t="s">
        <v>16372</v>
      </c>
      <c r="C274" s="3">
        <f>IF(B274="","",SUMIFS('Factory Costs'!$C:$C,'Factory Costs'!$A:$A,"Blades",'Factory Costs'!$B:$B,B274))</f>
        <v>42</v>
      </c>
    </row>
    <row r="275" spans="1:3" x14ac:dyDescent="0.25">
      <c r="A275" s="1" t="s">
        <v>7376</v>
      </c>
      <c r="B275" s="1" t="s">
        <v>16370</v>
      </c>
      <c r="C275" s="3">
        <f>IF(B275="","",SUMIFS('Factory Costs'!$C:$C,'Factory Costs'!$A:$A,"Blades",'Factory Costs'!$B:$B,B275))</f>
        <v>34</v>
      </c>
    </row>
    <row r="276" spans="1:3" x14ac:dyDescent="0.25">
      <c r="A276" s="1" t="s">
        <v>7379</v>
      </c>
      <c r="B276" s="1" t="s">
        <v>16370</v>
      </c>
      <c r="C276" s="3">
        <f>IF(B276="","",SUMIFS('Factory Costs'!$C:$C,'Factory Costs'!$A:$A,"Blades",'Factory Costs'!$B:$B,B276))</f>
        <v>34</v>
      </c>
    </row>
    <row r="277" spans="1:3" x14ac:dyDescent="0.25">
      <c r="A277" s="1" t="s">
        <v>7382</v>
      </c>
      <c r="B277" s="1" t="s">
        <v>16372</v>
      </c>
      <c r="C277" s="3">
        <f>IF(B277="","",SUMIFS('Factory Costs'!$C:$C,'Factory Costs'!$A:$A,"Blades",'Factory Costs'!$B:$B,B277))</f>
        <v>42</v>
      </c>
    </row>
    <row r="278" spans="1:3" x14ac:dyDescent="0.25">
      <c r="A278" s="1" t="s">
        <v>7385</v>
      </c>
      <c r="B278" s="1" t="s">
        <v>16370</v>
      </c>
      <c r="C278" s="3">
        <f>IF(B278="","",SUMIFS('Factory Costs'!$C:$C,'Factory Costs'!$A:$A,"Blades",'Factory Costs'!$B:$B,B278))</f>
        <v>34</v>
      </c>
    </row>
    <row r="279" spans="1:3" x14ac:dyDescent="0.25">
      <c r="A279" s="1" t="s">
        <v>7388</v>
      </c>
      <c r="B279" s="1" t="s">
        <v>16371</v>
      </c>
      <c r="C279" s="3">
        <f>IF(B279="","",SUMIFS('Factory Costs'!$C:$C,'Factory Costs'!$A:$A,"Blades",'Factory Costs'!$B:$B,B279))</f>
        <v>37</v>
      </c>
    </row>
    <row r="280" spans="1:3" x14ac:dyDescent="0.25">
      <c r="A280" s="1" t="s">
        <v>7391</v>
      </c>
      <c r="B280" s="1" t="s">
        <v>16370</v>
      </c>
      <c r="C280" s="3">
        <f>IF(B280="","",SUMIFS('Factory Costs'!$C:$C,'Factory Costs'!$A:$A,"Blades",'Factory Costs'!$B:$B,B280))</f>
        <v>34</v>
      </c>
    </row>
    <row r="281" spans="1:3" x14ac:dyDescent="0.25">
      <c r="A281" s="1" t="s">
        <v>7394</v>
      </c>
      <c r="B281" s="1" t="s">
        <v>16370</v>
      </c>
      <c r="C281" s="3">
        <f>IF(B281="","",SUMIFS('Factory Costs'!$C:$C,'Factory Costs'!$A:$A,"Blades",'Factory Costs'!$B:$B,B281))</f>
        <v>34</v>
      </c>
    </row>
    <row r="282" spans="1:3" x14ac:dyDescent="0.25">
      <c r="A282" s="1" t="s">
        <v>7397</v>
      </c>
      <c r="B282" s="1" t="s">
        <v>16372</v>
      </c>
      <c r="C282" s="3">
        <f>IF(B282="","",SUMIFS('Factory Costs'!$C:$C,'Factory Costs'!$A:$A,"Blades",'Factory Costs'!$B:$B,B282))</f>
        <v>42</v>
      </c>
    </row>
    <row r="283" spans="1:3" x14ac:dyDescent="0.25">
      <c r="A283" s="1" t="s">
        <v>7400</v>
      </c>
      <c r="B283" s="1" t="s">
        <v>16372</v>
      </c>
      <c r="C283" s="3">
        <f>IF(B283="","",SUMIFS('Factory Costs'!$C:$C,'Factory Costs'!$A:$A,"Blades",'Factory Costs'!$B:$B,B283))</f>
        <v>42</v>
      </c>
    </row>
    <row r="284" spans="1:3" x14ac:dyDescent="0.25">
      <c r="A284" s="1" t="s">
        <v>7403</v>
      </c>
      <c r="B284" s="1" t="s">
        <v>16370</v>
      </c>
      <c r="C284" s="3">
        <f>IF(B284="","",SUMIFS('Factory Costs'!$C:$C,'Factory Costs'!$A:$A,"Blades",'Factory Costs'!$B:$B,B284))</f>
        <v>34</v>
      </c>
    </row>
    <row r="285" spans="1:3" x14ac:dyDescent="0.25">
      <c r="A285" s="1" t="s">
        <v>7406</v>
      </c>
      <c r="B285" s="1" t="s">
        <v>16372</v>
      </c>
      <c r="C285" s="3">
        <f>IF(B285="","",SUMIFS('Factory Costs'!$C:$C,'Factory Costs'!$A:$A,"Blades",'Factory Costs'!$B:$B,B285))</f>
        <v>42</v>
      </c>
    </row>
    <row r="286" spans="1:3" x14ac:dyDescent="0.25">
      <c r="A286" s="1" t="s">
        <v>7409</v>
      </c>
      <c r="B286" s="1" t="s">
        <v>16372</v>
      </c>
      <c r="C286" s="3">
        <f>IF(B286="","",SUMIFS('Factory Costs'!$C:$C,'Factory Costs'!$A:$A,"Blades",'Factory Costs'!$B:$B,B286))</f>
        <v>42</v>
      </c>
    </row>
    <row r="287" spans="1:3" x14ac:dyDescent="0.25">
      <c r="A287" s="1" t="s">
        <v>7412</v>
      </c>
      <c r="B287" s="1" t="s">
        <v>16370</v>
      </c>
      <c r="C287" s="3">
        <f>IF(B287="","",SUMIFS('Factory Costs'!$C:$C,'Factory Costs'!$A:$A,"Blades",'Factory Costs'!$B:$B,B287))</f>
        <v>34</v>
      </c>
    </row>
    <row r="288" spans="1:3" x14ac:dyDescent="0.25">
      <c r="A288" s="1" t="s">
        <v>7415</v>
      </c>
      <c r="B288" s="1" t="s">
        <v>16371</v>
      </c>
      <c r="C288" s="3">
        <f>IF(B288="","",SUMIFS('Factory Costs'!$C:$C,'Factory Costs'!$A:$A,"Blades",'Factory Costs'!$B:$B,B288))</f>
        <v>37</v>
      </c>
    </row>
    <row r="289" spans="1:3" x14ac:dyDescent="0.25">
      <c r="A289" s="1" t="s">
        <v>7418</v>
      </c>
      <c r="B289" s="1" t="s">
        <v>16372</v>
      </c>
      <c r="C289" s="3">
        <f>IF(B289="","",SUMIFS('Factory Costs'!$C:$C,'Factory Costs'!$A:$A,"Blades",'Factory Costs'!$B:$B,B289))</f>
        <v>42</v>
      </c>
    </row>
    <row r="290" spans="1:3" x14ac:dyDescent="0.25">
      <c r="A290" s="1" t="s">
        <v>7421</v>
      </c>
      <c r="B290" s="1" t="s">
        <v>16371</v>
      </c>
      <c r="C290" s="3">
        <f>IF(B290="","",SUMIFS('Factory Costs'!$C:$C,'Factory Costs'!$A:$A,"Blades",'Factory Costs'!$B:$B,B290))</f>
        <v>37</v>
      </c>
    </row>
    <row r="291" spans="1:3" x14ac:dyDescent="0.25">
      <c r="A291" s="1" t="s">
        <v>7424</v>
      </c>
      <c r="B291" s="1" t="s">
        <v>16371</v>
      </c>
      <c r="C291" s="3">
        <f>IF(B291="","",SUMIFS('Factory Costs'!$C:$C,'Factory Costs'!$A:$A,"Blades",'Factory Costs'!$B:$B,B291))</f>
        <v>37</v>
      </c>
    </row>
    <row r="292" spans="1:3" x14ac:dyDescent="0.25">
      <c r="A292" s="1" t="s">
        <v>7427</v>
      </c>
      <c r="B292" s="1" t="s">
        <v>16371</v>
      </c>
      <c r="C292" s="3">
        <f>IF(B292="","",SUMIFS('Factory Costs'!$C:$C,'Factory Costs'!$A:$A,"Blades",'Factory Costs'!$B:$B,B292))</f>
        <v>37</v>
      </c>
    </row>
    <row r="293" spans="1:3" x14ac:dyDescent="0.25">
      <c r="A293" s="1" t="s">
        <v>7430</v>
      </c>
      <c r="B293" s="1" t="s">
        <v>16372</v>
      </c>
      <c r="C293" s="3">
        <f>IF(B293="","",SUMIFS('Factory Costs'!$C:$C,'Factory Costs'!$A:$A,"Blades",'Factory Costs'!$B:$B,B293))</f>
        <v>42</v>
      </c>
    </row>
    <row r="294" spans="1:3" x14ac:dyDescent="0.25">
      <c r="A294" s="1" t="s">
        <v>7433</v>
      </c>
      <c r="B294" s="1" t="s">
        <v>16372</v>
      </c>
      <c r="C294" s="3">
        <f>IF(B294="","",SUMIFS('Factory Costs'!$C:$C,'Factory Costs'!$A:$A,"Blades",'Factory Costs'!$B:$B,B294))</f>
        <v>42</v>
      </c>
    </row>
    <row r="295" spans="1:3" x14ac:dyDescent="0.25">
      <c r="A295" s="1" t="s">
        <v>7436</v>
      </c>
      <c r="B295" s="1" t="s">
        <v>16372</v>
      </c>
      <c r="C295" s="3">
        <f>IF(B295="","",SUMIFS('Factory Costs'!$C:$C,'Factory Costs'!$A:$A,"Blades",'Factory Costs'!$B:$B,B295))</f>
        <v>42</v>
      </c>
    </row>
    <row r="296" spans="1:3" x14ac:dyDescent="0.25">
      <c r="A296" s="1" t="s">
        <v>7439</v>
      </c>
      <c r="B296" s="1" t="s">
        <v>16370</v>
      </c>
      <c r="C296" s="3">
        <f>IF(B296="","",SUMIFS('Factory Costs'!$C:$C,'Factory Costs'!$A:$A,"Blades",'Factory Costs'!$B:$B,B296))</f>
        <v>34</v>
      </c>
    </row>
    <row r="297" spans="1:3" x14ac:dyDescent="0.25">
      <c r="A297" s="1" t="s">
        <v>7442</v>
      </c>
      <c r="B297" s="1" t="s">
        <v>16372</v>
      </c>
      <c r="C297" s="3">
        <f>IF(B297="","",SUMIFS('Factory Costs'!$C:$C,'Factory Costs'!$A:$A,"Blades",'Factory Costs'!$B:$B,B297))</f>
        <v>42</v>
      </c>
    </row>
    <row r="298" spans="1:3" x14ac:dyDescent="0.25">
      <c r="A298" s="1" t="s">
        <v>7445</v>
      </c>
      <c r="B298" s="1" t="s">
        <v>16371</v>
      </c>
      <c r="C298" s="3">
        <f>IF(B298="","",SUMIFS('Factory Costs'!$C:$C,'Factory Costs'!$A:$A,"Blades",'Factory Costs'!$B:$B,B298))</f>
        <v>37</v>
      </c>
    </row>
    <row r="299" spans="1:3" x14ac:dyDescent="0.25">
      <c r="A299" s="1" t="s">
        <v>7448</v>
      </c>
      <c r="B299" s="1" t="s">
        <v>16371</v>
      </c>
      <c r="C299" s="3">
        <f>IF(B299="","",SUMIFS('Factory Costs'!$C:$C,'Factory Costs'!$A:$A,"Blades",'Factory Costs'!$B:$B,B299))</f>
        <v>37</v>
      </c>
    </row>
    <row r="300" spans="1:3" x14ac:dyDescent="0.25">
      <c r="A300" s="1" t="s">
        <v>7451</v>
      </c>
      <c r="B300" s="1" t="s">
        <v>16370</v>
      </c>
      <c r="C300" s="3">
        <f>IF(B300="","",SUMIFS('Factory Costs'!$C:$C,'Factory Costs'!$A:$A,"Blades",'Factory Costs'!$B:$B,B300))</f>
        <v>34</v>
      </c>
    </row>
    <row r="301" spans="1:3" x14ac:dyDescent="0.25">
      <c r="A301" s="1" t="s">
        <v>7454</v>
      </c>
      <c r="B301" s="1" t="s">
        <v>16371</v>
      </c>
      <c r="C301" s="3">
        <f>IF(B301="","",SUMIFS('Factory Costs'!$C:$C,'Factory Costs'!$A:$A,"Blades",'Factory Costs'!$B:$B,B301))</f>
        <v>37</v>
      </c>
    </row>
    <row r="302" spans="1:3" x14ac:dyDescent="0.25">
      <c r="A302" s="1" t="s">
        <v>7457</v>
      </c>
      <c r="B302" s="1" t="s">
        <v>16370</v>
      </c>
      <c r="C302" s="3">
        <f>IF(B302="","",SUMIFS('Factory Costs'!$C:$C,'Factory Costs'!$A:$A,"Blades",'Factory Costs'!$B:$B,B302))</f>
        <v>34</v>
      </c>
    </row>
    <row r="303" spans="1:3" x14ac:dyDescent="0.25">
      <c r="A303" s="1" t="s">
        <v>7460</v>
      </c>
      <c r="B303" s="1" t="s">
        <v>16372</v>
      </c>
      <c r="C303" s="3">
        <f>IF(B303="","",SUMIFS('Factory Costs'!$C:$C,'Factory Costs'!$A:$A,"Blades",'Factory Costs'!$B:$B,B303))</f>
        <v>42</v>
      </c>
    </row>
    <row r="304" spans="1:3" x14ac:dyDescent="0.25">
      <c r="A304" s="1" t="s">
        <v>7463</v>
      </c>
      <c r="B304" s="1" t="s">
        <v>16371</v>
      </c>
      <c r="C304" s="3">
        <f>IF(B304="","",SUMIFS('Factory Costs'!$C:$C,'Factory Costs'!$A:$A,"Blades",'Factory Costs'!$B:$B,B304))</f>
        <v>37</v>
      </c>
    </row>
    <row r="305" spans="1:3" x14ac:dyDescent="0.25">
      <c r="A305" s="1" t="s">
        <v>7466</v>
      </c>
      <c r="B305" s="1" t="s">
        <v>16370</v>
      </c>
      <c r="C305" s="3">
        <f>IF(B305="","",SUMIFS('Factory Costs'!$C:$C,'Factory Costs'!$A:$A,"Blades",'Factory Costs'!$B:$B,B305))</f>
        <v>34</v>
      </c>
    </row>
    <row r="306" spans="1:3" x14ac:dyDescent="0.25">
      <c r="A306" s="1" t="s">
        <v>7469</v>
      </c>
      <c r="B306" s="1" t="s">
        <v>16372</v>
      </c>
      <c r="C306" s="3">
        <f>IF(B306="","",SUMIFS('Factory Costs'!$C:$C,'Factory Costs'!$A:$A,"Blades",'Factory Costs'!$B:$B,B306))</f>
        <v>42</v>
      </c>
    </row>
    <row r="307" spans="1:3" x14ac:dyDescent="0.25">
      <c r="A307" s="1" t="s">
        <v>7472</v>
      </c>
      <c r="B307" s="1" t="s">
        <v>16372</v>
      </c>
      <c r="C307" s="3">
        <f>IF(B307="","",SUMIFS('Factory Costs'!$C:$C,'Factory Costs'!$A:$A,"Blades",'Factory Costs'!$B:$B,B307))</f>
        <v>42</v>
      </c>
    </row>
    <row r="308" spans="1:3" x14ac:dyDescent="0.25">
      <c r="A308" s="1" t="s">
        <v>7475</v>
      </c>
      <c r="B308" s="1" t="s">
        <v>16372</v>
      </c>
      <c r="C308" s="3">
        <f>IF(B308="","",SUMIFS('Factory Costs'!$C:$C,'Factory Costs'!$A:$A,"Blades",'Factory Costs'!$B:$B,B308))</f>
        <v>42</v>
      </c>
    </row>
    <row r="309" spans="1:3" x14ac:dyDescent="0.25">
      <c r="A309" s="1" t="s">
        <v>7478</v>
      </c>
      <c r="B309" s="1" t="s">
        <v>16370</v>
      </c>
      <c r="C309" s="3">
        <f>IF(B309="","",SUMIFS('Factory Costs'!$C:$C,'Factory Costs'!$A:$A,"Blades",'Factory Costs'!$B:$B,B309))</f>
        <v>34</v>
      </c>
    </row>
    <row r="310" spans="1:3" x14ac:dyDescent="0.25">
      <c r="A310" s="1" t="s">
        <v>7481</v>
      </c>
      <c r="B310" s="1" t="s">
        <v>16372</v>
      </c>
      <c r="C310" s="3">
        <f>IF(B310="","",SUMIFS('Factory Costs'!$C:$C,'Factory Costs'!$A:$A,"Blades",'Factory Costs'!$B:$B,B310))</f>
        <v>42</v>
      </c>
    </row>
    <row r="311" spans="1:3" x14ac:dyDescent="0.25">
      <c r="A311" s="1" t="s">
        <v>7484</v>
      </c>
      <c r="B311" s="1" t="s">
        <v>16371</v>
      </c>
      <c r="C311" s="3">
        <f>IF(B311="","",SUMIFS('Factory Costs'!$C:$C,'Factory Costs'!$A:$A,"Blades",'Factory Costs'!$B:$B,B311))</f>
        <v>37</v>
      </c>
    </row>
    <row r="312" spans="1:3" x14ac:dyDescent="0.25">
      <c r="A312" s="1" t="s">
        <v>7487</v>
      </c>
      <c r="B312" s="1" t="s">
        <v>16371</v>
      </c>
      <c r="C312" s="3">
        <f>IF(B312="","",SUMIFS('Factory Costs'!$C:$C,'Factory Costs'!$A:$A,"Blades",'Factory Costs'!$B:$B,B312))</f>
        <v>37</v>
      </c>
    </row>
    <row r="313" spans="1:3" x14ac:dyDescent="0.25">
      <c r="A313" s="1" t="s">
        <v>7490</v>
      </c>
      <c r="B313" s="1" t="s">
        <v>16370</v>
      </c>
      <c r="C313" s="3">
        <f>IF(B313="","",SUMIFS('Factory Costs'!$C:$C,'Factory Costs'!$A:$A,"Blades",'Factory Costs'!$B:$B,B313))</f>
        <v>34</v>
      </c>
    </row>
    <row r="314" spans="1:3" x14ac:dyDescent="0.25">
      <c r="A314" s="1" t="s">
        <v>7493</v>
      </c>
      <c r="B314" s="1" t="s">
        <v>16370</v>
      </c>
      <c r="C314" s="3">
        <f>IF(B314="","",SUMIFS('Factory Costs'!$C:$C,'Factory Costs'!$A:$A,"Blades",'Factory Costs'!$B:$B,B314))</f>
        <v>34</v>
      </c>
    </row>
    <row r="315" spans="1:3" x14ac:dyDescent="0.25">
      <c r="A315" s="1" t="s">
        <v>7496</v>
      </c>
      <c r="B315" s="1" t="s">
        <v>16370</v>
      </c>
      <c r="C315" s="3">
        <f>IF(B315="","",SUMIFS('Factory Costs'!$C:$C,'Factory Costs'!$A:$A,"Blades",'Factory Costs'!$B:$B,B315))</f>
        <v>34</v>
      </c>
    </row>
    <row r="316" spans="1:3" x14ac:dyDescent="0.25">
      <c r="A316" s="1" t="s">
        <v>7499</v>
      </c>
      <c r="B316" s="1" t="s">
        <v>16371</v>
      </c>
      <c r="C316" s="3">
        <f>IF(B316="","",SUMIFS('Factory Costs'!$C:$C,'Factory Costs'!$A:$A,"Blades",'Factory Costs'!$B:$B,B316))</f>
        <v>37</v>
      </c>
    </row>
    <row r="317" spans="1:3" x14ac:dyDescent="0.25">
      <c r="A317" s="1" t="s">
        <v>7502</v>
      </c>
      <c r="B317" s="1" t="s">
        <v>16372</v>
      </c>
      <c r="C317" s="3">
        <f>IF(B317="","",SUMIFS('Factory Costs'!$C:$C,'Factory Costs'!$A:$A,"Blades",'Factory Costs'!$B:$B,B317))</f>
        <v>42</v>
      </c>
    </row>
    <row r="318" spans="1:3" x14ac:dyDescent="0.25">
      <c r="A318" s="1" t="s">
        <v>7505</v>
      </c>
      <c r="B318" s="1" t="s">
        <v>16372</v>
      </c>
      <c r="C318" s="3">
        <f>IF(B318="","",SUMIFS('Factory Costs'!$C:$C,'Factory Costs'!$A:$A,"Blades",'Factory Costs'!$B:$B,B318))</f>
        <v>42</v>
      </c>
    </row>
    <row r="319" spans="1:3" x14ac:dyDescent="0.25">
      <c r="A319" s="1" t="s">
        <v>7508</v>
      </c>
      <c r="B319" s="1" t="s">
        <v>16371</v>
      </c>
      <c r="C319" s="3">
        <f>IF(B319="","",SUMIFS('Factory Costs'!$C:$C,'Factory Costs'!$A:$A,"Blades",'Factory Costs'!$B:$B,B319))</f>
        <v>37</v>
      </c>
    </row>
    <row r="320" spans="1:3" x14ac:dyDescent="0.25">
      <c r="A320" s="1" t="s">
        <v>7511</v>
      </c>
      <c r="B320" s="1" t="s">
        <v>16370</v>
      </c>
      <c r="C320" s="3">
        <f>IF(B320="","",SUMIFS('Factory Costs'!$C:$C,'Factory Costs'!$A:$A,"Blades",'Factory Costs'!$B:$B,B320))</f>
        <v>34</v>
      </c>
    </row>
    <row r="321" spans="1:3" x14ac:dyDescent="0.25">
      <c r="A321" s="1" t="s">
        <v>7514</v>
      </c>
      <c r="B321" s="1" t="s">
        <v>16370</v>
      </c>
      <c r="C321" s="3">
        <f>IF(B321="","",SUMIFS('Factory Costs'!$C:$C,'Factory Costs'!$A:$A,"Blades",'Factory Costs'!$B:$B,B321))</f>
        <v>34</v>
      </c>
    </row>
    <row r="322" spans="1:3" x14ac:dyDescent="0.25">
      <c r="A322" s="1" t="s">
        <v>7517</v>
      </c>
      <c r="B322" s="1" t="s">
        <v>16371</v>
      </c>
      <c r="C322" s="3">
        <f>IF(B322="","",SUMIFS('Factory Costs'!$C:$C,'Factory Costs'!$A:$A,"Blades",'Factory Costs'!$B:$B,B322))</f>
        <v>37</v>
      </c>
    </row>
    <row r="323" spans="1:3" x14ac:dyDescent="0.25">
      <c r="A323" s="1" t="s">
        <v>7520</v>
      </c>
      <c r="B323" s="1" t="s">
        <v>16370</v>
      </c>
      <c r="C323" s="3">
        <f>IF(B323="","",SUMIFS('Factory Costs'!$C:$C,'Factory Costs'!$A:$A,"Blades",'Factory Costs'!$B:$B,B323))</f>
        <v>34</v>
      </c>
    </row>
    <row r="324" spans="1:3" x14ac:dyDescent="0.25">
      <c r="A324" s="1" t="s">
        <v>7523</v>
      </c>
      <c r="B324" s="1" t="s">
        <v>16372</v>
      </c>
      <c r="C324" s="3">
        <f>IF(B324="","",SUMIFS('Factory Costs'!$C:$C,'Factory Costs'!$A:$A,"Blades",'Factory Costs'!$B:$B,B324))</f>
        <v>42</v>
      </c>
    </row>
    <row r="325" spans="1:3" x14ac:dyDescent="0.25">
      <c r="A325" s="1" t="s">
        <v>7526</v>
      </c>
      <c r="B325" s="1" t="s">
        <v>16371</v>
      </c>
      <c r="C325" s="3">
        <f>IF(B325="","",SUMIFS('Factory Costs'!$C:$C,'Factory Costs'!$A:$A,"Blades",'Factory Costs'!$B:$B,B325))</f>
        <v>37</v>
      </c>
    </row>
    <row r="326" spans="1:3" x14ac:dyDescent="0.25">
      <c r="A326" s="1" t="s">
        <v>7529</v>
      </c>
      <c r="B326" s="1" t="s">
        <v>16371</v>
      </c>
      <c r="C326" s="3">
        <f>IF(B326="","",SUMIFS('Factory Costs'!$C:$C,'Factory Costs'!$A:$A,"Blades",'Factory Costs'!$B:$B,B326))</f>
        <v>37</v>
      </c>
    </row>
    <row r="327" spans="1:3" x14ac:dyDescent="0.25">
      <c r="A327" s="1" t="s">
        <v>7532</v>
      </c>
      <c r="B327" s="1" t="s">
        <v>16372</v>
      </c>
      <c r="C327" s="3">
        <f>IF(B327="","",SUMIFS('Factory Costs'!$C:$C,'Factory Costs'!$A:$A,"Blades",'Factory Costs'!$B:$B,B327))</f>
        <v>42</v>
      </c>
    </row>
    <row r="328" spans="1:3" x14ac:dyDescent="0.25">
      <c r="A328" s="1" t="s">
        <v>7535</v>
      </c>
      <c r="B328" s="1" t="s">
        <v>16372</v>
      </c>
      <c r="C328" s="3">
        <f>IF(B328="","",SUMIFS('Factory Costs'!$C:$C,'Factory Costs'!$A:$A,"Blades",'Factory Costs'!$B:$B,B328))</f>
        <v>42</v>
      </c>
    </row>
    <row r="329" spans="1:3" x14ac:dyDescent="0.25">
      <c r="A329" s="1" t="s">
        <v>7538</v>
      </c>
      <c r="B329" s="1" t="s">
        <v>16371</v>
      </c>
      <c r="C329" s="3">
        <f>IF(B329="","",SUMIFS('Factory Costs'!$C:$C,'Factory Costs'!$A:$A,"Blades",'Factory Costs'!$B:$B,B329))</f>
        <v>37</v>
      </c>
    </row>
    <row r="330" spans="1:3" x14ac:dyDescent="0.25">
      <c r="A330" s="1" t="s">
        <v>7541</v>
      </c>
      <c r="B330" s="1" t="s">
        <v>16370</v>
      </c>
      <c r="C330" s="3">
        <f>IF(B330="","",SUMIFS('Factory Costs'!$C:$C,'Factory Costs'!$A:$A,"Blades",'Factory Costs'!$B:$B,B330))</f>
        <v>34</v>
      </c>
    </row>
    <row r="331" spans="1:3" x14ac:dyDescent="0.25">
      <c r="A331" s="1" t="s">
        <v>7544</v>
      </c>
      <c r="B331" s="1" t="s">
        <v>16372</v>
      </c>
      <c r="C331" s="3">
        <f>IF(B331="","",SUMIFS('Factory Costs'!$C:$C,'Factory Costs'!$A:$A,"Blades",'Factory Costs'!$B:$B,B331))</f>
        <v>42</v>
      </c>
    </row>
    <row r="332" spans="1:3" x14ac:dyDescent="0.25">
      <c r="A332" s="1" t="s">
        <v>7547</v>
      </c>
      <c r="B332" s="1" t="s">
        <v>16372</v>
      </c>
      <c r="C332" s="3">
        <f>IF(B332="","",SUMIFS('Factory Costs'!$C:$C,'Factory Costs'!$A:$A,"Blades",'Factory Costs'!$B:$B,B332))</f>
        <v>42</v>
      </c>
    </row>
    <row r="333" spans="1:3" x14ac:dyDescent="0.25">
      <c r="A333" s="1" t="s">
        <v>7550</v>
      </c>
      <c r="B333" s="1" t="s">
        <v>16370</v>
      </c>
      <c r="C333" s="3">
        <f>IF(B333="","",SUMIFS('Factory Costs'!$C:$C,'Factory Costs'!$A:$A,"Blades",'Factory Costs'!$B:$B,B333))</f>
        <v>34</v>
      </c>
    </row>
    <row r="334" spans="1:3" x14ac:dyDescent="0.25">
      <c r="A334" s="1" t="s">
        <v>7553</v>
      </c>
      <c r="B334" s="1" t="s">
        <v>16371</v>
      </c>
      <c r="C334" s="3">
        <f>IF(B334="","",SUMIFS('Factory Costs'!$C:$C,'Factory Costs'!$A:$A,"Blades",'Factory Costs'!$B:$B,B334))</f>
        <v>37</v>
      </c>
    </row>
    <row r="335" spans="1:3" x14ac:dyDescent="0.25">
      <c r="A335" s="1" t="s">
        <v>7556</v>
      </c>
      <c r="B335" s="1" t="s">
        <v>16372</v>
      </c>
      <c r="C335" s="3">
        <f>IF(B335="","",SUMIFS('Factory Costs'!$C:$C,'Factory Costs'!$A:$A,"Blades",'Factory Costs'!$B:$B,B335))</f>
        <v>42</v>
      </c>
    </row>
    <row r="336" spans="1:3" x14ac:dyDescent="0.25">
      <c r="A336" s="1" t="s">
        <v>7559</v>
      </c>
      <c r="B336" s="1" t="s">
        <v>16372</v>
      </c>
      <c r="C336" s="3">
        <f>IF(B336="","",SUMIFS('Factory Costs'!$C:$C,'Factory Costs'!$A:$A,"Blades",'Factory Costs'!$B:$B,B336))</f>
        <v>42</v>
      </c>
    </row>
    <row r="337" spans="1:3" x14ac:dyDescent="0.25">
      <c r="A337" s="1" t="s">
        <v>7562</v>
      </c>
      <c r="B337" s="1" t="s">
        <v>16370</v>
      </c>
      <c r="C337" s="3">
        <f>IF(B337="","",SUMIFS('Factory Costs'!$C:$C,'Factory Costs'!$A:$A,"Blades",'Factory Costs'!$B:$B,B337))</f>
        <v>34</v>
      </c>
    </row>
    <row r="338" spans="1:3" x14ac:dyDescent="0.25">
      <c r="A338" s="1" t="s">
        <v>7565</v>
      </c>
      <c r="B338" s="1" t="s">
        <v>16370</v>
      </c>
      <c r="C338" s="3">
        <f>IF(B338="","",SUMIFS('Factory Costs'!$C:$C,'Factory Costs'!$A:$A,"Blades",'Factory Costs'!$B:$B,B338))</f>
        <v>34</v>
      </c>
    </row>
    <row r="339" spans="1:3" x14ac:dyDescent="0.25">
      <c r="A339" s="1" t="s">
        <v>7568</v>
      </c>
      <c r="B339" s="1" t="s">
        <v>16372</v>
      </c>
      <c r="C339" s="3">
        <f>IF(B339="","",SUMIFS('Factory Costs'!$C:$C,'Factory Costs'!$A:$A,"Blades",'Factory Costs'!$B:$B,B339))</f>
        <v>42</v>
      </c>
    </row>
    <row r="340" spans="1:3" x14ac:dyDescent="0.25">
      <c r="A340" s="1" t="s">
        <v>7571</v>
      </c>
      <c r="B340" s="1" t="s">
        <v>16371</v>
      </c>
      <c r="C340" s="3">
        <f>IF(B340="","",SUMIFS('Factory Costs'!$C:$C,'Factory Costs'!$A:$A,"Blades",'Factory Costs'!$B:$B,B340))</f>
        <v>37</v>
      </c>
    </row>
    <row r="341" spans="1:3" x14ac:dyDescent="0.25">
      <c r="A341" s="1" t="s">
        <v>7574</v>
      </c>
      <c r="B341" s="1" t="s">
        <v>16372</v>
      </c>
      <c r="C341" s="3">
        <f>IF(B341="","",SUMIFS('Factory Costs'!$C:$C,'Factory Costs'!$A:$A,"Blades",'Factory Costs'!$B:$B,B341))</f>
        <v>42</v>
      </c>
    </row>
    <row r="342" spans="1:3" x14ac:dyDescent="0.25">
      <c r="A342" s="1" t="s">
        <v>7577</v>
      </c>
      <c r="B342" s="1" t="s">
        <v>16372</v>
      </c>
      <c r="C342" s="3">
        <f>IF(B342="","",SUMIFS('Factory Costs'!$C:$C,'Factory Costs'!$A:$A,"Blades",'Factory Costs'!$B:$B,B342))</f>
        <v>42</v>
      </c>
    </row>
    <row r="343" spans="1:3" x14ac:dyDescent="0.25">
      <c r="A343" s="1" t="s">
        <v>7580</v>
      </c>
      <c r="B343" s="1" t="s">
        <v>16372</v>
      </c>
      <c r="C343" s="3">
        <f>IF(B343="","",SUMIFS('Factory Costs'!$C:$C,'Factory Costs'!$A:$A,"Blades",'Factory Costs'!$B:$B,B343))</f>
        <v>42</v>
      </c>
    </row>
    <row r="344" spans="1:3" x14ac:dyDescent="0.25">
      <c r="A344" s="1" t="s">
        <v>7583</v>
      </c>
      <c r="B344" s="1" t="s">
        <v>16372</v>
      </c>
      <c r="C344" s="3">
        <f>IF(B344="","",SUMIFS('Factory Costs'!$C:$C,'Factory Costs'!$A:$A,"Blades",'Factory Costs'!$B:$B,B344))</f>
        <v>42</v>
      </c>
    </row>
    <row r="345" spans="1:3" x14ac:dyDescent="0.25">
      <c r="A345" s="1" t="s">
        <v>7586</v>
      </c>
      <c r="B345" s="1" t="s">
        <v>16370</v>
      </c>
      <c r="C345" s="3">
        <f>IF(B345="","",SUMIFS('Factory Costs'!$C:$C,'Factory Costs'!$A:$A,"Blades",'Factory Costs'!$B:$B,B345))</f>
        <v>34</v>
      </c>
    </row>
    <row r="346" spans="1:3" x14ac:dyDescent="0.25">
      <c r="A346" s="1" t="s">
        <v>7589</v>
      </c>
      <c r="B346" s="1" t="s">
        <v>16372</v>
      </c>
      <c r="C346" s="3">
        <f>IF(B346="","",SUMIFS('Factory Costs'!$C:$C,'Factory Costs'!$A:$A,"Blades",'Factory Costs'!$B:$B,B346))</f>
        <v>42</v>
      </c>
    </row>
    <row r="347" spans="1:3" x14ac:dyDescent="0.25">
      <c r="A347" s="1" t="s">
        <v>7592</v>
      </c>
      <c r="B347" s="1" t="s">
        <v>16370</v>
      </c>
      <c r="C347" s="3">
        <f>IF(B347="","",SUMIFS('Factory Costs'!$C:$C,'Factory Costs'!$A:$A,"Blades",'Factory Costs'!$B:$B,B347))</f>
        <v>34</v>
      </c>
    </row>
    <row r="348" spans="1:3" x14ac:dyDescent="0.25">
      <c r="A348" s="1" t="s">
        <v>7595</v>
      </c>
      <c r="B348" s="1" t="s">
        <v>16370</v>
      </c>
      <c r="C348" s="3">
        <f>IF(B348="","",SUMIFS('Factory Costs'!$C:$C,'Factory Costs'!$A:$A,"Blades",'Factory Costs'!$B:$B,B348))</f>
        <v>34</v>
      </c>
    </row>
    <row r="349" spans="1:3" x14ac:dyDescent="0.25">
      <c r="A349" s="1" t="s">
        <v>7598</v>
      </c>
      <c r="B349" s="1" t="s">
        <v>16371</v>
      </c>
      <c r="C349" s="3">
        <f>IF(B349="","",SUMIFS('Factory Costs'!$C:$C,'Factory Costs'!$A:$A,"Blades",'Factory Costs'!$B:$B,B349))</f>
        <v>37</v>
      </c>
    </row>
    <row r="350" spans="1:3" x14ac:dyDescent="0.25">
      <c r="A350" s="1" t="s">
        <v>7601</v>
      </c>
      <c r="B350" s="1" t="s">
        <v>16370</v>
      </c>
      <c r="C350" s="3">
        <f>IF(B350="","",SUMIFS('Factory Costs'!$C:$C,'Factory Costs'!$A:$A,"Blades",'Factory Costs'!$B:$B,B350))</f>
        <v>34</v>
      </c>
    </row>
    <row r="351" spans="1:3" x14ac:dyDescent="0.25">
      <c r="A351" s="1" t="s">
        <v>7604</v>
      </c>
      <c r="B351" s="1" t="s">
        <v>16372</v>
      </c>
      <c r="C351" s="3">
        <f>IF(B351="","",SUMIFS('Factory Costs'!$C:$C,'Factory Costs'!$A:$A,"Blades",'Factory Costs'!$B:$B,B351))</f>
        <v>42</v>
      </c>
    </row>
    <row r="352" spans="1:3" x14ac:dyDescent="0.25">
      <c r="A352" s="1" t="s">
        <v>7607</v>
      </c>
      <c r="B352" s="1" t="s">
        <v>16371</v>
      </c>
      <c r="C352" s="3">
        <f>IF(B352="","",SUMIFS('Factory Costs'!$C:$C,'Factory Costs'!$A:$A,"Blades",'Factory Costs'!$B:$B,B352))</f>
        <v>37</v>
      </c>
    </row>
    <row r="353" spans="1:3" x14ac:dyDescent="0.25">
      <c r="A353" s="1" t="s">
        <v>7610</v>
      </c>
      <c r="B353" s="1" t="s">
        <v>16370</v>
      </c>
      <c r="C353" s="3">
        <f>IF(B353="","",SUMIFS('Factory Costs'!$C:$C,'Factory Costs'!$A:$A,"Blades",'Factory Costs'!$B:$B,B353))</f>
        <v>34</v>
      </c>
    </row>
    <row r="354" spans="1:3" x14ac:dyDescent="0.25">
      <c r="A354" s="1" t="s">
        <v>7613</v>
      </c>
      <c r="B354" s="1" t="s">
        <v>16370</v>
      </c>
      <c r="C354" s="3">
        <f>IF(B354="","",SUMIFS('Factory Costs'!$C:$C,'Factory Costs'!$A:$A,"Blades",'Factory Costs'!$B:$B,B354))</f>
        <v>34</v>
      </c>
    </row>
    <row r="355" spans="1:3" x14ac:dyDescent="0.25">
      <c r="A355" s="1" t="s">
        <v>7616</v>
      </c>
      <c r="B355" s="1" t="s">
        <v>16372</v>
      </c>
      <c r="C355" s="3">
        <f>IF(B355="","",SUMIFS('Factory Costs'!$C:$C,'Factory Costs'!$A:$A,"Blades",'Factory Costs'!$B:$B,B355))</f>
        <v>42</v>
      </c>
    </row>
    <row r="356" spans="1:3" x14ac:dyDescent="0.25">
      <c r="A356" s="1" t="s">
        <v>7619</v>
      </c>
      <c r="B356" s="1" t="s">
        <v>16370</v>
      </c>
      <c r="C356" s="3">
        <f>IF(B356="","",SUMIFS('Factory Costs'!$C:$C,'Factory Costs'!$A:$A,"Blades",'Factory Costs'!$B:$B,B356))</f>
        <v>34</v>
      </c>
    </row>
    <row r="357" spans="1:3" x14ac:dyDescent="0.25">
      <c r="A357" s="1" t="s">
        <v>7622</v>
      </c>
      <c r="B357" s="1" t="s">
        <v>16372</v>
      </c>
      <c r="C357" s="3">
        <f>IF(B357="","",SUMIFS('Factory Costs'!$C:$C,'Factory Costs'!$A:$A,"Blades",'Factory Costs'!$B:$B,B357))</f>
        <v>42</v>
      </c>
    </row>
    <row r="358" spans="1:3" x14ac:dyDescent="0.25">
      <c r="A358" s="1" t="s">
        <v>7625</v>
      </c>
      <c r="B358" s="1" t="s">
        <v>16372</v>
      </c>
      <c r="C358" s="3">
        <f>IF(B358="","",SUMIFS('Factory Costs'!$C:$C,'Factory Costs'!$A:$A,"Blades",'Factory Costs'!$B:$B,B358))</f>
        <v>42</v>
      </c>
    </row>
    <row r="359" spans="1:3" x14ac:dyDescent="0.25">
      <c r="A359" s="1" t="s">
        <v>7628</v>
      </c>
      <c r="B359" s="1" t="s">
        <v>16372</v>
      </c>
      <c r="C359" s="3">
        <f>IF(B359="","",SUMIFS('Factory Costs'!$C:$C,'Factory Costs'!$A:$A,"Blades",'Factory Costs'!$B:$B,B359))</f>
        <v>42</v>
      </c>
    </row>
    <row r="360" spans="1:3" x14ac:dyDescent="0.25">
      <c r="A360" s="1" t="s">
        <v>7631</v>
      </c>
      <c r="B360" s="1" t="s">
        <v>16370</v>
      </c>
      <c r="C360" s="3">
        <f>IF(B360="","",SUMIFS('Factory Costs'!$C:$C,'Factory Costs'!$A:$A,"Blades",'Factory Costs'!$B:$B,B360))</f>
        <v>34</v>
      </c>
    </row>
    <row r="361" spans="1:3" x14ac:dyDescent="0.25">
      <c r="A361" s="1" t="s">
        <v>7634</v>
      </c>
      <c r="B361" s="1" t="s">
        <v>16371</v>
      </c>
      <c r="C361" s="3">
        <f>IF(B361="","",SUMIFS('Factory Costs'!$C:$C,'Factory Costs'!$A:$A,"Blades",'Factory Costs'!$B:$B,B361))</f>
        <v>37</v>
      </c>
    </row>
    <row r="362" spans="1:3" x14ac:dyDescent="0.25">
      <c r="A362" s="1" t="s">
        <v>7637</v>
      </c>
      <c r="B362" s="1" t="s">
        <v>16371</v>
      </c>
      <c r="C362" s="3">
        <f>IF(B362="","",SUMIFS('Factory Costs'!$C:$C,'Factory Costs'!$A:$A,"Blades",'Factory Costs'!$B:$B,B362))</f>
        <v>37</v>
      </c>
    </row>
    <row r="363" spans="1:3" x14ac:dyDescent="0.25">
      <c r="A363" s="1" t="s">
        <v>7640</v>
      </c>
      <c r="B363" s="1" t="s">
        <v>16371</v>
      </c>
      <c r="C363" s="3">
        <f>IF(B363="","",SUMIFS('Factory Costs'!$C:$C,'Factory Costs'!$A:$A,"Blades",'Factory Costs'!$B:$B,B363))</f>
        <v>37</v>
      </c>
    </row>
    <row r="364" spans="1:3" x14ac:dyDescent="0.25">
      <c r="A364" s="1" t="s">
        <v>7643</v>
      </c>
      <c r="B364" s="1" t="s">
        <v>16371</v>
      </c>
      <c r="C364" s="3">
        <f>IF(B364="","",SUMIFS('Factory Costs'!$C:$C,'Factory Costs'!$A:$A,"Blades",'Factory Costs'!$B:$B,B364))</f>
        <v>37</v>
      </c>
    </row>
    <row r="365" spans="1:3" x14ac:dyDescent="0.25">
      <c r="A365" s="1" t="s">
        <v>7646</v>
      </c>
      <c r="B365" s="1" t="s">
        <v>16370</v>
      </c>
      <c r="C365" s="3">
        <f>IF(B365="","",SUMIFS('Factory Costs'!$C:$C,'Factory Costs'!$A:$A,"Blades",'Factory Costs'!$B:$B,B365))</f>
        <v>34</v>
      </c>
    </row>
    <row r="366" spans="1:3" x14ac:dyDescent="0.25">
      <c r="A366" s="1" t="s">
        <v>7649</v>
      </c>
      <c r="B366" s="1" t="s">
        <v>16372</v>
      </c>
      <c r="C366" s="3">
        <f>IF(B366="","",SUMIFS('Factory Costs'!$C:$C,'Factory Costs'!$A:$A,"Blades",'Factory Costs'!$B:$B,B366))</f>
        <v>42</v>
      </c>
    </row>
    <row r="367" spans="1:3" x14ac:dyDescent="0.25">
      <c r="A367" s="1" t="s">
        <v>7652</v>
      </c>
      <c r="B367" s="1" t="s">
        <v>16371</v>
      </c>
      <c r="C367" s="3">
        <f>IF(B367="","",SUMIFS('Factory Costs'!$C:$C,'Factory Costs'!$A:$A,"Blades",'Factory Costs'!$B:$B,B367))</f>
        <v>37</v>
      </c>
    </row>
    <row r="368" spans="1:3" x14ac:dyDescent="0.25">
      <c r="A368" s="1" t="s">
        <v>7655</v>
      </c>
      <c r="B368" s="1" t="s">
        <v>16372</v>
      </c>
      <c r="C368" s="3">
        <f>IF(B368="","",SUMIFS('Factory Costs'!$C:$C,'Factory Costs'!$A:$A,"Blades",'Factory Costs'!$B:$B,B368))</f>
        <v>42</v>
      </c>
    </row>
    <row r="369" spans="1:3" x14ac:dyDescent="0.25">
      <c r="A369" s="1" t="s">
        <v>7658</v>
      </c>
      <c r="B369" s="1" t="s">
        <v>16372</v>
      </c>
      <c r="C369" s="3">
        <f>IF(B369="","",SUMIFS('Factory Costs'!$C:$C,'Factory Costs'!$A:$A,"Blades",'Factory Costs'!$B:$B,B369))</f>
        <v>42</v>
      </c>
    </row>
    <row r="370" spans="1:3" x14ac:dyDescent="0.25">
      <c r="A370" s="1" t="s">
        <v>7661</v>
      </c>
      <c r="B370" s="1" t="s">
        <v>16371</v>
      </c>
      <c r="C370" s="3">
        <f>IF(B370="","",SUMIFS('Factory Costs'!$C:$C,'Factory Costs'!$A:$A,"Blades",'Factory Costs'!$B:$B,B370))</f>
        <v>37</v>
      </c>
    </row>
    <row r="371" spans="1:3" x14ac:dyDescent="0.25">
      <c r="A371" s="1" t="s">
        <v>7664</v>
      </c>
      <c r="B371" s="1" t="s">
        <v>16370</v>
      </c>
      <c r="C371" s="3">
        <f>IF(B371="","",SUMIFS('Factory Costs'!$C:$C,'Factory Costs'!$A:$A,"Blades",'Factory Costs'!$B:$B,B371))</f>
        <v>34</v>
      </c>
    </row>
    <row r="372" spans="1:3" x14ac:dyDescent="0.25">
      <c r="A372" s="1" t="s">
        <v>7667</v>
      </c>
      <c r="B372" s="1" t="s">
        <v>16370</v>
      </c>
      <c r="C372" s="3">
        <f>IF(B372="","",SUMIFS('Factory Costs'!$C:$C,'Factory Costs'!$A:$A,"Blades",'Factory Costs'!$B:$B,B372))</f>
        <v>34</v>
      </c>
    </row>
    <row r="373" spans="1:3" x14ac:dyDescent="0.25">
      <c r="A373" s="1" t="s">
        <v>7670</v>
      </c>
      <c r="B373" s="1" t="s">
        <v>16372</v>
      </c>
      <c r="C373" s="3">
        <f>IF(B373="","",SUMIFS('Factory Costs'!$C:$C,'Factory Costs'!$A:$A,"Blades",'Factory Costs'!$B:$B,B373))</f>
        <v>42</v>
      </c>
    </row>
    <row r="374" spans="1:3" x14ac:dyDescent="0.25">
      <c r="A374" s="1" t="s">
        <v>7673</v>
      </c>
      <c r="B374" s="1" t="s">
        <v>16370</v>
      </c>
      <c r="C374" s="3">
        <f>IF(B374="","",SUMIFS('Factory Costs'!$C:$C,'Factory Costs'!$A:$A,"Blades",'Factory Costs'!$B:$B,B374))</f>
        <v>34</v>
      </c>
    </row>
    <row r="375" spans="1:3" x14ac:dyDescent="0.25">
      <c r="A375" s="1" t="s">
        <v>7676</v>
      </c>
      <c r="B375" s="1" t="s">
        <v>16372</v>
      </c>
      <c r="C375" s="3">
        <f>IF(B375="","",SUMIFS('Factory Costs'!$C:$C,'Factory Costs'!$A:$A,"Blades",'Factory Costs'!$B:$B,B375))</f>
        <v>42</v>
      </c>
    </row>
    <row r="376" spans="1:3" x14ac:dyDescent="0.25">
      <c r="A376" s="1" t="s">
        <v>7679</v>
      </c>
      <c r="B376" s="1" t="s">
        <v>16372</v>
      </c>
      <c r="C376" s="3">
        <f>IF(B376="","",SUMIFS('Factory Costs'!$C:$C,'Factory Costs'!$A:$A,"Blades",'Factory Costs'!$B:$B,B376))</f>
        <v>42</v>
      </c>
    </row>
    <row r="377" spans="1:3" x14ac:dyDescent="0.25">
      <c r="A377" s="1" t="s">
        <v>7682</v>
      </c>
      <c r="B377" s="1" t="s">
        <v>16370</v>
      </c>
      <c r="C377" s="3">
        <f>IF(B377="","",SUMIFS('Factory Costs'!$C:$C,'Factory Costs'!$A:$A,"Blades",'Factory Costs'!$B:$B,B377))</f>
        <v>34</v>
      </c>
    </row>
    <row r="378" spans="1:3" x14ac:dyDescent="0.25">
      <c r="A378" s="1" t="s">
        <v>7685</v>
      </c>
      <c r="B378" s="1" t="s">
        <v>16371</v>
      </c>
      <c r="C378" s="3">
        <f>IF(B378="","",SUMIFS('Factory Costs'!$C:$C,'Factory Costs'!$A:$A,"Blades",'Factory Costs'!$B:$B,B378))</f>
        <v>37</v>
      </c>
    </row>
    <row r="379" spans="1:3" x14ac:dyDescent="0.25">
      <c r="A379" s="1" t="s">
        <v>7688</v>
      </c>
      <c r="B379" s="1" t="s">
        <v>16372</v>
      </c>
      <c r="C379" s="3">
        <f>IF(B379="","",SUMIFS('Factory Costs'!$C:$C,'Factory Costs'!$A:$A,"Blades",'Factory Costs'!$B:$B,B379))</f>
        <v>42</v>
      </c>
    </row>
    <row r="380" spans="1:3" x14ac:dyDescent="0.25">
      <c r="A380" s="1" t="s">
        <v>7691</v>
      </c>
      <c r="B380" s="1" t="s">
        <v>16372</v>
      </c>
      <c r="C380" s="3">
        <f>IF(B380="","",SUMIFS('Factory Costs'!$C:$C,'Factory Costs'!$A:$A,"Blades",'Factory Costs'!$B:$B,B380))</f>
        <v>42</v>
      </c>
    </row>
    <row r="381" spans="1:3" x14ac:dyDescent="0.25">
      <c r="A381" s="1" t="s">
        <v>7694</v>
      </c>
      <c r="B381" s="1" t="s">
        <v>16370</v>
      </c>
      <c r="C381" s="3">
        <f>IF(B381="","",SUMIFS('Factory Costs'!$C:$C,'Factory Costs'!$A:$A,"Blades",'Factory Costs'!$B:$B,B381))</f>
        <v>34</v>
      </c>
    </row>
    <row r="382" spans="1:3" x14ac:dyDescent="0.25">
      <c r="A382" s="1" t="s">
        <v>7697</v>
      </c>
      <c r="B382" s="1" t="s">
        <v>16370</v>
      </c>
      <c r="C382" s="3">
        <f>IF(B382="","",SUMIFS('Factory Costs'!$C:$C,'Factory Costs'!$A:$A,"Blades",'Factory Costs'!$B:$B,B382))</f>
        <v>34</v>
      </c>
    </row>
    <row r="383" spans="1:3" x14ac:dyDescent="0.25">
      <c r="A383" s="1" t="s">
        <v>7700</v>
      </c>
      <c r="B383" s="1" t="s">
        <v>16372</v>
      </c>
      <c r="C383" s="3">
        <f>IF(B383="","",SUMIFS('Factory Costs'!$C:$C,'Factory Costs'!$A:$A,"Blades",'Factory Costs'!$B:$B,B383))</f>
        <v>42</v>
      </c>
    </row>
    <row r="384" spans="1:3" x14ac:dyDescent="0.25">
      <c r="A384" s="1" t="s">
        <v>7703</v>
      </c>
      <c r="B384" s="1" t="s">
        <v>16371</v>
      </c>
      <c r="C384" s="3">
        <f>IF(B384="","",SUMIFS('Factory Costs'!$C:$C,'Factory Costs'!$A:$A,"Blades",'Factory Costs'!$B:$B,B384))</f>
        <v>37</v>
      </c>
    </row>
    <row r="385" spans="1:3" x14ac:dyDescent="0.25">
      <c r="A385" s="1" t="s">
        <v>7706</v>
      </c>
      <c r="B385" s="1" t="s">
        <v>16372</v>
      </c>
      <c r="C385" s="3">
        <f>IF(B385="","",SUMIFS('Factory Costs'!$C:$C,'Factory Costs'!$A:$A,"Blades",'Factory Costs'!$B:$B,B385))</f>
        <v>42</v>
      </c>
    </row>
    <row r="386" spans="1:3" x14ac:dyDescent="0.25">
      <c r="A386" s="1" t="s">
        <v>7709</v>
      </c>
      <c r="B386" s="1" t="s">
        <v>16372</v>
      </c>
      <c r="C386" s="3">
        <f>IF(B386="","",SUMIFS('Factory Costs'!$C:$C,'Factory Costs'!$A:$A,"Blades",'Factory Costs'!$B:$B,B386))</f>
        <v>42</v>
      </c>
    </row>
    <row r="387" spans="1:3" x14ac:dyDescent="0.25">
      <c r="A387" s="1" t="s">
        <v>7712</v>
      </c>
      <c r="B387" s="1" t="s">
        <v>16372</v>
      </c>
      <c r="C387" s="3">
        <f>IF(B387="","",SUMIFS('Factory Costs'!$C:$C,'Factory Costs'!$A:$A,"Blades",'Factory Costs'!$B:$B,B387))</f>
        <v>42</v>
      </c>
    </row>
    <row r="388" spans="1:3" x14ac:dyDescent="0.25">
      <c r="A388" s="1" t="s">
        <v>7715</v>
      </c>
      <c r="B388" s="1" t="s">
        <v>16372</v>
      </c>
      <c r="C388" s="3">
        <f>IF(B388="","",SUMIFS('Factory Costs'!$C:$C,'Factory Costs'!$A:$A,"Blades",'Factory Costs'!$B:$B,B388))</f>
        <v>42</v>
      </c>
    </row>
    <row r="389" spans="1:3" x14ac:dyDescent="0.25">
      <c r="A389" s="1" t="s">
        <v>7718</v>
      </c>
      <c r="B389" s="1" t="s">
        <v>16370</v>
      </c>
      <c r="C389" s="3">
        <f>IF(B389="","",SUMIFS('Factory Costs'!$C:$C,'Factory Costs'!$A:$A,"Blades",'Factory Costs'!$B:$B,B389))</f>
        <v>34</v>
      </c>
    </row>
    <row r="390" spans="1:3" x14ac:dyDescent="0.25">
      <c r="A390" s="1" t="s">
        <v>7721</v>
      </c>
      <c r="B390" s="1" t="s">
        <v>16370</v>
      </c>
      <c r="C390" s="3">
        <f>IF(B390="","",SUMIFS('Factory Costs'!$C:$C,'Factory Costs'!$A:$A,"Blades",'Factory Costs'!$B:$B,B390))</f>
        <v>34</v>
      </c>
    </row>
    <row r="391" spans="1:3" x14ac:dyDescent="0.25">
      <c r="A391" s="1" t="s">
        <v>7724</v>
      </c>
      <c r="B391" s="1" t="s">
        <v>16370</v>
      </c>
      <c r="C391" s="3">
        <f>IF(B391="","",SUMIFS('Factory Costs'!$C:$C,'Factory Costs'!$A:$A,"Blades",'Factory Costs'!$B:$B,B391))</f>
        <v>34</v>
      </c>
    </row>
    <row r="392" spans="1:3" x14ac:dyDescent="0.25">
      <c r="A392" s="1" t="s">
        <v>7727</v>
      </c>
      <c r="B392" s="1" t="s">
        <v>16372</v>
      </c>
      <c r="C392" s="3">
        <f>IF(B392="","",SUMIFS('Factory Costs'!$C:$C,'Factory Costs'!$A:$A,"Blades",'Factory Costs'!$B:$B,B392))</f>
        <v>42</v>
      </c>
    </row>
    <row r="393" spans="1:3" x14ac:dyDescent="0.25">
      <c r="A393" s="1" t="s">
        <v>7730</v>
      </c>
      <c r="B393" s="1" t="s">
        <v>16372</v>
      </c>
      <c r="C393" s="3">
        <f>IF(B393="","",SUMIFS('Factory Costs'!$C:$C,'Factory Costs'!$A:$A,"Blades",'Factory Costs'!$B:$B,B393))</f>
        <v>42</v>
      </c>
    </row>
    <row r="394" spans="1:3" x14ac:dyDescent="0.25">
      <c r="A394" s="1" t="s">
        <v>7733</v>
      </c>
      <c r="B394" s="1" t="s">
        <v>16371</v>
      </c>
      <c r="C394" s="3">
        <f>IF(B394="","",SUMIFS('Factory Costs'!$C:$C,'Factory Costs'!$A:$A,"Blades",'Factory Costs'!$B:$B,B394))</f>
        <v>37</v>
      </c>
    </row>
    <row r="395" spans="1:3" x14ac:dyDescent="0.25">
      <c r="A395" s="1" t="s">
        <v>7736</v>
      </c>
      <c r="B395" s="1" t="s">
        <v>16372</v>
      </c>
      <c r="C395" s="3">
        <f>IF(B395="","",SUMIFS('Factory Costs'!$C:$C,'Factory Costs'!$A:$A,"Blades",'Factory Costs'!$B:$B,B395))</f>
        <v>42</v>
      </c>
    </row>
    <row r="396" spans="1:3" x14ac:dyDescent="0.25">
      <c r="A396" s="1" t="s">
        <v>7739</v>
      </c>
      <c r="B396" s="1" t="s">
        <v>16370</v>
      </c>
      <c r="C396" s="3">
        <f>IF(B396="","",SUMIFS('Factory Costs'!$C:$C,'Factory Costs'!$A:$A,"Blades",'Factory Costs'!$B:$B,B396))</f>
        <v>34</v>
      </c>
    </row>
    <row r="397" spans="1:3" x14ac:dyDescent="0.25">
      <c r="A397" s="1" t="s">
        <v>7742</v>
      </c>
      <c r="B397" s="1" t="s">
        <v>16370</v>
      </c>
      <c r="C397" s="3">
        <f>IF(B397="","",SUMIFS('Factory Costs'!$C:$C,'Factory Costs'!$A:$A,"Blades",'Factory Costs'!$B:$B,B397))</f>
        <v>34</v>
      </c>
    </row>
    <row r="398" spans="1:3" x14ac:dyDescent="0.25">
      <c r="A398" s="1" t="s">
        <v>7745</v>
      </c>
      <c r="B398" s="1" t="s">
        <v>16370</v>
      </c>
      <c r="C398" s="3">
        <f>IF(B398="","",SUMIFS('Factory Costs'!$C:$C,'Factory Costs'!$A:$A,"Blades",'Factory Costs'!$B:$B,B398))</f>
        <v>34</v>
      </c>
    </row>
    <row r="399" spans="1:3" x14ac:dyDescent="0.25">
      <c r="A399" s="1" t="s">
        <v>7748</v>
      </c>
      <c r="B399" s="1" t="s">
        <v>16372</v>
      </c>
      <c r="C399" s="3">
        <f>IF(B399="","",SUMIFS('Factory Costs'!$C:$C,'Factory Costs'!$A:$A,"Blades",'Factory Costs'!$B:$B,B399))</f>
        <v>42</v>
      </c>
    </row>
    <row r="400" spans="1:3" x14ac:dyDescent="0.25">
      <c r="A400" s="1" t="s">
        <v>7751</v>
      </c>
      <c r="B400" s="1" t="s">
        <v>16370</v>
      </c>
      <c r="C400" s="3">
        <f>IF(B400="","",SUMIFS('Factory Costs'!$C:$C,'Factory Costs'!$A:$A,"Blades",'Factory Costs'!$B:$B,B400))</f>
        <v>34</v>
      </c>
    </row>
    <row r="401" spans="1:3" x14ac:dyDescent="0.25">
      <c r="A401" s="1" t="s">
        <v>7754</v>
      </c>
      <c r="B401" s="1" t="s">
        <v>16370</v>
      </c>
      <c r="C401" s="3">
        <f>IF(B401="","",SUMIFS('Factory Costs'!$C:$C,'Factory Costs'!$A:$A,"Blades",'Factory Costs'!$B:$B,B401))</f>
        <v>34</v>
      </c>
    </row>
    <row r="402" spans="1:3" x14ac:dyDescent="0.25">
      <c r="A402" s="1" t="s">
        <v>7757</v>
      </c>
      <c r="B402" s="1" t="s">
        <v>16372</v>
      </c>
      <c r="C402" s="3">
        <f>IF(B402="","",SUMIFS('Factory Costs'!$C:$C,'Factory Costs'!$A:$A,"Blades",'Factory Costs'!$B:$B,B402))</f>
        <v>42</v>
      </c>
    </row>
    <row r="403" spans="1:3" x14ac:dyDescent="0.25">
      <c r="A403" s="1" t="s">
        <v>7760</v>
      </c>
      <c r="B403" s="1" t="s">
        <v>16370</v>
      </c>
      <c r="C403" s="3">
        <f>IF(B403="","",SUMIFS('Factory Costs'!$C:$C,'Factory Costs'!$A:$A,"Blades",'Factory Costs'!$B:$B,B403))</f>
        <v>34</v>
      </c>
    </row>
    <row r="404" spans="1:3" x14ac:dyDescent="0.25">
      <c r="A404" s="1" t="s">
        <v>7763</v>
      </c>
      <c r="B404" s="1" t="s">
        <v>16370</v>
      </c>
      <c r="C404" s="3">
        <f>IF(B404="","",SUMIFS('Factory Costs'!$C:$C,'Factory Costs'!$A:$A,"Blades",'Factory Costs'!$B:$B,B404))</f>
        <v>34</v>
      </c>
    </row>
    <row r="405" spans="1:3" x14ac:dyDescent="0.25">
      <c r="A405" s="1" t="s">
        <v>7766</v>
      </c>
      <c r="B405" s="1" t="s">
        <v>16372</v>
      </c>
      <c r="C405" s="3">
        <f>IF(B405="","",SUMIFS('Factory Costs'!$C:$C,'Factory Costs'!$A:$A,"Blades",'Factory Costs'!$B:$B,B405))</f>
        <v>42</v>
      </c>
    </row>
    <row r="406" spans="1:3" x14ac:dyDescent="0.25">
      <c r="A406" s="1" t="s">
        <v>7769</v>
      </c>
      <c r="B406" s="1" t="s">
        <v>16371</v>
      </c>
      <c r="C406" s="3">
        <f>IF(B406="","",SUMIFS('Factory Costs'!$C:$C,'Factory Costs'!$A:$A,"Blades",'Factory Costs'!$B:$B,B406))</f>
        <v>37</v>
      </c>
    </row>
    <row r="407" spans="1:3" x14ac:dyDescent="0.25">
      <c r="A407" s="1" t="s">
        <v>7772</v>
      </c>
      <c r="B407" s="1" t="s">
        <v>16372</v>
      </c>
      <c r="C407" s="3">
        <f>IF(B407="","",SUMIFS('Factory Costs'!$C:$C,'Factory Costs'!$A:$A,"Blades",'Factory Costs'!$B:$B,B407))</f>
        <v>42</v>
      </c>
    </row>
    <row r="408" spans="1:3" x14ac:dyDescent="0.25">
      <c r="A408" s="1" t="s">
        <v>7775</v>
      </c>
      <c r="B408" s="1" t="s">
        <v>16371</v>
      </c>
      <c r="C408" s="3">
        <f>IF(B408="","",SUMIFS('Factory Costs'!$C:$C,'Factory Costs'!$A:$A,"Blades",'Factory Costs'!$B:$B,B408))</f>
        <v>37</v>
      </c>
    </row>
    <row r="409" spans="1:3" x14ac:dyDescent="0.25">
      <c r="A409" s="1" t="s">
        <v>7778</v>
      </c>
      <c r="B409" s="1" t="s">
        <v>16371</v>
      </c>
      <c r="C409" s="3">
        <f>IF(B409="","",SUMIFS('Factory Costs'!$C:$C,'Factory Costs'!$A:$A,"Blades",'Factory Costs'!$B:$B,B409))</f>
        <v>37</v>
      </c>
    </row>
    <row r="410" spans="1:3" x14ac:dyDescent="0.25">
      <c r="A410" s="1" t="s">
        <v>7781</v>
      </c>
      <c r="B410" s="1" t="s">
        <v>16372</v>
      </c>
      <c r="C410" s="3">
        <f>IF(B410="","",SUMIFS('Factory Costs'!$C:$C,'Factory Costs'!$A:$A,"Blades",'Factory Costs'!$B:$B,B410))</f>
        <v>42</v>
      </c>
    </row>
    <row r="411" spans="1:3" x14ac:dyDescent="0.25">
      <c r="A411" s="1" t="s">
        <v>7784</v>
      </c>
      <c r="B411" s="1" t="s">
        <v>16370</v>
      </c>
      <c r="C411" s="3">
        <f>IF(B411="","",SUMIFS('Factory Costs'!$C:$C,'Factory Costs'!$A:$A,"Blades",'Factory Costs'!$B:$B,B411))</f>
        <v>34</v>
      </c>
    </row>
    <row r="412" spans="1:3" x14ac:dyDescent="0.25">
      <c r="A412" s="1" t="s">
        <v>7787</v>
      </c>
      <c r="B412" s="1" t="s">
        <v>16371</v>
      </c>
      <c r="C412" s="3">
        <f>IF(B412="","",SUMIFS('Factory Costs'!$C:$C,'Factory Costs'!$A:$A,"Blades",'Factory Costs'!$B:$B,B412))</f>
        <v>37</v>
      </c>
    </row>
    <row r="413" spans="1:3" x14ac:dyDescent="0.25">
      <c r="A413" s="1" t="s">
        <v>7790</v>
      </c>
      <c r="B413" s="1" t="s">
        <v>16370</v>
      </c>
      <c r="C413" s="3">
        <f>IF(B413="","",SUMIFS('Factory Costs'!$C:$C,'Factory Costs'!$A:$A,"Blades",'Factory Costs'!$B:$B,B413))</f>
        <v>34</v>
      </c>
    </row>
    <row r="414" spans="1:3" x14ac:dyDescent="0.25">
      <c r="A414" s="1" t="s">
        <v>7793</v>
      </c>
      <c r="B414" s="1" t="s">
        <v>16371</v>
      </c>
      <c r="C414" s="3">
        <f>IF(B414="","",SUMIFS('Factory Costs'!$C:$C,'Factory Costs'!$A:$A,"Blades",'Factory Costs'!$B:$B,B414))</f>
        <v>37</v>
      </c>
    </row>
    <row r="415" spans="1:3" x14ac:dyDescent="0.25">
      <c r="A415" s="1" t="s">
        <v>7796</v>
      </c>
      <c r="B415" s="1" t="s">
        <v>16372</v>
      </c>
      <c r="C415" s="3">
        <f>IF(B415="","",SUMIFS('Factory Costs'!$C:$C,'Factory Costs'!$A:$A,"Blades",'Factory Costs'!$B:$B,B415))</f>
        <v>42</v>
      </c>
    </row>
    <row r="416" spans="1:3" x14ac:dyDescent="0.25">
      <c r="A416" s="1" t="s">
        <v>7799</v>
      </c>
      <c r="B416" s="1" t="s">
        <v>16370</v>
      </c>
      <c r="C416" s="3">
        <f>IF(B416="","",SUMIFS('Factory Costs'!$C:$C,'Factory Costs'!$A:$A,"Blades",'Factory Costs'!$B:$B,B416))</f>
        <v>34</v>
      </c>
    </row>
    <row r="417" spans="1:3" x14ac:dyDescent="0.25">
      <c r="A417" s="1" t="s">
        <v>7802</v>
      </c>
      <c r="B417" s="1" t="s">
        <v>16371</v>
      </c>
      <c r="C417" s="3">
        <f>IF(B417="","",SUMIFS('Factory Costs'!$C:$C,'Factory Costs'!$A:$A,"Blades",'Factory Costs'!$B:$B,B417))</f>
        <v>37</v>
      </c>
    </row>
    <row r="418" spans="1:3" x14ac:dyDescent="0.25">
      <c r="A418" s="1" t="s">
        <v>7805</v>
      </c>
      <c r="B418" s="1" t="s">
        <v>16371</v>
      </c>
      <c r="C418" s="3">
        <f>IF(B418="","",SUMIFS('Factory Costs'!$C:$C,'Factory Costs'!$A:$A,"Blades",'Factory Costs'!$B:$B,B418))</f>
        <v>37</v>
      </c>
    </row>
    <row r="419" spans="1:3" x14ac:dyDescent="0.25">
      <c r="A419" s="1" t="s">
        <v>7808</v>
      </c>
      <c r="B419" s="1" t="s">
        <v>16372</v>
      </c>
      <c r="C419" s="3">
        <f>IF(B419="","",SUMIFS('Factory Costs'!$C:$C,'Factory Costs'!$A:$A,"Blades",'Factory Costs'!$B:$B,B419))</f>
        <v>42</v>
      </c>
    </row>
    <row r="420" spans="1:3" x14ac:dyDescent="0.25">
      <c r="A420" s="1" t="s">
        <v>7811</v>
      </c>
      <c r="B420" s="1" t="s">
        <v>16372</v>
      </c>
      <c r="C420" s="3">
        <f>IF(B420="","",SUMIFS('Factory Costs'!$C:$C,'Factory Costs'!$A:$A,"Blades",'Factory Costs'!$B:$B,B420))</f>
        <v>42</v>
      </c>
    </row>
    <row r="421" spans="1:3" x14ac:dyDescent="0.25">
      <c r="A421" s="1" t="s">
        <v>7814</v>
      </c>
      <c r="B421" s="1" t="s">
        <v>16371</v>
      </c>
      <c r="C421" s="3">
        <f>IF(B421="","",SUMIFS('Factory Costs'!$C:$C,'Factory Costs'!$A:$A,"Blades",'Factory Costs'!$B:$B,B421))</f>
        <v>37</v>
      </c>
    </row>
    <row r="422" spans="1:3" x14ac:dyDescent="0.25">
      <c r="A422" s="1" t="s">
        <v>7817</v>
      </c>
      <c r="B422" s="1" t="s">
        <v>16370</v>
      </c>
      <c r="C422" s="3">
        <f>IF(B422="","",SUMIFS('Factory Costs'!$C:$C,'Factory Costs'!$A:$A,"Blades",'Factory Costs'!$B:$B,B422))</f>
        <v>34</v>
      </c>
    </row>
    <row r="423" spans="1:3" x14ac:dyDescent="0.25">
      <c r="A423" s="1" t="s">
        <v>7820</v>
      </c>
      <c r="B423" s="1" t="s">
        <v>16370</v>
      </c>
      <c r="C423" s="3">
        <f>IF(B423="","",SUMIFS('Factory Costs'!$C:$C,'Factory Costs'!$A:$A,"Blades",'Factory Costs'!$B:$B,B423))</f>
        <v>34</v>
      </c>
    </row>
    <row r="424" spans="1:3" x14ac:dyDescent="0.25">
      <c r="A424" s="1" t="s">
        <v>7823</v>
      </c>
      <c r="B424" s="1" t="s">
        <v>16370</v>
      </c>
      <c r="C424" s="3">
        <f>IF(B424="","",SUMIFS('Factory Costs'!$C:$C,'Factory Costs'!$A:$A,"Blades",'Factory Costs'!$B:$B,B424))</f>
        <v>34</v>
      </c>
    </row>
    <row r="425" spans="1:3" x14ac:dyDescent="0.25">
      <c r="A425" s="1" t="s">
        <v>7826</v>
      </c>
      <c r="B425" s="1" t="s">
        <v>16372</v>
      </c>
      <c r="C425" s="3">
        <f>IF(B425="","",SUMIFS('Factory Costs'!$C:$C,'Factory Costs'!$A:$A,"Blades",'Factory Costs'!$B:$B,B425))</f>
        <v>42</v>
      </c>
    </row>
    <row r="426" spans="1:3" x14ac:dyDescent="0.25">
      <c r="A426" s="1" t="s">
        <v>7829</v>
      </c>
      <c r="B426" s="1" t="s">
        <v>16371</v>
      </c>
      <c r="C426" s="3">
        <f>IF(B426="","",SUMIFS('Factory Costs'!$C:$C,'Factory Costs'!$A:$A,"Blades",'Factory Costs'!$B:$B,B426))</f>
        <v>37</v>
      </c>
    </row>
    <row r="427" spans="1:3" x14ac:dyDescent="0.25">
      <c r="A427" s="1" t="s">
        <v>7832</v>
      </c>
      <c r="B427" s="1" t="s">
        <v>16372</v>
      </c>
      <c r="C427" s="3">
        <f>IF(B427="","",SUMIFS('Factory Costs'!$C:$C,'Factory Costs'!$A:$A,"Blades",'Factory Costs'!$B:$B,B427))</f>
        <v>42</v>
      </c>
    </row>
    <row r="428" spans="1:3" x14ac:dyDescent="0.25">
      <c r="A428" s="1" t="s">
        <v>7835</v>
      </c>
      <c r="B428" s="1" t="s">
        <v>16372</v>
      </c>
      <c r="C428" s="3">
        <f>IF(B428="","",SUMIFS('Factory Costs'!$C:$C,'Factory Costs'!$A:$A,"Blades",'Factory Costs'!$B:$B,B428))</f>
        <v>42</v>
      </c>
    </row>
    <row r="429" spans="1:3" x14ac:dyDescent="0.25">
      <c r="A429" s="1" t="s">
        <v>7838</v>
      </c>
      <c r="B429" s="1" t="s">
        <v>16372</v>
      </c>
      <c r="C429" s="3">
        <f>IF(B429="","",SUMIFS('Factory Costs'!$C:$C,'Factory Costs'!$A:$A,"Blades",'Factory Costs'!$B:$B,B429))</f>
        <v>42</v>
      </c>
    </row>
    <row r="430" spans="1:3" x14ac:dyDescent="0.25">
      <c r="A430" s="1" t="s">
        <v>7841</v>
      </c>
      <c r="B430" s="1" t="s">
        <v>16371</v>
      </c>
      <c r="C430" s="3">
        <f>IF(B430="","",SUMIFS('Factory Costs'!$C:$C,'Factory Costs'!$A:$A,"Blades",'Factory Costs'!$B:$B,B430))</f>
        <v>37</v>
      </c>
    </row>
    <row r="431" spans="1:3" x14ac:dyDescent="0.25">
      <c r="A431" s="1" t="s">
        <v>7844</v>
      </c>
      <c r="B431" s="1" t="s">
        <v>16370</v>
      </c>
      <c r="C431" s="3">
        <f>IF(B431="","",SUMIFS('Factory Costs'!$C:$C,'Factory Costs'!$A:$A,"Blades",'Factory Costs'!$B:$B,B431))</f>
        <v>34</v>
      </c>
    </row>
    <row r="432" spans="1:3" x14ac:dyDescent="0.25">
      <c r="A432" s="1" t="s">
        <v>7847</v>
      </c>
      <c r="B432" s="1" t="s">
        <v>16370</v>
      </c>
      <c r="C432" s="3">
        <f>IF(B432="","",SUMIFS('Factory Costs'!$C:$C,'Factory Costs'!$A:$A,"Blades",'Factory Costs'!$B:$B,B432))</f>
        <v>34</v>
      </c>
    </row>
    <row r="433" spans="1:3" x14ac:dyDescent="0.25">
      <c r="A433" s="1" t="s">
        <v>7850</v>
      </c>
      <c r="B433" s="1" t="s">
        <v>16372</v>
      </c>
      <c r="C433" s="3">
        <f>IF(B433="","",SUMIFS('Factory Costs'!$C:$C,'Factory Costs'!$A:$A,"Blades",'Factory Costs'!$B:$B,B433))</f>
        <v>42</v>
      </c>
    </row>
    <row r="434" spans="1:3" x14ac:dyDescent="0.25">
      <c r="A434" s="1" t="s">
        <v>7853</v>
      </c>
      <c r="B434" s="1" t="s">
        <v>16370</v>
      </c>
      <c r="C434" s="3">
        <f>IF(B434="","",SUMIFS('Factory Costs'!$C:$C,'Factory Costs'!$A:$A,"Blades",'Factory Costs'!$B:$B,B434))</f>
        <v>34</v>
      </c>
    </row>
    <row r="435" spans="1:3" x14ac:dyDescent="0.25">
      <c r="A435" s="1" t="s">
        <v>7856</v>
      </c>
      <c r="B435" s="1" t="s">
        <v>16370</v>
      </c>
      <c r="C435" s="3">
        <f>IF(B435="","",SUMIFS('Factory Costs'!$C:$C,'Factory Costs'!$A:$A,"Blades",'Factory Costs'!$B:$B,B435))</f>
        <v>34</v>
      </c>
    </row>
    <row r="436" spans="1:3" x14ac:dyDescent="0.25">
      <c r="A436" s="1" t="s">
        <v>7859</v>
      </c>
      <c r="B436" s="1" t="s">
        <v>16370</v>
      </c>
      <c r="C436" s="3">
        <f>IF(B436="","",SUMIFS('Factory Costs'!$C:$C,'Factory Costs'!$A:$A,"Blades",'Factory Costs'!$B:$B,B436))</f>
        <v>34</v>
      </c>
    </row>
    <row r="437" spans="1:3" x14ac:dyDescent="0.25">
      <c r="A437" s="1" t="s">
        <v>7862</v>
      </c>
      <c r="B437" s="1" t="s">
        <v>16372</v>
      </c>
      <c r="C437" s="3">
        <f>IF(B437="","",SUMIFS('Factory Costs'!$C:$C,'Factory Costs'!$A:$A,"Blades",'Factory Costs'!$B:$B,B437))</f>
        <v>42</v>
      </c>
    </row>
    <row r="438" spans="1:3" x14ac:dyDescent="0.25">
      <c r="A438" s="1" t="s">
        <v>7865</v>
      </c>
      <c r="B438" s="1" t="s">
        <v>16370</v>
      </c>
      <c r="C438" s="3">
        <f>IF(B438="","",SUMIFS('Factory Costs'!$C:$C,'Factory Costs'!$A:$A,"Blades",'Factory Costs'!$B:$B,B438))</f>
        <v>34</v>
      </c>
    </row>
    <row r="439" spans="1:3" x14ac:dyDescent="0.25">
      <c r="A439" s="1" t="s">
        <v>7868</v>
      </c>
      <c r="B439" s="1" t="s">
        <v>16371</v>
      </c>
      <c r="C439" s="3">
        <f>IF(B439="","",SUMIFS('Factory Costs'!$C:$C,'Factory Costs'!$A:$A,"Blades",'Factory Costs'!$B:$B,B439))</f>
        <v>37</v>
      </c>
    </row>
    <row r="440" spans="1:3" x14ac:dyDescent="0.25">
      <c r="A440" s="1" t="s">
        <v>7871</v>
      </c>
      <c r="B440" s="1" t="s">
        <v>16372</v>
      </c>
      <c r="C440" s="3">
        <f>IF(B440="","",SUMIFS('Factory Costs'!$C:$C,'Factory Costs'!$A:$A,"Blades",'Factory Costs'!$B:$B,B440))</f>
        <v>42</v>
      </c>
    </row>
    <row r="441" spans="1:3" x14ac:dyDescent="0.25">
      <c r="A441" s="1" t="s">
        <v>7874</v>
      </c>
      <c r="B441" s="1" t="s">
        <v>16370</v>
      </c>
      <c r="C441" s="3">
        <f>IF(B441="","",SUMIFS('Factory Costs'!$C:$C,'Factory Costs'!$A:$A,"Blades",'Factory Costs'!$B:$B,B441))</f>
        <v>34</v>
      </c>
    </row>
    <row r="442" spans="1:3" x14ac:dyDescent="0.25">
      <c r="A442" s="1" t="s">
        <v>7877</v>
      </c>
      <c r="B442" s="1" t="s">
        <v>16372</v>
      </c>
      <c r="C442" s="3">
        <f>IF(B442="","",SUMIFS('Factory Costs'!$C:$C,'Factory Costs'!$A:$A,"Blades",'Factory Costs'!$B:$B,B442))</f>
        <v>42</v>
      </c>
    </row>
    <row r="443" spans="1:3" x14ac:dyDescent="0.25">
      <c r="A443" s="1" t="s">
        <v>7880</v>
      </c>
      <c r="B443" s="1" t="s">
        <v>16372</v>
      </c>
      <c r="C443" s="3">
        <f>IF(B443="","",SUMIFS('Factory Costs'!$C:$C,'Factory Costs'!$A:$A,"Blades",'Factory Costs'!$B:$B,B443))</f>
        <v>42</v>
      </c>
    </row>
    <row r="444" spans="1:3" x14ac:dyDescent="0.25">
      <c r="A444" s="1" t="s">
        <v>7883</v>
      </c>
      <c r="B444" s="1" t="s">
        <v>16370</v>
      </c>
      <c r="C444" s="3">
        <f>IF(B444="","",SUMIFS('Factory Costs'!$C:$C,'Factory Costs'!$A:$A,"Blades",'Factory Costs'!$B:$B,B444))</f>
        <v>34</v>
      </c>
    </row>
    <row r="445" spans="1:3" x14ac:dyDescent="0.25">
      <c r="A445" s="1" t="s">
        <v>7886</v>
      </c>
      <c r="B445" s="1" t="s">
        <v>16370</v>
      </c>
      <c r="C445" s="3">
        <f>IF(B445="","",SUMIFS('Factory Costs'!$C:$C,'Factory Costs'!$A:$A,"Blades",'Factory Costs'!$B:$B,B445))</f>
        <v>34</v>
      </c>
    </row>
    <row r="446" spans="1:3" x14ac:dyDescent="0.25">
      <c r="A446" s="1" t="s">
        <v>7889</v>
      </c>
      <c r="B446" s="1" t="s">
        <v>16371</v>
      </c>
      <c r="C446" s="3">
        <f>IF(B446="","",SUMIFS('Factory Costs'!$C:$C,'Factory Costs'!$A:$A,"Blades",'Factory Costs'!$B:$B,B446))</f>
        <v>37</v>
      </c>
    </row>
    <row r="447" spans="1:3" x14ac:dyDescent="0.25">
      <c r="A447" s="1" t="s">
        <v>7892</v>
      </c>
      <c r="B447" s="1" t="s">
        <v>16370</v>
      </c>
      <c r="C447" s="3">
        <f>IF(B447="","",SUMIFS('Factory Costs'!$C:$C,'Factory Costs'!$A:$A,"Blades",'Factory Costs'!$B:$B,B447))</f>
        <v>34</v>
      </c>
    </row>
    <row r="448" spans="1:3" x14ac:dyDescent="0.25">
      <c r="A448" s="1" t="s">
        <v>7895</v>
      </c>
      <c r="B448" s="1" t="s">
        <v>16371</v>
      </c>
      <c r="C448" s="3">
        <f>IF(B448="","",SUMIFS('Factory Costs'!$C:$C,'Factory Costs'!$A:$A,"Blades",'Factory Costs'!$B:$B,B448))</f>
        <v>37</v>
      </c>
    </row>
    <row r="449" spans="1:3" x14ac:dyDescent="0.25">
      <c r="A449" s="1" t="s">
        <v>7898</v>
      </c>
      <c r="B449" s="1" t="s">
        <v>16372</v>
      </c>
      <c r="C449" s="3">
        <f>IF(B449="","",SUMIFS('Factory Costs'!$C:$C,'Factory Costs'!$A:$A,"Blades",'Factory Costs'!$B:$B,B449))</f>
        <v>42</v>
      </c>
    </row>
    <row r="450" spans="1:3" x14ac:dyDescent="0.25">
      <c r="A450" s="1" t="s">
        <v>7901</v>
      </c>
      <c r="B450" s="1" t="s">
        <v>16371</v>
      </c>
      <c r="C450" s="3">
        <f>IF(B450="","",SUMIFS('Factory Costs'!$C:$C,'Factory Costs'!$A:$A,"Blades",'Factory Costs'!$B:$B,B450))</f>
        <v>37</v>
      </c>
    </row>
    <row r="451" spans="1:3" x14ac:dyDescent="0.25">
      <c r="A451" s="1" t="s">
        <v>7904</v>
      </c>
      <c r="B451" s="1" t="s">
        <v>16370</v>
      </c>
      <c r="C451" s="3">
        <f>IF(B451="","",SUMIFS('Factory Costs'!$C:$C,'Factory Costs'!$A:$A,"Blades",'Factory Costs'!$B:$B,B451))</f>
        <v>34</v>
      </c>
    </row>
    <row r="452" spans="1:3" x14ac:dyDescent="0.25">
      <c r="A452" s="1" t="s">
        <v>7907</v>
      </c>
      <c r="B452" s="1" t="s">
        <v>16372</v>
      </c>
      <c r="C452" s="3">
        <f>IF(B452="","",SUMIFS('Factory Costs'!$C:$C,'Factory Costs'!$A:$A,"Blades",'Factory Costs'!$B:$B,B452))</f>
        <v>42</v>
      </c>
    </row>
    <row r="453" spans="1:3" x14ac:dyDescent="0.25">
      <c r="A453" s="1" t="s">
        <v>7910</v>
      </c>
      <c r="B453" s="1" t="s">
        <v>16370</v>
      </c>
      <c r="C453" s="3">
        <f>IF(B453="","",SUMIFS('Factory Costs'!$C:$C,'Factory Costs'!$A:$A,"Blades",'Factory Costs'!$B:$B,B453))</f>
        <v>34</v>
      </c>
    </row>
    <row r="454" spans="1:3" x14ac:dyDescent="0.25">
      <c r="A454" s="1" t="s">
        <v>7913</v>
      </c>
      <c r="B454" s="1" t="s">
        <v>16370</v>
      </c>
      <c r="C454" s="3">
        <f>IF(B454="","",SUMIFS('Factory Costs'!$C:$C,'Factory Costs'!$A:$A,"Blades",'Factory Costs'!$B:$B,B454))</f>
        <v>34</v>
      </c>
    </row>
    <row r="455" spans="1:3" x14ac:dyDescent="0.25">
      <c r="A455" s="1" t="s">
        <v>7916</v>
      </c>
      <c r="B455" s="1" t="s">
        <v>16372</v>
      </c>
      <c r="C455" s="3">
        <f>IF(B455="","",SUMIFS('Factory Costs'!$C:$C,'Factory Costs'!$A:$A,"Blades",'Factory Costs'!$B:$B,B455))</f>
        <v>42</v>
      </c>
    </row>
    <row r="456" spans="1:3" x14ac:dyDescent="0.25">
      <c r="A456" s="1" t="s">
        <v>7919</v>
      </c>
      <c r="B456" s="1" t="s">
        <v>16371</v>
      </c>
      <c r="C456" s="3">
        <f>IF(B456="","",SUMIFS('Factory Costs'!$C:$C,'Factory Costs'!$A:$A,"Blades",'Factory Costs'!$B:$B,B456))</f>
        <v>37</v>
      </c>
    </row>
    <row r="457" spans="1:3" x14ac:dyDescent="0.25">
      <c r="A457" s="1" t="s">
        <v>7922</v>
      </c>
      <c r="B457" s="1" t="s">
        <v>16370</v>
      </c>
      <c r="C457" s="3">
        <f>IF(B457="","",SUMIFS('Factory Costs'!$C:$C,'Factory Costs'!$A:$A,"Blades",'Factory Costs'!$B:$B,B457))</f>
        <v>34</v>
      </c>
    </row>
    <row r="458" spans="1:3" x14ac:dyDescent="0.25">
      <c r="A458" s="1" t="s">
        <v>7925</v>
      </c>
      <c r="B458" s="1" t="s">
        <v>16370</v>
      </c>
      <c r="C458" s="3">
        <f>IF(B458="","",SUMIFS('Factory Costs'!$C:$C,'Factory Costs'!$A:$A,"Blades",'Factory Costs'!$B:$B,B458))</f>
        <v>34</v>
      </c>
    </row>
    <row r="459" spans="1:3" x14ac:dyDescent="0.25">
      <c r="A459" s="1" t="s">
        <v>7928</v>
      </c>
      <c r="B459" s="1" t="s">
        <v>16370</v>
      </c>
      <c r="C459" s="3">
        <f>IF(B459="","",SUMIFS('Factory Costs'!$C:$C,'Factory Costs'!$A:$A,"Blades",'Factory Costs'!$B:$B,B459))</f>
        <v>34</v>
      </c>
    </row>
    <row r="460" spans="1:3" x14ac:dyDescent="0.25">
      <c r="A460" s="1" t="s">
        <v>7931</v>
      </c>
      <c r="B460" s="1" t="s">
        <v>16370</v>
      </c>
      <c r="C460" s="3">
        <f>IF(B460="","",SUMIFS('Factory Costs'!$C:$C,'Factory Costs'!$A:$A,"Blades",'Factory Costs'!$B:$B,B460))</f>
        <v>34</v>
      </c>
    </row>
    <row r="461" spans="1:3" x14ac:dyDescent="0.25">
      <c r="A461" s="1" t="s">
        <v>7934</v>
      </c>
      <c r="B461" s="1" t="s">
        <v>16370</v>
      </c>
      <c r="C461" s="3">
        <f>IF(B461="","",SUMIFS('Factory Costs'!$C:$C,'Factory Costs'!$A:$A,"Blades",'Factory Costs'!$B:$B,B461))</f>
        <v>34</v>
      </c>
    </row>
    <row r="462" spans="1:3" x14ac:dyDescent="0.25">
      <c r="A462" s="1" t="s">
        <v>7937</v>
      </c>
      <c r="B462" s="1" t="s">
        <v>16371</v>
      </c>
      <c r="C462" s="3">
        <f>IF(B462="","",SUMIFS('Factory Costs'!$C:$C,'Factory Costs'!$A:$A,"Blades",'Factory Costs'!$B:$B,B462))</f>
        <v>37</v>
      </c>
    </row>
    <row r="463" spans="1:3" x14ac:dyDescent="0.25">
      <c r="A463" s="1" t="s">
        <v>7940</v>
      </c>
      <c r="B463" s="1" t="s">
        <v>16372</v>
      </c>
      <c r="C463" s="3">
        <f>IF(B463="","",SUMIFS('Factory Costs'!$C:$C,'Factory Costs'!$A:$A,"Blades",'Factory Costs'!$B:$B,B463))</f>
        <v>42</v>
      </c>
    </row>
    <row r="464" spans="1:3" x14ac:dyDescent="0.25">
      <c r="A464" s="1" t="s">
        <v>7943</v>
      </c>
      <c r="B464" s="1" t="s">
        <v>16372</v>
      </c>
      <c r="C464" s="3">
        <f>IF(B464="","",SUMIFS('Factory Costs'!$C:$C,'Factory Costs'!$A:$A,"Blades",'Factory Costs'!$B:$B,B464))</f>
        <v>42</v>
      </c>
    </row>
    <row r="465" spans="1:3" x14ac:dyDescent="0.25">
      <c r="A465" s="1" t="s">
        <v>7946</v>
      </c>
      <c r="B465" s="1" t="s">
        <v>16370</v>
      </c>
      <c r="C465" s="3">
        <f>IF(B465="","",SUMIFS('Factory Costs'!$C:$C,'Factory Costs'!$A:$A,"Blades",'Factory Costs'!$B:$B,B465))</f>
        <v>34</v>
      </c>
    </row>
    <row r="466" spans="1:3" x14ac:dyDescent="0.25">
      <c r="A466" s="1" t="s">
        <v>7949</v>
      </c>
      <c r="B466" s="1" t="s">
        <v>16370</v>
      </c>
      <c r="C466" s="3">
        <f>IF(B466="","",SUMIFS('Factory Costs'!$C:$C,'Factory Costs'!$A:$A,"Blades",'Factory Costs'!$B:$B,B466))</f>
        <v>34</v>
      </c>
    </row>
    <row r="467" spans="1:3" x14ac:dyDescent="0.25">
      <c r="A467" s="1" t="s">
        <v>7952</v>
      </c>
      <c r="B467" s="1" t="s">
        <v>16370</v>
      </c>
      <c r="C467" s="3">
        <f>IF(B467="","",SUMIFS('Factory Costs'!$C:$C,'Factory Costs'!$A:$A,"Blades",'Factory Costs'!$B:$B,B467))</f>
        <v>34</v>
      </c>
    </row>
    <row r="468" spans="1:3" x14ac:dyDescent="0.25">
      <c r="A468" s="1" t="s">
        <v>7955</v>
      </c>
      <c r="B468" s="1" t="s">
        <v>16372</v>
      </c>
      <c r="C468" s="3">
        <f>IF(B468="","",SUMIFS('Factory Costs'!$C:$C,'Factory Costs'!$A:$A,"Blades",'Factory Costs'!$B:$B,B468))</f>
        <v>42</v>
      </c>
    </row>
    <row r="469" spans="1:3" x14ac:dyDescent="0.25">
      <c r="A469" s="1" t="s">
        <v>7958</v>
      </c>
      <c r="B469" s="1" t="s">
        <v>16370</v>
      </c>
      <c r="C469" s="3">
        <f>IF(B469="","",SUMIFS('Factory Costs'!$C:$C,'Factory Costs'!$A:$A,"Blades",'Factory Costs'!$B:$B,B469))</f>
        <v>34</v>
      </c>
    </row>
    <row r="470" spans="1:3" x14ac:dyDescent="0.25">
      <c r="A470" s="1" t="s">
        <v>7961</v>
      </c>
      <c r="B470" s="1" t="s">
        <v>16371</v>
      </c>
      <c r="C470" s="3">
        <f>IF(B470="","",SUMIFS('Factory Costs'!$C:$C,'Factory Costs'!$A:$A,"Blades",'Factory Costs'!$B:$B,B470))</f>
        <v>37</v>
      </c>
    </row>
    <row r="471" spans="1:3" x14ac:dyDescent="0.25">
      <c r="A471" s="1" t="s">
        <v>7964</v>
      </c>
      <c r="B471" s="1" t="s">
        <v>16370</v>
      </c>
      <c r="C471" s="3">
        <f>IF(B471="","",SUMIFS('Factory Costs'!$C:$C,'Factory Costs'!$A:$A,"Blades",'Factory Costs'!$B:$B,B471))</f>
        <v>34</v>
      </c>
    </row>
    <row r="472" spans="1:3" x14ac:dyDescent="0.25">
      <c r="A472" s="1" t="s">
        <v>7967</v>
      </c>
      <c r="B472" s="1" t="s">
        <v>16370</v>
      </c>
      <c r="C472" s="3">
        <f>IF(B472="","",SUMIFS('Factory Costs'!$C:$C,'Factory Costs'!$A:$A,"Blades",'Factory Costs'!$B:$B,B472))</f>
        <v>34</v>
      </c>
    </row>
    <row r="473" spans="1:3" x14ac:dyDescent="0.25">
      <c r="A473" s="1" t="s">
        <v>7970</v>
      </c>
      <c r="B473" s="1" t="s">
        <v>16372</v>
      </c>
      <c r="C473" s="3">
        <f>IF(B473="","",SUMIFS('Factory Costs'!$C:$C,'Factory Costs'!$A:$A,"Blades",'Factory Costs'!$B:$B,B473))</f>
        <v>42</v>
      </c>
    </row>
    <row r="474" spans="1:3" x14ac:dyDescent="0.25">
      <c r="A474" s="1" t="s">
        <v>7973</v>
      </c>
      <c r="B474" s="1" t="s">
        <v>16370</v>
      </c>
      <c r="C474" s="3">
        <f>IF(B474="","",SUMIFS('Factory Costs'!$C:$C,'Factory Costs'!$A:$A,"Blades",'Factory Costs'!$B:$B,B474))</f>
        <v>34</v>
      </c>
    </row>
    <row r="475" spans="1:3" x14ac:dyDescent="0.25">
      <c r="A475" s="1" t="s">
        <v>7976</v>
      </c>
      <c r="B475" s="1" t="s">
        <v>16370</v>
      </c>
      <c r="C475" s="3">
        <f>IF(B475="","",SUMIFS('Factory Costs'!$C:$C,'Factory Costs'!$A:$A,"Blades",'Factory Costs'!$B:$B,B475))</f>
        <v>34</v>
      </c>
    </row>
    <row r="476" spans="1:3" x14ac:dyDescent="0.25">
      <c r="A476" s="1" t="s">
        <v>7979</v>
      </c>
      <c r="B476" s="1" t="s">
        <v>16372</v>
      </c>
      <c r="C476" s="3">
        <f>IF(B476="","",SUMIFS('Factory Costs'!$C:$C,'Factory Costs'!$A:$A,"Blades",'Factory Costs'!$B:$B,B476))</f>
        <v>42</v>
      </c>
    </row>
    <row r="477" spans="1:3" x14ac:dyDescent="0.25">
      <c r="A477" s="1" t="s">
        <v>7982</v>
      </c>
      <c r="B477" s="1" t="s">
        <v>16371</v>
      </c>
      <c r="C477" s="3">
        <f>IF(B477="","",SUMIFS('Factory Costs'!$C:$C,'Factory Costs'!$A:$A,"Blades",'Factory Costs'!$B:$B,B477))</f>
        <v>37</v>
      </c>
    </row>
    <row r="478" spans="1:3" x14ac:dyDescent="0.25">
      <c r="A478" s="1" t="s">
        <v>7985</v>
      </c>
      <c r="B478" s="1" t="s">
        <v>16371</v>
      </c>
      <c r="C478" s="3">
        <f>IF(B478="","",SUMIFS('Factory Costs'!$C:$C,'Factory Costs'!$A:$A,"Blades",'Factory Costs'!$B:$B,B478))</f>
        <v>37</v>
      </c>
    </row>
    <row r="479" spans="1:3" x14ac:dyDescent="0.25">
      <c r="A479" s="1" t="s">
        <v>7988</v>
      </c>
      <c r="B479" s="1" t="s">
        <v>16370</v>
      </c>
      <c r="C479" s="3">
        <f>IF(B479="","",SUMIFS('Factory Costs'!$C:$C,'Factory Costs'!$A:$A,"Blades",'Factory Costs'!$B:$B,B479))</f>
        <v>34</v>
      </c>
    </row>
    <row r="480" spans="1:3" x14ac:dyDescent="0.25">
      <c r="A480" s="1" t="s">
        <v>7991</v>
      </c>
      <c r="B480" s="1" t="s">
        <v>16372</v>
      </c>
      <c r="C480" s="3">
        <f>IF(B480="","",SUMIFS('Factory Costs'!$C:$C,'Factory Costs'!$A:$A,"Blades",'Factory Costs'!$B:$B,B480))</f>
        <v>42</v>
      </c>
    </row>
    <row r="481" spans="1:3" x14ac:dyDescent="0.25">
      <c r="A481" s="1" t="s">
        <v>7994</v>
      </c>
      <c r="B481" s="1" t="s">
        <v>16372</v>
      </c>
      <c r="C481" s="3">
        <f>IF(B481="","",SUMIFS('Factory Costs'!$C:$C,'Factory Costs'!$A:$A,"Blades",'Factory Costs'!$B:$B,B481))</f>
        <v>42</v>
      </c>
    </row>
    <row r="482" spans="1:3" x14ac:dyDescent="0.25">
      <c r="A482" s="1" t="s">
        <v>7997</v>
      </c>
      <c r="B482" s="1" t="s">
        <v>16372</v>
      </c>
      <c r="C482" s="3">
        <f>IF(B482="","",SUMIFS('Factory Costs'!$C:$C,'Factory Costs'!$A:$A,"Blades",'Factory Costs'!$B:$B,B482))</f>
        <v>42</v>
      </c>
    </row>
    <row r="483" spans="1:3" x14ac:dyDescent="0.25">
      <c r="A483" s="1" t="s">
        <v>8000</v>
      </c>
      <c r="B483" s="1" t="s">
        <v>16370</v>
      </c>
      <c r="C483" s="3">
        <f>IF(B483="","",SUMIFS('Factory Costs'!$C:$C,'Factory Costs'!$A:$A,"Blades",'Factory Costs'!$B:$B,B483))</f>
        <v>34</v>
      </c>
    </row>
    <row r="484" spans="1:3" x14ac:dyDescent="0.25">
      <c r="A484" s="1" t="s">
        <v>8003</v>
      </c>
      <c r="B484" s="1" t="s">
        <v>16372</v>
      </c>
      <c r="C484" s="3">
        <f>IF(B484="","",SUMIFS('Factory Costs'!$C:$C,'Factory Costs'!$A:$A,"Blades",'Factory Costs'!$B:$B,B484))</f>
        <v>42</v>
      </c>
    </row>
    <row r="485" spans="1:3" x14ac:dyDescent="0.25">
      <c r="A485" s="1" t="s">
        <v>8006</v>
      </c>
      <c r="B485" s="1" t="s">
        <v>16371</v>
      </c>
      <c r="C485" s="3">
        <f>IF(B485="","",SUMIFS('Factory Costs'!$C:$C,'Factory Costs'!$A:$A,"Blades",'Factory Costs'!$B:$B,B485))</f>
        <v>37</v>
      </c>
    </row>
    <row r="486" spans="1:3" x14ac:dyDescent="0.25">
      <c r="A486" s="1" t="s">
        <v>8009</v>
      </c>
      <c r="B486" s="1" t="s">
        <v>16370</v>
      </c>
      <c r="C486" s="3">
        <f>IF(B486="","",SUMIFS('Factory Costs'!$C:$C,'Factory Costs'!$A:$A,"Blades",'Factory Costs'!$B:$B,B486))</f>
        <v>34</v>
      </c>
    </row>
    <row r="487" spans="1:3" x14ac:dyDescent="0.25">
      <c r="A487" s="1" t="s">
        <v>8012</v>
      </c>
      <c r="B487" s="1" t="s">
        <v>16370</v>
      </c>
      <c r="C487" s="3">
        <f>IF(B487="","",SUMIFS('Factory Costs'!$C:$C,'Factory Costs'!$A:$A,"Blades",'Factory Costs'!$B:$B,B487))</f>
        <v>34</v>
      </c>
    </row>
    <row r="488" spans="1:3" x14ac:dyDescent="0.25">
      <c r="A488" s="1" t="s">
        <v>8015</v>
      </c>
      <c r="B488" s="1" t="s">
        <v>16370</v>
      </c>
      <c r="C488" s="3">
        <f>IF(B488="","",SUMIFS('Factory Costs'!$C:$C,'Factory Costs'!$A:$A,"Blades",'Factory Costs'!$B:$B,B488))</f>
        <v>34</v>
      </c>
    </row>
    <row r="489" spans="1:3" x14ac:dyDescent="0.25">
      <c r="A489" s="1" t="s">
        <v>8018</v>
      </c>
      <c r="B489" s="1" t="s">
        <v>16371</v>
      </c>
      <c r="C489" s="3">
        <f>IF(B489="","",SUMIFS('Factory Costs'!$C:$C,'Factory Costs'!$A:$A,"Blades",'Factory Costs'!$B:$B,B489))</f>
        <v>37</v>
      </c>
    </row>
    <row r="490" spans="1:3" x14ac:dyDescent="0.25">
      <c r="A490" s="1" t="s">
        <v>8021</v>
      </c>
      <c r="B490" s="1" t="s">
        <v>16370</v>
      </c>
      <c r="C490" s="3">
        <f>IF(B490="","",SUMIFS('Factory Costs'!$C:$C,'Factory Costs'!$A:$A,"Blades",'Factory Costs'!$B:$B,B490))</f>
        <v>34</v>
      </c>
    </row>
    <row r="491" spans="1:3" x14ac:dyDescent="0.25">
      <c r="A491" s="1" t="s">
        <v>8024</v>
      </c>
      <c r="B491" s="1" t="s">
        <v>16370</v>
      </c>
      <c r="C491" s="3">
        <f>IF(B491="","",SUMIFS('Factory Costs'!$C:$C,'Factory Costs'!$A:$A,"Blades",'Factory Costs'!$B:$B,B491))</f>
        <v>34</v>
      </c>
    </row>
    <row r="492" spans="1:3" x14ac:dyDescent="0.25">
      <c r="A492" s="1" t="s">
        <v>8027</v>
      </c>
      <c r="B492" s="1" t="s">
        <v>16370</v>
      </c>
      <c r="C492" s="3">
        <f>IF(B492="","",SUMIFS('Factory Costs'!$C:$C,'Factory Costs'!$A:$A,"Blades",'Factory Costs'!$B:$B,B492))</f>
        <v>34</v>
      </c>
    </row>
    <row r="493" spans="1:3" x14ac:dyDescent="0.25">
      <c r="A493" s="1" t="s">
        <v>8030</v>
      </c>
      <c r="B493" s="1" t="s">
        <v>16370</v>
      </c>
      <c r="C493" s="3">
        <f>IF(B493="","",SUMIFS('Factory Costs'!$C:$C,'Factory Costs'!$A:$A,"Blades",'Factory Costs'!$B:$B,B493))</f>
        <v>34</v>
      </c>
    </row>
    <row r="494" spans="1:3" x14ac:dyDescent="0.25">
      <c r="A494" s="1" t="s">
        <v>8033</v>
      </c>
      <c r="B494" s="1" t="s">
        <v>16371</v>
      </c>
      <c r="C494" s="3">
        <f>IF(B494="","",SUMIFS('Factory Costs'!$C:$C,'Factory Costs'!$A:$A,"Blades",'Factory Costs'!$B:$B,B494))</f>
        <v>37</v>
      </c>
    </row>
    <row r="495" spans="1:3" x14ac:dyDescent="0.25">
      <c r="A495" s="1" t="s">
        <v>8036</v>
      </c>
      <c r="B495" s="1" t="s">
        <v>16370</v>
      </c>
      <c r="C495" s="3">
        <f>IF(B495="","",SUMIFS('Factory Costs'!$C:$C,'Factory Costs'!$A:$A,"Blades",'Factory Costs'!$B:$B,B495))</f>
        <v>34</v>
      </c>
    </row>
    <row r="496" spans="1:3" x14ac:dyDescent="0.25">
      <c r="A496" s="1" t="s">
        <v>8039</v>
      </c>
      <c r="B496" s="1" t="s">
        <v>16372</v>
      </c>
      <c r="C496" s="3">
        <f>IF(B496="","",SUMIFS('Factory Costs'!$C:$C,'Factory Costs'!$A:$A,"Blades",'Factory Costs'!$B:$B,B496))</f>
        <v>42</v>
      </c>
    </row>
    <row r="497" spans="1:3" x14ac:dyDescent="0.25">
      <c r="A497" s="1" t="s">
        <v>8042</v>
      </c>
      <c r="B497" s="1" t="s">
        <v>16370</v>
      </c>
      <c r="C497" s="3">
        <f>IF(B497="","",SUMIFS('Factory Costs'!$C:$C,'Factory Costs'!$A:$A,"Blades",'Factory Costs'!$B:$B,B497))</f>
        <v>34</v>
      </c>
    </row>
    <row r="498" spans="1:3" x14ac:dyDescent="0.25">
      <c r="A498" s="1" t="s">
        <v>8045</v>
      </c>
      <c r="B498" s="1" t="s">
        <v>16370</v>
      </c>
      <c r="C498" s="3">
        <f>IF(B498="","",SUMIFS('Factory Costs'!$C:$C,'Factory Costs'!$A:$A,"Blades",'Factory Costs'!$B:$B,B498))</f>
        <v>34</v>
      </c>
    </row>
    <row r="499" spans="1:3" x14ac:dyDescent="0.25">
      <c r="A499" s="1" t="s">
        <v>8048</v>
      </c>
      <c r="B499" s="1" t="s">
        <v>16372</v>
      </c>
      <c r="C499" s="3">
        <f>IF(B499="","",SUMIFS('Factory Costs'!$C:$C,'Factory Costs'!$A:$A,"Blades",'Factory Costs'!$B:$B,B499))</f>
        <v>42</v>
      </c>
    </row>
    <row r="500" spans="1:3" x14ac:dyDescent="0.25">
      <c r="A500" s="1" t="s">
        <v>8051</v>
      </c>
      <c r="B500" s="1" t="s">
        <v>16370</v>
      </c>
      <c r="C500" s="3">
        <f>IF(B500="","",SUMIFS('Factory Costs'!$C:$C,'Factory Costs'!$A:$A,"Blades",'Factory Costs'!$B:$B,B500))</f>
        <v>34</v>
      </c>
    </row>
    <row r="501" spans="1:3" x14ac:dyDescent="0.25">
      <c r="A501" s="1" t="s">
        <v>8054</v>
      </c>
      <c r="B501" s="1" t="s">
        <v>16372</v>
      </c>
      <c r="C501" s="3">
        <f>IF(B501="","",SUMIFS('Factory Costs'!$C:$C,'Factory Costs'!$A:$A,"Blades",'Factory Costs'!$B:$B,B501))</f>
        <v>42</v>
      </c>
    </row>
    <row r="502" spans="1:3" x14ac:dyDescent="0.25">
      <c r="A502" s="1" t="s">
        <v>8057</v>
      </c>
      <c r="B502" s="1" t="s">
        <v>16372</v>
      </c>
      <c r="C502" s="3">
        <f>IF(B502="","",SUMIFS('Factory Costs'!$C:$C,'Factory Costs'!$A:$A,"Blades",'Factory Costs'!$B:$B,B502))</f>
        <v>42</v>
      </c>
    </row>
    <row r="503" spans="1:3" x14ac:dyDescent="0.25">
      <c r="A503" s="1" t="s">
        <v>8060</v>
      </c>
      <c r="B503" s="1" t="s">
        <v>16371</v>
      </c>
      <c r="C503" s="3">
        <f>IF(B503="","",SUMIFS('Factory Costs'!$C:$C,'Factory Costs'!$A:$A,"Blades",'Factory Costs'!$B:$B,B503))</f>
        <v>37</v>
      </c>
    </row>
    <row r="504" spans="1:3" x14ac:dyDescent="0.25">
      <c r="A504" s="1" t="s">
        <v>8063</v>
      </c>
      <c r="B504" s="1" t="s">
        <v>16372</v>
      </c>
      <c r="C504" s="3">
        <f>IF(B504="","",SUMIFS('Factory Costs'!$C:$C,'Factory Costs'!$A:$A,"Blades",'Factory Costs'!$B:$B,B504))</f>
        <v>42</v>
      </c>
    </row>
    <row r="505" spans="1:3" x14ac:dyDescent="0.25">
      <c r="A505" s="1" t="s">
        <v>8066</v>
      </c>
      <c r="B505" s="1" t="s">
        <v>16370</v>
      </c>
      <c r="C505" s="3">
        <f>IF(B505="","",SUMIFS('Factory Costs'!$C:$C,'Factory Costs'!$A:$A,"Blades",'Factory Costs'!$B:$B,B505))</f>
        <v>34</v>
      </c>
    </row>
    <row r="506" spans="1:3" x14ac:dyDescent="0.25">
      <c r="A506" s="1" t="s">
        <v>8069</v>
      </c>
      <c r="B506" s="1" t="s">
        <v>16372</v>
      </c>
      <c r="C506" s="3">
        <f>IF(B506="","",SUMIFS('Factory Costs'!$C:$C,'Factory Costs'!$A:$A,"Blades",'Factory Costs'!$B:$B,B506))</f>
        <v>42</v>
      </c>
    </row>
    <row r="507" spans="1:3" x14ac:dyDescent="0.25">
      <c r="A507" s="1" t="s">
        <v>8072</v>
      </c>
      <c r="B507" s="1" t="s">
        <v>16372</v>
      </c>
      <c r="C507" s="3">
        <f>IF(B507="","",SUMIFS('Factory Costs'!$C:$C,'Factory Costs'!$A:$A,"Blades",'Factory Costs'!$B:$B,B507))</f>
        <v>42</v>
      </c>
    </row>
    <row r="508" spans="1:3" x14ac:dyDescent="0.25">
      <c r="A508" s="1" t="s">
        <v>8075</v>
      </c>
      <c r="B508" s="1" t="s">
        <v>16372</v>
      </c>
      <c r="C508" s="3">
        <f>IF(B508="","",SUMIFS('Factory Costs'!$C:$C,'Factory Costs'!$A:$A,"Blades",'Factory Costs'!$B:$B,B508))</f>
        <v>42</v>
      </c>
    </row>
    <row r="509" spans="1:3" x14ac:dyDescent="0.25">
      <c r="A509" s="1" t="s">
        <v>8078</v>
      </c>
      <c r="B509" s="1" t="s">
        <v>16371</v>
      </c>
      <c r="C509" s="3">
        <f>IF(B509="","",SUMIFS('Factory Costs'!$C:$C,'Factory Costs'!$A:$A,"Blades",'Factory Costs'!$B:$B,B509))</f>
        <v>37</v>
      </c>
    </row>
    <row r="510" spans="1:3" x14ac:dyDescent="0.25">
      <c r="A510" s="1" t="s">
        <v>8081</v>
      </c>
      <c r="B510" s="1" t="s">
        <v>16372</v>
      </c>
      <c r="C510" s="3">
        <f>IF(B510="","",SUMIFS('Factory Costs'!$C:$C,'Factory Costs'!$A:$A,"Blades",'Factory Costs'!$B:$B,B510))</f>
        <v>42</v>
      </c>
    </row>
    <row r="511" spans="1:3" x14ac:dyDescent="0.25">
      <c r="A511" s="1" t="s">
        <v>8084</v>
      </c>
      <c r="B511" s="1" t="s">
        <v>16370</v>
      </c>
      <c r="C511" s="3">
        <f>IF(B511="","",SUMIFS('Factory Costs'!$C:$C,'Factory Costs'!$A:$A,"Blades",'Factory Costs'!$B:$B,B511))</f>
        <v>34</v>
      </c>
    </row>
    <row r="512" spans="1:3" x14ac:dyDescent="0.25">
      <c r="A512" s="1" t="s">
        <v>8087</v>
      </c>
      <c r="B512" s="1" t="s">
        <v>16372</v>
      </c>
      <c r="C512" s="3">
        <f>IF(B512="","",SUMIFS('Factory Costs'!$C:$C,'Factory Costs'!$A:$A,"Blades",'Factory Costs'!$B:$B,B512))</f>
        <v>42</v>
      </c>
    </row>
    <row r="513" spans="1:3" x14ac:dyDescent="0.25">
      <c r="A513" s="1" t="s">
        <v>8090</v>
      </c>
      <c r="B513" s="1" t="s">
        <v>16370</v>
      </c>
      <c r="C513" s="3">
        <f>IF(B513="","",SUMIFS('Factory Costs'!$C:$C,'Factory Costs'!$A:$A,"Blades",'Factory Costs'!$B:$B,B513))</f>
        <v>34</v>
      </c>
    </row>
    <row r="514" spans="1:3" x14ac:dyDescent="0.25">
      <c r="A514" s="1" t="s">
        <v>8093</v>
      </c>
      <c r="B514" s="1" t="s">
        <v>16371</v>
      </c>
      <c r="C514" s="3">
        <f>IF(B514="","",SUMIFS('Factory Costs'!$C:$C,'Factory Costs'!$A:$A,"Blades",'Factory Costs'!$B:$B,B514))</f>
        <v>37</v>
      </c>
    </row>
    <row r="515" spans="1:3" x14ac:dyDescent="0.25">
      <c r="A515" s="1" t="s">
        <v>8096</v>
      </c>
      <c r="B515" s="1" t="s">
        <v>16372</v>
      </c>
      <c r="C515" s="3">
        <f>IF(B515="","",SUMIFS('Factory Costs'!$C:$C,'Factory Costs'!$A:$A,"Blades",'Factory Costs'!$B:$B,B515))</f>
        <v>42</v>
      </c>
    </row>
    <row r="516" spans="1:3" x14ac:dyDescent="0.25">
      <c r="A516" s="1" t="s">
        <v>8099</v>
      </c>
      <c r="B516" s="1" t="s">
        <v>16372</v>
      </c>
      <c r="C516" s="3">
        <f>IF(B516="","",SUMIFS('Factory Costs'!$C:$C,'Factory Costs'!$A:$A,"Blades",'Factory Costs'!$B:$B,B516))</f>
        <v>42</v>
      </c>
    </row>
    <row r="517" spans="1:3" x14ac:dyDescent="0.25">
      <c r="A517" s="1" t="s">
        <v>8102</v>
      </c>
      <c r="B517" s="1" t="s">
        <v>16372</v>
      </c>
      <c r="C517" s="3">
        <f>IF(B517="","",SUMIFS('Factory Costs'!$C:$C,'Factory Costs'!$A:$A,"Blades",'Factory Costs'!$B:$B,B517))</f>
        <v>42</v>
      </c>
    </row>
    <row r="518" spans="1:3" x14ac:dyDescent="0.25">
      <c r="A518" s="1" t="s">
        <v>8105</v>
      </c>
      <c r="B518" s="1" t="s">
        <v>16370</v>
      </c>
      <c r="C518" s="3">
        <f>IF(B518="","",SUMIFS('Factory Costs'!$C:$C,'Factory Costs'!$A:$A,"Blades",'Factory Costs'!$B:$B,B518))</f>
        <v>34</v>
      </c>
    </row>
    <row r="519" spans="1:3" x14ac:dyDescent="0.25">
      <c r="A519" s="1" t="s">
        <v>8108</v>
      </c>
      <c r="B519" s="1" t="s">
        <v>16371</v>
      </c>
      <c r="C519" s="3">
        <f>IF(B519="","",SUMIFS('Factory Costs'!$C:$C,'Factory Costs'!$A:$A,"Blades",'Factory Costs'!$B:$B,B519))</f>
        <v>37</v>
      </c>
    </row>
    <row r="520" spans="1:3" x14ac:dyDescent="0.25">
      <c r="A520" s="1" t="s">
        <v>8111</v>
      </c>
      <c r="B520" s="1" t="s">
        <v>16371</v>
      </c>
      <c r="C520" s="3">
        <f>IF(B520="","",SUMIFS('Factory Costs'!$C:$C,'Factory Costs'!$A:$A,"Blades",'Factory Costs'!$B:$B,B520))</f>
        <v>37</v>
      </c>
    </row>
    <row r="521" spans="1:3" x14ac:dyDescent="0.25">
      <c r="A521" s="1" t="s">
        <v>8114</v>
      </c>
      <c r="B521" s="1" t="s">
        <v>16371</v>
      </c>
      <c r="C521" s="3">
        <f>IF(B521="","",SUMIFS('Factory Costs'!$C:$C,'Factory Costs'!$A:$A,"Blades",'Factory Costs'!$B:$B,B521))</f>
        <v>37</v>
      </c>
    </row>
    <row r="522" spans="1:3" x14ac:dyDescent="0.25">
      <c r="A522" s="1" t="s">
        <v>8117</v>
      </c>
      <c r="B522" s="1" t="s">
        <v>16371</v>
      </c>
      <c r="C522" s="3">
        <f>IF(B522="","",SUMIFS('Factory Costs'!$C:$C,'Factory Costs'!$A:$A,"Blades",'Factory Costs'!$B:$B,B522))</f>
        <v>37</v>
      </c>
    </row>
    <row r="523" spans="1:3" x14ac:dyDescent="0.25">
      <c r="A523" s="1" t="s">
        <v>8120</v>
      </c>
      <c r="B523" s="1" t="s">
        <v>16372</v>
      </c>
      <c r="C523" s="3">
        <f>IF(B523="","",SUMIFS('Factory Costs'!$C:$C,'Factory Costs'!$A:$A,"Blades",'Factory Costs'!$B:$B,B523))</f>
        <v>42</v>
      </c>
    </row>
    <row r="524" spans="1:3" x14ac:dyDescent="0.25">
      <c r="A524" s="1" t="s">
        <v>8123</v>
      </c>
      <c r="B524" s="1" t="s">
        <v>16370</v>
      </c>
      <c r="C524" s="3">
        <f>IF(B524="","",SUMIFS('Factory Costs'!$C:$C,'Factory Costs'!$A:$A,"Blades",'Factory Costs'!$B:$B,B524))</f>
        <v>34</v>
      </c>
    </row>
    <row r="525" spans="1:3" x14ac:dyDescent="0.25">
      <c r="A525" s="1" t="s">
        <v>8126</v>
      </c>
      <c r="B525" s="1" t="s">
        <v>16370</v>
      </c>
      <c r="C525" s="3">
        <f>IF(B525="","",SUMIFS('Factory Costs'!$C:$C,'Factory Costs'!$A:$A,"Blades",'Factory Costs'!$B:$B,B525))</f>
        <v>34</v>
      </c>
    </row>
    <row r="526" spans="1:3" x14ac:dyDescent="0.25">
      <c r="A526" s="1" t="s">
        <v>8129</v>
      </c>
      <c r="B526" s="1" t="s">
        <v>16371</v>
      </c>
      <c r="C526" s="3">
        <f>IF(B526="","",SUMIFS('Factory Costs'!$C:$C,'Factory Costs'!$A:$A,"Blades",'Factory Costs'!$B:$B,B526))</f>
        <v>37</v>
      </c>
    </row>
    <row r="527" spans="1:3" x14ac:dyDescent="0.25">
      <c r="A527" s="1" t="s">
        <v>8132</v>
      </c>
      <c r="B527" s="1" t="s">
        <v>16370</v>
      </c>
      <c r="C527" s="3">
        <f>IF(B527="","",SUMIFS('Factory Costs'!$C:$C,'Factory Costs'!$A:$A,"Blades",'Factory Costs'!$B:$B,B527))</f>
        <v>34</v>
      </c>
    </row>
    <row r="528" spans="1:3" x14ac:dyDescent="0.25">
      <c r="A528" s="1" t="s">
        <v>8135</v>
      </c>
      <c r="B528" s="1" t="s">
        <v>16372</v>
      </c>
      <c r="C528" s="3">
        <f>IF(B528="","",SUMIFS('Factory Costs'!$C:$C,'Factory Costs'!$A:$A,"Blades",'Factory Costs'!$B:$B,B528))</f>
        <v>42</v>
      </c>
    </row>
    <row r="529" spans="1:3" x14ac:dyDescent="0.25">
      <c r="A529" s="1" t="s">
        <v>8138</v>
      </c>
      <c r="B529" s="1" t="s">
        <v>16370</v>
      </c>
      <c r="C529" s="3">
        <f>IF(B529="","",SUMIFS('Factory Costs'!$C:$C,'Factory Costs'!$A:$A,"Blades",'Factory Costs'!$B:$B,B529))</f>
        <v>34</v>
      </c>
    </row>
    <row r="530" spans="1:3" x14ac:dyDescent="0.25">
      <c r="A530" s="1" t="s">
        <v>8141</v>
      </c>
      <c r="B530" s="1" t="s">
        <v>16370</v>
      </c>
      <c r="C530" s="3">
        <f>IF(B530="","",SUMIFS('Factory Costs'!$C:$C,'Factory Costs'!$A:$A,"Blades",'Factory Costs'!$B:$B,B530))</f>
        <v>34</v>
      </c>
    </row>
    <row r="531" spans="1:3" x14ac:dyDescent="0.25">
      <c r="A531" s="1" t="s">
        <v>8144</v>
      </c>
      <c r="B531" s="1" t="s">
        <v>16370</v>
      </c>
      <c r="C531" s="3">
        <f>IF(B531="","",SUMIFS('Factory Costs'!$C:$C,'Factory Costs'!$A:$A,"Blades",'Factory Costs'!$B:$B,B531))</f>
        <v>34</v>
      </c>
    </row>
    <row r="532" spans="1:3" x14ac:dyDescent="0.25">
      <c r="A532" s="1" t="s">
        <v>8147</v>
      </c>
      <c r="B532" s="1" t="s">
        <v>16372</v>
      </c>
      <c r="C532" s="3">
        <f>IF(B532="","",SUMIFS('Factory Costs'!$C:$C,'Factory Costs'!$A:$A,"Blades",'Factory Costs'!$B:$B,B532))</f>
        <v>42</v>
      </c>
    </row>
    <row r="533" spans="1:3" x14ac:dyDescent="0.25">
      <c r="A533" s="1" t="s">
        <v>8150</v>
      </c>
      <c r="B533" s="1" t="s">
        <v>16371</v>
      </c>
      <c r="C533" s="3">
        <f>IF(B533="","",SUMIFS('Factory Costs'!$C:$C,'Factory Costs'!$A:$A,"Blades",'Factory Costs'!$B:$B,B533))</f>
        <v>37</v>
      </c>
    </row>
    <row r="534" spans="1:3" x14ac:dyDescent="0.25">
      <c r="A534" s="1" t="s">
        <v>8153</v>
      </c>
      <c r="B534" s="1" t="s">
        <v>16371</v>
      </c>
      <c r="C534" s="3">
        <f>IF(B534="","",SUMIFS('Factory Costs'!$C:$C,'Factory Costs'!$A:$A,"Blades",'Factory Costs'!$B:$B,B534))</f>
        <v>37</v>
      </c>
    </row>
    <row r="535" spans="1:3" x14ac:dyDescent="0.25">
      <c r="A535" s="1" t="s">
        <v>8156</v>
      </c>
      <c r="B535" s="1" t="s">
        <v>16370</v>
      </c>
      <c r="C535" s="3">
        <f>IF(B535="","",SUMIFS('Factory Costs'!$C:$C,'Factory Costs'!$A:$A,"Blades",'Factory Costs'!$B:$B,B535))</f>
        <v>34</v>
      </c>
    </row>
    <row r="536" spans="1:3" x14ac:dyDescent="0.25">
      <c r="A536" s="1" t="s">
        <v>8159</v>
      </c>
      <c r="B536" s="1" t="s">
        <v>16371</v>
      </c>
      <c r="C536" s="3">
        <f>IF(B536="","",SUMIFS('Factory Costs'!$C:$C,'Factory Costs'!$A:$A,"Blades",'Factory Costs'!$B:$B,B536))</f>
        <v>37</v>
      </c>
    </row>
    <row r="537" spans="1:3" x14ac:dyDescent="0.25">
      <c r="A537" s="1" t="s">
        <v>8162</v>
      </c>
      <c r="B537" s="1" t="s">
        <v>16370</v>
      </c>
      <c r="C537" s="3">
        <f>IF(B537="","",SUMIFS('Factory Costs'!$C:$C,'Factory Costs'!$A:$A,"Blades",'Factory Costs'!$B:$B,B537))</f>
        <v>34</v>
      </c>
    </row>
    <row r="538" spans="1:3" x14ac:dyDescent="0.25">
      <c r="A538" s="1" t="s">
        <v>8165</v>
      </c>
      <c r="B538" s="1" t="s">
        <v>16371</v>
      </c>
      <c r="C538" s="3">
        <f>IF(B538="","",SUMIFS('Factory Costs'!$C:$C,'Factory Costs'!$A:$A,"Blades",'Factory Costs'!$B:$B,B538))</f>
        <v>37</v>
      </c>
    </row>
    <row r="539" spans="1:3" x14ac:dyDescent="0.25">
      <c r="A539" s="1" t="s">
        <v>8168</v>
      </c>
      <c r="B539" s="1" t="s">
        <v>16370</v>
      </c>
      <c r="C539" s="3">
        <f>IF(B539="","",SUMIFS('Factory Costs'!$C:$C,'Factory Costs'!$A:$A,"Blades",'Factory Costs'!$B:$B,B539))</f>
        <v>34</v>
      </c>
    </row>
    <row r="540" spans="1:3" x14ac:dyDescent="0.25">
      <c r="A540" s="1" t="s">
        <v>8171</v>
      </c>
      <c r="B540" s="1" t="s">
        <v>16370</v>
      </c>
      <c r="C540" s="3">
        <f>IF(B540="","",SUMIFS('Factory Costs'!$C:$C,'Factory Costs'!$A:$A,"Blades",'Factory Costs'!$B:$B,B540))</f>
        <v>34</v>
      </c>
    </row>
    <row r="541" spans="1:3" x14ac:dyDescent="0.25">
      <c r="A541" s="1" t="s">
        <v>8174</v>
      </c>
      <c r="B541" s="1" t="s">
        <v>16370</v>
      </c>
      <c r="C541" s="3">
        <f>IF(B541="","",SUMIFS('Factory Costs'!$C:$C,'Factory Costs'!$A:$A,"Blades",'Factory Costs'!$B:$B,B541))</f>
        <v>34</v>
      </c>
    </row>
    <row r="542" spans="1:3" x14ac:dyDescent="0.25">
      <c r="A542" s="1" t="s">
        <v>8177</v>
      </c>
      <c r="B542" s="1" t="s">
        <v>16370</v>
      </c>
      <c r="C542" s="3">
        <f>IF(B542="","",SUMIFS('Factory Costs'!$C:$C,'Factory Costs'!$A:$A,"Blades",'Factory Costs'!$B:$B,B542))</f>
        <v>34</v>
      </c>
    </row>
    <row r="543" spans="1:3" x14ac:dyDescent="0.25">
      <c r="A543" s="1" t="s">
        <v>8180</v>
      </c>
      <c r="B543" s="1" t="s">
        <v>16370</v>
      </c>
      <c r="C543" s="3">
        <f>IF(B543="","",SUMIFS('Factory Costs'!$C:$C,'Factory Costs'!$A:$A,"Blades",'Factory Costs'!$B:$B,B543))</f>
        <v>34</v>
      </c>
    </row>
    <row r="544" spans="1:3" x14ac:dyDescent="0.25">
      <c r="A544" s="1" t="s">
        <v>8183</v>
      </c>
      <c r="B544" s="1" t="s">
        <v>16372</v>
      </c>
      <c r="C544" s="3">
        <f>IF(B544="","",SUMIFS('Factory Costs'!$C:$C,'Factory Costs'!$A:$A,"Blades",'Factory Costs'!$B:$B,B544))</f>
        <v>42</v>
      </c>
    </row>
    <row r="545" spans="1:3" x14ac:dyDescent="0.25">
      <c r="A545" s="1" t="s">
        <v>8186</v>
      </c>
      <c r="B545" s="1" t="s">
        <v>16370</v>
      </c>
      <c r="C545" s="3">
        <f>IF(B545="","",SUMIFS('Factory Costs'!$C:$C,'Factory Costs'!$A:$A,"Blades",'Factory Costs'!$B:$B,B545))</f>
        <v>34</v>
      </c>
    </row>
    <row r="546" spans="1:3" x14ac:dyDescent="0.25">
      <c r="A546" s="1" t="s">
        <v>8189</v>
      </c>
      <c r="B546" s="1" t="s">
        <v>16372</v>
      </c>
      <c r="C546" s="3">
        <f>IF(B546="","",SUMIFS('Factory Costs'!$C:$C,'Factory Costs'!$A:$A,"Blades",'Factory Costs'!$B:$B,B546))</f>
        <v>42</v>
      </c>
    </row>
    <row r="547" spans="1:3" x14ac:dyDescent="0.25">
      <c r="A547" s="1" t="s">
        <v>8192</v>
      </c>
      <c r="B547" s="1" t="s">
        <v>16372</v>
      </c>
      <c r="C547" s="3">
        <f>IF(B547="","",SUMIFS('Factory Costs'!$C:$C,'Factory Costs'!$A:$A,"Blades",'Factory Costs'!$B:$B,B547))</f>
        <v>42</v>
      </c>
    </row>
    <row r="548" spans="1:3" x14ac:dyDescent="0.25">
      <c r="A548" s="1" t="s">
        <v>8195</v>
      </c>
      <c r="B548" s="1" t="s">
        <v>16370</v>
      </c>
      <c r="C548" s="3">
        <f>IF(B548="","",SUMIFS('Factory Costs'!$C:$C,'Factory Costs'!$A:$A,"Blades",'Factory Costs'!$B:$B,B548))</f>
        <v>34</v>
      </c>
    </row>
    <row r="549" spans="1:3" x14ac:dyDescent="0.25">
      <c r="A549" s="1" t="s">
        <v>8198</v>
      </c>
      <c r="B549" s="1" t="s">
        <v>16372</v>
      </c>
      <c r="C549" s="3">
        <f>IF(B549="","",SUMIFS('Factory Costs'!$C:$C,'Factory Costs'!$A:$A,"Blades",'Factory Costs'!$B:$B,B549))</f>
        <v>42</v>
      </c>
    </row>
    <row r="550" spans="1:3" x14ac:dyDescent="0.25">
      <c r="A550" s="1" t="s">
        <v>8201</v>
      </c>
      <c r="B550" s="1" t="s">
        <v>16372</v>
      </c>
      <c r="C550" s="3">
        <f>IF(B550="","",SUMIFS('Factory Costs'!$C:$C,'Factory Costs'!$A:$A,"Blades",'Factory Costs'!$B:$B,B550))</f>
        <v>42</v>
      </c>
    </row>
    <row r="551" spans="1:3" x14ac:dyDescent="0.25">
      <c r="A551" s="1" t="s">
        <v>8204</v>
      </c>
      <c r="B551" s="1" t="s">
        <v>16372</v>
      </c>
      <c r="C551" s="3">
        <f>IF(B551="","",SUMIFS('Factory Costs'!$C:$C,'Factory Costs'!$A:$A,"Blades",'Factory Costs'!$B:$B,B551))</f>
        <v>42</v>
      </c>
    </row>
    <row r="552" spans="1:3" x14ac:dyDescent="0.25">
      <c r="A552" s="1" t="s">
        <v>8207</v>
      </c>
      <c r="B552" s="1" t="s">
        <v>16371</v>
      </c>
      <c r="C552" s="3">
        <f>IF(B552="","",SUMIFS('Factory Costs'!$C:$C,'Factory Costs'!$A:$A,"Blades",'Factory Costs'!$B:$B,B552))</f>
        <v>37</v>
      </c>
    </row>
    <row r="553" spans="1:3" x14ac:dyDescent="0.25">
      <c r="A553" s="1" t="s">
        <v>8210</v>
      </c>
      <c r="B553" s="1" t="s">
        <v>16372</v>
      </c>
      <c r="C553" s="3">
        <f>IF(B553="","",SUMIFS('Factory Costs'!$C:$C,'Factory Costs'!$A:$A,"Blades",'Factory Costs'!$B:$B,B553))</f>
        <v>42</v>
      </c>
    </row>
    <row r="554" spans="1:3" x14ac:dyDescent="0.25">
      <c r="A554" s="1" t="s">
        <v>8213</v>
      </c>
      <c r="B554" s="1" t="s">
        <v>16371</v>
      </c>
      <c r="C554" s="3">
        <f>IF(B554="","",SUMIFS('Factory Costs'!$C:$C,'Factory Costs'!$A:$A,"Blades",'Factory Costs'!$B:$B,B554))</f>
        <v>37</v>
      </c>
    </row>
    <row r="555" spans="1:3" x14ac:dyDescent="0.25">
      <c r="A555" s="1" t="s">
        <v>8216</v>
      </c>
      <c r="B555" s="1" t="s">
        <v>16372</v>
      </c>
      <c r="C555" s="3">
        <f>IF(B555="","",SUMIFS('Factory Costs'!$C:$C,'Factory Costs'!$A:$A,"Blades",'Factory Costs'!$B:$B,B555))</f>
        <v>42</v>
      </c>
    </row>
    <row r="556" spans="1:3" x14ac:dyDescent="0.25">
      <c r="A556" s="1" t="s">
        <v>8219</v>
      </c>
      <c r="B556" s="1" t="s">
        <v>16371</v>
      </c>
      <c r="C556" s="3">
        <f>IF(B556="","",SUMIFS('Factory Costs'!$C:$C,'Factory Costs'!$A:$A,"Blades",'Factory Costs'!$B:$B,B556))</f>
        <v>37</v>
      </c>
    </row>
    <row r="557" spans="1:3" x14ac:dyDescent="0.25">
      <c r="A557" s="1" t="s">
        <v>8222</v>
      </c>
      <c r="B557" s="1" t="s">
        <v>16371</v>
      </c>
      <c r="C557" s="3">
        <f>IF(B557="","",SUMIFS('Factory Costs'!$C:$C,'Factory Costs'!$A:$A,"Blades",'Factory Costs'!$B:$B,B557))</f>
        <v>37</v>
      </c>
    </row>
    <row r="558" spans="1:3" x14ac:dyDescent="0.25">
      <c r="A558" s="1" t="s">
        <v>8225</v>
      </c>
      <c r="B558" s="1" t="s">
        <v>16372</v>
      </c>
      <c r="C558" s="3">
        <f>IF(B558="","",SUMIFS('Factory Costs'!$C:$C,'Factory Costs'!$A:$A,"Blades",'Factory Costs'!$B:$B,B558))</f>
        <v>42</v>
      </c>
    </row>
    <row r="559" spans="1:3" x14ac:dyDescent="0.25">
      <c r="A559" s="1" t="s">
        <v>8228</v>
      </c>
      <c r="B559" s="1" t="s">
        <v>16372</v>
      </c>
      <c r="C559" s="3">
        <f>IF(B559="","",SUMIFS('Factory Costs'!$C:$C,'Factory Costs'!$A:$A,"Blades",'Factory Costs'!$B:$B,B559))</f>
        <v>42</v>
      </c>
    </row>
    <row r="560" spans="1:3" x14ac:dyDescent="0.25">
      <c r="A560" s="1" t="s">
        <v>8231</v>
      </c>
      <c r="B560" s="1" t="s">
        <v>16370</v>
      </c>
      <c r="C560" s="3">
        <f>IF(B560="","",SUMIFS('Factory Costs'!$C:$C,'Factory Costs'!$A:$A,"Blades",'Factory Costs'!$B:$B,B560))</f>
        <v>34</v>
      </c>
    </row>
    <row r="561" spans="1:3" x14ac:dyDescent="0.25">
      <c r="A561" s="1" t="s">
        <v>8234</v>
      </c>
      <c r="B561" s="1" t="s">
        <v>16372</v>
      </c>
      <c r="C561" s="3">
        <f>IF(B561="","",SUMIFS('Factory Costs'!$C:$C,'Factory Costs'!$A:$A,"Blades",'Factory Costs'!$B:$B,B561))</f>
        <v>42</v>
      </c>
    </row>
    <row r="562" spans="1:3" x14ac:dyDescent="0.25">
      <c r="A562" s="1" t="s">
        <v>8237</v>
      </c>
      <c r="B562" s="1" t="s">
        <v>16370</v>
      </c>
      <c r="C562" s="3">
        <f>IF(B562="","",SUMIFS('Factory Costs'!$C:$C,'Factory Costs'!$A:$A,"Blades",'Factory Costs'!$B:$B,B562))</f>
        <v>34</v>
      </c>
    </row>
    <row r="563" spans="1:3" x14ac:dyDescent="0.25">
      <c r="A563" s="1" t="s">
        <v>8240</v>
      </c>
      <c r="B563" s="1" t="s">
        <v>16371</v>
      </c>
      <c r="C563" s="3">
        <f>IF(B563="","",SUMIFS('Factory Costs'!$C:$C,'Factory Costs'!$A:$A,"Blades",'Factory Costs'!$B:$B,B563))</f>
        <v>37</v>
      </c>
    </row>
    <row r="564" spans="1:3" x14ac:dyDescent="0.25">
      <c r="A564" s="1" t="s">
        <v>8243</v>
      </c>
      <c r="B564" s="1" t="s">
        <v>16372</v>
      </c>
      <c r="C564" s="3">
        <f>IF(B564="","",SUMIFS('Factory Costs'!$C:$C,'Factory Costs'!$A:$A,"Blades",'Factory Costs'!$B:$B,B564))</f>
        <v>42</v>
      </c>
    </row>
    <row r="565" spans="1:3" x14ac:dyDescent="0.25">
      <c r="A565" s="1" t="s">
        <v>8246</v>
      </c>
      <c r="B565" s="1" t="s">
        <v>16370</v>
      </c>
      <c r="C565" s="3">
        <f>IF(B565="","",SUMIFS('Factory Costs'!$C:$C,'Factory Costs'!$A:$A,"Blades",'Factory Costs'!$B:$B,B565))</f>
        <v>34</v>
      </c>
    </row>
    <row r="566" spans="1:3" x14ac:dyDescent="0.25">
      <c r="A566" s="1" t="s">
        <v>8249</v>
      </c>
      <c r="B566" s="1" t="s">
        <v>16370</v>
      </c>
      <c r="C566" s="3">
        <f>IF(B566="","",SUMIFS('Factory Costs'!$C:$C,'Factory Costs'!$A:$A,"Blades",'Factory Costs'!$B:$B,B566))</f>
        <v>34</v>
      </c>
    </row>
    <row r="567" spans="1:3" x14ac:dyDescent="0.25">
      <c r="A567" s="1" t="s">
        <v>8252</v>
      </c>
      <c r="B567" s="1" t="s">
        <v>16372</v>
      </c>
      <c r="C567" s="3">
        <f>IF(B567="","",SUMIFS('Factory Costs'!$C:$C,'Factory Costs'!$A:$A,"Blades",'Factory Costs'!$B:$B,B567))</f>
        <v>42</v>
      </c>
    </row>
    <row r="568" spans="1:3" x14ac:dyDescent="0.25">
      <c r="A568" s="1" t="s">
        <v>8255</v>
      </c>
      <c r="B568" s="1" t="s">
        <v>16370</v>
      </c>
      <c r="C568" s="3">
        <f>IF(B568="","",SUMIFS('Factory Costs'!$C:$C,'Factory Costs'!$A:$A,"Blades",'Factory Costs'!$B:$B,B568))</f>
        <v>34</v>
      </c>
    </row>
    <row r="569" spans="1:3" x14ac:dyDescent="0.25">
      <c r="A569" s="1" t="s">
        <v>8258</v>
      </c>
      <c r="B569" s="1" t="s">
        <v>16370</v>
      </c>
      <c r="C569" s="3">
        <f>IF(B569="","",SUMIFS('Factory Costs'!$C:$C,'Factory Costs'!$A:$A,"Blades",'Factory Costs'!$B:$B,B569))</f>
        <v>34</v>
      </c>
    </row>
    <row r="570" spans="1:3" x14ac:dyDescent="0.25">
      <c r="A570" s="1" t="s">
        <v>8261</v>
      </c>
      <c r="B570" s="1" t="s">
        <v>16372</v>
      </c>
      <c r="C570" s="3">
        <f>IF(B570="","",SUMIFS('Factory Costs'!$C:$C,'Factory Costs'!$A:$A,"Blades",'Factory Costs'!$B:$B,B570))</f>
        <v>42</v>
      </c>
    </row>
    <row r="571" spans="1:3" x14ac:dyDescent="0.25">
      <c r="A571" s="1" t="s">
        <v>8264</v>
      </c>
      <c r="B571" s="1" t="s">
        <v>16370</v>
      </c>
      <c r="C571" s="3">
        <f>IF(B571="","",SUMIFS('Factory Costs'!$C:$C,'Factory Costs'!$A:$A,"Blades",'Factory Costs'!$B:$B,B571))</f>
        <v>34</v>
      </c>
    </row>
    <row r="572" spans="1:3" x14ac:dyDescent="0.25">
      <c r="A572" s="1" t="s">
        <v>8267</v>
      </c>
      <c r="B572" s="1" t="s">
        <v>16372</v>
      </c>
      <c r="C572" s="3">
        <f>IF(B572="","",SUMIFS('Factory Costs'!$C:$C,'Factory Costs'!$A:$A,"Blades",'Factory Costs'!$B:$B,B572))</f>
        <v>42</v>
      </c>
    </row>
    <row r="573" spans="1:3" x14ac:dyDescent="0.25">
      <c r="A573" s="1" t="s">
        <v>8270</v>
      </c>
      <c r="B573" s="1" t="s">
        <v>16370</v>
      </c>
      <c r="C573" s="3">
        <f>IF(B573="","",SUMIFS('Factory Costs'!$C:$C,'Factory Costs'!$A:$A,"Blades",'Factory Costs'!$B:$B,B573))</f>
        <v>34</v>
      </c>
    </row>
    <row r="574" spans="1:3" x14ac:dyDescent="0.25">
      <c r="A574" s="1" t="s">
        <v>8273</v>
      </c>
      <c r="B574" s="1" t="s">
        <v>16372</v>
      </c>
      <c r="C574" s="3">
        <f>IF(B574="","",SUMIFS('Factory Costs'!$C:$C,'Factory Costs'!$A:$A,"Blades",'Factory Costs'!$B:$B,B574))</f>
        <v>42</v>
      </c>
    </row>
    <row r="575" spans="1:3" x14ac:dyDescent="0.25">
      <c r="A575" s="1" t="s">
        <v>8276</v>
      </c>
      <c r="B575" s="1" t="s">
        <v>16371</v>
      </c>
      <c r="C575" s="3">
        <f>IF(B575="","",SUMIFS('Factory Costs'!$C:$C,'Factory Costs'!$A:$A,"Blades",'Factory Costs'!$B:$B,B575))</f>
        <v>37</v>
      </c>
    </row>
    <row r="576" spans="1:3" x14ac:dyDescent="0.25">
      <c r="A576" s="1" t="s">
        <v>8279</v>
      </c>
      <c r="B576" s="1" t="s">
        <v>16372</v>
      </c>
      <c r="C576" s="3">
        <f>IF(B576="","",SUMIFS('Factory Costs'!$C:$C,'Factory Costs'!$A:$A,"Blades",'Factory Costs'!$B:$B,B576))</f>
        <v>42</v>
      </c>
    </row>
    <row r="577" spans="1:3" x14ac:dyDescent="0.25">
      <c r="A577" s="1" t="s">
        <v>8282</v>
      </c>
      <c r="B577" s="1" t="s">
        <v>16370</v>
      </c>
      <c r="C577" s="3">
        <f>IF(B577="","",SUMIFS('Factory Costs'!$C:$C,'Factory Costs'!$A:$A,"Blades",'Factory Costs'!$B:$B,B577))</f>
        <v>34</v>
      </c>
    </row>
    <row r="578" spans="1:3" x14ac:dyDescent="0.25">
      <c r="A578" s="1" t="s">
        <v>8285</v>
      </c>
      <c r="B578" s="1" t="s">
        <v>16370</v>
      </c>
      <c r="C578" s="3">
        <f>IF(B578="","",SUMIFS('Factory Costs'!$C:$C,'Factory Costs'!$A:$A,"Blades",'Factory Costs'!$B:$B,B578))</f>
        <v>34</v>
      </c>
    </row>
    <row r="579" spans="1:3" x14ac:dyDescent="0.25">
      <c r="A579" s="1" t="s">
        <v>8288</v>
      </c>
      <c r="B579" s="1" t="s">
        <v>16370</v>
      </c>
      <c r="C579" s="3">
        <f>IF(B579="","",SUMIFS('Factory Costs'!$C:$C,'Factory Costs'!$A:$A,"Blades",'Factory Costs'!$B:$B,B579))</f>
        <v>34</v>
      </c>
    </row>
    <row r="580" spans="1:3" x14ac:dyDescent="0.25">
      <c r="A580" s="1" t="s">
        <v>8291</v>
      </c>
      <c r="B580" s="1" t="s">
        <v>16370</v>
      </c>
      <c r="C580" s="3">
        <f>IF(B580="","",SUMIFS('Factory Costs'!$C:$C,'Factory Costs'!$A:$A,"Blades",'Factory Costs'!$B:$B,B580))</f>
        <v>34</v>
      </c>
    </row>
    <row r="581" spans="1:3" x14ac:dyDescent="0.25">
      <c r="A581" s="1" t="s">
        <v>8294</v>
      </c>
      <c r="B581" s="1" t="s">
        <v>16370</v>
      </c>
      <c r="C581" s="3">
        <f>IF(B581="","",SUMIFS('Factory Costs'!$C:$C,'Factory Costs'!$A:$A,"Blades",'Factory Costs'!$B:$B,B581))</f>
        <v>34</v>
      </c>
    </row>
    <row r="582" spans="1:3" x14ac:dyDescent="0.25">
      <c r="A582" s="1" t="s">
        <v>8297</v>
      </c>
      <c r="B582" s="1" t="s">
        <v>16372</v>
      </c>
      <c r="C582" s="3">
        <f>IF(B582="","",SUMIFS('Factory Costs'!$C:$C,'Factory Costs'!$A:$A,"Blades",'Factory Costs'!$B:$B,B582))</f>
        <v>42</v>
      </c>
    </row>
    <row r="583" spans="1:3" x14ac:dyDescent="0.25">
      <c r="A583" s="1" t="s">
        <v>8300</v>
      </c>
      <c r="B583" s="1" t="s">
        <v>16370</v>
      </c>
      <c r="C583" s="3">
        <f>IF(B583="","",SUMIFS('Factory Costs'!$C:$C,'Factory Costs'!$A:$A,"Blades",'Factory Costs'!$B:$B,B583))</f>
        <v>34</v>
      </c>
    </row>
    <row r="584" spans="1:3" x14ac:dyDescent="0.25">
      <c r="A584" s="1" t="s">
        <v>8303</v>
      </c>
      <c r="B584" s="1" t="s">
        <v>16370</v>
      </c>
      <c r="C584" s="3">
        <f>IF(B584="","",SUMIFS('Factory Costs'!$C:$C,'Factory Costs'!$A:$A,"Blades",'Factory Costs'!$B:$B,B584))</f>
        <v>34</v>
      </c>
    </row>
    <row r="585" spans="1:3" x14ac:dyDescent="0.25">
      <c r="A585" s="1" t="s">
        <v>8306</v>
      </c>
      <c r="B585" s="1" t="s">
        <v>16372</v>
      </c>
      <c r="C585" s="3">
        <f>IF(B585="","",SUMIFS('Factory Costs'!$C:$C,'Factory Costs'!$A:$A,"Blades",'Factory Costs'!$B:$B,B585))</f>
        <v>42</v>
      </c>
    </row>
    <row r="586" spans="1:3" x14ac:dyDescent="0.25">
      <c r="A586" s="1" t="s">
        <v>8309</v>
      </c>
      <c r="B586" s="1" t="s">
        <v>16372</v>
      </c>
      <c r="C586" s="3">
        <f>IF(B586="","",SUMIFS('Factory Costs'!$C:$C,'Factory Costs'!$A:$A,"Blades",'Factory Costs'!$B:$B,B586))</f>
        <v>42</v>
      </c>
    </row>
    <row r="587" spans="1:3" x14ac:dyDescent="0.25">
      <c r="A587" s="1" t="s">
        <v>8312</v>
      </c>
      <c r="B587" s="1" t="s">
        <v>16370</v>
      </c>
      <c r="C587" s="3">
        <f>IF(B587="","",SUMIFS('Factory Costs'!$C:$C,'Factory Costs'!$A:$A,"Blades",'Factory Costs'!$B:$B,B587))</f>
        <v>34</v>
      </c>
    </row>
    <row r="588" spans="1:3" x14ac:dyDescent="0.25">
      <c r="A588" s="1" t="s">
        <v>8315</v>
      </c>
      <c r="B588" s="1" t="s">
        <v>16370</v>
      </c>
      <c r="C588" s="3">
        <f>IF(B588="","",SUMIFS('Factory Costs'!$C:$C,'Factory Costs'!$A:$A,"Blades",'Factory Costs'!$B:$B,B588))</f>
        <v>34</v>
      </c>
    </row>
    <row r="589" spans="1:3" x14ac:dyDescent="0.25">
      <c r="A589" s="1" t="s">
        <v>8318</v>
      </c>
      <c r="B589" s="1" t="s">
        <v>16371</v>
      </c>
      <c r="C589" s="3">
        <f>IF(B589="","",SUMIFS('Factory Costs'!$C:$C,'Factory Costs'!$A:$A,"Blades",'Factory Costs'!$B:$B,B589))</f>
        <v>37</v>
      </c>
    </row>
    <row r="590" spans="1:3" x14ac:dyDescent="0.25">
      <c r="A590" s="1" t="s">
        <v>8321</v>
      </c>
      <c r="B590" s="1" t="s">
        <v>16372</v>
      </c>
      <c r="C590" s="3">
        <f>IF(B590="","",SUMIFS('Factory Costs'!$C:$C,'Factory Costs'!$A:$A,"Blades",'Factory Costs'!$B:$B,B590))</f>
        <v>42</v>
      </c>
    </row>
    <row r="591" spans="1:3" x14ac:dyDescent="0.25">
      <c r="A591" s="1" t="s">
        <v>8324</v>
      </c>
      <c r="B591" s="1" t="s">
        <v>16370</v>
      </c>
      <c r="C591" s="3">
        <f>IF(B591="","",SUMIFS('Factory Costs'!$C:$C,'Factory Costs'!$A:$A,"Blades",'Factory Costs'!$B:$B,B591))</f>
        <v>34</v>
      </c>
    </row>
    <row r="592" spans="1:3" x14ac:dyDescent="0.25">
      <c r="A592" s="1" t="s">
        <v>8327</v>
      </c>
      <c r="B592" s="1" t="s">
        <v>16370</v>
      </c>
      <c r="C592" s="3">
        <f>IF(B592="","",SUMIFS('Factory Costs'!$C:$C,'Factory Costs'!$A:$A,"Blades",'Factory Costs'!$B:$B,B592))</f>
        <v>34</v>
      </c>
    </row>
    <row r="593" spans="1:3" x14ac:dyDescent="0.25">
      <c r="A593" s="1" t="s">
        <v>8330</v>
      </c>
      <c r="B593" s="1" t="s">
        <v>16372</v>
      </c>
      <c r="C593" s="3">
        <f>IF(B593="","",SUMIFS('Factory Costs'!$C:$C,'Factory Costs'!$A:$A,"Blades",'Factory Costs'!$B:$B,B593))</f>
        <v>42</v>
      </c>
    </row>
    <row r="594" spans="1:3" x14ac:dyDescent="0.25">
      <c r="A594" s="1" t="s">
        <v>8333</v>
      </c>
      <c r="B594" s="1" t="s">
        <v>16370</v>
      </c>
      <c r="C594" s="3">
        <f>IF(B594="","",SUMIFS('Factory Costs'!$C:$C,'Factory Costs'!$A:$A,"Blades",'Factory Costs'!$B:$B,B594))</f>
        <v>34</v>
      </c>
    </row>
    <row r="595" spans="1:3" x14ac:dyDescent="0.25">
      <c r="A595" s="1" t="s">
        <v>8336</v>
      </c>
      <c r="B595" s="1" t="s">
        <v>16372</v>
      </c>
      <c r="C595" s="3">
        <f>IF(B595="","",SUMIFS('Factory Costs'!$C:$C,'Factory Costs'!$A:$A,"Blades",'Factory Costs'!$B:$B,B595))</f>
        <v>42</v>
      </c>
    </row>
    <row r="596" spans="1:3" x14ac:dyDescent="0.25">
      <c r="A596" s="1" t="s">
        <v>8339</v>
      </c>
      <c r="B596" s="1" t="s">
        <v>16371</v>
      </c>
      <c r="C596" s="3">
        <f>IF(B596="","",SUMIFS('Factory Costs'!$C:$C,'Factory Costs'!$A:$A,"Blades",'Factory Costs'!$B:$B,B596))</f>
        <v>37</v>
      </c>
    </row>
    <row r="597" spans="1:3" x14ac:dyDescent="0.25">
      <c r="A597" s="1" t="s">
        <v>8342</v>
      </c>
      <c r="B597" s="1" t="s">
        <v>16372</v>
      </c>
      <c r="C597" s="3">
        <f>IF(B597="","",SUMIFS('Factory Costs'!$C:$C,'Factory Costs'!$A:$A,"Blades",'Factory Costs'!$B:$B,B597))</f>
        <v>42</v>
      </c>
    </row>
    <row r="598" spans="1:3" x14ac:dyDescent="0.25">
      <c r="A598" s="1" t="s">
        <v>8345</v>
      </c>
      <c r="B598" s="1" t="s">
        <v>16372</v>
      </c>
      <c r="C598" s="3">
        <f>IF(B598="","",SUMIFS('Factory Costs'!$C:$C,'Factory Costs'!$A:$A,"Blades",'Factory Costs'!$B:$B,B598))</f>
        <v>42</v>
      </c>
    </row>
    <row r="599" spans="1:3" x14ac:dyDescent="0.25">
      <c r="A599" s="1" t="s">
        <v>8348</v>
      </c>
      <c r="B599" s="1" t="s">
        <v>16370</v>
      </c>
      <c r="C599" s="3">
        <f>IF(B599="","",SUMIFS('Factory Costs'!$C:$C,'Factory Costs'!$A:$A,"Blades",'Factory Costs'!$B:$B,B599))</f>
        <v>34</v>
      </c>
    </row>
    <row r="600" spans="1:3" x14ac:dyDescent="0.25">
      <c r="A600" s="1" t="s">
        <v>8351</v>
      </c>
      <c r="B600" s="1" t="s">
        <v>16371</v>
      </c>
      <c r="C600" s="3">
        <f>IF(B600="","",SUMIFS('Factory Costs'!$C:$C,'Factory Costs'!$A:$A,"Blades",'Factory Costs'!$B:$B,B600))</f>
        <v>37</v>
      </c>
    </row>
    <row r="601" spans="1:3" x14ac:dyDescent="0.25">
      <c r="A601" s="1" t="s">
        <v>8354</v>
      </c>
      <c r="B601" s="1" t="s">
        <v>16370</v>
      </c>
      <c r="C601" s="3">
        <f>IF(B601="","",SUMIFS('Factory Costs'!$C:$C,'Factory Costs'!$A:$A,"Blades",'Factory Costs'!$B:$B,B601))</f>
        <v>34</v>
      </c>
    </row>
    <row r="602" spans="1:3" x14ac:dyDescent="0.25">
      <c r="A602" s="1" t="s">
        <v>8357</v>
      </c>
      <c r="B602" s="1" t="s">
        <v>16371</v>
      </c>
      <c r="C602" s="3">
        <f>IF(B602="","",SUMIFS('Factory Costs'!$C:$C,'Factory Costs'!$A:$A,"Blades",'Factory Costs'!$B:$B,B602))</f>
        <v>37</v>
      </c>
    </row>
    <row r="603" spans="1:3" x14ac:dyDescent="0.25">
      <c r="A603" s="1" t="s">
        <v>8360</v>
      </c>
      <c r="B603" s="1" t="s">
        <v>16370</v>
      </c>
      <c r="C603" s="3">
        <f>IF(B603="","",SUMIFS('Factory Costs'!$C:$C,'Factory Costs'!$A:$A,"Blades",'Factory Costs'!$B:$B,B603))</f>
        <v>34</v>
      </c>
    </row>
    <row r="604" spans="1:3" x14ac:dyDescent="0.25">
      <c r="A604" s="1" t="s">
        <v>8363</v>
      </c>
      <c r="B604" s="1" t="s">
        <v>16372</v>
      </c>
      <c r="C604" s="3">
        <f>IF(B604="","",SUMIFS('Factory Costs'!$C:$C,'Factory Costs'!$A:$A,"Blades",'Factory Costs'!$B:$B,B604))</f>
        <v>42</v>
      </c>
    </row>
    <row r="605" spans="1:3" x14ac:dyDescent="0.25">
      <c r="A605" s="1" t="s">
        <v>8366</v>
      </c>
      <c r="B605" s="1" t="s">
        <v>16370</v>
      </c>
      <c r="C605" s="3">
        <f>IF(B605="","",SUMIFS('Factory Costs'!$C:$C,'Factory Costs'!$A:$A,"Blades",'Factory Costs'!$B:$B,B605))</f>
        <v>34</v>
      </c>
    </row>
    <row r="606" spans="1:3" x14ac:dyDescent="0.25">
      <c r="A606" s="1" t="s">
        <v>8369</v>
      </c>
      <c r="B606" s="1" t="s">
        <v>16371</v>
      </c>
      <c r="C606" s="3">
        <f>IF(B606="","",SUMIFS('Factory Costs'!$C:$C,'Factory Costs'!$A:$A,"Blades",'Factory Costs'!$B:$B,B606))</f>
        <v>37</v>
      </c>
    </row>
    <row r="607" spans="1:3" x14ac:dyDescent="0.25">
      <c r="A607" s="1" t="s">
        <v>8372</v>
      </c>
      <c r="B607" s="1" t="s">
        <v>16371</v>
      </c>
      <c r="C607" s="3">
        <f>IF(B607="","",SUMIFS('Factory Costs'!$C:$C,'Factory Costs'!$A:$A,"Blades",'Factory Costs'!$B:$B,B607))</f>
        <v>37</v>
      </c>
    </row>
    <row r="608" spans="1:3" x14ac:dyDescent="0.25">
      <c r="A608" s="1" t="s">
        <v>8375</v>
      </c>
      <c r="B608" s="1" t="s">
        <v>16370</v>
      </c>
      <c r="C608" s="3">
        <f>IF(B608="","",SUMIFS('Factory Costs'!$C:$C,'Factory Costs'!$A:$A,"Blades",'Factory Costs'!$B:$B,B608))</f>
        <v>34</v>
      </c>
    </row>
    <row r="609" spans="1:3" x14ac:dyDescent="0.25">
      <c r="A609" s="1" t="s">
        <v>8378</v>
      </c>
      <c r="B609" s="1" t="s">
        <v>16370</v>
      </c>
      <c r="C609" s="3">
        <f>IF(B609="","",SUMIFS('Factory Costs'!$C:$C,'Factory Costs'!$A:$A,"Blades",'Factory Costs'!$B:$B,B609))</f>
        <v>34</v>
      </c>
    </row>
    <row r="610" spans="1:3" x14ac:dyDescent="0.25">
      <c r="A610" s="1" t="s">
        <v>8381</v>
      </c>
      <c r="B610" s="1" t="s">
        <v>16370</v>
      </c>
      <c r="C610" s="3">
        <f>IF(B610="","",SUMIFS('Factory Costs'!$C:$C,'Factory Costs'!$A:$A,"Blades",'Factory Costs'!$B:$B,B610))</f>
        <v>34</v>
      </c>
    </row>
    <row r="611" spans="1:3" x14ac:dyDescent="0.25">
      <c r="A611" s="1" t="s">
        <v>8384</v>
      </c>
      <c r="B611" s="1" t="s">
        <v>16370</v>
      </c>
      <c r="C611" s="3">
        <f>IF(B611="","",SUMIFS('Factory Costs'!$C:$C,'Factory Costs'!$A:$A,"Blades",'Factory Costs'!$B:$B,B611))</f>
        <v>34</v>
      </c>
    </row>
    <row r="612" spans="1:3" x14ac:dyDescent="0.25">
      <c r="A612" s="1" t="s">
        <v>8387</v>
      </c>
      <c r="B612" s="1" t="s">
        <v>16370</v>
      </c>
      <c r="C612" s="3">
        <f>IF(B612="","",SUMIFS('Factory Costs'!$C:$C,'Factory Costs'!$A:$A,"Blades",'Factory Costs'!$B:$B,B612))</f>
        <v>34</v>
      </c>
    </row>
    <row r="613" spans="1:3" x14ac:dyDescent="0.25">
      <c r="A613" s="1" t="s">
        <v>8390</v>
      </c>
      <c r="B613" s="1" t="s">
        <v>16371</v>
      </c>
      <c r="C613" s="3">
        <f>IF(B613="","",SUMIFS('Factory Costs'!$C:$C,'Factory Costs'!$A:$A,"Blades",'Factory Costs'!$B:$B,B613))</f>
        <v>37</v>
      </c>
    </row>
    <row r="614" spans="1:3" x14ac:dyDescent="0.25">
      <c r="A614" s="1" t="s">
        <v>8393</v>
      </c>
      <c r="B614" s="1" t="s">
        <v>16370</v>
      </c>
      <c r="C614" s="3">
        <f>IF(B614="","",SUMIFS('Factory Costs'!$C:$C,'Factory Costs'!$A:$A,"Blades",'Factory Costs'!$B:$B,B614))</f>
        <v>34</v>
      </c>
    </row>
    <row r="615" spans="1:3" x14ac:dyDescent="0.25">
      <c r="A615" s="1" t="s">
        <v>8396</v>
      </c>
      <c r="B615" s="1" t="s">
        <v>16370</v>
      </c>
      <c r="C615" s="3">
        <f>IF(B615="","",SUMIFS('Factory Costs'!$C:$C,'Factory Costs'!$A:$A,"Blades",'Factory Costs'!$B:$B,B615))</f>
        <v>34</v>
      </c>
    </row>
    <row r="616" spans="1:3" x14ac:dyDescent="0.25">
      <c r="A616" s="1" t="s">
        <v>8399</v>
      </c>
      <c r="B616" s="1" t="s">
        <v>16370</v>
      </c>
      <c r="C616" s="3">
        <f>IF(B616="","",SUMIFS('Factory Costs'!$C:$C,'Factory Costs'!$A:$A,"Blades",'Factory Costs'!$B:$B,B616))</f>
        <v>34</v>
      </c>
    </row>
    <row r="617" spans="1:3" x14ac:dyDescent="0.25">
      <c r="A617" s="1" t="s">
        <v>8402</v>
      </c>
      <c r="B617" s="1" t="s">
        <v>16371</v>
      </c>
      <c r="C617" s="3">
        <f>IF(B617="","",SUMIFS('Factory Costs'!$C:$C,'Factory Costs'!$A:$A,"Blades",'Factory Costs'!$B:$B,B617))</f>
        <v>37</v>
      </c>
    </row>
    <row r="618" spans="1:3" x14ac:dyDescent="0.25">
      <c r="A618" s="1" t="s">
        <v>8405</v>
      </c>
      <c r="B618" s="1" t="s">
        <v>16370</v>
      </c>
      <c r="C618" s="3">
        <f>IF(B618="","",SUMIFS('Factory Costs'!$C:$C,'Factory Costs'!$A:$A,"Blades",'Factory Costs'!$B:$B,B618))</f>
        <v>34</v>
      </c>
    </row>
    <row r="619" spans="1:3" x14ac:dyDescent="0.25">
      <c r="A619" s="1" t="s">
        <v>8408</v>
      </c>
      <c r="B619" s="1" t="s">
        <v>16370</v>
      </c>
      <c r="C619" s="3">
        <f>IF(B619="","",SUMIFS('Factory Costs'!$C:$C,'Factory Costs'!$A:$A,"Blades",'Factory Costs'!$B:$B,B619))</f>
        <v>34</v>
      </c>
    </row>
    <row r="620" spans="1:3" x14ac:dyDescent="0.25">
      <c r="A620" s="1" t="s">
        <v>8411</v>
      </c>
      <c r="B620" s="1" t="s">
        <v>16370</v>
      </c>
      <c r="C620" s="3">
        <f>IF(B620="","",SUMIFS('Factory Costs'!$C:$C,'Factory Costs'!$A:$A,"Blades",'Factory Costs'!$B:$B,B620))</f>
        <v>34</v>
      </c>
    </row>
    <row r="621" spans="1:3" x14ac:dyDescent="0.25">
      <c r="A621" s="1" t="s">
        <v>8414</v>
      </c>
      <c r="B621" s="1" t="s">
        <v>16370</v>
      </c>
      <c r="C621" s="3">
        <f>IF(B621="","",SUMIFS('Factory Costs'!$C:$C,'Factory Costs'!$A:$A,"Blades",'Factory Costs'!$B:$B,B621))</f>
        <v>34</v>
      </c>
    </row>
    <row r="622" spans="1:3" x14ac:dyDescent="0.25">
      <c r="A622" s="1" t="s">
        <v>8417</v>
      </c>
      <c r="B622" s="1" t="s">
        <v>16372</v>
      </c>
      <c r="C622" s="3">
        <f>IF(B622="","",SUMIFS('Factory Costs'!$C:$C,'Factory Costs'!$A:$A,"Blades",'Factory Costs'!$B:$B,B622))</f>
        <v>42</v>
      </c>
    </row>
    <row r="623" spans="1:3" x14ac:dyDescent="0.25">
      <c r="A623" s="1" t="s">
        <v>8420</v>
      </c>
      <c r="B623" s="1" t="s">
        <v>16370</v>
      </c>
      <c r="C623" s="3">
        <f>IF(B623="","",SUMIFS('Factory Costs'!$C:$C,'Factory Costs'!$A:$A,"Blades",'Factory Costs'!$B:$B,B623))</f>
        <v>34</v>
      </c>
    </row>
    <row r="624" spans="1:3" x14ac:dyDescent="0.25">
      <c r="A624" s="1" t="s">
        <v>8423</v>
      </c>
      <c r="B624" s="1" t="s">
        <v>16370</v>
      </c>
      <c r="C624" s="3">
        <f>IF(B624="","",SUMIFS('Factory Costs'!$C:$C,'Factory Costs'!$A:$A,"Blades",'Factory Costs'!$B:$B,B624))</f>
        <v>34</v>
      </c>
    </row>
    <row r="625" spans="1:3" x14ac:dyDescent="0.25">
      <c r="A625" s="1" t="s">
        <v>8426</v>
      </c>
      <c r="B625" s="1" t="s">
        <v>16370</v>
      </c>
      <c r="C625" s="3">
        <f>IF(B625="","",SUMIFS('Factory Costs'!$C:$C,'Factory Costs'!$A:$A,"Blades",'Factory Costs'!$B:$B,B625))</f>
        <v>34</v>
      </c>
    </row>
    <row r="626" spans="1:3" x14ac:dyDescent="0.25">
      <c r="A626" s="1" t="s">
        <v>8429</v>
      </c>
      <c r="B626" s="1" t="s">
        <v>16371</v>
      </c>
      <c r="C626" s="3">
        <f>IF(B626="","",SUMIFS('Factory Costs'!$C:$C,'Factory Costs'!$A:$A,"Blades",'Factory Costs'!$B:$B,B626))</f>
        <v>37</v>
      </c>
    </row>
    <row r="627" spans="1:3" x14ac:dyDescent="0.25">
      <c r="A627" s="1" t="s">
        <v>8432</v>
      </c>
      <c r="B627" s="1" t="s">
        <v>16372</v>
      </c>
      <c r="C627" s="3">
        <f>IF(B627="","",SUMIFS('Factory Costs'!$C:$C,'Factory Costs'!$A:$A,"Blades",'Factory Costs'!$B:$B,B627))</f>
        <v>42</v>
      </c>
    </row>
    <row r="628" spans="1:3" x14ac:dyDescent="0.25">
      <c r="A628" s="1" t="s">
        <v>8435</v>
      </c>
      <c r="B628" s="1" t="s">
        <v>16372</v>
      </c>
      <c r="C628" s="3">
        <f>IF(B628="","",SUMIFS('Factory Costs'!$C:$C,'Factory Costs'!$A:$A,"Blades",'Factory Costs'!$B:$B,B628))</f>
        <v>42</v>
      </c>
    </row>
    <row r="629" spans="1:3" x14ac:dyDescent="0.25">
      <c r="A629" s="1" t="s">
        <v>8438</v>
      </c>
      <c r="B629" s="1" t="s">
        <v>16370</v>
      </c>
      <c r="C629" s="3">
        <f>IF(B629="","",SUMIFS('Factory Costs'!$C:$C,'Factory Costs'!$A:$A,"Blades",'Factory Costs'!$B:$B,B629))</f>
        <v>34</v>
      </c>
    </row>
    <row r="630" spans="1:3" x14ac:dyDescent="0.25">
      <c r="A630" s="1" t="s">
        <v>8441</v>
      </c>
      <c r="B630" s="1" t="s">
        <v>16370</v>
      </c>
      <c r="C630" s="3">
        <f>IF(B630="","",SUMIFS('Factory Costs'!$C:$C,'Factory Costs'!$A:$A,"Blades",'Factory Costs'!$B:$B,B630))</f>
        <v>34</v>
      </c>
    </row>
    <row r="631" spans="1:3" x14ac:dyDescent="0.25">
      <c r="A631" s="1" t="s">
        <v>8444</v>
      </c>
      <c r="B631" s="1" t="s">
        <v>16370</v>
      </c>
      <c r="C631" s="3">
        <f>IF(B631="","",SUMIFS('Factory Costs'!$C:$C,'Factory Costs'!$A:$A,"Blades",'Factory Costs'!$B:$B,B631))</f>
        <v>34</v>
      </c>
    </row>
    <row r="632" spans="1:3" x14ac:dyDescent="0.25">
      <c r="A632" s="1" t="s">
        <v>8447</v>
      </c>
      <c r="B632" s="1" t="s">
        <v>16372</v>
      </c>
      <c r="C632" s="3">
        <f>IF(B632="","",SUMIFS('Factory Costs'!$C:$C,'Factory Costs'!$A:$A,"Blades",'Factory Costs'!$B:$B,B632))</f>
        <v>42</v>
      </c>
    </row>
    <row r="633" spans="1:3" x14ac:dyDescent="0.25">
      <c r="A633" s="1" t="s">
        <v>8450</v>
      </c>
      <c r="B633" s="1" t="s">
        <v>16372</v>
      </c>
      <c r="C633" s="3">
        <f>IF(B633="","",SUMIFS('Factory Costs'!$C:$C,'Factory Costs'!$A:$A,"Blades",'Factory Costs'!$B:$B,B633))</f>
        <v>42</v>
      </c>
    </row>
    <row r="634" spans="1:3" x14ac:dyDescent="0.25">
      <c r="A634" s="1" t="s">
        <v>8453</v>
      </c>
      <c r="B634" s="1" t="s">
        <v>16372</v>
      </c>
      <c r="C634" s="3">
        <f>IF(B634="","",SUMIFS('Factory Costs'!$C:$C,'Factory Costs'!$A:$A,"Blades",'Factory Costs'!$B:$B,B634))</f>
        <v>42</v>
      </c>
    </row>
    <row r="635" spans="1:3" x14ac:dyDescent="0.25">
      <c r="A635" s="1" t="s">
        <v>8456</v>
      </c>
      <c r="B635" s="1" t="s">
        <v>16371</v>
      </c>
      <c r="C635" s="3">
        <f>IF(B635="","",SUMIFS('Factory Costs'!$C:$C,'Factory Costs'!$A:$A,"Blades",'Factory Costs'!$B:$B,B635))</f>
        <v>37</v>
      </c>
    </row>
    <row r="636" spans="1:3" x14ac:dyDescent="0.25">
      <c r="A636" s="1" t="s">
        <v>8459</v>
      </c>
      <c r="B636" s="1" t="s">
        <v>16370</v>
      </c>
      <c r="C636" s="3">
        <f>IF(B636="","",SUMIFS('Factory Costs'!$C:$C,'Factory Costs'!$A:$A,"Blades",'Factory Costs'!$B:$B,B636))</f>
        <v>34</v>
      </c>
    </row>
    <row r="637" spans="1:3" x14ac:dyDescent="0.25">
      <c r="A637" s="1" t="s">
        <v>8462</v>
      </c>
      <c r="B637" s="1" t="s">
        <v>16371</v>
      </c>
      <c r="C637" s="3">
        <f>IF(B637="","",SUMIFS('Factory Costs'!$C:$C,'Factory Costs'!$A:$A,"Blades",'Factory Costs'!$B:$B,B637))</f>
        <v>37</v>
      </c>
    </row>
    <row r="638" spans="1:3" x14ac:dyDescent="0.25">
      <c r="A638" s="1" t="s">
        <v>8465</v>
      </c>
      <c r="B638" s="1" t="s">
        <v>16372</v>
      </c>
      <c r="C638" s="3">
        <f>IF(B638="","",SUMIFS('Factory Costs'!$C:$C,'Factory Costs'!$A:$A,"Blades",'Factory Costs'!$B:$B,B638))</f>
        <v>42</v>
      </c>
    </row>
    <row r="639" spans="1:3" x14ac:dyDescent="0.25">
      <c r="A639" s="1" t="s">
        <v>8468</v>
      </c>
      <c r="B639" s="1" t="s">
        <v>16370</v>
      </c>
      <c r="C639" s="3">
        <f>IF(B639="","",SUMIFS('Factory Costs'!$C:$C,'Factory Costs'!$A:$A,"Blades",'Factory Costs'!$B:$B,B639))</f>
        <v>34</v>
      </c>
    </row>
    <row r="640" spans="1:3" x14ac:dyDescent="0.25">
      <c r="A640" s="1" t="s">
        <v>8471</v>
      </c>
      <c r="B640" s="1" t="s">
        <v>16372</v>
      </c>
      <c r="C640" s="3">
        <f>IF(B640="","",SUMIFS('Factory Costs'!$C:$C,'Factory Costs'!$A:$A,"Blades",'Factory Costs'!$B:$B,B640))</f>
        <v>42</v>
      </c>
    </row>
    <row r="641" spans="1:3" x14ac:dyDescent="0.25">
      <c r="A641" s="1" t="s">
        <v>8474</v>
      </c>
      <c r="B641" s="1" t="s">
        <v>16372</v>
      </c>
      <c r="C641" s="3">
        <f>IF(B641="","",SUMIFS('Factory Costs'!$C:$C,'Factory Costs'!$A:$A,"Blades",'Factory Costs'!$B:$B,B641))</f>
        <v>42</v>
      </c>
    </row>
    <row r="642" spans="1:3" x14ac:dyDescent="0.25">
      <c r="A642" s="1" t="s">
        <v>8477</v>
      </c>
      <c r="B642" s="1" t="s">
        <v>16371</v>
      </c>
      <c r="C642" s="3">
        <f>IF(B642="","",SUMIFS('Factory Costs'!$C:$C,'Factory Costs'!$A:$A,"Blades",'Factory Costs'!$B:$B,B642))</f>
        <v>37</v>
      </c>
    </row>
    <row r="643" spans="1:3" x14ac:dyDescent="0.25">
      <c r="A643" s="1" t="s">
        <v>8480</v>
      </c>
      <c r="B643" s="1" t="s">
        <v>16371</v>
      </c>
      <c r="C643" s="3">
        <f>IF(B643="","",SUMIFS('Factory Costs'!$C:$C,'Factory Costs'!$A:$A,"Blades",'Factory Costs'!$B:$B,B643))</f>
        <v>37</v>
      </c>
    </row>
    <row r="644" spans="1:3" x14ac:dyDescent="0.25">
      <c r="A644" s="1" t="s">
        <v>8483</v>
      </c>
      <c r="B644" s="1" t="s">
        <v>16372</v>
      </c>
      <c r="C644" s="3">
        <f>IF(B644="","",SUMIFS('Factory Costs'!$C:$C,'Factory Costs'!$A:$A,"Blades",'Factory Costs'!$B:$B,B644))</f>
        <v>42</v>
      </c>
    </row>
    <row r="645" spans="1:3" x14ac:dyDescent="0.25">
      <c r="A645" s="1" t="s">
        <v>8486</v>
      </c>
      <c r="B645" s="1" t="s">
        <v>16371</v>
      </c>
      <c r="C645" s="3">
        <f>IF(B645="","",SUMIFS('Factory Costs'!$C:$C,'Factory Costs'!$A:$A,"Blades",'Factory Costs'!$B:$B,B645))</f>
        <v>37</v>
      </c>
    </row>
    <row r="646" spans="1:3" x14ac:dyDescent="0.25">
      <c r="A646" s="1" t="s">
        <v>8489</v>
      </c>
      <c r="B646" s="1" t="s">
        <v>16370</v>
      </c>
      <c r="C646" s="3">
        <f>IF(B646="","",SUMIFS('Factory Costs'!$C:$C,'Factory Costs'!$A:$A,"Blades",'Factory Costs'!$B:$B,B646))</f>
        <v>34</v>
      </c>
    </row>
    <row r="647" spans="1:3" x14ac:dyDescent="0.25">
      <c r="A647" s="1" t="s">
        <v>8492</v>
      </c>
      <c r="B647" s="1" t="s">
        <v>16370</v>
      </c>
      <c r="C647" s="3">
        <f>IF(B647="","",SUMIFS('Factory Costs'!$C:$C,'Factory Costs'!$A:$A,"Blades",'Factory Costs'!$B:$B,B647))</f>
        <v>34</v>
      </c>
    </row>
    <row r="648" spans="1:3" x14ac:dyDescent="0.25">
      <c r="A648" s="1" t="s">
        <v>8495</v>
      </c>
      <c r="B648" s="1" t="s">
        <v>16372</v>
      </c>
      <c r="C648" s="3">
        <f>IF(B648="","",SUMIFS('Factory Costs'!$C:$C,'Factory Costs'!$A:$A,"Blades",'Factory Costs'!$B:$B,B648))</f>
        <v>42</v>
      </c>
    </row>
    <row r="649" spans="1:3" x14ac:dyDescent="0.25">
      <c r="A649" s="1" t="s">
        <v>8498</v>
      </c>
      <c r="B649" s="1" t="s">
        <v>16372</v>
      </c>
      <c r="C649" s="3">
        <f>IF(B649="","",SUMIFS('Factory Costs'!$C:$C,'Factory Costs'!$A:$A,"Blades",'Factory Costs'!$B:$B,B649))</f>
        <v>42</v>
      </c>
    </row>
    <row r="650" spans="1:3" x14ac:dyDescent="0.25">
      <c r="A650" s="1" t="s">
        <v>8501</v>
      </c>
      <c r="B650" s="1" t="s">
        <v>16372</v>
      </c>
      <c r="C650" s="3">
        <f>IF(B650="","",SUMIFS('Factory Costs'!$C:$C,'Factory Costs'!$A:$A,"Blades",'Factory Costs'!$B:$B,B650))</f>
        <v>42</v>
      </c>
    </row>
    <row r="651" spans="1:3" x14ac:dyDescent="0.25">
      <c r="A651" s="1" t="s">
        <v>8504</v>
      </c>
      <c r="B651" s="1" t="s">
        <v>16370</v>
      </c>
      <c r="C651" s="3">
        <f>IF(B651="","",SUMIFS('Factory Costs'!$C:$C,'Factory Costs'!$A:$A,"Blades",'Factory Costs'!$B:$B,B651))</f>
        <v>34</v>
      </c>
    </row>
    <row r="652" spans="1:3" x14ac:dyDescent="0.25">
      <c r="A652" s="1" t="s">
        <v>8507</v>
      </c>
      <c r="B652" s="1" t="s">
        <v>16370</v>
      </c>
      <c r="C652" s="3">
        <f>IF(B652="","",SUMIFS('Factory Costs'!$C:$C,'Factory Costs'!$A:$A,"Blades",'Factory Costs'!$B:$B,B652))</f>
        <v>34</v>
      </c>
    </row>
    <row r="653" spans="1:3" x14ac:dyDescent="0.25">
      <c r="A653" s="1" t="s">
        <v>8510</v>
      </c>
      <c r="B653" s="1" t="s">
        <v>16372</v>
      </c>
      <c r="C653" s="3">
        <f>IF(B653="","",SUMIFS('Factory Costs'!$C:$C,'Factory Costs'!$A:$A,"Blades",'Factory Costs'!$B:$B,B653))</f>
        <v>42</v>
      </c>
    </row>
    <row r="654" spans="1:3" x14ac:dyDescent="0.25">
      <c r="A654" s="1" t="s">
        <v>8513</v>
      </c>
      <c r="B654" s="1" t="s">
        <v>16370</v>
      </c>
      <c r="C654" s="3">
        <f>IF(B654="","",SUMIFS('Factory Costs'!$C:$C,'Factory Costs'!$A:$A,"Blades",'Factory Costs'!$B:$B,B654))</f>
        <v>34</v>
      </c>
    </row>
    <row r="655" spans="1:3" x14ac:dyDescent="0.25">
      <c r="A655" s="1" t="s">
        <v>8516</v>
      </c>
      <c r="B655" s="1" t="s">
        <v>16372</v>
      </c>
      <c r="C655" s="3">
        <f>IF(B655="","",SUMIFS('Factory Costs'!$C:$C,'Factory Costs'!$A:$A,"Blades",'Factory Costs'!$B:$B,B655))</f>
        <v>42</v>
      </c>
    </row>
    <row r="656" spans="1:3" x14ac:dyDescent="0.25">
      <c r="A656" s="1" t="s">
        <v>8519</v>
      </c>
      <c r="B656" s="1" t="s">
        <v>16370</v>
      </c>
      <c r="C656" s="3">
        <f>IF(B656="","",SUMIFS('Factory Costs'!$C:$C,'Factory Costs'!$A:$A,"Blades",'Factory Costs'!$B:$B,B656))</f>
        <v>34</v>
      </c>
    </row>
    <row r="657" spans="1:3" x14ac:dyDescent="0.25">
      <c r="A657" s="1" t="s">
        <v>8522</v>
      </c>
      <c r="B657" s="1" t="s">
        <v>16371</v>
      </c>
      <c r="C657" s="3">
        <f>IF(B657="","",SUMIFS('Factory Costs'!$C:$C,'Factory Costs'!$A:$A,"Blades",'Factory Costs'!$B:$B,B657))</f>
        <v>37</v>
      </c>
    </row>
    <row r="658" spans="1:3" x14ac:dyDescent="0.25">
      <c r="A658" s="1" t="s">
        <v>8525</v>
      </c>
      <c r="B658" s="1" t="s">
        <v>16372</v>
      </c>
      <c r="C658" s="3">
        <f>IF(B658="","",SUMIFS('Factory Costs'!$C:$C,'Factory Costs'!$A:$A,"Blades",'Factory Costs'!$B:$B,B658))</f>
        <v>42</v>
      </c>
    </row>
    <row r="659" spans="1:3" x14ac:dyDescent="0.25">
      <c r="A659" s="1" t="s">
        <v>8528</v>
      </c>
      <c r="B659" s="1" t="s">
        <v>16370</v>
      </c>
      <c r="C659" s="3">
        <f>IF(B659="","",SUMIFS('Factory Costs'!$C:$C,'Factory Costs'!$A:$A,"Blades",'Factory Costs'!$B:$B,B659))</f>
        <v>34</v>
      </c>
    </row>
    <row r="660" spans="1:3" x14ac:dyDescent="0.25">
      <c r="A660" s="1" t="s">
        <v>8531</v>
      </c>
      <c r="B660" s="1" t="s">
        <v>16372</v>
      </c>
      <c r="C660" s="3">
        <f>IF(B660="","",SUMIFS('Factory Costs'!$C:$C,'Factory Costs'!$A:$A,"Blades",'Factory Costs'!$B:$B,B660))</f>
        <v>42</v>
      </c>
    </row>
    <row r="661" spans="1:3" x14ac:dyDescent="0.25">
      <c r="A661" s="1" t="s">
        <v>8534</v>
      </c>
      <c r="B661" s="1" t="s">
        <v>16372</v>
      </c>
      <c r="C661" s="3">
        <f>IF(B661="","",SUMIFS('Factory Costs'!$C:$C,'Factory Costs'!$A:$A,"Blades",'Factory Costs'!$B:$B,B661))</f>
        <v>42</v>
      </c>
    </row>
    <row r="662" spans="1:3" x14ac:dyDescent="0.25">
      <c r="A662" s="1" t="s">
        <v>8537</v>
      </c>
      <c r="B662" s="1" t="s">
        <v>16370</v>
      </c>
      <c r="C662" s="3">
        <f>IF(B662="","",SUMIFS('Factory Costs'!$C:$C,'Factory Costs'!$A:$A,"Blades",'Factory Costs'!$B:$B,B662))</f>
        <v>34</v>
      </c>
    </row>
    <row r="663" spans="1:3" x14ac:dyDescent="0.25">
      <c r="A663" s="1" t="s">
        <v>8540</v>
      </c>
      <c r="B663" s="1" t="s">
        <v>16370</v>
      </c>
      <c r="C663" s="3">
        <f>IF(B663="","",SUMIFS('Factory Costs'!$C:$C,'Factory Costs'!$A:$A,"Blades",'Factory Costs'!$B:$B,B663))</f>
        <v>34</v>
      </c>
    </row>
    <row r="664" spans="1:3" x14ac:dyDescent="0.25">
      <c r="A664" s="1" t="s">
        <v>8543</v>
      </c>
      <c r="B664" s="1" t="s">
        <v>16370</v>
      </c>
      <c r="C664" s="3">
        <f>IF(B664="","",SUMIFS('Factory Costs'!$C:$C,'Factory Costs'!$A:$A,"Blades",'Factory Costs'!$B:$B,B664))</f>
        <v>34</v>
      </c>
    </row>
    <row r="665" spans="1:3" x14ac:dyDescent="0.25">
      <c r="A665" s="1" t="s">
        <v>8546</v>
      </c>
      <c r="B665" s="1" t="s">
        <v>16370</v>
      </c>
      <c r="C665" s="3">
        <f>IF(B665="","",SUMIFS('Factory Costs'!$C:$C,'Factory Costs'!$A:$A,"Blades",'Factory Costs'!$B:$B,B665))</f>
        <v>34</v>
      </c>
    </row>
    <row r="666" spans="1:3" x14ac:dyDescent="0.25">
      <c r="A666" s="1" t="s">
        <v>8549</v>
      </c>
      <c r="B666" s="1" t="s">
        <v>16372</v>
      </c>
      <c r="C666" s="3">
        <f>IF(B666="","",SUMIFS('Factory Costs'!$C:$C,'Factory Costs'!$A:$A,"Blades",'Factory Costs'!$B:$B,B666))</f>
        <v>42</v>
      </c>
    </row>
    <row r="667" spans="1:3" x14ac:dyDescent="0.25">
      <c r="A667" s="1" t="s">
        <v>8552</v>
      </c>
      <c r="B667" s="1" t="s">
        <v>16372</v>
      </c>
      <c r="C667" s="3">
        <f>IF(B667="","",SUMIFS('Factory Costs'!$C:$C,'Factory Costs'!$A:$A,"Blades",'Factory Costs'!$B:$B,B667))</f>
        <v>42</v>
      </c>
    </row>
    <row r="668" spans="1:3" x14ac:dyDescent="0.25">
      <c r="A668" s="1" t="s">
        <v>8555</v>
      </c>
      <c r="B668" s="1" t="s">
        <v>16371</v>
      </c>
      <c r="C668" s="3">
        <f>IF(B668="","",SUMIFS('Factory Costs'!$C:$C,'Factory Costs'!$A:$A,"Blades",'Factory Costs'!$B:$B,B668))</f>
        <v>37</v>
      </c>
    </row>
    <row r="669" spans="1:3" x14ac:dyDescent="0.25">
      <c r="A669" s="1" t="s">
        <v>8558</v>
      </c>
      <c r="B669" s="1" t="s">
        <v>16372</v>
      </c>
      <c r="C669" s="3">
        <f>IF(B669="","",SUMIFS('Factory Costs'!$C:$C,'Factory Costs'!$A:$A,"Blades",'Factory Costs'!$B:$B,B669))</f>
        <v>42</v>
      </c>
    </row>
    <row r="670" spans="1:3" x14ac:dyDescent="0.25">
      <c r="A670" s="1" t="s">
        <v>8561</v>
      </c>
      <c r="B670" s="1" t="s">
        <v>16370</v>
      </c>
      <c r="C670" s="3">
        <f>IF(B670="","",SUMIFS('Factory Costs'!$C:$C,'Factory Costs'!$A:$A,"Blades",'Factory Costs'!$B:$B,B670))</f>
        <v>34</v>
      </c>
    </row>
    <row r="671" spans="1:3" x14ac:dyDescent="0.25">
      <c r="A671" s="1" t="s">
        <v>8564</v>
      </c>
      <c r="B671" s="1" t="s">
        <v>16372</v>
      </c>
      <c r="C671" s="3">
        <f>IF(B671="","",SUMIFS('Factory Costs'!$C:$C,'Factory Costs'!$A:$A,"Blades",'Factory Costs'!$B:$B,B671))</f>
        <v>42</v>
      </c>
    </row>
    <row r="672" spans="1:3" x14ac:dyDescent="0.25">
      <c r="A672" s="1" t="s">
        <v>8567</v>
      </c>
      <c r="B672" s="1" t="s">
        <v>16370</v>
      </c>
      <c r="C672" s="3">
        <f>IF(B672="","",SUMIFS('Factory Costs'!$C:$C,'Factory Costs'!$A:$A,"Blades",'Factory Costs'!$B:$B,B672))</f>
        <v>34</v>
      </c>
    </row>
    <row r="673" spans="1:3" x14ac:dyDescent="0.25">
      <c r="A673" s="1" t="s">
        <v>8570</v>
      </c>
      <c r="B673" s="1" t="s">
        <v>16372</v>
      </c>
      <c r="C673" s="3">
        <f>IF(B673="","",SUMIFS('Factory Costs'!$C:$C,'Factory Costs'!$A:$A,"Blades",'Factory Costs'!$B:$B,B673))</f>
        <v>42</v>
      </c>
    </row>
    <row r="674" spans="1:3" x14ac:dyDescent="0.25">
      <c r="A674" s="1" t="s">
        <v>8573</v>
      </c>
      <c r="B674" s="1" t="s">
        <v>16372</v>
      </c>
      <c r="C674" s="3">
        <f>IF(B674="","",SUMIFS('Factory Costs'!$C:$C,'Factory Costs'!$A:$A,"Blades",'Factory Costs'!$B:$B,B674))</f>
        <v>42</v>
      </c>
    </row>
    <row r="675" spans="1:3" x14ac:dyDescent="0.25">
      <c r="A675" s="1" t="s">
        <v>8576</v>
      </c>
      <c r="B675" s="1" t="s">
        <v>16372</v>
      </c>
      <c r="C675" s="3">
        <f>IF(B675="","",SUMIFS('Factory Costs'!$C:$C,'Factory Costs'!$A:$A,"Blades",'Factory Costs'!$B:$B,B675))</f>
        <v>42</v>
      </c>
    </row>
    <row r="676" spans="1:3" x14ac:dyDescent="0.25">
      <c r="A676" s="1" t="s">
        <v>8579</v>
      </c>
      <c r="B676" s="1" t="s">
        <v>16370</v>
      </c>
      <c r="C676" s="3">
        <f>IF(B676="","",SUMIFS('Factory Costs'!$C:$C,'Factory Costs'!$A:$A,"Blades",'Factory Costs'!$B:$B,B676))</f>
        <v>34</v>
      </c>
    </row>
    <row r="677" spans="1:3" x14ac:dyDescent="0.25">
      <c r="A677" s="1" t="s">
        <v>8582</v>
      </c>
      <c r="B677" s="1" t="s">
        <v>16371</v>
      </c>
      <c r="C677" s="3">
        <f>IF(B677="","",SUMIFS('Factory Costs'!$C:$C,'Factory Costs'!$A:$A,"Blades",'Factory Costs'!$B:$B,B677))</f>
        <v>37</v>
      </c>
    </row>
    <row r="678" spans="1:3" x14ac:dyDescent="0.25">
      <c r="A678" s="1" t="s">
        <v>8585</v>
      </c>
      <c r="B678" s="1" t="s">
        <v>16370</v>
      </c>
      <c r="C678" s="3">
        <f>IF(B678="","",SUMIFS('Factory Costs'!$C:$C,'Factory Costs'!$A:$A,"Blades",'Factory Costs'!$B:$B,B678))</f>
        <v>34</v>
      </c>
    </row>
    <row r="679" spans="1:3" x14ac:dyDescent="0.25">
      <c r="A679" s="1" t="s">
        <v>8588</v>
      </c>
      <c r="B679" s="1" t="s">
        <v>16370</v>
      </c>
      <c r="C679" s="3">
        <f>IF(B679="","",SUMIFS('Factory Costs'!$C:$C,'Factory Costs'!$A:$A,"Blades",'Factory Costs'!$B:$B,B679))</f>
        <v>34</v>
      </c>
    </row>
    <row r="680" spans="1:3" x14ac:dyDescent="0.25">
      <c r="A680" s="1" t="s">
        <v>8591</v>
      </c>
      <c r="B680" s="1" t="s">
        <v>16371</v>
      </c>
      <c r="C680" s="3">
        <f>IF(B680="","",SUMIFS('Factory Costs'!$C:$C,'Factory Costs'!$A:$A,"Blades",'Factory Costs'!$B:$B,B680))</f>
        <v>37</v>
      </c>
    </row>
    <row r="681" spans="1:3" x14ac:dyDescent="0.25">
      <c r="A681" s="1" t="s">
        <v>8594</v>
      </c>
      <c r="B681" s="1" t="s">
        <v>16370</v>
      </c>
      <c r="C681" s="3">
        <f>IF(B681="","",SUMIFS('Factory Costs'!$C:$C,'Factory Costs'!$A:$A,"Blades",'Factory Costs'!$B:$B,B681))</f>
        <v>34</v>
      </c>
    </row>
    <row r="682" spans="1:3" x14ac:dyDescent="0.25">
      <c r="A682" s="1" t="s">
        <v>8597</v>
      </c>
      <c r="B682" s="1" t="s">
        <v>16371</v>
      </c>
      <c r="C682" s="3">
        <f>IF(B682="","",SUMIFS('Factory Costs'!$C:$C,'Factory Costs'!$A:$A,"Blades",'Factory Costs'!$B:$B,B682))</f>
        <v>37</v>
      </c>
    </row>
    <row r="683" spans="1:3" x14ac:dyDescent="0.25">
      <c r="A683" s="1" t="s">
        <v>8600</v>
      </c>
      <c r="B683" s="1" t="s">
        <v>16372</v>
      </c>
      <c r="C683" s="3">
        <f>IF(B683="","",SUMIFS('Factory Costs'!$C:$C,'Factory Costs'!$A:$A,"Blades",'Factory Costs'!$B:$B,B683))</f>
        <v>42</v>
      </c>
    </row>
    <row r="684" spans="1:3" x14ac:dyDescent="0.25">
      <c r="A684" s="1" t="s">
        <v>8603</v>
      </c>
      <c r="B684" s="1" t="s">
        <v>16370</v>
      </c>
      <c r="C684" s="3">
        <f>IF(B684="","",SUMIFS('Factory Costs'!$C:$C,'Factory Costs'!$A:$A,"Blades",'Factory Costs'!$B:$B,B684))</f>
        <v>34</v>
      </c>
    </row>
    <row r="685" spans="1:3" x14ac:dyDescent="0.25">
      <c r="A685" s="1" t="s">
        <v>8606</v>
      </c>
      <c r="B685" s="1" t="s">
        <v>16370</v>
      </c>
      <c r="C685" s="3">
        <f>IF(B685="","",SUMIFS('Factory Costs'!$C:$C,'Factory Costs'!$A:$A,"Blades",'Factory Costs'!$B:$B,B685))</f>
        <v>34</v>
      </c>
    </row>
    <row r="686" spans="1:3" x14ac:dyDescent="0.25">
      <c r="A686" s="1" t="s">
        <v>8609</v>
      </c>
      <c r="B686" s="1" t="s">
        <v>16370</v>
      </c>
      <c r="C686" s="3">
        <f>IF(B686="","",SUMIFS('Factory Costs'!$C:$C,'Factory Costs'!$A:$A,"Blades",'Factory Costs'!$B:$B,B686))</f>
        <v>34</v>
      </c>
    </row>
    <row r="687" spans="1:3" x14ac:dyDescent="0.25">
      <c r="A687" s="1" t="s">
        <v>8612</v>
      </c>
      <c r="B687" s="1" t="s">
        <v>16371</v>
      </c>
      <c r="C687" s="3">
        <f>IF(B687="","",SUMIFS('Factory Costs'!$C:$C,'Factory Costs'!$A:$A,"Blades",'Factory Costs'!$B:$B,B687))</f>
        <v>37</v>
      </c>
    </row>
    <row r="688" spans="1:3" x14ac:dyDescent="0.25">
      <c r="A688" s="1" t="s">
        <v>8615</v>
      </c>
      <c r="B688" s="1" t="s">
        <v>16371</v>
      </c>
      <c r="C688" s="3">
        <f>IF(B688="","",SUMIFS('Factory Costs'!$C:$C,'Factory Costs'!$A:$A,"Blades",'Factory Costs'!$B:$B,B688))</f>
        <v>37</v>
      </c>
    </row>
    <row r="689" spans="1:3" x14ac:dyDescent="0.25">
      <c r="A689" s="1" t="s">
        <v>8618</v>
      </c>
      <c r="B689" s="1" t="s">
        <v>16370</v>
      </c>
      <c r="C689" s="3">
        <f>IF(B689="","",SUMIFS('Factory Costs'!$C:$C,'Factory Costs'!$A:$A,"Blades",'Factory Costs'!$B:$B,B689))</f>
        <v>34</v>
      </c>
    </row>
    <row r="690" spans="1:3" x14ac:dyDescent="0.25">
      <c r="A690" s="1" t="s">
        <v>8621</v>
      </c>
      <c r="B690" s="1" t="s">
        <v>16370</v>
      </c>
      <c r="C690" s="3">
        <f>IF(B690="","",SUMIFS('Factory Costs'!$C:$C,'Factory Costs'!$A:$A,"Blades",'Factory Costs'!$B:$B,B690))</f>
        <v>34</v>
      </c>
    </row>
    <row r="691" spans="1:3" x14ac:dyDescent="0.25">
      <c r="A691" s="1" t="s">
        <v>8624</v>
      </c>
      <c r="B691" s="1" t="s">
        <v>16370</v>
      </c>
      <c r="C691" s="3">
        <f>IF(B691="","",SUMIFS('Factory Costs'!$C:$C,'Factory Costs'!$A:$A,"Blades",'Factory Costs'!$B:$B,B691))</f>
        <v>34</v>
      </c>
    </row>
    <row r="692" spans="1:3" x14ac:dyDescent="0.25">
      <c r="A692" s="1" t="s">
        <v>8627</v>
      </c>
      <c r="B692" s="1" t="s">
        <v>16371</v>
      </c>
      <c r="C692" s="3">
        <f>IF(B692="","",SUMIFS('Factory Costs'!$C:$C,'Factory Costs'!$A:$A,"Blades",'Factory Costs'!$B:$B,B692))</f>
        <v>37</v>
      </c>
    </row>
    <row r="693" spans="1:3" x14ac:dyDescent="0.25">
      <c r="A693" s="1" t="s">
        <v>8630</v>
      </c>
      <c r="B693" s="1" t="s">
        <v>16372</v>
      </c>
      <c r="C693" s="3">
        <f>IF(B693="","",SUMIFS('Factory Costs'!$C:$C,'Factory Costs'!$A:$A,"Blades",'Factory Costs'!$B:$B,B693))</f>
        <v>42</v>
      </c>
    </row>
    <row r="694" spans="1:3" x14ac:dyDescent="0.25">
      <c r="A694" s="1" t="s">
        <v>8633</v>
      </c>
      <c r="B694" s="1" t="s">
        <v>16370</v>
      </c>
      <c r="C694" s="3">
        <f>IF(B694="","",SUMIFS('Factory Costs'!$C:$C,'Factory Costs'!$A:$A,"Blades",'Factory Costs'!$B:$B,B694))</f>
        <v>34</v>
      </c>
    </row>
    <row r="695" spans="1:3" x14ac:dyDescent="0.25">
      <c r="A695" s="1" t="s">
        <v>8636</v>
      </c>
      <c r="B695" s="1" t="s">
        <v>16371</v>
      </c>
      <c r="C695" s="3">
        <f>IF(B695="","",SUMIFS('Factory Costs'!$C:$C,'Factory Costs'!$A:$A,"Blades",'Factory Costs'!$B:$B,B695))</f>
        <v>37</v>
      </c>
    </row>
    <row r="696" spans="1:3" x14ac:dyDescent="0.25">
      <c r="A696" s="1" t="s">
        <v>8639</v>
      </c>
      <c r="B696" s="1" t="s">
        <v>16370</v>
      </c>
      <c r="C696" s="3">
        <f>IF(B696="","",SUMIFS('Factory Costs'!$C:$C,'Factory Costs'!$A:$A,"Blades",'Factory Costs'!$B:$B,B696))</f>
        <v>34</v>
      </c>
    </row>
    <row r="697" spans="1:3" x14ac:dyDescent="0.25">
      <c r="A697" s="1" t="s">
        <v>8642</v>
      </c>
      <c r="B697" s="1" t="s">
        <v>16370</v>
      </c>
      <c r="C697" s="3">
        <f>IF(B697="","",SUMIFS('Factory Costs'!$C:$C,'Factory Costs'!$A:$A,"Blades",'Factory Costs'!$B:$B,B697))</f>
        <v>34</v>
      </c>
    </row>
    <row r="698" spans="1:3" x14ac:dyDescent="0.25">
      <c r="A698" s="1" t="s">
        <v>8645</v>
      </c>
      <c r="B698" s="1" t="s">
        <v>16370</v>
      </c>
      <c r="C698" s="3">
        <f>IF(B698="","",SUMIFS('Factory Costs'!$C:$C,'Factory Costs'!$A:$A,"Blades",'Factory Costs'!$B:$B,B698))</f>
        <v>34</v>
      </c>
    </row>
    <row r="699" spans="1:3" x14ac:dyDescent="0.25">
      <c r="A699" s="1" t="s">
        <v>8648</v>
      </c>
      <c r="B699" s="1" t="s">
        <v>16371</v>
      </c>
      <c r="C699" s="3">
        <f>IF(B699="","",SUMIFS('Factory Costs'!$C:$C,'Factory Costs'!$A:$A,"Blades",'Factory Costs'!$B:$B,B699))</f>
        <v>37</v>
      </c>
    </row>
    <row r="700" spans="1:3" x14ac:dyDescent="0.25">
      <c r="A700" s="1" t="s">
        <v>8651</v>
      </c>
      <c r="B700" s="1" t="s">
        <v>16370</v>
      </c>
      <c r="C700" s="3">
        <f>IF(B700="","",SUMIFS('Factory Costs'!$C:$C,'Factory Costs'!$A:$A,"Blades",'Factory Costs'!$B:$B,B700))</f>
        <v>34</v>
      </c>
    </row>
    <row r="701" spans="1:3" x14ac:dyDescent="0.25">
      <c r="A701" s="1" t="s">
        <v>8654</v>
      </c>
      <c r="B701" s="1" t="s">
        <v>16372</v>
      </c>
      <c r="C701" s="3">
        <f>IF(B701="","",SUMIFS('Factory Costs'!$C:$C,'Factory Costs'!$A:$A,"Blades",'Factory Costs'!$B:$B,B701))</f>
        <v>42</v>
      </c>
    </row>
    <row r="702" spans="1:3" x14ac:dyDescent="0.25">
      <c r="A702" s="1" t="s">
        <v>8657</v>
      </c>
      <c r="B702" s="1" t="s">
        <v>16370</v>
      </c>
      <c r="C702" s="3">
        <f>IF(B702="","",SUMIFS('Factory Costs'!$C:$C,'Factory Costs'!$A:$A,"Blades",'Factory Costs'!$B:$B,B702))</f>
        <v>34</v>
      </c>
    </row>
    <row r="703" spans="1:3" x14ac:dyDescent="0.25">
      <c r="A703" s="1" t="s">
        <v>8660</v>
      </c>
      <c r="B703" s="1" t="s">
        <v>16370</v>
      </c>
      <c r="C703" s="3">
        <f>IF(B703="","",SUMIFS('Factory Costs'!$C:$C,'Factory Costs'!$A:$A,"Blades",'Factory Costs'!$B:$B,B703))</f>
        <v>34</v>
      </c>
    </row>
    <row r="704" spans="1:3" x14ac:dyDescent="0.25">
      <c r="A704" s="1" t="s">
        <v>8663</v>
      </c>
      <c r="B704" s="1" t="s">
        <v>16370</v>
      </c>
      <c r="C704" s="3">
        <f>IF(B704="","",SUMIFS('Factory Costs'!$C:$C,'Factory Costs'!$A:$A,"Blades",'Factory Costs'!$B:$B,B704))</f>
        <v>34</v>
      </c>
    </row>
    <row r="705" spans="1:3" x14ac:dyDescent="0.25">
      <c r="A705" s="1" t="s">
        <v>8666</v>
      </c>
      <c r="B705" s="1" t="s">
        <v>16371</v>
      </c>
      <c r="C705" s="3">
        <f>IF(B705="","",SUMIFS('Factory Costs'!$C:$C,'Factory Costs'!$A:$A,"Blades",'Factory Costs'!$B:$B,B705))</f>
        <v>37</v>
      </c>
    </row>
    <row r="706" spans="1:3" x14ac:dyDescent="0.25">
      <c r="A706" s="1" t="s">
        <v>8669</v>
      </c>
      <c r="B706" s="1" t="s">
        <v>16371</v>
      </c>
      <c r="C706" s="3">
        <f>IF(B706="","",SUMIFS('Factory Costs'!$C:$C,'Factory Costs'!$A:$A,"Blades",'Factory Costs'!$B:$B,B706))</f>
        <v>37</v>
      </c>
    </row>
    <row r="707" spans="1:3" x14ac:dyDescent="0.25">
      <c r="A707" s="1" t="s">
        <v>8672</v>
      </c>
      <c r="B707" s="1" t="s">
        <v>16371</v>
      </c>
      <c r="C707" s="3">
        <f>IF(B707="","",SUMIFS('Factory Costs'!$C:$C,'Factory Costs'!$A:$A,"Blades",'Factory Costs'!$B:$B,B707))</f>
        <v>37</v>
      </c>
    </row>
    <row r="708" spans="1:3" x14ac:dyDescent="0.25">
      <c r="A708" s="1" t="s">
        <v>8675</v>
      </c>
      <c r="B708" s="1" t="s">
        <v>16371</v>
      </c>
      <c r="C708" s="3">
        <f>IF(B708="","",SUMIFS('Factory Costs'!$C:$C,'Factory Costs'!$A:$A,"Blades",'Factory Costs'!$B:$B,B708))</f>
        <v>37</v>
      </c>
    </row>
    <row r="709" spans="1:3" x14ac:dyDescent="0.25">
      <c r="A709" s="1" t="s">
        <v>8678</v>
      </c>
      <c r="B709" s="1" t="s">
        <v>16372</v>
      </c>
      <c r="C709" s="3">
        <f>IF(B709="","",SUMIFS('Factory Costs'!$C:$C,'Factory Costs'!$A:$A,"Blades",'Factory Costs'!$B:$B,B709))</f>
        <v>42</v>
      </c>
    </row>
    <row r="710" spans="1:3" x14ac:dyDescent="0.25">
      <c r="A710" s="1" t="s">
        <v>8681</v>
      </c>
      <c r="B710" s="1" t="s">
        <v>16371</v>
      </c>
      <c r="C710" s="3">
        <f>IF(B710="","",SUMIFS('Factory Costs'!$C:$C,'Factory Costs'!$A:$A,"Blades",'Factory Costs'!$B:$B,B710))</f>
        <v>37</v>
      </c>
    </row>
    <row r="711" spans="1:3" x14ac:dyDescent="0.25">
      <c r="A711" s="1" t="s">
        <v>8684</v>
      </c>
      <c r="B711" s="1" t="s">
        <v>16372</v>
      </c>
      <c r="C711" s="3">
        <f>IF(B711="","",SUMIFS('Factory Costs'!$C:$C,'Factory Costs'!$A:$A,"Blades",'Factory Costs'!$B:$B,B711))</f>
        <v>42</v>
      </c>
    </row>
    <row r="712" spans="1:3" x14ac:dyDescent="0.25">
      <c r="A712" s="1" t="s">
        <v>8687</v>
      </c>
      <c r="B712" s="1" t="s">
        <v>16372</v>
      </c>
      <c r="C712" s="3">
        <f>IF(B712="","",SUMIFS('Factory Costs'!$C:$C,'Factory Costs'!$A:$A,"Blades",'Factory Costs'!$B:$B,B712))</f>
        <v>42</v>
      </c>
    </row>
    <row r="713" spans="1:3" x14ac:dyDescent="0.25">
      <c r="A713" s="1" t="s">
        <v>8690</v>
      </c>
      <c r="B713" s="1" t="s">
        <v>16370</v>
      </c>
      <c r="C713" s="3">
        <f>IF(B713="","",SUMIFS('Factory Costs'!$C:$C,'Factory Costs'!$A:$A,"Blades",'Factory Costs'!$B:$B,B713))</f>
        <v>34</v>
      </c>
    </row>
    <row r="714" spans="1:3" x14ac:dyDescent="0.25">
      <c r="A714" s="1" t="s">
        <v>8693</v>
      </c>
      <c r="B714" s="1" t="s">
        <v>16370</v>
      </c>
      <c r="C714" s="3">
        <f>IF(B714="","",SUMIFS('Factory Costs'!$C:$C,'Factory Costs'!$A:$A,"Blades",'Factory Costs'!$B:$B,B714))</f>
        <v>34</v>
      </c>
    </row>
    <row r="715" spans="1:3" x14ac:dyDescent="0.25">
      <c r="A715" s="1" t="s">
        <v>8696</v>
      </c>
      <c r="B715" s="1" t="s">
        <v>16370</v>
      </c>
      <c r="C715" s="3">
        <f>IF(B715="","",SUMIFS('Factory Costs'!$C:$C,'Factory Costs'!$A:$A,"Blades",'Factory Costs'!$B:$B,B715))</f>
        <v>34</v>
      </c>
    </row>
    <row r="716" spans="1:3" x14ac:dyDescent="0.25">
      <c r="A716" s="1" t="s">
        <v>8699</v>
      </c>
      <c r="B716" s="1" t="s">
        <v>16371</v>
      </c>
      <c r="C716" s="3">
        <f>IF(B716="","",SUMIFS('Factory Costs'!$C:$C,'Factory Costs'!$A:$A,"Blades",'Factory Costs'!$B:$B,B716))</f>
        <v>37</v>
      </c>
    </row>
    <row r="717" spans="1:3" x14ac:dyDescent="0.25">
      <c r="A717" s="1" t="s">
        <v>8702</v>
      </c>
      <c r="B717" s="1" t="s">
        <v>16371</v>
      </c>
      <c r="C717" s="3">
        <f>IF(B717="","",SUMIFS('Factory Costs'!$C:$C,'Factory Costs'!$A:$A,"Blades",'Factory Costs'!$B:$B,B717))</f>
        <v>37</v>
      </c>
    </row>
    <row r="718" spans="1:3" x14ac:dyDescent="0.25">
      <c r="A718" s="1" t="s">
        <v>8705</v>
      </c>
      <c r="B718" s="1" t="s">
        <v>16371</v>
      </c>
      <c r="C718" s="3">
        <f>IF(B718="","",SUMIFS('Factory Costs'!$C:$C,'Factory Costs'!$A:$A,"Blades",'Factory Costs'!$B:$B,B718))</f>
        <v>37</v>
      </c>
    </row>
    <row r="719" spans="1:3" x14ac:dyDescent="0.25">
      <c r="A719" s="1" t="s">
        <v>8708</v>
      </c>
      <c r="B719" s="1" t="s">
        <v>16372</v>
      </c>
      <c r="C719" s="3">
        <f>IF(B719="","",SUMIFS('Factory Costs'!$C:$C,'Factory Costs'!$A:$A,"Blades",'Factory Costs'!$B:$B,B719))</f>
        <v>42</v>
      </c>
    </row>
    <row r="720" spans="1:3" x14ac:dyDescent="0.25">
      <c r="A720" s="1" t="s">
        <v>8711</v>
      </c>
      <c r="B720" s="1" t="s">
        <v>16370</v>
      </c>
      <c r="C720" s="3">
        <f>IF(B720="","",SUMIFS('Factory Costs'!$C:$C,'Factory Costs'!$A:$A,"Blades",'Factory Costs'!$B:$B,B720))</f>
        <v>34</v>
      </c>
    </row>
    <row r="721" spans="1:3" x14ac:dyDescent="0.25">
      <c r="A721" s="1" t="s">
        <v>8714</v>
      </c>
      <c r="B721" s="1" t="s">
        <v>16370</v>
      </c>
      <c r="C721" s="3">
        <f>IF(B721="","",SUMIFS('Factory Costs'!$C:$C,'Factory Costs'!$A:$A,"Blades",'Factory Costs'!$B:$B,B721))</f>
        <v>34</v>
      </c>
    </row>
    <row r="722" spans="1:3" x14ac:dyDescent="0.25">
      <c r="A722" s="1" t="s">
        <v>8717</v>
      </c>
      <c r="B722" s="1" t="s">
        <v>16370</v>
      </c>
      <c r="C722" s="3">
        <f>IF(B722="","",SUMIFS('Factory Costs'!$C:$C,'Factory Costs'!$A:$A,"Blades",'Factory Costs'!$B:$B,B722))</f>
        <v>34</v>
      </c>
    </row>
    <row r="723" spans="1:3" x14ac:dyDescent="0.25">
      <c r="A723" s="1" t="s">
        <v>8720</v>
      </c>
      <c r="B723" s="1" t="s">
        <v>16371</v>
      </c>
      <c r="C723" s="3">
        <f>IF(B723="","",SUMIFS('Factory Costs'!$C:$C,'Factory Costs'!$A:$A,"Blades",'Factory Costs'!$B:$B,B723))</f>
        <v>37</v>
      </c>
    </row>
    <row r="724" spans="1:3" x14ac:dyDescent="0.25">
      <c r="A724" s="1" t="s">
        <v>8723</v>
      </c>
      <c r="B724" s="1" t="s">
        <v>16371</v>
      </c>
      <c r="C724" s="3">
        <f>IF(B724="","",SUMIFS('Factory Costs'!$C:$C,'Factory Costs'!$A:$A,"Blades",'Factory Costs'!$B:$B,B724))</f>
        <v>37</v>
      </c>
    </row>
    <row r="725" spans="1:3" x14ac:dyDescent="0.25">
      <c r="A725" s="1" t="s">
        <v>8726</v>
      </c>
      <c r="B725" s="1" t="s">
        <v>16370</v>
      </c>
      <c r="C725" s="3">
        <f>IF(B725="","",SUMIFS('Factory Costs'!$C:$C,'Factory Costs'!$A:$A,"Blades",'Factory Costs'!$B:$B,B725))</f>
        <v>34</v>
      </c>
    </row>
    <row r="726" spans="1:3" x14ac:dyDescent="0.25">
      <c r="A726" s="1" t="s">
        <v>8729</v>
      </c>
      <c r="B726" s="1" t="s">
        <v>16371</v>
      </c>
      <c r="C726" s="3">
        <f>IF(B726="","",SUMIFS('Factory Costs'!$C:$C,'Factory Costs'!$A:$A,"Blades",'Factory Costs'!$B:$B,B726))</f>
        <v>37</v>
      </c>
    </row>
    <row r="727" spans="1:3" x14ac:dyDescent="0.25">
      <c r="A727" s="1" t="s">
        <v>8732</v>
      </c>
      <c r="B727" s="1" t="s">
        <v>16372</v>
      </c>
      <c r="C727" s="3">
        <f>IF(B727="","",SUMIFS('Factory Costs'!$C:$C,'Factory Costs'!$A:$A,"Blades",'Factory Costs'!$B:$B,B727))</f>
        <v>42</v>
      </c>
    </row>
    <row r="728" spans="1:3" x14ac:dyDescent="0.25">
      <c r="A728" s="1" t="s">
        <v>8735</v>
      </c>
      <c r="B728" s="1" t="s">
        <v>16371</v>
      </c>
      <c r="C728" s="3">
        <f>IF(B728="","",SUMIFS('Factory Costs'!$C:$C,'Factory Costs'!$A:$A,"Blades",'Factory Costs'!$B:$B,B728))</f>
        <v>37</v>
      </c>
    </row>
    <row r="729" spans="1:3" x14ac:dyDescent="0.25">
      <c r="A729" s="1" t="s">
        <v>8738</v>
      </c>
      <c r="B729" s="1" t="s">
        <v>16372</v>
      </c>
      <c r="C729" s="3">
        <f>IF(B729="","",SUMIFS('Factory Costs'!$C:$C,'Factory Costs'!$A:$A,"Blades",'Factory Costs'!$B:$B,B729))</f>
        <v>42</v>
      </c>
    </row>
    <row r="730" spans="1:3" x14ac:dyDescent="0.25">
      <c r="A730" s="1" t="s">
        <v>8741</v>
      </c>
      <c r="B730" s="1" t="s">
        <v>16371</v>
      </c>
      <c r="C730" s="3">
        <f>IF(B730="","",SUMIFS('Factory Costs'!$C:$C,'Factory Costs'!$A:$A,"Blades",'Factory Costs'!$B:$B,B730))</f>
        <v>37</v>
      </c>
    </row>
    <row r="731" spans="1:3" x14ac:dyDescent="0.25">
      <c r="A731" s="1" t="s">
        <v>8744</v>
      </c>
      <c r="B731" s="1" t="s">
        <v>16370</v>
      </c>
      <c r="C731" s="3">
        <f>IF(B731="","",SUMIFS('Factory Costs'!$C:$C,'Factory Costs'!$A:$A,"Blades",'Factory Costs'!$B:$B,B731))</f>
        <v>34</v>
      </c>
    </row>
    <row r="732" spans="1:3" x14ac:dyDescent="0.25">
      <c r="A732" s="1" t="s">
        <v>8747</v>
      </c>
      <c r="B732" s="1" t="s">
        <v>16371</v>
      </c>
      <c r="C732" s="3">
        <f>IF(B732="","",SUMIFS('Factory Costs'!$C:$C,'Factory Costs'!$A:$A,"Blades",'Factory Costs'!$B:$B,B732))</f>
        <v>37</v>
      </c>
    </row>
    <row r="733" spans="1:3" x14ac:dyDescent="0.25">
      <c r="A733" s="1" t="s">
        <v>8750</v>
      </c>
      <c r="B733" s="1" t="s">
        <v>16372</v>
      </c>
      <c r="C733" s="3">
        <f>IF(B733="","",SUMIFS('Factory Costs'!$C:$C,'Factory Costs'!$A:$A,"Blades",'Factory Costs'!$B:$B,B733))</f>
        <v>42</v>
      </c>
    </row>
    <row r="734" spans="1:3" x14ac:dyDescent="0.25">
      <c r="A734" s="1" t="s">
        <v>8753</v>
      </c>
      <c r="B734" s="1" t="s">
        <v>16370</v>
      </c>
      <c r="C734" s="3">
        <f>IF(B734="","",SUMIFS('Factory Costs'!$C:$C,'Factory Costs'!$A:$A,"Blades",'Factory Costs'!$B:$B,B734))</f>
        <v>34</v>
      </c>
    </row>
    <row r="735" spans="1:3" x14ac:dyDescent="0.25">
      <c r="A735" s="1" t="s">
        <v>8756</v>
      </c>
      <c r="B735" s="1" t="s">
        <v>16371</v>
      </c>
      <c r="C735" s="3">
        <f>IF(B735="","",SUMIFS('Factory Costs'!$C:$C,'Factory Costs'!$A:$A,"Blades",'Factory Costs'!$B:$B,B735))</f>
        <v>37</v>
      </c>
    </row>
    <row r="736" spans="1:3" x14ac:dyDescent="0.25">
      <c r="A736" s="1" t="s">
        <v>8759</v>
      </c>
      <c r="B736" s="1" t="s">
        <v>16372</v>
      </c>
      <c r="C736" s="3">
        <f>IF(B736="","",SUMIFS('Factory Costs'!$C:$C,'Factory Costs'!$A:$A,"Blades",'Factory Costs'!$B:$B,B736))</f>
        <v>42</v>
      </c>
    </row>
    <row r="737" spans="1:3" x14ac:dyDescent="0.25">
      <c r="A737" s="1" t="s">
        <v>8762</v>
      </c>
      <c r="B737" s="1" t="s">
        <v>16371</v>
      </c>
      <c r="C737" s="3">
        <f>IF(B737="","",SUMIFS('Factory Costs'!$C:$C,'Factory Costs'!$A:$A,"Blades",'Factory Costs'!$B:$B,B737))</f>
        <v>37</v>
      </c>
    </row>
    <row r="738" spans="1:3" x14ac:dyDescent="0.25">
      <c r="A738" s="1" t="s">
        <v>8765</v>
      </c>
      <c r="B738" s="1" t="s">
        <v>16370</v>
      </c>
      <c r="C738" s="3">
        <f>IF(B738="","",SUMIFS('Factory Costs'!$C:$C,'Factory Costs'!$A:$A,"Blades",'Factory Costs'!$B:$B,B738))</f>
        <v>34</v>
      </c>
    </row>
    <row r="739" spans="1:3" x14ac:dyDescent="0.25">
      <c r="A739" s="1" t="s">
        <v>8768</v>
      </c>
      <c r="B739" s="1" t="s">
        <v>16371</v>
      </c>
      <c r="C739" s="3">
        <f>IF(B739="","",SUMIFS('Factory Costs'!$C:$C,'Factory Costs'!$A:$A,"Blades",'Factory Costs'!$B:$B,B739))</f>
        <v>37</v>
      </c>
    </row>
    <row r="740" spans="1:3" x14ac:dyDescent="0.25">
      <c r="A740" s="1" t="s">
        <v>8771</v>
      </c>
      <c r="B740" s="1" t="s">
        <v>16371</v>
      </c>
      <c r="C740" s="3">
        <f>IF(B740="","",SUMIFS('Factory Costs'!$C:$C,'Factory Costs'!$A:$A,"Blades",'Factory Costs'!$B:$B,B740))</f>
        <v>37</v>
      </c>
    </row>
    <row r="741" spans="1:3" x14ac:dyDescent="0.25">
      <c r="A741" s="1" t="s">
        <v>8774</v>
      </c>
      <c r="B741" s="1" t="s">
        <v>16370</v>
      </c>
      <c r="C741" s="3">
        <f>IF(B741="","",SUMIFS('Factory Costs'!$C:$C,'Factory Costs'!$A:$A,"Blades",'Factory Costs'!$B:$B,B741))</f>
        <v>34</v>
      </c>
    </row>
    <row r="742" spans="1:3" x14ac:dyDescent="0.25">
      <c r="A742" s="1" t="s">
        <v>8777</v>
      </c>
      <c r="B742" s="1" t="s">
        <v>16371</v>
      </c>
      <c r="C742" s="3">
        <f>IF(B742="","",SUMIFS('Factory Costs'!$C:$C,'Factory Costs'!$A:$A,"Blades",'Factory Costs'!$B:$B,B742))</f>
        <v>37</v>
      </c>
    </row>
    <row r="743" spans="1:3" x14ac:dyDescent="0.25">
      <c r="A743" s="1" t="s">
        <v>8780</v>
      </c>
      <c r="B743" s="1" t="s">
        <v>16370</v>
      </c>
      <c r="C743" s="3">
        <f>IF(B743="","",SUMIFS('Factory Costs'!$C:$C,'Factory Costs'!$A:$A,"Blades",'Factory Costs'!$B:$B,B743))</f>
        <v>34</v>
      </c>
    </row>
    <row r="744" spans="1:3" x14ac:dyDescent="0.25">
      <c r="A744" s="1" t="s">
        <v>8783</v>
      </c>
      <c r="B744" s="1" t="s">
        <v>16370</v>
      </c>
      <c r="C744" s="3">
        <f>IF(B744="","",SUMIFS('Factory Costs'!$C:$C,'Factory Costs'!$A:$A,"Blades",'Factory Costs'!$B:$B,B744))</f>
        <v>34</v>
      </c>
    </row>
    <row r="745" spans="1:3" x14ac:dyDescent="0.25">
      <c r="A745" s="1" t="s">
        <v>8786</v>
      </c>
      <c r="B745" s="1" t="s">
        <v>16370</v>
      </c>
      <c r="C745" s="3">
        <f>IF(B745="","",SUMIFS('Factory Costs'!$C:$C,'Factory Costs'!$A:$A,"Blades",'Factory Costs'!$B:$B,B745))</f>
        <v>34</v>
      </c>
    </row>
    <row r="746" spans="1:3" x14ac:dyDescent="0.25">
      <c r="A746" s="1" t="s">
        <v>8789</v>
      </c>
      <c r="B746" s="1" t="s">
        <v>16372</v>
      </c>
      <c r="C746" s="3">
        <f>IF(B746="","",SUMIFS('Factory Costs'!$C:$C,'Factory Costs'!$A:$A,"Blades",'Factory Costs'!$B:$B,B746))</f>
        <v>42</v>
      </c>
    </row>
    <row r="747" spans="1:3" x14ac:dyDescent="0.25">
      <c r="A747" s="1" t="s">
        <v>8792</v>
      </c>
      <c r="B747" s="1" t="s">
        <v>16372</v>
      </c>
      <c r="C747" s="3">
        <f>IF(B747="","",SUMIFS('Factory Costs'!$C:$C,'Factory Costs'!$A:$A,"Blades",'Factory Costs'!$B:$B,B747))</f>
        <v>42</v>
      </c>
    </row>
    <row r="748" spans="1:3" x14ac:dyDescent="0.25">
      <c r="A748" s="1" t="s">
        <v>8795</v>
      </c>
      <c r="B748" s="1" t="s">
        <v>16370</v>
      </c>
      <c r="C748" s="3">
        <f>IF(B748="","",SUMIFS('Factory Costs'!$C:$C,'Factory Costs'!$A:$A,"Blades",'Factory Costs'!$B:$B,B748))</f>
        <v>34</v>
      </c>
    </row>
    <row r="749" spans="1:3" x14ac:dyDescent="0.25">
      <c r="A749" s="1" t="s">
        <v>8798</v>
      </c>
      <c r="B749" s="1" t="s">
        <v>16371</v>
      </c>
      <c r="C749" s="3">
        <f>IF(B749="","",SUMIFS('Factory Costs'!$C:$C,'Factory Costs'!$A:$A,"Blades",'Factory Costs'!$B:$B,B749))</f>
        <v>37</v>
      </c>
    </row>
    <row r="750" spans="1:3" x14ac:dyDescent="0.25">
      <c r="A750" s="1" t="s">
        <v>8801</v>
      </c>
      <c r="B750" s="1" t="s">
        <v>16370</v>
      </c>
      <c r="C750" s="3">
        <f>IF(B750="","",SUMIFS('Factory Costs'!$C:$C,'Factory Costs'!$A:$A,"Blades",'Factory Costs'!$B:$B,B750))</f>
        <v>34</v>
      </c>
    </row>
    <row r="751" spans="1:3" x14ac:dyDescent="0.25">
      <c r="A751" s="1" t="s">
        <v>8804</v>
      </c>
      <c r="B751" s="1" t="s">
        <v>16370</v>
      </c>
      <c r="C751" s="3">
        <f>IF(B751="","",SUMIFS('Factory Costs'!$C:$C,'Factory Costs'!$A:$A,"Blades",'Factory Costs'!$B:$B,B751))</f>
        <v>34</v>
      </c>
    </row>
    <row r="752" spans="1:3" x14ac:dyDescent="0.25">
      <c r="A752" s="1" t="s">
        <v>8807</v>
      </c>
      <c r="B752" s="1" t="s">
        <v>16371</v>
      </c>
      <c r="C752" s="3">
        <f>IF(B752="","",SUMIFS('Factory Costs'!$C:$C,'Factory Costs'!$A:$A,"Blades",'Factory Costs'!$B:$B,B752))</f>
        <v>37</v>
      </c>
    </row>
    <row r="753" spans="1:3" x14ac:dyDescent="0.25">
      <c r="A753" s="1" t="s">
        <v>8810</v>
      </c>
      <c r="B753" s="1" t="s">
        <v>16370</v>
      </c>
      <c r="C753" s="3">
        <f>IF(B753="","",SUMIFS('Factory Costs'!$C:$C,'Factory Costs'!$A:$A,"Blades",'Factory Costs'!$B:$B,B753))</f>
        <v>34</v>
      </c>
    </row>
    <row r="754" spans="1:3" x14ac:dyDescent="0.25">
      <c r="A754" s="1" t="s">
        <v>8813</v>
      </c>
      <c r="B754" s="1" t="s">
        <v>16372</v>
      </c>
      <c r="C754" s="3">
        <f>IF(B754="","",SUMIFS('Factory Costs'!$C:$C,'Factory Costs'!$A:$A,"Blades",'Factory Costs'!$B:$B,B754))</f>
        <v>42</v>
      </c>
    </row>
    <row r="755" spans="1:3" x14ac:dyDescent="0.25">
      <c r="A755" s="1" t="s">
        <v>8816</v>
      </c>
      <c r="B755" s="1" t="s">
        <v>16371</v>
      </c>
      <c r="C755" s="3">
        <f>IF(B755="","",SUMIFS('Factory Costs'!$C:$C,'Factory Costs'!$A:$A,"Blades",'Factory Costs'!$B:$B,B755))</f>
        <v>37</v>
      </c>
    </row>
    <row r="756" spans="1:3" x14ac:dyDescent="0.25">
      <c r="A756" s="1" t="s">
        <v>8819</v>
      </c>
      <c r="B756" s="1" t="s">
        <v>16370</v>
      </c>
      <c r="C756" s="3">
        <f>IF(B756="","",SUMIFS('Factory Costs'!$C:$C,'Factory Costs'!$A:$A,"Blades",'Factory Costs'!$B:$B,B756))</f>
        <v>34</v>
      </c>
    </row>
    <row r="757" spans="1:3" x14ac:dyDescent="0.25">
      <c r="A757" s="1" t="s">
        <v>8822</v>
      </c>
      <c r="B757" s="1" t="s">
        <v>16372</v>
      </c>
      <c r="C757" s="3">
        <f>IF(B757="","",SUMIFS('Factory Costs'!$C:$C,'Factory Costs'!$A:$A,"Blades",'Factory Costs'!$B:$B,B757))</f>
        <v>42</v>
      </c>
    </row>
    <row r="758" spans="1:3" x14ac:dyDescent="0.25">
      <c r="A758" s="1" t="s">
        <v>8825</v>
      </c>
      <c r="B758" s="1" t="s">
        <v>16371</v>
      </c>
      <c r="C758" s="3">
        <f>IF(B758="","",SUMIFS('Factory Costs'!$C:$C,'Factory Costs'!$A:$A,"Blades",'Factory Costs'!$B:$B,B758))</f>
        <v>37</v>
      </c>
    </row>
    <row r="759" spans="1:3" x14ac:dyDescent="0.25">
      <c r="A759" s="1" t="s">
        <v>8828</v>
      </c>
      <c r="B759" s="1" t="s">
        <v>16372</v>
      </c>
      <c r="C759" s="3">
        <f>IF(B759="","",SUMIFS('Factory Costs'!$C:$C,'Factory Costs'!$A:$A,"Blades",'Factory Costs'!$B:$B,B759))</f>
        <v>42</v>
      </c>
    </row>
    <row r="760" spans="1:3" x14ac:dyDescent="0.25">
      <c r="A760" s="1" t="s">
        <v>8831</v>
      </c>
      <c r="B760" s="1" t="s">
        <v>16370</v>
      </c>
      <c r="C760" s="3">
        <f>IF(B760="","",SUMIFS('Factory Costs'!$C:$C,'Factory Costs'!$A:$A,"Blades",'Factory Costs'!$B:$B,B760))</f>
        <v>34</v>
      </c>
    </row>
    <row r="761" spans="1:3" x14ac:dyDescent="0.25">
      <c r="A761" s="1" t="s">
        <v>8834</v>
      </c>
      <c r="B761" s="1" t="s">
        <v>16370</v>
      </c>
      <c r="C761" s="3">
        <f>IF(B761="","",SUMIFS('Factory Costs'!$C:$C,'Factory Costs'!$A:$A,"Blades",'Factory Costs'!$B:$B,B761))</f>
        <v>34</v>
      </c>
    </row>
    <row r="762" spans="1:3" x14ac:dyDescent="0.25">
      <c r="A762" s="1" t="s">
        <v>8837</v>
      </c>
      <c r="B762" s="1" t="s">
        <v>16371</v>
      </c>
      <c r="C762" s="3">
        <f>IF(B762="","",SUMIFS('Factory Costs'!$C:$C,'Factory Costs'!$A:$A,"Blades",'Factory Costs'!$B:$B,B762))</f>
        <v>37</v>
      </c>
    </row>
    <row r="763" spans="1:3" x14ac:dyDescent="0.25">
      <c r="A763" s="1" t="s">
        <v>8840</v>
      </c>
      <c r="B763" s="1" t="s">
        <v>16370</v>
      </c>
      <c r="C763" s="3">
        <f>IF(B763="","",SUMIFS('Factory Costs'!$C:$C,'Factory Costs'!$A:$A,"Blades",'Factory Costs'!$B:$B,B763))</f>
        <v>34</v>
      </c>
    </row>
    <row r="764" spans="1:3" x14ac:dyDescent="0.25">
      <c r="A764" s="1" t="s">
        <v>8843</v>
      </c>
      <c r="B764" s="1" t="s">
        <v>16372</v>
      </c>
      <c r="C764" s="3">
        <f>IF(B764="","",SUMIFS('Factory Costs'!$C:$C,'Factory Costs'!$A:$A,"Blades",'Factory Costs'!$B:$B,B764))</f>
        <v>42</v>
      </c>
    </row>
    <row r="765" spans="1:3" x14ac:dyDescent="0.25">
      <c r="A765" s="1" t="s">
        <v>8846</v>
      </c>
      <c r="B765" s="1" t="s">
        <v>16372</v>
      </c>
      <c r="C765" s="3">
        <f>IF(B765="","",SUMIFS('Factory Costs'!$C:$C,'Factory Costs'!$A:$A,"Blades",'Factory Costs'!$B:$B,B765))</f>
        <v>42</v>
      </c>
    </row>
    <row r="766" spans="1:3" x14ac:dyDescent="0.25">
      <c r="A766" s="1" t="s">
        <v>8849</v>
      </c>
      <c r="B766" s="1" t="s">
        <v>16370</v>
      </c>
      <c r="C766" s="3">
        <f>IF(B766="","",SUMIFS('Factory Costs'!$C:$C,'Factory Costs'!$A:$A,"Blades",'Factory Costs'!$B:$B,B766))</f>
        <v>34</v>
      </c>
    </row>
    <row r="767" spans="1:3" x14ac:dyDescent="0.25">
      <c r="A767" s="1" t="s">
        <v>8852</v>
      </c>
      <c r="B767" s="1" t="s">
        <v>16371</v>
      </c>
      <c r="C767" s="3">
        <f>IF(B767="","",SUMIFS('Factory Costs'!$C:$C,'Factory Costs'!$A:$A,"Blades",'Factory Costs'!$B:$B,B767))</f>
        <v>37</v>
      </c>
    </row>
    <row r="768" spans="1:3" x14ac:dyDescent="0.25">
      <c r="A768" s="1" t="s">
        <v>8855</v>
      </c>
      <c r="B768" s="1" t="s">
        <v>16372</v>
      </c>
      <c r="C768" s="3">
        <f>IF(B768="","",SUMIFS('Factory Costs'!$C:$C,'Factory Costs'!$A:$A,"Blades",'Factory Costs'!$B:$B,B768))</f>
        <v>42</v>
      </c>
    </row>
    <row r="769" spans="1:3" x14ac:dyDescent="0.25">
      <c r="A769" s="1" t="s">
        <v>8858</v>
      </c>
      <c r="B769" s="1" t="s">
        <v>16371</v>
      </c>
      <c r="C769" s="3">
        <f>IF(B769="","",SUMIFS('Factory Costs'!$C:$C,'Factory Costs'!$A:$A,"Blades",'Factory Costs'!$B:$B,B769))</f>
        <v>37</v>
      </c>
    </row>
    <row r="770" spans="1:3" x14ac:dyDescent="0.25">
      <c r="A770" s="1" t="s">
        <v>8861</v>
      </c>
      <c r="B770" s="1" t="s">
        <v>16370</v>
      </c>
      <c r="C770" s="3">
        <f>IF(B770="","",SUMIFS('Factory Costs'!$C:$C,'Factory Costs'!$A:$A,"Blades",'Factory Costs'!$B:$B,B770))</f>
        <v>34</v>
      </c>
    </row>
    <row r="771" spans="1:3" x14ac:dyDescent="0.25">
      <c r="A771" s="1" t="s">
        <v>8864</v>
      </c>
      <c r="B771" s="1" t="s">
        <v>16371</v>
      </c>
      <c r="C771" s="3">
        <f>IF(B771="","",SUMIFS('Factory Costs'!$C:$C,'Factory Costs'!$A:$A,"Blades",'Factory Costs'!$B:$B,B771))</f>
        <v>37</v>
      </c>
    </row>
    <row r="772" spans="1:3" x14ac:dyDescent="0.25">
      <c r="A772" s="1" t="s">
        <v>8867</v>
      </c>
      <c r="B772" s="1" t="s">
        <v>16370</v>
      </c>
      <c r="C772" s="3">
        <f>IF(B772="","",SUMIFS('Factory Costs'!$C:$C,'Factory Costs'!$A:$A,"Blades",'Factory Costs'!$B:$B,B772))</f>
        <v>34</v>
      </c>
    </row>
    <row r="773" spans="1:3" x14ac:dyDescent="0.25">
      <c r="A773" s="1" t="s">
        <v>8870</v>
      </c>
      <c r="B773" s="1" t="s">
        <v>16370</v>
      </c>
      <c r="C773" s="3">
        <f>IF(B773="","",SUMIFS('Factory Costs'!$C:$C,'Factory Costs'!$A:$A,"Blades",'Factory Costs'!$B:$B,B773))</f>
        <v>34</v>
      </c>
    </row>
    <row r="774" spans="1:3" x14ac:dyDescent="0.25">
      <c r="A774" s="1" t="s">
        <v>8873</v>
      </c>
      <c r="B774" s="1" t="s">
        <v>16370</v>
      </c>
      <c r="C774" s="3">
        <f>IF(B774="","",SUMIFS('Factory Costs'!$C:$C,'Factory Costs'!$A:$A,"Blades",'Factory Costs'!$B:$B,B774))</f>
        <v>34</v>
      </c>
    </row>
    <row r="775" spans="1:3" x14ac:dyDescent="0.25">
      <c r="A775" s="1" t="s">
        <v>8876</v>
      </c>
      <c r="B775" s="1" t="s">
        <v>16370</v>
      </c>
      <c r="C775" s="3">
        <f>IF(B775="","",SUMIFS('Factory Costs'!$C:$C,'Factory Costs'!$A:$A,"Blades",'Factory Costs'!$B:$B,B775))</f>
        <v>34</v>
      </c>
    </row>
    <row r="776" spans="1:3" x14ac:dyDescent="0.25">
      <c r="A776" s="1" t="s">
        <v>8879</v>
      </c>
      <c r="B776" s="1" t="s">
        <v>16370</v>
      </c>
      <c r="C776" s="3">
        <f>IF(B776="","",SUMIFS('Factory Costs'!$C:$C,'Factory Costs'!$A:$A,"Blades",'Factory Costs'!$B:$B,B776))</f>
        <v>34</v>
      </c>
    </row>
    <row r="777" spans="1:3" x14ac:dyDescent="0.25">
      <c r="A777" s="1" t="s">
        <v>8882</v>
      </c>
      <c r="B777" s="1" t="s">
        <v>16371</v>
      </c>
      <c r="C777" s="3">
        <f>IF(B777="","",SUMIFS('Factory Costs'!$C:$C,'Factory Costs'!$A:$A,"Blades",'Factory Costs'!$B:$B,B777))</f>
        <v>37</v>
      </c>
    </row>
    <row r="778" spans="1:3" x14ac:dyDescent="0.25">
      <c r="A778" s="1" t="s">
        <v>8885</v>
      </c>
      <c r="B778" s="1" t="s">
        <v>16372</v>
      </c>
      <c r="C778" s="3">
        <f>IF(B778="","",SUMIFS('Factory Costs'!$C:$C,'Factory Costs'!$A:$A,"Blades",'Factory Costs'!$B:$B,B778))</f>
        <v>42</v>
      </c>
    </row>
    <row r="779" spans="1:3" x14ac:dyDescent="0.25">
      <c r="A779" s="1" t="s">
        <v>8888</v>
      </c>
      <c r="B779" s="1" t="s">
        <v>16370</v>
      </c>
      <c r="C779" s="3">
        <f>IF(B779="","",SUMIFS('Factory Costs'!$C:$C,'Factory Costs'!$A:$A,"Blades",'Factory Costs'!$B:$B,B779))</f>
        <v>34</v>
      </c>
    </row>
    <row r="780" spans="1:3" x14ac:dyDescent="0.25">
      <c r="A780" s="1" t="s">
        <v>8891</v>
      </c>
      <c r="B780" s="1" t="s">
        <v>16370</v>
      </c>
      <c r="C780" s="3">
        <f>IF(B780="","",SUMIFS('Factory Costs'!$C:$C,'Factory Costs'!$A:$A,"Blades",'Factory Costs'!$B:$B,B780))</f>
        <v>34</v>
      </c>
    </row>
    <row r="781" spans="1:3" x14ac:dyDescent="0.25">
      <c r="A781" s="1" t="s">
        <v>8894</v>
      </c>
      <c r="B781" s="1" t="s">
        <v>16372</v>
      </c>
      <c r="C781" s="3">
        <f>IF(B781="","",SUMIFS('Factory Costs'!$C:$C,'Factory Costs'!$A:$A,"Blades",'Factory Costs'!$B:$B,B781))</f>
        <v>42</v>
      </c>
    </row>
    <row r="782" spans="1:3" x14ac:dyDescent="0.25">
      <c r="A782" s="1" t="s">
        <v>8897</v>
      </c>
      <c r="B782" s="1" t="s">
        <v>16370</v>
      </c>
      <c r="C782" s="3">
        <f>IF(B782="","",SUMIFS('Factory Costs'!$C:$C,'Factory Costs'!$A:$A,"Blades",'Factory Costs'!$B:$B,B782))</f>
        <v>34</v>
      </c>
    </row>
    <row r="783" spans="1:3" x14ac:dyDescent="0.25">
      <c r="A783" s="1" t="s">
        <v>8900</v>
      </c>
      <c r="B783" s="1" t="s">
        <v>16372</v>
      </c>
      <c r="C783" s="3">
        <f>IF(B783="","",SUMIFS('Factory Costs'!$C:$C,'Factory Costs'!$A:$A,"Blades",'Factory Costs'!$B:$B,B783))</f>
        <v>42</v>
      </c>
    </row>
    <row r="784" spans="1:3" x14ac:dyDescent="0.25">
      <c r="A784" s="1" t="s">
        <v>8903</v>
      </c>
      <c r="B784" s="1" t="s">
        <v>16370</v>
      </c>
      <c r="C784" s="3">
        <f>IF(B784="","",SUMIFS('Factory Costs'!$C:$C,'Factory Costs'!$A:$A,"Blades",'Factory Costs'!$B:$B,B784))</f>
        <v>34</v>
      </c>
    </row>
    <row r="785" spans="1:3" x14ac:dyDescent="0.25">
      <c r="A785" s="1" t="s">
        <v>8906</v>
      </c>
      <c r="B785" s="1" t="s">
        <v>16370</v>
      </c>
      <c r="C785" s="3">
        <f>IF(B785="","",SUMIFS('Factory Costs'!$C:$C,'Factory Costs'!$A:$A,"Blades",'Factory Costs'!$B:$B,B785))</f>
        <v>34</v>
      </c>
    </row>
    <row r="786" spans="1:3" x14ac:dyDescent="0.25">
      <c r="A786" s="1" t="s">
        <v>8909</v>
      </c>
      <c r="B786" s="1" t="s">
        <v>16371</v>
      </c>
      <c r="C786" s="3">
        <f>IF(B786="","",SUMIFS('Factory Costs'!$C:$C,'Factory Costs'!$A:$A,"Blades",'Factory Costs'!$B:$B,B786))</f>
        <v>37</v>
      </c>
    </row>
    <row r="787" spans="1:3" x14ac:dyDescent="0.25">
      <c r="A787" s="1" t="s">
        <v>8912</v>
      </c>
      <c r="B787" s="1" t="s">
        <v>16372</v>
      </c>
      <c r="C787" s="3">
        <f>IF(B787="","",SUMIFS('Factory Costs'!$C:$C,'Factory Costs'!$A:$A,"Blades",'Factory Costs'!$B:$B,B787))</f>
        <v>42</v>
      </c>
    </row>
    <row r="788" spans="1:3" x14ac:dyDescent="0.25">
      <c r="A788" s="1" t="s">
        <v>8915</v>
      </c>
      <c r="B788" s="1" t="s">
        <v>16371</v>
      </c>
      <c r="C788" s="3">
        <f>IF(B788="","",SUMIFS('Factory Costs'!$C:$C,'Factory Costs'!$A:$A,"Blades",'Factory Costs'!$B:$B,B788))</f>
        <v>37</v>
      </c>
    </row>
    <row r="789" spans="1:3" x14ac:dyDescent="0.25">
      <c r="A789" s="1" t="s">
        <v>8918</v>
      </c>
      <c r="B789" s="1" t="s">
        <v>16370</v>
      </c>
      <c r="C789" s="3">
        <f>IF(B789="","",SUMIFS('Factory Costs'!$C:$C,'Factory Costs'!$A:$A,"Blades",'Factory Costs'!$B:$B,B789))</f>
        <v>34</v>
      </c>
    </row>
    <row r="790" spans="1:3" x14ac:dyDescent="0.25">
      <c r="A790" s="1" t="s">
        <v>8921</v>
      </c>
      <c r="B790" s="1" t="s">
        <v>16371</v>
      </c>
      <c r="C790" s="3">
        <f>IF(B790="","",SUMIFS('Factory Costs'!$C:$C,'Factory Costs'!$A:$A,"Blades",'Factory Costs'!$B:$B,B790))</f>
        <v>37</v>
      </c>
    </row>
    <row r="791" spans="1:3" x14ac:dyDescent="0.25">
      <c r="A791" s="1" t="s">
        <v>8924</v>
      </c>
      <c r="B791" s="1" t="s">
        <v>16371</v>
      </c>
      <c r="C791" s="3">
        <f>IF(B791="","",SUMIFS('Factory Costs'!$C:$C,'Factory Costs'!$A:$A,"Blades",'Factory Costs'!$B:$B,B791))</f>
        <v>37</v>
      </c>
    </row>
    <row r="792" spans="1:3" x14ac:dyDescent="0.25">
      <c r="A792" s="1" t="s">
        <v>8927</v>
      </c>
      <c r="B792" s="1" t="s">
        <v>16372</v>
      </c>
      <c r="C792" s="3">
        <f>IF(B792="","",SUMIFS('Factory Costs'!$C:$C,'Factory Costs'!$A:$A,"Blades",'Factory Costs'!$B:$B,B792))</f>
        <v>42</v>
      </c>
    </row>
    <row r="793" spans="1:3" x14ac:dyDescent="0.25">
      <c r="A793" s="1" t="s">
        <v>8930</v>
      </c>
      <c r="B793" s="1" t="s">
        <v>16370</v>
      </c>
      <c r="C793" s="3">
        <f>IF(B793="","",SUMIFS('Factory Costs'!$C:$C,'Factory Costs'!$A:$A,"Blades",'Factory Costs'!$B:$B,B793))</f>
        <v>34</v>
      </c>
    </row>
    <row r="794" spans="1:3" x14ac:dyDescent="0.25">
      <c r="A794" s="1" t="s">
        <v>8933</v>
      </c>
      <c r="B794" s="1" t="s">
        <v>16370</v>
      </c>
      <c r="C794" s="3">
        <f>IF(B794="","",SUMIFS('Factory Costs'!$C:$C,'Factory Costs'!$A:$A,"Blades",'Factory Costs'!$B:$B,B794))</f>
        <v>34</v>
      </c>
    </row>
    <row r="795" spans="1:3" x14ac:dyDescent="0.25">
      <c r="A795" s="1" t="s">
        <v>8936</v>
      </c>
      <c r="B795" s="1" t="s">
        <v>16372</v>
      </c>
      <c r="C795" s="3">
        <f>IF(B795="","",SUMIFS('Factory Costs'!$C:$C,'Factory Costs'!$A:$A,"Blades",'Factory Costs'!$B:$B,B795))</f>
        <v>42</v>
      </c>
    </row>
    <row r="796" spans="1:3" x14ac:dyDescent="0.25">
      <c r="A796" s="1" t="s">
        <v>8939</v>
      </c>
      <c r="B796" s="1" t="s">
        <v>16371</v>
      </c>
      <c r="C796" s="3">
        <f>IF(B796="","",SUMIFS('Factory Costs'!$C:$C,'Factory Costs'!$A:$A,"Blades",'Factory Costs'!$B:$B,B796))</f>
        <v>37</v>
      </c>
    </row>
    <row r="797" spans="1:3" x14ac:dyDescent="0.25">
      <c r="A797" s="1" t="s">
        <v>8942</v>
      </c>
      <c r="B797" s="1" t="s">
        <v>16372</v>
      </c>
      <c r="C797" s="3">
        <f>IF(B797="","",SUMIFS('Factory Costs'!$C:$C,'Factory Costs'!$A:$A,"Blades",'Factory Costs'!$B:$B,B797))</f>
        <v>42</v>
      </c>
    </row>
    <row r="798" spans="1:3" x14ac:dyDescent="0.25">
      <c r="A798" s="1" t="s">
        <v>8945</v>
      </c>
      <c r="B798" s="1" t="s">
        <v>16371</v>
      </c>
      <c r="C798" s="3">
        <f>IF(B798="","",SUMIFS('Factory Costs'!$C:$C,'Factory Costs'!$A:$A,"Blades",'Factory Costs'!$B:$B,B798))</f>
        <v>37</v>
      </c>
    </row>
    <row r="799" spans="1:3" x14ac:dyDescent="0.25">
      <c r="A799" s="1" t="s">
        <v>8948</v>
      </c>
      <c r="B799" s="1" t="s">
        <v>16370</v>
      </c>
      <c r="C799" s="3">
        <f>IF(B799="","",SUMIFS('Factory Costs'!$C:$C,'Factory Costs'!$A:$A,"Blades",'Factory Costs'!$B:$B,B799))</f>
        <v>34</v>
      </c>
    </row>
    <row r="800" spans="1:3" x14ac:dyDescent="0.25">
      <c r="A800" s="1" t="s">
        <v>8951</v>
      </c>
      <c r="B800" s="1" t="s">
        <v>16370</v>
      </c>
      <c r="C800" s="3">
        <f>IF(B800="","",SUMIFS('Factory Costs'!$C:$C,'Factory Costs'!$A:$A,"Blades",'Factory Costs'!$B:$B,B800))</f>
        <v>34</v>
      </c>
    </row>
    <row r="801" spans="1:3" x14ac:dyDescent="0.25">
      <c r="A801" s="1" t="s">
        <v>8954</v>
      </c>
      <c r="B801" s="1" t="s">
        <v>16371</v>
      </c>
      <c r="C801" s="3">
        <f>IF(B801="","",SUMIFS('Factory Costs'!$C:$C,'Factory Costs'!$A:$A,"Blades",'Factory Costs'!$B:$B,B801))</f>
        <v>37</v>
      </c>
    </row>
    <row r="802" spans="1:3" x14ac:dyDescent="0.25">
      <c r="A802" s="1" t="s">
        <v>8957</v>
      </c>
      <c r="B802" s="1" t="s">
        <v>16371</v>
      </c>
      <c r="C802" s="3">
        <f>IF(B802="","",SUMIFS('Factory Costs'!$C:$C,'Factory Costs'!$A:$A,"Blades",'Factory Costs'!$B:$B,B802))</f>
        <v>37</v>
      </c>
    </row>
    <row r="803" spans="1:3" x14ac:dyDescent="0.25">
      <c r="A803" s="1" t="s">
        <v>8960</v>
      </c>
      <c r="B803" s="1" t="s">
        <v>16370</v>
      </c>
      <c r="C803" s="3">
        <f>IF(B803="","",SUMIFS('Factory Costs'!$C:$C,'Factory Costs'!$A:$A,"Blades",'Factory Costs'!$B:$B,B803))</f>
        <v>34</v>
      </c>
    </row>
    <row r="804" spans="1:3" x14ac:dyDescent="0.25">
      <c r="A804" s="1" t="s">
        <v>8963</v>
      </c>
      <c r="B804" s="1" t="s">
        <v>16372</v>
      </c>
      <c r="C804" s="3">
        <f>IF(B804="","",SUMIFS('Factory Costs'!$C:$C,'Factory Costs'!$A:$A,"Blades",'Factory Costs'!$B:$B,B804))</f>
        <v>42</v>
      </c>
    </row>
    <row r="805" spans="1:3" x14ac:dyDescent="0.25">
      <c r="A805" s="1" t="s">
        <v>8966</v>
      </c>
      <c r="B805" s="1" t="s">
        <v>16370</v>
      </c>
      <c r="C805" s="3">
        <f>IF(B805="","",SUMIFS('Factory Costs'!$C:$C,'Factory Costs'!$A:$A,"Blades",'Factory Costs'!$B:$B,B805))</f>
        <v>34</v>
      </c>
    </row>
    <row r="806" spans="1:3" x14ac:dyDescent="0.25">
      <c r="A806" s="1" t="s">
        <v>8969</v>
      </c>
      <c r="B806" s="1" t="s">
        <v>16371</v>
      </c>
      <c r="C806" s="3">
        <f>IF(B806="","",SUMIFS('Factory Costs'!$C:$C,'Factory Costs'!$A:$A,"Blades",'Factory Costs'!$B:$B,B806))</f>
        <v>37</v>
      </c>
    </row>
    <row r="807" spans="1:3" x14ac:dyDescent="0.25">
      <c r="A807" s="1" t="s">
        <v>8972</v>
      </c>
      <c r="B807" s="1" t="s">
        <v>16370</v>
      </c>
      <c r="C807" s="3">
        <f>IF(B807="","",SUMIFS('Factory Costs'!$C:$C,'Factory Costs'!$A:$A,"Blades",'Factory Costs'!$B:$B,B807))</f>
        <v>34</v>
      </c>
    </row>
    <row r="808" spans="1:3" x14ac:dyDescent="0.25">
      <c r="A808" s="1" t="s">
        <v>8975</v>
      </c>
      <c r="B808" s="1" t="s">
        <v>16370</v>
      </c>
      <c r="C808" s="3">
        <f>IF(B808="","",SUMIFS('Factory Costs'!$C:$C,'Factory Costs'!$A:$A,"Blades",'Factory Costs'!$B:$B,B808))</f>
        <v>34</v>
      </c>
    </row>
    <row r="809" spans="1:3" x14ac:dyDescent="0.25">
      <c r="A809" s="1" t="s">
        <v>8978</v>
      </c>
      <c r="B809" s="1" t="s">
        <v>16372</v>
      </c>
      <c r="C809" s="3">
        <f>IF(B809="","",SUMIFS('Factory Costs'!$C:$C,'Factory Costs'!$A:$A,"Blades",'Factory Costs'!$B:$B,B809))</f>
        <v>42</v>
      </c>
    </row>
    <row r="810" spans="1:3" x14ac:dyDescent="0.25">
      <c r="A810" s="1" t="s">
        <v>8981</v>
      </c>
      <c r="B810" s="1" t="s">
        <v>16372</v>
      </c>
      <c r="C810" s="3">
        <f>IF(B810="","",SUMIFS('Factory Costs'!$C:$C,'Factory Costs'!$A:$A,"Blades",'Factory Costs'!$B:$B,B810))</f>
        <v>42</v>
      </c>
    </row>
    <row r="811" spans="1:3" x14ac:dyDescent="0.25">
      <c r="A811" s="1" t="s">
        <v>8984</v>
      </c>
      <c r="B811" s="1" t="s">
        <v>16372</v>
      </c>
      <c r="C811" s="3">
        <f>IF(B811="","",SUMIFS('Factory Costs'!$C:$C,'Factory Costs'!$A:$A,"Blades",'Factory Costs'!$B:$B,B811))</f>
        <v>42</v>
      </c>
    </row>
    <row r="812" spans="1:3" x14ac:dyDescent="0.25">
      <c r="A812" s="1" t="s">
        <v>8987</v>
      </c>
      <c r="B812" s="1" t="s">
        <v>16372</v>
      </c>
      <c r="C812" s="3">
        <f>IF(B812="","",SUMIFS('Factory Costs'!$C:$C,'Factory Costs'!$A:$A,"Blades",'Factory Costs'!$B:$B,B812))</f>
        <v>42</v>
      </c>
    </row>
    <row r="813" spans="1:3" x14ac:dyDescent="0.25">
      <c r="A813" s="1" t="s">
        <v>8990</v>
      </c>
      <c r="B813" s="1" t="s">
        <v>16371</v>
      </c>
      <c r="C813" s="3">
        <f>IF(B813="","",SUMIFS('Factory Costs'!$C:$C,'Factory Costs'!$A:$A,"Blades",'Factory Costs'!$B:$B,B813))</f>
        <v>37</v>
      </c>
    </row>
    <row r="814" spans="1:3" x14ac:dyDescent="0.25">
      <c r="A814" s="1" t="s">
        <v>8993</v>
      </c>
      <c r="B814" s="1" t="s">
        <v>16372</v>
      </c>
      <c r="C814" s="3">
        <f>IF(B814="","",SUMIFS('Factory Costs'!$C:$C,'Factory Costs'!$A:$A,"Blades",'Factory Costs'!$B:$B,B814))</f>
        <v>42</v>
      </c>
    </row>
    <row r="815" spans="1:3" x14ac:dyDescent="0.25">
      <c r="A815" s="1" t="s">
        <v>8996</v>
      </c>
      <c r="B815" s="1" t="s">
        <v>16371</v>
      </c>
      <c r="C815" s="3">
        <f>IF(B815="","",SUMIFS('Factory Costs'!$C:$C,'Factory Costs'!$A:$A,"Blades",'Factory Costs'!$B:$B,B815))</f>
        <v>37</v>
      </c>
    </row>
    <row r="816" spans="1:3" x14ac:dyDescent="0.25">
      <c r="A816" s="1" t="s">
        <v>8999</v>
      </c>
      <c r="B816" s="1" t="s">
        <v>16370</v>
      </c>
      <c r="C816" s="3">
        <f>IF(B816="","",SUMIFS('Factory Costs'!$C:$C,'Factory Costs'!$A:$A,"Blades",'Factory Costs'!$B:$B,B816))</f>
        <v>34</v>
      </c>
    </row>
    <row r="817" spans="1:3" x14ac:dyDescent="0.25">
      <c r="A817" s="1" t="s">
        <v>9002</v>
      </c>
      <c r="B817" s="1" t="s">
        <v>16370</v>
      </c>
      <c r="C817" s="3">
        <f>IF(B817="","",SUMIFS('Factory Costs'!$C:$C,'Factory Costs'!$A:$A,"Blades",'Factory Costs'!$B:$B,B817))</f>
        <v>34</v>
      </c>
    </row>
    <row r="818" spans="1:3" x14ac:dyDescent="0.25">
      <c r="A818" s="1" t="s">
        <v>9005</v>
      </c>
      <c r="B818" s="1" t="s">
        <v>16372</v>
      </c>
      <c r="C818" s="3">
        <f>IF(B818="","",SUMIFS('Factory Costs'!$C:$C,'Factory Costs'!$A:$A,"Blades",'Factory Costs'!$B:$B,B818))</f>
        <v>42</v>
      </c>
    </row>
    <row r="819" spans="1:3" x14ac:dyDescent="0.25">
      <c r="A819" s="1" t="s">
        <v>9008</v>
      </c>
      <c r="B819" s="1" t="s">
        <v>16371</v>
      </c>
      <c r="C819" s="3">
        <f>IF(B819="","",SUMIFS('Factory Costs'!$C:$C,'Factory Costs'!$A:$A,"Blades",'Factory Costs'!$B:$B,B819))</f>
        <v>37</v>
      </c>
    </row>
    <row r="820" spans="1:3" x14ac:dyDescent="0.25">
      <c r="A820" s="1" t="s">
        <v>9011</v>
      </c>
      <c r="B820" s="1" t="s">
        <v>16370</v>
      </c>
      <c r="C820" s="3">
        <f>IF(B820="","",SUMIFS('Factory Costs'!$C:$C,'Factory Costs'!$A:$A,"Blades",'Factory Costs'!$B:$B,B820))</f>
        <v>34</v>
      </c>
    </row>
    <row r="821" spans="1:3" x14ac:dyDescent="0.25">
      <c r="A821" s="1" t="s">
        <v>9014</v>
      </c>
      <c r="B821" s="1" t="s">
        <v>16371</v>
      </c>
      <c r="C821" s="3">
        <f>IF(B821="","",SUMIFS('Factory Costs'!$C:$C,'Factory Costs'!$A:$A,"Blades",'Factory Costs'!$B:$B,B821))</f>
        <v>37</v>
      </c>
    </row>
    <row r="822" spans="1:3" x14ac:dyDescent="0.25">
      <c r="A822" s="1" t="s">
        <v>9017</v>
      </c>
      <c r="B822" s="1" t="s">
        <v>16371</v>
      </c>
      <c r="C822" s="3">
        <f>IF(B822="","",SUMIFS('Factory Costs'!$C:$C,'Factory Costs'!$A:$A,"Blades",'Factory Costs'!$B:$B,B822))</f>
        <v>37</v>
      </c>
    </row>
    <row r="823" spans="1:3" x14ac:dyDescent="0.25">
      <c r="A823" s="1" t="s">
        <v>9020</v>
      </c>
      <c r="B823" s="1" t="s">
        <v>16372</v>
      </c>
      <c r="C823" s="3">
        <f>IF(B823="","",SUMIFS('Factory Costs'!$C:$C,'Factory Costs'!$A:$A,"Blades",'Factory Costs'!$B:$B,B823))</f>
        <v>42</v>
      </c>
    </row>
    <row r="824" spans="1:3" x14ac:dyDescent="0.25">
      <c r="A824" s="1" t="s">
        <v>9023</v>
      </c>
      <c r="B824" s="1" t="s">
        <v>16371</v>
      </c>
      <c r="C824" s="3">
        <f>IF(B824="","",SUMIFS('Factory Costs'!$C:$C,'Factory Costs'!$A:$A,"Blades",'Factory Costs'!$B:$B,B824))</f>
        <v>37</v>
      </c>
    </row>
    <row r="825" spans="1:3" x14ac:dyDescent="0.25">
      <c r="A825" s="1" t="s">
        <v>9026</v>
      </c>
      <c r="B825" s="1" t="s">
        <v>16370</v>
      </c>
      <c r="C825" s="3">
        <f>IF(B825="","",SUMIFS('Factory Costs'!$C:$C,'Factory Costs'!$A:$A,"Blades",'Factory Costs'!$B:$B,B825))</f>
        <v>34</v>
      </c>
    </row>
    <row r="826" spans="1:3" x14ac:dyDescent="0.25">
      <c r="A826" s="1" t="s">
        <v>9029</v>
      </c>
      <c r="B826" s="1" t="s">
        <v>16371</v>
      </c>
      <c r="C826" s="3">
        <f>IF(B826="","",SUMIFS('Factory Costs'!$C:$C,'Factory Costs'!$A:$A,"Blades",'Factory Costs'!$B:$B,B826))</f>
        <v>37</v>
      </c>
    </row>
    <row r="827" spans="1:3" x14ac:dyDescent="0.25">
      <c r="A827" s="1" t="s">
        <v>9032</v>
      </c>
      <c r="B827" s="1" t="s">
        <v>16372</v>
      </c>
      <c r="C827" s="3">
        <f>IF(B827="","",SUMIFS('Factory Costs'!$C:$C,'Factory Costs'!$A:$A,"Blades",'Factory Costs'!$B:$B,B827))</f>
        <v>42</v>
      </c>
    </row>
    <row r="828" spans="1:3" x14ac:dyDescent="0.25">
      <c r="A828" s="1" t="s">
        <v>9035</v>
      </c>
      <c r="B828" s="1" t="s">
        <v>16370</v>
      </c>
      <c r="C828" s="3">
        <f>IF(B828="","",SUMIFS('Factory Costs'!$C:$C,'Factory Costs'!$A:$A,"Blades",'Factory Costs'!$B:$B,B828))</f>
        <v>34</v>
      </c>
    </row>
    <row r="829" spans="1:3" x14ac:dyDescent="0.25">
      <c r="A829" s="1" t="s">
        <v>9038</v>
      </c>
      <c r="B829" s="1" t="s">
        <v>16370</v>
      </c>
      <c r="C829" s="3">
        <f>IF(B829="","",SUMIFS('Factory Costs'!$C:$C,'Factory Costs'!$A:$A,"Blades",'Factory Costs'!$B:$B,B829))</f>
        <v>34</v>
      </c>
    </row>
    <row r="830" spans="1:3" x14ac:dyDescent="0.25">
      <c r="A830" s="1" t="s">
        <v>9041</v>
      </c>
      <c r="B830" s="1" t="s">
        <v>16370</v>
      </c>
      <c r="C830" s="3">
        <f>IF(B830="","",SUMIFS('Factory Costs'!$C:$C,'Factory Costs'!$A:$A,"Blades",'Factory Costs'!$B:$B,B830))</f>
        <v>34</v>
      </c>
    </row>
    <row r="831" spans="1:3" x14ac:dyDescent="0.25">
      <c r="A831" s="1" t="s">
        <v>9044</v>
      </c>
      <c r="B831" s="1" t="s">
        <v>16372</v>
      </c>
      <c r="C831" s="3">
        <f>IF(B831="","",SUMIFS('Factory Costs'!$C:$C,'Factory Costs'!$A:$A,"Blades",'Factory Costs'!$B:$B,B831))</f>
        <v>42</v>
      </c>
    </row>
    <row r="832" spans="1:3" x14ac:dyDescent="0.25">
      <c r="A832" s="1" t="s">
        <v>9047</v>
      </c>
      <c r="B832" s="1" t="s">
        <v>16370</v>
      </c>
      <c r="C832" s="3">
        <f>IF(B832="","",SUMIFS('Factory Costs'!$C:$C,'Factory Costs'!$A:$A,"Blades",'Factory Costs'!$B:$B,B832))</f>
        <v>34</v>
      </c>
    </row>
    <row r="833" spans="1:3" x14ac:dyDescent="0.25">
      <c r="A833" s="1" t="s">
        <v>9050</v>
      </c>
      <c r="B833" s="1" t="s">
        <v>16370</v>
      </c>
      <c r="C833" s="3">
        <f>IF(B833="","",SUMIFS('Factory Costs'!$C:$C,'Factory Costs'!$A:$A,"Blades",'Factory Costs'!$B:$B,B833))</f>
        <v>34</v>
      </c>
    </row>
    <row r="834" spans="1:3" x14ac:dyDescent="0.25">
      <c r="A834" s="1" t="s">
        <v>9053</v>
      </c>
      <c r="B834" s="1" t="s">
        <v>16371</v>
      </c>
      <c r="C834" s="3">
        <f>IF(B834="","",SUMIFS('Factory Costs'!$C:$C,'Factory Costs'!$A:$A,"Blades",'Factory Costs'!$B:$B,B834))</f>
        <v>37</v>
      </c>
    </row>
    <row r="835" spans="1:3" x14ac:dyDescent="0.25">
      <c r="A835" s="1" t="s">
        <v>9056</v>
      </c>
      <c r="B835" s="1" t="s">
        <v>16370</v>
      </c>
      <c r="C835" s="3">
        <f>IF(B835="","",SUMIFS('Factory Costs'!$C:$C,'Factory Costs'!$A:$A,"Blades",'Factory Costs'!$B:$B,B835))</f>
        <v>34</v>
      </c>
    </row>
    <row r="836" spans="1:3" x14ac:dyDescent="0.25">
      <c r="A836" s="1" t="s">
        <v>9059</v>
      </c>
      <c r="B836" s="1" t="s">
        <v>16372</v>
      </c>
      <c r="C836" s="3">
        <f>IF(B836="","",SUMIFS('Factory Costs'!$C:$C,'Factory Costs'!$A:$A,"Blades",'Factory Costs'!$B:$B,B836))</f>
        <v>42</v>
      </c>
    </row>
    <row r="837" spans="1:3" x14ac:dyDescent="0.25">
      <c r="A837" s="1" t="s">
        <v>9062</v>
      </c>
      <c r="B837" s="1" t="s">
        <v>16371</v>
      </c>
      <c r="C837" s="3">
        <f>IF(B837="","",SUMIFS('Factory Costs'!$C:$C,'Factory Costs'!$A:$A,"Blades",'Factory Costs'!$B:$B,B837))</f>
        <v>37</v>
      </c>
    </row>
    <row r="838" spans="1:3" x14ac:dyDescent="0.25">
      <c r="A838" s="1" t="s">
        <v>9065</v>
      </c>
      <c r="B838" s="1" t="s">
        <v>16371</v>
      </c>
      <c r="C838" s="3">
        <f>IF(B838="","",SUMIFS('Factory Costs'!$C:$C,'Factory Costs'!$A:$A,"Blades",'Factory Costs'!$B:$B,B838))</f>
        <v>37</v>
      </c>
    </row>
    <row r="839" spans="1:3" x14ac:dyDescent="0.25">
      <c r="A839" s="1" t="s">
        <v>9068</v>
      </c>
      <c r="B839" s="1" t="s">
        <v>16371</v>
      </c>
      <c r="C839" s="3">
        <f>IF(B839="","",SUMIFS('Factory Costs'!$C:$C,'Factory Costs'!$A:$A,"Blades",'Factory Costs'!$B:$B,B839))</f>
        <v>37</v>
      </c>
    </row>
    <row r="840" spans="1:3" x14ac:dyDescent="0.25">
      <c r="A840" s="1" t="s">
        <v>9071</v>
      </c>
      <c r="B840" s="1" t="s">
        <v>16370</v>
      </c>
      <c r="C840" s="3">
        <f>IF(B840="","",SUMIFS('Factory Costs'!$C:$C,'Factory Costs'!$A:$A,"Blades",'Factory Costs'!$B:$B,B840))</f>
        <v>34</v>
      </c>
    </row>
    <row r="841" spans="1:3" x14ac:dyDescent="0.25">
      <c r="A841" s="1" t="s">
        <v>9074</v>
      </c>
      <c r="B841" s="1" t="s">
        <v>16371</v>
      </c>
      <c r="C841" s="3">
        <f>IF(B841="","",SUMIFS('Factory Costs'!$C:$C,'Factory Costs'!$A:$A,"Blades",'Factory Costs'!$B:$B,B841))</f>
        <v>37</v>
      </c>
    </row>
    <row r="842" spans="1:3" x14ac:dyDescent="0.25">
      <c r="A842" s="1" t="s">
        <v>9077</v>
      </c>
      <c r="B842" s="1" t="s">
        <v>16370</v>
      </c>
      <c r="C842" s="3">
        <f>IF(B842="","",SUMIFS('Factory Costs'!$C:$C,'Factory Costs'!$A:$A,"Blades",'Factory Costs'!$B:$B,B842))</f>
        <v>34</v>
      </c>
    </row>
    <row r="843" spans="1:3" x14ac:dyDescent="0.25">
      <c r="A843" s="1" t="s">
        <v>9080</v>
      </c>
      <c r="B843" s="1" t="s">
        <v>16372</v>
      </c>
      <c r="C843" s="3">
        <f>IF(B843="","",SUMIFS('Factory Costs'!$C:$C,'Factory Costs'!$A:$A,"Blades",'Factory Costs'!$B:$B,B843))</f>
        <v>42</v>
      </c>
    </row>
    <row r="844" spans="1:3" x14ac:dyDescent="0.25">
      <c r="A844" s="1" t="s">
        <v>9083</v>
      </c>
      <c r="B844" s="1" t="s">
        <v>16372</v>
      </c>
      <c r="C844" s="3">
        <f>IF(B844="","",SUMIFS('Factory Costs'!$C:$C,'Factory Costs'!$A:$A,"Blades",'Factory Costs'!$B:$B,B844))</f>
        <v>42</v>
      </c>
    </row>
    <row r="845" spans="1:3" x14ac:dyDescent="0.25">
      <c r="A845" s="1" t="s">
        <v>9086</v>
      </c>
      <c r="B845" s="1" t="s">
        <v>16372</v>
      </c>
      <c r="C845" s="3">
        <f>IF(B845="","",SUMIFS('Factory Costs'!$C:$C,'Factory Costs'!$A:$A,"Blades",'Factory Costs'!$B:$B,B845))</f>
        <v>42</v>
      </c>
    </row>
    <row r="846" spans="1:3" x14ac:dyDescent="0.25">
      <c r="A846" s="1" t="s">
        <v>9089</v>
      </c>
      <c r="B846" s="1" t="s">
        <v>16370</v>
      </c>
      <c r="C846" s="3">
        <f>IF(B846="","",SUMIFS('Factory Costs'!$C:$C,'Factory Costs'!$A:$A,"Blades",'Factory Costs'!$B:$B,B846))</f>
        <v>34</v>
      </c>
    </row>
    <row r="847" spans="1:3" x14ac:dyDescent="0.25">
      <c r="A847" s="1" t="s">
        <v>9092</v>
      </c>
      <c r="B847" s="1" t="s">
        <v>16372</v>
      </c>
      <c r="C847" s="3">
        <f>IF(B847="","",SUMIFS('Factory Costs'!$C:$C,'Factory Costs'!$A:$A,"Blades",'Factory Costs'!$B:$B,B847))</f>
        <v>42</v>
      </c>
    </row>
    <row r="848" spans="1:3" x14ac:dyDescent="0.25">
      <c r="A848" s="1" t="s">
        <v>9095</v>
      </c>
      <c r="B848" s="1" t="s">
        <v>16371</v>
      </c>
      <c r="C848" s="3">
        <f>IF(B848="","",SUMIFS('Factory Costs'!$C:$C,'Factory Costs'!$A:$A,"Blades",'Factory Costs'!$B:$B,B848))</f>
        <v>37</v>
      </c>
    </row>
    <row r="849" spans="1:3" x14ac:dyDescent="0.25">
      <c r="A849" s="1" t="s">
        <v>9098</v>
      </c>
      <c r="B849" s="1" t="s">
        <v>16370</v>
      </c>
      <c r="C849" s="3">
        <f>IF(B849="","",SUMIFS('Factory Costs'!$C:$C,'Factory Costs'!$A:$A,"Blades",'Factory Costs'!$B:$B,B849))</f>
        <v>34</v>
      </c>
    </row>
    <row r="850" spans="1:3" x14ac:dyDescent="0.25">
      <c r="A850" s="1" t="s">
        <v>9101</v>
      </c>
      <c r="B850" s="1" t="s">
        <v>16372</v>
      </c>
      <c r="C850" s="3">
        <f>IF(B850="","",SUMIFS('Factory Costs'!$C:$C,'Factory Costs'!$A:$A,"Blades",'Factory Costs'!$B:$B,B850))</f>
        <v>42</v>
      </c>
    </row>
    <row r="851" spans="1:3" x14ac:dyDescent="0.25">
      <c r="A851" s="1" t="s">
        <v>9104</v>
      </c>
      <c r="B851" s="1" t="s">
        <v>16372</v>
      </c>
      <c r="C851" s="3">
        <f>IF(B851="","",SUMIFS('Factory Costs'!$C:$C,'Factory Costs'!$A:$A,"Blades",'Factory Costs'!$B:$B,B851))</f>
        <v>42</v>
      </c>
    </row>
    <row r="852" spans="1:3" x14ac:dyDescent="0.25">
      <c r="A852" s="1" t="s">
        <v>9107</v>
      </c>
      <c r="B852" s="1" t="s">
        <v>16371</v>
      </c>
      <c r="C852" s="3">
        <f>IF(B852="","",SUMIFS('Factory Costs'!$C:$C,'Factory Costs'!$A:$A,"Blades",'Factory Costs'!$B:$B,B852))</f>
        <v>37</v>
      </c>
    </row>
    <row r="853" spans="1:3" x14ac:dyDescent="0.25">
      <c r="A853" s="1" t="s">
        <v>9110</v>
      </c>
      <c r="B853" s="1" t="s">
        <v>16370</v>
      </c>
      <c r="C853" s="3">
        <f>IF(B853="","",SUMIFS('Factory Costs'!$C:$C,'Factory Costs'!$A:$A,"Blades",'Factory Costs'!$B:$B,B853))</f>
        <v>34</v>
      </c>
    </row>
    <row r="854" spans="1:3" x14ac:dyDescent="0.25">
      <c r="A854" s="1" t="s">
        <v>9113</v>
      </c>
      <c r="B854" s="1" t="s">
        <v>16370</v>
      </c>
      <c r="C854" s="3">
        <f>IF(B854="","",SUMIFS('Factory Costs'!$C:$C,'Factory Costs'!$A:$A,"Blades",'Factory Costs'!$B:$B,B854))</f>
        <v>34</v>
      </c>
    </row>
    <row r="855" spans="1:3" x14ac:dyDescent="0.25">
      <c r="A855" s="1" t="s">
        <v>9116</v>
      </c>
      <c r="B855" s="1" t="s">
        <v>16370</v>
      </c>
      <c r="C855" s="3">
        <f>IF(B855="","",SUMIFS('Factory Costs'!$C:$C,'Factory Costs'!$A:$A,"Blades",'Factory Costs'!$B:$B,B855))</f>
        <v>34</v>
      </c>
    </row>
    <row r="856" spans="1:3" x14ac:dyDescent="0.25">
      <c r="A856" s="1" t="s">
        <v>9119</v>
      </c>
      <c r="B856" s="1" t="s">
        <v>16371</v>
      </c>
      <c r="C856" s="3">
        <f>IF(B856="","",SUMIFS('Factory Costs'!$C:$C,'Factory Costs'!$A:$A,"Blades",'Factory Costs'!$B:$B,B856))</f>
        <v>37</v>
      </c>
    </row>
    <row r="857" spans="1:3" x14ac:dyDescent="0.25">
      <c r="A857" s="1" t="s">
        <v>9122</v>
      </c>
      <c r="B857" s="1" t="s">
        <v>16371</v>
      </c>
      <c r="C857" s="3">
        <f>IF(B857="","",SUMIFS('Factory Costs'!$C:$C,'Factory Costs'!$A:$A,"Blades",'Factory Costs'!$B:$B,B857))</f>
        <v>37</v>
      </c>
    </row>
    <row r="858" spans="1:3" x14ac:dyDescent="0.25">
      <c r="A858" s="1" t="s">
        <v>9125</v>
      </c>
      <c r="B858" s="1" t="s">
        <v>16371</v>
      </c>
      <c r="C858" s="3">
        <f>IF(B858="","",SUMIFS('Factory Costs'!$C:$C,'Factory Costs'!$A:$A,"Blades",'Factory Costs'!$B:$B,B858))</f>
        <v>37</v>
      </c>
    </row>
    <row r="859" spans="1:3" x14ac:dyDescent="0.25">
      <c r="A859" s="1" t="s">
        <v>9128</v>
      </c>
      <c r="B859" s="1" t="s">
        <v>16372</v>
      </c>
      <c r="C859" s="3">
        <f>IF(B859="","",SUMIFS('Factory Costs'!$C:$C,'Factory Costs'!$A:$A,"Blades",'Factory Costs'!$B:$B,B859))</f>
        <v>42</v>
      </c>
    </row>
    <row r="860" spans="1:3" x14ac:dyDescent="0.25">
      <c r="A860" s="1" t="s">
        <v>9131</v>
      </c>
      <c r="B860" s="1" t="s">
        <v>16372</v>
      </c>
      <c r="C860" s="3">
        <f>IF(B860="","",SUMIFS('Factory Costs'!$C:$C,'Factory Costs'!$A:$A,"Blades",'Factory Costs'!$B:$B,B860))</f>
        <v>42</v>
      </c>
    </row>
    <row r="861" spans="1:3" x14ac:dyDescent="0.25">
      <c r="A861" s="1" t="s">
        <v>9134</v>
      </c>
      <c r="B861" s="1" t="s">
        <v>16372</v>
      </c>
      <c r="C861" s="3">
        <f>IF(B861="","",SUMIFS('Factory Costs'!$C:$C,'Factory Costs'!$A:$A,"Blades",'Factory Costs'!$B:$B,B861))</f>
        <v>42</v>
      </c>
    </row>
    <row r="862" spans="1:3" x14ac:dyDescent="0.25">
      <c r="A862" s="1" t="s">
        <v>9137</v>
      </c>
      <c r="B862" s="1" t="s">
        <v>16370</v>
      </c>
      <c r="C862" s="3">
        <f>IF(B862="","",SUMIFS('Factory Costs'!$C:$C,'Factory Costs'!$A:$A,"Blades",'Factory Costs'!$B:$B,B862))</f>
        <v>34</v>
      </c>
    </row>
    <row r="863" spans="1:3" x14ac:dyDescent="0.25">
      <c r="A863" s="1" t="s">
        <v>9140</v>
      </c>
      <c r="B863" s="1" t="s">
        <v>16370</v>
      </c>
      <c r="C863" s="3">
        <f>IF(B863="","",SUMIFS('Factory Costs'!$C:$C,'Factory Costs'!$A:$A,"Blades",'Factory Costs'!$B:$B,B863))</f>
        <v>34</v>
      </c>
    </row>
    <row r="864" spans="1:3" x14ac:dyDescent="0.25">
      <c r="A864" s="1" t="s">
        <v>9143</v>
      </c>
      <c r="B864" s="1" t="s">
        <v>16370</v>
      </c>
      <c r="C864" s="3">
        <f>IF(B864="","",SUMIFS('Factory Costs'!$C:$C,'Factory Costs'!$A:$A,"Blades",'Factory Costs'!$B:$B,B864))</f>
        <v>34</v>
      </c>
    </row>
    <row r="865" spans="1:3" x14ac:dyDescent="0.25">
      <c r="A865" s="1" t="s">
        <v>9146</v>
      </c>
      <c r="B865" s="1" t="s">
        <v>16372</v>
      </c>
      <c r="C865" s="3">
        <f>IF(B865="","",SUMIFS('Factory Costs'!$C:$C,'Factory Costs'!$A:$A,"Blades",'Factory Costs'!$B:$B,B865))</f>
        <v>42</v>
      </c>
    </row>
    <row r="866" spans="1:3" x14ac:dyDescent="0.25">
      <c r="A866" s="1" t="s">
        <v>9149</v>
      </c>
      <c r="B866" s="1" t="s">
        <v>16370</v>
      </c>
      <c r="C866" s="3">
        <f>IF(B866="","",SUMIFS('Factory Costs'!$C:$C,'Factory Costs'!$A:$A,"Blades",'Factory Costs'!$B:$B,B866))</f>
        <v>34</v>
      </c>
    </row>
    <row r="867" spans="1:3" x14ac:dyDescent="0.25">
      <c r="A867" s="1" t="s">
        <v>9152</v>
      </c>
      <c r="B867" s="1" t="s">
        <v>16370</v>
      </c>
      <c r="C867" s="3">
        <f>IF(B867="","",SUMIFS('Factory Costs'!$C:$C,'Factory Costs'!$A:$A,"Blades",'Factory Costs'!$B:$B,B867))</f>
        <v>34</v>
      </c>
    </row>
    <row r="868" spans="1:3" x14ac:dyDescent="0.25">
      <c r="A868" s="1" t="s">
        <v>9155</v>
      </c>
      <c r="B868" s="1" t="s">
        <v>16372</v>
      </c>
      <c r="C868" s="3">
        <f>IF(B868="","",SUMIFS('Factory Costs'!$C:$C,'Factory Costs'!$A:$A,"Blades",'Factory Costs'!$B:$B,B868))</f>
        <v>42</v>
      </c>
    </row>
    <row r="869" spans="1:3" x14ac:dyDescent="0.25">
      <c r="A869" s="1" t="s">
        <v>9158</v>
      </c>
      <c r="B869" s="1" t="s">
        <v>16371</v>
      </c>
      <c r="C869" s="3">
        <f>IF(B869="","",SUMIFS('Factory Costs'!$C:$C,'Factory Costs'!$A:$A,"Blades",'Factory Costs'!$B:$B,B869))</f>
        <v>37</v>
      </c>
    </row>
    <row r="870" spans="1:3" x14ac:dyDescent="0.25">
      <c r="A870" s="1" t="s">
        <v>9161</v>
      </c>
      <c r="B870" s="1" t="s">
        <v>16372</v>
      </c>
      <c r="C870" s="3">
        <f>IF(B870="","",SUMIFS('Factory Costs'!$C:$C,'Factory Costs'!$A:$A,"Blades",'Factory Costs'!$B:$B,B870))</f>
        <v>42</v>
      </c>
    </row>
    <row r="871" spans="1:3" x14ac:dyDescent="0.25">
      <c r="A871" s="1" t="s">
        <v>9164</v>
      </c>
      <c r="B871" s="1" t="s">
        <v>16370</v>
      </c>
      <c r="C871" s="3">
        <f>IF(B871="","",SUMIFS('Factory Costs'!$C:$C,'Factory Costs'!$A:$A,"Blades",'Factory Costs'!$B:$B,B871))</f>
        <v>34</v>
      </c>
    </row>
    <row r="872" spans="1:3" x14ac:dyDescent="0.25">
      <c r="A872" s="1" t="s">
        <v>9167</v>
      </c>
      <c r="B872" s="1" t="s">
        <v>16372</v>
      </c>
      <c r="C872" s="3">
        <f>IF(B872="","",SUMIFS('Factory Costs'!$C:$C,'Factory Costs'!$A:$A,"Blades",'Factory Costs'!$B:$B,B872))</f>
        <v>42</v>
      </c>
    </row>
    <row r="873" spans="1:3" x14ac:dyDescent="0.25">
      <c r="A873" s="1" t="s">
        <v>9170</v>
      </c>
      <c r="B873" s="1" t="s">
        <v>16371</v>
      </c>
      <c r="C873" s="3">
        <f>IF(B873="","",SUMIFS('Factory Costs'!$C:$C,'Factory Costs'!$A:$A,"Blades",'Factory Costs'!$B:$B,B873))</f>
        <v>37</v>
      </c>
    </row>
    <row r="874" spans="1:3" x14ac:dyDescent="0.25">
      <c r="A874" s="1" t="s">
        <v>9173</v>
      </c>
      <c r="B874" s="1" t="s">
        <v>16372</v>
      </c>
      <c r="C874" s="3">
        <f>IF(B874="","",SUMIFS('Factory Costs'!$C:$C,'Factory Costs'!$A:$A,"Blades",'Factory Costs'!$B:$B,B874))</f>
        <v>42</v>
      </c>
    </row>
    <row r="875" spans="1:3" x14ac:dyDescent="0.25">
      <c r="A875" s="1" t="s">
        <v>9176</v>
      </c>
      <c r="B875" s="1" t="s">
        <v>16372</v>
      </c>
      <c r="C875" s="3">
        <f>IF(B875="","",SUMIFS('Factory Costs'!$C:$C,'Factory Costs'!$A:$A,"Blades",'Factory Costs'!$B:$B,B875))</f>
        <v>42</v>
      </c>
    </row>
    <row r="876" spans="1:3" x14ac:dyDescent="0.25">
      <c r="A876" s="1" t="s">
        <v>9179</v>
      </c>
      <c r="B876" s="1" t="s">
        <v>16372</v>
      </c>
      <c r="C876" s="3">
        <f>IF(B876="","",SUMIFS('Factory Costs'!$C:$C,'Factory Costs'!$A:$A,"Blades",'Factory Costs'!$B:$B,B876))</f>
        <v>42</v>
      </c>
    </row>
    <row r="877" spans="1:3" x14ac:dyDescent="0.25">
      <c r="A877" s="1" t="s">
        <v>9182</v>
      </c>
      <c r="B877" s="1" t="s">
        <v>16370</v>
      </c>
      <c r="C877" s="3">
        <f>IF(B877="","",SUMIFS('Factory Costs'!$C:$C,'Factory Costs'!$A:$A,"Blades",'Factory Costs'!$B:$B,B877))</f>
        <v>34</v>
      </c>
    </row>
    <row r="878" spans="1:3" x14ac:dyDescent="0.25">
      <c r="A878" s="1" t="s">
        <v>9185</v>
      </c>
      <c r="B878" s="1" t="s">
        <v>16372</v>
      </c>
      <c r="C878" s="3">
        <f>IF(B878="","",SUMIFS('Factory Costs'!$C:$C,'Factory Costs'!$A:$A,"Blades",'Factory Costs'!$B:$B,B878))</f>
        <v>42</v>
      </c>
    </row>
    <row r="879" spans="1:3" x14ac:dyDescent="0.25">
      <c r="A879" s="1" t="s">
        <v>9188</v>
      </c>
      <c r="B879" s="1" t="s">
        <v>16370</v>
      </c>
      <c r="C879" s="3">
        <f>IF(B879="","",SUMIFS('Factory Costs'!$C:$C,'Factory Costs'!$A:$A,"Blades",'Factory Costs'!$B:$B,B879))</f>
        <v>34</v>
      </c>
    </row>
    <row r="880" spans="1:3" x14ac:dyDescent="0.25">
      <c r="A880" s="1" t="s">
        <v>9191</v>
      </c>
      <c r="B880" s="1" t="s">
        <v>16371</v>
      </c>
      <c r="C880" s="3">
        <f>IF(B880="","",SUMIFS('Factory Costs'!$C:$C,'Factory Costs'!$A:$A,"Blades",'Factory Costs'!$B:$B,B880))</f>
        <v>37</v>
      </c>
    </row>
    <row r="881" spans="1:3" x14ac:dyDescent="0.25">
      <c r="A881" s="1" t="s">
        <v>9194</v>
      </c>
      <c r="B881" s="1" t="s">
        <v>16371</v>
      </c>
      <c r="C881" s="3">
        <f>IF(B881="","",SUMIFS('Factory Costs'!$C:$C,'Factory Costs'!$A:$A,"Blades",'Factory Costs'!$B:$B,B881))</f>
        <v>37</v>
      </c>
    </row>
    <row r="882" spans="1:3" x14ac:dyDescent="0.25">
      <c r="A882" s="1" t="s">
        <v>9197</v>
      </c>
      <c r="B882" s="1" t="s">
        <v>16370</v>
      </c>
      <c r="C882" s="3">
        <f>IF(B882="","",SUMIFS('Factory Costs'!$C:$C,'Factory Costs'!$A:$A,"Blades",'Factory Costs'!$B:$B,B882))</f>
        <v>34</v>
      </c>
    </row>
    <row r="883" spans="1:3" x14ac:dyDescent="0.25">
      <c r="A883" s="1" t="s">
        <v>9200</v>
      </c>
      <c r="B883" s="1" t="s">
        <v>16370</v>
      </c>
      <c r="C883" s="3">
        <f>IF(B883="","",SUMIFS('Factory Costs'!$C:$C,'Factory Costs'!$A:$A,"Blades",'Factory Costs'!$B:$B,B883))</f>
        <v>34</v>
      </c>
    </row>
    <row r="884" spans="1:3" x14ac:dyDescent="0.25">
      <c r="A884" s="1" t="s">
        <v>9203</v>
      </c>
      <c r="B884" s="1" t="s">
        <v>16371</v>
      </c>
      <c r="C884" s="3">
        <f>IF(B884="","",SUMIFS('Factory Costs'!$C:$C,'Factory Costs'!$A:$A,"Blades",'Factory Costs'!$B:$B,B884))</f>
        <v>37</v>
      </c>
    </row>
    <row r="885" spans="1:3" x14ac:dyDescent="0.25">
      <c r="A885" s="1" t="s">
        <v>9206</v>
      </c>
      <c r="B885" s="1" t="s">
        <v>16370</v>
      </c>
      <c r="C885" s="3">
        <f>IF(B885="","",SUMIFS('Factory Costs'!$C:$C,'Factory Costs'!$A:$A,"Blades",'Factory Costs'!$B:$B,B885))</f>
        <v>34</v>
      </c>
    </row>
    <row r="886" spans="1:3" x14ac:dyDescent="0.25">
      <c r="A886" s="1" t="s">
        <v>9209</v>
      </c>
      <c r="B886" s="1" t="s">
        <v>16372</v>
      </c>
      <c r="C886" s="3">
        <f>IF(B886="","",SUMIFS('Factory Costs'!$C:$C,'Factory Costs'!$A:$A,"Blades",'Factory Costs'!$B:$B,B886))</f>
        <v>42</v>
      </c>
    </row>
    <row r="887" spans="1:3" x14ac:dyDescent="0.25">
      <c r="A887" s="1" t="s">
        <v>9212</v>
      </c>
      <c r="B887" s="1" t="s">
        <v>16370</v>
      </c>
      <c r="C887" s="3">
        <f>IF(B887="","",SUMIFS('Factory Costs'!$C:$C,'Factory Costs'!$A:$A,"Blades",'Factory Costs'!$B:$B,B887))</f>
        <v>34</v>
      </c>
    </row>
    <row r="888" spans="1:3" x14ac:dyDescent="0.25">
      <c r="A888" s="1" t="s">
        <v>9215</v>
      </c>
      <c r="B888" s="1" t="s">
        <v>16370</v>
      </c>
      <c r="C888" s="3">
        <f>IF(B888="","",SUMIFS('Factory Costs'!$C:$C,'Factory Costs'!$A:$A,"Blades",'Factory Costs'!$B:$B,B888))</f>
        <v>34</v>
      </c>
    </row>
    <row r="889" spans="1:3" x14ac:dyDescent="0.25">
      <c r="A889" s="1" t="s">
        <v>9218</v>
      </c>
      <c r="B889" s="1" t="s">
        <v>16372</v>
      </c>
      <c r="C889" s="3">
        <f>IF(B889="","",SUMIFS('Factory Costs'!$C:$C,'Factory Costs'!$A:$A,"Blades",'Factory Costs'!$B:$B,B889))</f>
        <v>42</v>
      </c>
    </row>
    <row r="890" spans="1:3" x14ac:dyDescent="0.25">
      <c r="A890" s="1" t="s">
        <v>9221</v>
      </c>
      <c r="B890" s="1" t="s">
        <v>16370</v>
      </c>
      <c r="C890" s="3">
        <f>IF(B890="","",SUMIFS('Factory Costs'!$C:$C,'Factory Costs'!$A:$A,"Blades",'Factory Costs'!$B:$B,B890))</f>
        <v>34</v>
      </c>
    </row>
    <row r="891" spans="1:3" x14ac:dyDescent="0.25">
      <c r="A891" s="1" t="s">
        <v>9224</v>
      </c>
      <c r="B891" s="1" t="s">
        <v>16371</v>
      </c>
      <c r="C891" s="3">
        <f>IF(B891="","",SUMIFS('Factory Costs'!$C:$C,'Factory Costs'!$A:$A,"Blades",'Factory Costs'!$B:$B,B891))</f>
        <v>37</v>
      </c>
    </row>
    <row r="892" spans="1:3" x14ac:dyDescent="0.25">
      <c r="A892" s="1" t="s">
        <v>9227</v>
      </c>
      <c r="B892" s="1" t="s">
        <v>16371</v>
      </c>
      <c r="C892" s="3">
        <f>IF(B892="","",SUMIFS('Factory Costs'!$C:$C,'Factory Costs'!$A:$A,"Blades",'Factory Costs'!$B:$B,B892))</f>
        <v>37</v>
      </c>
    </row>
    <row r="893" spans="1:3" x14ac:dyDescent="0.25">
      <c r="A893" s="1" t="s">
        <v>9230</v>
      </c>
      <c r="B893" s="1" t="s">
        <v>16372</v>
      </c>
      <c r="C893" s="3">
        <f>IF(B893="","",SUMIFS('Factory Costs'!$C:$C,'Factory Costs'!$A:$A,"Blades",'Factory Costs'!$B:$B,B893))</f>
        <v>42</v>
      </c>
    </row>
    <row r="894" spans="1:3" x14ac:dyDescent="0.25">
      <c r="A894" s="1" t="s">
        <v>9233</v>
      </c>
      <c r="B894" s="1" t="s">
        <v>16370</v>
      </c>
      <c r="C894" s="3">
        <f>IF(B894="","",SUMIFS('Factory Costs'!$C:$C,'Factory Costs'!$A:$A,"Blades",'Factory Costs'!$B:$B,B894))</f>
        <v>34</v>
      </c>
    </row>
    <row r="895" spans="1:3" x14ac:dyDescent="0.25">
      <c r="A895" s="1" t="s">
        <v>9236</v>
      </c>
      <c r="B895" s="1" t="s">
        <v>16372</v>
      </c>
      <c r="C895" s="3">
        <f>IF(B895="","",SUMIFS('Factory Costs'!$C:$C,'Factory Costs'!$A:$A,"Blades",'Factory Costs'!$B:$B,B895))</f>
        <v>42</v>
      </c>
    </row>
    <row r="896" spans="1:3" x14ac:dyDescent="0.25">
      <c r="A896" s="1" t="s">
        <v>9239</v>
      </c>
      <c r="B896" s="1" t="s">
        <v>16371</v>
      </c>
      <c r="C896" s="3">
        <f>IF(B896="","",SUMIFS('Factory Costs'!$C:$C,'Factory Costs'!$A:$A,"Blades",'Factory Costs'!$B:$B,B896))</f>
        <v>37</v>
      </c>
    </row>
    <row r="897" spans="1:3" x14ac:dyDescent="0.25">
      <c r="A897" s="1" t="s">
        <v>9242</v>
      </c>
      <c r="B897" s="1" t="s">
        <v>16370</v>
      </c>
      <c r="C897" s="3">
        <f>IF(B897="","",SUMIFS('Factory Costs'!$C:$C,'Factory Costs'!$A:$A,"Blades",'Factory Costs'!$B:$B,B897))</f>
        <v>34</v>
      </c>
    </row>
    <row r="898" spans="1:3" x14ac:dyDescent="0.25">
      <c r="A898" s="1" t="s">
        <v>9245</v>
      </c>
      <c r="B898" s="1" t="s">
        <v>16372</v>
      </c>
      <c r="C898" s="3">
        <f>IF(B898="","",SUMIFS('Factory Costs'!$C:$C,'Factory Costs'!$A:$A,"Blades",'Factory Costs'!$B:$B,B898))</f>
        <v>42</v>
      </c>
    </row>
    <row r="899" spans="1:3" x14ac:dyDescent="0.25">
      <c r="A899" s="1" t="s">
        <v>9248</v>
      </c>
      <c r="B899" s="1" t="s">
        <v>16370</v>
      </c>
      <c r="C899" s="3">
        <f>IF(B899="","",SUMIFS('Factory Costs'!$C:$C,'Factory Costs'!$A:$A,"Blades",'Factory Costs'!$B:$B,B899))</f>
        <v>34</v>
      </c>
    </row>
    <row r="900" spans="1:3" x14ac:dyDescent="0.25">
      <c r="A900" s="1" t="s">
        <v>9251</v>
      </c>
      <c r="B900" s="1" t="s">
        <v>16372</v>
      </c>
      <c r="C900" s="3">
        <f>IF(B900="","",SUMIFS('Factory Costs'!$C:$C,'Factory Costs'!$A:$A,"Blades",'Factory Costs'!$B:$B,B900))</f>
        <v>42</v>
      </c>
    </row>
    <row r="901" spans="1:3" x14ac:dyDescent="0.25">
      <c r="A901" s="1" t="s">
        <v>9254</v>
      </c>
      <c r="B901" s="1" t="s">
        <v>16370</v>
      </c>
      <c r="C901" s="3">
        <f>IF(B901="","",SUMIFS('Factory Costs'!$C:$C,'Factory Costs'!$A:$A,"Blades",'Factory Costs'!$B:$B,B901))</f>
        <v>34</v>
      </c>
    </row>
    <row r="902" spans="1:3" x14ac:dyDescent="0.25">
      <c r="A902" s="1" t="s">
        <v>9257</v>
      </c>
      <c r="B902" s="1" t="s">
        <v>16370</v>
      </c>
      <c r="C902" s="3">
        <f>IF(B902="","",SUMIFS('Factory Costs'!$C:$C,'Factory Costs'!$A:$A,"Blades",'Factory Costs'!$B:$B,B902))</f>
        <v>34</v>
      </c>
    </row>
    <row r="903" spans="1:3" x14ac:dyDescent="0.25">
      <c r="A903" s="1" t="s">
        <v>9260</v>
      </c>
      <c r="B903" s="1" t="s">
        <v>16370</v>
      </c>
      <c r="C903" s="3">
        <f>IF(B903="","",SUMIFS('Factory Costs'!$C:$C,'Factory Costs'!$A:$A,"Blades",'Factory Costs'!$B:$B,B903))</f>
        <v>34</v>
      </c>
    </row>
    <row r="904" spans="1:3" x14ac:dyDescent="0.25">
      <c r="A904" s="1" t="s">
        <v>9263</v>
      </c>
      <c r="B904" s="1" t="s">
        <v>16371</v>
      </c>
      <c r="C904" s="3">
        <f>IF(B904="","",SUMIFS('Factory Costs'!$C:$C,'Factory Costs'!$A:$A,"Blades",'Factory Costs'!$B:$B,B904))</f>
        <v>37</v>
      </c>
    </row>
    <row r="905" spans="1:3" x14ac:dyDescent="0.25">
      <c r="A905" s="1" t="s">
        <v>9266</v>
      </c>
      <c r="B905" s="1" t="s">
        <v>16372</v>
      </c>
      <c r="C905" s="3">
        <f>IF(B905="","",SUMIFS('Factory Costs'!$C:$C,'Factory Costs'!$A:$A,"Blades",'Factory Costs'!$B:$B,B905))</f>
        <v>42</v>
      </c>
    </row>
    <row r="906" spans="1:3" x14ac:dyDescent="0.25">
      <c r="A906" s="1" t="s">
        <v>9269</v>
      </c>
      <c r="B906" s="1" t="s">
        <v>16372</v>
      </c>
      <c r="C906" s="3">
        <f>IF(B906="","",SUMIFS('Factory Costs'!$C:$C,'Factory Costs'!$A:$A,"Blades",'Factory Costs'!$B:$B,B906))</f>
        <v>42</v>
      </c>
    </row>
    <row r="907" spans="1:3" x14ac:dyDescent="0.25">
      <c r="A907" s="1" t="s">
        <v>9272</v>
      </c>
      <c r="B907" s="1" t="s">
        <v>16372</v>
      </c>
      <c r="C907" s="3">
        <f>IF(B907="","",SUMIFS('Factory Costs'!$C:$C,'Factory Costs'!$A:$A,"Blades",'Factory Costs'!$B:$B,B907))</f>
        <v>42</v>
      </c>
    </row>
    <row r="908" spans="1:3" x14ac:dyDescent="0.25">
      <c r="A908" s="1" t="s">
        <v>9275</v>
      </c>
      <c r="B908" s="1" t="s">
        <v>16372</v>
      </c>
      <c r="C908" s="3">
        <f>IF(B908="","",SUMIFS('Factory Costs'!$C:$C,'Factory Costs'!$A:$A,"Blades",'Factory Costs'!$B:$B,B908))</f>
        <v>42</v>
      </c>
    </row>
    <row r="909" spans="1:3" x14ac:dyDescent="0.25">
      <c r="A909" s="1" t="s">
        <v>9278</v>
      </c>
      <c r="B909" s="1" t="s">
        <v>16370</v>
      </c>
      <c r="C909" s="3">
        <f>IF(B909="","",SUMIFS('Factory Costs'!$C:$C,'Factory Costs'!$A:$A,"Blades",'Factory Costs'!$B:$B,B909))</f>
        <v>34</v>
      </c>
    </row>
    <row r="910" spans="1:3" x14ac:dyDescent="0.25">
      <c r="A910" s="1" t="s">
        <v>9281</v>
      </c>
      <c r="B910" s="1" t="s">
        <v>16372</v>
      </c>
      <c r="C910" s="3">
        <f>IF(B910="","",SUMIFS('Factory Costs'!$C:$C,'Factory Costs'!$A:$A,"Blades",'Factory Costs'!$B:$B,B910))</f>
        <v>42</v>
      </c>
    </row>
    <row r="911" spans="1:3" x14ac:dyDescent="0.25">
      <c r="A911" s="1" t="s">
        <v>9284</v>
      </c>
      <c r="B911" s="1" t="s">
        <v>16372</v>
      </c>
      <c r="C911" s="3">
        <f>IF(B911="","",SUMIFS('Factory Costs'!$C:$C,'Factory Costs'!$A:$A,"Blades",'Factory Costs'!$B:$B,B911))</f>
        <v>42</v>
      </c>
    </row>
    <row r="912" spans="1:3" x14ac:dyDescent="0.25">
      <c r="A912" s="1" t="s">
        <v>9287</v>
      </c>
      <c r="B912" s="1" t="s">
        <v>16370</v>
      </c>
      <c r="C912" s="3">
        <f>IF(B912="","",SUMIFS('Factory Costs'!$C:$C,'Factory Costs'!$A:$A,"Blades",'Factory Costs'!$B:$B,B912))</f>
        <v>34</v>
      </c>
    </row>
    <row r="913" spans="1:3" x14ac:dyDescent="0.25">
      <c r="A913" s="1" t="s">
        <v>9290</v>
      </c>
      <c r="B913" s="1" t="s">
        <v>16371</v>
      </c>
      <c r="C913" s="3">
        <f>IF(B913="","",SUMIFS('Factory Costs'!$C:$C,'Factory Costs'!$A:$A,"Blades",'Factory Costs'!$B:$B,B913))</f>
        <v>37</v>
      </c>
    </row>
    <row r="914" spans="1:3" x14ac:dyDescent="0.25">
      <c r="A914" s="1" t="s">
        <v>9293</v>
      </c>
      <c r="B914" s="1" t="s">
        <v>16370</v>
      </c>
      <c r="C914" s="3">
        <f>IF(B914="","",SUMIFS('Factory Costs'!$C:$C,'Factory Costs'!$A:$A,"Blades",'Factory Costs'!$B:$B,B914))</f>
        <v>34</v>
      </c>
    </row>
    <row r="915" spans="1:3" x14ac:dyDescent="0.25">
      <c r="A915" s="1" t="s">
        <v>9296</v>
      </c>
      <c r="B915" s="1" t="s">
        <v>16371</v>
      </c>
      <c r="C915" s="3">
        <f>IF(B915="","",SUMIFS('Factory Costs'!$C:$C,'Factory Costs'!$A:$A,"Blades",'Factory Costs'!$B:$B,B915))</f>
        <v>37</v>
      </c>
    </row>
    <row r="916" spans="1:3" x14ac:dyDescent="0.25">
      <c r="A916" s="1" t="s">
        <v>9299</v>
      </c>
      <c r="B916" s="1" t="s">
        <v>16372</v>
      </c>
      <c r="C916" s="3">
        <f>IF(B916="","",SUMIFS('Factory Costs'!$C:$C,'Factory Costs'!$A:$A,"Blades",'Factory Costs'!$B:$B,B916))</f>
        <v>42</v>
      </c>
    </row>
    <row r="917" spans="1:3" x14ac:dyDescent="0.25">
      <c r="A917" s="1" t="s">
        <v>9302</v>
      </c>
      <c r="B917" s="1" t="s">
        <v>16370</v>
      </c>
      <c r="C917" s="3">
        <f>IF(B917="","",SUMIFS('Factory Costs'!$C:$C,'Factory Costs'!$A:$A,"Blades",'Factory Costs'!$B:$B,B917))</f>
        <v>34</v>
      </c>
    </row>
    <row r="918" spans="1:3" x14ac:dyDescent="0.25">
      <c r="A918" s="1" t="s">
        <v>9305</v>
      </c>
      <c r="B918" s="1" t="s">
        <v>16370</v>
      </c>
      <c r="C918" s="3">
        <f>IF(B918="","",SUMIFS('Factory Costs'!$C:$C,'Factory Costs'!$A:$A,"Blades",'Factory Costs'!$B:$B,B918))</f>
        <v>34</v>
      </c>
    </row>
    <row r="919" spans="1:3" x14ac:dyDescent="0.25">
      <c r="A919" s="1" t="s">
        <v>9308</v>
      </c>
      <c r="B919" s="1" t="s">
        <v>16372</v>
      </c>
      <c r="C919" s="3">
        <f>IF(B919="","",SUMIFS('Factory Costs'!$C:$C,'Factory Costs'!$A:$A,"Blades",'Factory Costs'!$B:$B,B919))</f>
        <v>42</v>
      </c>
    </row>
    <row r="920" spans="1:3" x14ac:dyDescent="0.25">
      <c r="A920" s="1" t="s">
        <v>9311</v>
      </c>
      <c r="B920" s="1" t="s">
        <v>16370</v>
      </c>
      <c r="C920" s="3">
        <f>IF(B920="","",SUMIFS('Factory Costs'!$C:$C,'Factory Costs'!$A:$A,"Blades",'Factory Costs'!$B:$B,B920))</f>
        <v>34</v>
      </c>
    </row>
    <row r="921" spans="1:3" x14ac:dyDescent="0.25">
      <c r="A921" s="1" t="s">
        <v>9314</v>
      </c>
      <c r="B921" s="1" t="s">
        <v>16370</v>
      </c>
      <c r="C921" s="3">
        <f>IF(B921="","",SUMIFS('Factory Costs'!$C:$C,'Factory Costs'!$A:$A,"Blades",'Factory Costs'!$B:$B,B921))</f>
        <v>34</v>
      </c>
    </row>
    <row r="922" spans="1:3" x14ac:dyDescent="0.25">
      <c r="A922" s="1" t="s">
        <v>9317</v>
      </c>
      <c r="B922" s="1" t="s">
        <v>16372</v>
      </c>
      <c r="C922" s="3">
        <f>IF(B922="","",SUMIFS('Factory Costs'!$C:$C,'Factory Costs'!$A:$A,"Blades",'Factory Costs'!$B:$B,B922))</f>
        <v>42</v>
      </c>
    </row>
    <row r="923" spans="1:3" x14ac:dyDescent="0.25">
      <c r="A923" s="1" t="s">
        <v>9320</v>
      </c>
      <c r="B923" s="1" t="s">
        <v>16370</v>
      </c>
      <c r="C923" s="3">
        <f>IF(B923="","",SUMIFS('Factory Costs'!$C:$C,'Factory Costs'!$A:$A,"Blades",'Factory Costs'!$B:$B,B923))</f>
        <v>34</v>
      </c>
    </row>
    <row r="924" spans="1:3" x14ac:dyDescent="0.25">
      <c r="A924" s="1" t="s">
        <v>9323</v>
      </c>
      <c r="B924" s="1" t="s">
        <v>16371</v>
      </c>
      <c r="C924" s="3">
        <f>IF(B924="","",SUMIFS('Factory Costs'!$C:$C,'Factory Costs'!$A:$A,"Blades",'Factory Costs'!$B:$B,B924))</f>
        <v>37</v>
      </c>
    </row>
    <row r="925" spans="1:3" x14ac:dyDescent="0.25">
      <c r="A925" s="1" t="s">
        <v>9326</v>
      </c>
      <c r="B925" s="1" t="s">
        <v>16370</v>
      </c>
      <c r="C925" s="3">
        <f>IF(B925="","",SUMIFS('Factory Costs'!$C:$C,'Factory Costs'!$A:$A,"Blades",'Factory Costs'!$B:$B,B925))</f>
        <v>34</v>
      </c>
    </row>
    <row r="926" spans="1:3" x14ac:dyDescent="0.25">
      <c r="A926" s="1" t="s">
        <v>9329</v>
      </c>
      <c r="B926" s="1" t="s">
        <v>16371</v>
      </c>
      <c r="C926" s="3">
        <f>IF(B926="","",SUMIFS('Factory Costs'!$C:$C,'Factory Costs'!$A:$A,"Blades",'Factory Costs'!$B:$B,B926))</f>
        <v>37</v>
      </c>
    </row>
    <row r="927" spans="1:3" x14ac:dyDescent="0.25">
      <c r="A927" s="1" t="s">
        <v>9332</v>
      </c>
      <c r="B927" s="1" t="s">
        <v>16371</v>
      </c>
      <c r="C927" s="3">
        <f>IF(B927="","",SUMIFS('Factory Costs'!$C:$C,'Factory Costs'!$A:$A,"Blades",'Factory Costs'!$B:$B,B927))</f>
        <v>37</v>
      </c>
    </row>
    <row r="928" spans="1:3" x14ac:dyDescent="0.25">
      <c r="A928" s="1" t="s">
        <v>9335</v>
      </c>
      <c r="B928" s="1" t="s">
        <v>16370</v>
      </c>
      <c r="C928" s="3">
        <f>IF(B928="","",SUMIFS('Factory Costs'!$C:$C,'Factory Costs'!$A:$A,"Blades",'Factory Costs'!$B:$B,B928))</f>
        <v>34</v>
      </c>
    </row>
    <row r="929" spans="1:3" x14ac:dyDescent="0.25">
      <c r="A929" s="1" t="s">
        <v>9338</v>
      </c>
      <c r="B929" s="1" t="s">
        <v>16370</v>
      </c>
      <c r="C929" s="3">
        <f>IF(B929="","",SUMIFS('Factory Costs'!$C:$C,'Factory Costs'!$A:$A,"Blades",'Factory Costs'!$B:$B,B929))</f>
        <v>34</v>
      </c>
    </row>
    <row r="930" spans="1:3" x14ac:dyDescent="0.25">
      <c r="A930" s="1" t="s">
        <v>9341</v>
      </c>
      <c r="B930" s="1" t="s">
        <v>16372</v>
      </c>
      <c r="C930" s="3">
        <f>IF(B930="","",SUMIFS('Factory Costs'!$C:$C,'Factory Costs'!$A:$A,"Blades",'Factory Costs'!$B:$B,B930))</f>
        <v>42</v>
      </c>
    </row>
    <row r="931" spans="1:3" x14ac:dyDescent="0.25">
      <c r="A931" s="1" t="s">
        <v>9344</v>
      </c>
      <c r="B931" s="1" t="s">
        <v>16371</v>
      </c>
      <c r="C931" s="3">
        <f>IF(B931="","",SUMIFS('Factory Costs'!$C:$C,'Factory Costs'!$A:$A,"Blades",'Factory Costs'!$B:$B,B931))</f>
        <v>37</v>
      </c>
    </row>
    <row r="932" spans="1:3" x14ac:dyDescent="0.25">
      <c r="A932" s="1" t="s">
        <v>9347</v>
      </c>
      <c r="B932" s="1" t="s">
        <v>16370</v>
      </c>
      <c r="C932" s="3">
        <f>IF(B932="","",SUMIFS('Factory Costs'!$C:$C,'Factory Costs'!$A:$A,"Blades",'Factory Costs'!$B:$B,B932))</f>
        <v>34</v>
      </c>
    </row>
    <row r="933" spans="1:3" x14ac:dyDescent="0.25">
      <c r="A933" s="1" t="s">
        <v>9350</v>
      </c>
      <c r="B933" s="1" t="s">
        <v>16371</v>
      </c>
      <c r="C933" s="3">
        <f>IF(B933="","",SUMIFS('Factory Costs'!$C:$C,'Factory Costs'!$A:$A,"Blades",'Factory Costs'!$B:$B,B933))</f>
        <v>37</v>
      </c>
    </row>
    <row r="934" spans="1:3" x14ac:dyDescent="0.25">
      <c r="A934" s="1" t="s">
        <v>9353</v>
      </c>
      <c r="B934" s="1" t="s">
        <v>16370</v>
      </c>
      <c r="C934" s="3">
        <f>IF(B934="","",SUMIFS('Factory Costs'!$C:$C,'Factory Costs'!$A:$A,"Blades",'Factory Costs'!$B:$B,B934))</f>
        <v>34</v>
      </c>
    </row>
    <row r="935" spans="1:3" x14ac:dyDescent="0.25">
      <c r="A935" s="1" t="s">
        <v>9356</v>
      </c>
      <c r="B935" s="1" t="s">
        <v>16370</v>
      </c>
      <c r="C935" s="3">
        <f>IF(B935="","",SUMIFS('Factory Costs'!$C:$C,'Factory Costs'!$A:$A,"Blades",'Factory Costs'!$B:$B,B935))</f>
        <v>34</v>
      </c>
    </row>
    <row r="936" spans="1:3" x14ac:dyDescent="0.25">
      <c r="A936" s="1" t="s">
        <v>9359</v>
      </c>
      <c r="B936" s="1" t="s">
        <v>16372</v>
      </c>
      <c r="C936" s="3">
        <f>IF(B936="","",SUMIFS('Factory Costs'!$C:$C,'Factory Costs'!$A:$A,"Blades",'Factory Costs'!$B:$B,B936))</f>
        <v>42</v>
      </c>
    </row>
    <row r="937" spans="1:3" x14ac:dyDescent="0.25">
      <c r="A937" s="1" t="s">
        <v>9362</v>
      </c>
      <c r="B937" s="1" t="s">
        <v>16370</v>
      </c>
      <c r="C937" s="3">
        <f>IF(B937="","",SUMIFS('Factory Costs'!$C:$C,'Factory Costs'!$A:$A,"Blades",'Factory Costs'!$B:$B,B937))</f>
        <v>34</v>
      </c>
    </row>
    <row r="938" spans="1:3" x14ac:dyDescent="0.25">
      <c r="A938" s="1" t="s">
        <v>9365</v>
      </c>
      <c r="B938" s="1" t="s">
        <v>16370</v>
      </c>
      <c r="C938" s="3">
        <f>IF(B938="","",SUMIFS('Factory Costs'!$C:$C,'Factory Costs'!$A:$A,"Blades",'Factory Costs'!$B:$B,B938))</f>
        <v>34</v>
      </c>
    </row>
    <row r="939" spans="1:3" x14ac:dyDescent="0.25">
      <c r="A939" s="1" t="s">
        <v>9368</v>
      </c>
      <c r="B939" s="1" t="s">
        <v>16370</v>
      </c>
      <c r="C939" s="3">
        <f>IF(B939="","",SUMIFS('Factory Costs'!$C:$C,'Factory Costs'!$A:$A,"Blades",'Factory Costs'!$B:$B,B939))</f>
        <v>34</v>
      </c>
    </row>
    <row r="940" spans="1:3" x14ac:dyDescent="0.25">
      <c r="A940" s="1" t="s">
        <v>9371</v>
      </c>
      <c r="B940" s="1" t="s">
        <v>16371</v>
      </c>
      <c r="C940" s="3">
        <f>IF(B940="","",SUMIFS('Factory Costs'!$C:$C,'Factory Costs'!$A:$A,"Blades",'Factory Costs'!$B:$B,B940))</f>
        <v>37</v>
      </c>
    </row>
    <row r="941" spans="1:3" x14ac:dyDescent="0.25">
      <c r="A941" s="1" t="s">
        <v>9374</v>
      </c>
      <c r="B941" s="1" t="s">
        <v>16370</v>
      </c>
      <c r="C941" s="3">
        <f>IF(B941="","",SUMIFS('Factory Costs'!$C:$C,'Factory Costs'!$A:$A,"Blades",'Factory Costs'!$B:$B,B941))</f>
        <v>34</v>
      </c>
    </row>
    <row r="942" spans="1:3" x14ac:dyDescent="0.25">
      <c r="A942" s="1" t="s">
        <v>9377</v>
      </c>
      <c r="B942" s="1" t="s">
        <v>16372</v>
      </c>
      <c r="C942" s="3">
        <f>IF(B942="","",SUMIFS('Factory Costs'!$C:$C,'Factory Costs'!$A:$A,"Blades",'Factory Costs'!$B:$B,B942))</f>
        <v>42</v>
      </c>
    </row>
    <row r="943" spans="1:3" x14ac:dyDescent="0.25">
      <c r="A943" s="1" t="s">
        <v>9380</v>
      </c>
      <c r="B943" s="1" t="s">
        <v>16370</v>
      </c>
      <c r="C943" s="3">
        <f>IF(B943="","",SUMIFS('Factory Costs'!$C:$C,'Factory Costs'!$A:$A,"Blades",'Factory Costs'!$B:$B,B943))</f>
        <v>34</v>
      </c>
    </row>
    <row r="944" spans="1:3" x14ac:dyDescent="0.25">
      <c r="A944" s="1" t="s">
        <v>9383</v>
      </c>
      <c r="B944" s="1" t="s">
        <v>16370</v>
      </c>
      <c r="C944" s="3">
        <f>IF(B944="","",SUMIFS('Factory Costs'!$C:$C,'Factory Costs'!$A:$A,"Blades",'Factory Costs'!$B:$B,B944))</f>
        <v>34</v>
      </c>
    </row>
    <row r="945" spans="1:3" x14ac:dyDescent="0.25">
      <c r="A945" s="1" t="s">
        <v>9386</v>
      </c>
      <c r="B945" s="1" t="s">
        <v>16370</v>
      </c>
      <c r="C945" s="3">
        <f>IF(B945="","",SUMIFS('Factory Costs'!$C:$C,'Factory Costs'!$A:$A,"Blades",'Factory Costs'!$B:$B,B945))</f>
        <v>34</v>
      </c>
    </row>
    <row r="946" spans="1:3" x14ac:dyDescent="0.25">
      <c r="A946" s="1" t="s">
        <v>9389</v>
      </c>
      <c r="B946" s="1" t="s">
        <v>16372</v>
      </c>
      <c r="C946" s="3">
        <f>IF(B946="","",SUMIFS('Factory Costs'!$C:$C,'Factory Costs'!$A:$A,"Blades",'Factory Costs'!$B:$B,B946))</f>
        <v>42</v>
      </c>
    </row>
    <row r="947" spans="1:3" x14ac:dyDescent="0.25">
      <c r="A947" s="1" t="s">
        <v>9392</v>
      </c>
      <c r="B947" s="1" t="s">
        <v>16372</v>
      </c>
      <c r="C947" s="3">
        <f>IF(B947="","",SUMIFS('Factory Costs'!$C:$C,'Factory Costs'!$A:$A,"Blades",'Factory Costs'!$B:$B,B947))</f>
        <v>42</v>
      </c>
    </row>
    <row r="948" spans="1:3" x14ac:dyDescent="0.25">
      <c r="A948" s="1" t="s">
        <v>9395</v>
      </c>
      <c r="B948" s="1" t="s">
        <v>16371</v>
      </c>
      <c r="C948" s="3">
        <f>IF(B948="","",SUMIFS('Factory Costs'!$C:$C,'Factory Costs'!$A:$A,"Blades",'Factory Costs'!$B:$B,B948))</f>
        <v>37</v>
      </c>
    </row>
    <row r="949" spans="1:3" x14ac:dyDescent="0.25">
      <c r="A949" s="1" t="s">
        <v>9398</v>
      </c>
      <c r="B949" s="1" t="s">
        <v>16370</v>
      </c>
      <c r="C949" s="3">
        <f>IF(B949="","",SUMIFS('Factory Costs'!$C:$C,'Factory Costs'!$A:$A,"Blades",'Factory Costs'!$B:$B,B949))</f>
        <v>34</v>
      </c>
    </row>
    <row r="950" spans="1:3" x14ac:dyDescent="0.25">
      <c r="A950" s="1" t="s">
        <v>9401</v>
      </c>
      <c r="B950" s="1" t="s">
        <v>16372</v>
      </c>
      <c r="C950" s="3">
        <f>IF(B950="","",SUMIFS('Factory Costs'!$C:$C,'Factory Costs'!$A:$A,"Blades",'Factory Costs'!$B:$B,B950))</f>
        <v>42</v>
      </c>
    </row>
    <row r="951" spans="1:3" x14ac:dyDescent="0.25">
      <c r="A951" s="1" t="s">
        <v>9404</v>
      </c>
      <c r="B951" s="1" t="s">
        <v>16370</v>
      </c>
      <c r="C951" s="3">
        <f>IF(B951="","",SUMIFS('Factory Costs'!$C:$C,'Factory Costs'!$A:$A,"Blades",'Factory Costs'!$B:$B,B951))</f>
        <v>34</v>
      </c>
    </row>
    <row r="952" spans="1:3" x14ac:dyDescent="0.25">
      <c r="A952" s="1" t="s">
        <v>9407</v>
      </c>
      <c r="B952" s="1" t="s">
        <v>16370</v>
      </c>
      <c r="C952" s="3">
        <f>IF(B952="","",SUMIFS('Factory Costs'!$C:$C,'Factory Costs'!$A:$A,"Blades",'Factory Costs'!$B:$B,B952))</f>
        <v>34</v>
      </c>
    </row>
    <row r="953" spans="1:3" x14ac:dyDescent="0.25">
      <c r="A953" s="1" t="s">
        <v>9410</v>
      </c>
      <c r="B953" s="1" t="s">
        <v>16370</v>
      </c>
      <c r="C953" s="3">
        <f>IF(B953="","",SUMIFS('Factory Costs'!$C:$C,'Factory Costs'!$A:$A,"Blades",'Factory Costs'!$B:$B,B953))</f>
        <v>34</v>
      </c>
    </row>
    <row r="954" spans="1:3" x14ac:dyDescent="0.25">
      <c r="A954" s="1" t="s">
        <v>9413</v>
      </c>
      <c r="B954" s="1" t="s">
        <v>16372</v>
      </c>
      <c r="C954" s="3">
        <f>IF(B954="","",SUMIFS('Factory Costs'!$C:$C,'Factory Costs'!$A:$A,"Blades",'Factory Costs'!$B:$B,B954))</f>
        <v>42</v>
      </c>
    </row>
    <row r="955" spans="1:3" x14ac:dyDescent="0.25">
      <c r="A955" s="1" t="s">
        <v>9416</v>
      </c>
      <c r="B955" s="1" t="s">
        <v>16370</v>
      </c>
      <c r="C955" s="3">
        <f>IF(B955="","",SUMIFS('Factory Costs'!$C:$C,'Factory Costs'!$A:$A,"Blades",'Factory Costs'!$B:$B,B955))</f>
        <v>34</v>
      </c>
    </row>
    <row r="956" spans="1:3" x14ac:dyDescent="0.25">
      <c r="A956" s="1" t="s">
        <v>9419</v>
      </c>
      <c r="B956" s="1" t="s">
        <v>16372</v>
      </c>
      <c r="C956" s="3">
        <f>IF(B956="","",SUMIFS('Factory Costs'!$C:$C,'Factory Costs'!$A:$A,"Blades",'Factory Costs'!$B:$B,B956))</f>
        <v>42</v>
      </c>
    </row>
    <row r="957" spans="1:3" x14ac:dyDescent="0.25">
      <c r="A957" s="1" t="s">
        <v>9422</v>
      </c>
      <c r="B957" s="1" t="s">
        <v>16371</v>
      </c>
      <c r="C957" s="3">
        <f>IF(B957="","",SUMIFS('Factory Costs'!$C:$C,'Factory Costs'!$A:$A,"Blades",'Factory Costs'!$B:$B,B957))</f>
        <v>37</v>
      </c>
    </row>
    <row r="958" spans="1:3" x14ac:dyDescent="0.25">
      <c r="A958" s="1" t="s">
        <v>9425</v>
      </c>
      <c r="B958" s="1" t="s">
        <v>16371</v>
      </c>
      <c r="C958" s="3">
        <f>IF(B958="","",SUMIFS('Factory Costs'!$C:$C,'Factory Costs'!$A:$A,"Blades",'Factory Costs'!$B:$B,B958))</f>
        <v>37</v>
      </c>
    </row>
    <row r="959" spans="1:3" x14ac:dyDescent="0.25">
      <c r="A959" s="1" t="s">
        <v>9428</v>
      </c>
      <c r="B959" s="1" t="s">
        <v>16372</v>
      </c>
      <c r="C959" s="3">
        <f>IF(B959="","",SUMIFS('Factory Costs'!$C:$C,'Factory Costs'!$A:$A,"Blades",'Factory Costs'!$B:$B,B959))</f>
        <v>42</v>
      </c>
    </row>
    <row r="960" spans="1:3" x14ac:dyDescent="0.25">
      <c r="A960" s="1" t="s">
        <v>9431</v>
      </c>
      <c r="B960" s="1" t="s">
        <v>16371</v>
      </c>
      <c r="C960" s="3">
        <f>IF(B960="","",SUMIFS('Factory Costs'!$C:$C,'Factory Costs'!$A:$A,"Blades",'Factory Costs'!$B:$B,B960))</f>
        <v>37</v>
      </c>
    </row>
    <row r="961" spans="1:3" x14ac:dyDescent="0.25">
      <c r="A961" s="1" t="s">
        <v>9434</v>
      </c>
      <c r="B961" s="1" t="s">
        <v>16372</v>
      </c>
      <c r="C961" s="3">
        <f>IF(B961="","",SUMIFS('Factory Costs'!$C:$C,'Factory Costs'!$A:$A,"Blades",'Factory Costs'!$B:$B,B961))</f>
        <v>42</v>
      </c>
    </row>
    <row r="962" spans="1:3" x14ac:dyDescent="0.25">
      <c r="A962" s="1" t="s">
        <v>9437</v>
      </c>
      <c r="B962" s="1" t="s">
        <v>16372</v>
      </c>
      <c r="C962" s="3">
        <f>IF(B962="","",SUMIFS('Factory Costs'!$C:$C,'Factory Costs'!$A:$A,"Blades",'Factory Costs'!$B:$B,B962))</f>
        <v>42</v>
      </c>
    </row>
    <row r="963" spans="1:3" x14ac:dyDescent="0.25">
      <c r="A963" s="1" t="s">
        <v>9440</v>
      </c>
      <c r="B963" s="1" t="s">
        <v>16371</v>
      </c>
      <c r="C963" s="3">
        <f>IF(B963="","",SUMIFS('Factory Costs'!$C:$C,'Factory Costs'!$A:$A,"Blades",'Factory Costs'!$B:$B,B963))</f>
        <v>37</v>
      </c>
    </row>
    <row r="964" spans="1:3" x14ac:dyDescent="0.25">
      <c r="A964" s="1" t="s">
        <v>9443</v>
      </c>
      <c r="B964" s="1" t="s">
        <v>16372</v>
      </c>
      <c r="C964" s="3">
        <f>IF(B964="","",SUMIFS('Factory Costs'!$C:$C,'Factory Costs'!$A:$A,"Blades",'Factory Costs'!$B:$B,B964))</f>
        <v>42</v>
      </c>
    </row>
    <row r="965" spans="1:3" x14ac:dyDescent="0.25">
      <c r="A965" s="1" t="s">
        <v>9446</v>
      </c>
      <c r="B965" s="1" t="s">
        <v>16372</v>
      </c>
      <c r="C965" s="3">
        <f>IF(B965="","",SUMIFS('Factory Costs'!$C:$C,'Factory Costs'!$A:$A,"Blades",'Factory Costs'!$B:$B,B965))</f>
        <v>42</v>
      </c>
    </row>
    <row r="966" spans="1:3" x14ac:dyDescent="0.25">
      <c r="A966" s="1" t="s">
        <v>9449</v>
      </c>
      <c r="B966" s="1" t="s">
        <v>16371</v>
      </c>
      <c r="C966" s="3">
        <f>IF(B966="","",SUMIFS('Factory Costs'!$C:$C,'Factory Costs'!$A:$A,"Blades",'Factory Costs'!$B:$B,B966))</f>
        <v>37</v>
      </c>
    </row>
    <row r="967" spans="1:3" x14ac:dyDescent="0.25">
      <c r="A967" s="1" t="s">
        <v>9452</v>
      </c>
      <c r="B967" s="1" t="s">
        <v>16371</v>
      </c>
      <c r="C967" s="3">
        <f>IF(B967="","",SUMIFS('Factory Costs'!$C:$C,'Factory Costs'!$A:$A,"Blades",'Factory Costs'!$B:$B,B967))</f>
        <v>37</v>
      </c>
    </row>
    <row r="968" spans="1:3" x14ac:dyDescent="0.25">
      <c r="A968" s="1" t="s">
        <v>9455</v>
      </c>
      <c r="B968" s="1" t="s">
        <v>16372</v>
      </c>
      <c r="C968" s="3">
        <f>IF(B968="","",SUMIFS('Factory Costs'!$C:$C,'Factory Costs'!$A:$A,"Blades",'Factory Costs'!$B:$B,B968))</f>
        <v>42</v>
      </c>
    </row>
    <row r="969" spans="1:3" x14ac:dyDescent="0.25">
      <c r="A969" s="1" t="s">
        <v>9458</v>
      </c>
      <c r="B969" s="1" t="s">
        <v>16370</v>
      </c>
      <c r="C969" s="3">
        <f>IF(B969="","",SUMIFS('Factory Costs'!$C:$C,'Factory Costs'!$A:$A,"Blades",'Factory Costs'!$B:$B,B969))</f>
        <v>34</v>
      </c>
    </row>
    <row r="970" spans="1:3" x14ac:dyDescent="0.25">
      <c r="A970" s="1" t="s">
        <v>9461</v>
      </c>
      <c r="B970" s="1" t="s">
        <v>16372</v>
      </c>
      <c r="C970" s="3">
        <f>IF(B970="","",SUMIFS('Factory Costs'!$C:$C,'Factory Costs'!$A:$A,"Blades",'Factory Costs'!$B:$B,B970))</f>
        <v>42</v>
      </c>
    </row>
    <row r="971" spans="1:3" x14ac:dyDescent="0.25">
      <c r="A971" s="1" t="s">
        <v>9464</v>
      </c>
      <c r="B971" s="1" t="s">
        <v>16371</v>
      </c>
      <c r="C971" s="3">
        <f>IF(B971="","",SUMIFS('Factory Costs'!$C:$C,'Factory Costs'!$A:$A,"Blades",'Factory Costs'!$B:$B,B971))</f>
        <v>37</v>
      </c>
    </row>
    <row r="972" spans="1:3" x14ac:dyDescent="0.25">
      <c r="A972" s="1" t="s">
        <v>9467</v>
      </c>
      <c r="B972" s="1" t="s">
        <v>16370</v>
      </c>
      <c r="C972" s="3">
        <f>IF(B972="","",SUMIFS('Factory Costs'!$C:$C,'Factory Costs'!$A:$A,"Blades",'Factory Costs'!$B:$B,B972))</f>
        <v>34</v>
      </c>
    </row>
    <row r="973" spans="1:3" x14ac:dyDescent="0.25">
      <c r="A973" s="1" t="s">
        <v>9470</v>
      </c>
      <c r="B973" s="1" t="s">
        <v>16371</v>
      </c>
      <c r="C973" s="3">
        <f>IF(B973="","",SUMIFS('Factory Costs'!$C:$C,'Factory Costs'!$A:$A,"Blades",'Factory Costs'!$B:$B,B973))</f>
        <v>37</v>
      </c>
    </row>
    <row r="974" spans="1:3" x14ac:dyDescent="0.25">
      <c r="A974" s="1" t="s">
        <v>9473</v>
      </c>
      <c r="B974" s="1" t="s">
        <v>16370</v>
      </c>
      <c r="C974" s="3">
        <f>IF(B974="","",SUMIFS('Factory Costs'!$C:$C,'Factory Costs'!$A:$A,"Blades",'Factory Costs'!$B:$B,B974))</f>
        <v>34</v>
      </c>
    </row>
    <row r="975" spans="1:3" x14ac:dyDescent="0.25">
      <c r="A975" s="1" t="s">
        <v>9476</v>
      </c>
      <c r="B975" s="1" t="s">
        <v>16370</v>
      </c>
      <c r="C975" s="3">
        <f>IF(B975="","",SUMIFS('Factory Costs'!$C:$C,'Factory Costs'!$A:$A,"Blades",'Factory Costs'!$B:$B,B975))</f>
        <v>34</v>
      </c>
    </row>
    <row r="976" spans="1:3" x14ac:dyDescent="0.25">
      <c r="A976" s="1" t="s">
        <v>9479</v>
      </c>
      <c r="B976" s="1" t="s">
        <v>16370</v>
      </c>
      <c r="C976" s="3">
        <f>IF(B976="","",SUMIFS('Factory Costs'!$C:$C,'Factory Costs'!$A:$A,"Blades",'Factory Costs'!$B:$B,B976))</f>
        <v>34</v>
      </c>
    </row>
    <row r="977" spans="1:3" x14ac:dyDescent="0.25">
      <c r="A977" s="1" t="s">
        <v>9482</v>
      </c>
      <c r="B977" s="1" t="s">
        <v>16372</v>
      </c>
      <c r="C977" s="3">
        <f>IF(B977="","",SUMIFS('Factory Costs'!$C:$C,'Factory Costs'!$A:$A,"Blades",'Factory Costs'!$B:$B,B977))</f>
        <v>42</v>
      </c>
    </row>
    <row r="978" spans="1:3" x14ac:dyDescent="0.25">
      <c r="A978" s="1" t="s">
        <v>9485</v>
      </c>
      <c r="B978" s="1" t="s">
        <v>16372</v>
      </c>
      <c r="C978" s="3">
        <f>IF(B978="","",SUMIFS('Factory Costs'!$C:$C,'Factory Costs'!$A:$A,"Blades",'Factory Costs'!$B:$B,B978))</f>
        <v>42</v>
      </c>
    </row>
    <row r="979" spans="1:3" x14ac:dyDescent="0.25">
      <c r="A979" s="1" t="s">
        <v>9488</v>
      </c>
      <c r="B979" s="1" t="s">
        <v>16370</v>
      </c>
      <c r="C979" s="3">
        <f>IF(B979="","",SUMIFS('Factory Costs'!$C:$C,'Factory Costs'!$A:$A,"Blades",'Factory Costs'!$B:$B,B979))</f>
        <v>34</v>
      </c>
    </row>
    <row r="980" spans="1:3" x14ac:dyDescent="0.25">
      <c r="A980" s="1" t="s">
        <v>9491</v>
      </c>
      <c r="B980" s="1" t="s">
        <v>16371</v>
      </c>
      <c r="C980" s="3">
        <f>IF(B980="","",SUMIFS('Factory Costs'!$C:$C,'Factory Costs'!$A:$A,"Blades",'Factory Costs'!$B:$B,B980))</f>
        <v>37</v>
      </c>
    </row>
    <row r="981" spans="1:3" x14ac:dyDescent="0.25">
      <c r="A981" s="1" t="s">
        <v>9494</v>
      </c>
      <c r="B981" s="1" t="s">
        <v>16371</v>
      </c>
      <c r="C981" s="3">
        <f>IF(B981="","",SUMIFS('Factory Costs'!$C:$C,'Factory Costs'!$A:$A,"Blades",'Factory Costs'!$B:$B,B981))</f>
        <v>37</v>
      </c>
    </row>
    <row r="982" spans="1:3" x14ac:dyDescent="0.25">
      <c r="A982" s="1" t="s">
        <v>9497</v>
      </c>
      <c r="B982" s="1" t="s">
        <v>16372</v>
      </c>
      <c r="C982" s="3">
        <f>IF(B982="","",SUMIFS('Factory Costs'!$C:$C,'Factory Costs'!$A:$A,"Blades",'Factory Costs'!$B:$B,B982))</f>
        <v>42</v>
      </c>
    </row>
    <row r="983" spans="1:3" x14ac:dyDescent="0.25">
      <c r="A983" s="1" t="s">
        <v>9500</v>
      </c>
      <c r="B983" s="1" t="s">
        <v>16370</v>
      </c>
      <c r="C983" s="3">
        <f>IF(B983="","",SUMIFS('Factory Costs'!$C:$C,'Factory Costs'!$A:$A,"Blades",'Factory Costs'!$B:$B,B983))</f>
        <v>34</v>
      </c>
    </row>
    <row r="984" spans="1:3" x14ac:dyDescent="0.25">
      <c r="A984" s="1" t="s">
        <v>9503</v>
      </c>
      <c r="B984" s="1" t="s">
        <v>16370</v>
      </c>
      <c r="C984" s="3">
        <f>IF(B984="","",SUMIFS('Factory Costs'!$C:$C,'Factory Costs'!$A:$A,"Blades",'Factory Costs'!$B:$B,B984))</f>
        <v>34</v>
      </c>
    </row>
    <row r="985" spans="1:3" x14ac:dyDescent="0.25">
      <c r="A985" s="1" t="s">
        <v>9506</v>
      </c>
      <c r="B985" s="1" t="s">
        <v>16371</v>
      </c>
      <c r="C985" s="3">
        <f>IF(B985="","",SUMIFS('Factory Costs'!$C:$C,'Factory Costs'!$A:$A,"Blades",'Factory Costs'!$B:$B,B985))</f>
        <v>37</v>
      </c>
    </row>
    <row r="986" spans="1:3" x14ac:dyDescent="0.25">
      <c r="A986" s="1" t="s">
        <v>9509</v>
      </c>
      <c r="B986" s="1" t="s">
        <v>16370</v>
      </c>
      <c r="C986" s="3">
        <f>IF(B986="","",SUMIFS('Factory Costs'!$C:$C,'Factory Costs'!$A:$A,"Blades",'Factory Costs'!$B:$B,B986))</f>
        <v>34</v>
      </c>
    </row>
    <row r="987" spans="1:3" x14ac:dyDescent="0.25">
      <c r="A987" s="1" t="s">
        <v>9512</v>
      </c>
      <c r="B987" s="1" t="s">
        <v>16372</v>
      </c>
      <c r="C987" s="3">
        <f>IF(B987="","",SUMIFS('Factory Costs'!$C:$C,'Factory Costs'!$A:$A,"Blades",'Factory Costs'!$B:$B,B987))</f>
        <v>42</v>
      </c>
    </row>
    <row r="988" spans="1:3" x14ac:dyDescent="0.25">
      <c r="A988" s="1" t="s">
        <v>9515</v>
      </c>
      <c r="B988" s="1" t="s">
        <v>16370</v>
      </c>
      <c r="C988" s="3">
        <f>IF(B988="","",SUMIFS('Factory Costs'!$C:$C,'Factory Costs'!$A:$A,"Blades",'Factory Costs'!$B:$B,B988))</f>
        <v>34</v>
      </c>
    </row>
    <row r="989" spans="1:3" x14ac:dyDescent="0.25">
      <c r="A989" s="1" t="s">
        <v>9518</v>
      </c>
      <c r="B989" s="1" t="s">
        <v>16371</v>
      </c>
      <c r="C989" s="3">
        <f>IF(B989="","",SUMIFS('Factory Costs'!$C:$C,'Factory Costs'!$A:$A,"Blades",'Factory Costs'!$B:$B,B989))</f>
        <v>37</v>
      </c>
    </row>
    <row r="990" spans="1:3" x14ac:dyDescent="0.25">
      <c r="A990" s="1" t="s">
        <v>9521</v>
      </c>
      <c r="B990" s="1" t="s">
        <v>16372</v>
      </c>
      <c r="C990" s="3">
        <f>IF(B990="","",SUMIFS('Factory Costs'!$C:$C,'Factory Costs'!$A:$A,"Blades",'Factory Costs'!$B:$B,B990))</f>
        <v>42</v>
      </c>
    </row>
    <row r="991" spans="1:3" x14ac:dyDescent="0.25">
      <c r="A991" s="1" t="s">
        <v>9524</v>
      </c>
      <c r="B991" s="1" t="s">
        <v>16370</v>
      </c>
      <c r="C991" s="3">
        <f>IF(B991="","",SUMIFS('Factory Costs'!$C:$C,'Factory Costs'!$A:$A,"Blades",'Factory Costs'!$B:$B,B991))</f>
        <v>34</v>
      </c>
    </row>
    <row r="992" spans="1:3" x14ac:dyDescent="0.25">
      <c r="A992" s="1" t="s">
        <v>9527</v>
      </c>
      <c r="B992" s="1" t="s">
        <v>16370</v>
      </c>
      <c r="C992" s="3">
        <f>IF(B992="","",SUMIFS('Factory Costs'!$C:$C,'Factory Costs'!$A:$A,"Blades",'Factory Costs'!$B:$B,B992))</f>
        <v>34</v>
      </c>
    </row>
    <row r="993" spans="1:3" x14ac:dyDescent="0.25">
      <c r="A993" s="1" t="s">
        <v>9530</v>
      </c>
      <c r="B993" s="1" t="s">
        <v>16370</v>
      </c>
      <c r="C993" s="3">
        <f>IF(B993="","",SUMIFS('Factory Costs'!$C:$C,'Factory Costs'!$A:$A,"Blades",'Factory Costs'!$B:$B,B993))</f>
        <v>34</v>
      </c>
    </row>
    <row r="994" spans="1:3" x14ac:dyDescent="0.25">
      <c r="A994" s="1" t="s">
        <v>9533</v>
      </c>
      <c r="B994" s="1" t="s">
        <v>16370</v>
      </c>
      <c r="C994" s="3">
        <f>IF(B994="","",SUMIFS('Factory Costs'!$C:$C,'Factory Costs'!$A:$A,"Blades",'Factory Costs'!$B:$B,B994))</f>
        <v>34</v>
      </c>
    </row>
    <row r="995" spans="1:3" x14ac:dyDescent="0.25">
      <c r="A995" s="1" t="s">
        <v>9536</v>
      </c>
      <c r="B995" s="1" t="s">
        <v>16371</v>
      </c>
      <c r="C995" s="3">
        <f>IF(B995="","",SUMIFS('Factory Costs'!$C:$C,'Factory Costs'!$A:$A,"Blades",'Factory Costs'!$B:$B,B995))</f>
        <v>37</v>
      </c>
    </row>
    <row r="996" spans="1:3" x14ac:dyDescent="0.25">
      <c r="A996" s="1" t="s">
        <v>9539</v>
      </c>
      <c r="B996" s="1" t="s">
        <v>16371</v>
      </c>
      <c r="C996" s="3">
        <f>IF(B996="","",SUMIFS('Factory Costs'!$C:$C,'Factory Costs'!$A:$A,"Blades",'Factory Costs'!$B:$B,B996))</f>
        <v>37</v>
      </c>
    </row>
    <row r="997" spans="1:3" x14ac:dyDescent="0.25">
      <c r="A997" s="1" t="s">
        <v>9542</v>
      </c>
      <c r="B997" s="1" t="s">
        <v>16370</v>
      </c>
      <c r="C997" s="3">
        <f>IF(B997="","",SUMIFS('Factory Costs'!$C:$C,'Factory Costs'!$A:$A,"Blades",'Factory Costs'!$B:$B,B997))</f>
        <v>34</v>
      </c>
    </row>
    <row r="998" spans="1:3" x14ac:dyDescent="0.25">
      <c r="A998" s="1" t="s">
        <v>9545</v>
      </c>
      <c r="B998" s="1" t="s">
        <v>16372</v>
      </c>
      <c r="C998" s="3">
        <f>IF(B998="","",SUMIFS('Factory Costs'!$C:$C,'Factory Costs'!$A:$A,"Blades",'Factory Costs'!$B:$B,B998))</f>
        <v>42</v>
      </c>
    </row>
    <row r="999" spans="1:3" x14ac:dyDescent="0.25">
      <c r="A999" s="1" t="s">
        <v>9548</v>
      </c>
      <c r="B999" s="1" t="s">
        <v>16371</v>
      </c>
      <c r="C999" s="3">
        <f>IF(B999="","",SUMIFS('Factory Costs'!$C:$C,'Factory Costs'!$A:$A,"Blades",'Factory Costs'!$B:$B,B999))</f>
        <v>37</v>
      </c>
    </row>
    <row r="1000" spans="1:3" x14ac:dyDescent="0.25">
      <c r="A1000" s="1" t="s">
        <v>9551</v>
      </c>
      <c r="B1000" s="1" t="s">
        <v>16372</v>
      </c>
      <c r="C1000" s="3">
        <f>IF(B1000="","",SUMIFS('Factory Costs'!$C:$C,'Factory Costs'!$A:$A,"Blades",'Factory Costs'!$B:$B,B1000))</f>
        <v>42</v>
      </c>
    </row>
    <row r="1001" spans="1:3" x14ac:dyDescent="0.25">
      <c r="A1001" s="1" t="s">
        <v>9554</v>
      </c>
      <c r="B1001" s="1" t="s">
        <v>16371</v>
      </c>
      <c r="C1001" s="3">
        <f>IF(B1001="","",SUMIFS('Factory Costs'!$C:$C,'Factory Costs'!$A:$A,"Blades",'Factory Costs'!$B:$B,B1001))</f>
        <v>37</v>
      </c>
    </row>
    <row r="1002" spans="1:3" x14ac:dyDescent="0.25">
      <c r="A1002" s="1" t="s">
        <v>9557</v>
      </c>
      <c r="B1002" s="1" t="s">
        <v>16370</v>
      </c>
      <c r="C1002" s="3">
        <f>IF(B1002="","",SUMIFS('Factory Costs'!$C:$C,'Factory Costs'!$A:$A,"Blades",'Factory Costs'!$B:$B,B1002))</f>
        <v>34</v>
      </c>
    </row>
    <row r="1003" spans="1:3" x14ac:dyDescent="0.25">
      <c r="A1003" s="1" t="s">
        <v>9560</v>
      </c>
      <c r="B1003" s="1" t="s">
        <v>16372</v>
      </c>
      <c r="C1003" s="3">
        <f>IF(B1003="","",SUMIFS('Factory Costs'!$C:$C,'Factory Costs'!$A:$A,"Blades",'Factory Costs'!$B:$B,B1003))</f>
        <v>42</v>
      </c>
    </row>
    <row r="1004" spans="1:3" x14ac:dyDescent="0.25">
      <c r="A1004" s="1" t="s">
        <v>9563</v>
      </c>
      <c r="B1004" s="1" t="s">
        <v>16372</v>
      </c>
      <c r="C1004" s="3">
        <f>IF(B1004="","",SUMIFS('Factory Costs'!$C:$C,'Factory Costs'!$A:$A,"Blades",'Factory Costs'!$B:$B,B1004))</f>
        <v>42</v>
      </c>
    </row>
    <row r="1005" spans="1:3" x14ac:dyDescent="0.25">
      <c r="A1005" s="1" t="s">
        <v>9566</v>
      </c>
      <c r="B1005" s="1" t="s">
        <v>16370</v>
      </c>
      <c r="C1005" s="3">
        <f>IF(B1005="","",SUMIFS('Factory Costs'!$C:$C,'Factory Costs'!$A:$A,"Blades",'Factory Costs'!$B:$B,B1005))</f>
        <v>34</v>
      </c>
    </row>
    <row r="1006" spans="1:3" x14ac:dyDescent="0.25">
      <c r="A1006" s="1" t="s">
        <v>9569</v>
      </c>
      <c r="B1006" s="1" t="s">
        <v>16370</v>
      </c>
      <c r="C1006" s="3">
        <f>IF(B1006="","",SUMIFS('Factory Costs'!$C:$C,'Factory Costs'!$A:$A,"Blades",'Factory Costs'!$B:$B,B1006))</f>
        <v>34</v>
      </c>
    </row>
    <row r="1007" spans="1:3" x14ac:dyDescent="0.25">
      <c r="A1007" s="1" t="s">
        <v>9572</v>
      </c>
      <c r="B1007" s="1" t="s">
        <v>16371</v>
      </c>
      <c r="C1007" s="3">
        <f>IF(B1007="","",SUMIFS('Factory Costs'!$C:$C,'Factory Costs'!$A:$A,"Blades",'Factory Costs'!$B:$B,B1007))</f>
        <v>37</v>
      </c>
    </row>
    <row r="1008" spans="1:3" x14ac:dyDescent="0.25">
      <c r="A1008" s="1" t="s">
        <v>9575</v>
      </c>
      <c r="B1008" s="1" t="s">
        <v>16371</v>
      </c>
      <c r="C1008" s="3">
        <f>IF(B1008="","",SUMIFS('Factory Costs'!$C:$C,'Factory Costs'!$A:$A,"Blades",'Factory Costs'!$B:$B,B1008))</f>
        <v>37</v>
      </c>
    </row>
    <row r="1009" spans="1:3" x14ac:dyDescent="0.25">
      <c r="A1009" s="1" t="s">
        <v>9578</v>
      </c>
      <c r="B1009" s="1" t="s">
        <v>16371</v>
      </c>
      <c r="C1009" s="3">
        <f>IF(B1009="","",SUMIFS('Factory Costs'!$C:$C,'Factory Costs'!$A:$A,"Blades",'Factory Costs'!$B:$B,B1009))</f>
        <v>37</v>
      </c>
    </row>
    <row r="1010" spans="1:3" x14ac:dyDescent="0.25">
      <c r="A1010" s="1" t="s">
        <v>9581</v>
      </c>
      <c r="B1010" s="1" t="s">
        <v>16370</v>
      </c>
      <c r="C1010" s="3">
        <f>IF(B1010="","",SUMIFS('Factory Costs'!$C:$C,'Factory Costs'!$A:$A,"Blades",'Factory Costs'!$B:$B,B1010))</f>
        <v>34</v>
      </c>
    </row>
    <row r="1011" spans="1:3" x14ac:dyDescent="0.25">
      <c r="A1011" s="1" t="s">
        <v>9584</v>
      </c>
      <c r="B1011" s="1" t="s">
        <v>16370</v>
      </c>
      <c r="C1011" s="3">
        <f>IF(B1011="","",SUMIFS('Factory Costs'!$C:$C,'Factory Costs'!$A:$A,"Blades",'Factory Costs'!$B:$B,B1011))</f>
        <v>34</v>
      </c>
    </row>
    <row r="1012" spans="1:3" x14ac:dyDescent="0.25">
      <c r="A1012" s="1" t="s">
        <v>9587</v>
      </c>
      <c r="B1012" s="1" t="s">
        <v>16370</v>
      </c>
      <c r="C1012" s="3">
        <f>IF(B1012="","",SUMIFS('Factory Costs'!$C:$C,'Factory Costs'!$A:$A,"Blades",'Factory Costs'!$B:$B,B1012))</f>
        <v>34</v>
      </c>
    </row>
    <row r="1013" spans="1:3" x14ac:dyDescent="0.25">
      <c r="A1013" s="1" t="s">
        <v>9590</v>
      </c>
      <c r="B1013" s="1" t="s">
        <v>16370</v>
      </c>
      <c r="C1013" s="3">
        <f>IF(B1013="","",SUMIFS('Factory Costs'!$C:$C,'Factory Costs'!$A:$A,"Blades",'Factory Costs'!$B:$B,B1013))</f>
        <v>34</v>
      </c>
    </row>
    <row r="1014" spans="1:3" x14ac:dyDescent="0.25">
      <c r="A1014" s="1" t="s">
        <v>9593</v>
      </c>
      <c r="B1014" s="1" t="s">
        <v>16370</v>
      </c>
      <c r="C1014" s="3">
        <f>IF(B1014="","",SUMIFS('Factory Costs'!$C:$C,'Factory Costs'!$A:$A,"Blades",'Factory Costs'!$B:$B,B1014))</f>
        <v>34</v>
      </c>
    </row>
    <row r="1015" spans="1:3" x14ac:dyDescent="0.25">
      <c r="A1015" s="1" t="s">
        <v>9596</v>
      </c>
      <c r="B1015" s="1" t="s">
        <v>16370</v>
      </c>
      <c r="C1015" s="3">
        <f>IF(B1015="","",SUMIFS('Factory Costs'!$C:$C,'Factory Costs'!$A:$A,"Blades",'Factory Costs'!$B:$B,B1015))</f>
        <v>34</v>
      </c>
    </row>
    <row r="1016" spans="1:3" x14ac:dyDescent="0.25">
      <c r="A1016" s="1" t="s">
        <v>9599</v>
      </c>
      <c r="B1016" s="1" t="s">
        <v>16371</v>
      </c>
      <c r="C1016" s="3">
        <f>IF(B1016="","",SUMIFS('Factory Costs'!$C:$C,'Factory Costs'!$A:$A,"Blades",'Factory Costs'!$B:$B,B1016))</f>
        <v>37</v>
      </c>
    </row>
    <row r="1017" spans="1:3" x14ac:dyDescent="0.25">
      <c r="A1017" s="1" t="s">
        <v>9602</v>
      </c>
      <c r="B1017" s="1" t="s">
        <v>16370</v>
      </c>
      <c r="C1017" s="3">
        <f>IF(B1017="","",SUMIFS('Factory Costs'!$C:$C,'Factory Costs'!$A:$A,"Blades",'Factory Costs'!$B:$B,B1017))</f>
        <v>34</v>
      </c>
    </row>
    <row r="1018" spans="1:3" x14ac:dyDescent="0.25">
      <c r="A1018" s="1" t="s">
        <v>9605</v>
      </c>
      <c r="B1018" s="1" t="s">
        <v>16370</v>
      </c>
      <c r="C1018" s="3">
        <f>IF(B1018="","",SUMIFS('Factory Costs'!$C:$C,'Factory Costs'!$A:$A,"Blades",'Factory Costs'!$B:$B,B1018))</f>
        <v>34</v>
      </c>
    </row>
    <row r="1019" spans="1:3" x14ac:dyDescent="0.25">
      <c r="A1019" s="1" t="s">
        <v>9608</v>
      </c>
      <c r="B1019" s="1" t="s">
        <v>16371</v>
      </c>
      <c r="C1019" s="3">
        <f>IF(B1019="","",SUMIFS('Factory Costs'!$C:$C,'Factory Costs'!$A:$A,"Blades",'Factory Costs'!$B:$B,B1019))</f>
        <v>37</v>
      </c>
    </row>
    <row r="1020" spans="1:3" x14ac:dyDescent="0.25">
      <c r="A1020" s="1" t="s">
        <v>9611</v>
      </c>
      <c r="B1020" s="1" t="s">
        <v>16370</v>
      </c>
      <c r="C1020" s="3">
        <f>IF(B1020="","",SUMIFS('Factory Costs'!$C:$C,'Factory Costs'!$A:$A,"Blades",'Factory Costs'!$B:$B,B1020))</f>
        <v>34</v>
      </c>
    </row>
    <row r="1021" spans="1:3" x14ac:dyDescent="0.25">
      <c r="A1021" s="1" t="s">
        <v>9614</v>
      </c>
      <c r="B1021" s="1" t="s">
        <v>16370</v>
      </c>
      <c r="C1021" s="3">
        <f>IF(B1021="","",SUMIFS('Factory Costs'!$C:$C,'Factory Costs'!$A:$A,"Blades",'Factory Costs'!$B:$B,B1021))</f>
        <v>34</v>
      </c>
    </row>
    <row r="1022" spans="1:3" x14ac:dyDescent="0.25">
      <c r="A1022" s="1" t="s">
        <v>9617</v>
      </c>
      <c r="B1022" s="1" t="s">
        <v>16370</v>
      </c>
      <c r="C1022" s="3">
        <f>IF(B1022="","",SUMIFS('Factory Costs'!$C:$C,'Factory Costs'!$A:$A,"Blades",'Factory Costs'!$B:$B,B1022))</f>
        <v>34</v>
      </c>
    </row>
    <row r="1023" spans="1:3" x14ac:dyDescent="0.25">
      <c r="A1023" s="1" t="s">
        <v>9620</v>
      </c>
      <c r="B1023" s="1" t="s">
        <v>16372</v>
      </c>
      <c r="C1023" s="3">
        <f>IF(B1023="","",SUMIFS('Factory Costs'!$C:$C,'Factory Costs'!$A:$A,"Blades",'Factory Costs'!$B:$B,B1023))</f>
        <v>42</v>
      </c>
    </row>
    <row r="1024" spans="1:3" x14ac:dyDescent="0.25">
      <c r="A1024" s="1" t="s">
        <v>9623</v>
      </c>
      <c r="B1024" s="1" t="s">
        <v>16372</v>
      </c>
      <c r="C1024" s="3">
        <f>IF(B1024="","",SUMIFS('Factory Costs'!$C:$C,'Factory Costs'!$A:$A,"Blades",'Factory Costs'!$B:$B,B1024))</f>
        <v>42</v>
      </c>
    </row>
    <row r="1025" spans="1:3" x14ac:dyDescent="0.25">
      <c r="A1025" s="1" t="s">
        <v>9626</v>
      </c>
      <c r="B1025" s="1" t="s">
        <v>16371</v>
      </c>
      <c r="C1025" s="3">
        <f>IF(B1025="","",SUMIFS('Factory Costs'!$C:$C,'Factory Costs'!$A:$A,"Blades",'Factory Costs'!$B:$B,B1025))</f>
        <v>37</v>
      </c>
    </row>
    <row r="1026" spans="1:3" x14ac:dyDescent="0.25">
      <c r="A1026" s="1" t="s">
        <v>9629</v>
      </c>
      <c r="B1026" s="1" t="s">
        <v>16370</v>
      </c>
      <c r="C1026" s="3">
        <f>IF(B1026="","",SUMIFS('Factory Costs'!$C:$C,'Factory Costs'!$A:$A,"Blades",'Factory Costs'!$B:$B,B1026))</f>
        <v>34</v>
      </c>
    </row>
    <row r="1027" spans="1:3" x14ac:dyDescent="0.25">
      <c r="A1027" s="1" t="s">
        <v>9632</v>
      </c>
      <c r="B1027" s="1" t="s">
        <v>16370</v>
      </c>
      <c r="C1027" s="3">
        <f>IF(B1027="","",SUMIFS('Factory Costs'!$C:$C,'Factory Costs'!$A:$A,"Blades",'Factory Costs'!$B:$B,B1027))</f>
        <v>34</v>
      </c>
    </row>
    <row r="1028" spans="1:3" x14ac:dyDescent="0.25">
      <c r="A1028" s="1" t="s">
        <v>9635</v>
      </c>
      <c r="B1028" s="1" t="s">
        <v>16372</v>
      </c>
      <c r="C1028" s="3">
        <f>IF(B1028="","",SUMIFS('Factory Costs'!$C:$C,'Factory Costs'!$A:$A,"Blades",'Factory Costs'!$B:$B,B1028))</f>
        <v>42</v>
      </c>
    </row>
    <row r="1029" spans="1:3" x14ac:dyDescent="0.25">
      <c r="A1029" s="1" t="s">
        <v>9638</v>
      </c>
      <c r="B1029" s="1" t="s">
        <v>16371</v>
      </c>
      <c r="C1029" s="3">
        <f>IF(B1029="","",SUMIFS('Factory Costs'!$C:$C,'Factory Costs'!$A:$A,"Blades",'Factory Costs'!$B:$B,B1029))</f>
        <v>37</v>
      </c>
    </row>
    <row r="1030" spans="1:3" x14ac:dyDescent="0.25">
      <c r="A1030" s="1" t="s">
        <v>9641</v>
      </c>
      <c r="B1030" s="1" t="s">
        <v>16371</v>
      </c>
      <c r="C1030" s="3">
        <f>IF(B1030="","",SUMIFS('Factory Costs'!$C:$C,'Factory Costs'!$A:$A,"Blades",'Factory Costs'!$B:$B,B1030))</f>
        <v>37</v>
      </c>
    </row>
    <row r="1031" spans="1:3" x14ac:dyDescent="0.25">
      <c r="A1031" s="1" t="s">
        <v>9644</v>
      </c>
      <c r="B1031" s="1" t="s">
        <v>16370</v>
      </c>
      <c r="C1031" s="3">
        <f>IF(B1031="","",SUMIFS('Factory Costs'!$C:$C,'Factory Costs'!$A:$A,"Blades",'Factory Costs'!$B:$B,B1031))</f>
        <v>34</v>
      </c>
    </row>
    <row r="1032" spans="1:3" x14ac:dyDescent="0.25">
      <c r="A1032" s="1" t="s">
        <v>9647</v>
      </c>
      <c r="B1032" s="1" t="s">
        <v>16370</v>
      </c>
      <c r="C1032" s="3">
        <f>IF(B1032="","",SUMIFS('Factory Costs'!$C:$C,'Factory Costs'!$A:$A,"Blades",'Factory Costs'!$B:$B,B1032))</f>
        <v>34</v>
      </c>
    </row>
    <row r="1033" spans="1:3" x14ac:dyDescent="0.25">
      <c r="A1033" s="1" t="s">
        <v>9650</v>
      </c>
      <c r="B1033" s="1" t="s">
        <v>16370</v>
      </c>
      <c r="C1033" s="3">
        <f>IF(B1033="","",SUMIFS('Factory Costs'!$C:$C,'Factory Costs'!$A:$A,"Blades",'Factory Costs'!$B:$B,B1033))</f>
        <v>34</v>
      </c>
    </row>
    <row r="1034" spans="1:3" x14ac:dyDescent="0.25">
      <c r="A1034" s="1" t="s">
        <v>9653</v>
      </c>
      <c r="B1034" s="1" t="s">
        <v>16371</v>
      </c>
      <c r="C1034" s="3">
        <f>IF(B1034="","",SUMIFS('Factory Costs'!$C:$C,'Factory Costs'!$A:$A,"Blades",'Factory Costs'!$B:$B,B1034))</f>
        <v>37</v>
      </c>
    </row>
    <row r="1035" spans="1:3" x14ac:dyDescent="0.25">
      <c r="A1035" s="1" t="s">
        <v>9656</v>
      </c>
      <c r="B1035" s="1" t="s">
        <v>16370</v>
      </c>
      <c r="C1035" s="3">
        <f>IF(B1035="","",SUMIFS('Factory Costs'!$C:$C,'Factory Costs'!$A:$A,"Blades",'Factory Costs'!$B:$B,B1035))</f>
        <v>34</v>
      </c>
    </row>
    <row r="1036" spans="1:3" x14ac:dyDescent="0.25">
      <c r="A1036" s="1" t="s">
        <v>9659</v>
      </c>
      <c r="B1036" s="1" t="s">
        <v>16370</v>
      </c>
      <c r="C1036" s="3">
        <f>IF(B1036="","",SUMIFS('Factory Costs'!$C:$C,'Factory Costs'!$A:$A,"Blades",'Factory Costs'!$B:$B,B1036))</f>
        <v>34</v>
      </c>
    </row>
    <row r="1037" spans="1:3" x14ac:dyDescent="0.25">
      <c r="A1037" s="1" t="s">
        <v>9662</v>
      </c>
      <c r="B1037" s="1" t="s">
        <v>16371</v>
      </c>
      <c r="C1037" s="3">
        <f>IF(B1037="","",SUMIFS('Factory Costs'!$C:$C,'Factory Costs'!$A:$A,"Blades",'Factory Costs'!$B:$B,B1037))</f>
        <v>37</v>
      </c>
    </row>
    <row r="1038" spans="1:3" x14ac:dyDescent="0.25">
      <c r="A1038" s="1" t="s">
        <v>9665</v>
      </c>
      <c r="B1038" s="1" t="s">
        <v>16370</v>
      </c>
      <c r="C1038" s="3">
        <f>IF(B1038="","",SUMIFS('Factory Costs'!$C:$C,'Factory Costs'!$A:$A,"Blades",'Factory Costs'!$B:$B,B1038))</f>
        <v>34</v>
      </c>
    </row>
    <row r="1039" spans="1:3" x14ac:dyDescent="0.25">
      <c r="A1039" s="1" t="s">
        <v>9668</v>
      </c>
      <c r="B1039" s="1" t="s">
        <v>16370</v>
      </c>
      <c r="C1039" s="3">
        <f>IF(B1039="","",SUMIFS('Factory Costs'!$C:$C,'Factory Costs'!$A:$A,"Blades",'Factory Costs'!$B:$B,B1039))</f>
        <v>34</v>
      </c>
    </row>
    <row r="1040" spans="1:3" x14ac:dyDescent="0.25">
      <c r="A1040" s="1" t="s">
        <v>9671</v>
      </c>
      <c r="B1040" s="1" t="s">
        <v>16371</v>
      </c>
      <c r="C1040" s="3">
        <f>IF(B1040="","",SUMIFS('Factory Costs'!$C:$C,'Factory Costs'!$A:$A,"Blades",'Factory Costs'!$B:$B,B1040))</f>
        <v>37</v>
      </c>
    </row>
    <row r="1041" spans="1:3" x14ac:dyDescent="0.25">
      <c r="A1041" s="1" t="s">
        <v>9674</v>
      </c>
      <c r="B1041" s="1" t="s">
        <v>16372</v>
      </c>
      <c r="C1041" s="3">
        <f>IF(B1041="","",SUMIFS('Factory Costs'!$C:$C,'Factory Costs'!$A:$A,"Blades",'Factory Costs'!$B:$B,B1041))</f>
        <v>42</v>
      </c>
    </row>
    <row r="1042" spans="1:3" x14ac:dyDescent="0.25">
      <c r="A1042" s="1" t="s">
        <v>9677</v>
      </c>
      <c r="B1042" s="1" t="s">
        <v>16370</v>
      </c>
      <c r="C1042" s="3">
        <f>IF(B1042="","",SUMIFS('Factory Costs'!$C:$C,'Factory Costs'!$A:$A,"Blades",'Factory Costs'!$B:$B,B1042))</f>
        <v>34</v>
      </c>
    </row>
    <row r="1043" spans="1:3" x14ac:dyDescent="0.25">
      <c r="A1043" s="1" t="s">
        <v>9680</v>
      </c>
      <c r="B1043" s="1" t="s">
        <v>16371</v>
      </c>
      <c r="C1043" s="3">
        <f>IF(B1043="","",SUMIFS('Factory Costs'!$C:$C,'Factory Costs'!$A:$A,"Blades",'Factory Costs'!$B:$B,B1043))</f>
        <v>37</v>
      </c>
    </row>
    <row r="1044" spans="1:3" x14ac:dyDescent="0.25">
      <c r="A1044" s="1" t="s">
        <v>9683</v>
      </c>
      <c r="B1044" s="1" t="s">
        <v>16371</v>
      </c>
      <c r="C1044" s="3">
        <f>IF(B1044="","",SUMIFS('Factory Costs'!$C:$C,'Factory Costs'!$A:$A,"Blades",'Factory Costs'!$B:$B,B1044))</f>
        <v>37</v>
      </c>
    </row>
    <row r="1045" spans="1:3" x14ac:dyDescent="0.25">
      <c r="A1045" s="1" t="s">
        <v>9686</v>
      </c>
      <c r="B1045" s="1" t="s">
        <v>16370</v>
      </c>
      <c r="C1045" s="3">
        <f>IF(B1045="","",SUMIFS('Factory Costs'!$C:$C,'Factory Costs'!$A:$A,"Blades",'Factory Costs'!$B:$B,B1045))</f>
        <v>34</v>
      </c>
    </row>
    <row r="1046" spans="1:3" x14ac:dyDescent="0.25">
      <c r="A1046" s="1" t="s">
        <v>9689</v>
      </c>
      <c r="B1046" s="1" t="s">
        <v>16370</v>
      </c>
      <c r="C1046" s="3">
        <f>IF(B1046="","",SUMIFS('Factory Costs'!$C:$C,'Factory Costs'!$A:$A,"Blades",'Factory Costs'!$B:$B,B1046))</f>
        <v>34</v>
      </c>
    </row>
    <row r="1047" spans="1:3" x14ac:dyDescent="0.25">
      <c r="A1047" s="1" t="s">
        <v>9692</v>
      </c>
      <c r="B1047" s="1" t="s">
        <v>16372</v>
      </c>
      <c r="C1047" s="3">
        <f>IF(B1047="","",SUMIFS('Factory Costs'!$C:$C,'Factory Costs'!$A:$A,"Blades",'Factory Costs'!$B:$B,B1047))</f>
        <v>42</v>
      </c>
    </row>
    <row r="1048" spans="1:3" x14ac:dyDescent="0.25">
      <c r="A1048" s="1" t="s">
        <v>9695</v>
      </c>
      <c r="B1048" s="1" t="s">
        <v>16372</v>
      </c>
      <c r="C1048" s="3">
        <f>IF(B1048="","",SUMIFS('Factory Costs'!$C:$C,'Factory Costs'!$A:$A,"Blades",'Factory Costs'!$B:$B,B1048))</f>
        <v>42</v>
      </c>
    </row>
    <row r="1049" spans="1:3" x14ac:dyDescent="0.25">
      <c r="A1049" s="1" t="s">
        <v>9698</v>
      </c>
      <c r="B1049" s="1" t="s">
        <v>16370</v>
      </c>
      <c r="C1049" s="3">
        <f>IF(B1049="","",SUMIFS('Factory Costs'!$C:$C,'Factory Costs'!$A:$A,"Blades",'Factory Costs'!$B:$B,B1049))</f>
        <v>34</v>
      </c>
    </row>
    <row r="1050" spans="1:3" x14ac:dyDescent="0.25">
      <c r="A1050" s="1" t="s">
        <v>9701</v>
      </c>
      <c r="B1050" s="1" t="s">
        <v>16372</v>
      </c>
      <c r="C1050" s="3">
        <f>IF(B1050="","",SUMIFS('Factory Costs'!$C:$C,'Factory Costs'!$A:$A,"Blades",'Factory Costs'!$B:$B,B1050))</f>
        <v>42</v>
      </c>
    </row>
    <row r="1051" spans="1:3" x14ac:dyDescent="0.25">
      <c r="A1051" s="1" t="s">
        <v>9704</v>
      </c>
      <c r="B1051" s="1" t="s">
        <v>16371</v>
      </c>
      <c r="C1051" s="3">
        <f>IF(B1051="","",SUMIFS('Factory Costs'!$C:$C,'Factory Costs'!$A:$A,"Blades",'Factory Costs'!$B:$B,B1051))</f>
        <v>37</v>
      </c>
    </row>
    <row r="1052" spans="1:3" x14ac:dyDescent="0.25">
      <c r="A1052" s="1" t="s">
        <v>9707</v>
      </c>
      <c r="B1052" s="1" t="s">
        <v>16372</v>
      </c>
      <c r="C1052" s="3">
        <f>IF(B1052="","",SUMIFS('Factory Costs'!$C:$C,'Factory Costs'!$A:$A,"Blades",'Factory Costs'!$B:$B,B1052))</f>
        <v>42</v>
      </c>
    </row>
    <row r="1053" spans="1:3" x14ac:dyDescent="0.25">
      <c r="A1053" s="1" t="s">
        <v>9710</v>
      </c>
      <c r="B1053" s="1" t="s">
        <v>16372</v>
      </c>
      <c r="C1053" s="3">
        <f>IF(B1053="","",SUMIFS('Factory Costs'!$C:$C,'Factory Costs'!$A:$A,"Blades",'Factory Costs'!$B:$B,B1053))</f>
        <v>42</v>
      </c>
    </row>
    <row r="1054" spans="1:3" x14ac:dyDescent="0.25">
      <c r="A1054" s="1" t="s">
        <v>9713</v>
      </c>
      <c r="B1054" s="1" t="s">
        <v>16372</v>
      </c>
      <c r="C1054" s="3">
        <f>IF(B1054="","",SUMIFS('Factory Costs'!$C:$C,'Factory Costs'!$A:$A,"Blades",'Factory Costs'!$B:$B,B1054))</f>
        <v>42</v>
      </c>
    </row>
    <row r="1055" spans="1:3" x14ac:dyDescent="0.25">
      <c r="A1055" s="1" t="s">
        <v>9716</v>
      </c>
      <c r="B1055" s="1" t="s">
        <v>16370</v>
      </c>
      <c r="C1055" s="3">
        <f>IF(B1055="","",SUMIFS('Factory Costs'!$C:$C,'Factory Costs'!$A:$A,"Blades",'Factory Costs'!$B:$B,B1055))</f>
        <v>34</v>
      </c>
    </row>
    <row r="1056" spans="1:3" x14ac:dyDescent="0.25">
      <c r="A1056" s="1" t="s">
        <v>9719</v>
      </c>
      <c r="B1056" s="1" t="s">
        <v>16370</v>
      </c>
      <c r="C1056" s="3">
        <f>IF(B1056="","",SUMIFS('Factory Costs'!$C:$C,'Factory Costs'!$A:$A,"Blades",'Factory Costs'!$B:$B,B1056))</f>
        <v>34</v>
      </c>
    </row>
    <row r="1057" spans="1:3" x14ac:dyDescent="0.25">
      <c r="A1057" s="1" t="s">
        <v>9722</v>
      </c>
      <c r="B1057" s="1" t="s">
        <v>16372</v>
      </c>
      <c r="C1057" s="3">
        <f>IF(B1057="","",SUMIFS('Factory Costs'!$C:$C,'Factory Costs'!$A:$A,"Blades",'Factory Costs'!$B:$B,B1057))</f>
        <v>42</v>
      </c>
    </row>
    <row r="1058" spans="1:3" x14ac:dyDescent="0.25">
      <c r="A1058" s="1" t="s">
        <v>9725</v>
      </c>
      <c r="B1058" s="1" t="s">
        <v>16372</v>
      </c>
      <c r="C1058" s="3">
        <f>IF(B1058="","",SUMIFS('Factory Costs'!$C:$C,'Factory Costs'!$A:$A,"Blades",'Factory Costs'!$B:$B,B1058))</f>
        <v>42</v>
      </c>
    </row>
    <row r="1059" spans="1:3" x14ac:dyDescent="0.25">
      <c r="A1059" s="1" t="s">
        <v>9728</v>
      </c>
      <c r="B1059" s="1" t="s">
        <v>16372</v>
      </c>
      <c r="C1059" s="3">
        <f>IF(B1059="","",SUMIFS('Factory Costs'!$C:$C,'Factory Costs'!$A:$A,"Blades",'Factory Costs'!$B:$B,B1059))</f>
        <v>42</v>
      </c>
    </row>
    <row r="1060" spans="1:3" x14ac:dyDescent="0.25">
      <c r="A1060" s="1" t="s">
        <v>9731</v>
      </c>
      <c r="B1060" s="1" t="s">
        <v>16370</v>
      </c>
      <c r="C1060" s="3">
        <f>IF(B1060="","",SUMIFS('Factory Costs'!$C:$C,'Factory Costs'!$A:$A,"Blades",'Factory Costs'!$B:$B,B1060))</f>
        <v>34</v>
      </c>
    </row>
    <row r="1061" spans="1:3" x14ac:dyDescent="0.25">
      <c r="A1061" s="1" t="s">
        <v>9734</v>
      </c>
      <c r="B1061" s="1" t="s">
        <v>16372</v>
      </c>
      <c r="C1061" s="3">
        <f>IF(B1061="","",SUMIFS('Factory Costs'!$C:$C,'Factory Costs'!$A:$A,"Blades",'Factory Costs'!$B:$B,B1061))</f>
        <v>42</v>
      </c>
    </row>
    <row r="1062" spans="1:3" x14ac:dyDescent="0.25">
      <c r="A1062" s="1" t="s">
        <v>9737</v>
      </c>
      <c r="B1062" s="1" t="s">
        <v>16370</v>
      </c>
      <c r="C1062" s="3">
        <f>IF(B1062="","",SUMIFS('Factory Costs'!$C:$C,'Factory Costs'!$A:$A,"Blades",'Factory Costs'!$B:$B,B1062))</f>
        <v>34</v>
      </c>
    </row>
    <row r="1063" spans="1:3" x14ac:dyDescent="0.25">
      <c r="A1063" s="1" t="s">
        <v>9740</v>
      </c>
      <c r="B1063" s="1" t="s">
        <v>16372</v>
      </c>
      <c r="C1063" s="3">
        <f>IF(B1063="","",SUMIFS('Factory Costs'!$C:$C,'Factory Costs'!$A:$A,"Blades",'Factory Costs'!$B:$B,B1063))</f>
        <v>42</v>
      </c>
    </row>
    <row r="1064" spans="1:3" x14ac:dyDescent="0.25">
      <c r="A1064" s="1" t="s">
        <v>9743</v>
      </c>
      <c r="B1064" s="1" t="s">
        <v>16371</v>
      </c>
      <c r="C1064" s="3">
        <f>IF(B1064="","",SUMIFS('Factory Costs'!$C:$C,'Factory Costs'!$A:$A,"Blades",'Factory Costs'!$B:$B,B1064))</f>
        <v>37</v>
      </c>
    </row>
    <row r="1065" spans="1:3" x14ac:dyDescent="0.25">
      <c r="A1065" s="1" t="s">
        <v>9746</v>
      </c>
      <c r="B1065" s="1" t="s">
        <v>16372</v>
      </c>
      <c r="C1065" s="3">
        <f>IF(B1065="","",SUMIFS('Factory Costs'!$C:$C,'Factory Costs'!$A:$A,"Blades",'Factory Costs'!$B:$B,B1065))</f>
        <v>42</v>
      </c>
    </row>
    <row r="1066" spans="1:3" x14ac:dyDescent="0.25">
      <c r="A1066" s="1" t="s">
        <v>9749</v>
      </c>
      <c r="B1066" s="1" t="s">
        <v>16370</v>
      </c>
      <c r="C1066" s="3">
        <f>IF(B1066="","",SUMIFS('Factory Costs'!$C:$C,'Factory Costs'!$A:$A,"Blades",'Factory Costs'!$B:$B,B1066))</f>
        <v>34</v>
      </c>
    </row>
    <row r="1067" spans="1:3" x14ac:dyDescent="0.25">
      <c r="A1067" s="1" t="s">
        <v>9752</v>
      </c>
      <c r="B1067" s="1" t="s">
        <v>16372</v>
      </c>
      <c r="C1067" s="3">
        <f>IF(B1067="","",SUMIFS('Factory Costs'!$C:$C,'Factory Costs'!$A:$A,"Blades",'Factory Costs'!$B:$B,B1067))</f>
        <v>42</v>
      </c>
    </row>
    <row r="1068" spans="1:3" x14ac:dyDescent="0.25">
      <c r="A1068" s="1" t="s">
        <v>9755</v>
      </c>
      <c r="B1068" s="1" t="s">
        <v>16371</v>
      </c>
      <c r="C1068" s="3">
        <f>IF(B1068="","",SUMIFS('Factory Costs'!$C:$C,'Factory Costs'!$A:$A,"Blades",'Factory Costs'!$B:$B,B1068))</f>
        <v>37</v>
      </c>
    </row>
    <row r="1069" spans="1:3" x14ac:dyDescent="0.25">
      <c r="A1069" s="1" t="s">
        <v>9758</v>
      </c>
      <c r="B1069" s="1" t="s">
        <v>16372</v>
      </c>
      <c r="C1069" s="3">
        <f>IF(B1069="","",SUMIFS('Factory Costs'!$C:$C,'Factory Costs'!$A:$A,"Blades",'Factory Costs'!$B:$B,B1069))</f>
        <v>42</v>
      </c>
    </row>
    <row r="1070" spans="1:3" x14ac:dyDescent="0.25">
      <c r="A1070" s="1" t="s">
        <v>9761</v>
      </c>
      <c r="B1070" s="1" t="s">
        <v>16370</v>
      </c>
      <c r="C1070" s="3">
        <f>IF(B1070="","",SUMIFS('Factory Costs'!$C:$C,'Factory Costs'!$A:$A,"Blades",'Factory Costs'!$B:$B,B1070))</f>
        <v>34</v>
      </c>
    </row>
    <row r="1071" spans="1:3" x14ac:dyDescent="0.25">
      <c r="A1071" s="1" t="s">
        <v>9764</v>
      </c>
      <c r="B1071" s="1" t="s">
        <v>16370</v>
      </c>
      <c r="C1071" s="3">
        <f>IF(B1071="","",SUMIFS('Factory Costs'!$C:$C,'Factory Costs'!$A:$A,"Blades",'Factory Costs'!$B:$B,B1071))</f>
        <v>34</v>
      </c>
    </row>
    <row r="1072" spans="1:3" x14ac:dyDescent="0.25">
      <c r="A1072" s="1" t="s">
        <v>9767</v>
      </c>
      <c r="B1072" s="1" t="s">
        <v>16370</v>
      </c>
      <c r="C1072" s="3">
        <f>IF(B1072="","",SUMIFS('Factory Costs'!$C:$C,'Factory Costs'!$A:$A,"Blades",'Factory Costs'!$B:$B,B1072))</f>
        <v>34</v>
      </c>
    </row>
    <row r="1073" spans="1:3" x14ac:dyDescent="0.25">
      <c r="A1073" s="1" t="s">
        <v>9770</v>
      </c>
      <c r="B1073" s="1" t="s">
        <v>16372</v>
      </c>
      <c r="C1073" s="3">
        <f>IF(B1073="","",SUMIFS('Factory Costs'!$C:$C,'Factory Costs'!$A:$A,"Blades",'Factory Costs'!$B:$B,B1073))</f>
        <v>42</v>
      </c>
    </row>
    <row r="1074" spans="1:3" x14ac:dyDescent="0.25">
      <c r="A1074" s="1" t="s">
        <v>9773</v>
      </c>
      <c r="B1074" s="1" t="s">
        <v>16370</v>
      </c>
      <c r="C1074" s="3">
        <f>IF(B1074="","",SUMIFS('Factory Costs'!$C:$C,'Factory Costs'!$A:$A,"Blades",'Factory Costs'!$B:$B,B1074))</f>
        <v>34</v>
      </c>
    </row>
    <row r="1075" spans="1:3" x14ac:dyDescent="0.25">
      <c r="A1075" s="1" t="s">
        <v>9776</v>
      </c>
      <c r="B1075" s="1" t="s">
        <v>16370</v>
      </c>
      <c r="C1075" s="3">
        <f>IF(B1075="","",SUMIFS('Factory Costs'!$C:$C,'Factory Costs'!$A:$A,"Blades",'Factory Costs'!$B:$B,B1075))</f>
        <v>34</v>
      </c>
    </row>
    <row r="1076" spans="1:3" x14ac:dyDescent="0.25">
      <c r="A1076" s="1" t="s">
        <v>9779</v>
      </c>
      <c r="B1076" s="1" t="s">
        <v>16370</v>
      </c>
      <c r="C1076" s="3">
        <f>IF(B1076="","",SUMIFS('Factory Costs'!$C:$C,'Factory Costs'!$A:$A,"Blades",'Factory Costs'!$B:$B,B1076))</f>
        <v>34</v>
      </c>
    </row>
    <row r="1077" spans="1:3" x14ac:dyDescent="0.25">
      <c r="A1077" s="1" t="s">
        <v>9782</v>
      </c>
      <c r="B1077" s="1" t="s">
        <v>16372</v>
      </c>
      <c r="C1077" s="3">
        <f>IF(B1077="","",SUMIFS('Factory Costs'!$C:$C,'Factory Costs'!$A:$A,"Blades",'Factory Costs'!$B:$B,B1077))</f>
        <v>42</v>
      </c>
    </row>
    <row r="1078" spans="1:3" x14ac:dyDescent="0.25">
      <c r="A1078" s="1" t="s">
        <v>9785</v>
      </c>
      <c r="B1078" s="1" t="s">
        <v>16372</v>
      </c>
      <c r="C1078" s="3">
        <f>IF(B1078="","",SUMIFS('Factory Costs'!$C:$C,'Factory Costs'!$A:$A,"Blades",'Factory Costs'!$B:$B,B1078))</f>
        <v>42</v>
      </c>
    </row>
    <row r="1079" spans="1:3" x14ac:dyDescent="0.25">
      <c r="A1079" s="1" t="s">
        <v>9788</v>
      </c>
      <c r="B1079" s="1" t="s">
        <v>16371</v>
      </c>
      <c r="C1079" s="3">
        <f>IF(B1079="","",SUMIFS('Factory Costs'!$C:$C,'Factory Costs'!$A:$A,"Blades",'Factory Costs'!$B:$B,B1079))</f>
        <v>37</v>
      </c>
    </row>
    <row r="1080" spans="1:3" x14ac:dyDescent="0.25">
      <c r="A1080" s="1" t="s">
        <v>9791</v>
      </c>
      <c r="B1080" s="1" t="s">
        <v>16371</v>
      </c>
      <c r="C1080" s="3">
        <f>IF(B1080="","",SUMIFS('Factory Costs'!$C:$C,'Factory Costs'!$A:$A,"Blades",'Factory Costs'!$B:$B,B1080))</f>
        <v>37</v>
      </c>
    </row>
    <row r="1081" spans="1:3" x14ac:dyDescent="0.25">
      <c r="A1081" s="1" t="s">
        <v>9794</v>
      </c>
      <c r="B1081" s="1" t="s">
        <v>16370</v>
      </c>
      <c r="C1081" s="3">
        <f>IF(B1081="","",SUMIFS('Factory Costs'!$C:$C,'Factory Costs'!$A:$A,"Blades",'Factory Costs'!$B:$B,B1081))</f>
        <v>34</v>
      </c>
    </row>
    <row r="1082" spans="1:3" x14ac:dyDescent="0.25">
      <c r="A1082" s="1" t="s">
        <v>9797</v>
      </c>
      <c r="B1082" s="1" t="s">
        <v>16372</v>
      </c>
      <c r="C1082" s="3">
        <f>IF(B1082="","",SUMIFS('Factory Costs'!$C:$C,'Factory Costs'!$A:$A,"Blades",'Factory Costs'!$B:$B,B1082))</f>
        <v>42</v>
      </c>
    </row>
    <row r="1083" spans="1:3" x14ac:dyDescent="0.25">
      <c r="A1083" s="1" t="s">
        <v>9800</v>
      </c>
      <c r="B1083" s="1" t="s">
        <v>16371</v>
      </c>
      <c r="C1083" s="3">
        <f>IF(B1083="","",SUMIFS('Factory Costs'!$C:$C,'Factory Costs'!$A:$A,"Blades",'Factory Costs'!$B:$B,B1083))</f>
        <v>37</v>
      </c>
    </row>
    <row r="1084" spans="1:3" x14ac:dyDescent="0.25">
      <c r="A1084" s="1" t="s">
        <v>9803</v>
      </c>
      <c r="B1084" s="1" t="s">
        <v>16372</v>
      </c>
      <c r="C1084" s="3">
        <f>IF(B1084="","",SUMIFS('Factory Costs'!$C:$C,'Factory Costs'!$A:$A,"Blades",'Factory Costs'!$B:$B,B1084))</f>
        <v>42</v>
      </c>
    </row>
    <row r="1085" spans="1:3" x14ac:dyDescent="0.25">
      <c r="A1085" s="1" t="s">
        <v>9806</v>
      </c>
      <c r="B1085" s="1" t="s">
        <v>16370</v>
      </c>
      <c r="C1085" s="3">
        <f>IF(B1085="","",SUMIFS('Factory Costs'!$C:$C,'Factory Costs'!$A:$A,"Blades",'Factory Costs'!$B:$B,B1085))</f>
        <v>34</v>
      </c>
    </row>
    <row r="1086" spans="1:3" x14ac:dyDescent="0.25">
      <c r="A1086" s="1" t="s">
        <v>9809</v>
      </c>
      <c r="B1086" s="1" t="s">
        <v>16372</v>
      </c>
      <c r="C1086" s="3">
        <f>IF(B1086="","",SUMIFS('Factory Costs'!$C:$C,'Factory Costs'!$A:$A,"Blades",'Factory Costs'!$B:$B,B1086))</f>
        <v>42</v>
      </c>
    </row>
    <row r="1087" spans="1:3" x14ac:dyDescent="0.25">
      <c r="A1087" s="1" t="s">
        <v>9812</v>
      </c>
      <c r="B1087" s="1" t="s">
        <v>16370</v>
      </c>
      <c r="C1087" s="3">
        <f>IF(B1087="","",SUMIFS('Factory Costs'!$C:$C,'Factory Costs'!$A:$A,"Blades",'Factory Costs'!$B:$B,B1087))</f>
        <v>34</v>
      </c>
    </row>
    <row r="1088" spans="1:3" x14ac:dyDescent="0.25">
      <c r="A1088" s="1" t="s">
        <v>9815</v>
      </c>
      <c r="B1088" s="1" t="s">
        <v>16370</v>
      </c>
      <c r="C1088" s="3">
        <f>IF(B1088="","",SUMIFS('Factory Costs'!$C:$C,'Factory Costs'!$A:$A,"Blades",'Factory Costs'!$B:$B,B1088))</f>
        <v>34</v>
      </c>
    </row>
    <row r="1089" spans="1:3" x14ac:dyDescent="0.25">
      <c r="A1089" s="1" t="s">
        <v>9818</v>
      </c>
      <c r="B1089" s="1" t="s">
        <v>16372</v>
      </c>
      <c r="C1089" s="3">
        <f>IF(B1089="","",SUMIFS('Factory Costs'!$C:$C,'Factory Costs'!$A:$A,"Blades",'Factory Costs'!$B:$B,B1089))</f>
        <v>42</v>
      </c>
    </row>
    <row r="1090" spans="1:3" x14ac:dyDescent="0.25">
      <c r="A1090" s="1" t="s">
        <v>9821</v>
      </c>
      <c r="B1090" s="1" t="s">
        <v>16370</v>
      </c>
      <c r="C1090" s="3">
        <f>IF(B1090="","",SUMIFS('Factory Costs'!$C:$C,'Factory Costs'!$A:$A,"Blades",'Factory Costs'!$B:$B,B1090))</f>
        <v>34</v>
      </c>
    </row>
    <row r="1091" spans="1:3" x14ac:dyDescent="0.25">
      <c r="A1091" s="1" t="s">
        <v>9824</v>
      </c>
      <c r="B1091" s="1" t="s">
        <v>16372</v>
      </c>
      <c r="C1091" s="3">
        <f>IF(B1091="","",SUMIFS('Factory Costs'!$C:$C,'Factory Costs'!$A:$A,"Blades",'Factory Costs'!$B:$B,B1091))</f>
        <v>42</v>
      </c>
    </row>
    <row r="1092" spans="1:3" x14ac:dyDescent="0.25">
      <c r="A1092" s="1" t="s">
        <v>9827</v>
      </c>
      <c r="B1092" s="1" t="s">
        <v>16372</v>
      </c>
      <c r="C1092" s="3">
        <f>IF(B1092="","",SUMIFS('Factory Costs'!$C:$C,'Factory Costs'!$A:$A,"Blades",'Factory Costs'!$B:$B,B1092))</f>
        <v>42</v>
      </c>
    </row>
    <row r="1093" spans="1:3" x14ac:dyDescent="0.25">
      <c r="A1093" s="1" t="s">
        <v>9830</v>
      </c>
      <c r="B1093" s="1" t="s">
        <v>16372</v>
      </c>
      <c r="C1093" s="3">
        <f>IF(B1093="","",SUMIFS('Factory Costs'!$C:$C,'Factory Costs'!$A:$A,"Blades",'Factory Costs'!$B:$B,B1093))</f>
        <v>42</v>
      </c>
    </row>
    <row r="1094" spans="1:3" x14ac:dyDescent="0.25">
      <c r="A1094" s="1" t="s">
        <v>9833</v>
      </c>
      <c r="B1094" s="1" t="s">
        <v>16370</v>
      </c>
      <c r="C1094" s="3">
        <f>IF(B1094="","",SUMIFS('Factory Costs'!$C:$C,'Factory Costs'!$A:$A,"Blades",'Factory Costs'!$B:$B,B1094))</f>
        <v>34</v>
      </c>
    </row>
    <row r="1095" spans="1:3" x14ac:dyDescent="0.25">
      <c r="A1095" s="1" t="s">
        <v>9836</v>
      </c>
      <c r="B1095" s="1" t="s">
        <v>16370</v>
      </c>
      <c r="C1095" s="3">
        <f>IF(B1095="","",SUMIFS('Factory Costs'!$C:$C,'Factory Costs'!$A:$A,"Blades",'Factory Costs'!$B:$B,B1095))</f>
        <v>34</v>
      </c>
    </row>
    <row r="1096" spans="1:3" x14ac:dyDescent="0.25">
      <c r="A1096" s="1" t="s">
        <v>9839</v>
      </c>
      <c r="B1096" s="1" t="s">
        <v>16372</v>
      </c>
      <c r="C1096" s="3">
        <f>IF(B1096="","",SUMIFS('Factory Costs'!$C:$C,'Factory Costs'!$A:$A,"Blades",'Factory Costs'!$B:$B,B1096))</f>
        <v>42</v>
      </c>
    </row>
    <row r="1097" spans="1:3" x14ac:dyDescent="0.25">
      <c r="A1097" s="1" t="s">
        <v>9842</v>
      </c>
      <c r="B1097" s="1" t="s">
        <v>16371</v>
      </c>
      <c r="C1097" s="3">
        <f>IF(B1097="","",SUMIFS('Factory Costs'!$C:$C,'Factory Costs'!$A:$A,"Blades",'Factory Costs'!$B:$B,B1097))</f>
        <v>37</v>
      </c>
    </row>
    <row r="1098" spans="1:3" x14ac:dyDescent="0.25">
      <c r="A1098" s="1" t="s">
        <v>9845</v>
      </c>
      <c r="B1098" s="1" t="s">
        <v>16370</v>
      </c>
      <c r="C1098" s="3">
        <f>IF(B1098="","",SUMIFS('Factory Costs'!$C:$C,'Factory Costs'!$A:$A,"Blades",'Factory Costs'!$B:$B,B1098))</f>
        <v>34</v>
      </c>
    </row>
    <row r="1099" spans="1:3" x14ac:dyDescent="0.25">
      <c r="A1099" s="1" t="s">
        <v>9848</v>
      </c>
      <c r="B1099" s="1" t="s">
        <v>16371</v>
      </c>
      <c r="C1099" s="3">
        <f>IF(B1099="","",SUMIFS('Factory Costs'!$C:$C,'Factory Costs'!$A:$A,"Blades",'Factory Costs'!$B:$B,B1099))</f>
        <v>37</v>
      </c>
    </row>
    <row r="1100" spans="1:3" x14ac:dyDescent="0.25">
      <c r="A1100" s="1" t="s">
        <v>9851</v>
      </c>
      <c r="B1100" s="1" t="s">
        <v>16372</v>
      </c>
      <c r="C1100" s="3">
        <f>IF(B1100="","",SUMIFS('Factory Costs'!$C:$C,'Factory Costs'!$A:$A,"Blades",'Factory Costs'!$B:$B,B1100))</f>
        <v>42</v>
      </c>
    </row>
    <row r="1101" spans="1:3" x14ac:dyDescent="0.25">
      <c r="A1101" s="1" t="s">
        <v>9854</v>
      </c>
      <c r="B1101" s="1" t="s">
        <v>16371</v>
      </c>
      <c r="C1101" s="3">
        <f>IF(B1101="","",SUMIFS('Factory Costs'!$C:$C,'Factory Costs'!$A:$A,"Blades",'Factory Costs'!$B:$B,B1101))</f>
        <v>37</v>
      </c>
    </row>
    <row r="1102" spans="1:3" x14ac:dyDescent="0.25">
      <c r="A1102" s="1" t="s">
        <v>9857</v>
      </c>
      <c r="B1102" s="1" t="s">
        <v>16370</v>
      </c>
      <c r="C1102" s="3">
        <f>IF(B1102="","",SUMIFS('Factory Costs'!$C:$C,'Factory Costs'!$A:$A,"Blades",'Factory Costs'!$B:$B,B1102))</f>
        <v>34</v>
      </c>
    </row>
    <row r="1103" spans="1:3" x14ac:dyDescent="0.25">
      <c r="A1103" s="1" t="s">
        <v>9860</v>
      </c>
      <c r="B1103" s="1" t="s">
        <v>16370</v>
      </c>
      <c r="C1103" s="3">
        <f>IF(B1103="","",SUMIFS('Factory Costs'!$C:$C,'Factory Costs'!$A:$A,"Blades",'Factory Costs'!$B:$B,B1103))</f>
        <v>34</v>
      </c>
    </row>
    <row r="1104" spans="1:3" x14ac:dyDescent="0.25">
      <c r="A1104" s="1" t="s">
        <v>9863</v>
      </c>
      <c r="B1104" s="1" t="s">
        <v>16370</v>
      </c>
      <c r="C1104" s="3">
        <f>IF(B1104="","",SUMIFS('Factory Costs'!$C:$C,'Factory Costs'!$A:$A,"Blades",'Factory Costs'!$B:$B,B1104))</f>
        <v>34</v>
      </c>
    </row>
    <row r="1105" spans="1:3" x14ac:dyDescent="0.25">
      <c r="A1105" s="1" t="s">
        <v>9866</v>
      </c>
      <c r="B1105" s="1" t="s">
        <v>16372</v>
      </c>
      <c r="C1105" s="3">
        <f>IF(B1105="","",SUMIFS('Factory Costs'!$C:$C,'Factory Costs'!$A:$A,"Blades",'Factory Costs'!$B:$B,B1105))</f>
        <v>42</v>
      </c>
    </row>
    <row r="1106" spans="1:3" x14ac:dyDescent="0.25">
      <c r="A1106" s="1" t="s">
        <v>9869</v>
      </c>
      <c r="B1106" s="1" t="s">
        <v>16372</v>
      </c>
      <c r="C1106" s="3">
        <f>IF(B1106="","",SUMIFS('Factory Costs'!$C:$C,'Factory Costs'!$A:$A,"Blades",'Factory Costs'!$B:$B,B1106))</f>
        <v>42</v>
      </c>
    </row>
    <row r="1107" spans="1:3" x14ac:dyDescent="0.25">
      <c r="A1107" s="1" t="s">
        <v>9872</v>
      </c>
      <c r="B1107" s="1" t="s">
        <v>16371</v>
      </c>
      <c r="C1107" s="3">
        <f>IF(B1107="","",SUMIFS('Factory Costs'!$C:$C,'Factory Costs'!$A:$A,"Blades",'Factory Costs'!$B:$B,B1107))</f>
        <v>37</v>
      </c>
    </row>
    <row r="1108" spans="1:3" x14ac:dyDescent="0.25">
      <c r="A1108" s="1" t="s">
        <v>9875</v>
      </c>
      <c r="B1108" s="1" t="s">
        <v>16370</v>
      </c>
      <c r="C1108" s="3">
        <f>IF(B1108="","",SUMIFS('Factory Costs'!$C:$C,'Factory Costs'!$A:$A,"Blades",'Factory Costs'!$B:$B,B1108))</f>
        <v>34</v>
      </c>
    </row>
    <row r="1109" spans="1:3" x14ac:dyDescent="0.25">
      <c r="A1109" s="1" t="s">
        <v>9878</v>
      </c>
      <c r="B1109" s="1" t="s">
        <v>16371</v>
      </c>
      <c r="C1109" s="3">
        <f>IF(B1109="","",SUMIFS('Factory Costs'!$C:$C,'Factory Costs'!$A:$A,"Blades",'Factory Costs'!$B:$B,B1109))</f>
        <v>37</v>
      </c>
    </row>
    <row r="1110" spans="1:3" x14ac:dyDescent="0.25">
      <c r="A1110" s="1" t="s">
        <v>9881</v>
      </c>
      <c r="B1110" s="1" t="s">
        <v>16372</v>
      </c>
      <c r="C1110" s="3">
        <f>IF(B1110="","",SUMIFS('Factory Costs'!$C:$C,'Factory Costs'!$A:$A,"Blades",'Factory Costs'!$B:$B,B1110))</f>
        <v>42</v>
      </c>
    </row>
    <row r="1111" spans="1:3" x14ac:dyDescent="0.25">
      <c r="A1111" s="1" t="s">
        <v>9884</v>
      </c>
      <c r="B1111" s="1" t="s">
        <v>16372</v>
      </c>
      <c r="C1111" s="3">
        <f>IF(B1111="","",SUMIFS('Factory Costs'!$C:$C,'Factory Costs'!$A:$A,"Blades",'Factory Costs'!$B:$B,B1111))</f>
        <v>42</v>
      </c>
    </row>
    <row r="1112" spans="1:3" x14ac:dyDescent="0.25">
      <c r="A1112" s="1" t="s">
        <v>9887</v>
      </c>
      <c r="B1112" s="1" t="s">
        <v>16372</v>
      </c>
      <c r="C1112" s="3">
        <f>IF(B1112="","",SUMIFS('Factory Costs'!$C:$C,'Factory Costs'!$A:$A,"Blades",'Factory Costs'!$B:$B,B1112))</f>
        <v>42</v>
      </c>
    </row>
    <row r="1113" spans="1:3" x14ac:dyDescent="0.25">
      <c r="A1113" s="1" t="s">
        <v>9890</v>
      </c>
      <c r="B1113" s="1" t="s">
        <v>16372</v>
      </c>
      <c r="C1113" s="3">
        <f>IF(B1113="","",SUMIFS('Factory Costs'!$C:$C,'Factory Costs'!$A:$A,"Blades",'Factory Costs'!$B:$B,B1113))</f>
        <v>42</v>
      </c>
    </row>
    <row r="1114" spans="1:3" x14ac:dyDescent="0.25">
      <c r="A1114" s="1" t="s">
        <v>9893</v>
      </c>
      <c r="B1114" s="1" t="s">
        <v>16370</v>
      </c>
      <c r="C1114" s="3">
        <f>IF(B1114="","",SUMIFS('Factory Costs'!$C:$C,'Factory Costs'!$A:$A,"Blades",'Factory Costs'!$B:$B,B1114))</f>
        <v>34</v>
      </c>
    </row>
    <row r="1115" spans="1:3" x14ac:dyDescent="0.25">
      <c r="A1115" s="1" t="s">
        <v>9896</v>
      </c>
      <c r="B1115" s="1" t="s">
        <v>16372</v>
      </c>
      <c r="C1115" s="3">
        <f>IF(B1115="","",SUMIFS('Factory Costs'!$C:$C,'Factory Costs'!$A:$A,"Blades",'Factory Costs'!$B:$B,B1115))</f>
        <v>42</v>
      </c>
    </row>
    <row r="1116" spans="1:3" x14ac:dyDescent="0.25">
      <c r="A1116" s="1" t="s">
        <v>9899</v>
      </c>
      <c r="B1116" s="1" t="s">
        <v>16370</v>
      </c>
      <c r="C1116" s="3">
        <f>IF(B1116="","",SUMIFS('Factory Costs'!$C:$C,'Factory Costs'!$A:$A,"Blades",'Factory Costs'!$B:$B,B1116))</f>
        <v>34</v>
      </c>
    </row>
    <row r="1117" spans="1:3" x14ac:dyDescent="0.25">
      <c r="A1117" s="1" t="s">
        <v>9902</v>
      </c>
      <c r="B1117" s="1" t="s">
        <v>16371</v>
      </c>
      <c r="C1117" s="3">
        <f>IF(B1117="","",SUMIFS('Factory Costs'!$C:$C,'Factory Costs'!$A:$A,"Blades",'Factory Costs'!$B:$B,B1117))</f>
        <v>37</v>
      </c>
    </row>
    <row r="1118" spans="1:3" x14ac:dyDescent="0.25">
      <c r="A1118" s="1" t="s">
        <v>9905</v>
      </c>
      <c r="B1118" s="1" t="s">
        <v>16371</v>
      </c>
      <c r="C1118" s="3">
        <f>IF(B1118="","",SUMIFS('Factory Costs'!$C:$C,'Factory Costs'!$A:$A,"Blades",'Factory Costs'!$B:$B,B1118))</f>
        <v>37</v>
      </c>
    </row>
    <row r="1119" spans="1:3" x14ac:dyDescent="0.25">
      <c r="A1119" s="1" t="s">
        <v>9908</v>
      </c>
      <c r="B1119" s="1" t="s">
        <v>16371</v>
      </c>
      <c r="C1119" s="3">
        <f>IF(B1119="","",SUMIFS('Factory Costs'!$C:$C,'Factory Costs'!$A:$A,"Blades",'Factory Costs'!$B:$B,B1119))</f>
        <v>37</v>
      </c>
    </row>
    <row r="1120" spans="1:3" x14ac:dyDescent="0.25">
      <c r="A1120" s="1" t="s">
        <v>9911</v>
      </c>
      <c r="B1120" s="1" t="s">
        <v>16371</v>
      </c>
      <c r="C1120" s="3">
        <f>IF(B1120="","",SUMIFS('Factory Costs'!$C:$C,'Factory Costs'!$A:$A,"Blades",'Factory Costs'!$B:$B,B1120))</f>
        <v>37</v>
      </c>
    </row>
    <row r="1121" spans="1:3" x14ac:dyDescent="0.25">
      <c r="A1121" s="1" t="s">
        <v>9914</v>
      </c>
      <c r="B1121" s="1" t="s">
        <v>16370</v>
      </c>
      <c r="C1121" s="3">
        <f>IF(B1121="","",SUMIFS('Factory Costs'!$C:$C,'Factory Costs'!$A:$A,"Blades",'Factory Costs'!$B:$B,B1121))</f>
        <v>34</v>
      </c>
    </row>
    <row r="1122" spans="1:3" x14ac:dyDescent="0.25">
      <c r="A1122" s="1" t="s">
        <v>9917</v>
      </c>
      <c r="B1122" s="1" t="s">
        <v>16370</v>
      </c>
      <c r="C1122" s="3">
        <f>IF(B1122="","",SUMIFS('Factory Costs'!$C:$C,'Factory Costs'!$A:$A,"Blades",'Factory Costs'!$B:$B,B1122))</f>
        <v>34</v>
      </c>
    </row>
    <row r="1123" spans="1:3" x14ac:dyDescent="0.25">
      <c r="A1123" s="1" t="s">
        <v>9920</v>
      </c>
      <c r="B1123" s="1" t="s">
        <v>16372</v>
      </c>
      <c r="C1123" s="3">
        <f>IF(B1123="","",SUMIFS('Factory Costs'!$C:$C,'Factory Costs'!$A:$A,"Blades",'Factory Costs'!$B:$B,B1123))</f>
        <v>42</v>
      </c>
    </row>
    <row r="1124" spans="1:3" x14ac:dyDescent="0.25">
      <c r="A1124" s="1" t="s">
        <v>9923</v>
      </c>
      <c r="B1124" s="1" t="s">
        <v>16370</v>
      </c>
      <c r="C1124" s="3">
        <f>IF(B1124="","",SUMIFS('Factory Costs'!$C:$C,'Factory Costs'!$A:$A,"Blades",'Factory Costs'!$B:$B,B1124))</f>
        <v>34</v>
      </c>
    </row>
    <row r="1125" spans="1:3" x14ac:dyDescent="0.25">
      <c r="A1125" s="1" t="s">
        <v>9926</v>
      </c>
      <c r="B1125" s="1" t="s">
        <v>16370</v>
      </c>
      <c r="C1125" s="3">
        <f>IF(B1125="","",SUMIFS('Factory Costs'!$C:$C,'Factory Costs'!$A:$A,"Blades",'Factory Costs'!$B:$B,B1125))</f>
        <v>34</v>
      </c>
    </row>
    <row r="1126" spans="1:3" x14ac:dyDescent="0.25">
      <c r="A1126" s="1" t="s">
        <v>9929</v>
      </c>
      <c r="B1126" s="1" t="s">
        <v>16371</v>
      </c>
      <c r="C1126" s="3">
        <f>IF(B1126="","",SUMIFS('Factory Costs'!$C:$C,'Factory Costs'!$A:$A,"Blades",'Factory Costs'!$B:$B,B1126))</f>
        <v>37</v>
      </c>
    </row>
    <row r="1127" spans="1:3" x14ac:dyDescent="0.25">
      <c r="A1127" s="1" t="s">
        <v>9932</v>
      </c>
      <c r="B1127" s="1" t="s">
        <v>16371</v>
      </c>
      <c r="C1127" s="3">
        <f>IF(B1127="","",SUMIFS('Factory Costs'!$C:$C,'Factory Costs'!$A:$A,"Blades",'Factory Costs'!$B:$B,B1127))</f>
        <v>37</v>
      </c>
    </row>
    <row r="1128" spans="1:3" x14ac:dyDescent="0.25">
      <c r="A1128" s="1" t="s">
        <v>9935</v>
      </c>
      <c r="B1128" s="1" t="s">
        <v>16372</v>
      </c>
      <c r="C1128" s="3">
        <f>IF(B1128="","",SUMIFS('Factory Costs'!$C:$C,'Factory Costs'!$A:$A,"Blades",'Factory Costs'!$B:$B,B1128))</f>
        <v>42</v>
      </c>
    </row>
    <row r="1129" spans="1:3" x14ac:dyDescent="0.25">
      <c r="A1129" s="1" t="s">
        <v>9938</v>
      </c>
      <c r="B1129" s="1" t="s">
        <v>16370</v>
      </c>
      <c r="C1129" s="3">
        <f>IF(B1129="","",SUMIFS('Factory Costs'!$C:$C,'Factory Costs'!$A:$A,"Blades",'Factory Costs'!$B:$B,B1129))</f>
        <v>34</v>
      </c>
    </row>
    <row r="1130" spans="1:3" x14ac:dyDescent="0.25">
      <c r="A1130" s="1" t="s">
        <v>9941</v>
      </c>
      <c r="B1130" s="1" t="s">
        <v>16370</v>
      </c>
      <c r="C1130" s="3">
        <f>IF(B1130="","",SUMIFS('Factory Costs'!$C:$C,'Factory Costs'!$A:$A,"Blades",'Factory Costs'!$B:$B,B1130))</f>
        <v>34</v>
      </c>
    </row>
    <row r="1131" spans="1:3" x14ac:dyDescent="0.25">
      <c r="A1131" s="1" t="s">
        <v>9944</v>
      </c>
      <c r="B1131" s="1" t="s">
        <v>16370</v>
      </c>
      <c r="C1131" s="3">
        <f>IF(B1131="","",SUMIFS('Factory Costs'!$C:$C,'Factory Costs'!$A:$A,"Blades",'Factory Costs'!$B:$B,B1131))</f>
        <v>34</v>
      </c>
    </row>
    <row r="1132" spans="1:3" x14ac:dyDescent="0.25">
      <c r="A1132" s="1" t="s">
        <v>9947</v>
      </c>
      <c r="B1132" s="1" t="s">
        <v>16371</v>
      </c>
      <c r="C1132" s="3">
        <f>IF(B1132="","",SUMIFS('Factory Costs'!$C:$C,'Factory Costs'!$A:$A,"Blades",'Factory Costs'!$B:$B,B1132))</f>
        <v>37</v>
      </c>
    </row>
    <row r="1133" spans="1:3" x14ac:dyDescent="0.25">
      <c r="A1133" s="1" t="s">
        <v>9950</v>
      </c>
      <c r="B1133" s="1" t="s">
        <v>16370</v>
      </c>
      <c r="C1133" s="3">
        <f>IF(B1133="","",SUMIFS('Factory Costs'!$C:$C,'Factory Costs'!$A:$A,"Blades",'Factory Costs'!$B:$B,B1133))</f>
        <v>34</v>
      </c>
    </row>
    <row r="1134" spans="1:3" x14ac:dyDescent="0.25">
      <c r="A1134" s="1" t="s">
        <v>9953</v>
      </c>
      <c r="B1134" s="1" t="s">
        <v>16370</v>
      </c>
      <c r="C1134" s="3">
        <f>IF(B1134="","",SUMIFS('Factory Costs'!$C:$C,'Factory Costs'!$A:$A,"Blades",'Factory Costs'!$B:$B,B1134))</f>
        <v>34</v>
      </c>
    </row>
    <row r="1135" spans="1:3" x14ac:dyDescent="0.25">
      <c r="A1135" s="1" t="s">
        <v>9956</v>
      </c>
      <c r="B1135" s="1" t="s">
        <v>16372</v>
      </c>
      <c r="C1135" s="3">
        <f>IF(B1135="","",SUMIFS('Factory Costs'!$C:$C,'Factory Costs'!$A:$A,"Blades",'Factory Costs'!$B:$B,B1135))</f>
        <v>42</v>
      </c>
    </row>
    <row r="1136" spans="1:3" x14ac:dyDescent="0.25">
      <c r="A1136" s="1" t="s">
        <v>9959</v>
      </c>
      <c r="B1136" s="1" t="s">
        <v>16371</v>
      </c>
      <c r="C1136" s="3">
        <f>IF(B1136="","",SUMIFS('Factory Costs'!$C:$C,'Factory Costs'!$A:$A,"Blades",'Factory Costs'!$B:$B,B1136))</f>
        <v>37</v>
      </c>
    </row>
    <row r="1137" spans="1:3" x14ac:dyDescent="0.25">
      <c r="A1137" s="1" t="s">
        <v>9962</v>
      </c>
      <c r="B1137" s="1" t="s">
        <v>16370</v>
      </c>
      <c r="C1137" s="3">
        <f>IF(B1137="","",SUMIFS('Factory Costs'!$C:$C,'Factory Costs'!$A:$A,"Blades",'Factory Costs'!$B:$B,B1137))</f>
        <v>34</v>
      </c>
    </row>
    <row r="1138" spans="1:3" x14ac:dyDescent="0.25">
      <c r="A1138" s="1" t="s">
        <v>9965</v>
      </c>
      <c r="B1138" s="1" t="s">
        <v>16371</v>
      </c>
      <c r="C1138" s="3">
        <f>IF(B1138="","",SUMIFS('Factory Costs'!$C:$C,'Factory Costs'!$A:$A,"Blades",'Factory Costs'!$B:$B,B1138))</f>
        <v>37</v>
      </c>
    </row>
    <row r="1139" spans="1:3" x14ac:dyDescent="0.25">
      <c r="A1139" s="1" t="s">
        <v>9968</v>
      </c>
      <c r="B1139" s="1" t="s">
        <v>16370</v>
      </c>
      <c r="C1139" s="3">
        <f>IF(B1139="","",SUMIFS('Factory Costs'!$C:$C,'Factory Costs'!$A:$A,"Blades",'Factory Costs'!$B:$B,B1139))</f>
        <v>34</v>
      </c>
    </row>
    <row r="1140" spans="1:3" x14ac:dyDescent="0.25">
      <c r="A1140" s="1" t="s">
        <v>9971</v>
      </c>
      <c r="B1140" s="1" t="s">
        <v>16371</v>
      </c>
      <c r="C1140" s="3">
        <f>IF(B1140="","",SUMIFS('Factory Costs'!$C:$C,'Factory Costs'!$A:$A,"Blades",'Factory Costs'!$B:$B,B1140))</f>
        <v>37</v>
      </c>
    </row>
    <row r="1141" spans="1:3" x14ac:dyDescent="0.25">
      <c r="A1141" s="1" t="s">
        <v>9974</v>
      </c>
      <c r="B1141" s="1" t="s">
        <v>16370</v>
      </c>
      <c r="C1141" s="3">
        <f>IF(B1141="","",SUMIFS('Factory Costs'!$C:$C,'Factory Costs'!$A:$A,"Blades",'Factory Costs'!$B:$B,B1141))</f>
        <v>34</v>
      </c>
    </row>
    <row r="1142" spans="1:3" x14ac:dyDescent="0.25">
      <c r="A1142" s="1" t="s">
        <v>9977</v>
      </c>
      <c r="B1142" s="1" t="s">
        <v>16370</v>
      </c>
      <c r="C1142" s="3">
        <f>IF(B1142="","",SUMIFS('Factory Costs'!$C:$C,'Factory Costs'!$A:$A,"Blades",'Factory Costs'!$B:$B,B1142))</f>
        <v>34</v>
      </c>
    </row>
    <row r="1143" spans="1:3" x14ac:dyDescent="0.25">
      <c r="A1143" s="1" t="s">
        <v>9980</v>
      </c>
      <c r="B1143" s="1" t="s">
        <v>16370</v>
      </c>
      <c r="C1143" s="3">
        <f>IF(B1143="","",SUMIFS('Factory Costs'!$C:$C,'Factory Costs'!$A:$A,"Blades",'Factory Costs'!$B:$B,B1143))</f>
        <v>34</v>
      </c>
    </row>
    <row r="1144" spans="1:3" x14ac:dyDescent="0.25">
      <c r="A1144" s="1" t="s">
        <v>9983</v>
      </c>
      <c r="B1144" s="1" t="s">
        <v>16372</v>
      </c>
      <c r="C1144" s="3">
        <f>IF(B1144="","",SUMIFS('Factory Costs'!$C:$C,'Factory Costs'!$A:$A,"Blades",'Factory Costs'!$B:$B,B1144))</f>
        <v>42</v>
      </c>
    </row>
    <row r="1145" spans="1:3" x14ac:dyDescent="0.25">
      <c r="A1145" s="1" t="s">
        <v>9986</v>
      </c>
      <c r="B1145" s="1" t="s">
        <v>16370</v>
      </c>
      <c r="C1145" s="3">
        <f>IF(B1145="","",SUMIFS('Factory Costs'!$C:$C,'Factory Costs'!$A:$A,"Blades",'Factory Costs'!$B:$B,B1145))</f>
        <v>34</v>
      </c>
    </row>
    <row r="1146" spans="1:3" x14ac:dyDescent="0.25">
      <c r="A1146" s="1" t="s">
        <v>9989</v>
      </c>
      <c r="B1146" s="1" t="s">
        <v>16371</v>
      </c>
      <c r="C1146" s="3">
        <f>IF(B1146="","",SUMIFS('Factory Costs'!$C:$C,'Factory Costs'!$A:$A,"Blades",'Factory Costs'!$B:$B,B1146))</f>
        <v>37</v>
      </c>
    </row>
    <row r="1147" spans="1:3" x14ac:dyDescent="0.25">
      <c r="A1147" s="1" t="s">
        <v>9992</v>
      </c>
      <c r="B1147" s="1" t="s">
        <v>16372</v>
      </c>
      <c r="C1147" s="3">
        <f>IF(B1147="","",SUMIFS('Factory Costs'!$C:$C,'Factory Costs'!$A:$A,"Blades",'Factory Costs'!$B:$B,B1147))</f>
        <v>42</v>
      </c>
    </row>
    <row r="1148" spans="1:3" x14ac:dyDescent="0.25">
      <c r="A1148" s="1" t="s">
        <v>9995</v>
      </c>
      <c r="B1148" s="1" t="s">
        <v>16370</v>
      </c>
      <c r="C1148" s="3">
        <f>IF(B1148="","",SUMIFS('Factory Costs'!$C:$C,'Factory Costs'!$A:$A,"Blades",'Factory Costs'!$B:$B,B1148))</f>
        <v>34</v>
      </c>
    </row>
    <row r="1149" spans="1:3" x14ac:dyDescent="0.25">
      <c r="A1149" s="1" t="s">
        <v>9998</v>
      </c>
      <c r="B1149" s="1" t="s">
        <v>16372</v>
      </c>
      <c r="C1149" s="3">
        <f>IF(B1149="","",SUMIFS('Factory Costs'!$C:$C,'Factory Costs'!$A:$A,"Blades",'Factory Costs'!$B:$B,B1149))</f>
        <v>42</v>
      </c>
    </row>
    <row r="1150" spans="1:3" x14ac:dyDescent="0.25">
      <c r="A1150" s="1" t="s">
        <v>10001</v>
      </c>
      <c r="B1150" s="1" t="s">
        <v>16372</v>
      </c>
      <c r="C1150" s="3">
        <f>IF(B1150="","",SUMIFS('Factory Costs'!$C:$C,'Factory Costs'!$A:$A,"Blades",'Factory Costs'!$B:$B,B1150))</f>
        <v>42</v>
      </c>
    </row>
    <row r="1151" spans="1:3" x14ac:dyDescent="0.25">
      <c r="A1151" s="1" t="s">
        <v>10004</v>
      </c>
      <c r="B1151" s="1" t="s">
        <v>16372</v>
      </c>
      <c r="C1151" s="3">
        <f>IF(B1151="","",SUMIFS('Factory Costs'!$C:$C,'Factory Costs'!$A:$A,"Blades",'Factory Costs'!$B:$B,B1151))</f>
        <v>42</v>
      </c>
    </row>
    <row r="1152" spans="1:3" x14ac:dyDescent="0.25">
      <c r="A1152" s="1" t="s">
        <v>10007</v>
      </c>
      <c r="B1152" s="1" t="s">
        <v>16371</v>
      </c>
      <c r="C1152" s="3">
        <f>IF(B1152="","",SUMIFS('Factory Costs'!$C:$C,'Factory Costs'!$A:$A,"Blades",'Factory Costs'!$B:$B,B1152))</f>
        <v>37</v>
      </c>
    </row>
    <row r="1153" spans="1:3" x14ac:dyDescent="0.25">
      <c r="A1153" s="1" t="s">
        <v>10010</v>
      </c>
      <c r="B1153" s="1" t="s">
        <v>16372</v>
      </c>
      <c r="C1153" s="3">
        <f>IF(B1153="","",SUMIFS('Factory Costs'!$C:$C,'Factory Costs'!$A:$A,"Blades",'Factory Costs'!$B:$B,B1153))</f>
        <v>42</v>
      </c>
    </row>
    <row r="1154" spans="1:3" x14ac:dyDescent="0.25">
      <c r="A1154" s="1" t="s">
        <v>10013</v>
      </c>
      <c r="B1154" s="1" t="s">
        <v>16372</v>
      </c>
      <c r="C1154" s="3">
        <f>IF(B1154="","",SUMIFS('Factory Costs'!$C:$C,'Factory Costs'!$A:$A,"Blades",'Factory Costs'!$B:$B,B1154))</f>
        <v>42</v>
      </c>
    </row>
    <row r="1155" spans="1:3" x14ac:dyDescent="0.25">
      <c r="A1155" s="1" t="s">
        <v>10016</v>
      </c>
      <c r="B1155" s="1" t="s">
        <v>16370</v>
      </c>
      <c r="C1155" s="3">
        <f>IF(B1155="","",SUMIFS('Factory Costs'!$C:$C,'Factory Costs'!$A:$A,"Blades",'Factory Costs'!$B:$B,B1155))</f>
        <v>34</v>
      </c>
    </row>
    <row r="1156" spans="1:3" x14ac:dyDescent="0.25">
      <c r="A1156" s="1" t="s">
        <v>10019</v>
      </c>
      <c r="B1156" s="1" t="s">
        <v>16372</v>
      </c>
      <c r="C1156" s="3">
        <f>IF(B1156="","",SUMIFS('Factory Costs'!$C:$C,'Factory Costs'!$A:$A,"Blades",'Factory Costs'!$B:$B,B1156))</f>
        <v>42</v>
      </c>
    </row>
    <row r="1157" spans="1:3" x14ac:dyDescent="0.25">
      <c r="A1157" s="1" t="s">
        <v>10022</v>
      </c>
      <c r="B1157" s="1" t="s">
        <v>16370</v>
      </c>
      <c r="C1157" s="3">
        <f>IF(B1157="","",SUMIFS('Factory Costs'!$C:$C,'Factory Costs'!$A:$A,"Blades",'Factory Costs'!$B:$B,B1157))</f>
        <v>34</v>
      </c>
    </row>
    <row r="1158" spans="1:3" x14ac:dyDescent="0.25">
      <c r="A1158" s="1" t="s">
        <v>10025</v>
      </c>
      <c r="B1158" s="1" t="s">
        <v>16370</v>
      </c>
      <c r="C1158" s="3">
        <f>IF(B1158="","",SUMIFS('Factory Costs'!$C:$C,'Factory Costs'!$A:$A,"Blades",'Factory Costs'!$B:$B,B1158))</f>
        <v>34</v>
      </c>
    </row>
    <row r="1159" spans="1:3" x14ac:dyDescent="0.25">
      <c r="A1159" s="1" t="s">
        <v>10028</v>
      </c>
      <c r="B1159" s="1" t="s">
        <v>16370</v>
      </c>
      <c r="C1159" s="3">
        <f>IF(B1159="","",SUMIFS('Factory Costs'!$C:$C,'Factory Costs'!$A:$A,"Blades",'Factory Costs'!$B:$B,B1159))</f>
        <v>34</v>
      </c>
    </row>
    <row r="1160" spans="1:3" x14ac:dyDescent="0.25">
      <c r="A1160" s="1" t="s">
        <v>10031</v>
      </c>
      <c r="B1160" s="1" t="s">
        <v>16371</v>
      </c>
      <c r="C1160" s="3">
        <f>IF(B1160="","",SUMIFS('Factory Costs'!$C:$C,'Factory Costs'!$A:$A,"Blades",'Factory Costs'!$B:$B,B1160))</f>
        <v>37</v>
      </c>
    </row>
    <row r="1161" spans="1:3" x14ac:dyDescent="0.25">
      <c r="A1161" s="1" t="s">
        <v>10034</v>
      </c>
      <c r="B1161" s="1" t="s">
        <v>16370</v>
      </c>
      <c r="C1161" s="3">
        <f>IF(B1161="","",SUMIFS('Factory Costs'!$C:$C,'Factory Costs'!$A:$A,"Blades",'Factory Costs'!$B:$B,B1161))</f>
        <v>34</v>
      </c>
    </row>
    <row r="1162" spans="1:3" x14ac:dyDescent="0.25">
      <c r="A1162" s="1" t="s">
        <v>10037</v>
      </c>
      <c r="B1162" s="1" t="s">
        <v>16370</v>
      </c>
      <c r="C1162" s="3">
        <f>IF(B1162="","",SUMIFS('Factory Costs'!$C:$C,'Factory Costs'!$A:$A,"Blades",'Factory Costs'!$B:$B,B1162))</f>
        <v>34</v>
      </c>
    </row>
    <row r="1163" spans="1:3" x14ac:dyDescent="0.25">
      <c r="A1163" s="1" t="s">
        <v>10040</v>
      </c>
      <c r="B1163" s="1" t="s">
        <v>16371</v>
      </c>
      <c r="C1163" s="3">
        <f>IF(B1163="","",SUMIFS('Factory Costs'!$C:$C,'Factory Costs'!$A:$A,"Blades",'Factory Costs'!$B:$B,B1163))</f>
        <v>37</v>
      </c>
    </row>
    <row r="1164" spans="1:3" x14ac:dyDescent="0.25">
      <c r="A1164" s="1" t="s">
        <v>10043</v>
      </c>
      <c r="B1164" s="1" t="s">
        <v>16372</v>
      </c>
      <c r="C1164" s="3">
        <f>IF(B1164="","",SUMIFS('Factory Costs'!$C:$C,'Factory Costs'!$A:$A,"Blades",'Factory Costs'!$B:$B,B1164))</f>
        <v>42</v>
      </c>
    </row>
    <row r="1165" spans="1:3" x14ac:dyDescent="0.25">
      <c r="A1165" s="1" t="s">
        <v>10046</v>
      </c>
      <c r="B1165" s="1" t="s">
        <v>16371</v>
      </c>
      <c r="C1165" s="3">
        <f>IF(B1165="","",SUMIFS('Factory Costs'!$C:$C,'Factory Costs'!$A:$A,"Blades",'Factory Costs'!$B:$B,B1165))</f>
        <v>37</v>
      </c>
    </row>
    <row r="1166" spans="1:3" x14ac:dyDescent="0.25">
      <c r="A1166" s="1" t="s">
        <v>10049</v>
      </c>
      <c r="B1166" s="1" t="s">
        <v>16371</v>
      </c>
      <c r="C1166" s="3">
        <f>IF(B1166="","",SUMIFS('Factory Costs'!$C:$C,'Factory Costs'!$A:$A,"Blades",'Factory Costs'!$B:$B,B1166))</f>
        <v>37</v>
      </c>
    </row>
    <row r="1167" spans="1:3" x14ac:dyDescent="0.25">
      <c r="A1167" s="1" t="s">
        <v>10052</v>
      </c>
      <c r="B1167" s="1" t="s">
        <v>16370</v>
      </c>
      <c r="C1167" s="3">
        <f>IF(B1167="","",SUMIFS('Factory Costs'!$C:$C,'Factory Costs'!$A:$A,"Blades",'Factory Costs'!$B:$B,B1167))</f>
        <v>34</v>
      </c>
    </row>
    <row r="1168" spans="1:3" x14ac:dyDescent="0.25">
      <c r="A1168" s="1" t="s">
        <v>10055</v>
      </c>
      <c r="B1168" s="1" t="s">
        <v>16371</v>
      </c>
      <c r="C1168" s="3">
        <f>IF(B1168="","",SUMIFS('Factory Costs'!$C:$C,'Factory Costs'!$A:$A,"Blades",'Factory Costs'!$B:$B,B1168))</f>
        <v>37</v>
      </c>
    </row>
    <row r="1169" spans="1:3" x14ac:dyDescent="0.25">
      <c r="A1169" s="1" t="s">
        <v>10058</v>
      </c>
      <c r="B1169" s="1" t="s">
        <v>16370</v>
      </c>
      <c r="C1169" s="3">
        <f>IF(B1169="","",SUMIFS('Factory Costs'!$C:$C,'Factory Costs'!$A:$A,"Blades",'Factory Costs'!$B:$B,B1169))</f>
        <v>34</v>
      </c>
    </row>
    <row r="1170" spans="1:3" x14ac:dyDescent="0.25">
      <c r="A1170" s="1" t="s">
        <v>10061</v>
      </c>
      <c r="B1170" s="1" t="s">
        <v>16370</v>
      </c>
      <c r="C1170" s="3">
        <f>IF(B1170="","",SUMIFS('Factory Costs'!$C:$C,'Factory Costs'!$A:$A,"Blades",'Factory Costs'!$B:$B,B1170))</f>
        <v>34</v>
      </c>
    </row>
    <row r="1171" spans="1:3" x14ac:dyDescent="0.25">
      <c r="A1171" s="1" t="s">
        <v>10064</v>
      </c>
      <c r="B1171" s="1" t="s">
        <v>16370</v>
      </c>
      <c r="C1171" s="3">
        <f>IF(B1171="","",SUMIFS('Factory Costs'!$C:$C,'Factory Costs'!$A:$A,"Blades",'Factory Costs'!$B:$B,B1171))</f>
        <v>34</v>
      </c>
    </row>
    <row r="1172" spans="1:3" x14ac:dyDescent="0.25">
      <c r="A1172" s="1" t="s">
        <v>10067</v>
      </c>
      <c r="B1172" s="1" t="s">
        <v>16372</v>
      </c>
      <c r="C1172" s="3">
        <f>IF(B1172="","",SUMIFS('Factory Costs'!$C:$C,'Factory Costs'!$A:$A,"Blades",'Factory Costs'!$B:$B,B1172))</f>
        <v>42</v>
      </c>
    </row>
    <row r="1173" spans="1:3" x14ac:dyDescent="0.25">
      <c r="A1173" s="1" t="s">
        <v>10070</v>
      </c>
      <c r="B1173" s="1" t="s">
        <v>16370</v>
      </c>
      <c r="C1173" s="3">
        <f>IF(B1173="","",SUMIFS('Factory Costs'!$C:$C,'Factory Costs'!$A:$A,"Blades",'Factory Costs'!$B:$B,B1173))</f>
        <v>34</v>
      </c>
    </row>
    <row r="1174" spans="1:3" x14ac:dyDescent="0.25">
      <c r="A1174" s="1" t="s">
        <v>10073</v>
      </c>
      <c r="B1174" s="1" t="s">
        <v>16372</v>
      </c>
      <c r="C1174" s="3">
        <f>IF(B1174="","",SUMIFS('Factory Costs'!$C:$C,'Factory Costs'!$A:$A,"Blades",'Factory Costs'!$B:$B,B1174))</f>
        <v>42</v>
      </c>
    </row>
    <row r="1175" spans="1:3" x14ac:dyDescent="0.25">
      <c r="A1175" s="1" t="s">
        <v>10076</v>
      </c>
      <c r="B1175" s="1" t="s">
        <v>16371</v>
      </c>
      <c r="C1175" s="3">
        <f>IF(B1175="","",SUMIFS('Factory Costs'!$C:$C,'Factory Costs'!$A:$A,"Blades",'Factory Costs'!$B:$B,B1175))</f>
        <v>37</v>
      </c>
    </row>
    <row r="1176" spans="1:3" x14ac:dyDescent="0.25">
      <c r="A1176" s="1" t="s">
        <v>10079</v>
      </c>
      <c r="B1176" s="1" t="s">
        <v>16370</v>
      </c>
      <c r="C1176" s="3">
        <f>IF(B1176="","",SUMIFS('Factory Costs'!$C:$C,'Factory Costs'!$A:$A,"Blades",'Factory Costs'!$B:$B,B1176))</f>
        <v>34</v>
      </c>
    </row>
    <row r="1177" spans="1:3" x14ac:dyDescent="0.25">
      <c r="A1177" s="1" t="s">
        <v>10082</v>
      </c>
      <c r="B1177" s="1" t="s">
        <v>16371</v>
      </c>
      <c r="C1177" s="3">
        <f>IF(B1177="","",SUMIFS('Factory Costs'!$C:$C,'Factory Costs'!$A:$A,"Blades",'Factory Costs'!$B:$B,B1177))</f>
        <v>37</v>
      </c>
    </row>
    <row r="1178" spans="1:3" x14ac:dyDescent="0.25">
      <c r="A1178" s="1" t="s">
        <v>10085</v>
      </c>
      <c r="B1178" s="1" t="s">
        <v>16372</v>
      </c>
      <c r="C1178" s="3">
        <f>IF(B1178="","",SUMIFS('Factory Costs'!$C:$C,'Factory Costs'!$A:$A,"Blades",'Factory Costs'!$B:$B,B1178))</f>
        <v>42</v>
      </c>
    </row>
    <row r="1179" spans="1:3" x14ac:dyDescent="0.25">
      <c r="A1179" s="1" t="s">
        <v>10088</v>
      </c>
      <c r="B1179" s="1" t="s">
        <v>16371</v>
      </c>
      <c r="C1179" s="3">
        <f>IF(B1179="","",SUMIFS('Factory Costs'!$C:$C,'Factory Costs'!$A:$A,"Blades",'Factory Costs'!$B:$B,B1179))</f>
        <v>37</v>
      </c>
    </row>
    <row r="1180" spans="1:3" x14ac:dyDescent="0.25">
      <c r="A1180" s="1" t="s">
        <v>10091</v>
      </c>
      <c r="B1180" s="1" t="s">
        <v>16372</v>
      </c>
      <c r="C1180" s="3">
        <f>IF(B1180="","",SUMIFS('Factory Costs'!$C:$C,'Factory Costs'!$A:$A,"Blades",'Factory Costs'!$B:$B,B1180))</f>
        <v>42</v>
      </c>
    </row>
    <row r="1181" spans="1:3" x14ac:dyDescent="0.25">
      <c r="A1181" s="1" t="s">
        <v>10094</v>
      </c>
      <c r="B1181" s="1" t="s">
        <v>16370</v>
      </c>
      <c r="C1181" s="3">
        <f>IF(B1181="","",SUMIFS('Factory Costs'!$C:$C,'Factory Costs'!$A:$A,"Blades",'Factory Costs'!$B:$B,B1181))</f>
        <v>34</v>
      </c>
    </row>
    <row r="1182" spans="1:3" x14ac:dyDescent="0.25">
      <c r="A1182" s="1" t="s">
        <v>10097</v>
      </c>
      <c r="B1182" s="1" t="s">
        <v>16370</v>
      </c>
      <c r="C1182" s="3">
        <f>IF(B1182="","",SUMIFS('Factory Costs'!$C:$C,'Factory Costs'!$A:$A,"Blades",'Factory Costs'!$B:$B,B1182))</f>
        <v>34</v>
      </c>
    </row>
    <row r="1183" spans="1:3" x14ac:dyDescent="0.25">
      <c r="A1183" s="1" t="s">
        <v>10100</v>
      </c>
      <c r="B1183" s="1" t="s">
        <v>16370</v>
      </c>
      <c r="C1183" s="3">
        <f>IF(B1183="","",SUMIFS('Factory Costs'!$C:$C,'Factory Costs'!$A:$A,"Blades",'Factory Costs'!$B:$B,B1183))</f>
        <v>34</v>
      </c>
    </row>
    <row r="1184" spans="1:3" x14ac:dyDescent="0.25">
      <c r="A1184" s="1" t="s">
        <v>10103</v>
      </c>
      <c r="B1184" s="1" t="s">
        <v>16372</v>
      </c>
      <c r="C1184" s="3">
        <f>IF(B1184="","",SUMIFS('Factory Costs'!$C:$C,'Factory Costs'!$A:$A,"Blades",'Factory Costs'!$B:$B,B1184))</f>
        <v>42</v>
      </c>
    </row>
    <row r="1185" spans="1:3" x14ac:dyDescent="0.25">
      <c r="A1185" s="1" t="s">
        <v>10106</v>
      </c>
      <c r="B1185" s="1" t="s">
        <v>16371</v>
      </c>
      <c r="C1185" s="3">
        <f>IF(B1185="","",SUMIFS('Factory Costs'!$C:$C,'Factory Costs'!$A:$A,"Blades",'Factory Costs'!$B:$B,B1185))</f>
        <v>37</v>
      </c>
    </row>
    <row r="1186" spans="1:3" x14ac:dyDescent="0.25">
      <c r="A1186" s="1" t="s">
        <v>10109</v>
      </c>
      <c r="B1186" s="1" t="s">
        <v>16372</v>
      </c>
      <c r="C1186" s="3">
        <f>IF(B1186="","",SUMIFS('Factory Costs'!$C:$C,'Factory Costs'!$A:$A,"Blades",'Factory Costs'!$B:$B,B1186))</f>
        <v>42</v>
      </c>
    </row>
    <row r="1187" spans="1:3" x14ac:dyDescent="0.25">
      <c r="A1187" s="1" t="s">
        <v>10112</v>
      </c>
      <c r="B1187" s="1" t="s">
        <v>16370</v>
      </c>
      <c r="C1187" s="3">
        <f>IF(B1187="","",SUMIFS('Factory Costs'!$C:$C,'Factory Costs'!$A:$A,"Blades",'Factory Costs'!$B:$B,B1187))</f>
        <v>34</v>
      </c>
    </row>
    <row r="1188" spans="1:3" x14ac:dyDescent="0.25">
      <c r="A1188" s="1" t="s">
        <v>10115</v>
      </c>
      <c r="B1188" s="1" t="s">
        <v>16372</v>
      </c>
      <c r="C1188" s="3">
        <f>IF(B1188="","",SUMIFS('Factory Costs'!$C:$C,'Factory Costs'!$A:$A,"Blades",'Factory Costs'!$B:$B,B1188))</f>
        <v>42</v>
      </c>
    </row>
    <row r="1189" spans="1:3" x14ac:dyDescent="0.25">
      <c r="A1189" s="1" t="s">
        <v>10118</v>
      </c>
      <c r="B1189" s="1" t="s">
        <v>16370</v>
      </c>
      <c r="C1189" s="3">
        <f>IF(B1189="","",SUMIFS('Factory Costs'!$C:$C,'Factory Costs'!$A:$A,"Blades",'Factory Costs'!$B:$B,B1189))</f>
        <v>34</v>
      </c>
    </row>
    <row r="1190" spans="1:3" x14ac:dyDescent="0.25">
      <c r="A1190" s="1" t="s">
        <v>10121</v>
      </c>
      <c r="B1190" s="1" t="s">
        <v>16370</v>
      </c>
      <c r="C1190" s="3">
        <f>IF(B1190="","",SUMIFS('Factory Costs'!$C:$C,'Factory Costs'!$A:$A,"Blades",'Factory Costs'!$B:$B,B1190))</f>
        <v>34</v>
      </c>
    </row>
    <row r="1191" spans="1:3" x14ac:dyDescent="0.25">
      <c r="A1191" s="1" t="s">
        <v>10124</v>
      </c>
      <c r="B1191" s="1" t="s">
        <v>16371</v>
      </c>
      <c r="C1191" s="3">
        <f>IF(B1191="","",SUMIFS('Factory Costs'!$C:$C,'Factory Costs'!$A:$A,"Blades",'Factory Costs'!$B:$B,B1191))</f>
        <v>37</v>
      </c>
    </row>
    <row r="1192" spans="1:3" x14ac:dyDescent="0.25">
      <c r="A1192" s="1" t="s">
        <v>10127</v>
      </c>
      <c r="B1192" s="1" t="s">
        <v>16370</v>
      </c>
      <c r="C1192" s="3">
        <f>IF(B1192="","",SUMIFS('Factory Costs'!$C:$C,'Factory Costs'!$A:$A,"Blades",'Factory Costs'!$B:$B,B1192))</f>
        <v>34</v>
      </c>
    </row>
    <row r="1193" spans="1:3" x14ac:dyDescent="0.25">
      <c r="A1193" s="1" t="s">
        <v>10130</v>
      </c>
      <c r="B1193" s="1" t="s">
        <v>16371</v>
      </c>
      <c r="C1193" s="3">
        <f>IF(B1193="","",SUMIFS('Factory Costs'!$C:$C,'Factory Costs'!$A:$A,"Blades",'Factory Costs'!$B:$B,B1193))</f>
        <v>37</v>
      </c>
    </row>
    <row r="1194" spans="1:3" x14ac:dyDescent="0.25">
      <c r="A1194" s="1" t="s">
        <v>10133</v>
      </c>
      <c r="B1194" s="1" t="s">
        <v>16370</v>
      </c>
      <c r="C1194" s="3">
        <f>IF(B1194="","",SUMIFS('Factory Costs'!$C:$C,'Factory Costs'!$A:$A,"Blades",'Factory Costs'!$B:$B,B1194))</f>
        <v>34</v>
      </c>
    </row>
    <row r="1195" spans="1:3" x14ac:dyDescent="0.25">
      <c r="A1195" s="1" t="s">
        <v>10136</v>
      </c>
      <c r="B1195" s="1" t="s">
        <v>16370</v>
      </c>
      <c r="C1195" s="3">
        <f>IF(B1195="","",SUMIFS('Factory Costs'!$C:$C,'Factory Costs'!$A:$A,"Blades",'Factory Costs'!$B:$B,B1195))</f>
        <v>34</v>
      </c>
    </row>
    <row r="1196" spans="1:3" x14ac:dyDescent="0.25">
      <c r="A1196" s="1" t="s">
        <v>10139</v>
      </c>
      <c r="B1196" s="1" t="s">
        <v>16370</v>
      </c>
      <c r="C1196" s="3">
        <f>IF(B1196="","",SUMIFS('Factory Costs'!$C:$C,'Factory Costs'!$A:$A,"Blades",'Factory Costs'!$B:$B,B1196))</f>
        <v>34</v>
      </c>
    </row>
    <row r="1197" spans="1:3" x14ac:dyDescent="0.25">
      <c r="A1197" s="1" t="s">
        <v>10142</v>
      </c>
      <c r="B1197" s="1" t="s">
        <v>16370</v>
      </c>
      <c r="C1197" s="3">
        <f>IF(B1197="","",SUMIFS('Factory Costs'!$C:$C,'Factory Costs'!$A:$A,"Blades",'Factory Costs'!$B:$B,B1197))</f>
        <v>34</v>
      </c>
    </row>
    <row r="1198" spans="1:3" x14ac:dyDescent="0.25">
      <c r="A1198" s="1" t="s">
        <v>10145</v>
      </c>
      <c r="B1198" s="1" t="s">
        <v>16372</v>
      </c>
      <c r="C1198" s="3">
        <f>IF(B1198="","",SUMIFS('Factory Costs'!$C:$C,'Factory Costs'!$A:$A,"Blades",'Factory Costs'!$B:$B,B1198))</f>
        <v>42</v>
      </c>
    </row>
    <row r="1199" spans="1:3" x14ac:dyDescent="0.25">
      <c r="A1199" s="1" t="s">
        <v>10148</v>
      </c>
      <c r="B1199" s="1" t="s">
        <v>16370</v>
      </c>
      <c r="C1199" s="3">
        <f>IF(B1199="","",SUMIFS('Factory Costs'!$C:$C,'Factory Costs'!$A:$A,"Blades",'Factory Costs'!$B:$B,B1199))</f>
        <v>34</v>
      </c>
    </row>
    <row r="1200" spans="1:3" x14ac:dyDescent="0.25">
      <c r="A1200" s="1" t="s">
        <v>10151</v>
      </c>
      <c r="B1200" s="1" t="s">
        <v>16370</v>
      </c>
      <c r="C1200" s="3">
        <f>IF(B1200="","",SUMIFS('Factory Costs'!$C:$C,'Factory Costs'!$A:$A,"Blades",'Factory Costs'!$B:$B,B1200))</f>
        <v>34</v>
      </c>
    </row>
    <row r="1201" spans="1:3" x14ac:dyDescent="0.25">
      <c r="A1201" s="1" t="s">
        <v>10154</v>
      </c>
      <c r="B1201" s="1" t="s">
        <v>16371</v>
      </c>
      <c r="C1201" s="3">
        <f>IF(B1201="","",SUMIFS('Factory Costs'!$C:$C,'Factory Costs'!$A:$A,"Blades",'Factory Costs'!$B:$B,B1201))</f>
        <v>37</v>
      </c>
    </row>
    <row r="1202" spans="1:3" x14ac:dyDescent="0.25">
      <c r="A1202" s="1" t="s">
        <v>10157</v>
      </c>
      <c r="B1202" s="1" t="s">
        <v>16371</v>
      </c>
      <c r="C1202" s="3">
        <f>IF(B1202="","",SUMIFS('Factory Costs'!$C:$C,'Factory Costs'!$A:$A,"Blades",'Factory Costs'!$B:$B,B1202))</f>
        <v>37</v>
      </c>
    </row>
    <row r="1203" spans="1:3" x14ac:dyDescent="0.25">
      <c r="A1203" s="1" t="s">
        <v>10160</v>
      </c>
      <c r="B1203" s="1" t="s">
        <v>16370</v>
      </c>
      <c r="C1203" s="3">
        <f>IF(B1203="","",SUMIFS('Factory Costs'!$C:$C,'Factory Costs'!$A:$A,"Blades",'Factory Costs'!$B:$B,B1203))</f>
        <v>34</v>
      </c>
    </row>
    <row r="1204" spans="1:3" x14ac:dyDescent="0.25">
      <c r="A1204" s="1" t="s">
        <v>10163</v>
      </c>
      <c r="B1204" s="1" t="s">
        <v>16370</v>
      </c>
      <c r="C1204" s="3">
        <f>IF(B1204="","",SUMIFS('Factory Costs'!$C:$C,'Factory Costs'!$A:$A,"Blades",'Factory Costs'!$B:$B,B1204))</f>
        <v>34</v>
      </c>
    </row>
    <row r="1205" spans="1:3" x14ac:dyDescent="0.25">
      <c r="A1205" s="1" t="s">
        <v>10166</v>
      </c>
      <c r="B1205" s="1" t="s">
        <v>16370</v>
      </c>
      <c r="C1205" s="3">
        <f>IF(B1205="","",SUMIFS('Factory Costs'!$C:$C,'Factory Costs'!$A:$A,"Blades",'Factory Costs'!$B:$B,B1205))</f>
        <v>34</v>
      </c>
    </row>
    <row r="1206" spans="1:3" x14ac:dyDescent="0.25">
      <c r="A1206" s="1" t="s">
        <v>10169</v>
      </c>
      <c r="B1206" s="1" t="s">
        <v>16372</v>
      </c>
      <c r="C1206" s="3">
        <f>IF(B1206="","",SUMIFS('Factory Costs'!$C:$C,'Factory Costs'!$A:$A,"Blades",'Factory Costs'!$B:$B,B1206))</f>
        <v>42</v>
      </c>
    </row>
    <row r="1207" spans="1:3" x14ac:dyDescent="0.25">
      <c r="A1207" s="1" t="s">
        <v>10172</v>
      </c>
      <c r="B1207" s="1" t="s">
        <v>16372</v>
      </c>
      <c r="C1207" s="3">
        <f>IF(B1207="","",SUMIFS('Factory Costs'!$C:$C,'Factory Costs'!$A:$A,"Blades",'Factory Costs'!$B:$B,B1207))</f>
        <v>42</v>
      </c>
    </row>
    <row r="1208" spans="1:3" x14ac:dyDescent="0.25">
      <c r="A1208" s="1" t="s">
        <v>10175</v>
      </c>
      <c r="B1208" s="1" t="s">
        <v>16370</v>
      </c>
      <c r="C1208" s="3">
        <f>IF(B1208="","",SUMIFS('Factory Costs'!$C:$C,'Factory Costs'!$A:$A,"Blades",'Factory Costs'!$B:$B,B1208))</f>
        <v>34</v>
      </c>
    </row>
    <row r="1209" spans="1:3" x14ac:dyDescent="0.25">
      <c r="A1209" s="1" t="s">
        <v>10178</v>
      </c>
      <c r="B1209" s="1" t="s">
        <v>16371</v>
      </c>
      <c r="C1209" s="3">
        <f>IF(B1209="","",SUMIFS('Factory Costs'!$C:$C,'Factory Costs'!$A:$A,"Blades",'Factory Costs'!$B:$B,B1209))</f>
        <v>37</v>
      </c>
    </row>
    <row r="1210" spans="1:3" x14ac:dyDescent="0.25">
      <c r="A1210" s="1" t="s">
        <v>10181</v>
      </c>
      <c r="B1210" s="1" t="s">
        <v>16372</v>
      </c>
      <c r="C1210" s="3">
        <f>IF(B1210="","",SUMIFS('Factory Costs'!$C:$C,'Factory Costs'!$A:$A,"Blades",'Factory Costs'!$B:$B,B1210))</f>
        <v>42</v>
      </c>
    </row>
    <row r="1211" spans="1:3" x14ac:dyDescent="0.25">
      <c r="A1211" s="1" t="s">
        <v>10184</v>
      </c>
      <c r="B1211" s="1" t="s">
        <v>16371</v>
      </c>
      <c r="C1211" s="3">
        <f>IF(B1211="","",SUMIFS('Factory Costs'!$C:$C,'Factory Costs'!$A:$A,"Blades",'Factory Costs'!$B:$B,B1211))</f>
        <v>37</v>
      </c>
    </row>
    <row r="1212" spans="1:3" x14ac:dyDescent="0.25">
      <c r="A1212" s="1" t="s">
        <v>10187</v>
      </c>
      <c r="B1212" s="1" t="s">
        <v>16372</v>
      </c>
      <c r="C1212" s="3">
        <f>IF(B1212="","",SUMIFS('Factory Costs'!$C:$C,'Factory Costs'!$A:$A,"Blades",'Factory Costs'!$B:$B,B1212))</f>
        <v>42</v>
      </c>
    </row>
    <row r="1213" spans="1:3" x14ac:dyDescent="0.25">
      <c r="A1213" s="1" t="s">
        <v>10190</v>
      </c>
      <c r="B1213" s="1" t="s">
        <v>16372</v>
      </c>
      <c r="C1213" s="3">
        <f>IF(B1213="","",SUMIFS('Factory Costs'!$C:$C,'Factory Costs'!$A:$A,"Blades",'Factory Costs'!$B:$B,B1213))</f>
        <v>42</v>
      </c>
    </row>
    <row r="1214" spans="1:3" x14ac:dyDescent="0.25">
      <c r="A1214" s="1" t="s">
        <v>10193</v>
      </c>
      <c r="B1214" s="1" t="s">
        <v>16370</v>
      </c>
      <c r="C1214" s="3">
        <f>IF(B1214="","",SUMIFS('Factory Costs'!$C:$C,'Factory Costs'!$A:$A,"Blades",'Factory Costs'!$B:$B,B1214))</f>
        <v>34</v>
      </c>
    </row>
    <row r="1215" spans="1:3" x14ac:dyDescent="0.25">
      <c r="A1215" s="1" t="s">
        <v>10196</v>
      </c>
      <c r="B1215" s="1" t="s">
        <v>16372</v>
      </c>
      <c r="C1215" s="3">
        <f>IF(B1215="","",SUMIFS('Factory Costs'!$C:$C,'Factory Costs'!$A:$A,"Blades",'Factory Costs'!$B:$B,B1215))</f>
        <v>42</v>
      </c>
    </row>
    <row r="1216" spans="1:3" x14ac:dyDescent="0.25">
      <c r="A1216" s="1" t="s">
        <v>10199</v>
      </c>
      <c r="B1216" s="1" t="s">
        <v>16370</v>
      </c>
      <c r="C1216" s="3">
        <f>IF(B1216="","",SUMIFS('Factory Costs'!$C:$C,'Factory Costs'!$A:$A,"Blades",'Factory Costs'!$B:$B,B1216))</f>
        <v>34</v>
      </c>
    </row>
    <row r="1217" spans="1:3" x14ac:dyDescent="0.25">
      <c r="A1217" s="1" t="s">
        <v>10202</v>
      </c>
      <c r="B1217" s="1" t="s">
        <v>16371</v>
      </c>
      <c r="C1217" s="3">
        <f>IF(B1217="","",SUMIFS('Factory Costs'!$C:$C,'Factory Costs'!$A:$A,"Blades",'Factory Costs'!$B:$B,B1217))</f>
        <v>37</v>
      </c>
    </row>
    <row r="1218" spans="1:3" x14ac:dyDescent="0.25">
      <c r="A1218" s="1" t="s">
        <v>10205</v>
      </c>
      <c r="B1218" s="1" t="s">
        <v>16371</v>
      </c>
      <c r="C1218" s="3">
        <f>IF(B1218="","",SUMIFS('Factory Costs'!$C:$C,'Factory Costs'!$A:$A,"Blades",'Factory Costs'!$B:$B,B1218))</f>
        <v>37</v>
      </c>
    </row>
    <row r="1219" spans="1:3" x14ac:dyDescent="0.25">
      <c r="A1219" s="1" t="s">
        <v>10208</v>
      </c>
      <c r="B1219" s="1" t="s">
        <v>16370</v>
      </c>
      <c r="C1219" s="3">
        <f>IF(B1219="","",SUMIFS('Factory Costs'!$C:$C,'Factory Costs'!$A:$A,"Blades",'Factory Costs'!$B:$B,B1219))</f>
        <v>34</v>
      </c>
    </row>
    <row r="1220" spans="1:3" x14ac:dyDescent="0.25">
      <c r="A1220" s="1" t="s">
        <v>10211</v>
      </c>
      <c r="B1220" s="1" t="s">
        <v>16370</v>
      </c>
      <c r="C1220" s="3">
        <f>IF(B1220="","",SUMIFS('Factory Costs'!$C:$C,'Factory Costs'!$A:$A,"Blades",'Factory Costs'!$B:$B,B1220))</f>
        <v>34</v>
      </c>
    </row>
    <row r="1221" spans="1:3" x14ac:dyDescent="0.25">
      <c r="A1221" s="1" t="s">
        <v>10214</v>
      </c>
      <c r="B1221" s="1" t="s">
        <v>16372</v>
      </c>
      <c r="C1221" s="3">
        <f>IF(B1221="","",SUMIFS('Factory Costs'!$C:$C,'Factory Costs'!$A:$A,"Blades",'Factory Costs'!$B:$B,B1221))</f>
        <v>42</v>
      </c>
    </row>
    <row r="1222" spans="1:3" x14ac:dyDescent="0.25">
      <c r="A1222" s="1" t="s">
        <v>10217</v>
      </c>
      <c r="B1222" s="1" t="s">
        <v>16370</v>
      </c>
      <c r="C1222" s="3">
        <f>IF(B1222="","",SUMIFS('Factory Costs'!$C:$C,'Factory Costs'!$A:$A,"Blades",'Factory Costs'!$B:$B,B1222))</f>
        <v>34</v>
      </c>
    </row>
    <row r="1223" spans="1:3" x14ac:dyDescent="0.25">
      <c r="A1223" s="1" t="s">
        <v>10220</v>
      </c>
      <c r="B1223" s="1" t="s">
        <v>16372</v>
      </c>
      <c r="C1223" s="3">
        <f>IF(B1223="","",SUMIFS('Factory Costs'!$C:$C,'Factory Costs'!$A:$A,"Blades",'Factory Costs'!$B:$B,B1223))</f>
        <v>42</v>
      </c>
    </row>
    <row r="1224" spans="1:3" x14ac:dyDescent="0.25">
      <c r="A1224" s="1" t="s">
        <v>10223</v>
      </c>
      <c r="B1224" s="1" t="s">
        <v>16370</v>
      </c>
      <c r="C1224" s="3">
        <f>IF(B1224="","",SUMIFS('Factory Costs'!$C:$C,'Factory Costs'!$A:$A,"Blades",'Factory Costs'!$B:$B,B1224))</f>
        <v>34</v>
      </c>
    </row>
    <row r="1225" spans="1:3" x14ac:dyDescent="0.25">
      <c r="A1225" s="1" t="s">
        <v>10226</v>
      </c>
      <c r="B1225" s="1" t="s">
        <v>16370</v>
      </c>
      <c r="C1225" s="3">
        <f>IF(B1225="","",SUMIFS('Factory Costs'!$C:$C,'Factory Costs'!$A:$A,"Blades",'Factory Costs'!$B:$B,B1225))</f>
        <v>34</v>
      </c>
    </row>
    <row r="1226" spans="1:3" x14ac:dyDescent="0.25">
      <c r="A1226" s="1" t="s">
        <v>10229</v>
      </c>
      <c r="B1226" s="1" t="s">
        <v>16370</v>
      </c>
      <c r="C1226" s="3">
        <f>IF(B1226="","",SUMIFS('Factory Costs'!$C:$C,'Factory Costs'!$A:$A,"Blades",'Factory Costs'!$B:$B,B1226))</f>
        <v>34</v>
      </c>
    </row>
    <row r="1227" spans="1:3" x14ac:dyDescent="0.25">
      <c r="A1227" s="1" t="s">
        <v>10232</v>
      </c>
      <c r="B1227" s="1" t="s">
        <v>16372</v>
      </c>
      <c r="C1227" s="3">
        <f>IF(B1227="","",SUMIFS('Factory Costs'!$C:$C,'Factory Costs'!$A:$A,"Blades",'Factory Costs'!$B:$B,B1227))</f>
        <v>42</v>
      </c>
    </row>
    <row r="1228" spans="1:3" x14ac:dyDescent="0.25">
      <c r="A1228" s="1" t="s">
        <v>10235</v>
      </c>
      <c r="B1228" s="1" t="s">
        <v>16370</v>
      </c>
      <c r="C1228" s="3">
        <f>IF(B1228="","",SUMIFS('Factory Costs'!$C:$C,'Factory Costs'!$A:$A,"Blades",'Factory Costs'!$B:$B,B1228))</f>
        <v>34</v>
      </c>
    </row>
    <row r="1229" spans="1:3" x14ac:dyDescent="0.25">
      <c r="A1229" s="1" t="s">
        <v>10238</v>
      </c>
      <c r="B1229" s="1" t="s">
        <v>16370</v>
      </c>
      <c r="C1229" s="3">
        <f>IF(B1229="","",SUMIFS('Factory Costs'!$C:$C,'Factory Costs'!$A:$A,"Blades",'Factory Costs'!$B:$B,B1229))</f>
        <v>34</v>
      </c>
    </row>
    <row r="1230" spans="1:3" x14ac:dyDescent="0.25">
      <c r="A1230" s="1" t="s">
        <v>10241</v>
      </c>
      <c r="B1230" s="1" t="s">
        <v>16372</v>
      </c>
      <c r="C1230" s="3">
        <f>IF(B1230="","",SUMIFS('Factory Costs'!$C:$C,'Factory Costs'!$A:$A,"Blades",'Factory Costs'!$B:$B,B1230))</f>
        <v>42</v>
      </c>
    </row>
    <row r="1231" spans="1:3" x14ac:dyDescent="0.25">
      <c r="A1231" s="1" t="s">
        <v>10244</v>
      </c>
      <c r="B1231" s="1" t="s">
        <v>16370</v>
      </c>
      <c r="C1231" s="3">
        <f>IF(B1231="","",SUMIFS('Factory Costs'!$C:$C,'Factory Costs'!$A:$A,"Blades",'Factory Costs'!$B:$B,B1231))</f>
        <v>34</v>
      </c>
    </row>
    <row r="1232" spans="1:3" x14ac:dyDescent="0.25">
      <c r="A1232" s="1" t="s">
        <v>10247</v>
      </c>
      <c r="B1232" s="1" t="s">
        <v>16370</v>
      </c>
      <c r="C1232" s="3">
        <f>IF(B1232="","",SUMIFS('Factory Costs'!$C:$C,'Factory Costs'!$A:$A,"Blades",'Factory Costs'!$B:$B,B1232))</f>
        <v>34</v>
      </c>
    </row>
    <row r="1233" spans="1:3" x14ac:dyDescent="0.25">
      <c r="A1233" s="1" t="s">
        <v>10250</v>
      </c>
      <c r="B1233" s="1" t="s">
        <v>16372</v>
      </c>
      <c r="C1233" s="3">
        <f>IF(B1233="","",SUMIFS('Factory Costs'!$C:$C,'Factory Costs'!$A:$A,"Blades",'Factory Costs'!$B:$B,B1233))</f>
        <v>42</v>
      </c>
    </row>
    <row r="1234" spans="1:3" x14ac:dyDescent="0.25">
      <c r="A1234" s="1" t="s">
        <v>10253</v>
      </c>
      <c r="B1234" s="1" t="s">
        <v>16371</v>
      </c>
      <c r="C1234" s="3">
        <f>IF(B1234="","",SUMIFS('Factory Costs'!$C:$C,'Factory Costs'!$A:$A,"Blades",'Factory Costs'!$B:$B,B1234))</f>
        <v>37</v>
      </c>
    </row>
    <row r="1235" spans="1:3" x14ac:dyDescent="0.25">
      <c r="A1235" s="1" t="s">
        <v>10256</v>
      </c>
      <c r="B1235" s="1" t="s">
        <v>16372</v>
      </c>
      <c r="C1235" s="3">
        <f>IF(B1235="","",SUMIFS('Factory Costs'!$C:$C,'Factory Costs'!$A:$A,"Blades",'Factory Costs'!$B:$B,B1235))</f>
        <v>42</v>
      </c>
    </row>
    <row r="1236" spans="1:3" x14ac:dyDescent="0.25">
      <c r="A1236" s="1" t="s">
        <v>10259</v>
      </c>
      <c r="B1236" s="1" t="s">
        <v>16371</v>
      </c>
      <c r="C1236" s="3">
        <f>IF(B1236="","",SUMIFS('Factory Costs'!$C:$C,'Factory Costs'!$A:$A,"Blades",'Factory Costs'!$B:$B,B1236))</f>
        <v>37</v>
      </c>
    </row>
    <row r="1237" spans="1:3" x14ac:dyDescent="0.25">
      <c r="A1237" s="1" t="s">
        <v>10262</v>
      </c>
      <c r="B1237" s="1" t="s">
        <v>16371</v>
      </c>
      <c r="C1237" s="3">
        <f>IF(B1237="","",SUMIFS('Factory Costs'!$C:$C,'Factory Costs'!$A:$A,"Blades",'Factory Costs'!$B:$B,B1237))</f>
        <v>37</v>
      </c>
    </row>
    <row r="1238" spans="1:3" x14ac:dyDescent="0.25">
      <c r="A1238" s="1" t="s">
        <v>10265</v>
      </c>
      <c r="B1238" s="1" t="s">
        <v>16372</v>
      </c>
      <c r="C1238" s="3">
        <f>IF(B1238="","",SUMIFS('Factory Costs'!$C:$C,'Factory Costs'!$A:$A,"Blades",'Factory Costs'!$B:$B,B1238))</f>
        <v>42</v>
      </c>
    </row>
    <row r="1239" spans="1:3" x14ac:dyDescent="0.25">
      <c r="A1239" s="1" t="s">
        <v>10268</v>
      </c>
      <c r="B1239" s="1" t="s">
        <v>16370</v>
      </c>
      <c r="C1239" s="3">
        <f>IF(B1239="","",SUMIFS('Factory Costs'!$C:$C,'Factory Costs'!$A:$A,"Blades",'Factory Costs'!$B:$B,B1239))</f>
        <v>34</v>
      </c>
    </row>
    <row r="1240" spans="1:3" x14ac:dyDescent="0.25">
      <c r="A1240" s="1" t="s">
        <v>10271</v>
      </c>
      <c r="B1240" s="1" t="s">
        <v>16370</v>
      </c>
      <c r="C1240" s="3">
        <f>IF(B1240="","",SUMIFS('Factory Costs'!$C:$C,'Factory Costs'!$A:$A,"Blades",'Factory Costs'!$B:$B,B1240))</f>
        <v>34</v>
      </c>
    </row>
    <row r="1241" spans="1:3" x14ac:dyDescent="0.25">
      <c r="A1241" s="1" t="s">
        <v>10274</v>
      </c>
      <c r="B1241" s="1" t="s">
        <v>16372</v>
      </c>
      <c r="C1241" s="3">
        <f>IF(B1241="","",SUMIFS('Factory Costs'!$C:$C,'Factory Costs'!$A:$A,"Blades",'Factory Costs'!$B:$B,B1241))</f>
        <v>42</v>
      </c>
    </row>
    <row r="1242" spans="1:3" x14ac:dyDescent="0.25">
      <c r="A1242" s="1" t="s">
        <v>10277</v>
      </c>
      <c r="B1242" s="1" t="s">
        <v>16372</v>
      </c>
      <c r="C1242" s="3">
        <f>IF(B1242="","",SUMIFS('Factory Costs'!$C:$C,'Factory Costs'!$A:$A,"Blades",'Factory Costs'!$B:$B,B1242))</f>
        <v>42</v>
      </c>
    </row>
    <row r="1243" spans="1:3" x14ac:dyDescent="0.25">
      <c r="A1243" s="1" t="s">
        <v>10280</v>
      </c>
      <c r="B1243" s="1" t="s">
        <v>16371</v>
      </c>
      <c r="C1243" s="3">
        <f>IF(B1243="","",SUMIFS('Factory Costs'!$C:$C,'Factory Costs'!$A:$A,"Blades",'Factory Costs'!$B:$B,B1243))</f>
        <v>37</v>
      </c>
    </row>
    <row r="1244" spans="1:3" x14ac:dyDescent="0.25">
      <c r="A1244" s="1" t="s">
        <v>10283</v>
      </c>
      <c r="B1244" s="1" t="s">
        <v>16370</v>
      </c>
      <c r="C1244" s="3">
        <f>IF(B1244="","",SUMIFS('Factory Costs'!$C:$C,'Factory Costs'!$A:$A,"Blades",'Factory Costs'!$B:$B,B1244))</f>
        <v>34</v>
      </c>
    </row>
    <row r="1245" spans="1:3" x14ac:dyDescent="0.25">
      <c r="A1245" s="1" t="s">
        <v>10286</v>
      </c>
      <c r="B1245" s="1" t="s">
        <v>16370</v>
      </c>
      <c r="C1245" s="3">
        <f>IF(B1245="","",SUMIFS('Factory Costs'!$C:$C,'Factory Costs'!$A:$A,"Blades",'Factory Costs'!$B:$B,B1245))</f>
        <v>34</v>
      </c>
    </row>
    <row r="1246" spans="1:3" x14ac:dyDescent="0.25">
      <c r="A1246" s="1" t="s">
        <v>10289</v>
      </c>
      <c r="B1246" s="1" t="s">
        <v>16370</v>
      </c>
      <c r="C1246" s="3">
        <f>IF(B1246="","",SUMIFS('Factory Costs'!$C:$C,'Factory Costs'!$A:$A,"Blades",'Factory Costs'!$B:$B,B1246))</f>
        <v>34</v>
      </c>
    </row>
    <row r="1247" spans="1:3" x14ac:dyDescent="0.25">
      <c r="A1247" s="1" t="s">
        <v>10292</v>
      </c>
      <c r="B1247" s="1" t="s">
        <v>16372</v>
      </c>
      <c r="C1247" s="3">
        <f>IF(B1247="","",SUMIFS('Factory Costs'!$C:$C,'Factory Costs'!$A:$A,"Blades",'Factory Costs'!$B:$B,B1247))</f>
        <v>42</v>
      </c>
    </row>
    <row r="1248" spans="1:3" x14ac:dyDescent="0.25">
      <c r="A1248" s="1" t="s">
        <v>10295</v>
      </c>
      <c r="B1248" s="1" t="s">
        <v>16370</v>
      </c>
      <c r="C1248" s="3">
        <f>IF(B1248="","",SUMIFS('Factory Costs'!$C:$C,'Factory Costs'!$A:$A,"Blades",'Factory Costs'!$B:$B,B1248))</f>
        <v>34</v>
      </c>
    </row>
    <row r="1249" spans="1:3" x14ac:dyDescent="0.25">
      <c r="A1249" s="1" t="s">
        <v>10298</v>
      </c>
      <c r="B1249" s="1" t="s">
        <v>16371</v>
      </c>
      <c r="C1249" s="3">
        <f>IF(B1249="","",SUMIFS('Factory Costs'!$C:$C,'Factory Costs'!$A:$A,"Blades",'Factory Costs'!$B:$B,B1249))</f>
        <v>37</v>
      </c>
    </row>
    <row r="1250" spans="1:3" x14ac:dyDescent="0.25">
      <c r="A1250" s="1" t="s">
        <v>10301</v>
      </c>
      <c r="B1250" s="1" t="s">
        <v>16370</v>
      </c>
      <c r="C1250" s="3">
        <f>IF(B1250="","",SUMIFS('Factory Costs'!$C:$C,'Factory Costs'!$A:$A,"Blades",'Factory Costs'!$B:$B,B1250))</f>
        <v>34</v>
      </c>
    </row>
    <row r="1251" spans="1:3" x14ac:dyDescent="0.25">
      <c r="A1251" s="1" t="s">
        <v>10304</v>
      </c>
      <c r="B1251" s="1" t="s">
        <v>16370</v>
      </c>
      <c r="C1251" s="3">
        <f>IF(B1251="","",SUMIFS('Factory Costs'!$C:$C,'Factory Costs'!$A:$A,"Blades",'Factory Costs'!$B:$B,B1251))</f>
        <v>34</v>
      </c>
    </row>
    <row r="1252" spans="1:3" x14ac:dyDescent="0.25">
      <c r="A1252" s="1" t="s">
        <v>10307</v>
      </c>
      <c r="B1252" s="1" t="s">
        <v>16370</v>
      </c>
      <c r="C1252" s="3">
        <f>IF(B1252="","",SUMIFS('Factory Costs'!$C:$C,'Factory Costs'!$A:$A,"Blades",'Factory Costs'!$B:$B,B1252))</f>
        <v>34</v>
      </c>
    </row>
    <row r="1253" spans="1:3" x14ac:dyDescent="0.25">
      <c r="A1253" s="1" t="s">
        <v>10310</v>
      </c>
      <c r="B1253" s="1" t="s">
        <v>16370</v>
      </c>
      <c r="C1253" s="3">
        <f>IF(B1253="","",SUMIFS('Factory Costs'!$C:$C,'Factory Costs'!$A:$A,"Blades",'Factory Costs'!$B:$B,B1253))</f>
        <v>34</v>
      </c>
    </row>
    <row r="1254" spans="1:3" x14ac:dyDescent="0.25">
      <c r="A1254" s="1" t="s">
        <v>10313</v>
      </c>
      <c r="B1254" s="1" t="s">
        <v>16372</v>
      </c>
      <c r="C1254" s="3">
        <f>IF(B1254="","",SUMIFS('Factory Costs'!$C:$C,'Factory Costs'!$A:$A,"Blades",'Factory Costs'!$B:$B,B1254))</f>
        <v>42</v>
      </c>
    </row>
    <row r="1255" spans="1:3" x14ac:dyDescent="0.25">
      <c r="A1255" s="1" t="s">
        <v>10316</v>
      </c>
      <c r="B1255" s="1" t="s">
        <v>16371</v>
      </c>
      <c r="C1255" s="3">
        <f>IF(B1255="","",SUMIFS('Factory Costs'!$C:$C,'Factory Costs'!$A:$A,"Blades",'Factory Costs'!$B:$B,B1255))</f>
        <v>37</v>
      </c>
    </row>
    <row r="1256" spans="1:3" x14ac:dyDescent="0.25">
      <c r="A1256" s="1" t="s">
        <v>10319</v>
      </c>
      <c r="B1256" s="1" t="s">
        <v>16372</v>
      </c>
      <c r="C1256" s="3">
        <f>IF(B1256="","",SUMIFS('Factory Costs'!$C:$C,'Factory Costs'!$A:$A,"Blades",'Factory Costs'!$B:$B,B1256))</f>
        <v>42</v>
      </c>
    </row>
    <row r="1257" spans="1:3" x14ac:dyDescent="0.25">
      <c r="A1257" s="1" t="s">
        <v>10322</v>
      </c>
      <c r="B1257" s="1" t="s">
        <v>16372</v>
      </c>
      <c r="C1257" s="3">
        <f>IF(B1257="","",SUMIFS('Factory Costs'!$C:$C,'Factory Costs'!$A:$A,"Blades",'Factory Costs'!$B:$B,B1257))</f>
        <v>42</v>
      </c>
    </row>
    <row r="1258" spans="1:3" x14ac:dyDescent="0.25">
      <c r="A1258" s="1" t="s">
        <v>10325</v>
      </c>
      <c r="B1258" s="1" t="s">
        <v>16372</v>
      </c>
      <c r="C1258" s="3">
        <f>IF(B1258="","",SUMIFS('Factory Costs'!$C:$C,'Factory Costs'!$A:$A,"Blades",'Factory Costs'!$B:$B,B1258))</f>
        <v>42</v>
      </c>
    </row>
    <row r="1259" spans="1:3" x14ac:dyDescent="0.25">
      <c r="A1259" s="1" t="s">
        <v>10328</v>
      </c>
      <c r="B1259" s="1" t="s">
        <v>16370</v>
      </c>
      <c r="C1259" s="3">
        <f>IF(B1259="","",SUMIFS('Factory Costs'!$C:$C,'Factory Costs'!$A:$A,"Blades",'Factory Costs'!$B:$B,B1259))</f>
        <v>34</v>
      </c>
    </row>
    <row r="1260" spans="1:3" x14ac:dyDescent="0.25">
      <c r="A1260" s="1" t="s">
        <v>10331</v>
      </c>
      <c r="B1260" s="1" t="s">
        <v>16370</v>
      </c>
      <c r="C1260" s="3">
        <f>IF(B1260="","",SUMIFS('Factory Costs'!$C:$C,'Factory Costs'!$A:$A,"Blades",'Factory Costs'!$B:$B,B1260))</f>
        <v>34</v>
      </c>
    </row>
    <row r="1261" spans="1:3" x14ac:dyDescent="0.25">
      <c r="A1261" s="1" t="s">
        <v>10334</v>
      </c>
      <c r="B1261" s="1" t="s">
        <v>16372</v>
      </c>
      <c r="C1261" s="3">
        <f>IF(B1261="","",SUMIFS('Factory Costs'!$C:$C,'Factory Costs'!$A:$A,"Blades",'Factory Costs'!$B:$B,B1261))</f>
        <v>42</v>
      </c>
    </row>
    <row r="1262" spans="1:3" x14ac:dyDescent="0.25">
      <c r="A1262" s="1" t="s">
        <v>10337</v>
      </c>
      <c r="B1262" s="1" t="s">
        <v>16372</v>
      </c>
      <c r="C1262" s="3">
        <f>IF(B1262="","",SUMIFS('Factory Costs'!$C:$C,'Factory Costs'!$A:$A,"Blades",'Factory Costs'!$B:$B,B1262))</f>
        <v>42</v>
      </c>
    </row>
    <row r="1263" spans="1:3" x14ac:dyDescent="0.25">
      <c r="A1263" s="1" t="s">
        <v>10340</v>
      </c>
      <c r="B1263" s="1" t="s">
        <v>16371</v>
      </c>
      <c r="C1263" s="3">
        <f>IF(B1263="","",SUMIFS('Factory Costs'!$C:$C,'Factory Costs'!$A:$A,"Blades",'Factory Costs'!$B:$B,B1263))</f>
        <v>37</v>
      </c>
    </row>
    <row r="1264" spans="1:3" x14ac:dyDescent="0.25">
      <c r="A1264" s="1" t="s">
        <v>10343</v>
      </c>
      <c r="B1264" s="1" t="s">
        <v>16371</v>
      </c>
      <c r="C1264" s="3">
        <f>IF(B1264="","",SUMIFS('Factory Costs'!$C:$C,'Factory Costs'!$A:$A,"Blades",'Factory Costs'!$B:$B,B1264))</f>
        <v>37</v>
      </c>
    </row>
    <row r="1265" spans="1:3" x14ac:dyDescent="0.25">
      <c r="A1265" s="1" t="s">
        <v>10346</v>
      </c>
      <c r="B1265" s="1" t="s">
        <v>16370</v>
      </c>
      <c r="C1265" s="3">
        <f>IF(B1265="","",SUMIFS('Factory Costs'!$C:$C,'Factory Costs'!$A:$A,"Blades",'Factory Costs'!$B:$B,B1265))</f>
        <v>34</v>
      </c>
    </row>
    <row r="1266" spans="1:3" x14ac:dyDescent="0.25">
      <c r="A1266" s="1" t="s">
        <v>10349</v>
      </c>
      <c r="B1266" s="1" t="s">
        <v>16370</v>
      </c>
      <c r="C1266" s="3">
        <f>IF(B1266="","",SUMIFS('Factory Costs'!$C:$C,'Factory Costs'!$A:$A,"Blades",'Factory Costs'!$B:$B,B1266))</f>
        <v>34</v>
      </c>
    </row>
    <row r="1267" spans="1:3" x14ac:dyDescent="0.25">
      <c r="A1267" s="1" t="s">
        <v>10352</v>
      </c>
      <c r="B1267" s="1" t="s">
        <v>16372</v>
      </c>
      <c r="C1267" s="3">
        <f>IF(B1267="","",SUMIFS('Factory Costs'!$C:$C,'Factory Costs'!$A:$A,"Blades",'Factory Costs'!$B:$B,B1267))</f>
        <v>42</v>
      </c>
    </row>
    <row r="1268" spans="1:3" x14ac:dyDescent="0.25">
      <c r="A1268" s="1" t="s">
        <v>10355</v>
      </c>
      <c r="B1268" s="1" t="s">
        <v>16370</v>
      </c>
      <c r="C1268" s="3">
        <f>IF(B1268="","",SUMIFS('Factory Costs'!$C:$C,'Factory Costs'!$A:$A,"Blades",'Factory Costs'!$B:$B,B1268))</f>
        <v>34</v>
      </c>
    </row>
    <row r="1269" spans="1:3" x14ac:dyDescent="0.25">
      <c r="A1269" s="1" t="s">
        <v>10358</v>
      </c>
      <c r="B1269" s="1" t="s">
        <v>16372</v>
      </c>
      <c r="C1269" s="3">
        <f>IF(B1269="","",SUMIFS('Factory Costs'!$C:$C,'Factory Costs'!$A:$A,"Blades",'Factory Costs'!$B:$B,B1269))</f>
        <v>42</v>
      </c>
    </row>
    <row r="1270" spans="1:3" x14ac:dyDescent="0.25">
      <c r="A1270" s="1" t="s">
        <v>10361</v>
      </c>
      <c r="B1270" s="1" t="s">
        <v>16372</v>
      </c>
      <c r="C1270" s="3">
        <f>IF(B1270="","",SUMIFS('Factory Costs'!$C:$C,'Factory Costs'!$A:$A,"Blades",'Factory Costs'!$B:$B,B1270))</f>
        <v>42</v>
      </c>
    </row>
    <row r="1271" spans="1:3" x14ac:dyDescent="0.25">
      <c r="A1271" s="1" t="s">
        <v>10364</v>
      </c>
      <c r="B1271" s="1" t="s">
        <v>16372</v>
      </c>
      <c r="C1271" s="3">
        <f>IF(B1271="","",SUMIFS('Factory Costs'!$C:$C,'Factory Costs'!$A:$A,"Blades",'Factory Costs'!$B:$B,B1271))</f>
        <v>42</v>
      </c>
    </row>
    <row r="1272" spans="1:3" x14ac:dyDescent="0.25">
      <c r="A1272" s="1" t="s">
        <v>10367</v>
      </c>
      <c r="B1272" s="1" t="s">
        <v>16370</v>
      </c>
      <c r="C1272" s="3">
        <f>IF(B1272="","",SUMIFS('Factory Costs'!$C:$C,'Factory Costs'!$A:$A,"Blades",'Factory Costs'!$B:$B,B1272))</f>
        <v>34</v>
      </c>
    </row>
    <row r="1273" spans="1:3" x14ac:dyDescent="0.25">
      <c r="A1273" s="1" t="s">
        <v>10370</v>
      </c>
      <c r="B1273" s="1" t="s">
        <v>16371</v>
      </c>
      <c r="C1273" s="3">
        <f>IF(B1273="","",SUMIFS('Factory Costs'!$C:$C,'Factory Costs'!$A:$A,"Blades",'Factory Costs'!$B:$B,B1273))</f>
        <v>37</v>
      </c>
    </row>
    <row r="1274" spans="1:3" x14ac:dyDescent="0.25">
      <c r="A1274" s="1" t="s">
        <v>10373</v>
      </c>
      <c r="B1274" s="1" t="s">
        <v>16370</v>
      </c>
      <c r="C1274" s="3">
        <f>IF(B1274="","",SUMIFS('Factory Costs'!$C:$C,'Factory Costs'!$A:$A,"Blades",'Factory Costs'!$B:$B,B1274))</f>
        <v>34</v>
      </c>
    </row>
    <row r="1275" spans="1:3" x14ac:dyDescent="0.25">
      <c r="A1275" s="1" t="s">
        <v>10376</v>
      </c>
      <c r="B1275" s="1" t="s">
        <v>16370</v>
      </c>
      <c r="C1275" s="3">
        <f>IF(B1275="","",SUMIFS('Factory Costs'!$C:$C,'Factory Costs'!$A:$A,"Blades",'Factory Costs'!$B:$B,B1275))</f>
        <v>34</v>
      </c>
    </row>
    <row r="1276" spans="1:3" x14ac:dyDescent="0.25">
      <c r="A1276" s="1" t="s">
        <v>10379</v>
      </c>
      <c r="B1276" s="1" t="s">
        <v>16370</v>
      </c>
      <c r="C1276" s="3">
        <f>IF(B1276="","",SUMIFS('Factory Costs'!$C:$C,'Factory Costs'!$A:$A,"Blades",'Factory Costs'!$B:$B,B1276))</f>
        <v>34</v>
      </c>
    </row>
    <row r="1277" spans="1:3" x14ac:dyDescent="0.25">
      <c r="A1277" s="1" t="s">
        <v>10382</v>
      </c>
      <c r="B1277" s="1" t="s">
        <v>16371</v>
      </c>
      <c r="C1277" s="3">
        <f>IF(B1277="","",SUMIFS('Factory Costs'!$C:$C,'Factory Costs'!$A:$A,"Blades",'Factory Costs'!$B:$B,B1277))</f>
        <v>37</v>
      </c>
    </row>
    <row r="1278" spans="1:3" x14ac:dyDescent="0.25">
      <c r="A1278" s="1" t="s">
        <v>10385</v>
      </c>
      <c r="B1278" s="1" t="s">
        <v>16371</v>
      </c>
      <c r="C1278" s="3">
        <f>IF(B1278="","",SUMIFS('Factory Costs'!$C:$C,'Factory Costs'!$A:$A,"Blades",'Factory Costs'!$B:$B,B1278))</f>
        <v>37</v>
      </c>
    </row>
    <row r="1279" spans="1:3" x14ac:dyDescent="0.25">
      <c r="A1279" s="1" t="s">
        <v>10388</v>
      </c>
      <c r="B1279" s="1" t="s">
        <v>16370</v>
      </c>
      <c r="C1279" s="3">
        <f>IF(B1279="","",SUMIFS('Factory Costs'!$C:$C,'Factory Costs'!$A:$A,"Blades",'Factory Costs'!$B:$B,B1279))</f>
        <v>34</v>
      </c>
    </row>
    <row r="1280" spans="1:3" x14ac:dyDescent="0.25">
      <c r="A1280" s="1" t="s">
        <v>10391</v>
      </c>
      <c r="B1280" s="1" t="s">
        <v>16371</v>
      </c>
      <c r="C1280" s="3">
        <f>IF(B1280="","",SUMIFS('Factory Costs'!$C:$C,'Factory Costs'!$A:$A,"Blades",'Factory Costs'!$B:$B,B1280))</f>
        <v>37</v>
      </c>
    </row>
    <row r="1281" spans="1:3" x14ac:dyDescent="0.25">
      <c r="A1281" s="1" t="s">
        <v>10394</v>
      </c>
      <c r="B1281" s="1" t="s">
        <v>16370</v>
      </c>
      <c r="C1281" s="3">
        <f>IF(B1281="","",SUMIFS('Factory Costs'!$C:$C,'Factory Costs'!$A:$A,"Blades",'Factory Costs'!$B:$B,B1281))</f>
        <v>34</v>
      </c>
    </row>
    <row r="1282" spans="1:3" x14ac:dyDescent="0.25">
      <c r="A1282" s="1" t="s">
        <v>10397</v>
      </c>
      <c r="B1282" s="1" t="s">
        <v>16372</v>
      </c>
      <c r="C1282" s="3">
        <f>IF(B1282="","",SUMIFS('Factory Costs'!$C:$C,'Factory Costs'!$A:$A,"Blades",'Factory Costs'!$B:$B,B1282))</f>
        <v>42</v>
      </c>
    </row>
    <row r="1283" spans="1:3" x14ac:dyDescent="0.25">
      <c r="A1283" s="1" t="s">
        <v>10400</v>
      </c>
      <c r="B1283" s="1" t="s">
        <v>16370</v>
      </c>
      <c r="C1283" s="3">
        <f>IF(B1283="","",SUMIFS('Factory Costs'!$C:$C,'Factory Costs'!$A:$A,"Blades",'Factory Costs'!$B:$B,B1283))</f>
        <v>34</v>
      </c>
    </row>
    <row r="1284" spans="1:3" x14ac:dyDescent="0.25">
      <c r="A1284" s="1" t="s">
        <v>10403</v>
      </c>
      <c r="B1284" s="1" t="s">
        <v>16370</v>
      </c>
      <c r="C1284" s="3">
        <f>IF(B1284="","",SUMIFS('Factory Costs'!$C:$C,'Factory Costs'!$A:$A,"Blades",'Factory Costs'!$B:$B,B1284))</f>
        <v>34</v>
      </c>
    </row>
    <row r="1285" spans="1:3" x14ac:dyDescent="0.25">
      <c r="A1285" s="1" t="s">
        <v>10406</v>
      </c>
      <c r="B1285" s="1" t="s">
        <v>16372</v>
      </c>
      <c r="C1285" s="3">
        <f>IF(B1285="","",SUMIFS('Factory Costs'!$C:$C,'Factory Costs'!$A:$A,"Blades",'Factory Costs'!$B:$B,B1285))</f>
        <v>42</v>
      </c>
    </row>
    <row r="1286" spans="1:3" x14ac:dyDescent="0.25">
      <c r="A1286" s="1" t="s">
        <v>10409</v>
      </c>
      <c r="B1286" s="1" t="s">
        <v>16370</v>
      </c>
      <c r="C1286" s="3">
        <f>IF(B1286="","",SUMIFS('Factory Costs'!$C:$C,'Factory Costs'!$A:$A,"Blades",'Factory Costs'!$B:$B,B1286))</f>
        <v>34</v>
      </c>
    </row>
    <row r="1287" spans="1:3" x14ac:dyDescent="0.25">
      <c r="A1287" s="1" t="s">
        <v>10412</v>
      </c>
      <c r="B1287" s="1" t="s">
        <v>16372</v>
      </c>
      <c r="C1287" s="3">
        <f>IF(B1287="","",SUMIFS('Factory Costs'!$C:$C,'Factory Costs'!$A:$A,"Blades",'Factory Costs'!$B:$B,B1287))</f>
        <v>42</v>
      </c>
    </row>
    <row r="1288" spans="1:3" x14ac:dyDescent="0.25">
      <c r="A1288" s="1" t="s">
        <v>10415</v>
      </c>
      <c r="B1288" s="1" t="s">
        <v>16370</v>
      </c>
      <c r="C1288" s="3">
        <f>IF(B1288="","",SUMIFS('Factory Costs'!$C:$C,'Factory Costs'!$A:$A,"Blades",'Factory Costs'!$B:$B,B1288))</f>
        <v>34</v>
      </c>
    </row>
    <row r="1289" spans="1:3" x14ac:dyDescent="0.25">
      <c r="A1289" s="1" t="s">
        <v>10418</v>
      </c>
      <c r="B1289" s="1" t="s">
        <v>16372</v>
      </c>
      <c r="C1289" s="3">
        <f>IF(B1289="","",SUMIFS('Factory Costs'!$C:$C,'Factory Costs'!$A:$A,"Blades",'Factory Costs'!$B:$B,B1289))</f>
        <v>42</v>
      </c>
    </row>
    <row r="1290" spans="1:3" x14ac:dyDescent="0.25">
      <c r="A1290" s="1" t="s">
        <v>10421</v>
      </c>
      <c r="B1290" s="1" t="s">
        <v>16371</v>
      </c>
      <c r="C1290" s="3">
        <f>IF(B1290="","",SUMIFS('Factory Costs'!$C:$C,'Factory Costs'!$A:$A,"Blades",'Factory Costs'!$B:$B,B1290))</f>
        <v>37</v>
      </c>
    </row>
    <row r="1291" spans="1:3" x14ac:dyDescent="0.25">
      <c r="A1291" s="1" t="s">
        <v>10424</v>
      </c>
      <c r="B1291" s="1" t="s">
        <v>16370</v>
      </c>
      <c r="C1291" s="3">
        <f>IF(B1291="","",SUMIFS('Factory Costs'!$C:$C,'Factory Costs'!$A:$A,"Blades",'Factory Costs'!$B:$B,B1291))</f>
        <v>34</v>
      </c>
    </row>
    <row r="1292" spans="1:3" x14ac:dyDescent="0.25">
      <c r="A1292" s="1" t="s">
        <v>10427</v>
      </c>
      <c r="B1292" s="1" t="s">
        <v>16370</v>
      </c>
      <c r="C1292" s="3">
        <f>IF(B1292="","",SUMIFS('Factory Costs'!$C:$C,'Factory Costs'!$A:$A,"Blades",'Factory Costs'!$B:$B,B1292))</f>
        <v>34</v>
      </c>
    </row>
    <row r="1293" spans="1:3" x14ac:dyDescent="0.25">
      <c r="A1293" s="1" t="s">
        <v>10430</v>
      </c>
      <c r="B1293" s="1" t="s">
        <v>16371</v>
      </c>
      <c r="C1293" s="3">
        <f>IF(B1293="","",SUMIFS('Factory Costs'!$C:$C,'Factory Costs'!$A:$A,"Blades",'Factory Costs'!$B:$B,B1293))</f>
        <v>37</v>
      </c>
    </row>
    <row r="1294" spans="1:3" x14ac:dyDescent="0.25">
      <c r="A1294" s="1" t="s">
        <v>10433</v>
      </c>
      <c r="B1294" s="1" t="s">
        <v>16372</v>
      </c>
      <c r="C1294" s="3">
        <f>IF(B1294="","",SUMIFS('Factory Costs'!$C:$C,'Factory Costs'!$A:$A,"Blades",'Factory Costs'!$B:$B,B1294))</f>
        <v>42</v>
      </c>
    </row>
    <row r="1295" spans="1:3" x14ac:dyDescent="0.25">
      <c r="A1295" s="1" t="s">
        <v>10436</v>
      </c>
      <c r="B1295" s="1" t="s">
        <v>16372</v>
      </c>
      <c r="C1295" s="3">
        <f>IF(B1295="","",SUMIFS('Factory Costs'!$C:$C,'Factory Costs'!$A:$A,"Blades",'Factory Costs'!$B:$B,B1295))</f>
        <v>42</v>
      </c>
    </row>
    <row r="1296" spans="1:3" x14ac:dyDescent="0.25">
      <c r="A1296" s="1" t="s">
        <v>10439</v>
      </c>
      <c r="B1296" s="1" t="s">
        <v>16372</v>
      </c>
      <c r="C1296" s="3">
        <f>IF(B1296="","",SUMIFS('Factory Costs'!$C:$C,'Factory Costs'!$A:$A,"Blades",'Factory Costs'!$B:$B,B1296))</f>
        <v>42</v>
      </c>
    </row>
    <row r="1297" spans="1:3" x14ac:dyDescent="0.25">
      <c r="A1297" s="1" t="s">
        <v>10442</v>
      </c>
      <c r="B1297" s="1" t="s">
        <v>16372</v>
      </c>
      <c r="C1297" s="3">
        <f>IF(B1297="","",SUMIFS('Factory Costs'!$C:$C,'Factory Costs'!$A:$A,"Blades",'Factory Costs'!$B:$B,B1297))</f>
        <v>42</v>
      </c>
    </row>
    <row r="1298" spans="1:3" x14ac:dyDescent="0.25">
      <c r="A1298" s="1" t="s">
        <v>10445</v>
      </c>
      <c r="B1298" s="1" t="s">
        <v>16371</v>
      </c>
      <c r="C1298" s="3">
        <f>IF(B1298="","",SUMIFS('Factory Costs'!$C:$C,'Factory Costs'!$A:$A,"Blades",'Factory Costs'!$B:$B,B1298))</f>
        <v>37</v>
      </c>
    </row>
    <row r="1299" spans="1:3" x14ac:dyDescent="0.25">
      <c r="A1299" s="1" t="s">
        <v>10448</v>
      </c>
      <c r="B1299" s="1" t="s">
        <v>16370</v>
      </c>
      <c r="C1299" s="3">
        <f>IF(B1299="","",SUMIFS('Factory Costs'!$C:$C,'Factory Costs'!$A:$A,"Blades",'Factory Costs'!$B:$B,B1299))</f>
        <v>34</v>
      </c>
    </row>
    <row r="1300" spans="1:3" x14ac:dyDescent="0.25">
      <c r="A1300" s="1" t="s">
        <v>10451</v>
      </c>
      <c r="B1300" s="1" t="s">
        <v>16371</v>
      </c>
      <c r="C1300" s="3">
        <f>IF(B1300="","",SUMIFS('Factory Costs'!$C:$C,'Factory Costs'!$A:$A,"Blades",'Factory Costs'!$B:$B,B1300))</f>
        <v>37</v>
      </c>
    </row>
    <row r="1301" spans="1:3" x14ac:dyDescent="0.25">
      <c r="A1301" s="1" t="s">
        <v>10454</v>
      </c>
      <c r="B1301" s="1" t="s">
        <v>16370</v>
      </c>
      <c r="C1301" s="3">
        <f>IF(B1301="","",SUMIFS('Factory Costs'!$C:$C,'Factory Costs'!$A:$A,"Blades",'Factory Costs'!$B:$B,B1301))</f>
        <v>34</v>
      </c>
    </row>
    <row r="1302" spans="1:3" x14ac:dyDescent="0.25">
      <c r="A1302" s="1" t="s">
        <v>10457</v>
      </c>
      <c r="B1302" s="1" t="s">
        <v>16370</v>
      </c>
      <c r="C1302" s="3">
        <f>IF(B1302="","",SUMIFS('Factory Costs'!$C:$C,'Factory Costs'!$A:$A,"Blades",'Factory Costs'!$B:$B,B1302))</f>
        <v>34</v>
      </c>
    </row>
    <row r="1303" spans="1:3" x14ac:dyDescent="0.25">
      <c r="A1303" s="1" t="s">
        <v>10460</v>
      </c>
      <c r="B1303" s="1" t="s">
        <v>16371</v>
      </c>
      <c r="C1303" s="3">
        <f>IF(B1303="","",SUMIFS('Factory Costs'!$C:$C,'Factory Costs'!$A:$A,"Blades",'Factory Costs'!$B:$B,B1303))</f>
        <v>37</v>
      </c>
    </row>
    <row r="1304" spans="1:3" x14ac:dyDescent="0.25">
      <c r="A1304" s="1" t="s">
        <v>10463</v>
      </c>
      <c r="B1304" s="1" t="s">
        <v>16370</v>
      </c>
      <c r="C1304" s="3">
        <f>IF(B1304="","",SUMIFS('Factory Costs'!$C:$C,'Factory Costs'!$A:$A,"Blades",'Factory Costs'!$B:$B,B1304))</f>
        <v>34</v>
      </c>
    </row>
    <row r="1305" spans="1:3" x14ac:dyDescent="0.25">
      <c r="A1305" s="1" t="s">
        <v>10466</v>
      </c>
      <c r="B1305" s="1" t="s">
        <v>16370</v>
      </c>
      <c r="C1305" s="3">
        <f>IF(B1305="","",SUMIFS('Factory Costs'!$C:$C,'Factory Costs'!$A:$A,"Blades",'Factory Costs'!$B:$B,B1305))</f>
        <v>34</v>
      </c>
    </row>
    <row r="1306" spans="1:3" x14ac:dyDescent="0.25">
      <c r="A1306" s="1" t="s">
        <v>10469</v>
      </c>
      <c r="B1306" s="1" t="s">
        <v>16370</v>
      </c>
      <c r="C1306" s="3">
        <f>IF(B1306="","",SUMIFS('Factory Costs'!$C:$C,'Factory Costs'!$A:$A,"Blades",'Factory Costs'!$B:$B,B1306))</f>
        <v>34</v>
      </c>
    </row>
    <row r="1307" spans="1:3" x14ac:dyDescent="0.25">
      <c r="A1307" s="1" t="s">
        <v>10472</v>
      </c>
      <c r="B1307" s="1" t="s">
        <v>16370</v>
      </c>
      <c r="C1307" s="3">
        <f>IF(B1307="","",SUMIFS('Factory Costs'!$C:$C,'Factory Costs'!$A:$A,"Blades",'Factory Costs'!$B:$B,B1307))</f>
        <v>34</v>
      </c>
    </row>
    <row r="1308" spans="1:3" x14ac:dyDescent="0.25">
      <c r="A1308" s="1" t="s">
        <v>10475</v>
      </c>
      <c r="B1308" s="1" t="s">
        <v>16370</v>
      </c>
      <c r="C1308" s="3">
        <f>IF(B1308="","",SUMIFS('Factory Costs'!$C:$C,'Factory Costs'!$A:$A,"Blades",'Factory Costs'!$B:$B,B1308))</f>
        <v>34</v>
      </c>
    </row>
    <row r="1309" spans="1:3" x14ac:dyDescent="0.25">
      <c r="A1309" s="1" t="s">
        <v>10478</v>
      </c>
      <c r="B1309" s="1" t="s">
        <v>16372</v>
      </c>
      <c r="C1309" s="3">
        <f>IF(B1309="","",SUMIFS('Factory Costs'!$C:$C,'Factory Costs'!$A:$A,"Blades",'Factory Costs'!$B:$B,B1309))</f>
        <v>42</v>
      </c>
    </row>
    <row r="1310" spans="1:3" x14ac:dyDescent="0.25">
      <c r="A1310" s="1" t="s">
        <v>10481</v>
      </c>
      <c r="B1310" s="1" t="s">
        <v>16370</v>
      </c>
      <c r="C1310" s="3">
        <f>IF(B1310="","",SUMIFS('Factory Costs'!$C:$C,'Factory Costs'!$A:$A,"Blades",'Factory Costs'!$B:$B,B1310))</f>
        <v>34</v>
      </c>
    </row>
    <row r="1311" spans="1:3" x14ac:dyDescent="0.25">
      <c r="A1311" s="1" t="s">
        <v>10484</v>
      </c>
      <c r="B1311" s="1" t="s">
        <v>16371</v>
      </c>
      <c r="C1311" s="3">
        <f>IF(B1311="","",SUMIFS('Factory Costs'!$C:$C,'Factory Costs'!$A:$A,"Blades",'Factory Costs'!$B:$B,B1311))</f>
        <v>37</v>
      </c>
    </row>
    <row r="1312" spans="1:3" x14ac:dyDescent="0.25">
      <c r="A1312" s="1" t="s">
        <v>10487</v>
      </c>
      <c r="B1312" s="1" t="s">
        <v>16372</v>
      </c>
      <c r="C1312" s="3">
        <f>IF(B1312="","",SUMIFS('Factory Costs'!$C:$C,'Factory Costs'!$A:$A,"Blades",'Factory Costs'!$B:$B,B1312))</f>
        <v>42</v>
      </c>
    </row>
    <row r="1313" spans="1:3" x14ac:dyDescent="0.25">
      <c r="A1313" s="1" t="s">
        <v>10490</v>
      </c>
      <c r="B1313" s="1" t="s">
        <v>16370</v>
      </c>
      <c r="C1313" s="3">
        <f>IF(B1313="","",SUMIFS('Factory Costs'!$C:$C,'Factory Costs'!$A:$A,"Blades",'Factory Costs'!$B:$B,B1313))</f>
        <v>34</v>
      </c>
    </row>
    <row r="1314" spans="1:3" x14ac:dyDescent="0.25">
      <c r="A1314" s="1" t="s">
        <v>10493</v>
      </c>
      <c r="B1314" s="1" t="s">
        <v>16372</v>
      </c>
      <c r="C1314" s="3">
        <f>IF(B1314="","",SUMIFS('Factory Costs'!$C:$C,'Factory Costs'!$A:$A,"Blades",'Factory Costs'!$B:$B,B1314))</f>
        <v>42</v>
      </c>
    </row>
    <row r="1315" spans="1:3" x14ac:dyDescent="0.25">
      <c r="A1315" s="1" t="s">
        <v>10496</v>
      </c>
      <c r="B1315" s="1" t="s">
        <v>16370</v>
      </c>
      <c r="C1315" s="3">
        <f>IF(B1315="","",SUMIFS('Factory Costs'!$C:$C,'Factory Costs'!$A:$A,"Blades",'Factory Costs'!$B:$B,B1315))</f>
        <v>34</v>
      </c>
    </row>
    <row r="1316" spans="1:3" x14ac:dyDescent="0.25">
      <c r="A1316" s="1" t="s">
        <v>10499</v>
      </c>
      <c r="B1316" s="1" t="s">
        <v>16372</v>
      </c>
      <c r="C1316" s="3">
        <f>IF(B1316="","",SUMIFS('Factory Costs'!$C:$C,'Factory Costs'!$A:$A,"Blades",'Factory Costs'!$B:$B,B1316))</f>
        <v>42</v>
      </c>
    </row>
    <row r="1317" spans="1:3" x14ac:dyDescent="0.25">
      <c r="A1317" s="1" t="s">
        <v>10502</v>
      </c>
      <c r="B1317" s="1" t="s">
        <v>16372</v>
      </c>
      <c r="C1317" s="3">
        <f>IF(B1317="","",SUMIFS('Factory Costs'!$C:$C,'Factory Costs'!$A:$A,"Blades",'Factory Costs'!$B:$B,B1317))</f>
        <v>42</v>
      </c>
    </row>
    <row r="1318" spans="1:3" x14ac:dyDescent="0.25">
      <c r="A1318" s="1" t="s">
        <v>10505</v>
      </c>
      <c r="B1318" s="1" t="s">
        <v>16370</v>
      </c>
      <c r="C1318" s="3">
        <f>IF(B1318="","",SUMIFS('Factory Costs'!$C:$C,'Factory Costs'!$A:$A,"Blades",'Factory Costs'!$B:$B,B1318))</f>
        <v>34</v>
      </c>
    </row>
    <row r="1319" spans="1:3" x14ac:dyDescent="0.25">
      <c r="A1319" s="1" t="s">
        <v>10508</v>
      </c>
      <c r="B1319" s="1" t="s">
        <v>16371</v>
      </c>
      <c r="C1319" s="3">
        <f>IF(B1319="","",SUMIFS('Factory Costs'!$C:$C,'Factory Costs'!$A:$A,"Blades",'Factory Costs'!$B:$B,B1319))</f>
        <v>37</v>
      </c>
    </row>
    <row r="1320" spans="1:3" x14ac:dyDescent="0.25">
      <c r="A1320" s="1" t="s">
        <v>10511</v>
      </c>
      <c r="B1320" s="1" t="s">
        <v>16370</v>
      </c>
      <c r="C1320" s="3">
        <f>IF(B1320="","",SUMIFS('Factory Costs'!$C:$C,'Factory Costs'!$A:$A,"Blades",'Factory Costs'!$B:$B,B1320))</f>
        <v>34</v>
      </c>
    </row>
    <row r="1321" spans="1:3" x14ac:dyDescent="0.25">
      <c r="A1321" s="1" t="s">
        <v>10514</v>
      </c>
      <c r="B1321" s="1" t="s">
        <v>16371</v>
      </c>
      <c r="C1321" s="3">
        <f>IF(B1321="","",SUMIFS('Factory Costs'!$C:$C,'Factory Costs'!$A:$A,"Blades",'Factory Costs'!$B:$B,B1321))</f>
        <v>37</v>
      </c>
    </row>
    <row r="1322" spans="1:3" x14ac:dyDescent="0.25">
      <c r="A1322" s="1" t="s">
        <v>10517</v>
      </c>
      <c r="B1322" s="1" t="s">
        <v>16372</v>
      </c>
      <c r="C1322" s="3">
        <f>IF(B1322="","",SUMIFS('Factory Costs'!$C:$C,'Factory Costs'!$A:$A,"Blades",'Factory Costs'!$B:$B,B1322))</f>
        <v>42</v>
      </c>
    </row>
    <row r="1323" spans="1:3" x14ac:dyDescent="0.25">
      <c r="A1323" s="1" t="s">
        <v>10520</v>
      </c>
      <c r="B1323" s="1" t="s">
        <v>16372</v>
      </c>
      <c r="C1323" s="3">
        <f>IF(B1323="","",SUMIFS('Factory Costs'!$C:$C,'Factory Costs'!$A:$A,"Blades",'Factory Costs'!$B:$B,B1323))</f>
        <v>42</v>
      </c>
    </row>
    <row r="1324" spans="1:3" x14ac:dyDescent="0.25">
      <c r="A1324" s="1" t="s">
        <v>10523</v>
      </c>
      <c r="B1324" s="1" t="s">
        <v>16370</v>
      </c>
      <c r="C1324" s="3">
        <f>IF(B1324="","",SUMIFS('Factory Costs'!$C:$C,'Factory Costs'!$A:$A,"Blades",'Factory Costs'!$B:$B,B1324))</f>
        <v>34</v>
      </c>
    </row>
    <row r="1325" spans="1:3" x14ac:dyDescent="0.25">
      <c r="A1325" s="1" t="s">
        <v>10526</v>
      </c>
      <c r="B1325" s="1" t="s">
        <v>16372</v>
      </c>
      <c r="C1325" s="3">
        <f>IF(B1325="","",SUMIFS('Factory Costs'!$C:$C,'Factory Costs'!$A:$A,"Blades",'Factory Costs'!$B:$B,B1325))</f>
        <v>42</v>
      </c>
    </row>
    <row r="1326" spans="1:3" x14ac:dyDescent="0.25">
      <c r="A1326" s="1" t="s">
        <v>10529</v>
      </c>
      <c r="B1326" s="1" t="s">
        <v>16370</v>
      </c>
      <c r="C1326" s="3">
        <f>IF(B1326="","",SUMIFS('Factory Costs'!$C:$C,'Factory Costs'!$A:$A,"Blades",'Factory Costs'!$B:$B,B1326))</f>
        <v>34</v>
      </c>
    </row>
    <row r="1327" spans="1:3" x14ac:dyDescent="0.25">
      <c r="A1327" s="1" t="s">
        <v>10532</v>
      </c>
      <c r="B1327" s="1" t="s">
        <v>16372</v>
      </c>
      <c r="C1327" s="3">
        <f>IF(B1327="","",SUMIFS('Factory Costs'!$C:$C,'Factory Costs'!$A:$A,"Blades",'Factory Costs'!$B:$B,B1327))</f>
        <v>42</v>
      </c>
    </row>
    <row r="1328" spans="1:3" x14ac:dyDescent="0.25">
      <c r="A1328" s="1" t="s">
        <v>10535</v>
      </c>
      <c r="B1328" s="1" t="s">
        <v>16371</v>
      </c>
      <c r="C1328" s="3">
        <f>IF(B1328="","",SUMIFS('Factory Costs'!$C:$C,'Factory Costs'!$A:$A,"Blades",'Factory Costs'!$B:$B,B1328))</f>
        <v>37</v>
      </c>
    </row>
    <row r="1329" spans="1:3" x14ac:dyDescent="0.25">
      <c r="A1329" s="1" t="s">
        <v>10538</v>
      </c>
      <c r="B1329" s="1" t="s">
        <v>16372</v>
      </c>
      <c r="C1329" s="3">
        <f>IF(B1329="","",SUMIFS('Factory Costs'!$C:$C,'Factory Costs'!$A:$A,"Blades",'Factory Costs'!$B:$B,B1329))</f>
        <v>42</v>
      </c>
    </row>
    <row r="1330" spans="1:3" x14ac:dyDescent="0.25">
      <c r="A1330" s="1" t="s">
        <v>10541</v>
      </c>
      <c r="B1330" s="1" t="s">
        <v>16371</v>
      </c>
      <c r="C1330" s="3">
        <f>IF(B1330="","",SUMIFS('Factory Costs'!$C:$C,'Factory Costs'!$A:$A,"Blades",'Factory Costs'!$B:$B,B1330))</f>
        <v>37</v>
      </c>
    </row>
    <row r="1331" spans="1:3" x14ac:dyDescent="0.25">
      <c r="A1331" s="1" t="s">
        <v>10544</v>
      </c>
      <c r="B1331" s="1" t="s">
        <v>16371</v>
      </c>
      <c r="C1331" s="3">
        <f>IF(B1331="","",SUMIFS('Factory Costs'!$C:$C,'Factory Costs'!$A:$A,"Blades",'Factory Costs'!$B:$B,B1331))</f>
        <v>37</v>
      </c>
    </row>
    <row r="1332" spans="1:3" x14ac:dyDescent="0.25">
      <c r="A1332" s="1" t="s">
        <v>10547</v>
      </c>
      <c r="B1332" s="1" t="s">
        <v>16372</v>
      </c>
      <c r="C1332" s="3">
        <f>IF(B1332="","",SUMIFS('Factory Costs'!$C:$C,'Factory Costs'!$A:$A,"Blades",'Factory Costs'!$B:$B,B1332))</f>
        <v>42</v>
      </c>
    </row>
    <row r="1333" spans="1:3" x14ac:dyDescent="0.25">
      <c r="A1333" s="1" t="s">
        <v>10550</v>
      </c>
      <c r="B1333" s="1" t="s">
        <v>16372</v>
      </c>
      <c r="C1333" s="3">
        <f>IF(B1333="","",SUMIFS('Factory Costs'!$C:$C,'Factory Costs'!$A:$A,"Blades",'Factory Costs'!$B:$B,B1333))</f>
        <v>42</v>
      </c>
    </row>
    <row r="1334" spans="1:3" x14ac:dyDescent="0.25">
      <c r="A1334" s="1" t="s">
        <v>10553</v>
      </c>
      <c r="B1334" s="1" t="s">
        <v>16370</v>
      </c>
      <c r="C1334" s="3">
        <f>IF(B1334="","",SUMIFS('Factory Costs'!$C:$C,'Factory Costs'!$A:$A,"Blades",'Factory Costs'!$B:$B,B1334))</f>
        <v>34</v>
      </c>
    </row>
    <row r="1335" spans="1:3" x14ac:dyDescent="0.25">
      <c r="A1335" s="1" t="s">
        <v>10556</v>
      </c>
      <c r="B1335" s="1" t="s">
        <v>16371</v>
      </c>
      <c r="C1335" s="3">
        <f>IF(B1335="","",SUMIFS('Factory Costs'!$C:$C,'Factory Costs'!$A:$A,"Blades",'Factory Costs'!$B:$B,B1335))</f>
        <v>37</v>
      </c>
    </row>
    <row r="1336" spans="1:3" x14ac:dyDescent="0.25">
      <c r="A1336" s="1" t="s">
        <v>10559</v>
      </c>
      <c r="B1336" s="1" t="s">
        <v>16371</v>
      </c>
      <c r="C1336" s="3">
        <f>IF(B1336="","",SUMIFS('Factory Costs'!$C:$C,'Factory Costs'!$A:$A,"Blades",'Factory Costs'!$B:$B,B1336))</f>
        <v>37</v>
      </c>
    </row>
    <row r="1337" spans="1:3" x14ac:dyDescent="0.25">
      <c r="A1337" s="1" t="s">
        <v>10562</v>
      </c>
      <c r="B1337" s="1" t="s">
        <v>16372</v>
      </c>
      <c r="C1337" s="3">
        <f>IF(B1337="","",SUMIFS('Factory Costs'!$C:$C,'Factory Costs'!$A:$A,"Blades",'Factory Costs'!$B:$B,B1337))</f>
        <v>42</v>
      </c>
    </row>
    <row r="1338" spans="1:3" x14ac:dyDescent="0.25">
      <c r="A1338" s="1" t="s">
        <v>10565</v>
      </c>
      <c r="B1338" s="1" t="s">
        <v>16372</v>
      </c>
      <c r="C1338" s="3">
        <f>IF(B1338="","",SUMIFS('Factory Costs'!$C:$C,'Factory Costs'!$A:$A,"Blades",'Factory Costs'!$B:$B,B1338))</f>
        <v>42</v>
      </c>
    </row>
    <row r="1339" spans="1:3" x14ac:dyDescent="0.25">
      <c r="A1339" s="1" t="s">
        <v>10568</v>
      </c>
      <c r="B1339" s="1" t="s">
        <v>16371</v>
      </c>
      <c r="C1339" s="3">
        <f>IF(B1339="","",SUMIFS('Factory Costs'!$C:$C,'Factory Costs'!$A:$A,"Blades",'Factory Costs'!$B:$B,B1339))</f>
        <v>37</v>
      </c>
    </row>
    <row r="1340" spans="1:3" x14ac:dyDescent="0.25">
      <c r="A1340" s="1" t="s">
        <v>10571</v>
      </c>
      <c r="B1340" s="1" t="s">
        <v>16371</v>
      </c>
      <c r="C1340" s="3">
        <f>IF(B1340="","",SUMIFS('Factory Costs'!$C:$C,'Factory Costs'!$A:$A,"Blades",'Factory Costs'!$B:$B,B1340))</f>
        <v>37</v>
      </c>
    </row>
    <row r="1341" spans="1:3" x14ac:dyDescent="0.25">
      <c r="A1341" s="1" t="s">
        <v>10574</v>
      </c>
      <c r="B1341" s="1" t="s">
        <v>16371</v>
      </c>
      <c r="C1341" s="3">
        <f>IF(B1341="","",SUMIFS('Factory Costs'!$C:$C,'Factory Costs'!$A:$A,"Blades",'Factory Costs'!$B:$B,B1341))</f>
        <v>37</v>
      </c>
    </row>
    <row r="1342" spans="1:3" x14ac:dyDescent="0.25">
      <c r="A1342" s="1" t="s">
        <v>10577</v>
      </c>
      <c r="B1342" s="1" t="s">
        <v>16370</v>
      </c>
      <c r="C1342" s="3">
        <f>IF(B1342="","",SUMIFS('Factory Costs'!$C:$C,'Factory Costs'!$A:$A,"Blades",'Factory Costs'!$B:$B,B1342))</f>
        <v>34</v>
      </c>
    </row>
    <row r="1343" spans="1:3" x14ac:dyDescent="0.25">
      <c r="A1343" s="1" t="s">
        <v>10580</v>
      </c>
      <c r="B1343" s="1" t="s">
        <v>16371</v>
      </c>
      <c r="C1343" s="3">
        <f>IF(B1343="","",SUMIFS('Factory Costs'!$C:$C,'Factory Costs'!$A:$A,"Blades",'Factory Costs'!$B:$B,B1343))</f>
        <v>37</v>
      </c>
    </row>
    <row r="1344" spans="1:3" x14ac:dyDescent="0.25">
      <c r="A1344" s="1" t="s">
        <v>10583</v>
      </c>
      <c r="B1344" s="1" t="s">
        <v>16371</v>
      </c>
      <c r="C1344" s="3">
        <f>IF(B1344="","",SUMIFS('Factory Costs'!$C:$C,'Factory Costs'!$A:$A,"Blades",'Factory Costs'!$B:$B,B1344))</f>
        <v>37</v>
      </c>
    </row>
    <row r="1345" spans="1:3" x14ac:dyDescent="0.25">
      <c r="A1345" s="1" t="s">
        <v>10586</v>
      </c>
      <c r="B1345" s="1" t="s">
        <v>16371</v>
      </c>
      <c r="C1345" s="3">
        <f>IF(B1345="","",SUMIFS('Factory Costs'!$C:$C,'Factory Costs'!$A:$A,"Blades",'Factory Costs'!$B:$B,B1345))</f>
        <v>37</v>
      </c>
    </row>
    <row r="1346" spans="1:3" x14ac:dyDescent="0.25">
      <c r="A1346" s="1" t="s">
        <v>10589</v>
      </c>
      <c r="B1346" s="1" t="s">
        <v>16370</v>
      </c>
      <c r="C1346" s="3">
        <f>IF(B1346="","",SUMIFS('Factory Costs'!$C:$C,'Factory Costs'!$A:$A,"Blades",'Factory Costs'!$B:$B,B1346))</f>
        <v>34</v>
      </c>
    </row>
    <row r="1347" spans="1:3" x14ac:dyDescent="0.25">
      <c r="A1347" s="1" t="s">
        <v>10592</v>
      </c>
      <c r="B1347" s="1" t="s">
        <v>16372</v>
      </c>
      <c r="C1347" s="3">
        <f>IF(B1347="","",SUMIFS('Factory Costs'!$C:$C,'Factory Costs'!$A:$A,"Blades",'Factory Costs'!$B:$B,B1347))</f>
        <v>42</v>
      </c>
    </row>
    <row r="1348" spans="1:3" x14ac:dyDescent="0.25">
      <c r="A1348" s="1" t="s">
        <v>10595</v>
      </c>
      <c r="B1348" s="1" t="s">
        <v>16371</v>
      </c>
      <c r="C1348" s="3">
        <f>IF(B1348="","",SUMIFS('Factory Costs'!$C:$C,'Factory Costs'!$A:$A,"Blades",'Factory Costs'!$B:$B,B1348))</f>
        <v>37</v>
      </c>
    </row>
    <row r="1349" spans="1:3" x14ac:dyDescent="0.25">
      <c r="A1349" s="1" t="s">
        <v>10598</v>
      </c>
      <c r="B1349" s="1" t="s">
        <v>16372</v>
      </c>
      <c r="C1349" s="3">
        <f>IF(B1349="","",SUMIFS('Factory Costs'!$C:$C,'Factory Costs'!$A:$A,"Blades",'Factory Costs'!$B:$B,B1349))</f>
        <v>42</v>
      </c>
    </row>
    <row r="1350" spans="1:3" x14ac:dyDescent="0.25">
      <c r="A1350" s="1" t="s">
        <v>10601</v>
      </c>
      <c r="B1350" s="1" t="s">
        <v>16371</v>
      </c>
      <c r="C1350" s="3">
        <f>IF(B1350="","",SUMIFS('Factory Costs'!$C:$C,'Factory Costs'!$A:$A,"Blades",'Factory Costs'!$B:$B,B1350))</f>
        <v>37</v>
      </c>
    </row>
    <row r="1351" spans="1:3" x14ac:dyDescent="0.25">
      <c r="A1351" s="1" t="s">
        <v>10604</v>
      </c>
      <c r="B1351" s="1" t="s">
        <v>16372</v>
      </c>
      <c r="C1351" s="3">
        <f>IF(B1351="","",SUMIFS('Factory Costs'!$C:$C,'Factory Costs'!$A:$A,"Blades",'Factory Costs'!$B:$B,B1351))</f>
        <v>42</v>
      </c>
    </row>
    <row r="1352" spans="1:3" x14ac:dyDescent="0.25">
      <c r="A1352" s="1" t="s">
        <v>10607</v>
      </c>
      <c r="B1352" s="1" t="s">
        <v>16370</v>
      </c>
      <c r="C1352" s="3">
        <f>IF(B1352="","",SUMIFS('Factory Costs'!$C:$C,'Factory Costs'!$A:$A,"Blades",'Factory Costs'!$B:$B,B1352))</f>
        <v>34</v>
      </c>
    </row>
    <row r="1353" spans="1:3" x14ac:dyDescent="0.25">
      <c r="A1353" s="1" t="s">
        <v>10610</v>
      </c>
      <c r="B1353" s="1" t="s">
        <v>16372</v>
      </c>
      <c r="C1353" s="3">
        <f>IF(B1353="","",SUMIFS('Factory Costs'!$C:$C,'Factory Costs'!$A:$A,"Blades",'Factory Costs'!$B:$B,B1353))</f>
        <v>42</v>
      </c>
    </row>
    <row r="1354" spans="1:3" x14ac:dyDescent="0.25">
      <c r="A1354" s="1" t="s">
        <v>10613</v>
      </c>
      <c r="B1354" s="1" t="s">
        <v>16370</v>
      </c>
      <c r="C1354" s="3">
        <f>IF(B1354="","",SUMIFS('Factory Costs'!$C:$C,'Factory Costs'!$A:$A,"Blades",'Factory Costs'!$B:$B,B1354))</f>
        <v>34</v>
      </c>
    </row>
    <row r="1355" spans="1:3" x14ac:dyDescent="0.25">
      <c r="A1355" s="1" t="s">
        <v>10616</v>
      </c>
      <c r="B1355" s="1" t="s">
        <v>16370</v>
      </c>
      <c r="C1355" s="3">
        <f>IF(B1355="","",SUMIFS('Factory Costs'!$C:$C,'Factory Costs'!$A:$A,"Blades",'Factory Costs'!$B:$B,B1355))</f>
        <v>34</v>
      </c>
    </row>
    <row r="1356" spans="1:3" x14ac:dyDescent="0.25">
      <c r="A1356" s="1" t="s">
        <v>10619</v>
      </c>
      <c r="B1356" s="1" t="s">
        <v>16371</v>
      </c>
      <c r="C1356" s="3">
        <f>IF(B1356="","",SUMIFS('Factory Costs'!$C:$C,'Factory Costs'!$A:$A,"Blades",'Factory Costs'!$B:$B,B1356))</f>
        <v>37</v>
      </c>
    </row>
    <row r="1357" spans="1:3" x14ac:dyDescent="0.25">
      <c r="A1357" s="1" t="s">
        <v>10622</v>
      </c>
      <c r="B1357" s="1" t="s">
        <v>16370</v>
      </c>
      <c r="C1357" s="3">
        <f>IF(B1357="","",SUMIFS('Factory Costs'!$C:$C,'Factory Costs'!$A:$A,"Blades",'Factory Costs'!$B:$B,B1357))</f>
        <v>34</v>
      </c>
    </row>
    <row r="1358" spans="1:3" x14ac:dyDescent="0.25">
      <c r="A1358" s="1" t="s">
        <v>10625</v>
      </c>
      <c r="B1358" s="1" t="s">
        <v>16372</v>
      </c>
      <c r="C1358" s="3">
        <f>IF(B1358="","",SUMIFS('Factory Costs'!$C:$C,'Factory Costs'!$A:$A,"Blades",'Factory Costs'!$B:$B,B1358))</f>
        <v>42</v>
      </c>
    </row>
    <row r="1359" spans="1:3" x14ac:dyDescent="0.25">
      <c r="A1359" s="1" t="s">
        <v>10628</v>
      </c>
      <c r="B1359" s="1" t="s">
        <v>16370</v>
      </c>
      <c r="C1359" s="3">
        <f>IF(B1359="","",SUMIFS('Factory Costs'!$C:$C,'Factory Costs'!$A:$A,"Blades",'Factory Costs'!$B:$B,B1359))</f>
        <v>34</v>
      </c>
    </row>
    <row r="1360" spans="1:3" x14ac:dyDescent="0.25">
      <c r="A1360" s="1" t="s">
        <v>10631</v>
      </c>
      <c r="B1360" s="1" t="s">
        <v>16371</v>
      </c>
      <c r="C1360" s="3">
        <f>IF(B1360="","",SUMIFS('Factory Costs'!$C:$C,'Factory Costs'!$A:$A,"Blades",'Factory Costs'!$B:$B,B1360))</f>
        <v>37</v>
      </c>
    </row>
    <row r="1361" spans="1:3" x14ac:dyDescent="0.25">
      <c r="A1361" s="1" t="s">
        <v>10634</v>
      </c>
      <c r="B1361" s="1" t="s">
        <v>16371</v>
      </c>
      <c r="C1361" s="3">
        <f>IF(B1361="","",SUMIFS('Factory Costs'!$C:$C,'Factory Costs'!$A:$A,"Blades",'Factory Costs'!$B:$B,B1361))</f>
        <v>37</v>
      </c>
    </row>
    <row r="1362" spans="1:3" x14ac:dyDescent="0.25">
      <c r="A1362" s="1" t="s">
        <v>10637</v>
      </c>
      <c r="B1362" s="1" t="s">
        <v>16371</v>
      </c>
      <c r="C1362" s="3">
        <f>IF(B1362="","",SUMIFS('Factory Costs'!$C:$C,'Factory Costs'!$A:$A,"Blades",'Factory Costs'!$B:$B,B1362))</f>
        <v>37</v>
      </c>
    </row>
    <row r="1363" spans="1:3" x14ac:dyDescent="0.25">
      <c r="A1363" s="1" t="s">
        <v>10640</v>
      </c>
      <c r="B1363" s="1" t="s">
        <v>16370</v>
      </c>
      <c r="C1363" s="3">
        <f>IF(B1363="","",SUMIFS('Factory Costs'!$C:$C,'Factory Costs'!$A:$A,"Blades",'Factory Costs'!$B:$B,B1363))</f>
        <v>34</v>
      </c>
    </row>
    <row r="1364" spans="1:3" x14ac:dyDescent="0.25">
      <c r="A1364" s="1" t="s">
        <v>10643</v>
      </c>
      <c r="B1364" s="1" t="s">
        <v>16370</v>
      </c>
      <c r="C1364" s="3">
        <f>IF(B1364="","",SUMIFS('Factory Costs'!$C:$C,'Factory Costs'!$A:$A,"Blades",'Factory Costs'!$B:$B,B1364))</f>
        <v>34</v>
      </c>
    </row>
    <row r="1365" spans="1:3" x14ac:dyDescent="0.25">
      <c r="A1365" s="1" t="s">
        <v>10646</v>
      </c>
      <c r="B1365" s="1" t="s">
        <v>16370</v>
      </c>
      <c r="C1365" s="3">
        <f>IF(B1365="","",SUMIFS('Factory Costs'!$C:$C,'Factory Costs'!$A:$A,"Blades",'Factory Costs'!$B:$B,B1365))</f>
        <v>34</v>
      </c>
    </row>
    <row r="1366" spans="1:3" x14ac:dyDescent="0.25">
      <c r="A1366" s="1" t="s">
        <v>10649</v>
      </c>
      <c r="B1366" s="1" t="s">
        <v>16371</v>
      </c>
      <c r="C1366" s="3">
        <f>IF(B1366="","",SUMIFS('Factory Costs'!$C:$C,'Factory Costs'!$A:$A,"Blades",'Factory Costs'!$B:$B,B1366))</f>
        <v>37</v>
      </c>
    </row>
    <row r="1367" spans="1:3" x14ac:dyDescent="0.25">
      <c r="A1367" s="1" t="s">
        <v>10652</v>
      </c>
      <c r="B1367" s="1" t="s">
        <v>16370</v>
      </c>
      <c r="C1367" s="3">
        <f>IF(B1367="","",SUMIFS('Factory Costs'!$C:$C,'Factory Costs'!$A:$A,"Blades",'Factory Costs'!$B:$B,B1367))</f>
        <v>34</v>
      </c>
    </row>
    <row r="1368" spans="1:3" x14ac:dyDescent="0.25">
      <c r="A1368" s="1" t="s">
        <v>10655</v>
      </c>
      <c r="B1368" s="1" t="s">
        <v>16371</v>
      </c>
      <c r="C1368" s="3">
        <f>IF(B1368="","",SUMIFS('Factory Costs'!$C:$C,'Factory Costs'!$A:$A,"Blades",'Factory Costs'!$B:$B,B1368))</f>
        <v>37</v>
      </c>
    </row>
    <row r="1369" spans="1:3" x14ac:dyDescent="0.25">
      <c r="A1369" s="1" t="s">
        <v>10658</v>
      </c>
      <c r="B1369" s="1" t="s">
        <v>16372</v>
      </c>
      <c r="C1369" s="3">
        <f>IF(B1369="","",SUMIFS('Factory Costs'!$C:$C,'Factory Costs'!$A:$A,"Blades",'Factory Costs'!$B:$B,B1369))</f>
        <v>42</v>
      </c>
    </row>
    <row r="1370" spans="1:3" x14ac:dyDescent="0.25">
      <c r="A1370" s="1" t="s">
        <v>10661</v>
      </c>
      <c r="B1370" s="1" t="s">
        <v>16370</v>
      </c>
      <c r="C1370" s="3">
        <f>IF(B1370="","",SUMIFS('Factory Costs'!$C:$C,'Factory Costs'!$A:$A,"Blades",'Factory Costs'!$B:$B,B1370))</f>
        <v>34</v>
      </c>
    </row>
    <row r="1371" spans="1:3" x14ac:dyDescent="0.25">
      <c r="A1371" s="1" t="s">
        <v>10664</v>
      </c>
      <c r="B1371" s="1" t="s">
        <v>16371</v>
      </c>
      <c r="C1371" s="3">
        <f>IF(B1371="","",SUMIFS('Factory Costs'!$C:$C,'Factory Costs'!$A:$A,"Blades",'Factory Costs'!$B:$B,B1371))</f>
        <v>37</v>
      </c>
    </row>
    <row r="1372" spans="1:3" x14ac:dyDescent="0.25">
      <c r="A1372" s="1" t="s">
        <v>10667</v>
      </c>
      <c r="B1372" s="1" t="s">
        <v>16370</v>
      </c>
      <c r="C1372" s="3">
        <f>IF(B1372="","",SUMIFS('Factory Costs'!$C:$C,'Factory Costs'!$A:$A,"Blades",'Factory Costs'!$B:$B,B1372))</f>
        <v>34</v>
      </c>
    </row>
    <row r="1373" spans="1:3" x14ac:dyDescent="0.25">
      <c r="A1373" s="1" t="s">
        <v>10670</v>
      </c>
      <c r="B1373" s="1" t="s">
        <v>16372</v>
      </c>
      <c r="C1373" s="3">
        <f>IF(B1373="","",SUMIFS('Factory Costs'!$C:$C,'Factory Costs'!$A:$A,"Blades",'Factory Costs'!$B:$B,B1373))</f>
        <v>42</v>
      </c>
    </row>
    <row r="1374" spans="1:3" x14ac:dyDescent="0.25">
      <c r="A1374" s="1" t="s">
        <v>10673</v>
      </c>
      <c r="B1374" s="1" t="s">
        <v>16372</v>
      </c>
      <c r="C1374" s="3">
        <f>IF(B1374="","",SUMIFS('Factory Costs'!$C:$C,'Factory Costs'!$A:$A,"Blades",'Factory Costs'!$B:$B,B1374))</f>
        <v>42</v>
      </c>
    </row>
    <row r="1375" spans="1:3" x14ac:dyDescent="0.25">
      <c r="A1375" s="1" t="s">
        <v>10676</v>
      </c>
      <c r="B1375" s="1" t="s">
        <v>16370</v>
      </c>
      <c r="C1375" s="3">
        <f>IF(B1375="","",SUMIFS('Factory Costs'!$C:$C,'Factory Costs'!$A:$A,"Blades",'Factory Costs'!$B:$B,B1375))</f>
        <v>34</v>
      </c>
    </row>
    <row r="1376" spans="1:3" x14ac:dyDescent="0.25">
      <c r="A1376" s="1" t="s">
        <v>10679</v>
      </c>
      <c r="B1376" s="1" t="s">
        <v>16372</v>
      </c>
      <c r="C1376" s="3">
        <f>IF(B1376="","",SUMIFS('Factory Costs'!$C:$C,'Factory Costs'!$A:$A,"Blades",'Factory Costs'!$B:$B,B1376))</f>
        <v>42</v>
      </c>
    </row>
    <row r="1377" spans="1:3" x14ac:dyDescent="0.25">
      <c r="A1377" s="1" t="s">
        <v>10682</v>
      </c>
      <c r="B1377" s="1" t="s">
        <v>16370</v>
      </c>
      <c r="C1377" s="3">
        <f>IF(B1377="","",SUMIFS('Factory Costs'!$C:$C,'Factory Costs'!$A:$A,"Blades",'Factory Costs'!$B:$B,B1377))</f>
        <v>34</v>
      </c>
    </row>
    <row r="1378" spans="1:3" x14ac:dyDescent="0.25">
      <c r="A1378" s="1" t="s">
        <v>10685</v>
      </c>
      <c r="B1378" s="1" t="s">
        <v>16372</v>
      </c>
      <c r="C1378" s="3">
        <f>IF(B1378="","",SUMIFS('Factory Costs'!$C:$C,'Factory Costs'!$A:$A,"Blades",'Factory Costs'!$B:$B,B1378))</f>
        <v>42</v>
      </c>
    </row>
    <row r="1379" spans="1:3" x14ac:dyDescent="0.25">
      <c r="A1379" s="1" t="s">
        <v>10688</v>
      </c>
      <c r="B1379" s="1" t="s">
        <v>16372</v>
      </c>
      <c r="C1379" s="3">
        <f>IF(B1379="","",SUMIFS('Factory Costs'!$C:$C,'Factory Costs'!$A:$A,"Blades",'Factory Costs'!$B:$B,B1379))</f>
        <v>42</v>
      </c>
    </row>
    <row r="1380" spans="1:3" x14ac:dyDescent="0.25">
      <c r="A1380" s="1" t="s">
        <v>10691</v>
      </c>
      <c r="B1380" s="1" t="s">
        <v>16371</v>
      </c>
      <c r="C1380" s="3">
        <f>IF(B1380="","",SUMIFS('Factory Costs'!$C:$C,'Factory Costs'!$A:$A,"Blades",'Factory Costs'!$B:$B,B1380))</f>
        <v>37</v>
      </c>
    </row>
    <row r="1381" spans="1:3" x14ac:dyDescent="0.25">
      <c r="A1381" s="1" t="s">
        <v>10694</v>
      </c>
      <c r="B1381" s="1" t="s">
        <v>16370</v>
      </c>
      <c r="C1381" s="3">
        <f>IF(B1381="","",SUMIFS('Factory Costs'!$C:$C,'Factory Costs'!$A:$A,"Blades",'Factory Costs'!$B:$B,B1381))</f>
        <v>34</v>
      </c>
    </row>
    <row r="1382" spans="1:3" x14ac:dyDescent="0.25">
      <c r="A1382" s="1" t="s">
        <v>10697</v>
      </c>
      <c r="B1382" s="1" t="s">
        <v>16372</v>
      </c>
      <c r="C1382" s="3">
        <f>IF(B1382="","",SUMIFS('Factory Costs'!$C:$C,'Factory Costs'!$A:$A,"Blades",'Factory Costs'!$B:$B,B1382))</f>
        <v>42</v>
      </c>
    </row>
    <row r="1383" spans="1:3" x14ac:dyDescent="0.25">
      <c r="A1383" s="1" t="s">
        <v>10700</v>
      </c>
      <c r="B1383" s="1" t="s">
        <v>16371</v>
      </c>
      <c r="C1383" s="3">
        <f>IF(B1383="","",SUMIFS('Factory Costs'!$C:$C,'Factory Costs'!$A:$A,"Blades",'Factory Costs'!$B:$B,B1383))</f>
        <v>37</v>
      </c>
    </row>
    <row r="1384" spans="1:3" x14ac:dyDescent="0.25">
      <c r="A1384" s="1" t="s">
        <v>10703</v>
      </c>
      <c r="B1384" s="1" t="s">
        <v>16372</v>
      </c>
      <c r="C1384" s="3">
        <f>IF(B1384="","",SUMIFS('Factory Costs'!$C:$C,'Factory Costs'!$A:$A,"Blades",'Factory Costs'!$B:$B,B1384))</f>
        <v>42</v>
      </c>
    </row>
    <row r="1385" spans="1:3" x14ac:dyDescent="0.25">
      <c r="A1385" s="1" t="s">
        <v>10706</v>
      </c>
      <c r="B1385" s="1" t="s">
        <v>16371</v>
      </c>
      <c r="C1385" s="3">
        <f>IF(B1385="","",SUMIFS('Factory Costs'!$C:$C,'Factory Costs'!$A:$A,"Blades",'Factory Costs'!$B:$B,B1385))</f>
        <v>37</v>
      </c>
    </row>
    <row r="1386" spans="1:3" x14ac:dyDescent="0.25">
      <c r="A1386" s="1" t="s">
        <v>10709</v>
      </c>
      <c r="B1386" s="1" t="s">
        <v>16370</v>
      </c>
      <c r="C1386" s="3">
        <f>IF(B1386="","",SUMIFS('Factory Costs'!$C:$C,'Factory Costs'!$A:$A,"Blades",'Factory Costs'!$B:$B,B1386))</f>
        <v>34</v>
      </c>
    </row>
    <row r="1387" spans="1:3" x14ac:dyDescent="0.25">
      <c r="A1387" s="1" t="s">
        <v>10712</v>
      </c>
      <c r="B1387" s="1" t="s">
        <v>16372</v>
      </c>
      <c r="C1387" s="3">
        <f>IF(B1387="","",SUMIFS('Factory Costs'!$C:$C,'Factory Costs'!$A:$A,"Blades",'Factory Costs'!$B:$B,B1387))</f>
        <v>42</v>
      </c>
    </row>
    <row r="1388" spans="1:3" x14ac:dyDescent="0.25">
      <c r="A1388" s="1" t="s">
        <v>10715</v>
      </c>
      <c r="B1388" s="1" t="s">
        <v>16371</v>
      </c>
      <c r="C1388" s="3">
        <f>IF(B1388="","",SUMIFS('Factory Costs'!$C:$C,'Factory Costs'!$A:$A,"Blades",'Factory Costs'!$B:$B,B1388))</f>
        <v>37</v>
      </c>
    </row>
    <row r="1389" spans="1:3" x14ac:dyDescent="0.25">
      <c r="A1389" s="1" t="s">
        <v>10718</v>
      </c>
      <c r="B1389" s="1" t="s">
        <v>16371</v>
      </c>
      <c r="C1389" s="3">
        <f>IF(B1389="","",SUMIFS('Factory Costs'!$C:$C,'Factory Costs'!$A:$A,"Blades",'Factory Costs'!$B:$B,B1389))</f>
        <v>37</v>
      </c>
    </row>
    <row r="1390" spans="1:3" x14ac:dyDescent="0.25">
      <c r="A1390" s="1" t="s">
        <v>10721</v>
      </c>
      <c r="B1390" s="1" t="s">
        <v>16371</v>
      </c>
      <c r="C1390" s="3">
        <f>IF(B1390="","",SUMIFS('Factory Costs'!$C:$C,'Factory Costs'!$A:$A,"Blades",'Factory Costs'!$B:$B,B1390))</f>
        <v>37</v>
      </c>
    </row>
    <row r="1391" spans="1:3" x14ac:dyDescent="0.25">
      <c r="A1391" s="1" t="s">
        <v>10724</v>
      </c>
      <c r="B1391" s="1" t="s">
        <v>16370</v>
      </c>
      <c r="C1391" s="3">
        <f>IF(B1391="","",SUMIFS('Factory Costs'!$C:$C,'Factory Costs'!$A:$A,"Blades",'Factory Costs'!$B:$B,B1391))</f>
        <v>34</v>
      </c>
    </row>
    <row r="1392" spans="1:3" x14ac:dyDescent="0.25">
      <c r="A1392" s="1" t="s">
        <v>10727</v>
      </c>
      <c r="B1392" s="1" t="s">
        <v>16372</v>
      </c>
      <c r="C1392" s="3">
        <f>IF(B1392="","",SUMIFS('Factory Costs'!$C:$C,'Factory Costs'!$A:$A,"Blades",'Factory Costs'!$B:$B,B1392))</f>
        <v>42</v>
      </c>
    </row>
    <row r="1393" spans="1:3" x14ac:dyDescent="0.25">
      <c r="A1393" s="1" t="s">
        <v>10730</v>
      </c>
      <c r="B1393" s="1" t="s">
        <v>16372</v>
      </c>
      <c r="C1393" s="3">
        <f>IF(B1393="","",SUMIFS('Factory Costs'!$C:$C,'Factory Costs'!$A:$A,"Blades",'Factory Costs'!$B:$B,B1393))</f>
        <v>42</v>
      </c>
    </row>
    <row r="1394" spans="1:3" x14ac:dyDescent="0.25">
      <c r="A1394" s="1" t="s">
        <v>10733</v>
      </c>
      <c r="B1394" s="1" t="s">
        <v>16370</v>
      </c>
      <c r="C1394" s="3">
        <f>IF(B1394="","",SUMIFS('Factory Costs'!$C:$C,'Factory Costs'!$A:$A,"Blades",'Factory Costs'!$B:$B,B1394))</f>
        <v>34</v>
      </c>
    </row>
    <row r="1395" spans="1:3" x14ac:dyDescent="0.25">
      <c r="A1395" s="1" t="s">
        <v>10736</v>
      </c>
      <c r="B1395" s="1" t="s">
        <v>16370</v>
      </c>
      <c r="C1395" s="3">
        <f>IF(B1395="","",SUMIFS('Factory Costs'!$C:$C,'Factory Costs'!$A:$A,"Blades",'Factory Costs'!$B:$B,B1395))</f>
        <v>34</v>
      </c>
    </row>
    <row r="1396" spans="1:3" x14ac:dyDescent="0.25">
      <c r="A1396" s="1" t="s">
        <v>10739</v>
      </c>
      <c r="B1396" s="1" t="s">
        <v>16370</v>
      </c>
      <c r="C1396" s="3">
        <f>IF(B1396="","",SUMIFS('Factory Costs'!$C:$C,'Factory Costs'!$A:$A,"Blades",'Factory Costs'!$B:$B,B1396))</f>
        <v>34</v>
      </c>
    </row>
    <row r="1397" spans="1:3" x14ac:dyDescent="0.25">
      <c r="A1397" s="1" t="s">
        <v>10742</v>
      </c>
      <c r="B1397" s="1" t="s">
        <v>16370</v>
      </c>
      <c r="C1397" s="3">
        <f>IF(B1397="","",SUMIFS('Factory Costs'!$C:$C,'Factory Costs'!$A:$A,"Blades",'Factory Costs'!$B:$B,B1397))</f>
        <v>34</v>
      </c>
    </row>
    <row r="1398" spans="1:3" x14ac:dyDescent="0.25">
      <c r="A1398" s="1" t="s">
        <v>10745</v>
      </c>
      <c r="B1398" s="1" t="s">
        <v>16370</v>
      </c>
      <c r="C1398" s="3">
        <f>IF(B1398="","",SUMIFS('Factory Costs'!$C:$C,'Factory Costs'!$A:$A,"Blades",'Factory Costs'!$B:$B,B1398))</f>
        <v>34</v>
      </c>
    </row>
    <row r="1399" spans="1:3" x14ac:dyDescent="0.25">
      <c r="A1399" s="1" t="s">
        <v>10748</v>
      </c>
      <c r="B1399" s="1" t="s">
        <v>16370</v>
      </c>
      <c r="C1399" s="3">
        <f>IF(B1399="","",SUMIFS('Factory Costs'!$C:$C,'Factory Costs'!$A:$A,"Blades",'Factory Costs'!$B:$B,B1399))</f>
        <v>34</v>
      </c>
    </row>
    <row r="1400" spans="1:3" x14ac:dyDescent="0.25">
      <c r="A1400" s="1" t="s">
        <v>10751</v>
      </c>
      <c r="B1400" s="1" t="s">
        <v>16370</v>
      </c>
      <c r="C1400" s="3">
        <f>IF(B1400="","",SUMIFS('Factory Costs'!$C:$C,'Factory Costs'!$A:$A,"Blades",'Factory Costs'!$B:$B,B1400))</f>
        <v>34</v>
      </c>
    </row>
    <row r="1401" spans="1:3" x14ac:dyDescent="0.25">
      <c r="A1401" s="1" t="s">
        <v>10754</v>
      </c>
      <c r="B1401" s="1" t="s">
        <v>16370</v>
      </c>
      <c r="C1401" s="3">
        <f>IF(B1401="","",SUMIFS('Factory Costs'!$C:$C,'Factory Costs'!$A:$A,"Blades",'Factory Costs'!$B:$B,B1401))</f>
        <v>34</v>
      </c>
    </row>
    <row r="1402" spans="1:3" x14ac:dyDescent="0.25">
      <c r="A1402" s="1" t="s">
        <v>10757</v>
      </c>
      <c r="B1402" s="1" t="s">
        <v>16371</v>
      </c>
      <c r="C1402" s="3">
        <f>IF(B1402="","",SUMIFS('Factory Costs'!$C:$C,'Factory Costs'!$A:$A,"Blades",'Factory Costs'!$B:$B,B1402))</f>
        <v>37</v>
      </c>
    </row>
    <row r="1403" spans="1:3" x14ac:dyDescent="0.25">
      <c r="A1403" s="1" t="s">
        <v>10760</v>
      </c>
      <c r="B1403" s="1" t="s">
        <v>16370</v>
      </c>
      <c r="C1403" s="3">
        <f>IF(B1403="","",SUMIFS('Factory Costs'!$C:$C,'Factory Costs'!$A:$A,"Blades",'Factory Costs'!$B:$B,B1403))</f>
        <v>34</v>
      </c>
    </row>
    <row r="1404" spans="1:3" x14ac:dyDescent="0.25">
      <c r="A1404" s="1" t="s">
        <v>10763</v>
      </c>
      <c r="B1404" s="1" t="s">
        <v>16370</v>
      </c>
      <c r="C1404" s="3">
        <f>IF(B1404="","",SUMIFS('Factory Costs'!$C:$C,'Factory Costs'!$A:$A,"Blades",'Factory Costs'!$B:$B,B1404))</f>
        <v>34</v>
      </c>
    </row>
    <row r="1405" spans="1:3" x14ac:dyDescent="0.25">
      <c r="A1405" s="1" t="s">
        <v>10766</v>
      </c>
      <c r="B1405" s="1" t="s">
        <v>16370</v>
      </c>
      <c r="C1405" s="3">
        <f>IF(B1405="","",SUMIFS('Factory Costs'!$C:$C,'Factory Costs'!$A:$A,"Blades",'Factory Costs'!$B:$B,B1405))</f>
        <v>34</v>
      </c>
    </row>
    <row r="1406" spans="1:3" x14ac:dyDescent="0.25">
      <c r="A1406" s="1" t="s">
        <v>10769</v>
      </c>
      <c r="B1406" s="1" t="s">
        <v>16370</v>
      </c>
      <c r="C1406" s="3">
        <f>IF(B1406="","",SUMIFS('Factory Costs'!$C:$C,'Factory Costs'!$A:$A,"Blades",'Factory Costs'!$B:$B,B1406))</f>
        <v>34</v>
      </c>
    </row>
    <row r="1407" spans="1:3" x14ac:dyDescent="0.25">
      <c r="A1407" s="1" t="s">
        <v>10772</v>
      </c>
      <c r="B1407" s="1" t="s">
        <v>16371</v>
      </c>
      <c r="C1407" s="3">
        <f>IF(B1407="","",SUMIFS('Factory Costs'!$C:$C,'Factory Costs'!$A:$A,"Blades",'Factory Costs'!$B:$B,B1407))</f>
        <v>37</v>
      </c>
    </row>
    <row r="1408" spans="1:3" x14ac:dyDescent="0.25">
      <c r="A1408" s="1" t="s">
        <v>10775</v>
      </c>
      <c r="B1408" s="1" t="s">
        <v>16371</v>
      </c>
      <c r="C1408" s="3">
        <f>IF(B1408="","",SUMIFS('Factory Costs'!$C:$C,'Factory Costs'!$A:$A,"Blades",'Factory Costs'!$B:$B,B1408))</f>
        <v>37</v>
      </c>
    </row>
    <row r="1409" spans="1:3" x14ac:dyDescent="0.25">
      <c r="A1409" s="1" t="s">
        <v>10778</v>
      </c>
      <c r="B1409" s="1" t="s">
        <v>16372</v>
      </c>
      <c r="C1409" s="3">
        <f>IF(B1409="","",SUMIFS('Factory Costs'!$C:$C,'Factory Costs'!$A:$A,"Blades",'Factory Costs'!$B:$B,B1409))</f>
        <v>42</v>
      </c>
    </row>
    <row r="1410" spans="1:3" x14ac:dyDescent="0.25">
      <c r="A1410" s="1" t="s">
        <v>10781</v>
      </c>
      <c r="B1410" s="1" t="s">
        <v>16371</v>
      </c>
      <c r="C1410" s="3">
        <f>IF(B1410="","",SUMIFS('Factory Costs'!$C:$C,'Factory Costs'!$A:$A,"Blades",'Factory Costs'!$B:$B,B1410))</f>
        <v>37</v>
      </c>
    </row>
    <row r="1411" spans="1:3" x14ac:dyDescent="0.25">
      <c r="A1411" s="1" t="s">
        <v>10784</v>
      </c>
      <c r="B1411" s="1" t="s">
        <v>16370</v>
      </c>
      <c r="C1411" s="3">
        <f>IF(B1411="","",SUMIFS('Factory Costs'!$C:$C,'Factory Costs'!$A:$A,"Blades",'Factory Costs'!$B:$B,B1411))</f>
        <v>34</v>
      </c>
    </row>
    <row r="1412" spans="1:3" x14ac:dyDescent="0.25">
      <c r="A1412" s="1" t="s">
        <v>10787</v>
      </c>
      <c r="B1412" s="1" t="s">
        <v>16372</v>
      </c>
      <c r="C1412" s="3">
        <f>IF(B1412="","",SUMIFS('Factory Costs'!$C:$C,'Factory Costs'!$A:$A,"Blades",'Factory Costs'!$B:$B,B1412))</f>
        <v>42</v>
      </c>
    </row>
    <row r="1413" spans="1:3" x14ac:dyDescent="0.25">
      <c r="A1413" s="1" t="s">
        <v>10790</v>
      </c>
      <c r="B1413" s="1" t="s">
        <v>16370</v>
      </c>
      <c r="C1413" s="3">
        <f>IF(B1413="","",SUMIFS('Factory Costs'!$C:$C,'Factory Costs'!$A:$A,"Blades",'Factory Costs'!$B:$B,B1413))</f>
        <v>34</v>
      </c>
    </row>
    <row r="1414" spans="1:3" x14ac:dyDescent="0.25">
      <c r="A1414" s="1" t="s">
        <v>10793</v>
      </c>
      <c r="B1414" s="1" t="s">
        <v>16370</v>
      </c>
      <c r="C1414" s="3">
        <f>IF(B1414="","",SUMIFS('Factory Costs'!$C:$C,'Factory Costs'!$A:$A,"Blades",'Factory Costs'!$B:$B,B1414))</f>
        <v>34</v>
      </c>
    </row>
    <row r="1415" spans="1:3" x14ac:dyDescent="0.25">
      <c r="A1415" s="1" t="s">
        <v>10796</v>
      </c>
      <c r="B1415" s="1" t="s">
        <v>16371</v>
      </c>
      <c r="C1415" s="3">
        <f>IF(B1415="","",SUMIFS('Factory Costs'!$C:$C,'Factory Costs'!$A:$A,"Blades",'Factory Costs'!$B:$B,B1415))</f>
        <v>37</v>
      </c>
    </row>
    <row r="1416" spans="1:3" x14ac:dyDescent="0.25">
      <c r="A1416" s="1" t="s">
        <v>10799</v>
      </c>
      <c r="B1416" s="1" t="s">
        <v>16372</v>
      </c>
      <c r="C1416" s="3">
        <f>IF(B1416="","",SUMIFS('Factory Costs'!$C:$C,'Factory Costs'!$A:$A,"Blades",'Factory Costs'!$B:$B,B1416))</f>
        <v>42</v>
      </c>
    </row>
    <row r="1417" spans="1:3" x14ac:dyDescent="0.25">
      <c r="A1417" s="1" t="s">
        <v>10802</v>
      </c>
      <c r="B1417" s="1" t="s">
        <v>16370</v>
      </c>
      <c r="C1417" s="3">
        <f>IF(B1417="","",SUMIFS('Factory Costs'!$C:$C,'Factory Costs'!$A:$A,"Blades",'Factory Costs'!$B:$B,B1417))</f>
        <v>34</v>
      </c>
    </row>
    <row r="1418" spans="1:3" x14ac:dyDescent="0.25">
      <c r="A1418" s="1" t="s">
        <v>10805</v>
      </c>
      <c r="B1418" s="1" t="s">
        <v>16370</v>
      </c>
      <c r="C1418" s="3">
        <f>IF(B1418="","",SUMIFS('Factory Costs'!$C:$C,'Factory Costs'!$A:$A,"Blades",'Factory Costs'!$B:$B,B1418))</f>
        <v>34</v>
      </c>
    </row>
    <row r="1419" spans="1:3" x14ac:dyDescent="0.25">
      <c r="A1419" s="1" t="s">
        <v>10808</v>
      </c>
      <c r="B1419" s="1" t="s">
        <v>16370</v>
      </c>
      <c r="C1419" s="3">
        <f>IF(B1419="","",SUMIFS('Factory Costs'!$C:$C,'Factory Costs'!$A:$A,"Blades",'Factory Costs'!$B:$B,B1419))</f>
        <v>34</v>
      </c>
    </row>
    <row r="1420" spans="1:3" x14ac:dyDescent="0.25">
      <c r="A1420" s="1" t="s">
        <v>10811</v>
      </c>
      <c r="B1420" s="1" t="s">
        <v>16371</v>
      </c>
      <c r="C1420" s="3">
        <f>IF(B1420="","",SUMIFS('Factory Costs'!$C:$C,'Factory Costs'!$A:$A,"Blades",'Factory Costs'!$B:$B,B1420))</f>
        <v>37</v>
      </c>
    </row>
    <row r="1421" spans="1:3" x14ac:dyDescent="0.25">
      <c r="A1421" s="1" t="s">
        <v>10814</v>
      </c>
      <c r="B1421" s="1" t="s">
        <v>16370</v>
      </c>
      <c r="C1421" s="3">
        <f>IF(B1421="","",SUMIFS('Factory Costs'!$C:$C,'Factory Costs'!$A:$A,"Blades",'Factory Costs'!$B:$B,B1421))</f>
        <v>34</v>
      </c>
    </row>
    <row r="1422" spans="1:3" x14ac:dyDescent="0.25">
      <c r="A1422" s="1" t="s">
        <v>10817</v>
      </c>
      <c r="B1422" s="1" t="s">
        <v>16372</v>
      </c>
      <c r="C1422" s="3">
        <f>IF(B1422="","",SUMIFS('Factory Costs'!$C:$C,'Factory Costs'!$A:$A,"Blades",'Factory Costs'!$B:$B,B1422))</f>
        <v>42</v>
      </c>
    </row>
    <row r="1423" spans="1:3" x14ac:dyDescent="0.25">
      <c r="A1423" s="1" t="s">
        <v>10820</v>
      </c>
      <c r="B1423" s="1" t="s">
        <v>16370</v>
      </c>
      <c r="C1423" s="3">
        <f>IF(B1423="","",SUMIFS('Factory Costs'!$C:$C,'Factory Costs'!$A:$A,"Blades",'Factory Costs'!$B:$B,B1423))</f>
        <v>34</v>
      </c>
    </row>
    <row r="1424" spans="1:3" x14ac:dyDescent="0.25">
      <c r="A1424" s="1" t="s">
        <v>10823</v>
      </c>
      <c r="B1424" s="1" t="s">
        <v>16371</v>
      </c>
      <c r="C1424" s="3">
        <f>IF(B1424="","",SUMIFS('Factory Costs'!$C:$C,'Factory Costs'!$A:$A,"Blades",'Factory Costs'!$B:$B,B1424))</f>
        <v>37</v>
      </c>
    </row>
    <row r="1425" spans="1:3" x14ac:dyDescent="0.25">
      <c r="A1425" s="1" t="s">
        <v>10826</v>
      </c>
      <c r="B1425" s="1" t="s">
        <v>16370</v>
      </c>
      <c r="C1425" s="3">
        <f>IF(B1425="","",SUMIFS('Factory Costs'!$C:$C,'Factory Costs'!$A:$A,"Blades",'Factory Costs'!$B:$B,B1425))</f>
        <v>34</v>
      </c>
    </row>
    <row r="1426" spans="1:3" x14ac:dyDescent="0.25">
      <c r="A1426" s="1" t="s">
        <v>10829</v>
      </c>
      <c r="B1426" s="1" t="s">
        <v>16372</v>
      </c>
      <c r="C1426" s="3">
        <f>IF(B1426="","",SUMIFS('Factory Costs'!$C:$C,'Factory Costs'!$A:$A,"Blades",'Factory Costs'!$B:$B,B1426))</f>
        <v>42</v>
      </c>
    </row>
    <row r="1427" spans="1:3" x14ac:dyDescent="0.25">
      <c r="A1427" s="1" t="s">
        <v>10832</v>
      </c>
      <c r="B1427" s="1" t="s">
        <v>16370</v>
      </c>
      <c r="C1427" s="3">
        <f>IF(B1427="","",SUMIFS('Factory Costs'!$C:$C,'Factory Costs'!$A:$A,"Blades",'Factory Costs'!$B:$B,B1427))</f>
        <v>34</v>
      </c>
    </row>
    <row r="1428" spans="1:3" x14ac:dyDescent="0.25">
      <c r="A1428" s="1" t="s">
        <v>10835</v>
      </c>
      <c r="B1428" s="1" t="s">
        <v>16371</v>
      </c>
      <c r="C1428" s="3">
        <f>IF(B1428="","",SUMIFS('Factory Costs'!$C:$C,'Factory Costs'!$A:$A,"Blades",'Factory Costs'!$B:$B,B1428))</f>
        <v>37</v>
      </c>
    </row>
    <row r="1429" spans="1:3" x14ac:dyDescent="0.25">
      <c r="A1429" s="1" t="s">
        <v>10838</v>
      </c>
      <c r="B1429" s="1" t="s">
        <v>16370</v>
      </c>
      <c r="C1429" s="3">
        <f>IF(B1429="","",SUMIFS('Factory Costs'!$C:$C,'Factory Costs'!$A:$A,"Blades",'Factory Costs'!$B:$B,B1429))</f>
        <v>34</v>
      </c>
    </row>
    <row r="1430" spans="1:3" x14ac:dyDescent="0.25">
      <c r="A1430" s="1" t="s">
        <v>10841</v>
      </c>
      <c r="B1430" s="1" t="s">
        <v>16370</v>
      </c>
      <c r="C1430" s="3">
        <f>IF(B1430="","",SUMIFS('Factory Costs'!$C:$C,'Factory Costs'!$A:$A,"Blades",'Factory Costs'!$B:$B,B1430))</f>
        <v>34</v>
      </c>
    </row>
    <row r="1431" spans="1:3" x14ac:dyDescent="0.25">
      <c r="A1431" s="1" t="s">
        <v>10844</v>
      </c>
      <c r="B1431" s="1" t="s">
        <v>16371</v>
      </c>
      <c r="C1431" s="3">
        <f>IF(B1431="","",SUMIFS('Factory Costs'!$C:$C,'Factory Costs'!$A:$A,"Blades",'Factory Costs'!$B:$B,B1431))</f>
        <v>37</v>
      </c>
    </row>
    <row r="1432" spans="1:3" x14ac:dyDescent="0.25">
      <c r="A1432" s="1" t="s">
        <v>10847</v>
      </c>
      <c r="B1432" s="1" t="s">
        <v>16370</v>
      </c>
      <c r="C1432" s="3">
        <f>IF(B1432="","",SUMIFS('Factory Costs'!$C:$C,'Factory Costs'!$A:$A,"Blades",'Factory Costs'!$B:$B,B1432))</f>
        <v>34</v>
      </c>
    </row>
    <row r="1433" spans="1:3" x14ac:dyDescent="0.25">
      <c r="A1433" s="1" t="s">
        <v>10850</v>
      </c>
      <c r="B1433" s="1" t="s">
        <v>16370</v>
      </c>
      <c r="C1433" s="3">
        <f>IF(B1433="","",SUMIFS('Factory Costs'!$C:$C,'Factory Costs'!$A:$A,"Blades",'Factory Costs'!$B:$B,B1433))</f>
        <v>34</v>
      </c>
    </row>
    <row r="1434" spans="1:3" x14ac:dyDescent="0.25">
      <c r="A1434" s="1" t="s">
        <v>10853</v>
      </c>
      <c r="B1434" s="1" t="s">
        <v>16371</v>
      </c>
      <c r="C1434" s="3">
        <f>IF(B1434="","",SUMIFS('Factory Costs'!$C:$C,'Factory Costs'!$A:$A,"Blades",'Factory Costs'!$B:$B,B1434))</f>
        <v>37</v>
      </c>
    </row>
    <row r="1435" spans="1:3" x14ac:dyDescent="0.25">
      <c r="A1435" s="1" t="s">
        <v>10856</v>
      </c>
      <c r="B1435" s="1" t="s">
        <v>16370</v>
      </c>
      <c r="C1435" s="3">
        <f>IF(B1435="","",SUMIFS('Factory Costs'!$C:$C,'Factory Costs'!$A:$A,"Blades",'Factory Costs'!$B:$B,B1435))</f>
        <v>34</v>
      </c>
    </row>
    <row r="1436" spans="1:3" x14ac:dyDescent="0.25">
      <c r="A1436" s="1" t="s">
        <v>10859</v>
      </c>
      <c r="B1436" s="1" t="s">
        <v>16370</v>
      </c>
      <c r="C1436" s="3">
        <f>IF(B1436="","",SUMIFS('Factory Costs'!$C:$C,'Factory Costs'!$A:$A,"Blades",'Factory Costs'!$B:$B,B1436))</f>
        <v>34</v>
      </c>
    </row>
    <row r="1437" spans="1:3" x14ac:dyDescent="0.25">
      <c r="A1437" s="1" t="s">
        <v>10862</v>
      </c>
      <c r="B1437" s="1" t="s">
        <v>16371</v>
      </c>
      <c r="C1437" s="3">
        <f>IF(B1437="","",SUMIFS('Factory Costs'!$C:$C,'Factory Costs'!$A:$A,"Blades",'Factory Costs'!$B:$B,B1437))</f>
        <v>37</v>
      </c>
    </row>
    <row r="1438" spans="1:3" x14ac:dyDescent="0.25">
      <c r="A1438" s="1" t="s">
        <v>10865</v>
      </c>
      <c r="B1438" s="1" t="s">
        <v>16370</v>
      </c>
      <c r="C1438" s="3">
        <f>IF(B1438="","",SUMIFS('Factory Costs'!$C:$C,'Factory Costs'!$A:$A,"Blades",'Factory Costs'!$B:$B,B1438))</f>
        <v>34</v>
      </c>
    </row>
    <row r="1439" spans="1:3" x14ac:dyDescent="0.25">
      <c r="A1439" s="1" t="s">
        <v>10868</v>
      </c>
      <c r="B1439" s="1" t="s">
        <v>16370</v>
      </c>
      <c r="C1439" s="3">
        <f>IF(B1439="","",SUMIFS('Factory Costs'!$C:$C,'Factory Costs'!$A:$A,"Blades",'Factory Costs'!$B:$B,B1439))</f>
        <v>34</v>
      </c>
    </row>
    <row r="1440" spans="1:3" x14ac:dyDescent="0.25">
      <c r="A1440" s="1" t="s">
        <v>10871</v>
      </c>
      <c r="B1440" s="1" t="s">
        <v>16372</v>
      </c>
      <c r="C1440" s="3">
        <f>IF(B1440="","",SUMIFS('Factory Costs'!$C:$C,'Factory Costs'!$A:$A,"Blades",'Factory Costs'!$B:$B,B1440))</f>
        <v>42</v>
      </c>
    </row>
    <row r="1441" spans="1:3" x14ac:dyDescent="0.25">
      <c r="A1441" s="1" t="s">
        <v>10874</v>
      </c>
      <c r="B1441" s="1" t="s">
        <v>16370</v>
      </c>
      <c r="C1441" s="3">
        <f>IF(B1441="","",SUMIFS('Factory Costs'!$C:$C,'Factory Costs'!$A:$A,"Blades",'Factory Costs'!$B:$B,B1441))</f>
        <v>34</v>
      </c>
    </row>
    <row r="1442" spans="1:3" x14ac:dyDescent="0.25">
      <c r="A1442" s="1" t="s">
        <v>10877</v>
      </c>
      <c r="B1442" s="1" t="s">
        <v>16372</v>
      </c>
      <c r="C1442" s="3">
        <f>IF(B1442="","",SUMIFS('Factory Costs'!$C:$C,'Factory Costs'!$A:$A,"Blades",'Factory Costs'!$B:$B,B1442))</f>
        <v>42</v>
      </c>
    </row>
    <row r="1443" spans="1:3" x14ac:dyDescent="0.25">
      <c r="A1443" s="1" t="s">
        <v>10880</v>
      </c>
      <c r="B1443" s="1" t="s">
        <v>16372</v>
      </c>
      <c r="C1443" s="3">
        <f>IF(B1443="","",SUMIFS('Factory Costs'!$C:$C,'Factory Costs'!$A:$A,"Blades",'Factory Costs'!$B:$B,B1443))</f>
        <v>42</v>
      </c>
    </row>
    <row r="1444" spans="1:3" x14ac:dyDescent="0.25">
      <c r="A1444" s="1" t="s">
        <v>10883</v>
      </c>
      <c r="B1444" s="1" t="s">
        <v>16371</v>
      </c>
      <c r="C1444" s="3">
        <f>IF(B1444="","",SUMIFS('Factory Costs'!$C:$C,'Factory Costs'!$A:$A,"Blades",'Factory Costs'!$B:$B,B1444))</f>
        <v>37</v>
      </c>
    </row>
    <row r="1445" spans="1:3" x14ac:dyDescent="0.25">
      <c r="A1445" s="1" t="s">
        <v>10886</v>
      </c>
      <c r="B1445" s="1" t="s">
        <v>16370</v>
      </c>
      <c r="C1445" s="3">
        <f>IF(B1445="","",SUMIFS('Factory Costs'!$C:$C,'Factory Costs'!$A:$A,"Blades",'Factory Costs'!$B:$B,B1445))</f>
        <v>34</v>
      </c>
    </row>
    <row r="1446" spans="1:3" x14ac:dyDescent="0.25">
      <c r="A1446" s="1" t="s">
        <v>10889</v>
      </c>
      <c r="B1446" s="1" t="s">
        <v>16371</v>
      </c>
      <c r="C1446" s="3">
        <f>IF(B1446="","",SUMIFS('Factory Costs'!$C:$C,'Factory Costs'!$A:$A,"Blades",'Factory Costs'!$B:$B,B1446))</f>
        <v>37</v>
      </c>
    </row>
    <row r="1447" spans="1:3" x14ac:dyDescent="0.25">
      <c r="A1447" s="1" t="s">
        <v>10892</v>
      </c>
      <c r="B1447" s="1" t="s">
        <v>16371</v>
      </c>
      <c r="C1447" s="3">
        <f>IF(B1447="","",SUMIFS('Factory Costs'!$C:$C,'Factory Costs'!$A:$A,"Blades",'Factory Costs'!$B:$B,B1447))</f>
        <v>37</v>
      </c>
    </row>
    <row r="1448" spans="1:3" x14ac:dyDescent="0.25">
      <c r="A1448" s="1" t="s">
        <v>10895</v>
      </c>
      <c r="B1448" s="1" t="s">
        <v>16372</v>
      </c>
      <c r="C1448" s="3">
        <f>IF(B1448="","",SUMIFS('Factory Costs'!$C:$C,'Factory Costs'!$A:$A,"Blades",'Factory Costs'!$B:$B,B1448))</f>
        <v>42</v>
      </c>
    </row>
    <row r="1449" spans="1:3" x14ac:dyDescent="0.25">
      <c r="A1449" s="1" t="s">
        <v>10898</v>
      </c>
      <c r="B1449" s="1" t="s">
        <v>16370</v>
      </c>
      <c r="C1449" s="3">
        <f>IF(B1449="","",SUMIFS('Factory Costs'!$C:$C,'Factory Costs'!$A:$A,"Blades",'Factory Costs'!$B:$B,B1449))</f>
        <v>34</v>
      </c>
    </row>
    <row r="1450" spans="1:3" x14ac:dyDescent="0.25">
      <c r="A1450" s="1" t="s">
        <v>10901</v>
      </c>
      <c r="B1450" s="1" t="s">
        <v>16371</v>
      </c>
      <c r="C1450" s="3">
        <f>IF(B1450="","",SUMIFS('Factory Costs'!$C:$C,'Factory Costs'!$A:$A,"Blades",'Factory Costs'!$B:$B,B1450))</f>
        <v>37</v>
      </c>
    </row>
    <row r="1451" spans="1:3" x14ac:dyDescent="0.25">
      <c r="A1451" s="1" t="s">
        <v>10904</v>
      </c>
      <c r="B1451" s="1" t="s">
        <v>16371</v>
      </c>
      <c r="C1451" s="3">
        <f>IF(B1451="","",SUMIFS('Factory Costs'!$C:$C,'Factory Costs'!$A:$A,"Blades",'Factory Costs'!$B:$B,B1451))</f>
        <v>37</v>
      </c>
    </row>
    <row r="1452" spans="1:3" x14ac:dyDescent="0.25">
      <c r="A1452" s="1" t="s">
        <v>10907</v>
      </c>
      <c r="B1452" s="1" t="s">
        <v>16370</v>
      </c>
      <c r="C1452" s="3">
        <f>IF(B1452="","",SUMIFS('Factory Costs'!$C:$C,'Factory Costs'!$A:$A,"Blades",'Factory Costs'!$B:$B,B1452))</f>
        <v>34</v>
      </c>
    </row>
    <row r="1453" spans="1:3" x14ac:dyDescent="0.25">
      <c r="A1453" s="1" t="s">
        <v>10910</v>
      </c>
      <c r="B1453" s="1" t="s">
        <v>16370</v>
      </c>
      <c r="C1453" s="3">
        <f>IF(B1453="","",SUMIFS('Factory Costs'!$C:$C,'Factory Costs'!$A:$A,"Blades",'Factory Costs'!$B:$B,B1453))</f>
        <v>34</v>
      </c>
    </row>
    <row r="1454" spans="1:3" x14ac:dyDescent="0.25">
      <c r="A1454" s="1" t="s">
        <v>10913</v>
      </c>
      <c r="B1454" s="1" t="s">
        <v>16372</v>
      </c>
      <c r="C1454" s="3">
        <f>IF(B1454="","",SUMIFS('Factory Costs'!$C:$C,'Factory Costs'!$A:$A,"Blades",'Factory Costs'!$B:$B,B1454))</f>
        <v>42</v>
      </c>
    </row>
    <row r="1455" spans="1:3" x14ac:dyDescent="0.25">
      <c r="A1455" s="1" t="s">
        <v>10916</v>
      </c>
      <c r="B1455" s="1" t="s">
        <v>16371</v>
      </c>
      <c r="C1455" s="3">
        <f>IF(B1455="","",SUMIFS('Factory Costs'!$C:$C,'Factory Costs'!$A:$A,"Blades",'Factory Costs'!$B:$B,B1455))</f>
        <v>37</v>
      </c>
    </row>
    <row r="1456" spans="1:3" x14ac:dyDescent="0.25">
      <c r="A1456" s="1" t="s">
        <v>10919</v>
      </c>
      <c r="B1456" s="1" t="s">
        <v>16372</v>
      </c>
      <c r="C1456" s="3">
        <f>IF(B1456="","",SUMIFS('Factory Costs'!$C:$C,'Factory Costs'!$A:$A,"Blades",'Factory Costs'!$B:$B,B1456))</f>
        <v>42</v>
      </c>
    </row>
    <row r="1457" spans="1:3" x14ac:dyDescent="0.25">
      <c r="A1457" s="1" t="s">
        <v>10922</v>
      </c>
      <c r="B1457" s="1" t="s">
        <v>16371</v>
      </c>
      <c r="C1457" s="3">
        <f>IF(B1457="","",SUMIFS('Factory Costs'!$C:$C,'Factory Costs'!$A:$A,"Blades",'Factory Costs'!$B:$B,B1457))</f>
        <v>37</v>
      </c>
    </row>
    <row r="1458" spans="1:3" x14ac:dyDescent="0.25">
      <c r="A1458" s="1" t="s">
        <v>10925</v>
      </c>
      <c r="B1458" s="1" t="s">
        <v>16371</v>
      </c>
      <c r="C1458" s="3">
        <f>IF(B1458="","",SUMIFS('Factory Costs'!$C:$C,'Factory Costs'!$A:$A,"Blades",'Factory Costs'!$B:$B,B1458))</f>
        <v>37</v>
      </c>
    </row>
    <row r="1459" spans="1:3" x14ac:dyDescent="0.25">
      <c r="A1459" s="1" t="s">
        <v>10928</v>
      </c>
      <c r="B1459" s="1" t="s">
        <v>16371</v>
      </c>
      <c r="C1459" s="3">
        <f>IF(B1459="","",SUMIFS('Factory Costs'!$C:$C,'Factory Costs'!$A:$A,"Blades",'Factory Costs'!$B:$B,B1459))</f>
        <v>37</v>
      </c>
    </row>
    <row r="1460" spans="1:3" x14ac:dyDescent="0.25">
      <c r="A1460" s="1" t="s">
        <v>10931</v>
      </c>
      <c r="B1460" s="1" t="s">
        <v>16372</v>
      </c>
      <c r="C1460" s="3">
        <f>IF(B1460="","",SUMIFS('Factory Costs'!$C:$C,'Factory Costs'!$A:$A,"Blades",'Factory Costs'!$B:$B,B1460))</f>
        <v>42</v>
      </c>
    </row>
    <row r="1461" spans="1:3" x14ac:dyDescent="0.25">
      <c r="A1461" s="1" t="s">
        <v>10934</v>
      </c>
      <c r="B1461" s="1" t="s">
        <v>16370</v>
      </c>
      <c r="C1461" s="3">
        <f>IF(B1461="","",SUMIFS('Factory Costs'!$C:$C,'Factory Costs'!$A:$A,"Blades",'Factory Costs'!$B:$B,B1461))</f>
        <v>34</v>
      </c>
    </row>
    <row r="1462" spans="1:3" x14ac:dyDescent="0.25">
      <c r="A1462" s="1" t="s">
        <v>10937</v>
      </c>
      <c r="B1462" s="1" t="s">
        <v>16371</v>
      </c>
      <c r="C1462" s="3">
        <f>IF(B1462="","",SUMIFS('Factory Costs'!$C:$C,'Factory Costs'!$A:$A,"Blades",'Factory Costs'!$B:$B,B1462))</f>
        <v>37</v>
      </c>
    </row>
    <row r="1463" spans="1:3" x14ac:dyDescent="0.25">
      <c r="A1463" s="1" t="s">
        <v>10940</v>
      </c>
      <c r="B1463" s="1" t="s">
        <v>16370</v>
      </c>
      <c r="C1463" s="3">
        <f>IF(B1463="","",SUMIFS('Factory Costs'!$C:$C,'Factory Costs'!$A:$A,"Blades",'Factory Costs'!$B:$B,B1463))</f>
        <v>34</v>
      </c>
    </row>
    <row r="1464" spans="1:3" x14ac:dyDescent="0.25">
      <c r="A1464" s="1" t="s">
        <v>10943</v>
      </c>
      <c r="B1464" s="1" t="s">
        <v>16370</v>
      </c>
      <c r="C1464" s="3">
        <f>IF(B1464="","",SUMIFS('Factory Costs'!$C:$C,'Factory Costs'!$A:$A,"Blades",'Factory Costs'!$B:$B,B1464))</f>
        <v>34</v>
      </c>
    </row>
    <row r="1465" spans="1:3" x14ac:dyDescent="0.25">
      <c r="A1465" s="1" t="s">
        <v>10946</v>
      </c>
      <c r="B1465" s="1" t="s">
        <v>16372</v>
      </c>
      <c r="C1465" s="3">
        <f>IF(B1465="","",SUMIFS('Factory Costs'!$C:$C,'Factory Costs'!$A:$A,"Blades",'Factory Costs'!$B:$B,B1465))</f>
        <v>42</v>
      </c>
    </row>
    <row r="1466" spans="1:3" x14ac:dyDescent="0.25">
      <c r="A1466" s="1" t="s">
        <v>10949</v>
      </c>
      <c r="B1466" s="1" t="s">
        <v>16371</v>
      </c>
      <c r="C1466" s="3">
        <f>IF(B1466="","",SUMIFS('Factory Costs'!$C:$C,'Factory Costs'!$A:$A,"Blades",'Factory Costs'!$B:$B,B1466))</f>
        <v>37</v>
      </c>
    </row>
    <row r="1467" spans="1:3" x14ac:dyDescent="0.25">
      <c r="A1467" s="1" t="s">
        <v>10952</v>
      </c>
      <c r="B1467" s="1" t="s">
        <v>16371</v>
      </c>
      <c r="C1467" s="3">
        <f>IF(B1467="","",SUMIFS('Factory Costs'!$C:$C,'Factory Costs'!$A:$A,"Blades",'Factory Costs'!$B:$B,B1467))</f>
        <v>37</v>
      </c>
    </row>
    <row r="1468" spans="1:3" x14ac:dyDescent="0.25">
      <c r="A1468" s="1" t="s">
        <v>10955</v>
      </c>
      <c r="B1468" s="1" t="s">
        <v>16371</v>
      </c>
      <c r="C1468" s="3">
        <f>IF(B1468="","",SUMIFS('Factory Costs'!$C:$C,'Factory Costs'!$A:$A,"Blades",'Factory Costs'!$B:$B,B1468))</f>
        <v>37</v>
      </c>
    </row>
    <row r="1469" spans="1:3" x14ac:dyDescent="0.25">
      <c r="A1469" s="1" t="s">
        <v>10958</v>
      </c>
      <c r="B1469" s="1" t="s">
        <v>16370</v>
      </c>
      <c r="C1469" s="3">
        <f>IF(B1469="","",SUMIFS('Factory Costs'!$C:$C,'Factory Costs'!$A:$A,"Blades",'Factory Costs'!$B:$B,B1469))</f>
        <v>34</v>
      </c>
    </row>
    <row r="1470" spans="1:3" x14ac:dyDescent="0.25">
      <c r="A1470" s="1" t="s">
        <v>10961</v>
      </c>
      <c r="B1470" s="1" t="s">
        <v>16370</v>
      </c>
      <c r="C1470" s="3">
        <f>IF(B1470="","",SUMIFS('Factory Costs'!$C:$C,'Factory Costs'!$A:$A,"Blades",'Factory Costs'!$B:$B,B1470))</f>
        <v>34</v>
      </c>
    </row>
    <row r="1471" spans="1:3" x14ac:dyDescent="0.25">
      <c r="A1471" s="1" t="s">
        <v>10964</v>
      </c>
      <c r="B1471" s="1" t="s">
        <v>16371</v>
      </c>
      <c r="C1471" s="3">
        <f>IF(B1471="","",SUMIFS('Factory Costs'!$C:$C,'Factory Costs'!$A:$A,"Blades",'Factory Costs'!$B:$B,B1471))</f>
        <v>37</v>
      </c>
    </row>
    <row r="1472" spans="1:3" x14ac:dyDescent="0.25">
      <c r="A1472" s="1" t="s">
        <v>10967</v>
      </c>
      <c r="B1472" s="1" t="s">
        <v>16370</v>
      </c>
      <c r="C1472" s="3">
        <f>IF(B1472="","",SUMIFS('Factory Costs'!$C:$C,'Factory Costs'!$A:$A,"Blades",'Factory Costs'!$B:$B,B1472))</f>
        <v>34</v>
      </c>
    </row>
    <row r="1473" spans="1:3" x14ac:dyDescent="0.25">
      <c r="A1473" s="1" t="s">
        <v>10970</v>
      </c>
      <c r="B1473" s="1" t="s">
        <v>16372</v>
      </c>
      <c r="C1473" s="3">
        <f>IF(B1473="","",SUMIFS('Factory Costs'!$C:$C,'Factory Costs'!$A:$A,"Blades",'Factory Costs'!$B:$B,B1473))</f>
        <v>42</v>
      </c>
    </row>
    <row r="1474" spans="1:3" x14ac:dyDescent="0.25">
      <c r="A1474" s="1" t="s">
        <v>10973</v>
      </c>
      <c r="B1474" s="1" t="s">
        <v>16371</v>
      </c>
      <c r="C1474" s="3">
        <f>IF(B1474="","",SUMIFS('Factory Costs'!$C:$C,'Factory Costs'!$A:$A,"Blades",'Factory Costs'!$B:$B,B1474))</f>
        <v>37</v>
      </c>
    </row>
    <row r="1475" spans="1:3" x14ac:dyDescent="0.25">
      <c r="A1475" s="1" t="s">
        <v>10976</v>
      </c>
      <c r="B1475" s="1" t="s">
        <v>16370</v>
      </c>
      <c r="C1475" s="3">
        <f>IF(B1475="","",SUMIFS('Factory Costs'!$C:$C,'Factory Costs'!$A:$A,"Blades",'Factory Costs'!$B:$B,B1475))</f>
        <v>34</v>
      </c>
    </row>
    <row r="1476" spans="1:3" x14ac:dyDescent="0.25">
      <c r="A1476" s="1" t="s">
        <v>10979</v>
      </c>
      <c r="B1476" s="1" t="s">
        <v>16372</v>
      </c>
      <c r="C1476" s="3">
        <f>IF(B1476="","",SUMIFS('Factory Costs'!$C:$C,'Factory Costs'!$A:$A,"Blades",'Factory Costs'!$B:$B,B1476))</f>
        <v>42</v>
      </c>
    </row>
    <row r="1477" spans="1:3" x14ac:dyDescent="0.25">
      <c r="A1477" s="1" t="s">
        <v>10982</v>
      </c>
      <c r="B1477" s="1" t="s">
        <v>16371</v>
      </c>
      <c r="C1477" s="3">
        <f>IF(B1477="","",SUMIFS('Factory Costs'!$C:$C,'Factory Costs'!$A:$A,"Blades",'Factory Costs'!$B:$B,B1477))</f>
        <v>37</v>
      </c>
    </row>
    <row r="1478" spans="1:3" x14ac:dyDescent="0.25">
      <c r="A1478" s="1" t="s">
        <v>10985</v>
      </c>
      <c r="B1478" s="1" t="s">
        <v>16370</v>
      </c>
      <c r="C1478" s="3">
        <f>IF(B1478="","",SUMIFS('Factory Costs'!$C:$C,'Factory Costs'!$A:$A,"Blades",'Factory Costs'!$B:$B,B1478))</f>
        <v>34</v>
      </c>
    </row>
    <row r="1479" spans="1:3" x14ac:dyDescent="0.25">
      <c r="A1479" s="1" t="s">
        <v>10988</v>
      </c>
      <c r="B1479" s="1" t="s">
        <v>16370</v>
      </c>
      <c r="C1479" s="3">
        <f>IF(B1479="","",SUMIFS('Factory Costs'!$C:$C,'Factory Costs'!$A:$A,"Blades",'Factory Costs'!$B:$B,B1479))</f>
        <v>34</v>
      </c>
    </row>
    <row r="1480" spans="1:3" x14ac:dyDescent="0.25">
      <c r="A1480" s="1" t="s">
        <v>10991</v>
      </c>
      <c r="B1480" s="1" t="s">
        <v>16371</v>
      </c>
      <c r="C1480" s="3">
        <f>IF(B1480="","",SUMIFS('Factory Costs'!$C:$C,'Factory Costs'!$A:$A,"Blades",'Factory Costs'!$B:$B,B1480))</f>
        <v>37</v>
      </c>
    </row>
    <row r="1481" spans="1:3" x14ac:dyDescent="0.25">
      <c r="A1481" s="1" t="s">
        <v>10994</v>
      </c>
      <c r="B1481" s="1" t="s">
        <v>16370</v>
      </c>
      <c r="C1481" s="3">
        <f>IF(B1481="","",SUMIFS('Factory Costs'!$C:$C,'Factory Costs'!$A:$A,"Blades",'Factory Costs'!$B:$B,B1481))</f>
        <v>34</v>
      </c>
    </row>
    <row r="1482" spans="1:3" x14ac:dyDescent="0.25">
      <c r="A1482" s="1" t="s">
        <v>10997</v>
      </c>
      <c r="B1482" s="1" t="s">
        <v>16370</v>
      </c>
      <c r="C1482" s="3">
        <f>IF(B1482="","",SUMIFS('Factory Costs'!$C:$C,'Factory Costs'!$A:$A,"Blades",'Factory Costs'!$B:$B,B1482))</f>
        <v>34</v>
      </c>
    </row>
    <row r="1483" spans="1:3" x14ac:dyDescent="0.25">
      <c r="A1483" s="1" t="s">
        <v>11000</v>
      </c>
      <c r="B1483" s="1" t="s">
        <v>16370</v>
      </c>
      <c r="C1483" s="3">
        <f>IF(B1483="","",SUMIFS('Factory Costs'!$C:$C,'Factory Costs'!$A:$A,"Blades",'Factory Costs'!$B:$B,B1483))</f>
        <v>34</v>
      </c>
    </row>
    <row r="1484" spans="1:3" x14ac:dyDescent="0.25">
      <c r="A1484" s="1" t="s">
        <v>11003</v>
      </c>
      <c r="B1484" s="1" t="s">
        <v>16372</v>
      </c>
      <c r="C1484" s="3">
        <f>IF(B1484="","",SUMIFS('Factory Costs'!$C:$C,'Factory Costs'!$A:$A,"Blades",'Factory Costs'!$B:$B,B1484))</f>
        <v>42</v>
      </c>
    </row>
    <row r="1485" spans="1:3" x14ac:dyDescent="0.25">
      <c r="A1485" s="1" t="s">
        <v>11006</v>
      </c>
      <c r="B1485" s="1" t="s">
        <v>16372</v>
      </c>
      <c r="C1485" s="3">
        <f>IF(B1485="","",SUMIFS('Factory Costs'!$C:$C,'Factory Costs'!$A:$A,"Blades",'Factory Costs'!$B:$B,B1485))</f>
        <v>42</v>
      </c>
    </row>
    <row r="1486" spans="1:3" x14ac:dyDescent="0.25">
      <c r="A1486" s="1" t="s">
        <v>11009</v>
      </c>
      <c r="B1486" s="1" t="s">
        <v>16371</v>
      </c>
      <c r="C1486" s="3">
        <f>IF(B1486="","",SUMIFS('Factory Costs'!$C:$C,'Factory Costs'!$A:$A,"Blades",'Factory Costs'!$B:$B,B1486))</f>
        <v>37</v>
      </c>
    </row>
    <row r="1487" spans="1:3" x14ac:dyDescent="0.25">
      <c r="A1487" s="1" t="s">
        <v>11012</v>
      </c>
      <c r="B1487" s="1" t="s">
        <v>16370</v>
      </c>
      <c r="C1487" s="3">
        <f>IF(B1487="","",SUMIFS('Factory Costs'!$C:$C,'Factory Costs'!$A:$A,"Blades",'Factory Costs'!$B:$B,B1487))</f>
        <v>34</v>
      </c>
    </row>
    <row r="1488" spans="1:3" x14ac:dyDescent="0.25">
      <c r="A1488" s="1" t="s">
        <v>11015</v>
      </c>
      <c r="B1488" s="1" t="s">
        <v>16370</v>
      </c>
      <c r="C1488" s="3">
        <f>IF(B1488="","",SUMIFS('Factory Costs'!$C:$C,'Factory Costs'!$A:$A,"Blades",'Factory Costs'!$B:$B,B1488))</f>
        <v>34</v>
      </c>
    </row>
    <row r="1489" spans="1:3" x14ac:dyDescent="0.25">
      <c r="A1489" s="1" t="s">
        <v>11018</v>
      </c>
      <c r="B1489" s="1" t="s">
        <v>16372</v>
      </c>
      <c r="C1489" s="3">
        <f>IF(B1489="","",SUMIFS('Factory Costs'!$C:$C,'Factory Costs'!$A:$A,"Blades",'Factory Costs'!$B:$B,B1489))</f>
        <v>42</v>
      </c>
    </row>
    <row r="1490" spans="1:3" x14ac:dyDescent="0.25">
      <c r="A1490" s="1" t="s">
        <v>11021</v>
      </c>
      <c r="B1490" s="1" t="s">
        <v>16370</v>
      </c>
      <c r="C1490" s="3">
        <f>IF(B1490="","",SUMIFS('Factory Costs'!$C:$C,'Factory Costs'!$A:$A,"Blades",'Factory Costs'!$B:$B,B1490))</f>
        <v>34</v>
      </c>
    </row>
    <row r="1491" spans="1:3" x14ac:dyDescent="0.25">
      <c r="A1491" s="1" t="s">
        <v>11024</v>
      </c>
      <c r="B1491" s="1" t="s">
        <v>16371</v>
      </c>
      <c r="C1491" s="3">
        <f>IF(B1491="","",SUMIFS('Factory Costs'!$C:$C,'Factory Costs'!$A:$A,"Blades",'Factory Costs'!$B:$B,B1491))</f>
        <v>37</v>
      </c>
    </row>
    <row r="1492" spans="1:3" x14ac:dyDescent="0.25">
      <c r="A1492" s="1" t="s">
        <v>11027</v>
      </c>
      <c r="B1492" s="1" t="s">
        <v>16370</v>
      </c>
      <c r="C1492" s="3">
        <f>IF(B1492="","",SUMIFS('Factory Costs'!$C:$C,'Factory Costs'!$A:$A,"Blades",'Factory Costs'!$B:$B,B1492))</f>
        <v>34</v>
      </c>
    </row>
    <row r="1493" spans="1:3" x14ac:dyDescent="0.25">
      <c r="A1493" s="1" t="s">
        <v>11030</v>
      </c>
      <c r="B1493" s="1" t="s">
        <v>16370</v>
      </c>
      <c r="C1493" s="3">
        <f>IF(B1493="","",SUMIFS('Factory Costs'!$C:$C,'Factory Costs'!$A:$A,"Blades",'Factory Costs'!$B:$B,B1493))</f>
        <v>34</v>
      </c>
    </row>
    <row r="1494" spans="1:3" x14ac:dyDescent="0.25">
      <c r="A1494" s="1" t="s">
        <v>11033</v>
      </c>
      <c r="B1494" s="1" t="s">
        <v>16371</v>
      </c>
      <c r="C1494" s="3">
        <f>IF(B1494="","",SUMIFS('Factory Costs'!$C:$C,'Factory Costs'!$A:$A,"Blades",'Factory Costs'!$B:$B,B1494))</f>
        <v>37</v>
      </c>
    </row>
    <row r="1495" spans="1:3" x14ac:dyDescent="0.25">
      <c r="A1495" s="1" t="s">
        <v>11036</v>
      </c>
      <c r="B1495" s="1" t="s">
        <v>16372</v>
      </c>
      <c r="C1495" s="3">
        <f>IF(B1495="","",SUMIFS('Factory Costs'!$C:$C,'Factory Costs'!$A:$A,"Blades",'Factory Costs'!$B:$B,B1495))</f>
        <v>42</v>
      </c>
    </row>
    <row r="1496" spans="1:3" x14ac:dyDescent="0.25">
      <c r="A1496" s="1" t="s">
        <v>11039</v>
      </c>
      <c r="B1496" s="1" t="s">
        <v>16372</v>
      </c>
      <c r="C1496" s="3">
        <f>IF(B1496="","",SUMIFS('Factory Costs'!$C:$C,'Factory Costs'!$A:$A,"Blades",'Factory Costs'!$B:$B,B1496))</f>
        <v>42</v>
      </c>
    </row>
    <row r="1497" spans="1:3" x14ac:dyDescent="0.25">
      <c r="A1497" s="1" t="s">
        <v>11042</v>
      </c>
      <c r="B1497" s="1" t="s">
        <v>16371</v>
      </c>
      <c r="C1497" s="3">
        <f>IF(B1497="","",SUMIFS('Factory Costs'!$C:$C,'Factory Costs'!$A:$A,"Blades",'Factory Costs'!$B:$B,B1497))</f>
        <v>37</v>
      </c>
    </row>
    <row r="1498" spans="1:3" x14ac:dyDescent="0.25">
      <c r="A1498" s="1" t="s">
        <v>11045</v>
      </c>
      <c r="B1498" s="1" t="s">
        <v>16372</v>
      </c>
      <c r="C1498" s="3">
        <f>IF(B1498="","",SUMIFS('Factory Costs'!$C:$C,'Factory Costs'!$A:$A,"Blades",'Factory Costs'!$B:$B,B1498))</f>
        <v>42</v>
      </c>
    </row>
    <row r="1499" spans="1:3" x14ac:dyDescent="0.25">
      <c r="A1499" s="1" t="s">
        <v>11048</v>
      </c>
      <c r="B1499" s="1" t="s">
        <v>16370</v>
      </c>
      <c r="C1499" s="3">
        <f>IF(B1499="","",SUMIFS('Factory Costs'!$C:$C,'Factory Costs'!$A:$A,"Blades",'Factory Costs'!$B:$B,B1499))</f>
        <v>34</v>
      </c>
    </row>
    <row r="1500" spans="1:3" x14ac:dyDescent="0.25">
      <c r="A1500" s="1" t="s">
        <v>11051</v>
      </c>
      <c r="B1500" s="1" t="s">
        <v>16371</v>
      </c>
      <c r="C1500" s="3">
        <f>IF(B1500="","",SUMIFS('Factory Costs'!$C:$C,'Factory Costs'!$A:$A,"Blades",'Factory Costs'!$B:$B,B1500))</f>
        <v>37</v>
      </c>
    </row>
    <row r="1501" spans="1:3" x14ac:dyDescent="0.25">
      <c r="A1501" s="1" t="s">
        <v>11054</v>
      </c>
      <c r="B1501" s="1" t="s">
        <v>16370</v>
      </c>
      <c r="C1501" s="3">
        <f>IF(B1501="","",SUMIFS('Factory Costs'!$C:$C,'Factory Costs'!$A:$A,"Blades",'Factory Costs'!$B:$B,B1501))</f>
        <v>34</v>
      </c>
    </row>
    <row r="1502" spans="1:3" x14ac:dyDescent="0.25">
      <c r="A1502" s="1" t="s">
        <v>11057</v>
      </c>
      <c r="B1502" s="1" t="s">
        <v>16370</v>
      </c>
      <c r="C1502" s="3">
        <f>IF(B1502="","",SUMIFS('Factory Costs'!$C:$C,'Factory Costs'!$A:$A,"Blades",'Factory Costs'!$B:$B,B1502))</f>
        <v>34</v>
      </c>
    </row>
    <row r="1503" spans="1:3" x14ac:dyDescent="0.25">
      <c r="A1503" s="1" t="s">
        <v>11060</v>
      </c>
      <c r="B1503" s="1" t="s">
        <v>16370</v>
      </c>
      <c r="C1503" s="3">
        <f>IF(B1503="","",SUMIFS('Factory Costs'!$C:$C,'Factory Costs'!$A:$A,"Blades",'Factory Costs'!$B:$B,B1503))</f>
        <v>34</v>
      </c>
    </row>
    <row r="1504" spans="1:3" x14ac:dyDescent="0.25">
      <c r="A1504" s="1" t="s">
        <v>11063</v>
      </c>
      <c r="B1504" s="1" t="s">
        <v>16370</v>
      </c>
      <c r="C1504" s="3">
        <f>IF(B1504="","",SUMIFS('Factory Costs'!$C:$C,'Factory Costs'!$A:$A,"Blades",'Factory Costs'!$B:$B,B1504))</f>
        <v>34</v>
      </c>
    </row>
    <row r="1505" spans="1:3" x14ac:dyDescent="0.25">
      <c r="A1505" s="1" t="s">
        <v>11066</v>
      </c>
      <c r="B1505" s="1" t="s">
        <v>16370</v>
      </c>
      <c r="C1505" s="3">
        <f>IF(B1505="","",SUMIFS('Factory Costs'!$C:$C,'Factory Costs'!$A:$A,"Blades",'Factory Costs'!$B:$B,B1505))</f>
        <v>34</v>
      </c>
    </row>
    <row r="1506" spans="1:3" x14ac:dyDescent="0.25">
      <c r="A1506" s="1" t="s">
        <v>11069</v>
      </c>
      <c r="B1506" s="1" t="s">
        <v>16370</v>
      </c>
      <c r="C1506" s="3">
        <f>IF(B1506="","",SUMIFS('Factory Costs'!$C:$C,'Factory Costs'!$A:$A,"Blades",'Factory Costs'!$B:$B,B1506))</f>
        <v>34</v>
      </c>
    </row>
    <row r="1507" spans="1:3" x14ac:dyDescent="0.25">
      <c r="A1507" s="1" t="s">
        <v>11072</v>
      </c>
      <c r="B1507" s="1" t="s">
        <v>16370</v>
      </c>
      <c r="C1507" s="3">
        <f>IF(B1507="","",SUMIFS('Factory Costs'!$C:$C,'Factory Costs'!$A:$A,"Blades",'Factory Costs'!$B:$B,B1507))</f>
        <v>34</v>
      </c>
    </row>
    <row r="1508" spans="1:3" x14ac:dyDescent="0.25">
      <c r="A1508" s="1" t="s">
        <v>11075</v>
      </c>
      <c r="B1508" s="1" t="s">
        <v>16371</v>
      </c>
      <c r="C1508" s="3">
        <f>IF(B1508="","",SUMIFS('Factory Costs'!$C:$C,'Factory Costs'!$A:$A,"Blades",'Factory Costs'!$B:$B,B1508))</f>
        <v>37</v>
      </c>
    </row>
    <row r="1509" spans="1:3" x14ac:dyDescent="0.25">
      <c r="A1509" s="1" t="s">
        <v>11078</v>
      </c>
      <c r="B1509" s="1" t="s">
        <v>16371</v>
      </c>
      <c r="C1509" s="3">
        <f>IF(B1509="","",SUMIFS('Factory Costs'!$C:$C,'Factory Costs'!$A:$A,"Blades",'Factory Costs'!$B:$B,B1509))</f>
        <v>37</v>
      </c>
    </row>
    <row r="1510" spans="1:3" x14ac:dyDescent="0.25">
      <c r="A1510" s="1" t="s">
        <v>11081</v>
      </c>
      <c r="B1510" s="1" t="s">
        <v>16371</v>
      </c>
      <c r="C1510" s="3">
        <f>IF(B1510="","",SUMIFS('Factory Costs'!$C:$C,'Factory Costs'!$A:$A,"Blades",'Factory Costs'!$B:$B,B1510))</f>
        <v>37</v>
      </c>
    </row>
    <row r="1511" spans="1:3" x14ac:dyDescent="0.25">
      <c r="A1511" s="1" t="s">
        <v>11084</v>
      </c>
      <c r="B1511" s="1" t="s">
        <v>16370</v>
      </c>
      <c r="C1511" s="3">
        <f>IF(B1511="","",SUMIFS('Factory Costs'!$C:$C,'Factory Costs'!$A:$A,"Blades",'Factory Costs'!$B:$B,B1511))</f>
        <v>34</v>
      </c>
    </row>
    <row r="1512" spans="1:3" x14ac:dyDescent="0.25">
      <c r="A1512" s="1" t="s">
        <v>11087</v>
      </c>
      <c r="B1512" s="1" t="s">
        <v>16371</v>
      </c>
      <c r="C1512" s="3">
        <f>IF(B1512="","",SUMIFS('Factory Costs'!$C:$C,'Factory Costs'!$A:$A,"Blades",'Factory Costs'!$B:$B,B1512))</f>
        <v>37</v>
      </c>
    </row>
    <row r="1513" spans="1:3" x14ac:dyDescent="0.25">
      <c r="A1513" s="1" t="s">
        <v>11090</v>
      </c>
      <c r="B1513" s="1" t="s">
        <v>16371</v>
      </c>
      <c r="C1513" s="3">
        <f>IF(B1513="","",SUMIFS('Factory Costs'!$C:$C,'Factory Costs'!$A:$A,"Blades",'Factory Costs'!$B:$B,B1513))</f>
        <v>37</v>
      </c>
    </row>
    <row r="1514" spans="1:3" x14ac:dyDescent="0.25">
      <c r="A1514" s="1" t="s">
        <v>11093</v>
      </c>
      <c r="B1514" s="1" t="s">
        <v>16371</v>
      </c>
      <c r="C1514" s="3">
        <f>IF(B1514="","",SUMIFS('Factory Costs'!$C:$C,'Factory Costs'!$A:$A,"Blades",'Factory Costs'!$B:$B,B1514))</f>
        <v>37</v>
      </c>
    </row>
    <row r="1515" spans="1:3" x14ac:dyDescent="0.25">
      <c r="A1515" s="1" t="s">
        <v>11096</v>
      </c>
      <c r="B1515" s="1" t="s">
        <v>16370</v>
      </c>
      <c r="C1515" s="3">
        <f>IF(B1515="","",SUMIFS('Factory Costs'!$C:$C,'Factory Costs'!$A:$A,"Blades",'Factory Costs'!$B:$B,B1515))</f>
        <v>34</v>
      </c>
    </row>
    <row r="1516" spans="1:3" x14ac:dyDescent="0.25">
      <c r="A1516" s="1" t="s">
        <v>11099</v>
      </c>
      <c r="B1516" s="1" t="s">
        <v>16370</v>
      </c>
      <c r="C1516" s="3">
        <f>IF(B1516="","",SUMIFS('Factory Costs'!$C:$C,'Factory Costs'!$A:$A,"Blades",'Factory Costs'!$B:$B,B1516))</f>
        <v>34</v>
      </c>
    </row>
    <row r="1517" spans="1:3" x14ac:dyDescent="0.25">
      <c r="A1517" s="1" t="s">
        <v>11102</v>
      </c>
      <c r="B1517" s="1" t="s">
        <v>16372</v>
      </c>
      <c r="C1517" s="3">
        <f>IF(B1517="","",SUMIFS('Factory Costs'!$C:$C,'Factory Costs'!$A:$A,"Blades",'Factory Costs'!$B:$B,B1517))</f>
        <v>42</v>
      </c>
    </row>
    <row r="1518" spans="1:3" x14ac:dyDescent="0.25">
      <c r="A1518" s="1" t="s">
        <v>11105</v>
      </c>
      <c r="B1518" s="1" t="s">
        <v>16372</v>
      </c>
      <c r="C1518" s="3">
        <f>IF(B1518="","",SUMIFS('Factory Costs'!$C:$C,'Factory Costs'!$A:$A,"Blades",'Factory Costs'!$B:$B,B1518))</f>
        <v>42</v>
      </c>
    </row>
    <row r="1519" spans="1:3" x14ac:dyDescent="0.25">
      <c r="A1519" s="1" t="s">
        <v>11108</v>
      </c>
      <c r="B1519" s="1" t="s">
        <v>16370</v>
      </c>
      <c r="C1519" s="3">
        <f>IF(B1519="","",SUMIFS('Factory Costs'!$C:$C,'Factory Costs'!$A:$A,"Blades",'Factory Costs'!$B:$B,B1519))</f>
        <v>34</v>
      </c>
    </row>
    <row r="1520" spans="1:3" x14ac:dyDescent="0.25">
      <c r="A1520" s="1" t="s">
        <v>11111</v>
      </c>
      <c r="B1520" s="1" t="s">
        <v>16370</v>
      </c>
      <c r="C1520" s="3">
        <f>IF(B1520="","",SUMIFS('Factory Costs'!$C:$C,'Factory Costs'!$A:$A,"Blades",'Factory Costs'!$B:$B,B1520))</f>
        <v>34</v>
      </c>
    </row>
    <row r="1521" spans="1:3" x14ac:dyDescent="0.25">
      <c r="A1521" s="1" t="s">
        <v>11114</v>
      </c>
      <c r="B1521" s="1" t="s">
        <v>16370</v>
      </c>
      <c r="C1521" s="3">
        <f>IF(B1521="","",SUMIFS('Factory Costs'!$C:$C,'Factory Costs'!$A:$A,"Blades",'Factory Costs'!$B:$B,B1521))</f>
        <v>34</v>
      </c>
    </row>
    <row r="1522" spans="1:3" x14ac:dyDescent="0.25">
      <c r="A1522" s="1" t="s">
        <v>11117</v>
      </c>
      <c r="B1522" s="1" t="s">
        <v>16371</v>
      </c>
      <c r="C1522" s="3">
        <f>IF(B1522="","",SUMIFS('Factory Costs'!$C:$C,'Factory Costs'!$A:$A,"Blades",'Factory Costs'!$B:$B,B1522))</f>
        <v>37</v>
      </c>
    </row>
    <row r="1523" spans="1:3" x14ac:dyDescent="0.25">
      <c r="A1523" s="1" t="s">
        <v>11120</v>
      </c>
      <c r="B1523" s="1" t="s">
        <v>16371</v>
      </c>
      <c r="C1523" s="3">
        <f>IF(B1523="","",SUMIFS('Factory Costs'!$C:$C,'Factory Costs'!$A:$A,"Blades",'Factory Costs'!$B:$B,B1523))</f>
        <v>37</v>
      </c>
    </row>
    <row r="1524" spans="1:3" x14ac:dyDescent="0.25">
      <c r="A1524" s="1" t="s">
        <v>11123</v>
      </c>
      <c r="B1524" s="1" t="s">
        <v>16372</v>
      </c>
      <c r="C1524" s="3">
        <f>IF(B1524="","",SUMIFS('Factory Costs'!$C:$C,'Factory Costs'!$A:$A,"Blades",'Factory Costs'!$B:$B,B1524))</f>
        <v>42</v>
      </c>
    </row>
    <row r="1525" spans="1:3" x14ac:dyDescent="0.25">
      <c r="A1525" s="1" t="s">
        <v>11126</v>
      </c>
      <c r="B1525" s="1" t="s">
        <v>16370</v>
      </c>
      <c r="C1525" s="3">
        <f>IF(B1525="","",SUMIFS('Factory Costs'!$C:$C,'Factory Costs'!$A:$A,"Blades",'Factory Costs'!$B:$B,B1525))</f>
        <v>34</v>
      </c>
    </row>
    <row r="1526" spans="1:3" x14ac:dyDescent="0.25">
      <c r="A1526" s="1" t="s">
        <v>11129</v>
      </c>
      <c r="B1526" s="1" t="s">
        <v>16370</v>
      </c>
      <c r="C1526" s="3">
        <f>IF(B1526="","",SUMIFS('Factory Costs'!$C:$C,'Factory Costs'!$A:$A,"Blades",'Factory Costs'!$B:$B,B1526))</f>
        <v>34</v>
      </c>
    </row>
    <row r="1527" spans="1:3" x14ac:dyDescent="0.25">
      <c r="A1527" s="1" t="s">
        <v>11132</v>
      </c>
      <c r="B1527" s="1" t="s">
        <v>16370</v>
      </c>
      <c r="C1527" s="3">
        <f>IF(B1527="","",SUMIFS('Factory Costs'!$C:$C,'Factory Costs'!$A:$A,"Blades",'Factory Costs'!$B:$B,B1527))</f>
        <v>34</v>
      </c>
    </row>
    <row r="1528" spans="1:3" x14ac:dyDescent="0.25">
      <c r="A1528" s="1" t="s">
        <v>11135</v>
      </c>
      <c r="B1528" s="1" t="s">
        <v>16371</v>
      </c>
      <c r="C1528" s="3">
        <f>IF(B1528="","",SUMIFS('Factory Costs'!$C:$C,'Factory Costs'!$A:$A,"Blades",'Factory Costs'!$B:$B,B1528))</f>
        <v>37</v>
      </c>
    </row>
    <row r="1529" spans="1:3" x14ac:dyDescent="0.25">
      <c r="A1529" s="1" t="s">
        <v>11138</v>
      </c>
      <c r="B1529" s="1" t="s">
        <v>16371</v>
      </c>
      <c r="C1529" s="3">
        <f>IF(B1529="","",SUMIFS('Factory Costs'!$C:$C,'Factory Costs'!$A:$A,"Blades",'Factory Costs'!$B:$B,B1529))</f>
        <v>37</v>
      </c>
    </row>
    <row r="1530" spans="1:3" x14ac:dyDescent="0.25">
      <c r="A1530" s="1" t="s">
        <v>11141</v>
      </c>
      <c r="B1530" s="1" t="s">
        <v>16372</v>
      </c>
      <c r="C1530" s="3">
        <f>IF(B1530="","",SUMIFS('Factory Costs'!$C:$C,'Factory Costs'!$A:$A,"Blades",'Factory Costs'!$B:$B,B1530))</f>
        <v>42</v>
      </c>
    </row>
    <row r="1531" spans="1:3" x14ac:dyDescent="0.25">
      <c r="A1531" s="1" t="s">
        <v>11144</v>
      </c>
      <c r="B1531" s="1" t="s">
        <v>16370</v>
      </c>
      <c r="C1531" s="3">
        <f>IF(B1531="","",SUMIFS('Factory Costs'!$C:$C,'Factory Costs'!$A:$A,"Blades",'Factory Costs'!$B:$B,B1531))</f>
        <v>34</v>
      </c>
    </row>
    <row r="1532" spans="1:3" x14ac:dyDescent="0.25">
      <c r="A1532" s="1" t="s">
        <v>11147</v>
      </c>
      <c r="B1532" s="1" t="s">
        <v>16370</v>
      </c>
      <c r="C1532" s="3">
        <f>IF(B1532="","",SUMIFS('Factory Costs'!$C:$C,'Factory Costs'!$A:$A,"Blades",'Factory Costs'!$B:$B,B1532))</f>
        <v>34</v>
      </c>
    </row>
    <row r="1533" spans="1:3" x14ac:dyDescent="0.25">
      <c r="A1533" s="1" t="s">
        <v>11150</v>
      </c>
      <c r="B1533" s="1" t="s">
        <v>16370</v>
      </c>
      <c r="C1533" s="3">
        <f>IF(B1533="","",SUMIFS('Factory Costs'!$C:$C,'Factory Costs'!$A:$A,"Blades",'Factory Costs'!$B:$B,B1533))</f>
        <v>34</v>
      </c>
    </row>
    <row r="1534" spans="1:3" x14ac:dyDescent="0.25">
      <c r="A1534" s="1" t="s">
        <v>11153</v>
      </c>
      <c r="B1534" s="1" t="s">
        <v>16371</v>
      </c>
      <c r="C1534" s="3">
        <f>IF(B1534="","",SUMIFS('Factory Costs'!$C:$C,'Factory Costs'!$A:$A,"Blades",'Factory Costs'!$B:$B,B1534))</f>
        <v>37</v>
      </c>
    </row>
    <row r="1535" spans="1:3" x14ac:dyDescent="0.25">
      <c r="A1535" s="1" t="s">
        <v>11156</v>
      </c>
      <c r="B1535" s="1" t="s">
        <v>16372</v>
      </c>
      <c r="C1535" s="3">
        <f>IF(B1535="","",SUMIFS('Factory Costs'!$C:$C,'Factory Costs'!$A:$A,"Blades",'Factory Costs'!$B:$B,B1535))</f>
        <v>42</v>
      </c>
    </row>
    <row r="1536" spans="1:3" x14ac:dyDescent="0.25">
      <c r="A1536" s="1" t="s">
        <v>11159</v>
      </c>
      <c r="B1536" s="1" t="s">
        <v>16371</v>
      </c>
      <c r="C1536" s="3">
        <f>IF(B1536="","",SUMIFS('Factory Costs'!$C:$C,'Factory Costs'!$A:$A,"Blades",'Factory Costs'!$B:$B,B1536))</f>
        <v>37</v>
      </c>
    </row>
    <row r="1537" spans="1:3" x14ac:dyDescent="0.25">
      <c r="A1537" s="1" t="s">
        <v>11162</v>
      </c>
      <c r="B1537" s="1" t="s">
        <v>16372</v>
      </c>
      <c r="C1537" s="3">
        <f>IF(B1537="","",SUMIFS('Factory Costs'!$C:$C,'Factory Costs'!$A:$A,"Blades",'Factory Costs'!$B:$B,B1537))</f>
        <v>42</v>
      </c>
    </row>
    <row r="1538" spans="1:3" x14ac:dyDescent="0.25">
      <c r="A1538" s="1" t="s">
        <v>11165</v>
      </c>
      <c r="B1538" s="1" t="s">
        <v>16372</v>
      </c>
      <c r="C1538" s="3">
        <f>IF(B1538="","",SUMIFS('Factory Costs'!$C:$C,'Factory Costs'!$A:$A,"Blades",'Factory Costs'!$B:$B,B1538))</f>
        <v>42</v>
      </c>
    </row>
    <row r="1539" spans="1:3" x14ac:dyDescent="0.25">
      <c r="A1539" s="1" t="s">
        <v>11168</v>
      </c>
      <c r="B1539" s="1" t="s">
        <v>16371</v>
      </c>
      <c r="C1539" s="3">
        <f>IF(B1539="","",SUMIFS('Factory Costs'!$C:$C,'Factory Costs'!$A:$A,"Blades",'Factory Costs'!$B:$B,B1539))</f>
        <v>37</v>
      </c>
    </row>
    <row r="1540" spans="1:3" x14ac:dyDescent="0.25">
      <c r="A1540" s="1" t="s">
        <v>11171</v>
      </c>
      <c r="B1540" s="1" t="s">
        <v>16370</v>
      </c>
      <c r="C1540" s="3">
        <f>IF(B1540="","",SUMIFS('Factory Costs'!$C:$C,'Factory Costs'!$A:$A,"Blades",'Factory Costs'!$B:$B,B1540))</f>
        <v>34</v>
      </c>
    </row>
    <row r="1541" spans="1:3" x14ac:dyDescent="0.25">
      <c r="A1541" s="1" t="s">
        <v>11174</v>
      </c>
      <c r="B1541" s="1" t="s">
        <v>16370</v>
      </c>
      <c r="C1541" s="3">
        <f>IF(B1541="","",SUMIFS('Factory Costs'!$C:$C,'Factory Costs'!$A:$A,"Blades",'Factory Costs'!$B:$B,B1541))</f>
        <v>34</v>
      </c>
    </row>
    <row r="1542" spans="1:3" x14ac:dyDescent="0.25">
      <c r="A1542" s="1" t="s">
        <v>11177</v>
      </c>
      <c r="B1542" s="1" t="s">
        <v>16372</v>
      </c>
      <c r="C1542" s="3">
        <f>IF(B1542="","",SUMIFS('Factory Costs'!$C:$C,'Factory Costs'!$A:$A,"Blades",'Factory Costs'!$B:$B,B1542))</f>
        <v>42</v>
      </c>
    </row>
    <row r="1543" spans="1:3" x14ac:dyDescent="0.25">
      <c r="A1543" s="1" t="s">
        <v>11180</v>
      </c>
      <c r="B1543" s="1" t="s">
        <v>16370</v>
      </c>
      <c r="C1543" s="3">
        <f>IF(B1543="","",SUMIFS('Factory Costs'!$C:$C,'Factory Costs'!$A:$A,"Blades",'Factory Costs'!$B:$B,B1543))</f>
        <v>34</v>
      </c>
    </row>
    <row r="1544" spans="1:3" x14ac:dyDescent="0.25">
      <c r="A1544" s="1" t="s">
        <v>11183</v>
      </c>
      <c r="B1544" s="1" t="s">
        <v>16370</v>
      </c>
      <c r="C1544" s="3">
        <f>IF(B1544="","",SUMIFS('Factory Costs'!$C:$C,'Factory Costs'!$A:$A,"Blades",'Factory Costs'!$B:$B,B1544))</f>
        <v>34</v>
      </c>
    </row>
    <row r="1545" spans="1:3" x14ac:dyDescent="0.25">
      <c r="A1545" s="1" t="s">
        <v>11186</v>
      </c>
      <c r="B1545" s="1" t="s">
        <v>16370</v>
      </c>
      <c r="C1545" s="3">
        <f>IF(B1545="","",SUMIFS('Factory Costs'!$C:$C,'Factory Costs'!$A:$A,"Blades",'Factory Costs'!$B:$B,B1545))</f>
        <v>34</v>
      </c>
    </row>
    <row r="1546" spans="1:3" x14ac:dyDescent="0.25">
      <c r="A1546" s="1" t="s">
        <v>11189</v>
      </c>
      <c r="B1546" s="1" t="s">
        <v>16371</v>
      </c>
      <c r="C1546" s="3">
        <f>IF(B1546="","",SUMIFS('Factory Costs'!$C:$C,'Factory Costs'!$A:$A,"Blades",'Factory Costs'!$B:$B,B1546))</f>
        <v>37</v>
      </c>
    </row>
    <row r="1547" spans="1:3" x14ac:dyDescent="0.25">
      <c r="A1547" s="1" t="s">
        <v>11192</v>
      </c>
      <c r="B1547" s="1" t="s">
        <v>16370</v>
      </c>
      <c r="C1547" s="3">
        <f>IF(B1547="","",SUMIFS('Factory Costs'!$C:$C,'Factory Costs'!$A:$A,"Blades",'Factory Costs'!$B:$B,B1547))</f>
        <v>34</v>
      </c>
    </row>
    <row r="1548" spans="1:3" x14ac:dyDescent="0.25">
      <c r="A1548" s="1" t="s">
        <v>11195</v>
      </c>
      <c r="B1548" s="1" t="s">
        <v>16372</v>
      </c>
      <c r="C1548" s="3">
        <f>IF(B1548="","",SUMIFS('Factory Costs'!$C:$C,'Factory Costs'!$A:$A,"Blades",'Factory Costs'!$B:$B,B1548))</f>
        <v>42</v>
      </c>
    </row>
    <row r="1549" spans="1:3" x14ac:dyDescent="0.25">
      <c r="A1549" s="1" t="s">
        <v>11198</v>
      </c>
      <c r="B1549" s="1" t="s">
        <v>16370</v>
      </c>
      <c r="C1549" s="3">
        <f>IF(B1549="","",SUMIFS('Factory Costs'!$C:$C,'Factory Costs'!$A:$A,"Blades",'Factory Costs'!$B:$B,B1549))</f>
        <v>34</v>
      </c>
    </row>
    <row r="1550" spans="1:3" x14ac:dyDescent="0.25">
      <c r="A1550" s="1" t="s">
        <v>11201</v>
      </c>
      <c r="B1550" s="1" t="s">
        <v>16370</v>
      </c>
      <c r="C1550" s="3">
        <f>IF(B1550="","",SUMIFS('Factory Costs'!$C:$C,'Factory Costs'!$A:$A,"Blades",'Factory Costs'!$B:$B,B1550))</f>
        <v>34</v>
      </c>
    </row>
    <row r="1551" spans="1:3" x14ac:dyDescent="0.25">
      <c r="A1551" s="1" t="s">
        <v>11204</v>
      </c>
      <c r="B1551" s="1" t="s">
        <v>16370</v>
      </c>
      <c r="C1551" s="3">
        <f>IF(B1551="","",SUMIFS('Factory Costs'!$C:$C,'Factory Costs'!$A:$A,"Blades",'Factory Costs'!$B:$B,B1551))</f>
        <v>34</v>
      </c>
    </row>
    <row r="1552" spans="1:3" x14ac:dyDescent="0.25">
      <c r="A1552" s="1" t="s">
        <v>11207</v>
      </c>
      <c r="B1552" s="1" t="s">
        <v>16370</v>
      </c>
      <c r="C1552" s="3">
        <f>IF(B1552="","",SUMIFS('Factory Costs'!$C:$C,'Factory Costs'!$A:$A,"Blades",'Factory Costs'!$B:$B,B1552))</f>
        <v>34</v>
      </c>
    </row>
    <row r="1553" spans="1:3" x14ac:dyDescent="0.25">
      <c r="A1553" s="1" t="s">
        <v>11210</v>
      </c>
      <c r="B1553" s="1" t="s">
        <v>16370</v>
      </c>
      <c r="C1553" s="3">
        <f>IF(B1553="","",SUMIFS('Factory Costs'!$C:$C,'Factory Costs'!$A:$A,"Blades",'Factory Costs'!$B:$B,B1553))</f>
        <v>34</v>
      </c>
    </row>
    <row r="1554" spans="1:3" x14ac:dyDescent="0.25">
      <c r="A1554" s="1" t="s">
        <v>11213</v>
      </c>
      <c r="B1554" s="1" t="s">
        <v>16372</v>
      </c>
      <c r="C1554" s="3">
        <f>IF(B1554="","",SUMIFS('Factory Costs'!$C:$C,'Factory Costs'!$A:$A,"Blades",'Factory Costs'!$B:$B,B1554))</f>
        <v>42</v>
      </c>
    </row>
    <row r="1555" spans="1:3" x14ac:dyDescent="0.25">
      <c r="A1555" s="1" t="s">
        <v>11216</v>
      </c>
      <c r="B1555" s="1" t="s">
        <v>16370</v>
      </c>
      <c r="C1555" s="3">
        <f>IF(B1555="","",SUMIFS('Factory Costs'!$C:$C,'Factory Costs'!$A:$A,"Blades",'Factory Costs'!$B:$B,B1555))</f>
        <v>34</v>
      </c>
    </row>
    <row r="1556" spans="1:3" x14ac:dyDescent="0.25">
      <c r="A1556" s="1" t="s">
        <v>11219</v>
      </c>
      <c r="B1556" s="1" t="s">
        <v>16370</v>
      </c>
      <c r="C1556" s="3">
        <f>IF(B1556="","",SUMIFS('Factory Costs'!$C:$C,'Factory Costs'!$A:$A,"Blades",'Factory Costs'!$B:$B,B1556))</f>
        <v>34</v>
      </c>
    </row>
    <row r="1557" spans="1:3" x14ac:dyDescent="0.25">
      <c r="A1557" s="1" t="s">
        <v>11222</v>
      </c>
      <c r="B1557" s="1" t="s">
        <v>16372</v>
      </c>
      <c r="C1557" s="3">
        <f>IF(B1557="","",SUMIFS('Factory Costs'!$C:$C,'Factory Costs'!$A:$A,"Blades",'Factory Costs'!$B:$B,B1557))</f>
        <v>42</v>
      </c>
    </row>
    <row r="1558" spans="1:3" x14ac:dyDescent="0.25">
      <c r="A1558" s="1" t="s">
        <v>11225</v>
      </c>
      <c r="B1558" s="1" t="s">
        <v>16371</v>
      </c>
      <c r="C1558" s="3">
        <f>IF(B1558="","",SUMIFS('Factory Costs'!$C:$C,'Factory Costs'!$A:$A,"Blades",'Factory Costs'!$B:$B,B1558))</f>
        <v>37</v>
      </c>
    </row>
    <row r="1559" spans="1:3" x14ac:dyDescent="0.25">
      <c r="A1559" s="1" t="s">
        <v>11228</v>
      </c>
      <c r="B1559" s="1" t="s">
        <v>16372</v>
      </c>
      <c r="C1559" s="3">
        <f>IF(B1559="","",SUMIFS('Factory Costs'!$C:$C,'Factory Costs'!$A:$A,"Blades",'Factory Costs'!$B:$B,B1559))</f>
        <v>42</v>
      </c>
    </row>
    <row r="1560" spans="1:3" x14ac:dyDescent="0.25">
      <c r="A1560" s="1" t="s">
        <v>11231</v>
      </c>
      <c r="B1560" s="1" t="s">
        <v>16372</v>
      </c>
      <c r="C1560" s="3">
        <f>IF(B1560="","",SUMIFS('Factory Costs'!$C:$C,'Factory Costs'!$A:$A,"Blades",'Factory Costs'!$B:$B,B1560))</f>
        <v>42</v>
      </c>
    </row>
    <row r="1561" spans="1:3" x14ac:dyDescent="0.25">
      <c r="A1561" s="1" t="s">
        <v>11234</v>
      </c>
      <c r="B1561" s="1" t="s">
        <v>16370</v>
      </c>
      <c r="C1561" s="3">
        <f>IF(B1561="","",SUMIFS('Factory Costs'!$C:$C,'Factory Costs'!$A:$A,"Blades",'Factory Costs'!$B:$B,B1561))</f>
        <v>34</v>
      </c>
    </row>
    <row r="1562" spans="1:3" x14ac:dyDescent="0.25">
      <c r="A1562" s="1" t="s">
        <v>11237</v>
      </c>
      <c r="B1562" s="1" t="s">
        <v>16372</v>
      </c>
      <c r="C1562" s="3">
        <f>IF(B1562="","",SUMIFS('Factory Costs'!$C:$C,'Factory Costs'!$A:$A,"Blades",'Factory Costs'!$B:$B,B1562))</f>
        <v>42</v>
      </c>
    </row>
    <row r="1563" spans="1:3" x14ac:dyDescent="0.25">
      <c r="A1563" s="1" t="s">
        <v>11240</v>
      </c>
      <c r="B1563" s="1" t="s">
        <v>16370</v>
      </c>
      <c r="C1563" s="3">
        <f>IF(B1563="","",SUMIFS('Factory Costs'!$C:$C,'Factory Costs'!$A:$A,"Blades",'Factory Costs'!$B:$B,B1563))</f>
        <v>34</v>
      </c>
    </row>
    <row r="1564" spans="1:3" x14ac:dyDescent="0.25">
      <c r="A1564" s="1" t="s">
        <v>11243</v>
      </c>
      <c r="B1564" s="1" t="s">
        <v>16371</v>
      </c>
      <c r="C1564" s="3">
        <f>IF(B1564="","",SUMIFS('Factory Costs'!$C:$C,'Factory Costs'!$A:$A,"Blades",'Factory Costs'!$B:$B,B1564))</f>
        <v>37</v>
      </c>
    </row>
    <row r="1565" spans="1:3" x14ac:dyDescent="0.25">
      <c r="A1565" s="1" t="s">
        <v>11246</v>
      </c>
      <c r="B1565" s="1" t="s">
        <v>16372</v>
      </c>
      <c r="C1565" s="3">
        <f>IF(B1565="","",SUMIFS('Factory Costs'!$C:$C,'Factory Costs'!$A:$A,"Blades",'Factory Costs'!$B:$B,B1565))</f>
        <v>42</v>
      </c>
    </row>
    <row r="1566" spans="1:3" x14ac:dyDescent="0.25">
      <c r="A1566" s="1" t="s">
        <v>11249</v>
      </c>
      <c r="B1566" s="1" t="s">
        <v>16370</v>
      </c>
      <c r="C1566" s="3">
        <f>IF(B1566="","",SUMIFS('Factory Costs'!$C:$C,'Factory Costs'!$A:$A,"Blades",'Factory Costs'!$B:$B,B1566))</f>
        <v>34</v>
      </c>
    </row>
    <row r="1567" spans="1:3" x14ac:dyDescent="0.25">
      <c r="A1567" s="1" t="s">
        <v>11252</v>
      </c>
      <c r="B1567" s="1" t="s">
        <v>16372</v>
      </c>
      <c r="C1567" s="3">
        <f>IF(B1567="","",SUMIFS('Factory Costs'!$C:$C,'Factory Costs'!$A:$A,"Blades",'Factory Costs'!$B:$B,B1567))</f>
        <v>42</v>
      </c>
    </row>
    <row r="1568" spans="1:3" x14ac:dyDescent="0.25">
      <c r="A1568" s="1" t="s">
        <v>11255</v>
      </c>
      <c r="B1568" s="1" t="s">
        <v>16370</v>
      </c>
      <c r="C1568" s="3">
        <f>IF(B1568="","",SUMIFS('Factory Costs'!$C:$C,'Factory Costs'!$A:$A,"Blades",'Factory Costs'!$B:$B,B1568))</f>
        <v>34</v>
      </c>
    </row>
    <row r="1569" spans="1:3" x14ac:dyDescent="0.25">
      <c r="A1569" s="1" t="s">
        <v>11258</v>
      </c>
      <c r="B1569" s="1" t="s">
        <v>16370</v>
      </c>
      <c r="C1569" s="3">
        <f>IF(B1569="","",SUMIFS('Factory Costs'!$C:$C,'Factory Costs'!$A:$A,"Blades",'Factory Costs'!$B:$B,B1569))</f>
        <v>34</v>
      </c>
    </row>
    <row r="1570" spans="1:3" x14ac:dyDescent="0.25">
      <c r="A1570" s="1" t="s">
        <v>11261</v>
      </c>
      <c r="B1570" s="1" t="s">
        <v>16370</v>
      </c>
      <c r="C1570" s="3">
        <f>IF(B1570="","",SUMIFS('Factory Costs'!$C:$C,'Factory Costs'!$A:$A,"Blades",'Factory Costs'!$B:$B,B1570))</f>
        <v>34</v>
      </c>
    </row>
    <row r="1571" spans="1:3" x14ac:dyDescent="0.25">
      <c r="A1571" s="1" t="s">
        <v>11264</v>
      </c>
      <c r="B1571" s="1" t="s">
        <v>16372</v>
      </c>
      <c r="C1571" s="3">
        <f>IF(B1571="","",SUMIFS('Factory Costs'!$C:$C,'Factory Costs'!$A:$A,"Blades",'Factory Costs'!$B:$B,B1571))</f>
        <v>42</v>
      </c>
    </row>
    <row r="1572" spans="1:3" x14ac:dyDescent="0.25">
      <c r="A1572" s="1" t="s">
        <v>11267</v>
      </c>
      <c r="B1572" s="1" t="s">
        <v>16370</v>
      </c>
      <c r="C1572" s="3">
        <f>IF(B1572="","",SUMIFS('Factory Costs'!$C:$C,'Factory Costs'!$A:$A,"Blades",'Factory Costs'!$B:$B,B1572))</f>
        <v>34</v>
      </c>
    </row>
    <row r="1573" spans="1:3" x14ac:dyDescent="0.25">
      <c r="A1573" s="1" t="s">
        <v>11270</v>
      </c>
      <c r="B1573" s="1" t="s">
        <v>16370</v>
      </c>
      <c r="C1573" s="3">
        <f>IF(B1573="","",SUMIFS('Factory Costs'!$C:$C,'Factory Costs'!$A:$A,"Blades",'Factory Costs'!$B:$B,B1573))</f>
        <v>34</v>
      </c>
    </row>
    <row r="1574" spans="1:3" x14ac:dyDescent="0.25">
      <c r="A1574" s="1" t="s">
        <v>11273</v>
      </c>
      <c r="B1574" s="1" t="s">
        <v>16370</v>
      </c>
      <c r="C1574" s="3">
        <f>IF(B1574="","",SUMIFS('Factory Costs'!$C:$C,'Factory Costs'!$A:$A,"Blades",'Factory Costs'!$B:$B,B1574))</f>
        <v>34</v>
      </c>
    </row>
    <row r="1575" spans="1:3" x14ac:dyDescent="0.25">
      <c r="A1575" s="1" t="s">
        <v>11276</v>
      </c>
      <c r="B1575" s="1" t="s">
        <v>16370</v>
      </c>
      <c r="C1575" s="3">
        <f>IF(B1575="","",SUMIFS('Factory Costs'!$C:$C,'Factory Costs'!$A:$A,"Blades",'Factory Costs'!$B:$B,B1575))</f>
        <v>34</v>
      </c>
    </row>
    <row r="1576" spans="1:3" x14ac:dyDescent="0.25">
      <c r="A1576" s="1" t="s">
        <v>11279</v>
      </c>
      <c r="B1576" s="1" t="s">
        <v>16370</v>
      </c>
      <c r="C1576" s="3">
        <f>IF(B1576="","",SUMIFS('Factory Costs'!$C:$C,'Factory Costs'!$A:$A,"Blades",'Factory Costs'!$B:$B,B1576))</f>
        <v>34</v>
      </c>
    </row>
    <row r="1577" spans="1:3" x14ac:dyDescent="0.25">
      <c r="A1577" s="1" t="s">
        <v>11282</v>
      </c>
      <c r="B1577" s="1" t="s">
        <v>16371</v>
      </c>
      <c r="C1577" s="3">
        <f>IF(B1577="","",SUMIFS('Factory Costs'!$C:$C,'Factory Costs'!$A:$A,"Blades",'Factory Costs'!$B:$B,B1577))</f>
        <v>37</v>
      </c>
    </row>
    <row r="1578" spans="1:3" x14ac:dyDescent="0.25">
      <c r="A1578" s="1" t="s">
        <v>11285</v>
      </c>
      <c r="B1578" s="1" t="s">
        <v>16372</v>
      </c>
      <c r="C1578" s="3">
        <f>IF(B1578="","",SUMIFS('Factory Costs'!$C:$C,'Factory Costs'!$A:$A,"Blades",'Factory Costs'!$B:$B,B1578))</f>
        <v>42</v>
      </c>
    </row>
    <row r="1579" spans="1:3" x14ac:dyDescent="0.25">
      <c r="A1579" s="1" t="s">
        <v>11288</v>
      </c>
      <c r="B1579" s="1" t="s">
        <v>16372</v>
      </c>
      <c r="C1579" s="3">
        <f>IF(B1579="","",SUMIFS('Factory Costs'!$C:$C,'Factory Costs'!$A:$A,"Blades",'Factory Costs'!$B:$B,B1579))</f>
        <v>42</v>
      </c>
    </row>
    <row r="1580" spans="1:3" x14ac:dyDescent="0.25">
      <c r="A1580" s="1" t="s">
        <v>11291</v>
      </c>
      <c r="B1580" s="1" t="s">
        <v>16372</v>
      </c>
      <c r="C1580" s="3">
        <f>IF(B1580="","",SUMIFS('Factory Costs'!$C:$C,'Factory Costs'!$A:$A,"Blades",'Factory Costs'!$B:$B,B1580))</f>
        <v>42</v>
      </c>
    </row>
    <row r="1581" spans="1:3" x14ac:dyDescent="0.25">
      <c r="A1581" s="1" t="s">
        <v>11294</v>
      </c>
      <c r="B1581" s="1" t="s">
        <v>16372</v>
      </c>
      <c r="C1581" s="3">
        <f>IF(B1581="","",SUMIFS('Factory Costs'!$C:$C,'Factory Costs'!$A:$A,"Blades",'Factory Costs'!$B:$B,B1581))</f>
        <v>42</v>
      </c>
    </row>
    <row r="1582" spans="1:3" x14ac:dyDescent="0.25">
      <c r="A1582" s="1" t="s">
        <v>11297</v>
      </c>
      <c r="B1582" s="1" t="s">
        <v>16370</v>
      </c>
      <c r="C1582" s="3">
        <f>IF(B1582="","",SUMIFS('Factory Costs'!$C:$C,'Factory Costs'!$A:$A,"Blades",'Factory Costs'!$B:$B,B1582))</f>
        <v>34</v>
      </c>
    </row>
    <row r="1583" spans="1:3" x14ac:dyDescent="0.25">
      <c r="A1583" s="1" t="s">
        <v>11300</v>
      </c>
      <c r="B1583" s="1" t="s">
        <v>16370</v>
      </c>
      <c r="C1583" s="3">
        <f>IF(B1583="","",SUMIFS('Factory Costs'!$C:$C,'Factory Costs'!$A:$A,"Blades",'Factory Costs'!$B:$B,B1583))</f>
        <v>34</v>
      </c>
    </row>
    <row r="1584" spans="1:3" x14ac:dyDescent="0.25">
      <c r="A1584" s="1" t="s">
        <v>11303</v>
      </c>
      <c r="B1584" s="1" t="s">
        <v>16370</v>
      </c>
      <c r="C1584" s="3">
        <f>IF(B1584="","",SUMIFS('Factory Costs'!$C:$C,'Factory Costs'!$A:$A,"Blades",'Factory Costs'!$B:$B,B1584))</f>
        <v>34</v>
      </c>
    </row>
    <row r="1585" spans="1:3" x14ac:dyDescent="0.25">
      <c r="A1585" s="1" t="s">
        <v>11306</v>
      </c>
      <c r="B1585" s="1" t="s">
        <v>16370</v>
      </c>
      <c r="C1585" s="3">
        <f>IF(B1585="","",SUMIFS('Factory Costs'!$C:$C,'Factory Costs'!$A:$A,"Blades",'Factory Costs'!$B:$B,B1585))</f>
        <v>34</v>
      </c>
    </row>
    <row r="1586" spans="1:3" x14ac:dyDescent="0.25">
      <c r="A1586" s="1" t="s">
        <v>11309</v>
      </c>
      <c r="B1586" s="1" t="s">
        <v>16370</v>
      </c>
      <c r="C1586" s="3">
        <f>IF(B1586="","",SUMIFS('Factory Costs'!$C:$C,'Factory Costs'!$A:$A,"Blades",'Factory Costs'!$B:$B,B1586))</f>
        <v>34</v>
      </c>
    </row>
    <row r="1587" spans="1:3" x14ac:dyDescent="0.25">
      <c r="A1587" s="1" t="s">
        <v>11312</v>
      </c>
      <c r="B1587" s="1" t="s">
        <v>16372</v>
      </c>
      <c r="C1587" s="3">
        <f>IF(B1587="","",SUMIFS('Factory Costs'!$C:$C,'Factory Costs'!$A:$A,"Blades",'Factory Costs'!$B:$B,B1587))</f>
        <v>42</v>
      </c>
    </row>
    <row r="1588" spans="1:3" x14ac:dyDescent="0.25">
      <c r="A1588" s="1" t="s">
        <v>11315</v>
      </c>
      <c r="B1588" s="1" t="s">
        <v>16370</v>
      </c>
      <c r="C1588" s="3">
        <f>IF(B1588="","",SUMIFS('Factory Costs'!$C:$C,'Factory Costs'!$A:$A,"Blades",'Factory Costs'!$B:$B,B1588))</f>
        <v>34</v>
      </c>
    </row>
    <row r="1589" spans="1:3" x14ac:dyDescent="0.25">
      <c r="A1589" s="1" t="s">
        <v>11318</v>
      </c>
      <c r="B1589" s="1" t="s">
        <v>16371</v>
      </c>
      <c r="C1589" s="3">
        <f>IF(B1589="","",SUMIFS('Factory Costs'!$C:$C,'Factory Costs'!$A:$A,"Blades",'Factory Costs'!$B:$B,B1589))</f>
        <v>37</v>
      </c>
    </row>
    <row r="1590" spans="1:3" x14ac:dyDescent="0.25">
      <c r="A1590" s="1" t="s">
        <v>11321</v>
      </c>
      <c r="B1590" s="1" t="s">
        <v>16370</v>
      </c>
      <c r="C1590" s="3">
        <f>IF(B1590="","",SUMIFS('Factory Costs'!$C:$C,'Factory Costs'!$A:$A,"Blades",'Factory Costs'!$B:$B,B1590))</f>
        <v>34</v>
      </c>
    </row>
    <row r="1591" spans="1:3" x14ac:dyDescent="0.25">
      <c r="A1591" s="1" t="s">
        <v>11324</v>
      </c>
      <c r="B1591" s="1" t="s">
        <v>16370</v>
      </c>
      <c r="C1591" s="3">
        <f>IF(B1591="","",SUMIFS('Factory Costs'!$C:$C,'Factory Costs'!$A:$A,"Blades",'Factory Costs'!$B:$B,B1591))</f>
        <v>34</v>
      </c>
    </row>
    <row r="1592" spans="1:3" x14ac:dyDescent="0.25">
      <c r="A1592" s="1" t="s">
        <v>11327</v>
      </c>
      <c r="B1592" s="1" t="s">
        <v>16372</v>
      </c>
      <c r="C1592" s="3">
        <f>IF(B1592="","",SUMIFS('Factory Costs'!$C:$C,'Factory Costs'!$A:$A,"Blades",'Factory Costs'!$B:$B,B1592))</f>
        <v>42</v>
      </c>
    </row>
    <row r="1593" spans="1:3" x14ac:dyDescent="0.25">
      <c r="A1593" s="1" t="s">
        <v>11330</v>
      </c>
      <c r="B1593" s="1" t="s">
        <v>16370</v>
      </c>
      <c r="C1593" s="3">
        <f>IF(B1593="","",SUMIFS('Factory Costs'!$C:$C,'Factory Costs'!$A:$A,"Blades",'Factory Costs'!$B:$B,B1593))</f>
        <v>34</v>
      </c>
    </row>
    <row r="1594" spans="1:3" x14ac:dyDescent="0.25">
      <c r="A1594" s="1" t="s">
        <v>11333</v>
      </c>
      <c r="B1594" s="1" t="s">
        <v>16372</v>
      </c>
      <c r="C1594" s="3">
        <f>IF(B1594="","",SUMIFS('Factory Costs'!$C:$C,'Factory Costs'!$A:$A,"Blades",'Factory Costs'!$B:$B,B1594))</f>
        <v>42</v>
      </c>
    </row>
    <row r="1595" spans="1:3" x14ac:dyDescent="0.25">
      <c r="A1595" s="1" t="s">
        <v>11336</v>
      </c>
      <c r="B1595" s="1" t="s">
        <v>16370</v>
      </c>
      <c r="C1595" s="3">
        <f>IF(B1595="","",SUMIFS('Factory Costs'!$C:$C,'Factory Costs'!$A:$A,"Blades",'Factory Costs'!$B:$B,B1595))</f>
        <v>34</v>
      </c>
    </row>
    <row r="1596" spans="1:3" x14ac:dyDescent="0.25">
      <c r="A1596" s="1" t="s">
        <v>11339</v>
      </c>
      <c r="B1596" s="1" t="s">
        <v>16372</v>
      </c>
      <c r="C1596" s="3">
        <f>IF(B1596="","",SUMIFS('Factory Costs'!$C:$C,'Factory Costs'!$A:$A,"Blades",'Factory Costs'!$B:$B,B1596))</f>
        <v>42</v>
      </c>
    </row>
    <row r="1597" spans="1:3" x14ac:dyDescent="0.25">
      <c r="A1597" s="1" t="s">
        <v>11342</v>
      </c>
      <c r="B1597" s="1" t="s">
        <v>16370</v>
      </c>
      <c r="C1597" s="3">
        <f>IF(B1597="","",SUMIFS('Factory Costs'!$C:$C,'Factory Costs'!$A:$A,"Blades",'Factory Costs'!$B:$B,B1597))</f>
        <v>34</v>
      </c>
    </row>
    <row r="1598" spans="1:3" x14ac:dyDescent="0.25">
      <c r="A1598" s="1" t="s">
        <v>11345</v>
      </c>
      <c r="B1598" s="1" t="s">
        <v>16370</v>
      </c>
      <c r="C1598" s="3">
        <f>IF(B1598="","",SUMIFS('Factory Costs'!$C:$C,'Factory Costs'!$A:$A,"Blades",'Factory Costs'!$B:$B,B1598))</f>
        <v>34</v>
      </c>
    </row>
    <row r="1599" spans="1:3" x14ac:dyDescent="0.25">
      <c r="A1599" s="1" t="s">
        <v>11348</v>
      </c>
      <c r="B1599" s="1" t="s">
        <v>16370</v>
      </c>
      <c r="C1599" s="3">
        <f>IF(B1599="","",SUMIFS('Factory Costs'!$C:$C,'Factory Costs'!$A:$A,"Blades",'Factory Costs'!$B:$B,B1599))</f>
        <v>34</v>
      </c>
    </row>
    <row r="1600" spans="1:3" x14ac:dyDescent="0.25">
      <c r="A1600" s="1" t="s">
        <v>11351</v>
      </c>
      <c r="B1600" s="1" t="s">
        <v>16370</v>
      </c>
      <c r="C1600" s="3">
        <f>IF(B1600="","",SUMIFS('Factory Costs'!$C:$C,'Factory Costs'!$A:$A,"Blades",'Factory Costs'!$B:$B,B1600))</f>
        <v>34</v>
      </c>
    </row>
    <row r="1601" spans="1:3" x14ac:dyDescent="0.25">
      <c r="A1601" s="1" t="s">
        <v>11354</v>
      </c>
      <c r="B1601" s="1" t="s">
        <v>16370</v>
      </c>
      <c r="C1601" s="3">
        <f>IF(B1601="","",SUMIFS('Factory Costs'!$C:$C,'Factory Costs'!$A:$A,"Blades",'Factory Costs'!$B:$B,B1601))</f>
        <v>34</v>
      </c>
    </row>
    <row r="1602" spans="1:3" x14ac:dyDescent="0.25">
      <c r="A1602" s="1" t="s">
        <v>11357</v>
      </c>
      <c r="B1602" s="1" t="s">
        <v>16370</v>
      </c>
      <c r="C1602" s="3">
        <f>IF(B1602="","",SUMIFS('Factory Costs'!$C:$C,'Factory Costs'!$A:$A,"Blades",'Factory Costs'!$B:$B,B1602))</f>
        <v>34</v>
      </c>
    </row>
    <row r="1603" spans="1:3" x14ac:dyDescent="0.25">
      <c r="A1603" s="1" t="s">
        <v>11360</v>
      </c>
      <c r="B1603" s="1" t="s">
        <v>16370</v>
      </c>
      <c r="C1603" s="3">
        <f>IF(B1603="","",SUMIFS('Factory Costs'!$C:$C,'Factory Costs'!$A:$A,"Blades",'Factory Costs'!$B:$B,B1603))</f>
        <v>34</v>
      </c>
    </row>
    <row r="1604" spans="1:3" x14ac:dyDescent="0.25">
      <c r="A1604" s="1" t="s">
        <v>11363</v>
      </c>
      <c r="B1604" s="1" t="s">
        <v>16372</v>
      </c>
      <c r="C1604" s="3">
        <f>IF(B1604="","",SUMIFS('Factory Costs'!$C:$C,'Factory Costs'!$A:$A,"Blades",'Factory Costs'!$B:$B,B1604))</f>
        <v>42</v>
      </c>
    </row>
    <row r="1605" spans="1:3" x14ac:dyDescent="0.25">
      <c r="A1605" s="1" t="s">
        <v>11366</v>
      </c>
      <c r="B1605" s="1" t="s">
        <v>16372</v>
      </c>
      <c r="C1605" s="3">
        <f>IF(B1605="","",SUMIFS('Factory Costs'!$C:$C,'Factory Costs'!$A:$A,"Blades",'Factory Costs'!$B:$B,B1605))</f>
        <v>42</v>
      </c>
    </row>
    <row r="1606" spans="1:3" x14ac:dyDescent="0.25">
      <c r="A1606" s="1" t="s">
        <v>11369</v>
      </c>
      <c r="B1606" s="1" t="s">
        <v>16371</v>
      </c>
      <c r="C1606" s="3">
        <f>IF(B1606="","",SUMIFS('Factory Costs'!$C:$C,'Factory Costs'!$A:$A,"Blades",'Factory Costs'!$B:$B,B1606))</f>
        <v>37</v>
      </c>
    </row>
    <row r="1607" spans="1:3" x14ac:dyDescent="0.25">
      <c r="A1607" s="1" t="s">
        <v>11372</v>
      </c>
      <c r="B1607" s="1" t="s">
        <v>16370</v>
      </c>
      <c r="C1607" s="3">
        <f>IF(B1607="","",SUMIFS('Factory Costs'!$C:$C,'Factory Costs'!$A:$A,"Blades",'Factory Costs'!$B:$B,B1607))</f>
        <v>34</v>
      </c>
    </row>
    <row r="1608" spans="1:3" x14ac:dyDescent="0.25">
      <c r="A1608" s="1" t="s">
        <v>11375</v>
      </c>
      <c r="B1608" s="1" t="s">
        <v>16371</v>
      </c>
      <c r="C1608" s="3">
        <f>IF(B1608="","",SUMIFS('Factory Costs'!$C:$C,'Factory Costs'!$A:$A,"Blades",'Factory Costs'!$B:$B,B1608))</f>
        <v>37</v>
      </c>
    </row>
    <row r="1609" spans="1:3" x14ac:dyDescent="0.25">
      <c r="A1609" s="1" t="s">
        <v>11378</v>
      </c>
      <c r="B1609" s="1" t="s">
        <v>16372</v>
      </c>
      <c r="C1609" s="3">
        <f>IF(B1609="","",SUMIFS('Factory Costs'!$C:$C,'Factory Costs'!$A:$A,"Blades",'Factory Costs'!$B:$B,B1609))</f>
        <v>42</v>
      </c>
    </row>
    <row r="1610" spans="1:3" x14ac:dyDescent="0.25">
      <c r="A1610" s="1" t="s">
        <v>11381</v>
      </c>
      <c r="B1610" s="1" t="s">
        <v>16371</v>
      </c>
      <c r="C1610" s="3">
        <f>IF(B1610="","",SUMIFS('Factory Costs'!$C:$C,'Factory Costs'!$A:$A,"Blades",'Factory Costs'!$B:$B,B1610))</f>
        <v>37</v>
      </c>
    </row>
    <row r="1611" spans="1:3" x14ac:dyDescent="0.25">
      <c r="A1611" s="1" t="s">
        <v>11384</v>
      </c>
      <c r="B1611" s="1" t="s">
        <v>16371</v>
      </c>
      <c r="C1611" s="3">
        <f>IF(B1611="","",SUMIFS('Factory Costs'!$C:$C,'Factory Costs'!$A:$A,"Blades",'Factory Costs'!$B:$B,B1611))</f>
        <v>37</v>
      </c>
    </row>
    <row r="1612" spans="1:3" x14ac:dyDescent="0.25">
      <c r="A1612" s="1" t="s">
        <v>11387</v>
      </c>
      <c r="B1612" s="1" t="s">
        <v>16370</v>
      </c>
      <c r="C1612" s="3">
        <f>IF(B1612="","",SUMIFS('Factory Costs'!$C:$C,'Factory Costs'!$A:$A,"Blades",'Factory Costs'!$B:$B,B1612))</f>
        <v>34</v>
      </c>
    </row>
    <row r="1613" spans="1:3" x14ac:dyDescent="0.25">
      <c r="A1613" s="1" t="s">
        <v>11390</v>
      </c>
      <c r="B1613" s="1" t="s">
        <v>16370</v>
      </c>
      <c r="C1613" s="3">
        <f>IF(B1613="","",SUMIFS('Factory Costs'!$C:$C,'Factory Costs'!$A:$A,"Blades",'Factory Costs'!$B:$B,B1613))</f>
        <v>34</v>
      </c>
    </row>
    <row r="1614" spans="1:3" x14ac:dyDescent="0.25">
      <c r="A1614" s="1" t="s">
        <v>11393</v>
      </c>
      <c r="B1614" s="1" t="s">
        <v>16370</v>
      </c>
      <c r="C1614" s="3">
        <f>IF(B1614="","",SUMIFS('Factory Costs'!$C:$C,'Factory Costs'!$A:$A,"Blades",'Factory Costs'!$B:$B,B1614))</f>
        <v>34</v>
      </c>
    </row>
    <row r="1615" spans="1:3" x14ac:dyDescent="0.25">
      <c r="A1615" s="1" t="s">
        <v>11396</v>
      </c>
      <c r="B1615" s="1" t="s">
        <v>16370</v>
      </c>
      <c r="C1615" s="3">
        <f>IF(B1615="","",SUMIFS('Factory Costs'!$C:$C,'Factory Costs'!$A:$A,"Blades",'Factory Costs'!$B:$B,B1615))</f>
        <v>34</v>
      </c>
    </row>
    <row r="1616" spans="1:3" x14ac:dyDescent="0.25">
      <c r="A1616" s="1" t="s">
        <v>11399</v>
      </c>
      <c r="B1616" s="1" t="s">
        <v>16370</v>
      </c>
      <c r="C1616" s="3">
        <f>IF(B1616="","",SUMIFS('Factory Costs'!$C:$C,'Factory Costs'!$A:$A,"Blades",'Factory Costs'!$B:$B,B1616))</f>
        <v>34</v>
      </c>
    </row>
    <row r="1617" spans="1:3" x14ac:dyDescent="0.25">
      <c r="A1617" s="1" t="s">
        <v>11402</v>
      </c>
      <c r="B1617" s="1" t="s">
        <v>16371</v>
      </c>
      <c r="C1617" s="3">
        <f>IF(B1617="","",SUMIFS('Factory Costs'!$C:$C,'Factory Costs'!$A:$A,"Blades",'Factory Costs'!$B:$B,B1617))</f>
        <v>37</v>
      </c>
    </row>
    <row r="1618" spans="1:3" x14ac:dyDescent="0.25">
      <c r="A1618" s="1" t="s">
        <v>11405</v>
      </c>
      <c r="B1618" s="1" t="s">
        <v>16371</v>
      </c>
      <c r="C1618" s="3">
        <f>IF(B1618="","",SUMIFS('Factory Costs'!$C:$C,'Factory Costs'!$A:$A,"Blades",'Factory Costs'!$B:$B,B1618))</f>
        <v>37</v>
      </c>
    </row>
    <row r="1619" spans="1:3" x14ac:dyDescent="0.25">
      <c r="A1619" s="1" t="s">
        <v>11408</v>
      </c>
      <c r="B1619" s="1" t="s">
        <v>16372</v>
      </c>
      <c r="C1619" s="3">
        <f>IF(B1619="","",SUMIFS('Factory Costs'!$C:$C,'Factory Costs'!$A:$A,"Blades",'Factory Costs'!$B:$B,B1619))</f>
        <v>42</v>
      </c>
    </row>
    <row r="1620" spans="1:3" x14ac:dyDescent="0.25">
      <c r="A1620" s="1" t="s">
        <v>11411</v>
      </c>
      <c r="B1620" s="1" t="s">
        <v>16370</v>
      </c>
      <c r="C1620" s="3">
        <f>IF(B1620="","",SUMIFS('Factory Costs'!$C:$C,'Factory Costs'!$A:$A,"Blades",'Factory Costs'!$B:$B,B1620))</f>
        <v>34</v>
      </c>
    </row>
    <row r="1621" spans="1:3" x14ac:dyDescent="0.25">
      <c r="A1621" s="1" t="s">
        <v>11414</v>
      </c>
      <c r="B1621" s="1" t="s">
        <v>16370</v>
      </c>
      <c r="C1621" s="3">
        <f>IF(B1621="","",SUMIFS('Factory Costs'!$C:$C,'Factory Costs'!$A:$A,"Blades",'Factory Costs'!$B:$B,B1621))</f>
        <v>34</v>
      </c>
    </row>
    <row r="1622" spans="1:3" x14ac:dyDescent="0.25">
      <c r="A1622" s="1" t="s">
        <v>11417</v>
      </c>
      <c r="B1622" s="1" t="s">
        <v>16371</v>
      </c>
      <c r="C1622" s="3">
        <f>IF(B1622="","",SUMIFS('Factory Costs'!$C:$C,'Factory Costs'!$A:$A,"Blades",'Factory Costs'!$B:$B,B1622))</f>
        <v>37</v>
      </c>
    </row>
    <row r="1623" spans="1:3" x14ac:dyDescent="0.25">
      <c r="A1623" s="1" t="s">
        <v>11420</v>
      </c>
      <c r="B1623" s="1" t="s">
        <v>16372</v>
      </c>
      <c r="C1623" s="3">
        <f>IF(B1623="","",SUMIFS('Factory Costs'!$C:$C,'Factory Costs'!$A:$A,"Blades",'Factory Costs'!$B:$B,B1623))</f>
        <v>42</v>
      </c>
    </row>
    <row r="1624" spans="1:3" x14ac:dyDescent="0.25">
      <c r="A1624" s="1" t="s">
        <v>11423</v>
      </c>
      <c r="B1624" s="1" t="s">
        <v>16370</v>
      </c>
      <c r="C1624" s="3">
        <f>IF(B1624="","",SUMIFS('Factory Costs'!$C:$C,'Factory Costs'!$A:$A,"Blades",'Factory Costs'!$B:$B,B1624))</f>
        <v>34</v>
      </c>
    </row>
    <row r="1625" spans="1:3" x14ac:dyDescent="0.25">
      <c r="A1625" s="1" t="s">
        <v>11426</v>
      </c>
      <c r="B1625" s="1" t="s">
        <v>16370</v>
      </c>
      <c r="C1625" s="3">
        <f>IF(B1625="","",SUMIFS('Factory Costs'!$C:$C,'Factory Costs'!$A:$A,"Blades",'Factory Costs'!$B:$B,B1625))</f>
        <v>34</v>
      </c>
    </row>
    <row r="1626" spans="1:3" x14ac:dyDescent="0.25">
      <c r="A1626" s="1" t="s">
        <v>11429</v>
      </c>
      <c r="B1626" s="1" t="s">
        <v>16371</v>
      </c>
      <c r="C1626" s="3">
        <f>IF(B1626="","",SUMIFS('Factory Costs'!$C:$C,'Factory Costs'!$A:$A,"Blades",'Factory Costs'!$B:$B,B1626))</f>
        <v>37</v>
      </c>
    </row>
    <row r="1627" spans="1:3" x14ac:dyDescent="0.25">
      <c r="A1627" s="1" t="s">
        <v>11432</v>
      </c>
      <c r="B1627" s="1" t="s">
        <v>16371</v>
      </c>
      <c r="C1627" s="3">
        <f>IF(B1627="","",SUMIFS('Factory Costs'!$C:$C,'Factory Costs'!$A:$A,"Blades",'Factory Costs'!$B:$B,B1627))</f>
        <v>37</v>
      </c>
    </row>
    <row r="1628" spans="1:3" x14ac:dyDescent="0.25">
      <c r="A1628" s="1" t="s">
        <v>11435</v>
      </c>
      <c r="B1628" s="1" t="s">
        <v>16372</v>
      </c>
      <c r="C1628" s="3">
        <f>IF(B1628="","",SUMIFS('Factory Costs'!$C:$C,'Factory Costs'!$A:$A,"Blades",'Factory Costs'!$B:$B,B1628))</f>
        <v>42</v>
      </c>
    </row>
    <row r="1629" spans="1:3" x14ac:dyDescent="0.25">
      <c r="A1629" s="1" t="s">
        <v>11438</v>
      </c>
      <c r="B1629" s="1" t="s">
        <v>16371</v>
      </c>
      <c r="C1629" s="3">
        <f>IF(B1629="","",SUMIFS('Factory Costs'!$C:$C,'Factory Costs'!$A:$A,"Blades",'Factory Costs'!$B:$B,B1629))</f>
        <v>37</v>
      </c>
    </row>
    <row r="1630" spans="1:3" x14ac:dyDescent="0.25">
      <c r="A1630" s="1" t="s">
        <v>11441</v>
      </c>
      <c r="B1630" s="1" t="s">
        <v>16371</v>
      </c>
      <c r="C1630" s="3">
        <f>IF(B1630="","",SUMIFS('Factory Costs'!$C:$C,'Factory Costs'!$A:$A,"Blades",'Factory Costs'!$B:$B,B1630))</f>
        <v>37</v>
      </c>
    </row>
    <row r="1631" spans="1:3" x14ac:dyDescent="0.25">
      <c r="A1631" s="1" t="s">
        <v>11444</v>
      </c>
      <c r="B1631" s="1" t="s">
        <v>16372</v>
      </c>
      <c r="C1631" s="3">
        <f>IF(B1631="","",SUMIFS('Factory Costs'!$C:$C,'Factory Costs'!$A:$A,"Blades",'Factory Costs'!$B:$B,B1631))</f>
        <v>42</v>
      </c>
    </row>
    <row r="1632" spans="1:3" x14ac:dyDescent="0.25">
      <c r="A1632" s="1" t="s">
        <v>11447</v>
      </c>
      <c r="B1632" s="1" t="s">
        <v>16371</v>
      </c>
      <c r="C1632" s="3">
        <f>IF(B1632="","",SUMIFS('Factory Costs'!$C:$C,'Factory Costs'!$A:$A,"Blades",'Factory Costs'!$B:$B,B1632))</f>
        <v>37</v>
      </c>
    </row>
    <row r="1633" spans="1:3" x14ac:dyDescent="0.25">
      <c r="A1633" s="1" t="s">
        <v>11450</v>
      </c>
      <c r="B1633" s="1" t="s">
        <v>16370</v>
      </c>
      <c r="C1633" s="3">
        <f>IF(B1633="","",SUMIFS('Factory Costs'!$C:$C,'Factory Costs'!$A:$A,"Blades",'Factory Costs'!$B:$B,B1633))</f>
        <v>34</v>
      </c>
    </row>
    <row r="1634" spans="1:3" x14ac:dyDescent="0.25">
      <c r="A1634" s="1" t="s">
        <v>11453</v>
      </c>
      <c r="B1634" s="1" t="s">
        <v>16370</v>
      </c>
      <c r="C1634" s="3">
        <f>IF(B1634="","",SUMIFS('Factory Costs'!$C:$C,'Factory Costs'!$A:$A,"Blades",'Factory Costs'!$B:$B,B1634))</f>
        <v>34</v>
      </c>
    </row>
    <row r="1635" spans="1:3" x14ac:dyDescent="0.25">
      <c r="A1635" s="1" t="s">
        <v>11456</v>
      </c>
      <c r="B1635" s="1" t="s">
        <v>16371</v>
      </c>
      <c r="C1635" s="3">
        <f>IF(B1635="","",SUMIFS('Factory Costs'!$C:$C,'Factory Costs'!$A:$A,"Blades",'Factory Costs'!$B:$B,B1635))</f>
        <v>37</v>
      </c>
    </row>
    <row r="1636" spans="1:3" x14ac:dyDescent="0.25">
      <c r="A1636" s="1" t="s">
        <v>11459</v>
      </c>
      <c r="B1636" s="1" t="s">
        <v>16372</v>
      </c>
      <c r="C1636" s="3">
        <f>IF(B1636="","",SUMIFS('Factory Costs'!$C:$C,'Factory Costs'!$A:$A,"Blades",'Factory Costs'!$B:$B,B1636))</f>
        <v>42</v>
      </c>
    </row>
    <row r="1637" spans="1:3" x14ac:dyDescent="0.25">
      <c r="A1637" s="1" t="s">
        <v>11462</v>
      </c>
      <c r="B1637" s="1" t="s">
        <v>16372</v>
      </c>
      <c r="C1637" s="3">
        <f>IF(B1637="","",SUMIFS('Factory Costs'!$C:$C,'Factory Costs'!$A:$A,"Blades",'Factory Costs'!$B:$B,B1637))</f>
        <v>42</v>
      </c>
    </row>
    <row r="1638" spans="1:3" x14ac:dyDescent="0.25">
      <c r="A1638" s="1" t="s">
        <v>11465</v>
      </c>
      <c r="B1638" s="1" t="s">
        <v>16370</v>
      </c>
      <c r="C1638" s="3">
        <f>IF(B1638="","",SUMIFS('Factory Costs'!$C:$C,'Factory Costs'!$A:$A,"Blades",'Factory Costs'!$B:$B,B1638))</f>
        <v>34</v>
      </c>
    </row>
    <row r="1639" spans="1:3" x14ac:dyDescent="0.25">
      <c r="A1639" s="1" t="s">
        <v>11468</v>
      </c>
      <c r="B1639" s="1" t="s">
        <v>16370</v>
      </c>
      <c r="C1639" s="3">
        <f>IF(B1639="","",SUMIFS('Factory Costs'!$C:$C,'Factory Costs'!$A:$A,"Blades",'Factory Costs'!$B:$B,B1639))</f>
        <v>34</v>
      </c>
    </row>
    <row r="1640" spans="1:3" x14ac:dyDescent="0.25">
      <c r="A1640" s="1" t="s">
        <v>11471</v>
      </c>
      <c r="B1640" s="1" t="s">
        <v>16370</v>
      </c>
      <c r="C1640" s="3">
        <f>IF(B1640="","",SUMIFS('Factory Costs'!$C:$C,'Factory Costs'!$A:$A,"Blades",'Factory Costs'!$B:$B,B1640))</f>
        <v>34</v>
      </c>
    </row>
    <row r="1641" spans="1:3" x14ac:dyDescent="0.25">
      <c r="A1641" s="1" t="s">
        <v>11474</v>
      </c>
      <c r="B1641" s="1" t="s">
        <v>16370</v>
      </c>
      <c r="C1641" s="3">
        <f>IF(B1641="","",SUMIFS('Factory Costs'!$C:$C,'Factory Costs'!$A:$A,"Blades",'Factory Costs'!$B:$B,B1641))</f>
        <v>34</v>
      </c>
    </row>
    <row r="1642" spans="1:3" x14ac:dyDescent="0.25">
      <c r="A1642" s="1" t="s">
        <v>11477</v>
      </c>
      <c r="B1642" s="1" t="s">
        <v>16372</v>
      </c>
      <c r="C1642" s="3">
        <f>IF(B1642="","",SUMIFS('Factory Costs'!$C:$C,'Factory Costs'!$A:$A,"Blades",'Factory Costs'!$B:$B,B1642))</f>
        <v>42</v>
      </c>
    </row>
    <row r="1643" spans="1:3" x14ac:dyDescent="0.25">
      <c r="A1643" s="1" t="s">
        <v>11480</v>
      </c>
      <c r="B1643" s="1" t="s">
        <v>16370</v>
      </c>
      <c r="C1643" s="3">
        <f>IF(B1643="","",SUMIFS('Factory Costs'!$C:$C,'Factory Costs'!$A:$A,"Blades",'Factory Costs'!$B:$B,B1643))</f>
        <v>34</v>
      </c>
    </row>
    <row r="1644" spans="1:3" x14ac:dyDescent="0.25">
      <c r="A1644" s="1" t="s">
        <v>11483</v>
      </c>
      <c r="B1644" s="1" t="s">
        <v>16372</v>
      </c>
      <c r="C1644" s="3">
        <f>IF(B1644="","",SUMIFS('Factory Costs'!$C:$C,'Factory Costs'!$A:$A,"Blades",'Factory Costs'!$B:$B,B1644))</f>
        <v>42</v>
      </c>
    </row>
    <row r="1645" spans="1:3" x14ac:dyDescent="0.25">
      <c r="A1645" s="1" t="s">
        <v>11486</v>
      </c>
      <c r="B1645" s="1" t="s">
        <v>16371</v>
      </c>
      <c r="C1645" s="3">
        <f>IF(B1645="","",SUMIFS('Factory Costs'!$C:$C,'Factory Costs'!$A:$A,"Blades",'Factory Costs'!$B:$B,B1645))</f>
        <v>37</v>
      </c>
    </row>
    <row r="1646" spans="1:3" x14ac:dyDescent="0.25">
      <c r="A1646" s="1" t="s">
        <v>11489</v>
      </c>
      <c r="B1646" s="1" t="s">
        <v>16370</v>
      </c>
      <c r="C1646" s="3">
        <f>IF(B1646="","",SUMIFS('Factory Costs'!$C:$C,'Factory Costs'!$A:$A,"Blades",'Factory Costs'!$B:$B,B1646))</f>
        <v>34</v>
      </c>
    </row>
    <row r="1647" spans="1:3" x14ac:dyDescent="0.25">
      <c r="A1647" s="1" t="s">
        <v>11492</v>
      </c>
      <c r="B1647" s="1" t="s">
        <v>16370</v>
      </c>
      <c r="C1647" s="3">
        <f>IF(B1647="","",SUMIFS('Factory Costs'!$C:$C,'Factory Costs'!$A:$A,"Blades",'Factory Costs'!$B:$B,B1647))</f>
        <v>34</v>
      </c>
    </row>
    <row r="1648" spans="1:3" x14ac:dyDescent="0.25">
      <c r="A1648" s="1" t="s">
        <v>11495</v>
      </c>
      <c r="B1648" s="1" t="s">
        <v>16370</v>
      </c>
      <c r="C1648" s="3">
        <f>IF(B1648="","",SUMIFS('Factory Costs'!$C:$C,'Factory Costs'!$A:$A,"Blades",'Factory Costs'!$B:$B,B1648))</f>
        <v>34</v>
      </c>
    </row>
    <row r="1649" spans="1:3" x14ac:dyDescent="0.25">
      <c r="A1649" s="1" t="s">
        <v>11498</v>
      </c>
      <c r="B1649" s="1" t="s">
        <v>16370</v>
      </c>
      <c r="C1649" s="3">
        <f>IF(B1649="","",SUMIFS('Factory Costs'!$C:$C,'Factory Costs'!$A:$A,"Blades",'Factory Costs'!$B:$B,B1649))</f>
        <v>34</v>
      </c>
    </row>
    <row r="1650" spans="1:3" x14ac:dyDescent="0.25">
      <c r="A1650" s="1" t="s">
        <v>11501</v>
      </c>
      <c r="B1650" s="1" t="s">
        <v>16370</v>
      </c>
      <c r="C1650" s="3">
        <f>IF(B1650="","",SUMIFS('Factory Costs'!$C:$C,'Factory Costs'!$A:$A,"Blades",'Factory Costs'!$B:$B,B1650))</f>
        <v>34</v>
      </c>
    </row>
    <row r="1651" spans="1:3" x14ac:dyDescent="0.25">
      <c r="A1651" s="1" t="s">
        <v>11504</v>
      </c>
      <c r="B1651" s="1" t="s">
        <v>16371</v>
      </c>
      <c r="C1651" s="3">
        <f>IF(B1651="","",SUMIFS('Factory Costs'!$C:$C,'Factory Costs'!$A:$A,"Blades",'Factory Costs'!$B:$B,B1651))</f>
        <v>37</v>
      </c>
    </row>
    <row r="1652" spans="1:3" x14ac:dyDescent="0.25">
      <c r="A1652" s="1" t="s">
        <v>11507</v>
      </c>
      <c r="B1652" s="1" t="s">
        <v>16370</v>
      </c>
      <c r="C1652" s="3">
        <f>IF(B1652="","",SUMIFS('Factory Costs'!$C:$C,'Factory Costs'!$A:$A,"Blades",'Factory Costs'!$B:$B,B1652))</f>
        <v>34</v>
      </c>
    </row>
    <row r="1653" spans="1:3" x14ac:dyDescent="0.25">
      <c r="A1653" s="1" t="s">
        <v>11510</v>
      </c>
      <c r="B1653" s="1" t="s">
        <v>16371</v>
      </c>
      <c r="C1653" s="3">
        <f>IF(B1653="","",SUMIFS('Factory Costs'!$C:$C,'Factory Costs'!$A:$A,"Blades",'Factory Costs'!$B:$B,B1653))</f>
        <v>37</v>
      </c>
    </row>
    <row r="1654" spans="1:3" x14ac:dyDescent="0.25">
      <c r="A1654" s="1" t="s">
        <v>11513</v>
      </c>
      <c r="B1654" s="1" t="s">
        <v>16372</v>
      </c>
      <c r="C1654" s="3">
        <f>IF(B1654="","",SUMIFS('Factory Costs'!$C:$C,'Factory Costs'!$A:$A,"Blades",'Factory Costs'!$B:$B,B1654))</f>
        <v>42</v>
      </c>
    </row>
    <row r="1655" spans="1:3" x14ac:dyDescent="0.25">
      <c r="A1655" s="1" t="s">
        <v>11516</v>
      </c>
      <c r="B1655" s="1" t="s">
        <v>16370</v>
      </c>
      <c r="C1655" s="3">
        <f>IF(B1655="","",SUMIFS('Factory Costs'!$C:$C,'Factory Costs'!$A:$A,"Blades",'Factory Costs'!$B:$B,B1655))</f>
        <v>34</v>
      </c>
    </row>
    <row r="1656" spans="1:3" x14ac:dyDescent="0.25">
      <c r="A1656" s="1" t="s">
        <v>11519</v>
      </c>
      <c r="B1656" s="1" t="s">
        <v>16370</v>
      </c>
      <c r="C1656" s="3">
        <f>IF(B1656="","",SUMIFS('Factory Costs'!$C:$C,'Factory Costs'!$A:$A,"Blades",'Factory Costs'!$B:$B,B1656))</f>
        <v>34</v>
      </c>
    </row>
    <row r="1657" spans="1:3" x14ac:dyDescent="0.25">
      <c r="A1657" s="1" t="s">
        <v>11522</v>
      </c>
      <c r="B1657" s="1" t="s">
        <v>16370</v>
      </c>
      <c r="C1657" s="3">
        <f>IF(B1657="","",SUMIFS('Factory Costs'!$C:$C,'Factory Costs'!$A:$A,"Blades",'Factory Costs'!$B:$B,B1657))</f>
        <v>34</v>
      </c>
    </row>
    <row r="1658" spans="1:3" x14ac:dyDescent="0.25">
      <c r="A1658" s="1" t="s">
        <v>11525</v>
      </c>
      <c r="B1658" s="1" t="s">
        <v>16372</v>
      </c>
      <c r="C1658" s="3">
        <f>IF(B1658="","",SUMIFS('Factory Costs'!$C:$C,'Factory Costs'!$A:$A,"Blades",'Factory Costs'!$B:$B,B1658))</f>
        <v>42</v>
      </c>
    </row>
    <row r="1659" spans="1:3" x14ac:dyDescent="0.25">
      <c r="A1659" s="1" t="s">
        <v>11528</v>
      </c>
      <c r="B1659" s="1" t="s">
        <v>16370</v>
      </c>
      <c r="C1659" s="3">
        <f>IF(B1659="","",SUMIFS('Factory Costs'!$C:$C,'Factory Costs'!$A:$A,"Blades",'Factory Costs'!$B:$B,B1659))</f>
        <v>34</v>
      </c>
    </row>
    <row r="1660" spans="1:3" x14ac:dyDescent="0.25">
      <c r="A1660" s="1" t="s">
        <v>11531</v>
      </c>
      <c r="B1660" s="1" t="s">
        <v>16372</v>
      </c>
      <c r="C1660" s="3">
        <f>IF(B1660="","",SUMIFS('Factory Costs'!$C:$C,'Factory Costs'!$A:$A,"Blades",'Factory Costs'!$B:$B,B1660))</f>
        <v>42</v>
      </c>
    </row>
    <row r="1661" spans="1:3" x14ac:dyDescent="0.25">
      <c r="A1661" s="1" t="s">
        <v>11534</v>
      </c>
      <c r="B1661" s="1" t="s">
        <v>16370</v>
      </c>
      <c r="C1661" s="3">
        <f>IF(B1661="","",SUMIFS('Factory Costs'!$C:$C,'Factory Costs'!$A:$A,"Blades",'Factory Costs'!$B:$B,B1661))</f>
        <v>34</v>
      </c>
    </row>
    <row r="1662" spans="1:3" x14ac:dyDescent="0.25">
      <c r="A1662" s="1" t="s">
        <v>11537</v>
      </c>
      <c r="B1662" s="1" t="s">
        <v>16371</v>
      </c>
      <c r="C1662" s="3">
        <f>IF(B1662="","",SUMIFS('Factory Costs'!$C:$C,'Factory Costs'!$A:$A,"Blades",'Factory Costs'!$B:$B,B1662))</f>
        <v>37</v>
      </c>
    </row>
    <row r="1663" spans="1:3" x14ac:dyDescent="0.25">
      <c r="A1663" s="1" t="s">
        <v>11540</v>
      </c>
      <c r="B1663" s="1" t="s">
        <v>16370</v>
      </c>
      <c r="C1663" s="3">
        <f>IF(B1663="","",SUMIFS('Factory Costs'!$C:$C,'Factory Costs'!$A:$A,"Blades",'Factory Costs'!$B:$B,B1663))</f>
        <v>34</v>
      </c>
    </row>
    <row r="1664" spans="1:3" x14ac:dyDescent="0.25">
      <c r="A1664" s="1" t="s">
        <v>11543</v>
      </c>
      <c r="B1664" s="1" t="s">
        <v>16370</v>
      </c>
      <c r="C1664" s="3">
        <f>IF(B1664="","",SUMIFS('Factory Costs'!$C:$C,'Factory Costs'!$A:$A,"Blades",'Factory Costs'!$B:$B,B1664))</f>
        <v>34</v>
      </c>
    </row>
    <row r="1665" spans="1:3" x14ac:dyDescent="0.25">
      <c r="A1665" s="1" t="s">
        <v>11546</v>
      </c>
      <c r="B1665" s="1" t="s">
        <v>16370</v>
      </c>
      <c r="C1665" s="3">
        <f>IF(B1665="","",SUMIFS('Factory Costs'!$C:$C,'Factory Costs'!$A:$A,"Blades",'Factory Costs'!$B:$B,B1665))</f>
        <v>34</v>
      </c>
    </row>
    <row r="1666" spans="1:3" x14ac:dyDescent="0.25">
      <c r="A1666" s="1" t="s">
        <v>11549</v>
      </c>
      <c r="B1666" s="1" t="s">
        <v>16370</v>
      </c>
      <c r="C1666" s="3">
        <f>IF(B1666="","",SUMIFS('Factory Costs'!$C:$C,'Factory Costs'!$A:$A,"Blades",'Factory Costs'!$B:$B,B1666))</f>
        <v>34</v>
      </c>
    </row>
    <row r="1667" spans="1:3" x14ac:dyDescent="0.25">
      <c r="A1667" s="1" t="s">
        <v>11552</v>
      </c>
      <c r="B1667" s="1" t="s">
        <v>16370</v>
      </c>
      <c r="C1667" s="3">
        <f>IF(B1667="","",SUMIFS('Factory Costs'!$C:$C,'Factory Costs'!$A:$A,"Blades",'Factory Costs'!$B:$B,B1667))</f>
        <v>34</v>
      </c>
    </row>
    <row r="1668" spans="1:3" x14ac:dyDescent="0.25">
      <c r="A1668" s="1" t="s">
        <v>11555</v>
      </c>
      <c r="B1668" s="1" t="s">
        <v>16371</v>
      </c>
      <c r="C1668" s="3">
        <f>IF(B1668="","",SUMIFS('Factory Costs'!$C:$C,'Factory Costs'!$A:$A,"Blades",'Factory Costs'!$B:$B,B1668))</f>
        <v>37</v>
      </c>
    </row>
    <row r="1669" spans="1:3" x14ac:dyDescent="0.25">
      <c r="A1669" s="1" t="s">
        <v>11558</v>
      </c>
      <c r="B1669" s="1" t="s">
        <v>16372</v>
      </c>
      <c r="C1669" s="3">
        <f>IF(B1669="","",SUMIFS('Factory Costs'!$C:$C,'Factory Costs'!$A:$A,"Blades",'Factory Costs'!$B:$B,B1669))</f>
        <v>42</v>
      </c>
    </row>
    <row r="1670" spans="1:3" x14ac:dyDescent="0.25">
      <c r="A1670" s="1" t="s">
        <v>11561</v>
      </c>
      <c r="B1670" s="1" t="s">
        <v>16371</v>
      </c>
      <c r="C1670" s="3">
        <f>IF(B1670="","",SUMIFS('Factory Costs'!$C:$C,'Factory Costs'!$A:$A,"Blades",'Factory Costs'!$B:$B,B1670))</f>
        <v>37</v>
      </c>
    </row>
    <row r="1671" spans="1:3" x14ac:dyDescent="0.25">
      <c r="A1671" s="1" t="s">
        <v>11564</v>
      </c>
      <c r="B1671" s="1" t="s">
        <v>16371</v>
      </c>
      <c r="C1671" s="3">
        <f>IF(B1671="","",SUMIFS('Factory Costs'!$C:$C,'Factory Costs'!$A:$A,"Blades",'Factory Costs'!$B:$B,B1671))</f>
        <v>37</v>
      </c>
    </row>
    <row r="1672" spans="1:3" x14ac:dyDescent="0.25">
      <c r="A1672" s="1" t="s">
        <v>11567</v>
      </c>
      <c r="B1672" s="1" t="s">
        <v>16372</v>
      </c>
      <c r="C1672" s="3">
        <f>IF(B1672="","",SUMIFS('Factory Costs'!$C:$C,'Factory Costs'!$A:$A,"Blades",'Factory Costs'!$B:$B,B1672))</f>
        <v>42</v>
      </c>
    </row>
    <row r="1673" spans="1:3" x14ac:dyDescent="0.25">
      <c r="A1673" s="1" t="s">
        <v>11570</v>
      </c>
      <c r="B1673" s="1" t="s">
        <v>16372</v>
      </c>
      <c r="C1673" s="3">
        <f>IF(B1673="","",SUMIFS('Factory Costs'!$C:$C,'Factory Costs'!$A:$A,"Blades",'Factory Costs'!$B:$B,B1673))</f>
        <v>42</v>
      </c>
    </row>
    <row r="1674" spans="1:3" x14ac:dyDescent="0.25">
      <c r="A1674" s="1" t="s">
        <v>11573</v>
      </c>
      <c r="B1674" s="1" t="s">
        <v>16371</v>
      </c>
      <c r="C1674" s="3">
        <f>IF(B1674="","",SUMIFS('Factory Costs'!$C:$C,'Factory Costs'!$A:$A,"Blades",'Factory Costs'!$B:$B,B1674))</f>
        <v>37</v>
      </c>
    </row>
    <row r="1675" spans="1:3" x14ac:dyDescent="0.25">
      <c r="A1675" s="1" t="s">
        <v>11576</v>
      </c>
      <c r="B1675" s="1" t="s">
        <v>16370</v>
      </c>
      <c r="C1675" s="3">
        <f>IF(B1675="","",SUMIFS('Factory Costs'!$C:$C,'Factory Costs'!$A:$A,"Blades",'Factory Costs'!$B:$B,B1675))</f>
        <v>34</v>
      </c>
    </row>
    <row r="1676" spans="1:3" x14ac:dyDescent="0.25">
      <c r="A1676" s="1" t="s">
        <v>11579</v>
      </c>
      <c r="B1676" s="1" t="s">
        <v>16371</v>
      </c>
      <c r="C1676" s="3">
        <f>IF(B1676="","",SUMIFS('Factory Costs'!$C:$C,'Factory Costs'!$A:$A,"Blades",'Factory Costs'!$B:$B,B1676))</f>
        <v>37</v>
      </c>
    </row>
    <row r="1677" spans="1:3" x14ac:dyDescent="0.25">
      <c r="A1677" s="1" t="s">
        <v>11582</v>
      </c>
      <c r="B1677" s="1" t="s">
        <v>16371</v>
      </c>
      <c r="C1677" s="3">
        <f>IF(B1677="","",SUMIFS('Factory Costs'!$C:$C,'Factory Costs'!$A:$A,"Blades",'Factory Costs'!$B:$B,B1677))</f>
        <v>37</v>
      </c>
    </row>
    <row r="1678" spans="1:3" x14ac:dyDescent="0.25">
      <c r="A1678" s="1" t="s">
        <v>11585</v>
      </c>
      <c r="B1678" s="1" t="s">
        <v>16372</v>
      </c>
      <c r="C1678" s="3">
        <f>IF(B1678="","",SUMIFS('Factory Costs'!$C:$C,'Factory Costs'!$A:$A,"Blades",'Factory Costs'!$B:$B,B1678))</f>
        <v>42</v>
      </c>
    </row>
    <row r="1679" spans="1:3" x14ac:dyDescent="0.25">
      <c r="A1679" s="1" t="s">
        <v>11588</v>
      </c>
      <c r="B1679" s="1" t="s">
        <v>16370</v>
      </c>
      <c r="C1679" s="3">
        <f>IF(B1679="","",SUMIFS('Factory Costs'!$C:$C,'Factory Costs'!$A:$A,"Blades",'Factory Costs'!$B:$B,B1679))</f>
        <v>34</v>
      </c>
    </row>
    <row r="1680" spans="1:3" x14ac:dyDescent="0.25">
      <c r="A1680" s="1" t="s">
        <v>11591</v>
      </c>
      <c r="B1680" s="1" t="s">
        <v>16372</v>
      </c>
      <c r="C1680" s="3">
        <f>IF(B1680="","",SUMIFS('Factory Costs'!$C:$C,'Factory Costs'!$A:$A,"Blades",'Factory Costs'!$B:$B,B1680))</f>
        <v>42</v>
      </c>
    </row>
    <row r="1681" spans="1:3" x14ac:dyDescent="0.25">
      <c r="A1681" s="1" t="s">
        <v>11594</v>
      </c>
      <c r="B1681" s="1" t="s">
        <v>16370</v>
      </c>
      <c r="C1681" s="3">
        <f>IF(B1681="","",SUMIFS('Factory Costs'!$C:$C,'Factory Costs'!$A:$A,"Blades",'Factory Costs'!$B:$B,B1681))</f>
        <v>34</v>
      </c>
    </row>
    <row r="1682" spans="1:3" x14ac:dyDescent="0.25">
      <c r="A1682" s="1" t="s">
        <v>11597</v>
      </c>
      <c r="B1682" s="1" t="s">
        <v>16371</v>
      </c>
      <c r="C1682" s="3">
        <f>IF(B1682="","",SUMIFS('Factory Costs'!$C:$C,'Factory Costs'!$A:$A,"Blades",'Factory Costs'!$B:$B,B1682))</f>
        <v>37</v>
      </c>
    </row>
    <row r="1683" spans="1:3" x14ac:dyDescent="0.25">
      <c r="A1683" s="1" t="s">
        <v>11600</v>
      </c>
      <c r="B1683" s="1" t="s">
        <v>16370</v>
      </c>
      <c r="C1683" s="3">
        <f>IF(B1683="","",SUMIFS('Factory Costs'!$C:$C,'Factory Costs'!$A:$A,"Blades",'Factory Costs'!$B:$B,B1683))</f>
        <v>34</v>
      </c>
    </row>
    <row r="1684" spans="1:3" x14ac:dyDescent="0.25">
      <c r="A1684" s="1" t="s">
        <v>11603</v>
      </c>
      <c r="B1684" s="1" t="s">
        <v>16372</v>
      </c>
      <c r="C1684" s="3">
        <f>IF(B1684="","",SUMIFS('Factory Costs'!$C:$C,'Factory Costs'!$A:$A,"Blades",'Factory Costs'!$B:$B,B1684))</f>
        <v>42</v>
      </c>
    </row>
    <row r="1685" spans="1:3" x14ac:dyDescent="0.25">
      <c r="A1685" s="1" t="s">
        <v>11606</v>
      </c>
      <c r="B1685" s="1" t="s">
        <v>16370</v>
      </c>
      <c r="C1685" s="3">
        <f>IF(B1685="","",SUMIFS('Factory Costs'!$C:$C,'Factory Costs'!$A:$A,"Blades",'Factory Costs'!$B:$B,B1685))</f>
        <v>34</v>
      </c>
    </row>
    <row r="1686" spans="1:3" x14ac:dyDescent="0.25">
      <c r="A1686" s="1" t="s">
        <v>11609</v>
      </c>
      <c r="B1686" s="1" t="s">
        <v>16372</v>
      </c>
      <c r="C1686" s="3">
        <f>IF(B1686="","",SUMIFS('Factory Costs'!$C:$C,'Factory Costs'!$A:$A,"Blades",'Factory Costs'!$B:$B,B1686))</f>
        <v>42</v>
      </c>
    </row>
    <row r="1687" spans="1:3" x14ac:dyDescent="0.25">
      <c r="A1687" s="1" t="s">
        <v>11612</v>
      </c>
      <c r="B1687" s="1" t="s">
        <v>16370</v>
      </c>
      <c r="C1687" s="3">
        <f>IF(B1687="","",SUMIFS('Factory Costs'!$C:$C,'Factory Costs'!$A:$A,"Blades",'Factory Costs'!$B:$B,B1687))</f>
        <v>34</v>
      </c>
    </row>
    <row r="1688" spans="1:3" x14ac:dyDescent="0.25">
      <c r="A1688" s="1" t="s">
        <v>11615</v>
      </c>
      <c r="B1688" s="1" t="s">
        <v>16372</v>
      </c>
      <c r="C1688" s="3">
        <f>IF(B1688="","",SUMIFS('Factory Costs'!$C:$C,'Factory Costs'!$A:$A,"Blades",'Factory Costs'!$B:$B,B1688))</f>
        <v>42</v>
      </c>
    </row>
    <row r="1689" spans="1:3" x14ac:dyDescent="0.25">
      <c r="A1689" s="1" t="s">
        <v>11618</v>
      </c>
      <c r="B1689" s="1" t="s">
        <v>16371</v>
      </c>
      <c r="C1689" s="3">
        <f>IF(B1689="","",SUMIFS('Factory Costs'!$C:$C,'Factory Costs'!$A:$A,"Blades",'Factory Costs'!$B:$B,B1689))</f>
        <v>37</v>
      </c>
    </row>
    <row r="1690" spans="1:3" x14ac:dyDescent="0.25">
      <c r="A1690" s="1" t="s">
        <v>11621</v>
      </c>
      <c r="B1690" s="1" t="s">
        <v>16371</v>
      </c>
      <c r="C1690" s="3">
        <f>IF(B1690="","",SUMIFS('Factory Costs'!$C:$C,'Factory Costs'!$A:$A,"Blades",'Factory Costs'!$B:$B,B1690))</f>
        <v>37</v>
      </c>
    </row>
    <row r="1691" spans="1:3" x14ac:dyDescent="0.25">
      <c r="A1691" s="1" t="s">
        <v>11624</v>
      </c>
      <c r="B1691" s="1" t="s">
        <v>16371</v>
      </c>
      <c r="C1691" s="3">
        <f>IF(B1691="","",SUMIFS('Factory Costs'!$C:$C,'Factory Costs'!$A:$A,"Blades",'Factory Costs'!$B:$B,B1691))</f>
        <v>37</v>
      </c>
    </row>
    <row r="1692" spans="1:3" x14ac:dyDescent="0.25">
      <c r="A1692" s="1" t="s">
        <v>11627</v>
      </c>
      <c r="B1692" s="1" t="s">
        <v>16370</v>
      </c>
      <c r="C1692" s="3">
        <f>IF(B1692="","",SUMIFS('Factory Costs'!$C:$C,'Factory Costs'!$A:$A,"Blades",'Factory Costs'!$B:$B,B1692))</f>
        <v>34</v>
      </c>
    </row>
    <row r="1693" spans="1:3" x14ac:dyDescent="0.25">
      <c r="A1693" s="1" t="s">
        <v>11630</v>
      </c>
      <c r="B1693" s="1" t="s">
        <v>16370</v>
      </c>
      <c r="C1693" s="3">
        <f>IF(B1693="","",SUMIFS('Factory Costs'!$C:$C,'Factory Costs'!$A:$A,"Blades",'Factory Costs'!$B:$B,B1693))</f>
        <v>34</v>
      </c>
    </row>
    <row r="1694" spans="1:3" x14ac:dyDescent="0.25">
      <c r="A1694" s="1" t="s">
        <v>11633</v>
      </c>
      <c r="B1694" s="1" t="s">
        <v>16371</v>
      </c>
      <c r="C1694" s="3">
        <f>IF(B1694="","",SUMIFS('Factory Costs'!$C:$C,'Factory Costs'!$A:$A,"Blades",'Factory Costs'!$B:$B,B1694))</f>
        <v>37</v>
      </c>
    </row>
    <row r="1695" spans="1:3" x14ac:dyDescent="0.25">
      <c r="A1695" s="1" t="s">
        <v>11636</v>
      </c>
      <c r="B1695" s="1" t="s">
        <v>16372</v>
      </c>
      <c r="C1695" s="3">
        <f>IF(B1695="","",SUMIFS('Factory Costs'!$C:$C,'Factory Costs'!$A:$A,"Blades",'Factory Costs'!$B:$B,B1695))</f>
        <v>42</v>
      </c>
    </row>
    <row r="1696" spans="1:3" x14ac:dyDescent="0.25">
      <c r="A1696" s="1" t="s">
        <v>11639</v>
      </c>
      <c r="B1696" s="1" t="s">
        <v>16370</v>
      </c>
      <c r="C1696" s="3">
        <f>IF(B1696="","",SUMIFS('Factory Costs'!$C:$C,'Factory Costs'!$A:$A,"Blades",'Factory Costs'!$B:$B,B1696))</f>
        <v>34</v>
      </c>
    </row>
    <row r="1697" spans="1:3" x14ac:dyDescent="0.25">
      <c r="A1697" s="1" t="s">
        <v>11642</v>
      </c>
      <c r="B1697" s="1" t="s">
        <v>16370</v>
      </c>
      <c r="C1697" s="3">
        <f>IF(B1697="","",SUMIFS('Factory Costs'!$C:$C,'Factory Costs'!$A:$A,"Blades",'Factory Costs'!$B:$B,B1697))</f>
        <v>34</v>
      </c>
    </row>
    <row r="1698" spans="1:3" x14ac:dyDescent="0.25">
      <c r="A1698" s="1" t="s">
        <v>11645</v>
      </c>
      <c r="B1698" s="1" t="s">
        <v>16370</v>
      </c>
      <c r="C1698" s="3">
        <f>IF(B1698="","",SUMIFS('Factory Costs'!$C:$C,'Factory Costs'!$A:$A,"Blades",'Factory Costs'!$B:$B,B1698))</f>
        <v>34</v>
      </c>
    </row>
    <row r="1699" spans="1:3" x14ac:dyDescent="0.25">
      <c r="A1699" s="1" t="s">
        <v>11648</v>
      </c>
      <c r="B1699" s="1" t="s">
        <v>16371</v>
      </c>
      <c r="C1699" s="3">
        <f>IF(B1699="","",SUMIFS('Factory Costs'!$C:$C,'Factory Costs'!$A:$A,"Blades",'Factory Costs'!$B:$B,B1699))</f>
        <v>37</v>
      </c>
    </row>
    <row r="1700" spans="1:3" x14ac:dyDescent="0.25">
      <c r="A1700" s="1" t="s">
        <v>11651</v>
      </c>
      <c r="B1700" s="1" t="s">
        <v>16371</v>
      </c>
      <c r="C1700" s="3">
        <f>IF(B1700="","",SUMIFS('Factory Costs'!$C:$C,'Factory Costs'!$A:$A,"Blades",'Factory Costs'!$B:$B,B1700))</f>
        <v>37</v>
      </c>
    </row>
    <row r="1701" spans="1:3" x14ac:dyDescent="0.25">
      <c r="A1701" s="1" t="s">
        <v>11654</v>
      </c>
      <c r="B1701" s="1" t="s">
        <v>16372</v>
      </c>
      <c r="C1701" s="3">
        <f>IF(B1701="","",SUMIFS('Factory Costs'!$C:$C,'Factory Costs'!$A:$A,"Blades",'Factory Costs'!$B:$B,B1701))</f>
        <v>42</v>
      </c>
    </row>
    <row r="1702" spans="1:3" x14ac:dyDescent="0.25">
      <c r="A1702" s="1" t="s">
        <v>11657</v>
      </c>
      <c r="B1702" s="1" t="s">
        <v>16370</v>
      </c>
      <c r="C1702" s="3">
        <f>IF(B1702="","",SUMIFS('Factory Costs'!$C:$C,'Factory Costs'!$A:$A,"Blades",'Factory Costs'!$B:$B,B1702))</f>
        <v>34</v>
      </c>
    </row>
    <row r="1703" spans="1:3" x14ac:dyDescent="0.25">
      <c r="A1703" s="1" t="s">
        <v>11660</v>
      </c>
      <c r="B1703" s="1" t="s">
        <v>16372</v>
      </c>
      <c r="C1703" s="3">
        <f>IF(B1703="","",SUMIFS('Factory Costs'!$C:$C,'Factory Costs'!$A:$A,"Blades",'Factory Costs'!$B:$B,B1703))</f>
        <v>42</v>
      </c>
    </row>
    <row r="1704" spans="1:3" x14ac:dyDescent="0.25">
      <c r="A1704" s="1" t="s">
        <v>11663</v>
      </c>
      <c r="B1704" s="1" t="s">
        <v>16371</v>
      </c>
      <c r="C1704" s="3">
        <f>IF(B1704="","",SUMIFS('Factory Costs'!$C:$C,'Factory Costs'!$A:$A,"Blades",'Factory Costs'!$B:$B,B1704))</f>
        <v>37</v>
      </c>
    </row>
    <row r="1705" spans="1:3" x14ac:dyDescent="0.25">
      <c r="A1705" s="1" t="s">
        <v>11666</v>
      </c>
      <c r="B1705" s="1" t="s">
        <v>16371</v>
      </c>
      <c r="C1705" s="3">
        <f>IF(B1705="","",SUMIFS('Factory Costs'!$C:$C,'Factory Costs'!$A:$A,"Blades",'Factory Costs'!$B:$B,B1705))</f>
        <v>37</v>
      </c>
    </row>
    <row r="1706" spans="1:3" x14ac:dyDescent="0.25">
      <c r="A1706" s="1" t="s">
        <v>11669</v>
      </c>
      <c r="B1706" s="1" t="s">
        <v>16372</v>
      </c>
      <c r="C1706" s="3">
        <f>IF(B1706="","",SUMIFS('Factory Costs'!$C:$C,'Factory Costs'!$A:$A,"Blades",'Factory Costs'!$B:$B,B1706))</f>
        <v>42</v>
      </c>
    </row>
    <row r="1707" spans="1:3" x14ac:dyDescent="0.25">
      <c r="A1707" s="1" t="s">
        <v>11672</v>
      </c>
      <c r="B1707" s="1" t="s">
        <v>16370</v>
      </c>
      <c r="C1707" s="3">
        <f>IF(B1707="","",SUMIFS('Factory Costs'!$C:$C,'Factory Costs'!$A:$A,"Blades",'Factory Costs'!$B:$B,B1707))</f>
        <v>34</v>
      </c>
    </row>
    <row r="1708" spans="1:3" x14ac:dyDescent="0.25">
      <c r="A1708" s="1" t="s">
        <v>11675</v>
      </c>
      <c r="B1708" s="1" t="s">
        <v>16370</v>
      </c>
      <c r="C1708" s="3">
        <f>IF(B1708="","",SUMIFS('Factory Costs'!$C:$C,'Factory Costs'!$A:$A,"Blades",'Factory Costs'!$B:$B,B1708))</f>
        <v>34</v>
      </c>
    </row>
    <row r="1709" spans="1:3" x14ac:dyDescent="0.25">
      <c r="A1709" s="1" t="s">
        <v>11678</v>
      </c>
      <c r="B1709" s="1" t="s">
        <v>16372</v>
      </c>
      <c r="C1709" s="3">
        <f>IF(B1709="","",SUMIFS('Factory Costs'!$C:$C,'Factory Costs'!$A:$A,"Blades",'Factory Costs'!$B:$B,B1709))</f>
        <v>42</v>
      </c>
    </row>
    <row r="1710" spans="1:3" x14ac:dyDescent="0.25">
      <c r="A1710" s="1" t="s">
        <v>11681</v>
      </c>
      <c r="B1710" s="1" t="s">
        <v>16372</v>
      </c>
      <c r="C1710" s="3">
        <f>IF(B1710="","",SUMIFS('Factory Costs'!$C:$C,'Factory Costs'!$A:$A,"Blades",'Factory Costs'!$B:$B,B1710))</f>
        <v>42</v>
      </c>
    </row>
    <row r="1711" spans="1:3" x14ac:dyDescent="0.25">
      <c r="A1711" s="1" t="s">
        <v>11684</v>
      </c>
      <c r="B1711" s="1" t="s">
        <v>16370</v>
      </c>
      <c r="C1711" s="3">
        <f>IF(B1711="","",SUMIFS('Factory Costs'!$C:$C,'Factory Costs'!$A:$A,"Blades",'Factory Costs'!$B:$B,B1711))</f>
        <v>34</v>
      </c>
    </row>
    <row r="1712" spans="1:3" x14ac:dyDescent="0.25">
      <c r="A1712" s="1" t="s">
        <v>11687</v>
      </c>
      <c r="B1712" s="1" t="s">
        <v>16370</v>
      </c>
      <c r="C1712" s="3">
        <f>IF(B1712="","",SUMIFS('Factory Costs'!$C:$C,'Factory Costs'!$A:$A,"Blades",'Factory Costs'!$B:$B,B1712))</f>
        <v>34</v>
      </c>
    </row>
    <row r="1713" spans="1:3" x14ac:dyDescent="0.25">
      <c r="A1713" s="1" t="s">
        <v>11690</v>
      </c>
      <c r="B1713" s="1" t="s">
        <v>16370</v>
      </c>
      <c r="C1713" s="3">
        <f>IF(B1713="","",SUMIFS('Factory Costs'!$C:$C,'Factory Costs'!$A:$A,"Blades",'Factory Costs'!$B:$B,B1713))</f>
        <v>34</v>
      </c>
    </row>
    <row r="1714" spans="1:3" x14ac:dyDescent="0.25">
      <c r="A1714" s="1" t="s">
        <v>11693</v>
      </c>
      <c r="B1714" s="1" t="s">
        <v>16371</v>
      </c>
      <c r="C1714" s="3">
        <f>IF(B1714="","",SUMIFS('Factory Costs'!$C:$C,'Factory Costs'!$A:$A,"Blades",'Factory Costs'!$B:$B,B1714))</f>
        <v>37</v>
      </c>
    </row>
    <row r="1715" spans="1:3" x14ac:dyDescent="0.25">
      <c r="A1715" s="1" t="s">
        <v>11696</v>
      </c>
      <c r="B1715" s="1" t="s">
        <v>16370</v>
      </c>
      <c r="C1715" s="3">
        <f>IF(B1715="","",SUMIFS('Factory Costs'!$C:$C,'Factory Costs'!$A:$A,"Blades",'Factory Costs'!$B:$B,B1715))</f>
        <v>34</v>
      </c>
    </row>
    <row r="1716" spans="1:3" x14ac:dyDescent="0.25">
      <c r="A1716" s="1" t="s">
        <v>11699</v>
      </c>
      <c r="B1716" s="1" t="s">
        <v>16371</v>
      </c>
      <c r="C1716" s="3">
        <f>IF(B1716="","",SUMIFS('Factory Costs'!$C:$C,'Factory Costs'!$A:$A,"Blades",'Factory Costs'!$B:$B,B1716))</f>
        <v>37</v>
      </c>
    </row>
    <row r="1717" spans="1:3" x14ac:dyDescent="0.25">
      <c r="A1717" s="1" t="s">
        <v>11702</v>
      </c>
      <c r="B1717" s="1" t="s">
        <v>16372</v>
      </c>
      <c r="C1717" s="3">
        <f>IF(B1717="","",SUMIFS('Factory Costs'!$C:$C,'Factory Costs'!$A:$A,"Blades",'Factory Costs'!$B:$B,B1717))</f>
        <v>42</v>
      </c>
    </row>
    <row r="1718" spans="1:3" x14ac:dyDescent="0.25">
      <c r="A1718" s="1" t="s">
        <v>11705</v>
      </c>
      <c r="B1718" s="1" t="s">
        <v>16370</v>
      </c>
      <c r="C1718" s="3">
        <f>IF(B1718="","",SUMIFS('Factory Costs'!$C:$C,'Factory Costs'!$A:$A,"Blades",'Factory Costs'!$B:$B,B1718))</f>
        <v>34</v>
      </c>
    </row>
    <row r="1719" spans="1:3" x14ac:dyDescent="0.25">
      <c r="A1719" s="1" t="s">
        <v>11708</v>
      </c>
      <c r="B1719" s="1" t="s">
        <v>16370</v>
      </c>
      <c r="C1719" s="3">
        <f>IF(B1719="","",SUMIFS('Factory Costs'!$C:$C,'Factory Costs'!$A:$A,"Blades",'Factory Costs'!$B:$B,B1719))</f>
        <v>34</v>
      </c>
    </row>
    <row r="1720" spans="1:3" x14ac:dyDescent="0.25">
      <c r="A1720" s="1" t="s">
        <v>11711</v>
      </c>
      <c r="B1720" s="1" t="s">
        <v>16370</v>
      </c>
      <c r="C1720" s="3">
        <f>IF(B1720="","",SUMIFS('Factory Costs'!$C:$C,'Factory Costs'!$A:$A,"Blades",'Factory Costs'!$B:$B,B1720))</f>
        <v>34</v>
      </c>
    </row>
    <row r="1721" spans="1:3" x14ac:dyDescent="0.25">
      <c r="A1721" s="1" t="s">
        <v>11714</v>
      </c>
      <c r="B1721" s="1" t="s">
        <v>16372</v>
      </c>
      <c r="C1721" s="3">
        <f>IF(B1721="","",SUMIFS('Factory Costs'!$C:$C,'Factory Costs'!$A:$A,"Blades",'Factory Costs'!$B:$B,B1721))</f>
        <v>42</v>
      </c>
    </row>
    <row r="1722" spans="1:3" x14ac:dyDescent="0.25">
      <c r="A1722" s="1" t="s">
        <v>11717</v>
      </c>
      <c r="B1722" s="1" t="s">
        <v>16372</v>
      </c>
      <c r="C1722" s="3">
        <f>IF(B1722="","",SUMIFS('Factory Costs'!$C:$C,'Factory Costs'!$A:$A,"Blades",'Factory Costs'!$B:$B,B1722))</f>
        <v>42</v>
      </c>
    </row>
    <row r="1723" spans="1:3" x14ac:dyDescent="0.25">
      <c r="A1723" s="1" t="s">
        <v>11720</v>
      </c>
      <c r="B1723" s="1" t="s">
        <v>16372</v>
      </c>
      <c r="C1723" s="3">
        <f>IF(B1723="","",SUMIFS('Factory Costs'!$C:$C,'Factory Costs'!$A:$A,"Blades",'Factory Costs'!$B:$B,B1723))</f>
        <v>42</v>
      </c>
    </row>
    <row r="1724" spans="1:3" x14ac:dyDescent="0.25">
      <c r="A1724" s="1" t="s">
        <v>11723</v>
      </c>
      <c r="B1724" s="1" t="s">
        <v>16370</v>
      </c>
      <c r="C1724" s="3">
        <f>IF(B1724="","",SUMIFS('Factory Costs'!$C:$C,'Factory Costs'!$A:$A,"Blades",'Factory Costs'!$B:$B,B1724))</f>
        <v>34</v>
      </c>
    </row>
    <row r="1725" spans="1:3" x14ac:dyDescent="0.25">
      <c r="A1725" s="1" t="s">
        <v>11726</v>
      </c>
      <c r="B1725" s="1" t="s">
        <v>16372</v>
      </c>
      <c r="C1725" s="3">
        <f>IF(B1725="","",SUMIFS('Factory Costs'!$C:$C,'Factory Costs'!$A:$A,"Blades",'Factory Costs'!$B:$B,B1725))</f>
        <v>42</v>
      </c>
    </row>
    <row r="1726" spans="1:3" x14ac:dyDescent="0.25">
      <c r="A1726" s="1" t="s">
        <v>11729</v>
      </c>
      <c r="B1726" s="1" t="s">
        <v>16372</v>
      </c>
      <c r="C1726" s="3">
        <f>IF(B1726="","",SUMIFS('Factory Costs'!$C:$C,'Factory Costs'!$A:$A,"Blades",'Factory Costs'!$B:$B,B1726))</f>
        <v>42</v>
      </c>
    </row>
    <row r="1727" spans="1:3" x14ac:dyDescent="0.25">
      <c r="A1727" s="1" t="s">
        <v>11732</v>
      </c>
      <c r="B1727" s="1" t="s">
        <v>16370</v>
      </c>
      <c r="C1727" s="3">
        <f>IF(B1727="","",SUMIFS('Factory Costs'!$C:$C,'Factory Costs'!$A:$A,"Blades",'Factory Costs'!$B:$B,B1727))</f>
        <v>34</v>
      </c>
    </row>
    <row r="1728" spans="1:3" x14ac:dyDescent="0.25">
      <c r="A1728" s="1" t="s">
        <v>11735</v>
      </c>
      <c r="B1728" s="1" t="s">
        <v>16371</v>
      </c>
      <c r="C1728" s="3">
        <f>IF(B1728="","",SUMIFS('Factory Costs'!$C:$C,'Factory Costs'!$A:$A,"Blades",'Factory Costs'!$B:$B,B1728))</f>
        <v>37</v>
      </c>
    </row>
    <row r="1729" spans="1:3" x14ac:dyDescent="0.25">
      <c r="A1729" s="1" t="s">
        <v>11738</v>
      </c>
      <c r="B1729" s="1" t="s">
        <v>16372</v>
      </c>
      <c r="C1729" s="3">
        <f>IF(B1729="","",SUMIFS('Factory Costs'!$C:$C,'Factory Costs'!$A:$A,"Blades",'Factory Costs'!$B:$B,B1729))</f>
        <v>42</v>
      </c>
    </row>
    <row r="1730" spans="1:3" x14ac:dyDescent="0.25">
      <c r="A1730" s="1" t="s">
        <v>11741</v>
      </c>
      <c r="B1730" s="1" t="s">
        <v>16372</v>
      </c>
      <c r="C1730" s="3">
        <f>IF(B1730="","",SUMIFS('Factory Costs'!$C:$C,'Factory Costs'!$A:$A,"Blades",'Factory Costs'!$B:$B,B1730))</f>
        <v>42</v>
      </c>
    </row>
    <row r="1731" spans="1:3" x14ac:dyDescent="0.25">
      <c r="A1731" s="1" t="s">
        <v>11744</v>
      </c>
      <c r="B1731" s="1" t="s">
        <v>16370</v>
      </c>
      <c r="C1731" s="3">
        <f>IF(B1731="","",SUMIFS('Factory Costs'!$C:$C,'Factory Costs'!$A:$A,"Blades",'Factory Costs'!$B:$B,B1731))</f>
        <v>34</v>
      </c>
    </row>
    <row r="1732" spans="1:3" x14ac:dyDescent="0.25">
      <c r="A1732" s="1" t="s">
        <v>11747</v>
      </c>
      <c r="B1732" s="1" t="s">
        <v>16370</v>
      </c>
      <c r="C1732" s="3">
        <f>IF(B1732="","",SUMIFS('Factory Costs'!$C:$C,'Factory Costs'!$A:$A,"Blades",'Factory Costs'!$B:$B,B1732))</f>
        <v>34</v>
      </c>
    </row>
    <row r="1733" spans="1:3" x14ac:dyDescent="0.25">
      <c r="A1733" s="1" t="s">
        <v>11750</v>
      </c>
      <c r="B1733" s="1" t="s">
        <v>16370</v>
      </c>
      <c r="C1733" s="3">
        <f>IF(B1733="","",SUMIFS('Factory Costs'!$C:$C,'Factory Costs'!$A:$A,"Blades",'Factory Costs'!$B:$B,B1733))</f>
        <v>34</v>
      </c>
    </row>
    <row r="1734" spans="1:3" x14ac:dyDescent="0.25">
      <c r="A1734" s="1" t="s">
        <v>11753</v>
      </c>
      <c r="B1734" s="1" t="s">
        <v>16370</v>
      </c>
      <c r="C1734" s="3">
        <f>IF(B1734="","",SUMIFS('Factory Costs'!$C:$C,'Factory Costs'!$A:$A,"Blades",'Factory Costs'!$B:$B,B1734))</f>
        <v>34</v>
      </c>
    </row>
    <row r="1735" spans="1:3" x14ac:dyDescent="0.25">
      <c r="A1735" s="1" t="s">
        <v>11756</v>
      </c>
      <c r="B1735" s="1" t="s">
        <v>16370</v>
      </c>
      <c r="C1735" s="3">
        <f>IF(B1735="","",SUMIFS('Factory Costs'!$C:$C,'Factory Costs'!$A:$A,"Blades",'Factory Costs'!$B:$B,B1735))</f>
        <v>34</v>
      </c>
    </row>
    <row r="1736" spans="1:3" x14ac:dyDescent="0.25">
      <c r="A1736" s="1" t="s">
        <v>11759</v>
      </c>
      <c r="B1736" s="1" t="s">
        <v>16370</v>
      </c>
      <c r="C1736" s="3">
        <f>IF(B1736="","",SUMIFS('Factory Costs'!$C:$C,'Factory Costs'!$A:$A,"Blades",'Factory Costs'!$B:$B,B1736))</f>
        <v>34</v>
      </c>
    </row>
    <row r="1737" spans="1:3" x14ac:dyDescent="0.25">
      <c r="A1737" s="1" t="s">
        <v>11762</v>
      </c>
      <c r="B1737" s="1" t="s">
        <v>16371</v>
      </c>
      <c r="C1737" s="3">
        <f>IF(B1737="","",SUMIFS('Factory Costs'!$C:$C,'Factory Costs'!$A:$A,"Blades",'Factory Costs'!$B:$B,B1737))</f>
        <v>37</v>
      </c>
    </row>
    <row r="1738" spans="1:3" x14ac:dyDescent="0.25">
      <c r="A1738" s="1" t="s">
        <v>11765</v>
      </c>
      <c r="B1738" s="1" t="s">
        <v>16372</v>
      </c>
      <c r="C1738" s="3">
        <f>IF(B1738="","",SUMIFS('Factory Costs'!$C:$C,'Factory Costs'!$A:$A,"Blades",'Factory Costs'!$B:$B,B1738))</f>
        <v>42</v>
      </c>
    </row>
    <row r="1739" spans="1:3" x14ac:dyDescent="0.25">
      <c r="A1739" s="1" t="s">
        <v>11768</v>
      </c>
      <c r="B1739" s="1" t="s">
        <v>16372</v>
      </c>
      <c r="C1739" s="3">
        <f>IF(B1739="","",SUMIFS('Factory Costs'!$C:$C,'Factory Costs'!$A:$A,"Blades",'Factory Costs'!$B:$B,B1739))</f>
        <v>42</v>
      </c>
    </row>
    <row r="1740" spans="1:3" x14ac:dyDescent="0.25">
      <c r="A1740" s="1" t="s">
        <v>11771</v>
      </c>
      <c r="B1740" s="1" t="s">
        <v>16371</v>
      </c>
      <c r="C1740" s="3">
        <f>IF(B1740="","",SUMIFS('Factory Costs'!$C:$C,'Factory Costs'!$A:$A,"Blades",'Factory Costs'!$B:$B,B1740))</f>
        <v>37</v>
      </c>
    </row>
    <row r="1741" spans="1:3" x14ac:dyDescent="0.25">
      <c r="A1741" s="1" t="s">
        <v>11774</v>
      </c>
      <c r="B1741" s="1" t="s">
        <v>16370</v>
      </c>
      <c r="C1741" s="3">
        <f>IF(B1741="","",SUMIFS('Factory Costs'!$C:$C,'Factory Costs'!$A:$A,"Blades",'Factory Costs'!$B:$B,B1741))</f>
        <v>34</v>
      </c>
    </row>
    <row r="1742" spans="1:3" x14ac:dyDescent="0.25">
      <c r="A1742" s="1" t="s">
        <v>11777</v>
      </c>
      <c r="B1742" s="1" t="s">
        <v>16372</v>
      </c>
      <c r="C1742" s="3">
        <f>IF(B1742="","",SUMIFS('Factory Costs'!$C:$C,'Factory Costs'!$A:$A,"Blades",'Factory Costs'!$B:$B,B1742))</f>
        <v>42</v>
      </c>
    </row>
    <row r="1743" spans="1:3" x14ac:dyDescent="0.25">
      <c r="A1743" s="1" t="s">
        <v>11780</v>
      </c>
      <c r="B1743" s="1" t="s">
        <v>16372</v>
      </c>
      <c r="C1743" s="3">
        <f>IF(B1743="","",SUMIFS('Factory Costs'!$C:$C,'Factory Costs'!$A:$A,"Blades",'Factory Costs'!$B:$B,B1743))</f>
        <v>42</v>
      </c>
    </row>
    <row r="1744" spans="1:3" x14ac:dyDescent="0.25">
      <c r="A1744" s="1" t="s">
        <v>11783</v>
      </c>
      <c r="B1744" s="1" t="s">
        <v>16370</v>
      </c>
      <c r="C1744" s="3">
        <f>IF(B1744="","",SUMIFS('Factory Costs'!$C:$C,'Factory Costs'!$A:$A,"Blades",'Factory Costs'!$B:$B,B1744))</f>
        <v>34</v>
      </c>
    </row>
    <row r="1745" spans="1:3" x14ac:dyDescent="0.25">
      <c r="A1745" s="1" t="s">
        <v>11786</v>
      </c>
      <c r="B1745" s="1" t="s">
        <v>16372</v>
      </c>
      <c r="C1745" s="3">
        <f>IF(B1745="","",SUMIFS('Factory Costs'!$C:$C,'Factory Costs'!$A:$A,"Blades",'Factory Costs'!$B:$B,B1745))</f>
        <v>42</v>
      </c>
    </row>
    <row r="1746" spans="1:3" x14ac:dyDescent="0.25">
      <c r="A1746" s="1" t="s">
        <v>11789</v>
      </c>
      <c r="B1746" s="1" t="s">
        <v>16371</v>
      </c>
      <c r="C1746" s="3">
        <f>IF(B1746="","",SUMIFS('Factory Costs'!$C:$C,'Factory Costs'!$A:$A,"Blades",'Factory Costs'!$B:$B,B1746))</f>
        <v>37</v>
      </c>
    </row>
    <row r="1747" spans="1:3" x14ac:dyDescent="0.25">
      <c r="A1747" s="1" t="s">
        <v>11792</v>
      </c>
      <c r="B1747" s="1" t="s">
        <v>16371</v>
      </c>
      <c r="C1747" s="3">
        <f>IF(B1747="","",SUMIFS('Factory Costs'!$C:$C,'Factory Costs'!$A:$A,"Blades",'Factory Costs'!$B:$B,B1747))</f>
        <v>37</v>
      </c>
    </row>
    <row r="1748" spans="1:3" x14ac:dyDescent="0.25">
      <c r="A1748" s="1" t="s">
        <v>11795</v>
      </c>
      <c r="B1748" s="1" t="s">
        <v>16370</v>
      </c>
      <c r="C1748" s="3">
        <f>IF(B1748="","",SUMIFS('Factory Costs'!$C:$C,'Factory Costs'!$A:$A,"Blades",'Factory Costs'!$B:$B,B1748))</f>
        <v>34</v>
      </c>
    </row>
    <row r="1749" spans="1:3" x14ac:dyDescent="0.25">
      <c r="A1749" s="1" t="s">
        <v>11798</v>
      </c>
      <c r="B1749" s="1" t="s">
        <v>16371</v>
      </c>
      <c r="C1749" s="3">
        <f>IF(B1749="","",SUMIFS('Factory Costs'!$C:$C,'Factory Costs'!$A:$A,"Blades",'Factory Costs'!$B:$B,B1749))</f>
        <v>37</v>
      </c>
    </row>
    <row r="1750" spans="1:3" x14ac:dyDescent="0.25">
      <c r="A1750" s="1" t="s">
        <v>11801</v>
      </c>
      <c r="B1750" s="1" t="s">
        <v>16372</v>
      </c>
      <c r="C1750" s="3">
        <f>IF(B1750="","",SUMIFS('Factory Costs'!$C:$C,'Factory Costs'!$A:$A,"Blades",'Factory Costs'!$B:$B,B1750))</f>
        <v>42</v>
      </c>
    </row>
    <row r="1751" spans="1:3" x14ac:dyDescent="0.25">
      <c r="A1751" s="1" t="s">
        <v>11804</v>
      </c>
      <c r="B1751" s="1" t="s">
        <v>16370</v>
      </c>
      <c r="C1751" s="3">
        <f>IF(B1751="","",SUMIFS('Factory Costs'!$C:$C,'Factory Costs'!$A:$A,"Blades",'Factory Costs'!$B:$B,B1751))</f>
        <v>34</v>
      </c>
    </row>
    <row r="1752" spans="1:3" x14ac:dyDescent="0.25">
      <c r="A1752" s="1" t="s">
        <v>11807</v>
      </c>
      <c r="B1752" s="1" t="s">
        <v>16371</v>
      </c>
      <c r="C1752" s="3">
        <f>IF(B1752="","",SUMIFS('Factory Costs'!$C:$C,'Factory Costs'!$A:$A,"Blades",'Factory Costs'!$B:$B,B1752))</f>
        <v>37</v>
      </c>
    </row>
    <row r="1753" spans="1:3" x14ac:dyDescent="0.25">
      <c r="A1753" s="1" t="s">
        <v>11810</v>
      </c>
      <c r="B1753" s="1" t="s">
        <v>16372</v>
      </c>
      <c r="C1753" s="3">
        <f>IF(B1753="","",SUMIFS('Factory Costs'!$C:$C,'Factory Costs'!$A:$A,"Blades",'Factory Costs'!$B:$B,B1753))</f>
        <v>42</v>
      </c>
    </row>
    <row r="1754" spans="1:3" x14ac:dyDescent="0.25">
      <c r="A1754" s="1" t="s">
        <v>11813</v>
      </c>
      <c r="B1754" s="1" t="s">
        <v>16370</v>
      </c>
      <c r="C1754" s="3">
        <f>IF(B1754="","",SUMIFS('Factory Costs'!$C:$C,'Factory Costs'!$A:$A,"Blades",'Factory Costs'!$B:$B,B1754))</f>
        <v>34</v>
      </c>
    </row>
    <row r="1755" spans="1:3" x14ac:dyDescent="0.25">
      <c r="A1755" s="1" t="s">
        <v>11816</v>
      </c>
      <c r="B1755" s="1" t="s">
        <v>16372</v>
      </c>
      <c r="C1755" s="3">
        <f>IF(B1755="","",SUMIFS('Factory Costs'!$C:$C,'Factory Costs'!$A:$A,"Blades",'Factory Costs'!$B:$B,B1755))</f>
        <v>42</v>
      </c>
    </row>
    <row r="1756" spans="1:3" x14ac:dyDescent="0.25">
      <c r="A1756" s="1" t="s">
        <v>11819</v>
      </c>
      <c r="B1756" s="1" t="s">
        <v>16371</v>
      </c>
      <c r="C1756" s="3">
        <f>IF(B1756="","",SUMIFS('Factory Costs'!$C:$C,'Factory Costs'!$A:$A,"Blades",'Factory Costs'!$B:$B,B1756))</f>
        <v>37</v>
      </c>
    </row>
    <row r="1757" spans="1:3" x14ac:dyDescent="0.25">
      <c r="A1757" s="1" t="s">
        <v>11822</v>
      </c>
      <c r="B1757" s="1" t="s">
        <v>16372</v>
      </c>
      <c r="C1757" s="3">
        <f>IF(B1757="","",SUMIFS('Factory Costs'!$C:$C,'Factory Costs'!$A:$A,"Blades",'Factory Costs'!$B:$B,B1757))</f>
        <v>42</v>
      </c>
    </row>
    <row r="1758" spans="1:3" x14ac:dyDescent="0.25">
      <c r="A1758" s="1" t="s">
        <v>11825</v>
      </c>
      <c r="B1758" s="1" t="s">
        <v>16370</v>
      </c>
      <c r="C1758" s="3">
        <f>IF(B1758="","",SUMIFS('Factory Costs'!$C:$C,'Factory Costs'!$A:$A,"Blades",'Factory Costs'!$B:$B,B1758))</f>
        <v>34</v>
      </c>
    </row>
    <row r="1759" spans="1:3" x14ac:dyDescent="0.25">
      <c r="A1759" s="1" t="s">
        <v>11828</v>
      </c>
      <c r="B1759" s="1" t="s">
        <v>16371</v>
      </c>
      <c r="C1759" s="3">
        <f>IF(B1759="","",SUMIFS('Factory Costs'!$C:$C,'Factory Costs'!$A:$A,"Blades",'Factory Costs'!$B:$B,B1759))</f>
        <v>37</v>
      </c>
    </row>
    <row r="1760" spans="1:3" x14ac:dyDescent="0.25">
      <c r="A1760" s="1" t="s">
        <v>11831</v>
      </c>
      <c r="B1760" s="1" t="s">
        <v>16371</v>
      </c>
      <c r="C1760" s="3">
        <f>IF(B1760="","",SUMIFS('Factory Costs'!$C:$C,'Factory Costs'!$A:$A,"Blades",'Factory Costs'!$B:$B,B1760))</f>
        <v>37</v>
      </c>
    </row>
    <row r="1761" spans="1:3" x14ac:dyDescent="0.25">
      <c r="A1761" s="1" t="s">
        <v>11834</v>
      </c>
      <c r="B1761" s="1" t="s">
        <v>16370</v>
      </c>
      <c r="C1761" s="3">
        <f>IF(B1761="","",SUMIFS('Factory Costs'!$C:$C,'Factory Costs'!$A:$A,"Blades",'Factory Costs'!$B:$B,B1761))</f>
        <v>34</v>
      </c>
    </row>
    <row r="1762" spans="1:3" x14ac:dyDescent="0.25">
      <c r="A1762" s="1" t="s">
        <v>11837</v>
      </c>
      <c r="B1762" s="1" t="s">
        <v>16372</v>
      </c>
      <c r="C1762" s="3">
        <f>IF(B1762="","",SUMIFS('Factory Costs'!$C:$C,'Factory Costs'!$A:$A,"Blades",'Factory Costs'!$B:$B,B1762))</f>
        <v>42</v>
      </c>
    </row>
    <row r="1763" spans="1:3" x14ac:dyDescent="0.25">
      <c r="A1763" s="1" t="s">
        <v>11840</v>
      </c>
      <c r="B1763" s="1" t="s">
        <v>16371</v>
      </c>
      <c r="C1763" s="3">
        <f>IF(B1763="","",SUMIFS('Factory Costs'!$C:$C,'Factory Costs'!$A:$A,"Blades",'Factory Costs'!$B:$B,B1763))</f>
        <v>37</v>
      </c>
    </row>
    <row r="1764" spans="1:3" x14ac:dyDescent="0.25">
      <c r="A1764" s="1" t="s">
        <v>11843</v>
      </c>
      <c r="B1764" s="1" t="s">
        <v>16371</v>
      </c>
      <c r="C1764" s="3">
        <f>IF(B1764="","",SUMIFS('Factory Costs'!$C:$C,'Factory Costs'!$A:$A,"Blades",'Factory Costs'!$B:$B,B1764))</f>
        <v>37</v>
      </c>
    </row>
    <row r="1765" spans="1:3" x14ac:dyDescent="0.25">
      <c r="A1765" s="1" t="s">
        <v>11846</v>
      </c>
      <c r="B1765" s="1" t="s">
        <v>16370</v>
      </c>
      <c r="C1765" s="3">
        <f>IF(B1765="","",SUMIFS('Factory Costs'!$C:$C,'Factory Costs'!$A:$A,"Blades",'Factory Costs'!$B:$B,B1765))</f>
        <v>34</v>
      </c>
    </row>
    <row r="1766" spans="1:3" x14ac:dyDescent="0.25">
      <c r="A1766" s="1" t="s">
        <v>11849</v>
      </c>
      <c r="B1766" s="1" t="s">
        <v>16370</v>
      </c>
      <c r="C1766" s="3">
        <f>IF(B1766="","",SUMIFS('Factory Costs'!$C:$C,'Factory Costs'!$A:$A,"Blades",'Factory Costs'!$B:$B,B1766))</f>
        <v>34</v>
      </c>
    </row>
    <row r="1767" spans="1:3" x14ac:dyDescent="0.25">
      <c r="A1767" s="1" t="s">
        <v>11852</v>
      </c>
      <c r="B1767" s="1" t="s">
        <v>16370</v>
      </c>
      <c r="C1767" s="3">
        <f>IF(B1767="","",SUMIFS('Factory Costs'!$C:$C,'Factory Costs'!$A:$A,"Blades",'Factory Costs'!$B:$B,B1767))</f>
        <v>34</v>
      </c>
    </row>
    <row r="1768" spans="1:3" x14ac:dyDescent="0.25">
      <c r="A1768" s="1" t="s">
        <v>11855</v>
      </c>
      <c r="B1768" s="1" t="s">
        <v>16372</v>
      </c>
      <c r="C1768" s="3">
        <f>IF(B1768="","",SUMIFS('Factory Costs'!$C:$C,'Factory Costs'!$A:$A,"Blades",'Factory Costs'!$B:$B,B1768))</f>
        <v>42</v>
      </c>
    </row>
    <row r="1769" spans="1:3" x14ac:dyDescent="0.25">
      <c r="A1769" s="1" t="s">
        <v>11858</v>
      </c>
      <c r="B1769" s="1" t="s">
        <v>16370</v>
      </c>
      <c r="C1769" s="3">
        <f>IF(B1769="","",SUMIFS('Factory Costs'!$C:$C,'Factory Costs'!$A:$A,"Blades",'Factory Costs'!$B:$B,B1769))</f>
        <v>34</v>
      </c>
    </row>
    <row r="1770" spans="1:3" x14ac:dyDescent="0.25">
      <c r="A1770" s="1" t="s">
        <v>11861</v>
      </c>
      <c r="B1770" s="1" t="s">
        <v>16370</v>
      </c>
      <c r="C1770" s="3">
        <f>IF(B1770="","",SUMIFS('Factory Costs'!$C:$C,'Factory Costs'!$A:$A,"Blades",'Factory Costs'!$B:$B,B1770))</f>
        <v>34</v>
      </c>
    </row>
    <row r="1771" spans="1:3" x14ac:dyDescent="0.25">
      <c r="A1771" s="1" t="s">
        <v>11864</v>
      </c>
      <c r="B1771" s="1" t="s">
        <v>16372</v>
      </c>
      <c r="C1771" s="3">
        <f>IF(B1771="","",SUMIFS('Factory Costs'!$C:$C,'Factory Costs'!$A:$A,"Blades",'Factory Costs'!$B:$B,B1771))</f>
        <v>42</v>
      </c>
    </row>
    <row r="1772" spans="1:3" x14ac:dyDescent="0.25">
      <c r="A1772" s="1" t="s">
        <v>11867</v>
      </c>
      <c r="B1772" s="1" t="s">
        <v>16370</v>
      </c>
      <c r="C1772" s="3">
        <f>IF(B1772="","",SUMIFS('Factory Costs'!$C:$C,'Factory Costs'!$A:$A,"Blades",'Factory Costs'!$B:$B,B1772))</f>
        <v>34</v>
      </c>
    </row>
    <row r="1773" spans="1:3" x14ac:dyDescent="0.25">
      <c r="A1773" s="1" t="s">
        <v>11870</v>
      </c>
      <c r="B1773" s="1" t="s">
        <v>16371</v>
      </c>
      <c r="C1773" s="3">
        <f>IF(B1773="","",SUMIFS('Factory Costs'!$C:$C,'Factory Costs'!$A:$A,"Blades",'Factory Costs'!$B:$B,B1773))</f>
        <v>37</v>
      </c>
    </row>
    <row r="1774" spans="1:3" x14ac:dyDescent="0.25">
      <c r="A1774" s="1" t="s">
        <v>11873</v>
      </c>
      <c r="B1774" s="1" t="s">
        <v>16370</v>
      </c>
      <c r="C1774" s="3">
        <f>IF(B1774="","",SUMIFS('Factory Costs'!$C:$C,'Factory Costs'!$A:$A,"Blades",'Factory Costs'!$B:$B,B1774))</f>
        <v>34</v>
      </c>
    </row>
    <row r="1775" spans="1:3" x14ac:dyDescent="0.25">
      <c r="A1775" s="1" t="s">
        <v>11876</v>
      </c>
      <c r="B1775" s="1" t="s">
        <v>16370</v>
      </c>
      <c r="C1775" s="3">
        <f>IF(B1775="","",SUMIFS('Factory Costs'!$C:$C,'Factory Costs'!$A:$A,"Blades",'Factory Costs'!$B:$B,B1775))</f>
        <v>34</v>
      </c>
    </row>
    <row r="1776" spans="1:3" x14ac:dyDescent="0.25">
      <c r="A1776" s="1" t="s">
        <v>11879</v>
      </c>
      <c r="B1776" s="1" t="s">
        <v>16370</v>
      </c>
      <c r="C1776" s="3">
        <f>IF(B1776="","",SUMIFS('Factory Costs'!$C:$C,'Factory Costs'!$A:$A,"Blades",'Factory Costs'!$B:$B,B1776))</f>
        <v>34</v>
      </c>
    </row>
    <row r="1777" spans="1:3" x14ac:dyDescent="0.25">
      <c r="A1777" s="1" t="s">
        <v>11882</v>
      </c>
      <c r="B1777" s="1" t="s">
        <v>16370</v>
      </c>
      <c r="C1777" s="3">
        <f>IF(B1777="","",SUMIFS('Factory Costs'!$C:$C,'Factory Costs'!$A:$A,"Blades",'Factory Costs'!$B:$B,B1777))</f>
        <v>34</v>
      </c>
    </row>
    <row r="1778" spans="1:3" x14ac:dyDescent="0.25">
      <c r="A1778" s="1" t="s">
        <v>11885</v>
      </c>
      <c r="B1778" s="1" t="s">
        <v>16370</v>
      </c>
      <c r="C1778" s="3">
        <f>IF(B1778="","",SUMIFS('Factory Costs'!$C:$C,'Factory Costs'!$A:$A,"Blades",'Factory Costs'!$B:$B,B1778))</f>
        <v>34</v>
      </c>
    </row>
    <row r="1779" spans="1:3" x14ac:dyDescent="0.25">
      <c r="A1779" s="1" t="s">
        <v>11888</v>
      </c>
      <c r="B1779" s="1" t="s">
        <v>16370</v>
      </c>
      <c r="C1779" s="3">
        <f>IF(B1779="","",SUMIFS('Factory Costs'!$C:$C,'Factory Costs'!$A:$A,"Blades",'Factory Costs'!$B:$B,B1779))</f>
        <v>34</v>
      </c>
    </row>
    <row r="1780" spans="1:3" x14ac:dyDescent="0.25">
      <c r="A1780" s="1" t="s">
        <v>11891</v>
      </c>
      <c r="B1780" s="1" t="s">
        <v>16370</v>
      </c>
      <c r="C1780" s="3">
        <f>IF(B1780="","",SUMIFS('Factory Costs'!$C:$C,'Factory Costs'!$A:$A,"Blades",'Factory Costs'!$B:$B,B1780))</f>
        <v>34</v>
      </c>
    </row>
    <row r="1781" spans="1:3" x14ac:dyDescent="0.25">
      <c r="A1781" s="1" t="s">
        <v>11894</v>
      </c>
      <c r="B1781" s="1" t="s">
        <v>16370</v>
      </c>
      <c r="C1781" s="3">
        <f>IF(B1781="","",SUMIFS('Factory Costs'!$C:$C,'Factory Costs'!$A:$A,"Blades",'Factory Costs'!$B:$B,B1781))</f>
        <v>34</v>
      </c>
    </row>
    <row r="1782" spans="1:3" x14ac:dyDescent="0.25">
      <c r="A1782" s="1" t="s">
        <v>11897</v>
      </c>
      <c r="B1782" s="1" t="s">
        <v>16370</v>
      </c>
      <c r="C1782" s="3">
        <f>IF(B1782="","",SUMIFS('Factory Costs'!$C:$C,'Factory Costs'!$A:$A,"Blades",'Factory Costs'!$B:$B,B1782))</f>
        <v>34</v>
      </c>
    </row>
    <row r="1783" spans="1:3" x14ac:dyDescent="0.25">
      <c r="A1783" s="1" t="s">
        <v>11900</v>
      </c>
      <c r="B1783" s="1" t="s">
        <v>16370</v>
      </c>
      <c r="C1783" s="3">
        <f>IF(B1783="","",SUMIFS('Factory Costs'!$C:$C,'Factory Costs'!$A:$A,"Blades",'Factory Costs'!$B:$B,B1783))</f>
        <v>34</v>
      </c>
    </row>
    <row r="1784" spans="1:3" x14ac:dyDescent="0.25">
      <c r="A1784" s="1" t="s">
        <v>11903</v>
      </c>
      <c r="B1784" s="1" t="s">
        <v>16372</v>
      </c>
      <c r="C1784" s="3">
        <f>IF(B1784="","",SUMIFS('Factory Costs'!$C:$C,'Factory Costs'!$A:$A,"Blades",'Factory Costs'!$B:$B,B1784))</f>
        <v>42</v>
      </c>
    </row>
    <row r="1785" spans="1:3" x14ac:dyDescent="0.25">
      <c r="A1785" s="1" t="s">
        <v>11906</v>
      </c>
      <c r="B1785" s="1" t="s">
        <v>16372</v>
      </c>
      <c r="C1785" s="3">
        <f>IF(B1785="","",SUMIFS('Factory Costs'!$C:$C,'Factory Costs'!$A:$A,"Blades",'Factory Costs'!$B:$B,B1785))</f>
        <v>42</v>
      </c>
    </row>
    <row r="1786" spans="1:3" x14ac:dyDescent="0.25">
      <c r="A1786" s="1" t="s">
        <v>11909</v>
      </c>
      <c r="B1786" s="1" t="s">
        <v>16370</v>
      </c>
      <c r="C1786" s="3">
        <f>IF(B1786="","",SUMIFS('Factory Costs'!$C:$C,'Factory Costs'!$A:$A,"Blades",'Factory Costs'!$B:$B,B1786))</f>
        <v>34</v>
      </c>
    </row>
    <row r="1787" spans="1:3" x14ac:dyDescent="0.25">
      <c r="A1787" s="1" t="s">
        <v>11912</v>
      </c>
      <c r="B1787" s="1" t="s">
        <v>16371</v>
      </c>
      <c r="C1787" s="3">
        <f>IF(B1787="","",SUMIFS('Factory Costs'!$C:$C,'Factory Costs'!$A:$A,"Blades",'Factory Costs'!$B:$B,B1787))</f>
        <v>37</v>
      </c>
    </row>
    <row r="1788" spans="1:3" x14ac:dyDescent="0.25">
      <c r="A1788" s="1" t="s">
        <v>11915</v>
      </c>
      <c r="B1788" s="1" t="s">
        <v>16371</v>
      </c>
      <c r="C1788" s="3">
        <f>IF(B1788="","",SUMIFS('Factory Costs'!$C:$C,'Factory Costs'!$A:$A,"Blades",'Factory Costs'!$B:$B,B1788))</f>
        <v>37</v>
      </c>
    </row>
    <row r="1789" spans="1:3" x14ac:dyDescent="0.25">
      <c r="A1789" s="1" t="s">
        <v>11918</v>
      </c>
      <c r="B1789" s="1" t="s">
        <v>16370</v>
      </c>
      <c r="C1789" s="3">
        <f>IF(B1789="","",SUMIFS('Factory Costs'!$C:$C,'Factory Costs'!$A:$A,"Blades",'Factory Costs'!$B:$B,B1789))</f>
        <v>34</v>
      </c>
    </row>
    <row r="1790" spans="1:3" x14ac:dyDescent="0.25">
      <c r="A1790" s="1" t="s">
        <v>11921</v>
      </c>
      <c r="B1790" s="1" t="s">
        <v>16372</v>
      </c>
      <c r="C1790" s="3">
        <f>IF(B1790="","",SUMIFS('Factory Costs'!$C:$C,'Factory Costs'!$A:$A,"Blades",'Factory Costs'!$B:$B,B1790))</f>
        <v>42</v>
      </c>
    </row>
    <row r="1791" spans="1:3" x14ac:dyDescent="0.25">
      <c r="A1791" s="1" t="s">
        <v>11924</v>
      </c>
      <c r="B1791" s="1" t="s">
        <v>16371</v>
      </c>
      <c r="C1791" s="3">
        <f>IF(B1791="","",SUMIFS('Factory Costs'!$C:$C,'Factory Costs'!$A:$A,"Blades",'Factory Costs'!$B:$B,B1791))</f>
        <v>37</v>
      </c>
    </row>
    <row r="1792" spans="1:3" x14ac:dyDescent="0.25">
      <c r="A1792" s="1" t="s">
        <v>11927</v>
      </c>
      <c r="B1792" s="1" t="s">
        <v>16370</v>
      </c>
      <c r="C1792" s="3">
        <f>IF(B1792="","",SUMIFS('Factory Costs'!$C:$C,'Factory Costs'!$A:$A,"Blades",'Factory Costs'!$B:$B,B1792))</f>
        <v>34</v>
      </c>
    </row>
    <row r="1793" spans="1:3" x14ac:dyDescent="0.25">
      <c r="A1793" s="1" t="s">
        <v>11930</v>
      </c>
      <c r="B1793" s="1" t="s">
        <v>16370</v>
      </c>
      <c r="C1793" s="3">
        <f>IF(B1793="","",SUMIFS('Factory Costs'!$C:$C,'Factory Costs'!$A:$A,"Blades",'Factory Costs'!$B:$B,B1793))</f>
        <v>34</v>
      </c>
    </row>
    <row r="1794" spans="1:3" x14ac:dyDescent="0.25">
      <c r="A1794" s="1" t="s">
        <v>11933</v>
      </c>
      <c r="B1794" s="1" t="s">
        <v>16370</v>
      </c>
      <c r="C1794" s="3">
        <f>IF(B1794="","",SUMIFS('Factory Costs'!$C:$C,'Factory Costs'!$A:$A,"Blades",'Factory Costs'!$B:$B,B1794))</f>
        <v>34</v>
      </c>
    </row>
    <row r="1795" spans="1:3" x14ac:dyDescent="0.25">
      <c r="A1795" s="1" t="s">
        <v>11936</v>
      </c>
      <c r="B1795" s="1" t="s">
        <v>16370</v>
      </c>
      <c r="C1795" s="3">
        <f>IF(B1795="","",SUMIFS('Factory Costs'!$C:$C,'Factory Costs'!$A:$A,"Blades",'Factory Costs'!$B:$B,B1795))</f>
        <v>34</v>
      </c>
    </row>
    <row r="1796" spans="1:3" x14ac:dyDescent="0.25">
      <c r="A1796" s="1" t="s">
        <v>11939</v>
      </c>
      <c r="B1796" s="1" t="s">
        <v>16370</v>
      </c>
      <c r="C1796" s="3">
        <f>IF(B1796="","",SUMIFS('Factory Costs'!$C:$C,'Factory Costs'!$A:$A,"Blades",'Factory Costs'!$B:$B,B1796))</f>
        <v>34</v>
      </c>
    </row>
    <row r="1797" spans="1:3" x14ac:dyDescent="0.25">
      <c r="A1797" s="1" t="s">
        <v>11942</v>
      </c>
      <c r="B1797" s="1" t="s">
        <v>16370</v>
      </c>
      <c r="C1797" s="3">
        <f>IF(B1797="","",SUMIFS('Factory Costs'!$C:$C,'Factory Costs'!$A:$A,"Blades",'Factory Costs'!$B:$B,B1797))</f>
        <v>34</v>
      </c>
    </row>
    <row r="1798" spans="1:3" x14ac:dyDescent="0.25">
      <c r="A1798" s="1" t="s">
        <v>11945</v>
      </c>
      <c r="B1798" s="1" t="s">
        <v>16371</v>
      </c>
      <c r="C1798" s="3">
        <f>IF(B1798="","",SUMIFS('Factory Costs'!$C:$C,'Factory Costs'!$A:$A,"Blades",'Factory Costs'!$B:$B,B1798))</f>
        <v>37</v>
      </c>
    </row>
    <row r="1799" spans="1:3" x14ac:dyDescent="0.25">
      <c r="A1799" s="1" t="s">
        <v>11948</v>
      </c>
      <c r="B1799" s="1" t="s">
        <v>16370</v>
      </c>
      <c r="C1799" s="3">
        <f>IF(B1799="","",SUMIFS('Factory Costs'!$C:$C,'Factory Costs'!$A:$A,"Blades",'Factory Costs'!$B:$B,B1799))</f>
        <v>34</v>
      </c>
    </row>
    <row r="1800" spans="1:3" x14ac:dyDescent="0.25">
      <c r="A1800" s="1" t="s">
        <v>11951</v>
      </c>
      <c r="B1800" s="1" t="s">
        <v>16370</v>
      </c>
      <c r="C1800" s="3">
        <f>IF(B1800="","",SUMIFS('Factory Costs'!$C:$C,'Factory Costs'!$A:$A,"Blades",'Factory Costs'!$B:$B,B1800))</f>
        <v>34</v>
      </c>
    </row>
    <row r="1801" spans="1:3" x14ac:dyDescent="0.25">
      <c r="A1801" s="1" t="s">
        <v>11954</v>
      </c>
      <c r="B1801" s="1" t="s">
        <v>16370</v>
      </c>
      <c r="C1801" s="3">
        <f>IF(B1801="","",SUMIFS('Factory Costs'!$C:$C,'Factory Costs'!$A:$A,"Blades",'Factory Costs'!$B:$B,B1801))</f>
        <v>34</v>
      </c>
    </row>
    <row r="1802" spans="1:3" x14ac:dyDescent="0.25">
      <c r="A1802" s="1" t="s">
        <v>11957</v>
      </c>
      <c r="B1802" s="1" t="s">
        <v>16370</v>
      </c>
      <c r="C1802" s="3">
        <f>IF(B1802="","",SUMIFS('Factory Costs'!$C:$C,'Factory Costs'!$A:$A,"Blades",'Factory Costs'!$B:$B,B1802))</f>
        <v>34</v>
      </c>
    </row>
    <row r="1803" spans="1:3" x14ac:dyDescent="0.25">
      <c r="A1803" s="1" t="s">
        <v>11960</v>
      </c>
      <c r="B1803" s="1" t="s">
        <v>16371</v>
      </c>
      <c r="C1803" s="3">
        <f>IF(B1803="","",SUMIFS('Factory Costs'!$C:$C,'Factory Costs'!$A:$A,"Blades",'Factory Costs'!$B:$B,B1803))</f>
        <v>37</v>
      </c>
    </row>
    <row r="1804" spans="1:3" x14ac:dyDescent="0.25">
      <c r="A1804" s="1" t="s">
        <v>11963</v>
      </c>
      <c r="B1804" s="1" t="s">
        <v>16371</v>
      </c>
      <c r="C1804" s="3">
        <f>IF(B1804="","",SUMIFS('Factory Costs'!$C:$C,'Factory Costs'!$A:$A,"Blades",'Factory Costs'!$B:$B,B1804))</f>
        <v>37</v>
      </c>
    </row>
    <row r="1805" spans="1:3" x14ac:dyDescent="0.25">
      <c r="A1805" s="1" t="s">
        <v>11966</v>
      </c>
      <c r="B1805" s="1" t="s">
        <v>16370</v>
      </c>
      <c r="C1805" s="3">
        <f>IF(B1805="","",SUMIFS('Factory Costs'!$C:$C,'Factory Costs'!$A:$A,"Blades",'Factory Costs'!$B:$B,B1805))</f>
        <v>34</v>
      </c>
    </row>
    <row r="1806" spans="1:3" x14ac:dyDescent="0.25">
      <c r="A1806" s="1" t="s">
        <v>11969</v>
      </c>
      <c r="B1806" s="1" t="s">
        <v>16370</v>
      </c>
      <c r="C1806" s="3">
        <f>IF(B1806="","",SUMIFS('Factory Costs'!$C:$C,'Factory Costs'!$A:$A,"Blades",'Factory Costs'!$B:$B,B1806))</f>
        <v>34</v>
      </c>
    </row>
    <row r="1807" spans="1:3" x14ac:dyDescent="0.25">
      <c r="A1807" s="1" t="s">
        <v>11972</v>
      </c>
      <c r="B1807" s="1" t="s">
        <v>16370</v>
      </c>
      <c r="C1807" s="3">
        <f>IF(B1807="","",SUMIFS('Factory Costs'!$C:$C,'Factory Costs'!$A:$A,"Blades",'Factory Costs'!$B:$B,B1807))</f>
        <v>34</v>
      </c>
    </row>
    <row r="1808" spans="1:3" x14ac:dyDescent="0.25">
      <c r="A1808" s="1" t="s">
        <v>11975</v>
      </c>
      <c r="B1808" s="1" t="s">
        <v>16371</v>
      </c>
      <c r="C1808" s="3">
        <f>IF(B1808="","",SUMIFS('Factory Costs'!$C:$C,'Factory Costs'!$A:$A,"Blades",'Factory Costs'!$B:$B,B1808))</f>
        <v>37</v>
      </c>
    </row>
    <row r="1809" spans="1:3" x14ac:dyDescent="0.25">
      <c r="A1809" s="1" t="s">
        <v>11978</v>
      </c>
      <c r="B1809" s="1" t="s">
        <v>16370</v>
      </c>
      <c r="C1809" s="3">
        <f>IF(B1809="","",SUMIFS('Factory Costs'!$C:$C,'Factory Costs'!$A:$A,"Blades",'Factory Costs'!$B:$B,B1809))</f>
        <v>34</v>
      </c>
    </row>
    <row r="1810" spans="1:3" x14ac:dyDescent="0.25">
      <c r="A1810" s="1" t="s">
        <v>11981</v>
      </c>
      <c r="B1810" s="1" t="s">
        <v>16370</v>
      </c>
      <c r="C1810" s="3">
        <f>IF(B1810="","",SUMIFS('Factory Costs'!$C:$C,'Factory Costs'!$A:$A,"Blades",'Factory Costs'!$B:$B,B1810))</f>
        <v>34</v>
      </c>
    </row>
    <row r="1811" spans="1:3" x14ac:dyDescent="0.25">
      <c r="A1811" s="1" t="s">
        <v>11984</v>
      </c>
      <c r="B1811" s="1" t="s">
        <v>16372</v>
      </c>
      <c r="C1811" s="3">
        <f>IF(B1811="","",SUMIFS('Factory Costs'!$C:$C,'Factory Costs'!$A:$A,"Blades",'Factory Costs'!$B:$B,B1811))</f>
        <v>42</v>
      </c>
    </row>
    <row r="1812" spans="1:3" x14ac:dyDescent="0.25">
      <c r="A1812" s="1" t="s">
        <v>11987</v>
      </c>
      <c r="B1812" s="1" t="s">
        <v>16372</v>
      </c>
      <c r="C1812" s="3">
        <f>IF(B1812="","",SUMIFS('Factory Costs'!$C:$C,'Factory Costs'!$A:$A,"Blades",'Factory Costs'!$B:$B,B1812))</f>
        <v>42</v>
      </c>
    </row>
    <row r="1813" spans="1:3" x14ac:dyDescent="0.25">
      <c r="A1813" s="1" t="s">
        <v>11990</v>
      </c>
      <c r="B1813" s="1" t="s">
        <v>16370</v>
      </c>
      <c r="C1813" s="3">
        <f>IF(B1813="","",SUMIFS('Factory Costs'!$C:$C,'Factory Costs'!$A:$A,"Blades",'Factory Costs'!$B:$B,B1813))</f>
        <v>34</v>
      </c>
    </row>
    <row r="1814" spans="1:3" x14ac:dyDescent="0.25">
      <c r="A1814" s="1" t="s">
        <v>11993</v>
      </c>
      <c r="B1814" s="1" t="s">
        <v>16370</v>
      </c>
      <c r="C1814" s="3">
        <f>IF(B1814="","",SUMIFS('Factory Costs'!$C:$C,'Factory Costs'!$A:$A,"Blades",'Factory Costs'!$B:$B,B1814))</f>
        <v>34</v>
      </c>
    </row>
    <row r="1815" spans="1:3" x14ac:dyDescent="0.25">
      <c r="A1815" s="1" t="s">
        <v>11996</v>
      </c>
      <c r="B1815" s="1" t="s">
        <v>16371</v>
      </c>
      <c r="C1815" s="3">
        <f>IF(B1815="","",SUMIFS('Factory Costs'!$C:$C,'Factory Costs'!$A:$A,"Blades",'Factory Costs'!$B:$B,B1815))</f>
        <v>37</v>
      </c>
    </row>
    <row r="1816" spans="1:3" x14ac:dyDescent="0.25">
      <c r="A1816" s="1" t="s">
        <v>11999</v>
      </c>
      <c r="B1816" s="1" t="s">
        <v>16372</v>
      </c>
      <c r="C1816" s="3">
        <f>IF(B1816="","",SUMIFS('Factory Costs'!$C:$C,'Factory Costs'!$A:$A,"Blades",'Factory Costs'!$B:$B,B1816))</f>
        <v>42</v>
      </c>
    </row>
    <row r="1817" spans="1:3" x14ac:dyDescent="0.25">
      <c r="A1817" s="1" t="s">
        <v>12002</v>
      </c>
      <c r="B1817" s="1" t="s">
        <v>16370</v>
      </c>
      <c r="C1817" s="3">
        <f>IF(B1817="","",SUMIFS('Factory Costs'!$C:$C,'Factory Costs'!$A:$A,"Blades",'Factory Costs'!$B:$B,B1817))</f>
        <v>34</v>
      </c>
    </row>
    <row r="1818" spans="1:3" x14ac:dyDescent="0.25">
      <c r="A1818" s="1" t="s">
        <v>12005</v>
      </c>
      <c r="B1818" s="1" t="s">
        <v>16370</v>
      </c>
      <c r="C1818" s="3">
        <f>IF(B1818="","",SUMIFS('Factory Costs'!$C:$C,'Factory Costs'!$A:$A,"Blades",'Factory Costs'!$B:$B,B1818))</f>
        <v>34</v>
      </c>
    </row>
    <row r="1819" spans="1:3" x14ac:dyDescent="0.25">
      <c r="A1819" s="1" t="s">
        <v>12008</v>
      </c>
      <c r="B1819" s="1" t="s">
        <v>16372</v>
      </c>
      <c r="C1819" s="3">
        <f>IF(B1819="","",SUMIFS('Factory Costs'!$C:$C,'Factory Costs'!$A:$A,"Blades",'Factory Costs'!$B:$B,B1819))</f>
        <v>42</v>
      </c>
    </row>
    <row r="1820" spans="1:3" x14ac:dyDescent="0.25">
      <c r="A1820" s="1" t="s">
        <v>12011</v>
      </c>
      <c r="B1820" s="1" t="s">
        <v>16371</v>
      </c>
      <c r="C1820" s="3">
        <f>IF(B1820="","",SUMIFS('Factory Costs'!$C:$C,'Factory Costs'!$A:$A,"Blades",'Factory Costs'!$B:$B,B1820))</f>
        <v>37</v>
      </c>
    </row>
    <row r="1821" spans="1:3" x14ac:dyDescent="0.25">
      <c r="A1821" s="1" t="s">
        <v>12014</v>
      </c>
      <c r="B1821" s="1" t="s">
        <v>16370</v>
      </c>
      <c r="C1821" s="3">
        <f>IF(B1821="","",SUMIFS('Factory Costs'!$C:$C,'Factory Costs'!$A:$A,"Blades",'Factory Costs'!$B:$B,B1821))</f>
        <v>34</v>
      </c>
    </row>
    <row r="1822" spans="1:3" x14ac:dyDescent="0.25">
      <c r="A1822" s="1" t="s">
        <v>12017</v>
      </c>
      <c r="B1822" s="1" t="s">
        <v>16372</v>
      </c>
      <c r="C1822" s="3">
        <f>IF(B1822="","",SUMIFS('Factory Costs'!$C:$C,'Factory Costs'!$A:$A,"Blades",'Factory Costs'!$B:$B,B1822))</f>
        <v>42</v>
      </c>
    </row>
    <row r="1823" spans="1:3" x14ac:dyDescent="0.25">
      <c r="A1823" s="1" t="s">
        <v>12020</v>
      </c>
      <c r="B1823" s="1" t="s">
        <v>16372</v>
      </c>
      <c r="C1823" s="3">
        <f>IF(B1823="","",SUMIFS('Factory Costs'!$C:$C,'Factory Costs'!$A:$A,"Blades",'Factory Costs'!$B:$B,B1823))</f>
        <v>42</v>
      </c>
    </row>
    <row r="1824" spans="1:3" x14ac:dyDescent="0.25">
      <c r="A1824" s="1" t="s">
        <v>12023</v>
      </c>
      <c r="B1824" s="1" t="s">
        <v>16371</v>
      </c>
      <c r="C1824" s="3">
        <f>IF(B1824="","",SUMIFS('Factory Costs'!$C:$C,'Factory Costs'!$A:$A,"Blades",'Factory Costs'!$B:$B,B1824))</f>
        <v>37</v>
      </c>
    </row>
    <row r="1825" spans="1:3" x14ac:dyDescent="0.25">
      <c r="A1825" s="1" t="s">
        <v>12026</v>
      </c>
      <c r="B1825" s="1" t="s">
        <v>16370</v>
      </c>
      <c r="C1825" s="3">
        <f>IF(B1825="","",SUMIFS('Factory Costs'!$C:$C,'Factory Costs'!$A:$A,"Blades",'Factory Costs'!$B:$B,B1825))</f>
        <v>34</v>
      </c>
    </row>
    <row r="1826" spans="1:3" x14ac:dyDescent="0.25">
      <c r="A1826" s="1" t="s">
        <v>12029</v>
      </c>
      <c r="B1826" s="1" t="s">
        <v>16370</v>
      </c>
      <c r="C1826" s="3">
        <f>IF(B1826="","",SUMIFS('Factory Costs'!$C:$C,'Factory Costs'!$A:$A,"Blades",'Factory Costs'!$B:$B,B1826))</f>
        <v>34</v>
      </c>
    </row>
    <row r="1827" spans="1:3" x14ac:dyDescent="0.25">
      <c r="A1827" s="1" t="s">
        <v>12032</v>
      </c>
      <c r="B1827" s="1" t="s">
        <v>16370</v>
      </c>
      <c r="C1827" s="3">
        <f>IF(B1827="","",SUMIFS('Factory Costs'!$C:$C,'Factory Costs'!$A:$A,"Blades",'Factory Costs'!$B:$B,B1827))</f>
        <v>34</v>
      </c>
    </row>
    <row r="1828" spans="1:3" x14ac:dyDescent="0.25">
      <c r="A1828" s="1" t="s">
        <v>12035</v>
      </c>
      <c r="B1828" s="1" t="s">
        <v>16370</v>
      </c>
      <c r="C1828" s="3">
        <f>IF(B1828="","",SUMIFS('Factory Costs'!$C:$C,'Factory Costs'!$A:$A,"Blades",'Factory Costs'!$B:$B,B1828))</f>
        <v>34</v>
      </c>
    </row>
    <row r="1829" spans="1:3" x14ac:dyDescent="0.25">
      <c r="A1829" s="1" t="s">
        <v>12038</v>
      </c>
      <c r="B1829" s="1" t="s">
        <v>16371</v>
      </c>
      <c r="C1829" s="3">
        <f>IF(B1829="","",SUMIFS('Factory Costs'!$C:$C,'Factory Costs'!$A:$A,"Blades",'Factory Costs'!$B:$B,B1829))</f>
        <v>37</v>
      </c>
    </row>
    <row r="1830" spans="1:3" x14ac:dyDescent="0.25">
      <c r="A1830" s="1" t="s">
        <v>12041</v>
      </c>
      <c r="B1830" s="1" t="s">
        <v>16370</v>
      </c>
      <c r="C1830" s="3">
        <f>IF(B1830="","",SUMIFS('Factory Costs'!$C:$C,'Factory Costs'!$A:$A,"Blades",'Factory Costs'!$B:$B,B1830))</f>
        <v>34</v>
      </c>
    </row>
    <row r="1831" spans="1:3" x14ac:dyDescent="0.25">
      <c r="A1831" s="1" t="s">
        <v>12044</v>
      </c>
      <c r="B1831" s="1" t="s">
        <v>16370</v>
      </c>
      <c r="C1831" s="3">
        <f>IF(B1831="","",SUMIFS('Factory Costs'!$C:$C,'Factory Costs'!$A:$A,"Blades",'Factory Costs'!$B:$B,B1831))</f>
        <v>34</v>
      </c>
    </row>
    <row r="1832" spans="1:3" x14ac:dyDescent="0.25">
      <c r="A1832" s="1" t="s">
        <v>12047</v>
      </c>
      <c r="B1832" s="1" t="s">
        <v>16370</v>
      </c>
      <c r="C1832" s="3">
        <f>IF(B1832="","",SUMIFS('Factory Costs'!$C:$C,'Factory Costs'!$A:$A,"Blades",'Factory Costs'!$B:$B,B1832))</f>
        <v>34</v>
      </c>
    </row>
    <row r="1833" spans="1:3" x14ac:dyDescent="0.25">
      <c r="A1833" s="1" t="s">
        <v>12050</v>
      </c>
      <c r="B1833" s="1" t="s">
        <v>16372</v>
      </c>
      <c r="C1833" s="3">
        <f>IF(B1833="","",SUMIFS('Factory Costs'!$C:$C,'Factory Costs'!$A:$A,"Blades",'Factory Costs'!$B:$B,B1833))</f>
        <v>42</v>
      </c>
    </row>
    <row r="1834" spans="1:3" x14ac:dyDescent="0.25">
      <c r="A1834" s="1" t="s">
        <v>12053</v>
      </c>
      <c r="B1834" s="1" t="s">
        <v>16371</v>
      </c>
      <c r="C1834" s="3">
        <f>IF(B1834="","",SUMIFS('Factory Costs'!$C:$C,'Factory Costs'!$A:$A,"Blades",'Factory Costs'!$B:$B,B1834))</f>
        <v>37</v>
      </c>
    </row>
    <row r="1835" spans="1:3" x14ac:dyDescent="0.25">
      <c r="A1835" s="1" t="s">
        <v>12056</v>
      </c>
      <c r="B1835" s="1" t="s">
        <v>16371</v>
      </c>
      <c r="C1835" s="3">
        <f>IF(B1835="","",SUMIFS('Factory Costs'!$C:$C,'Factory Costs'!$A:$A,"Blades",'Factory Costs'!$B:$B,B1835))</f>
        <v>37</v>
      </c>
    </row>
    <row r="1836" spans="1:3" x14ac:dyDescent="0.25">
      <c r="A1836" s="1" t="s">
        <v>12059</v>
      </c>
      <c r="B1836" s="1" t="s">
        <v>16371</v>
      </c>
      <c r="C1836" s="3">
        <f>IF(B1836="","",SUMIFS('Factory Costs'!$C:$C,'Factory Costs'!$A:$A,"Blades",'Factory Costs'!$B:$B,B1836))</f>
        <v>37</v>
      </c>
    </row>
    <row r="1837" spans="1:3" x14ac:dyDescent="0.25">
      <c r="A1837" s="1" t="s">
        <v>12062</v>
      </c>
      <c r="B1837" s="1" t="s">
        <v>16371</v>
      </c>
      <c r="C1837" s="3">
        <f>IF(B1837="","",SUMIFS('Factory Costs'!$C:$C,'Factory Costs'!$A:$A,"Blades",'Factory Costs'!$B:$B,B1837))</f>
        <v>37</v>
      </c>
    </row>
    <row r="1838" spans="1:3" x14ac:dyDescent="0.25">
      <c r="A1838" s="1" t="s">
        <v>12065</v>
      </c>
      <c r="B1838" s="1" t="s">
        <v>16371</v>
      </c>
      <c r="C1838" s="3">
        <f>IF(B1838="","",SUMIFS('Factory Costs'!$C:$C,'Factory Costs'!$A:$A,"Blades",'Factory Costs'!$B:$B,B1838))</f>
        <v>37</v>
      </c>
    </row>
    <row r="1839" spans="1:3" x14ac:dyDescent="0.25">
      <c r="A1839" s="1" t="s">
        <v>12068</v>
      </c>
      <c r="B1839" s="1" t="s">
        <v>16370</v>
      </c>
      <c r="C1839" s="3">
        <f>IF(B1839="","",SUMIFS('Factory Costs'!$C:$C,'Factory Costs'!$A:$A,"Blades",'Factory Costs'!$B:$B,B1839))</f>
        <v>34</v>
      </c>
    </row>
    <row r="1840" spans="1:3" x14ac:dyDescent="0.25">
      <c r="A1840" s="1" t="s">
        <v>12071</v>
      </c>
      <c r="B1840" s="1" t="s">
        <v>16370</v>
      </c>
      <c r="C1840" s="3">
        <f>IF(B1840="","",SUMIFS('Factory Costs'!$C:$C,'Factory Costs'!$A:$A,"Blades",'Factory Costs'!$B:$B,B1840))</f>
        <v>34</v>
      </c>
    </row>
    <row r="1841" spans="1:3" x14ac:dyDescent="0.25">
      <c r="A1841" s="1" t="s">
        <v>12074</v>
      </c>
      <c r="B1841" s="1" t="s">
        <v>16372</v>
      </c>
      <c r="C1841" s="3">
        <f>IF(B1841="","",SUMIFS('Factory Costs'!$C:$C,'Factory Costs'!$A:$A,"Blades",'Factory Costs'!$B:$B,B1841))</f>
        <v>42</v>
      </c>
    </row>
    <row r="1842" spans="1:3" x14ac:dyDescent="0.25">
      <c r="A1842" s="1" t="s">
        <v>12077</v>
      </c>
      <c r="B1842" s="1" t="s">
        <v>16370</v>
      </c>
      <c r="C1842" s="3">
        <f>IF(B1842="","",SUMIFS('Factory Costs'!$C:$C,'Factory Costs'!$A:$A,"Blades",'Factory Costs'!$B:$B,B1842))</f>
        <v>34</v>
      </c>
    </row>
    <row r="1843" spans="1:3" x14ac:dyDescent="0.25">
      <c r="A1843" s="1" t="s">
        <v>12080</v>
      </c>
      <c r="B1843" s="1" t="s">
        <v>16370</v>
      </c>
      <c r="C1843" s="3">
        <f>IF(B1843="","",SUMIFS('Factory Costs'!$C:$C,'Factory Costs'!$A:$A,"Blades",'Factory Costs'!$B:$B,B1843))</f>
        <v>34</v>
      </c>
    </row>
    <row r="1844" spans="1:3" x14ac:dyDescent="0.25">
      <c r="A1844" s="1" t="s">
        <v>12083</v>
      </c>
      <c r="B1844" s="1" t="s">
        <v>16372</v>
      </c>
      <c r="C1844" s="3">
        <f>IF(B1844="","",SUMIFS('Factory Costs'!$C:$C,'Factory Costs'!$A:$A,"Blades",'Factory Costs'!$B:$B,B1844))</f>
        <v>42</v>
      </c>
    </row>
    <row r="1845" spans="1:3" x14ac:dyDescent="0.25">
      <c r="A1845" s="1" t="s">
        <v>12086</v>
      </c>
      <c r="B1845" s="1" t="s">
        <v>16370</v>
      </c>
      <c r="C1845" s="3">
        <f>IF(B1845="","",SUMIFS('Factory Costs'!$C:$C,'Factory Costs'!$A:$A,"Blades",'Factory Costs'!$B:$B,B1845))</f>
        <v>34</v>
      </c>
    </row>
    <row r="1846" spans="1:3" x14ac:dyDescent="0.25">
      <c r="A1846" s="1" t="s">
        <v>12089</v>
      </c>
      <c r="B1846" s="1" t="s">
        <v>16371</v>
      </c>
      <c r="C1846" s="3">
        <f>IF(B1846="","",SUMIFS('Factory Costs'!$C:$C,'Factory Costs'!$A:$A,"Blades",'Factory Costs'!$B:$B,B1846))</f>
        <v>37</v>
      </c>
    </row>
    <row r="1847" spans="1:3" x14ac:dyDescent="0.25">
      <c r="A1847" s="1" t="s">
        <v>12092</v>
      </c>
      <c r="B1847" s="1" t="s">
        <v>16372</v>
      </c>
      <c r="C1847" s="3">
        <f>IF(B1847="","",SUMIFS('Factory Costs'!$C:$C,'Factory Costs'!$A:$A,"Blades",'Factory Costs'!$B:$B,B1847))</f>
        <v>42</v>
      </c>
    </row>
    <row r="1848" spans="1:3" x14ac:dyDescent="0.25">
      <c r="A1848" s="1" t="s">
        <v>12095</v>
      </c>
      <c r="B1848" s="1" t="s">
        <v>16372</v>
      </c>
      <c r="C1848" s="3">
        <f>IF(B1848="","",SUMIFS('Factory Costs'!$C:$C,'Factory Costs'!$A:$A,"Blades",'Factory Costs'!$B:$B,B1848))</f>
        <v>42</v>
      </c>
    </row>
    <row r="1849" spans="1:3" x14ac:dyDescent="0.25">
      <c r="A1849" s="1" t="s">
        <v>12098</v>
      </c>
      <c r="B1849" s="1" t="s">
        <v>16371</v>
      </c>
      <c r="C1849" s="3">
        <f>IF(B1849="","",SUMIFS('Factory Costs'!$C:$C,'Factory Costs'!$A:$A,"Blades",'Factory Costs'!$B:$B,B1849))</f>
        <v>37</v>
      </c>
    </row>
    <row r="1850" spans="1:3" x14ac:dyDescent="0.25">
      <c r="A1850" s="1" t="s">
        <v>12101</v>
      </c>
      <c r="B1850" s="1" t="s">
        <v>16371</v>
      </c>
      <c r="C1850" s="3">
        <f>IF(B1850="","",SUMIFS('Factory Costs'!$C:$C,'Factory Costs'!$A:$A,"Blades",'Factory Costs'!$B:$B,B1850))</f>
        <v>37</v>
      </c>
    </row>
    <row r="1851" spans="1:3" x14ac:dyDescent="0.25">
      <c r="A1851" s="1" t="s">
        <v>12104</v>
      </c>
      <c r="B1851" s="1" t="s">
        <v>16370</v>
      </c>
      <c r="C1851" s="3">
        <f>IF(B1851="","",SUMIFS('Factory Costs'!$C:$C,'Factory Costs'!$A:$A,"Blades",'Factory Costs'!$B:$B,B1851))</f>
        <v>34</v>
      </c>
    </row>
    <row r="1852" spans="1:3" x14ac:dyDescent="0.25">
      <c r="A1852" s="1" t="s">
        <v>12107</v>
      </c>
      <c r="B1852" s="1" t="s">
        <v>16371</v>
      </c>
      <c r="C1852" s="3">
        <f>IF(B1852="","",SUMIFS('Factory Costs'!$C:$C,'Factory Costs'!$A:$A,"Blades",'Factory Costs'!$B:$B,B1852))</f>
        <v>37</v>
      </c>
    </row>
    <row r="1853" spans="1:3" x14ac:dyDescent="0.25">
      <c r="A1853" s="1" t="s">
        <v>12110</v>
      </c>
      <c r="B1853" s="1" t="s">
        <v>16370</v>
      </c>
      <c r="C1853" s="3">
        <f>IF(B1853="","",SUMIFS('Factory Costs'!$C:$C,'Factory Costs'!$A:$A,"Blades",'Factory Costs'!$B:$B,B1853))</f>
        <v>34</v>
      </c>
    </row>
    <row r="1854" spans="1:3" x14ac:dyDescent="0.25">
      <c r="A1854" s="1" t="s">
        <v>12113</v>
      </c>
      <c r="B1854" s="1" t="s">
        <v>16370</v>
      </c>
      <c r="C1854" s="3">
        <f>IF(B1854="","",SUMIFS('Factory Costs'!$C:$C,'Factory Costs'!$A:$A,"Blades",'Factory Costs'!$B:$B,B1854))</f>
        <v>34</v>
      </c>
    </row>
    <row r="1855" spans="1:3" x14ac:dyDescent="0.25">
      <c r="A1855" s="1" t="s">
        <v>12116</v>
      </c>
      <c r="B1855" s="1" t="s">
        <v>16372</v>
      </c>
      <c r="C1855" s="3">
        <f>IF(B1855="","",SUMIFS('Factory Costs'!$C:$C,'Factory Costs'!$A:$A,"Blades",'Factory Costs'!$B:$B,B1855))</f>
        <v>42</v>
      </c>
    </row>
    <row r="1856" spans="1:3" x14ac:dyDescent="0.25">
      <c r="A1856" s="1" t="s">
        <v>12119</v>
      </c>
      <c r="B1856" s="1" t="s">
        <v>16370</v>
      </c>
      <c r="C1856" s="3">
        <f>IF(B1856="","",SUMIFS('Factory Costs'!$C:$C,'Factory Costs'!$A:$A,"Blades",'Factory Costs'!$B:$B,B1856))</f>
        <v>34</v>
      </c>
    </row>
    <row r="1857" spans="1:3" x14ac:dyDescent="0.25">
      <c r="A1857" s="1" t="s">
        <v>12122</v>
      </c>
      <c r="B1857" s="1" t="s">
        <v>16372</v>
      </c>
      <c r="C1857" s="3">
        <f>IF(B1857="","",SUMIFS('Factory Costs'!$C:$C,'Factory Costs'!$A:$A,"Blades",'Factory Costs'!$B:$B,B1857))</f>
        <v>42</v>
      </c>
    </row>
    <row r="1858" spans="1:3" x14ac:dyDescent="0.25">
      <c r="A1858" s="1" t="s">
        <v>12125</v>
      </c>
      <c r="B1858" s="1" t="s">
        <v>16372</v>
      </c>
      <c r="C1858" s="3">
        <f>IF(B1858="","",SUMIFS('Factory Costs'!$C:$C,'Factory Costs'!$A:$A,"Blades",'Factory Costs'!$B:$B,B1858))</f>
        <v>42</v>
      </c>
    </row>
    <row r="1859" spans="1:3" x14ac:dyDescent="0.25">
      <c r="A1859" s="1" t="s">
        <v>12128</v>
      </c>
      <c r="B1859" s="1" t="s">
        <v>16372</v>
      </c>
      <c r="C1859" s="3">
        <f>IF(B1859="","",SUMIFS('Factory Costs'!$C:$C,'Factory Costs'!$A:$A,"Blades",'Factory Costs'!$B:$B,B1859))</f>
        <v>42</v>
      </c>
    </row>
    <row r="1860" spans="1:3" x14ac:dyDescent="0.25">
      <c r="A1860" s="1" t="s">
        <v>12131</v>
      </c>
      <c r="B1860" s="1" t="s">
        <v>16370</v>
      </c>
      <c r="C1860" s="3">
        <f>IF(B1860="","",SUMIFS('Factory Costs'!$C:$C,'Factory Costs'!$A:$A,"Blades",'Factory Costs'!$B:$B,B1860))</f>
        <v>34</v>
      </c>
    </row>
    <row r="1861" spans="1:3" x14ac:dyDescent="0.25">
      <c r="A1861" s="1" t="s">
        <v>12134</v>
      </c>
      <c r="B1861" s="1" t="s">
        <v>16370</v>
      </c>
      <c r="C1861" s="3">
        <f>IF(B1861="","",SUMIFS('Factory Costs'!$C:$C,'Factory Costs'!$A:$A,"Blades",'Factory Costs'!$B:$B,B1861))</f>
        <v>34</v>
      </c>
    </row>
    <row r="1862" spans="1:3" x14ac:dyDescent="0.25">
      <c r="A1862" s="1" t="s">
        <v>12137</v>
      </c>
      <c r="B1862" s="1" t="s">
        <v>16370</v>
      </c>
      <c r="C1862" s="3">
        <f>IF(B1862="","",SUMIFS('Factory Costs'!$C:$C,'Factory Costs'!$A:$A,"Blades",'Factory Costs'!$B:$B,B1862))</f>
        <v>34</v>
      </c>
    </row>
    <row r="1863" spans="1:3" x14ac:dyDescent="0.25">
      <c r="A1863" s="1" t="s">
        <v>12140</v>
      </c>
      <c r="B1863" s="1" t="s">
        <v>16370</v>
      </c>
      <c r="C1863" s="3">
        <f>IF(B1863="","",SUMIFS('Factory Costs'!$C:$C,'Factory Costs'!$A:$A,"Blades",'Factory Costs'!$B:$B,B1863))</f>
        <v>34</v>
      </c>
    </row>
    <row r="1864" spans="1:3" x14ac:dyDescent="0.25">
      <c r="A1864" s="1" t="s">
        <v>12143</v>
      </c>
      <c r="B1864" s="1" t="s">
        <v>16370</v>
      </c>
      <c r="C1864" s="3">
        <f>IF(B1864="","",SUMIFS('Factory Costs'!$C:$C,'Factory Costs'!$A:$A,"Blades",'Factory Costs'!$B:$B,B1864))</f>
        <v>34</v>
      </c>
    </row>
    <row r="1865" spans="1:3" x14ac:dyDescent="0.25">
      <c r="A1865" s="1" t="s">
        <v>12146</v>
      </c>
      <c r="B1865" s="1" t="s">
        <v>16372</v>
      </c>
      <c r="C1865" s="3">
        <f>IF(B1865="","",SUMIFS('Factory Costs'!$C:$C,'Factory Costs'!$A:$A,"Blades",'Factory Costs'!$B:$B,B1865))</f>
        <v>42</v>
      </c>
    </row>
    <row r="1866" spans="1:3" x14ac:dyDescent="0.25">
      <c r="A1866" s="1" t="s">
        <v>12149</v>
      </c>
      <c r="B1866" s="1" t="s">
        <v>16372</v>
      </c>
      <c r="C1866" s="3">
        <f>IF(B1866="","",SUMIFS('Factory Costs'!$C:$C,'Factory Costs'!$A:$A,"Blades",'Factory Costs'!$B:$B,B1866))</f>
        <v>42</v>
      </c>
    </row>
    <row r="1867" spans="1:3" x14ac:dyDescent="0.25">
      <c r="A1867" s="1" t="s">
        <v>12152</v>
      </c>
      <c r="B1867" s="1" t="s">
        <v>16370</v>
      </c>
      <c r="C1867" s="3">
        <f>IF(B1867="","",SUMIFS('Factory Costs'!$C:$C,'Factory Costs'!$A:$A,"Blades",'Factory Costs'!$B:$B,B1867))</f>
        <v>34</v>
      </c>
    </row>
    <row r="1868" spans="1:3" x14ac:dyDescent="0.25">
      <c r="A1868" s="1" t="s">
        <v>12155</v>
      </c>
      <c r="B1868" s="1" t="s">
        <v>16370</v>
      </c>
      <c r="C1868" s="3">
        <f>IF(B1868="","",SUMIFS('Factory Costs'!$C:$C,'Factory Costs'!$A:$A,"Blades",'Factory Costs'!$B:$B,B1868))</f>
        <v>34</v>
      </c>
    </row>
    <row r="1869" spans="1:3" x14ac:dyDescent="0.25">
      <c r="A1869" s="1" t="s">
        <v>12158</v>
      </c>
      <c r="B1869" s="1" t="s">
        <v>16372</v>
      </c>
      <c r="C1869" s="3">
        <f>IF(B1869="","",SUMIFS('Factory Costs'!$C:$C,'Factory Costs'!$A:$A,"Blades",'Factory Costs'!$B:$B,B1869))</f>
        <v>42</v>
      </c>
    </row>
    <row r="1870" spans="1:3" x14ac:dyDescent="0.25">
      <c r="A1870" s="1" t="s">
        <v>12161</v>
      </c>
      <c r="B1870" s="1" t="s">
        <v>16372</v>
      </c>
      <c r="C1870" s="3">
        <f>IF(B1870="","",SUMIFS('Factory Costs'!$C:$C,'Factory Costs'!$A:$A,"Blades",'Factory Costs'!$B:$B,B1870))</f>
        <v>42</v>
      </c>
    </row>
    <row r="1871" spans="1:3" x14ac:dyDescent="0.25">
      <c r="A1871" s="1" t="s">
        <v>12164</v>
      </c>
      <c r="B1871" s="1" t="s">
        <v>16370</v>
      </c>
      <c r="C1871" s="3">
        <f>IF(B1871="","",SUMIFS('Factory Costs'!$C:$C,'Factory Costs'!$A:$A,"Blades",'Factory Costs'!$B:$B,B1871))</f>
        <v>34</v>
      </c>
    </row>
    <row r="1872" spans="1:3" x14ac:dyDescent="0.25">
      <c r="A1872" s="1" t="s">
        <v>12167</v>
      </c>
      <c r="B1872" s="1" t="s">
        <v>16372</v>
      </c>
      <c r="C1872" s="3">
        <f>IF(B1872="","",SUMIFS('Factory Costs'!$C:$C,'Factory Costs'!$A:$A,"Blades",'Factory Costs'!$B:$B,B1872))</f>
        <v>42</v>
      </c>
    </row>
    <row r="1873" spans="1:3" x14ac:dyDescent="0.25">
      <c r="A1873" s="1" t="s">
        <v>12170</v>
      </c>
      <c r="B1873" s="1" t="s">
        <v>16371</v>
      </c>
      <c r="C1873" s="3">
        <f>IF(B1873="","",SUMIFS('Factory Costs'!$C:$C,'Factory Costs'!$A:$A,"Blades",'Factory Costs'!$B:$B,B1873))</f>
        <v>37</v>
      </c>
    </row>
    <row r="1874" spans="1:3" x14ac:dyDescent="0.25">
      <c r="A1874" s="1" t="s">
        <v>12173</v>
      </c>
      <c r="B1874" s="1" t="s">
        <v>16371</v>
      </c>
      <c r="C1874" s="3">
        <f>IF(B1874="","",SUMIFS('Factory Costs'!$C:$C,'Factory Costs'!$A:$A,"Blades",'Factory Costs'!$B:$B,B1874))</f>
        <v>37</v>
      </c>
    </row>
    <row r="1875" spans="1:3" x14ac:dyDescent="0.25">
      <c r="A1875" s="1" t="s">
        <v>12176</v>
      </c>
      <c r="B1875" s="1" t="s">
        <v>16371</v>
      </c>
      <c r="C1875" s="3">
        <f>IF(B1875="","",SUMIFS('Factory Costs'!$C:$C,'Factory Costs'!$A:$A,"Blades",'Factory Costs'!$B:$B,B1875))</f>
        <v>37</v>
      </c>
    </row>
    <row r="1876" spans="1:3" x14ac:dyDescent="0.25">
      <c r="A1876" s="1" t="s">
        <v>12179</v>
      </c>
      <c r="B1876" s="1" t="s">
        <v>16371</v>
      </c>
      <c r="C1876" s="3">
        <f>IF(B1876="","",SUMIFS('Factory Costs'!$C:$C,'Factory Costs'!$A:$A,"Blades",'Factory Costs'!$B:$B,B1876))</f>
        <v>37</v>
      </c>
    </row>
    <row r="1877" spans="1:3" x14ac:dyDescent="0.25">
      <c r="A1877" s="1" t="s">
        <v>12182</v>
      </c>
      <c r="B1877" s="1" t="s">
        <v>16370</v>
      </c>
      <c r="C1877" s="3">
        <f>IF(B1877="","",SUMIFS('Factory Costs'!$C:$C,'Factory Costs'!$A:$A,"Blades",'Factory Costs'!$B:$B,B1877))</f>
        <v>34</v>
      </c>
    </row>
    <row r="1878" spans="1:3" x14ac:dyDescent="0.25">
      <c r="A1878" s="1" t="s">
        <v>12185</v>
      </c>
      <c r="B1878" s="1" t="s">
        <v>16371</v>
      </c>
      <c r="C1878" s="3">
        <f>IF(B1878="","",SUMIFS('Factory Costs'!$C:$C,'Factory Costs'!$A:$A,"Blades",'Factory Costs'!$B:$B,B1878))</f>
        <v>37</v>
      </c>
    </row>
    <row r="1879" spans="1:3" x14ac:dyDescent="0.25">
      <c r="A1879" s="1" t="s">
        <v>12188</v>
      </c>
      <c r="B1879" s="1" t="s">
        <v>16371</v>
      </c>
      <c r="C1879" s="3">
        <f>IF(B1879="","",SUMIFS('Factory Costs'!$C:$C,'Factory Costs'!$A:$A,"Blades",'Factory Costs'!$B:$B,B1879))</f>
        <v>37</v>
      </c>
    </row>
    <row r="1880" spans="1:3" x14ac:dyDescent="0.25">
      <c r="A1880" s="1" t="s">
        <v>12191</v>
      </c>
      <c r="B1880" s="1" t="s">
        <v>16370</v>
      </c>
      <c r="C1880" s="3">
        <f>IF(B1880="","",SUMIFS('Factory Costs'!$C:$C,'Factory Costs'!$A:$A,"Blades",'Factory Costs'!$B:$B,B1880))</f>
        <v>34</v>
      </c>
    </row>
    <row r="1881" spans="1:3" x14ac:dyDescent="0.25">
      <c r="A1881" s="1" t="s">
        <v>12194</v>
      </c>
      <c r="B1881" s="1" t="s">
        <v>16370</v>
      </c>
      <c r="C1881" s="3">
        <f>IF(B1881="","",SUMIFS('Factory Costs'!$C:$C,'Factory Costs'!$A:$A,"Blades",'Factory Costs'!$B:$B,B1881))</f>
        <v>34</v>
      </c>
    </row>
    <row r="1882" spans="1:3" x14ac:dyDescent="0.25">
      <c r="A1882" s="1" t="s">
        <v>12197</v>
      </c>
      <c r="B1882" s="1" t="s">
        <v>16370</v>
      </c>
      <c r="C1882" s="3">
        <f>IF(B1882="","",SUMIFS('Factory Costs'!$C:$C,'Factory Costs'!$A:$A,"Blades",'Factory Costs'!$B:$B,B1882))</f>
        <v>34</v>
      </c>
    </row>
    <row r="1883" spans="1:3" x14ac:dyDescent="0.25">
      <c r="A1883" s="1" t="s">
        <v>12200</v>
      </c>
      <c r="B1883" s="1" t="s">
        <v>16372</v>
      </c>
      <c r="C1883" s="3">
        <f>IF(B1883="","",SUMIFS('Factory Costs'!$C:$C,'Factory Costs'!$A:$A,"Blades",'Factory Costs'!$B:$B,B1883))</f>
        <v>42</v>
      </c>
    </row>
    <row r="1884" spans="1:3" x14ac:dyDescent="0.25">
      <c r="A1884" s="1" t="s">
        <v>12203</v>
      </c>
      <c r="B1884" s="1" t="s">
        <v>16370</v>
      </c>
      <c r="C1884" s="3">
        <f>IF(B1884="","",SUMIFS('Factory Costs'!$C:$C,'Factory Costs'!$A:$A,"Blades",'Factory Costs'!$B:$B,B1884))</f>
        <v>34</v>
      </c>
    </row>
    <row r="1885" spans="1:3" x14ac:dyDescent="0.25">
      <c r="A1885" s="1" t="s">
        <v>12206</v>
      </c>
      <c r="B1885" s="1" t="s">
        <v>16370</v>
      </c>
      <c r="C1885" s="3">
        <f>IF(B1885="","",SUMIFS('Factory Costs'!$C:$C,'Factory Costs'!$A:$A,"Blades",'Factory Costs'!$B:$B,B1885))</f>
        <v>34</v>
      </c>
    </row>
    <row r="1886" spans="1:3" x14ac:dyDescent="0.25">
      <c r="A1886" s="1" t="s">
        <v>12209</v>
      </c>
      <c r="B1886" s="1" t="s">
        <v>16371</v>
      </c>
      <c r="C1886" s="3">
        <f>IF(B1886="","",SUMIFS('Factory Costs'!$C:$C,'Factory Costs'!$A:$A,"Blades",'Factory Costs'!$B:$B,B1886))</f>
        <v>37</v>
      </c>
    </row>
    <row r="1887" spans="1:3" x14ac:dyDescent="0.25">
      <c r="A1887" s="1" t="s">
        <v>12212</v>
      </c>
      <c r="B1887" s="1" t="s">
        <v>16370</v>
      </c>
      <c r="C1887" s="3">
        <f>IF(B1887="","",SUMIFS('Factory Costs'!$C:$C,'Factory Costs'!$A:$A,"Blades",'Factory Costs'!$B:$B,B1887))</f>
        <v>34</v>
      </c>
    </row>
    <row r="1888" spans="1:3" x14ac:dyDescent="0.25">
      <c r="A1888" s="1" t="s">
        <v>12215</v>
      </c>
      <c r="B1888" s="1" t="s">
        <v>16372</v>
      </c>
      <c r="C1888" s="3">
        <f>IF(B1888="","",SUMIFS('Factory Costs'!$C:$C,'Factory Costs'!$A:$A,"Blades",'Factory Costs'!$B:$B,B1888))</f>
        <v>42</v>
      </c>
    </row>
    <row r="1889" spans="1:3" x14ac:dyDescent="0.25">
      <c r="A1889" s="1" t="s">
        <v>12218</v>
      </c>
      <c r="B1889" s="1" t="s">
        <v>16372</v>
      </c>
      <c r="C1889" s="3">
        <f>IF(B1889="","",SUMIFS('Factory Costs'!$C:$C,'Factory Costs'!$A:$A,"Blades",'Factory Costs'!$B:$B,B1889))</f>
        <v>42</v>
      </c>
    </row>
    <row r="1890" spans="1:3" x14ac:dyDescent="0.25">
      <c r="A1890" s="1" t="s">
        <v>12221</v>
      </c>
      <c r="B1890" s="1" t="s">
        <v>16372</v>
      </c>
      <c r="C1890" s="3">
        <f>IF(B1890="","",SUMIFS('Factory Costs'!$C:$C,'Factory Costs'!$A:$A,"Blades",'Factory Costs'!$B:$B,B1890))</f>
        <v>42</v>
      </c>
    </row>
    <row r="1891" spans="1:3" x14ac:dyDescent="0.25">
      <c r="A1891" s="1" t="s">
        <v>12224</v>
      </c>
      <c r="B1891" s="1" t="s">
        <v>16370</v>
      </c>
      <c r="C1891" s="3">
        <f>IF(B1891="","",SUMIFS('Factory Costs'!$C:$C,'Factory Costs'!$A:$A,"Blades",'Factory Costs'!$B:$B,B1891))</f>
        <v>34</v>
      </c>
    </row>
    <row r="1892" spans="1:3" x14ac:dyDescent="0.25">
      <c r="A1892" s="1" t="s">
        <v>12227</v>
      </c>
      <c r="B1892" s="1" t="s">
        <v>16371</v>
      </c>
      <c r="C1892" s="3">
        <f>IF(B1892="","",SUMIFS('Factory Costs'!$C:$C,'Factory Costs'!$A:$A,"Blades",'Factory Costs'!$B:$B,B1892))</f>
        <v>37</v>
      </c>
    </row>
    <row r="1893" spans="1:3" x14ac:dyDescent="0.25">
      <c r="A1893" s="1" t="s">
        <v>12230</v>
      </c>
      <c r="B1893" s="1" t="s">
        <v>16371</v>
      </c>
      <c r="C1893" s="3">
        <f>IF(B1893="","",SUMIFS('Factory Costs'!$C:$C,'Factory Costs'!$A:$A,"Blades",'Factory Costs'!$B:$B,B1893))</f>
        <v>37</v>
      </c>
    </row>
    <row r="1894" spans="1:3" x14ac:dyDescent="0.25">
      <c r="A1894" s="1" t="s">
        <v>12233</v>
      </c>
      <c r="B1894" s="1" t="s">
        <v>16370</v>
      </c>
      <c r="C1894" s="3">
        <f>IF(B1894="","",SUMIFS('Factory Costs'!$C:$C,'Factory Costs'!$A:$A,"Blades",'Factory Costs'!$B:$B,B1894))</f>
        <v>34</v>
      </c>
    </row>
    <row r="1895" spans="1:3" x14ac:dyDescent="0.25">
      <c r="A1895" s="1" t="s">
        <v>12236</v>
      </c>
      <c r="B1895" s="1" t="s">
        <v>16370</v>
      </c>
      <c r="C1895" s="3">
        <f>IF(B1895="","",SUMIFS('Factory Costs'!$C:$C,'Factory Costs'!$A:$A,"Blades",'Factory Costs'!$B:$B,B1895))</f>
        <v>34</v>
      </c>
    </row>
    <row r="1896" spans="1:3" x14ac:dyDescent="0.25">
      <c r="A1896" s="1" t="s">
        <v>12239</v>
      </c>
      <c r="B1896" s="1" t="s">
        <v>16370</v>
      </c>
      <c r="C1896" s="3">
        <f>IF(B1896="","",SUMIFS('Factory Costs'!$C:$C,'Factory Costs'!$A:$A,"Blades",'Factory Costs'!$B:$B,B1896))</f>
        <v>34</v>
      </c>
    </row>
    <row r="1897" spans="1:3" x14ac:dyDescent="0.25">
      <c r="A1897" s="1" t="s">
        <v>12242</v>
      </c>
      <c r="B1897" s="1" t="s">
        <v>16372</v>
      </c>
      <c r="C1897" s="3">
        <f>IF(B1897="","",SUMIFS('Factory Costs'!$C:$C,'Factory Costs'!$A:$A,"Blades",'Factory Costs'!$B:$B,B1897))</f>
        <v>42</v>
      </c>
    </row>
    <row r="1898" spans="1:3" x14ac:dyDescent="0.25">
      <c r="A1898" s="1" t="s">
        <v>12245</v>
      </c>
      <c r="B1898" s="1" t="s">
        <v>16370</v>
      </c>
      <c r="C1898" s="3">
        <f>IF(B1898="","",SUMIFS('Factory Costs'!$C:$C,'Factory Costs'!$A:$A,"Blades",'Factory Costs'!$B:$B,B1898))</f>
        <v>34</v>
      </c>
    </row>
    <row r="1899" spans="1:3" x14ac:dyDescent="0.25">
      <c r="A1899" s="1" t="s">
        <v>12248</v>
      </c>
      <c r="B1899" s="1" t="s">
        <v>16372</v>
      </c>
      <c r="C1899" s="3">
        <f>IF(B1899="","",SUMIFS('Factory Costs'!$C:$C,'Factory Costs'!$A:$A,"Blades",'Factory Costs'!$B:$B,B1899))</f>
        <v>42</v>
      </c>
    </row>
    <row r="1900" spans="1:3" x14ac:dyDescent="0.25">
      <c r="A1900" s="1" t="s">
        <v>12251</v>
      </c>
      <c r="B1900" s="1" t="s">
        <v>16370</v>
      </c>
      <c r="C1900" s="3">
        <f>IF(B1900="","",SUMIFS('Factory Costs'!$C:$C,'Factory Costs'!$A:$A,"Blades",'Factory Costs'!$B:$B,B1900))</f>
        <v>34</v>
      </c>
    </row>
    <row r="1901" spans="1:3" x14ac:dyDescent="0.25">
      <c r="A1901" s="1" t="s">
        <v>12254</v>
      </c>
      <c r="B1901" s="1" t="s">
        <v>16370</v>
      </c>
      <c r="C1901" s="3">
        <f>IF(B1901="","",SUMIFS('Factory Costs'!$C:$C,'Factory Costs'!$A:$A,"Blades",'Factory Costs'!$B:$B,B1901))</f>
        <v>34</v>
      </c>
    </row>
    <row r="1902" spans="1:3" x14ac:dyDescent="0.25">
      <c r="A1902" s="1" t="s">
        <v>12257</v>
      </c>
      <c r="B1902" s="1" t="s">
        <v>16371</v>
      </c>
      <c r="C1902" s="3">
        <f>IF(B1902="","",SUMIFS('Factory Costs'!$C:$C,'Factory Costs'!$A:$A,"Blades",'Factory Costs'!$B:$B,B1902))</f>
        <v>37</v>
      </c>
    </row>
    <row r="1903" spans="1:3" x14ac:dyDescent="0.25">
      <c r="A1903" s="1" t="s">
        <v>12260</v>
      </c>
      <c r="B1903" s="1" t="s">
        <v>16371</v>
      </c>
      <c r="C1903" s="3">
        <f>IF(B1903="","",SUMIFS('Factory Costs'!$C:$C,'Factory Costs'!$A:$A,"Blades",'Factory Costs'!$B:$B,B1903))</f>
        <v>37</v>
      </c>
    </row>
    <row r="1904" spans="1:3" x14ac:dyDescent="0.25">
      <c r="A1904" s="1" t="s">
        <v>12263</v>
      </c>
      <c r="B1904" s="1" t="s">
        <v>16371</v>
      </c>
      <c r="C1904" s="3">
        <f>IF(B1904="","",SUMIFS('Factory Costs'!$C:$C,'Factory Costs'!$A:$A,"Blades",'Factory Costs'!$B:$B,B1904))</f>
        <v>37</v>
      </c>
    </row>
    <row r="1905" spans="1:3" x14ac:dyDescent="0.25">
      <c r="A1905" s="1" t="s">
        <v>12266</v>
      </c>
      <c r="B1905" s="1" t="s">
        <v>16370</v>
      </c>
      <c r="C1905" s="3">
        <f>IF(B1905="","",SUMIFS('Factory Costs'!$C:$C,'Factory Costs'!$A:$A,"Blades",'Factory Costs'!$B:$B,B1905))</f>
        <v>34</v>
      </c>
    </row>
    <row r="1906" spans="1:3" x14ac:dyDescent="0.25">
      <c r="A1906" s="1" t="s">
        <v>12269</v>
      </c>
      <c r="B1906" s="1" t="s">
        <v>16370</v>
      </c>
      <c r="C1906" s="3">
        <f>IF(B1906="","",SUMIFS('Factory Costs'!$C:$C,'Factory Costs'!$A:$A,"Blades",'Factory Costs'!$B:$B,B1906))</f>
        <v>34</v>
      </c>
    </row>
    <row r="1907" spans="1:3" x14ac:dyDescent="0.25">
      <c r="A1907" s="1" t="s">
        <v>12272</v>
      </c>
      <c r="B1907" s="1" t="s">
        <v>16371</v>
      </c>
      <c r="C1907" s="3">
        <f>IF(B1907="","",SUMIFS('Factory Costs'!$C:$C,'Factory Costs'!$A:$A,"Blades",'Factory Costs'!$B:$B,B1907))</f>
        <v>37</v>
      </c>
    </row>
    <row r="1908" spans="1:3" x14ac:dyDescent="0.25">
      <c r="A1908" s="1" t="s">
        <v>12275</v>
      </c>
      <c r="B1908" s="1" t="s">
        <v>16371</v>
      </c>
      <c r="C1908" s="3">
        <f>IF(B1908="","",SUMIFS('Factory Costs'!$C:$C,'Factory Costs'!$A:$A,"Blades",'Factory Costs'!$B:$B,B1908))</f>
        <v>37</v>
      </c>
    </row>
    <row r="1909" spans="1:3" x14ac:dyDescent="0.25">
      <c r="A1909" s="1" t="s">
        <v>12278</v>
      </c>
      <c r="B1909" s="1" t="s">
        <v>16370</v>
      </c>
      <c r="C1909" s="3">
        <f>IF(B1909="","",SUMIFS('Factory Costs'!$C:$C,'Factory Costs'!$A:$A,"Blades",'Factory Costs'!$B:$B,B1909))</f>
        <v>34</v>
      </c>
    </row>
    <row r="1910" spans="1:3" x14ac:dyDescent="0.25">
      <c r="A1910" s="1" t="s">
        <v>12281</v>
      </c>
      <c r="B1910" s="1" t="s">
        <v>16371</v>
      </c>
      <c r="C1910" s="3">
        <f>IF(B1910="","",SUMIFS('Factory Costs'!$C:$C,'Factory Costs'!$A:$A,"Blades",'Factory Costs'!$B:$B,B1910))</f>
        <v>37</v>
      </c>
    </row>
    <row r="1911" spans="1:3" x14ac:dyDescent="0.25">
      <c r="A1911" s="1" t="s">
        <v>12284</v>
      </c>
      <c r="B1911" s="1" t="s">
        <v>16370</v>
      </c>
      <c r="C1911" s="3">
        <f>IF(B1911="","",SUMIFS('Factory Costs'!$C:$C,'Factory Costs'!$A:$A,"Blades",'Factory Costs'!$B:$B,B1911))</f>
        <v>34</v>
      </c>
    </row>
    <row r="1912" spans="1:3" x14ac:dyDescent="0.25">
      <c r="A1912" s="1" t="s">
        <v>12287</v>
      </c>
      <c r="B1912" s="1" t="s">
        <v>16370</v>
      </c>
      <c r="C1912" s="3">
        <f>IF(B1912="","",SUMIFS('Factory Costs'!$C:$C,'Factory Costs'!$A:$A,"Blades",'Factory Costs'!$B:$B,B1912))</f>
        <v>34</v>
      </c>
    </row>
    <row r="1913" spans="1:3" x14ac:dyDescent="0.25">
      <c r="A1913" s="1" t="s">
        <v>12290</v>
      </c>
      <c r="B1913" s="1" t="s">
        <v>16371</v>
      </c>
      <c r="C1913" s="3">
        <f>IF(B1913="","",SUMIFS('Factory Costs'!$C:$C,'Factory Costs'!$A:$A,"Blades",'Factory Costs'!$B:$B,B1913))</f>
        <v>37</v>
      </c>
    </row>
    <row r="1914" spans="1:3" x14ac:dyDescent="0.25">
      <c r="A1914" s="1" t="s">
        <v>12293</v>
      </c>
      <c r="B1914" s="1" t="s">
        <v>16370</v>
      </c>
      <c r="C1914" s="3">
        <f>IF(B1914="","",SUMIFS('Factory Costs'!$C:$C,'Factory Costs'!$A:$A,"Blades",'Factory Costs'!$B:$B,B1914))</f>
        <v>34</v>
      </c>
    </row>
    <row r="1915" spans="1:3" x14ac:dyDescent="0.25">
      <c r="A1915" s="1" t="s">
        <v>12296</v>
      </c>
      <c r="B1915" s="1" t="s">
        <v>16370</v>
      </c>
      <c r="C1915" s="3">
        <f>IF(B1915="","",SUMIFS('Factory Costs'!$C:$C,'Factory Costs'!$A:$A,"Blades",'Factory Costs'!$B:$B,B1915))</f>
        <v>34</v>
      </c>
    </row>
    <row r="1916" spans="1:3" x14ac:dyDescent="0.25">
      <c r="A1916" s="1" t="s">
        <v>12299</v>
      </c>
      <c r="B1916" s="1" t="s">
        <v>16370</v>
      </c>
      <c r="C1916" s="3">
        <f>IF(B1916="","",SUMIFS('Factory Costs'!$C:$C,'Factory Costs'!$A:$A,"Blades",'Factory Costs'!$B:$B,B1916))</f>
        <v>34</v>
      </c>
    </row>
    <row r="1917" spans="1:3" x14ac:dyDescent="0.25">
      <c r="A1917" s="1" t="s">
        <v>12302</v>
      </c>
      <c r="B1917" s="1" t="s">
        <v>16370</v>
      </c>
      <c r="C1917" s="3">
        <f>IF(B1917="","",SUMIFS('Factory Costs'!$C:$C,'Factory Costs'!$A:$A,"Blades",'Factory Costs'!$B:$B,B1917))</f>
        <v>34</v>
      </c>
    </row>
    <row r="1918" spans="1:3" x14ac:dyDescent="0.25">
      <c r="A1918" s="1" t="s">
        <v>12305</v>
      </c>
      <c r="B1918" s="1" t="s">
        <v>16370</v>
      </c>
      <c r="C1918" s="3">
        <f>IF(B1918="","",SUMIFS('Factory Costs'!$C:$C,'Factory Costs'!$A:$A,"Blades",'Factory Costs'!$B:$B,B1918))</f>
        <v>34</v>
      </c>
    </row>
    <row r="1919" spans="1:3" x14ac:dyDescent="0.25">
      <c r="A1919" s="1" t="s">
        <v>12308</v>
      </c>
      <c r="B1919" s="1" t="s">
        <v>16370</v>
      </c>
      <c r="C1919" s="3">
        <f>IF(B1919="","",SUMIFS('Factory Costs'!$C:$C,'Factory Costs'!$A:$A,"Blades",'Factory Costs'!$B:$B,B1919))</f>
        <v>34</v>
      </c>
    </row>
    <row r="1920" spans="1:3" x14ac:dyDescent="0.25">
      <c r="A1920" s="1" t="s">
        <v>12311</v>
      </c>
      <c r="B1920" s="1" t="s">
        <v>16370</v>
      </c>
      <c r="C1920" s="3">
        <f>IF(B1920="","",SUMIFS('Factory Costs'!$C:$C,'Factory Costs'!$A:$A,"Blades",'Factory Costs'!$B:$B,B1920))</f>
        <v>34</v>
      </c>
    </row>
    <row r="1921" spans="1:3" x14ac:dyDescent="0.25">
      <c r="A1921" s="1" t="s">
        <v>12314</v>
      </c>
      <c r="B1921" s="1" t="s">
        <v>16371</v>
      </c>
      <c r="C1921" s="3">
        <f>IF(B1921="","",SUMIFS('Factory Costs'!$C:$C,'Factory Costs'!$A:$A,"Blades",'Factory Costs'!$B:$B,B1921))</f>
        <v>37</v>
      </c>
    </row>
    <row r="1922" spans="1:3" x14ac:dyDescent="0.25">
      <c r="A1922" s="1" t="s">
        <v>12317</v>
      </c>
      <c r="B1922" s="1" t="s">
        <v>16370</v>
      </c>
      <c r="C1922" s="3">
        <f>IF(B1922="","",SUMIFS('Factory Costs'!$C:$C,'Factory Costs'!$A:$A,"Blades",'Factory Costs'!$B:$B,B1922))</f>
        <v>34</v>
      </c>
    </row>
    <row r="1923" spans="1:3" x14ac:dyDescent="0.25">
      <c r="A1923" s="1" t="s">
        <v>12320</v>
      </c>
      <c r="B1923" s="1" t="s">
        <v>16370</v>
      </c>
      <c r="C1923" s="3">
        <f>IF(B1923="","",SUMIFS('Factory Costs'!$C:$C,'Factory Costs'!$A:$A,"Blades",'Factory Costs'!$B:$B,B1923))</f>
        <v>34</v>
      </c>
    </row>
    <row r="1924" spans="1:3" x14ac:dyDescent="0.25">
      <c r="A1924" s="1" t="s">
        <v>12323</v>
      </c>
      <c r="B1924" s="1" t="s">
        <v>16371</v>
      </c>
      <c r="C1924" s="3">
        <f>IF(B1924="","",SUMIFS('Factory Costs'!$C:$C,'Factory Costs'!$A:$A,"Blades",'Factory Costs'!$B:$B,B1924))</f>
        <v>37</v>
      </c>
    </row>
    <row r="1925" spans="1:3" x14ac:dyDescent="0.25">
      <c r="A1925" s="1" t="s">
        <v>12326</v>
      </c>
      <c r="B1925" s="1" t="s">
        <v>16371</v>
      </c>
      <c r="C1925" s="3">
        <f>IF(B1925="","",SUMIFS('Factory Costs'!$C:$C,'Factory Costs'!$A:$A,"Blades",'Factory Costs'!$B:$B,B1925))</f>
        <v>37</v>
      </c>
    </row>
    <row r="1926" spans="1:3" x14ac:dyDescent="0.25">
      <c r="A1926" s="1" t="s">
        <v>12329</v>
      </c>
      <c r="B1926" s="1" t="s">
        <v>16371</v>
      </c>
      <c r="C1926" s="3">
        <f>IF(B1926="","",SUMIFS('Factory Costs'!$C:$C,'Factory Costs'!$A:$A,"Blades",'Factory Costs'!$B:$B,B1926))</f>
        <v>37</v>
      </c>
    </row>
    <row r="1927" spans="1:3" x14ac:dyDescent="0.25">
      <c r="A1927" s="1" t="s">
        <v>12332</v>
      </c>
      <c r="B1927" s="1" t="s">
        <v>16370</v>
      </c>
      <c r="C1927" s="3">
        <f>IF(B1927="","",SUMIFS('Factory Costs'!$C:$C,'Factory Costs'!$A:$A,"Blades",'Factory Costs'!$B:$B,B1927))</f>
        <v>34</v>
      </c>
    </row>
    <row r="1928" spans="1:3" x14ac:dyDescent="0.25">
      <c r="A1928" s="1" t="s">
        <v>12335</v>
      </c>
      <c r="B1928" s="1" t="s">
        <v>16372</v>
      </c>
      <c r="C1928" s="3">
        <f>IF(B1928="","",SUMIFS('Factory Costs'!$C:$C,'Factory Costs'!$A:$A,"Blades",'Factory Costs'!$B:$B,B1928))</f>
        <v>42</v>
      </c>
    </row>
    <row r="1929" spans="1:3" x14ac:dyDescent="0.25">
      <c r="A1929" s="1" t="s">
        <v>12338</v>
      </c>
      <c r="B1929" s="1" t="s">
        <v>16370</v>
      </c>
      <c r="C1929" s="3">
        <f>IF(B1929="","",SUMIFS('Factory Costs'!$C:$C,'Factory Costs'!$A:$A,"Blades",'Factory Costs'!$B:$B,B1929))</f>
        <v>34</v>
      </c>
    </row>
    <row r="1930" spans="1:3" x14ac:dyDescent="0.25">
      <c r="A1930" s="1" t="s">
        <v>12341</v>
      </c>
      <c r="B1930" s="1" t="s">
        <v>16371</v>
      </c>
      <c r="C1930" s="3">
        <f>IF(B1930="","",SUMIFS('Factory Costs'!$C:$C,'Factory Costs'!$A:$A,"Blades",'Factory Costs'!$B:$B,B1930))</f>
        <v>37</v>
      </c>
    </row>
    <row r="1931" spans="1:3" x14ac:dyDescent="0.25">
      <c r="A1931" s="1" t="s">
        <v>12344</v>
      </c>
      <c r="B1931" s="1" t="s">
        <v>16370</v>
      </c>
      <c r="C1931" s="3">
        <f>IF(B1931="","",SUMIFS('Factory Costs'!$C:$C,'Factory Costs'!$A:$A,"Blades",'Factory Costs'!$B:$B,B1931))</f>
        <v>34</v>
      </c>
    </row>
    <row r="1932" spans="1:3" x14ac:dyDescent="0.25">
      <c r="A1932" s="1" t="s">
        <v>12347</v>
      </c>
      <c r="B1932" s="1" t="s">
        <v>16372</v>
      </c>
      <c r="C1932" s="3">
        <f>IF(B1932="","",SUMIFS('Factory Costs'!$C:$C,'Factory Costs'!$A:$A,"Blades",'Factory Costs'!$B:$B,B1932))</f>
        <v>42</v>
      </c>
    </row>
    <row r="1933" spans="1:3" x14ac:dyDescent="0.25">
      <c r="A1933" s="1" t="s">
        <v>12350</v>
      </c>
      <c r="B1933" s="1" t="s">
        <v>16370</v>
      </c>
      <c r="C1933" s="3">
        <f>IF(B1933="","",SUMIFS('Factory Costs'!$C:$C,'Factory Costs'!$A:$A,"Blades",'Factory Costs'!$B:$B,B1933))</f>
        <v>34</v>
      </c>
    </row>
    <row r="1934" spans="1:3" x14ac:dyDescent="0.25">
      <c r="A1934" s="1" t="s">
        <v>12353</v>
      </c>
      <c r="B1934" s="1" t="s">
        <v>16372</v>
      </c>
      <c r="C1934" s="3">
        <f>IF(B1934="","",SUMIFS('Factory Costs'!$C:$C,'Factory Costs'!$A:$A,"Blades",'Factory Costs'!$B:$B,B1934))</f>
        <v>42</v>
      </c>
    </row>
    <row r="1935" spans="1:3" x14ac:dyDescent="0.25">
      <c r="A1935" s="1" t="s">
        <v>12356</v>
      </c>
      <c r="B1935" s="1" t="s">
        <v>16371</v>
      </c>
      <c r="C1935" s="3">
        <f>IF(B1935="","",SUMIFS('Factory Costs'!$C:$C,'Factory Costs'!$A:$A,"Blades",'Factory Costs'!$B:$B,B1935))</f>
        <v>37</v>
      </c>
    </row>
    <row r="1936" spans="1:3" x14ac:dyDescent="0.25">
      <c r="A1936" s="1" t="s">
        <v>12359</v>
      </c>
      <c r="B1936" s="1" t="s">
        <v>16370</v>
      </c>
      <c r="C1936" s="3">
        <f>IF(B1936="","",SUMIFS('Factory Costs'!$C:$C,'Factory Costs'!$A:$A,"Blades",'Factory Costs'!$B:$B,B1936))</f>
        <v>34</v>
      </c>
    </row>
    <row r="1937" spans="1:3" x14ac:dyDescent="0.25">
      <c r="A1937" s="1" t="s">
        <v>12362</v>
      </c>
      <c r="B1937" s="1" t="s">
        <v>16372</v>
      </c>
      <c r="C1937" s="3">
        <f>IF(B1937="","",SUMIFS('Factory Costs'!$C:$C,'Factory Costs'!$A:$A,"Blades",'Factory Costs'!$B:$B,B1937))</f>
        <v>42</v>
      </c>
    </row>
    <row r="1938" spans="1:3" x14ac:dyDescent="0.25">
      <c r="A1938" s="1" t="s">
        <v>12365</v>
      </c>
      <c r="B1938" s="1" t="s">
        <v>16370</v>
      </c>
      <c r="C1938" s="3">
        <f>IF(B1938="","",SUMIFS('Factory Costs'!$C:$C,'Factory Costs'!$A:$A,"Blades",'Factory Costs'!$B:$B,B1938))</f>
        <v>34</v>
      </c>
    </row>
    <row r="1939" spans="1:3" x14ac:dyDescent="0.25">
      <c r="A1939" s="1" t="s">
        <v>12368</v>
      </c>
      <c r="B1939" s="1" t="s">
        <v>16370</v>
      </c>
      <c r="C1939" s="3">
        <f>IF(B1939="","",SUMIFS('Factory Costs'!$C:$C,'Factory Costs'!$A:$A,"Blades",'Factory Costs'!$B:$B,B1939))</f>
        <v>34</v>
      </c>
    </row>
    <row r="1940" spans="1:3" x14ac:dyDescent="0.25">
      <c r="A1940" s="1" t="s">
        <v>12371</v>
      </c>
      <c r="B1940" s="1" t="s">
        <v>16372</v>
      </c>
      <c r="C1940" s="3">
        <f>IF(B1940="","",SUMIFS('Factory Costs'!$C:$C,'Factory Costs'!$A:$A,"Blades",'Factory Costs'!$B:$B,B1940))</f>
        <v>42</v>
      </c>
    </row>
    <row r="1941" spans="1:3" x14ac:dyDescent="0.25">
      <c r="A1941" s="1" t="s">
        <v>12374</v>
      </c>
      <c r="B1941" s="1" t="s">
        <v>16371</v>
      </c>
      <c r="C1941" s="3">
        <f>IF(B1941="","",SUMIFS('Factory Costs'!$C:$C,'Factory Costs'!$A:$A,"Blades",'Factory Costs'!$B:$B,B1941))</f>
        <v>37</v>
      </c>
    </row>
    <row r="1942" spans="1:3" x14ac:dyDescent="0.25">
      <c r="A1942" s="1" t="s">
        <v>12377</v>
      </c>
      <c r="B1942" s="1" t="s">
        <v>16372</v>
      </c>
      <c r="C1942" s="3">
        <f>IF(B1942="","",SUMIFS('Factory Costs'!$C:$C,'Factory Costs'!$A:$A,"Blades",'Factory Costs'!$B:$B,B1942))</f>
        <v>42</v>
      </c>
    </row>
    <row r="1943" spans="1:3" x14ac:dyDescent="0.25">
      <c r="A1943" s="1" t="s">
        <v>12380</v>
      </c>
      <c r="B1943" s="1" t="s">
        <v>16371</v>
      </c>
      <c r="C1943" s="3">
        <f>IF(B1943="","",SUMIFS('Factory Costs'!$C:$C,'Factory Costs'!$A:$A,"Blades",'Factory Costs'!$B:$B,B1943))</f>
        <v>37</v>
      </c>
    </row>
    <row r="1944" spans="1:3" x14ac:dyDescent="0.25">
      <c r="A1944" s="1" t="s">
        <v>12383</v>
      </c>
      <c r="B1944" s="1" t="s">
        <v>16372</v>
      </c>
      <c r="C1944" s="3">
        <f>IF(B1944="","",SUMIFS('Factory Costs'!$C:$C,'Factory Costs'!$A:$A,"Blades",'Factory Costs'!$B:$B,B1944))</f>
        <v>42</v>
      </c>
    </row>
    <row r="1945" spans="1:3" x14ac:dyDescent="0.25">
      <c r="A1945" s="1" t="s">
        <v>12386</v>
      </c>
      <c r="B1945" s="1" t="s">
        <v>16372</v>
      </c>
      <c r="C1945" s="3">
        <f>IF(B1945="","",SUMIFS('Factory Costs'!$C:$C,'Factory Costs'!$A:$A,"Blades",'Factory Costs'!$B:$B,B1945))</f>
        <v>42</v>
      </c>
    </row>
    <row r="1946" spans="1:3" x14ac:dyDescent="0.25">
      <c r="A1946" s="1" t="s">
        <v>12389</v>
      </c>
      <c r="B1946" s="1" t="s">
        <v>16371</v>
      </c>
      <c r="C1946" s="3">
        <f>IF(B1946="","",SUMIFS('Factory Costs'!$C:$C,'Factory Costs'!$A:$A,"Blades",'Factory Costs'!$B:$B,B1946))</f>
        <v>37</v>
      </c>
    </row>
    <row r="1947" spans="1:3" x14ac:dyDescent="0.25">
      <c r="A1947" s="1" t="s">
        <v>12392</v>
      </c>
      <c r="B1947" s="1" t="s">
        <v>16370</v>
      </c>
      <c r="C1947" s="3">
        <f>IF(B1947="","",SUMIFS('Factory Costs'!$C:$C,'Factory Costs'!$A:$A,"Blades",'Factory Costs'!$B:$B,B1947))</f>
        <v>34</v>
      </c>
    </row>
    <row r="1948" spans="1:3" x14ac:dyDescent="0.25">
      <c r="A1948" s="1" t="s">
        <v>12395</v>
      </c>
      <c r="B1948" s="1" t="s">
        <v>16371</v>
      </c>
      <c r="C1948" s="3">
        <f>IF(B1948="","",SUMIFS('Factory Costs'!$C:$C,'Factory Costs'!$A:$A,"Blades",'Factory Costs'!$B:$B,B1948))</f>
        <v>37</v>
      </c>
    </row>
    <row r="1949" spans="1:3" x14ac:dyDescent="0.25">
      <c r="A1949" s="1" t="s">
        <v>12398</v>
      </c>
      <c r="B1949" s="1" t="s">
        <v>16370</v>
      </c>
      <c r="C1949" s="3">
        <f>IF(B1949="","",SUMIFS('Factory Costs'!$C:$C,'Factory Costs'!$A:$A,"Blades",'Factory Costs'!$B:$B,B1949))</f>
        <v>34</v>
      </c>
    </row>
    <row r="1950" spans="1:3" x14ac:dyDescent="0.25">
      <c r="A1950" s="1" t="s">
        <v>12401</v>
      </c>
      <c r="B1950" s="1" t="s">
        <v>16370</v>
      </c>
      <c r="C1950" s="3">
        <f>IF(B1950="","",SUMIFS('Factory Costs'!$C:$C,'Factory Costs'!$A:$A,"Blades",'Factory Costs'!$B:$B,B1950))</f>
        <v>34</v>
      </c>
    </row>
    <row r="1951" spans="1:3" x14ac:dyDescent="0.25">
      <c r="A1951" s="1" t="s">
        <v>12404</v>
      </c>
      <c r="B1951" s="1" t="s">
        <v>16372</v>
      </c>
      <c r="C1951" s="3">
        <f>IF(B1951="","",SUMIFS('Factory Costs'!$C:$C,'Factory Costs'!$A:$A,"Blades",'Factory Costs'!$B:$B,B1951))</f>
        <v>42</v>
      </c>
    </row>
    <row r="1952" spans="1:3" x14ac:dyDescent="0.25">
      <c r="A1952" s="1" t="s">
        <v>12407</v>
      </c>
      <c r="B1952" s="1" t="s">
        <v>16370</v>
      </c>
      <c r="C1952" s="3">
        <f>IF(B1952="","",SUMIFS('Factory Costs'!$C:$C,'Factory Costs'!$A:$A,"Blades",'Factory Costs'!$B:$B,B1952))</f>
        <v>34</v>
      </c>
    </row>
    <row r="1953" spans="1:3" x14ac:dyDescent="0.25">
      <c r="A1953" s="1" t="s">
        <v>12410</v>
      </c>
      <c r="B1953" s="1" t="s">
        <v>16370</v>
      </c>
      <c r="C1953" s="3">
        <f>IF(B1953="","",SUMIFS('Factory Costs'!$C:$C,'Factory Costs'!$A:$A,"Blades",'Factory Costs'!$B:$B,B1953))</f>
        <v>34</v>
      </c>
    </row>
    <row r="1954" spans="1:3" x14ac:dyDescent="0.25">
      <c r="A1954" s="1" t="s">
        <v>12413</v>
      </c>
      <c r="B1954" s="1" t="s">
        <v>16372</v>
      </c>
      <c r="C1954" s="3">
        <f>IF(B1954="","",SUMIFS('Factory Costs'!$C:$C,'Factory Costs'!$A:$A,"Blades",'Factory Costs'!$B:$B,B1954))</f>
        <v>42</v>
      </c>
    </row>
    <row r="1955" spans="1:3" x14ac:dyDescent="0.25">
      <c r="A1955" s="1" t="s">
        <v>12416</v>
      </c>
      <c r="B1955" s="1" t="s">
        <v>16371</v>
      </c>
      <c r="C1955" s="3">
        <f>IF(B1955="","",SUMIFS('Factory Costs'!$C:$C,'Factory Costs'!$A:$A,"Blades",'Factory Costs'!$B:$B,B1955))</f>
        <v>37</v>
      </c>
    </row>
    <row r="1956" spans="1:3" x14ac:dyDescent="0.25">
      <c r="A1956" s="1" t="s">
        <v>12419</v>
      </c>
      <c r="B1956" s="1" t="s">
        <v>16371</v>
      </c>
      <c r="C1956" s="3">
        <f>IF(B1956="","",SUMIFS('Factory Costs'!$C:$C,'Factory Costs'!$A:$A,"Blades",'Factory Costs'!$B:$B,B1956))</f>
        <v>37</v>
      </c>
    </row>
    <row r="1957" spans="1:3" x14ac:dyDescent="0.25">
      <c r="A1957" s="1" t="s">
        <v>12422</v>
      </c>
      <c r="B1957" s="1" t="s">
        <v>16371</v>
      </c>
      <c r="C1957" s="3">
        <f>IF(B1957="","",SUMIFS('Factory Costs'!$C:$C,'Factory Costs'!$A:$A,"Blades",'Factory Costs'!$B:$B,B1957))</f>
        <v>37</v>
      </c>
    </row>
    <row r="1958" spans="1:3" x14ac:dyDescent="0.25">
      <c r="A1958" s="1" t="s">
        <v>12425</v>
      </c>
      <c r="B1958" s="1" t="s">
        <v>16372</v>
      </c>
      <c r="C1958" s="3">
        <f>IF(B1958="","",SUMIFS('Factory Costs'!$C:$C,'Factory Costs'!$A:$A,"Blades",'Factory Costs'!$B:$B,B1958))</f>
        <v>42</v>
      </c>
    </row>
    <row r="1959" spans="1:3" x14ac:dyDescent="0.25">
      <c r="A1959" s="1" t="s">
        <v>12428</v>
      </c>
      <c r="B1959" s="1" t="s">
        <v>16371</v>
      </c>
      <c r="C1959" s="3">
        <f>IF(B1959="","",SUMIFS('Factory Costs'!$C:$C,'Factory Costs'!$A:$A,"Blades",'Factory Costs'!$B:$B,B1959))</f>
        <v>37</v>
      </c>
    </row>
    <row r="1960" spans="1:3" x14ac:dyDescent="0.25">
      <c r="A1960" s="1" t="s">
        <v>12431</v>
      </c>
      <c r="B1960" s="1" t="s">
        <v>16371</v>
      </c>
      <c r="C1960" s="3">
        <f>IF(B1960="","",SUMIFS('Factory Costs'!$C:$C,'Factory Costs'!$A:$A,"Blades",'Factory Costs'!$B:$B,B1960))</f>
        <v>37</v>
      </c>
    </row>
    <row r="1961" spans="1:3" x14ac:dyDescent="0.25">
      <c r="A1961" s="1" t="s">
        <v>12434</v>
      </c>
      <c r="B1961" s="1" t="s">
        <v>16370</v>
      </c>
      <c r="C1961" s="3">
        <f>IF(B1961="","",SUMIFS('Factory Costs'!$C:$C,'Factory Costs'!$A:$A,"Blades",'Factory Costs'!$B:$B,B1961))</f>
        <v>34</v>
      </c>
    </row>
    <row r="1962" spans="1:3" x14ac:dyDescent="0.25">
      <c r="A1962" s="1" t="s">
        <v>12437</v>
      </c>
      <c r="B1962" s="1" t="s">
        <v>16372</v>
      </c>
      <c r="C1962" s="3">
        <f>IF(B1962="","",SUMIFS('Factory Costs'!$C:$C,'Factory Costs'!$A:$A,"Blades",'Factory Costs'!$B:$B,B1962))</f>
        <v>42</v>
      </c>
    </row>
    <row r="1963" spans="1:3" x14ac:dyDescent="0.25">
      <c r="A1963" s="1" t="s">
        <v>12440</v>
      </c>
      <c r="B1963" s="1" t="s">
        <v>16372</v>
      </c>
      <c r="C1963" s="3">
        <f>IF(B1963="","",SUMIFS('Factory Costs'!$C:$C,'Factory Costs'!$A:$A,"Blades",'Factory Costs'!$B:$B,B1963))</f>
        <v>42</v>
      </c>
    </row>
    <row r="1964" spans="1:3" x14ac:dyDescent="0.25">
      <c r="A1964" s="1" t="s">
        <v>12443</v>
      </c>
      <c r="B1964" s="1" t="s">
        <v>16370</v>
      </c>
      <c r="C1964" s="3">
        <f>IF(B1964="","",SUMIFS('Factory Costs'!$C:$C,'Factory Costs'!$A:$A,"Blades",'Factory Costs'!$B:$B,B1964))</f>
        <v>34</v>
      </c>
    </row>
    <row r="1965" spans="1:3" x14ac:dyDescent="0.25">
      <c r="A1965" s="1" t="s">
        <v>12446</v>
      </c>
      <c r="B1965" s="1" t="s">
        <v>16371</v>
      </c>
      <c r="C1965" s="3">
        <f>IF(B1965="","",SUMIFS('Factory Costs'!$C:$C,'Factory Costs'!$A:$A,"Blades",'Factory Costs'!$B:$B,B1965))</f>
        <v>37</v>
      </c>
    </row>
    <row r="1966" spans="1:3" x14ac:dyDescent="0.25">
      <c r="A1966" s="1" t="s">
        <v>12449</v>
      </c>
      <c r="B1966" s="1" t="s">
        <v>16372</v>
      </c>
      <c r="C1966" s="3">
        <f>IF(B1966="","",SUMIFS('Factory Costs'!$C:$C,'Factory Costs'!$A:$A,"Blades",'Factory Costs'!$B:$B,B1966))</f>
        <v>42</v>
      </c>
    </row>
    <row r="1967" spans="1:3" x14ac:dyDescent="0.25">
      <c r="A1967" s="1" t="s">
        <v>12452</v>
      </c>
      <c r="B1967" s="1" t="s">
        <v>16370</v>
      </c>
      <c r="C1967" s="3">
        <f>IF(B1967="","",SUMIFS('Factory Costs'!$C:$C,'Factory Costs'!$A:$A,"Blades",'Factory Costs'!$B:$B,B1967))</f>
        <v>34</v>
      </c>
    </row>
    <row r="1968" spans="1:3" x14ac:dyDescent="0.25">
      <c r="A1968" s="1" t="s">
        <v>12455</v>
      </c>
      <c r="B1968" s="1" t="s">
        <v>16370</v>
      </c>
      <c r="C1968" s="3">
        <f>IF(B1968="","",SUMIFS('Factory Costs'!$C:$C,'Factory Costs'!$A:$A,"Blades",'Factory Costs'!$B:$B,B1968))</f>
        <v>34</v>
      </c>
    </row>
    <row r="1969" spans="1:3" x14ac:dyDescent="0.25">
      <c r="A1969" s="1" t="s">
        <v>12458</v>
      </c>
      <c r="B1969" s="1" t="s">
        <v>16371</v>
      </c>
      <c r="C1969" s="3">
        <f>IF(B1969="","",SUMIFS('Factory Costs'!$C:$C,'Factory Costs'!$A:$A,"Blades",'Factory Costs'!$B:$B,B1969))</f>
        <v>37</v>
      </c>
    </row>
    <row r="1970" spans="1:3" x14ac:dyDescent="0.25">
      <c r="A1970" s="1" t="s">
        <v>12461</v>
      </c>
      <c r="B1970" s="1" t="s">
        <v>16372</v>
      </c>
      <c r="C1970" s="3">
        <f>IF(B1970="","",SUMIFS('Factory Costs'!$C:$C,'Factory Costs'!$A:$A,"Blades",'Factory Costs'!$B:$B,B1970))</f>
        <v>42</v>
      </c>
    </row>
    <row r="1971" spans="1:3" x14ac:dyDescent="0.25">
      <c r="A1971" s="1" t="s">
        <v>12464</v>
      </c>
      <c r="B1971" s="1" t="s">
        <v>16370</v>
      </c>
      <c r="C1971" s="3">
        <f>IF(B1971="","",SUMIFS('Factory Costs'!$C:$C,'Factory Costs'!$A:$A,"Blades",'Factory Costs'!$B:$B,B1971))</f>
        <v>34</v>
      </c>
    </row>
    <row r="1972" spans="1:3" x14ac:dyDescent="0.25">
      <c r="A1972" s="1" t="s">
        <v>12467</v>
      </c>
      <c r="B1972" s="1" t="s">
        <v>16371</v>
      </c>
      <c r="C1972" s="3">
        <f>IF(B1972="","",SUMIFS('Factory Costs'!$C:$C,'Factory Costs'!$A:$A,"Blades",'Factory Costs'!$B:$B,B1972))</f>
        <v>37</v>
      </c>
    </row>
    <row r="1973" spans="1:3" x14ac:dyDescent="0.25">
      <c r="A1973" s="1" t="s">
        <v>12470</v>
      </c>
      <c r="B1973" s="1" t="s">
        <v>16372</v>
      </c>
      <c r="C1973" s="3">
        <f>IF(B1973="","",SUMIFS('Factory Costs'!$C:$C,'Factory Costs'!$A:$A,"Blades",'Factory Costs'!$B:$B,B1973))</f>
        <v>42</v>
      </c>
    </row>
    <row r="1974" spans="1:3" x14ac:dyDescent="0.25">
      <c r="A1974" s="1" t="s">
        <v>12473</v>
      </c>
      <c r="B1974" s="1" t="s">
        <v>16371</v>
      </c>
      <c r="C1974" s="3">
        <f>IF(B1974="","",SUMIFS('Factory Costs'!$C:$C,'Factory Costs'!$A:$A,"Blades",'Factory Costs'!$B:$B,B1974))</f>
        <v>37</v>
      </c>
    </row>
    <row r="1975" spans="1:3" x14ac:dyDescent="0.25">
      <c r="A1975" s="1" t="s">
        <v>12476</v>
      </c>
      <c r="B1975" s="1" t="s">
        <v>16370</v>
      </c>
      <c r="C1975" s="3">
        <f>IF(B1975="","",SUMIFS('Factory Costs'!$C:$C,'Factory Costs'!$A:$A,"Blades",'Factory Costs'!$B:$B,B1975))</f>
        <v>34</v>
      </c>
    </row>
    <row r="1976" spans="1:3" x14ac:dyDescent="0.25">
      <c r="A1976" s="1" t="s">
        <v>12479</v>
      </c>
      <c r="B1976" s="1" t="s">
        <v>16372</v>
      </c>
      <c r="C1976" s="3">
        <f>IF(B1976="","",SUMIFS('Factory Costs'!$C:$C,'Factory Costs'!$A:$A,"Blades",'Factory Costs'!$B:$B,B1976))</f>
        <v>42</v>
      </c>
    </row>
    <row r="1977" spans="1:3" x14ac:dyDescent="0.25">
      <c r="A1977" s="1" t="s">
        <v>12482</v>
      </c>
      <c r="B1977" s="1" t="s">
        <v>16370</v>
      </c>
      <c r="C1977" s="3">
        <f>IF(B1977="","",SUMIFS('Factory Costs'!$C:$C,'Factory Costs'!$A:$A,"Blades",'Factory Costs'!$B:$B,B1977))</f>
        <v>34</v>
      </c>
    </row>
    <row r="1978" spans="1:3" x14ac:dyDescent="0.25">
      <c r="A1978" s="1" t="s">
        <v>12485</v>
      </c>
      <c r="B1978" s="1" t="s">
        <v>16370</v>
      </c>
      <c r="C1978" s="3">
        <f>IF(B1978="","",SUMIFS('Factory Costs'!$C:$C,'Factory Costs'!$A:$A,"Blades",'Factory Costs'!$B:$B,B1978))</f>
        <v>34</v>
      </c>
    </row>
    <row r="1979" spans="1:3" x14ac:dyDescent="0.25">
      <c r="A1979" s="1" t="s">
        <v>12488</v>
      </c>
      <c r="B1979" s="1" t="s">
        <v>16370</v>
      </c>
      <c r="C1979" s="3">
        <f>IF(B1979="","",SUMIFS('Factory Costs'!$C:$C,'Factory Costs'!$A:$A,"Blades",'Factory Costs'!$B:$B,B1979))</f>
        <v>34</v>
      </c>
    </row>
    <row r="1980" spans="1:3" x14ac:dyDescent="0.25">
      <c r="A1980" s="1" t="s">
        <v>12491</v>
      </c>
      <c r="B1980" s="1" t="s">
        <v>16372</v>
      </c>
      <c r="C1980" s="3">
        <f>IF(B1980="","",SUMIFS('Factory Costs'!$C:$C,'Factory Costs'!$A:$A,"Blades",'Factory Costs'!$B:$B,B1980))</f>
        <v>42</v>
      </c>
    </row>
    <row r="1981" spans="1:3" x14ac:dyDescent="0.25">
      <c r="A1981" s="1" t="s">
        <v>12494</v>
      </c>
      <c r="B1981" s="1" t="s">
        <v>16370</v>
      </c>
      <c r="C1981" s="3">
        <f>IF(B1981="","",SUMIFS('Factory Costs'!$C:$C,'Factory Costs'!$A:$A,"Blades",'Factory Costs'!$B:$B,B1981))</f>
        <v>34</v>
      </c>
    </row>
    <row r="1982" spans="1:3" x14ac:dyDescent="0.25">
      <c r="A1982" s="1" t="s">
        <v>12497</v>
      </c>
      <c r="B1982" s="1" t="s">
        <v>16370</v>
      </c>
      <c r="C1982" s="3">
        <f>IF(B1982="","",SUMIFS('Factory Costs'!$C:$C,'Factory Costs'!$A:$A,"Blades",'Factory Costs'!$B:$B,B1982))</f>
        <v>34</v>
      </c>
    </row>
    <row r="1983" spans="1:3" x14ac:dyDescent="0.25">
      <c r="A1983" s="1" t="s">
        <v>12500</v>
      </c>
      <c r="B1983" s="1" t="s">
        <v>16371</v>
      </c>
      <c r="C1983" s="3">
        <f>IF(B1983="","",SUMIFS('Factory Costs'!$C:$C,'Factory Costs'!$A:$A,"Blades",'Factory Costs'!$B:$B,B1983))</f>
        <v>37</v>
      </c>
    </row>
    <row r="1984" spans="1:3" x14ac:dyDescent="0.25">
      <c r="A1984" s="1" t="s">
        <v>12503</v>
      </c>
      <c r="B1984" s="1" t="s">
        <v>16370</v>
      </c>
      <c r="C1984" s="3">
        <f>IF(B1984="","",SUMIFS('Factory Costs'!$C:$C,'Factory Costs'!$A:$A,"Blades",'Factory Costs'!$B:$B,B1984))</f>
        <v>34</v>
      </c>
    </row>
    <row r="1985" spans="1:3" x14ac:dyDescent="0.25">
      <c r="A1985" s="1" t="s">
        <v>12506</v>
      </c>
      <c r="B1985" s="1" t="s">
        <v>16371</v>
      </c>
      <c r="C1985" s="3">
        <f>IF(B1985="","",SUMIFS('Factory Costs'!$C:$C,'Factory Costs'!$A:$A,"Blades",'Factory Costs'!$B:$B,B1985))</f>
        <v>37</v>
      </c>
    </row>
    <row r="1986" spans="1:3" x14ac:dyDescent="0.25">
      <c r="A1986" s="1" t="s">
        <v>12509</v>
      </c>
      <c r="B1986" s="1" t="s">
        <v>16372</v>
      </c>
      <c r="C1986" s="3">
        <f>IF(B1986="","",SUMIFS('Factory Costs'!$C:$C,'Factory Costs'!$A:$A,"Blades",'Factory Costs'!$B:$B,B1986))</f>
        <v>42</v>
      </c>
    </row>
    <row r="1987" spans="1:3" x14ac:dyDescent="0.25">
      <c r="A1987" s="1" t="s">
        <v>12512</v>
      </c>
      <c r="B1987" s="1" t="s">
        <v>16370</v>
      </c>
      <c r="C1987" s="3">
        <f>IF(B1987="","",SUMIFS('Factory Costs'!$C:$C,'Factory Costs'!$A:$A,"Blades",'Factory Costs'!$B:$B,B1987))</f>
        <v>34</v>
      </c>
    </row>
    <row r="1988" spans="1:3" x14ac:dyDescent="0.25">
      <c r="A1988" s="1" t="s">
        <v>12515</v>
      </c>
      <c r="B1988" s="1" t="s">
        <v>16371</v>
      </c>
      <c r="C1988" s="3">
        <f>IF(B1988="","",SUMIFS('Factory Costs'!$C:$C,'Factory Costs'!$A:$A,"Blades",'Factory Costs'!$B:$B,B1988))</f>
        <v>37</v>
      </c>
    </row>
    <row r="1989" spans="1:3" x14ac:dyDescent="0.25">
      <c r="A1989" s="1" t="s">
        <v>12518</v>
      </c>
      <c r="B1989" s="1" t="s">
        <v>16370</v>
      </c>
      <c r="C1989" s="3">
        <f>IF(B1989="","",SUMIFS('Factory Costs'!$C:$C,'Factory Costs'!$A:$A,"Blades",'Factory Costs'!$B:$B,B1989))</f>
        <v>34</v>
      </c>
    </row>
    <row r="1990" spans="1:3" x14ac:dyDescent="0.25">
      <c r="A1990" s="1" t="s">
        <v>12521</v>
      </c>
      <c r="B1990" s="1" t="s">
        <v>16370</v>
      </c>
      <c r="C1990" s="3">
        <f>IF(B1990="","",SUMIFS('Factory Costs'!$C:$C,'Factory Costs'!$A:$A,"Blades",'Factory Costs'!$B:$B,B1990))</f>
        <v>34</v>
      </c>
    </row>
    <row r="1991" spans="1:3" x14ac:dyDescent="0.25">
      <c r="A1991" s="1" t="s">
        <v>12524</v>
      </c>
      <c r="B1991" s="1" t="s">
        <v>16371</v>
      </c>
      <c r="C1991" s="3">
        <f>IF(B1991="","",SUMIFS('Factory Costs'!$C:$C,'Factory Costs'!$A:$A,"Blades",'Factory Costs'!$B:$B,B1991))</f>
        <v>37</v>
      </c>
    </row>
    <row r="1992" spans="1:3" x14ac:dyDescent="0.25">
      <c r="A1992" s="1" t="s">
        <v>12527</v>
      </c>
      <c r="B1992" s="1" t="s">
        <v>16370</v>
      </c>
      <c r="C1992" s="3">
        <f>IF(B1992="","",SUMIFS('Factory Costs'!$C:$C,'Factory Costs'!$A:$A,"Blades",'Factory Costs'!$B:$B,B1992))</f>
        <v>34</v>
      </c>
    </row>
    <row r="1993" spans="1:3" x14ac:dyDescent="0.25">
      <c r="A1993" s="1" t="s">
        <v>12530</v>
      </c>
      <c r="B1993" s="1" t="s">
        <v>16372</v>
      </c>
      <c r="C1993" s="3">
        <f>IF(B1993="","",SUMIFS('Factory Costs'!$C:$C,'Factory Costs'!$A:$A,"Blades",'Factory Costs'!$B:$B,B1993))</f>
        <v>42</v>
      </c>
    </row>
    <row r="1994" spans="1:3" x14ac:dyDescent="0.25">
      <c r="A1994" s="1" t="s">
        <v>12533</v>
      </c>
      <c r="B1994" s="1" t="s">
        <v>16371</v>
      </c>
      <c r="C1994" s="3">
        <f>IF(B1994="","",SUMIFS('Factory Costs'!$C:$C,'Factory Costs'!$A:$A,"Blades",'Factory Costs'!$B:$B,B1994))</f>
        <v>37</v>
      </c>
    </row>
    <row r="1995" spans="1:3" x14ac:dyDescent="0.25">
      <c r="A1995" s="1" t="s">
        <v>12536</v>
      </c>
      <c r="B1995" s="1" t="s">
        <v>16372</v>
      </c>
      <c r="C1995" s="3">
        <f>IF(B1995="","",SUMIFS('Factory Costs'!$C:$C,'Factory Costs'!$A:$A,"Blades",'Factory Costs'!$B:$B,B1995))</f>
        <v>42</v>
      </c>
    </row>
    <row r="1996" spans="1:3" x14ac:dyDescent="0.25">
      <c r="A1996" s="1" t="s">
        <v>12539</v>
      </c>
      <c r="B1996" s="1" t="s">
        <v>16372</v>
      </c>
      <c r="C1996" s="3">
        <f>IF(B1996="","",SUMIFS('Factory Costs'!$C:$C,'Factory Costs'!$A:$A,"Blades",'Factory Costs'!$B:$B,B1996))</f>
        <v>42</v>
      </c>
    </row>
    <row r="1997" spans="1:3" x14ac:dyDescent="0.25">
      <c r="A1997" s="1" t="s">
        <v>12542</v>
      </c>
      <c r="B1997" s="1" t="s">
        <v>16370</v>
      </c>
      <c r="C1997" s="3">
        <f>IF(B1997="","",SUMIFS('Factory Costs'!$C:$C,'Factory Costs'!$A:$A,"Blades",'Factory Costs'!$B:$B,B1997))</f>
        <v>34</v>
      </c>
    </row>
    <row r="1998" spans="1:3" x14ac:dyDescent="0.25">
      <c r="A1998" s="1" t="s">
        <v>12545</v>
      </c>
      <c r="B1998" s="1" t="s">
        <v>16372</v>
      </c>
      <c r="C1998" s="3">
        <f>IF(B1998="","",SUMIFS('Factory Costs'!$C:$C,'Factory Costs'!$A:$A,"Blades",'Factory Costs'!$B:$B,B1998))</f>
        <v>42</v>
      </c>
    </row>
    <row r="1999" spans="1:3" x14ac:dyDescent="0.25">
      <c r="A1999" s="1" t="s">
        <v>12548</v>
      </c>
      <c r="B1999" s="1" t="s">
        <v>16370</v>
      </c>
      <c r="C1999" s="3">
        <f>IF(B1999="","",SUMIFS('Factory Costs'!$C:$C,'Factory Costs'!$A:$A,"Blades",'Factory Costs'!$B:$B,B1999))</f>
        <v>34</v>
      </c>
    </row>
    <row r="2000" spans="1:3" x14ac:dyDescent="0.25">
      <c r="A2000" s="1" t="s">
        <v>12551</v>
      </c>
      <c r="B2000" s="1" t="s">
        <v>16372</v>
      </c>
      <c r="C2000" s="3">
        <f>IF(B2000="","",SUMIFS('Factory Costs'!$C:$C,'Factory Costs'!$A:$A,"Blades",'Factory Costs'!$B:$B,B2000))</f>
        <v>42</v>
      </c>
    </row>
    <row r="2001" spans="1:3" x14ac:dyDescent="0.25">
      <c r="A2001" s="1" t="s">
        <v>12554</v>
      </c>
      <c r="B2001" s="1" t="s">
        <v>16371</v>
      </c>
      <c r="C2001" s="3">
        <f>IF(B2001="","",SUMIFS('Factory Costs'!$C:$C,'Factory Costs'!$A:$A,"Blades",'Factory Costs'!$B:$B,B2001))</f>
        <v>37</v>
      </c>
    </row>
    <row r="2002" spans="1:3" x14ac:dyDescent="0.25">
      <c r="A2002" s="1" t="s">
        <v>12557</v>
      </c>
      <c r="B2002" s="1" t="s">
        <v>16370</v>
      </c>
      <c r="C2002" s="3">
        <f>IF(B2002="","",SUMIFS('Factory Costs'!$C:$C,'Factory Costs'!$A:$A,"Blades",'Factory Costs'!$B:$B,B2002))</f>
        <v>34</v>
      </c>
    </row>
    <row r="2003" spans="1:3" x14ac:dyDescent="0.25">
      <c r="A2003" s="1" t="s">
        <v>12560</v>
      </c>
      <c r="B2003" s="1" t="s">
        <v>16372</v>
      </c>
      <c r="C2003" s="3">
        <f>IF(B2003="","",SUMIFS('Factory Costs'!$C:$C,'Factory Costs'!$A:$A,"Blades",'Factory Costs'!$B:$B,B2003))</f>
        <v>42</v>
      </c>
    </row>
    <row r="2004" spans="1:3" x14ac:dyDescent="0.25">
      <c r="A2004" s="1" t="s">
        <v>12563</v>
      </c>
      <c r="B2004" s="1" t="s">
        <v>16372</v>
      </c>
      <c r="C2004" s="3">
        <f>IF(B2004="","",SUMIFS('Factory Costs'!$C:$C,'Factory Costs'!$A:$A,"Blades",'Factory Costs'!$B:$B,B2004))</f>
        <v>42</v>
      </c>
    </row>
    <row r="2005" spans="1:3" x14ac:dyDescent="0.25">
      <c r="A2005" s="1" t="s">
        <v>12566</v>
      </c>
      <c r="B2005" s="1" t="s">
        <v>16370</v>
      </c>
      <c r="C2005" s="3">
        <f>IF(B2005="","",SUMIFS('Factory Costs'!$C:$C,'Factory Costs'!$A:$A,"Blades",'Factory Costs'!$B:$B,B2005))</f>
        <v>34</v>
      </c>
    </row>
    <row r="2006" spans="1:3" x14ac:dyDescent="0.25">
      <c r="A2006" s="1" t="s">
        <v>12569</v>
      </c>
      <c r="B2006" s="1" t="s">
        <v>16370</v>
      </c>
      <c r="C2006" s="3">
        <f>IF(B2006="","",SUMIFS('Factory Costs'!$C:$C,'Factory Costs'!$A:$A,"Blades",'Factory Costs'!$B:$B,B2006))</f>
        <v>34</v>
      </c>
    </row>
    <row r="2007" spans="1:3" x14ac:dyDescent="0.25">
      <c r="A2007" s="1" t="s">
        <v>12572</v>
      </c>
      <c r="B2007" s="1" t="s">
        <v>16371</v>
      </c>
      <c r="C2007" s="3">
        <f>IF(B2007="","",SUMIFS('Factory Costs'!$C:$C,'Factory Costs'!$A:$A,"Blades",'Factory Costs'!$B:$B,B2007))</f>
        <v>37</v>
      </c>
    </row>
    <row r="2008" spans="1:3" x14ac:dyDescent="0.25">
      <c r="A2008" s="1" t="s">
        <v>12575</v>
      </c>
      <c r="B2008" s="1" t="s">
        <v>16370</v>
      </c>
      <c r="C2008" s="3">
        <f>IF(B2008="","",SUMIFS('Factory Costs'!$C:$C,'Factory Costs'!$A:$A,"Blades",'Factory Costs'!$B:$B,B2008))</f>
        <v>34</v>
      </c>
    </row>
    <row r="2009" spans="1:3" x14ac:dyDescent="0.25">
      <c r="A2009" s="1" t="s">
        <v>12578</v>
      </c>
      <c r="B2009" s="1" t="s">
        <v>16371</v>
      </c>
      <c r="C2009" s="3">
        <f>IF(B2009="","",SUMIFS('Factory Costs'!$C:$C,'Factory Costs'!$A:$A,"Blades",'Factory Costs'!$B:$B,B2009))</f>
        <v>37</v>
      </c>
    </row>
    <row r="2010" spans="1:3" x14ac:dyDescent="0.25">
      <c r="A2010" s="1" t="s">
        <v>12581</v>
      </c>
      <c r="B2010" s="1" t="s">
        <v>16370</v>
      </c>
      <c r="C2010" s="3">
        <f>IF(B2010="","",SUMIFS('Factory Costs'!$C:$C,'Factory Costs'!$A:$A,"Blades",'Factory Costs'!$B:$B,B2010))</f>
        <v>34</v>
      </c>
    </row>
    <row r="2011" spans="1:3" x14ac:dyDescent="0.25">
      <c r="A2011" s="1" t="s">
        <v>12584</v>
      </c>
      <c r="B2011" s="1" t="s">
        <v>16371</v>
      </c>
      <c r="C2011" s="3">
        <f>IF(B2011="","",SUMIFS('Factory Costs'!$C:$C,'Factory Costs'!$A:$A,"Blades",'Factory Costs'!$B:$B,B2011))</f>
        <v>37</v>
      </c>
    </row>
    <row r="2012" spans="1:3" x14ac:dyDescent="0.25">
      <c r="A2012" s="1" t="s">
        <v>12587</v>
      </c>
      <c r="B2012" s="1" t="s">
        <v>16370</v>
      </c>
      <c r="C2012" s="3">
        <f>IF(B2012="","",SUMIFS('Factory Costs'!$C:$C,'Factory Costs'!$A:$A,"Blades",'Factory Costs'!$B:$B,B2012))</f>
        <v>34</v>
      </c>
    </row>
    <row r="2013" spans="1:3" x14ac:dyDescent="0.25">
      <c r="A2013" s="1" t="s">
        <v>12590</v>
      </c>
      <c r="B2013" s="1" t="s">
        <v>16372</v>
      </c>
      <c r="C2013" s="3">
        <f>IF(B2013="","",SUMIFS('Factory Costs'!$C:$C,'Factory Costs'!$A:$A,"Blades",'Factory Costs'!$B:$B,B2013))</f>
        <v>42</v>
      </c>
    </row>
    <row r="2014" spans="1:3" x14ac:dyDescent="0.25">
      <c r="A2014" s="1" t="s">
        <v>12593</v>
      </c>
      <c r="B2014" s="1" t="s">
        <v>16371</v>
      </c>
      <c r="C2014" s="3">
        <f>IF(B2014="","",SUMIFS('Factory Costs'!$C:$C,'Factory Costs'!$A:$A,"Blades",'Factory Costs'!$B:$B,B2014))</f>
        <v>37</v>
      </c>
    </row>
    <row r="2015" spans="1:3" x14ac:dyDescent="0.25">
      <c r="A2015" s="1" t="s">
        <v>12596</v>
      </c>
      <c r="B2015" s="1" t="s">
        <v>16371</v>
      </c>
      <c r="C2015" s="3">
        <f>IF(B2015="","",SUMIFS('Factory Costs'!$C:$C,'Factory Costs'!$A:$A,"Blades",'Factory Costs'!$B:$B,B2015))</f>
        <v>37</v>
      </c>
    </row>
    <row r="2016" spans="1:3" x14ac:dyDescent="0.25">
      <c r="A2016" s="1" t="s">
        <v>12599</v>
      </c>
      <c r="B2016" s="1" t="s">
        <v>16372</v>
      </c>
      <c r="C2016" s="3">
        <f>IF(B2016="","",SUMIFS('Factory Costs'!$C:$C,'Factory Costs'!$A:$A,"Blades",'Factory Costs'!$B:$B,B2016))</f>
        <v>42</v>
      </c>
    </row>
    <row r="2017" spans="1:3" x14ac:dyDescent="0.25">
      <c r="A2017" s="1" t="s">
        <v>12602</v>
      </c>
      <c r="B2017" s="1" t="s">
        <v>16372</v>
      </c>
      <c r="C2017" s="3">
        <f>IF(B2017="","",SUMIFS('Factory Costs'!$C:$C,'Factory Costs'!$A:$A,"Blades",'Factory Costs'!$B:$B,B2017))</f>
        <v>42</v>
      </c>
    </row>
    <row r="2018" spans="1:3" x14ac:dyDescent="0.25">
      <c r="A2018" s="1" t="s">
        <v>12605</v>
      </c>
      <c r="B2018" s="1" t="s">
        <v>16371</v>
      </c>
      <c r="C2018" s="3">
        <f>IF(B2018="","",SUMIFS('Factory Costs'!$C:$C,'Factory Costs'!$A:$A,"Blades",'Factory Costs'!$B:$B,B2018))</f>
        <v>37</v>
      </c>
    </row>
    <row r="2019" spans="1:3" x14ac:dyDescent="0.25">
      <c r="A2019" s="1" t="s">
        <v>12608</v>
      </c>
      <c r="B2019" s="1" t="s">
        <v>16372</v>
      </c>
      <c r="C2019" s="3">
        <f>IF(B2019="","",SUMIFS('Factory Costs'!$C:$C,'Factory Costs'!$A:$A,"Blades",'Factory Costs'!$B:$B,B2019))</f>
        <v>42</v>
      </c>
    </row>
    <row r="2020" spans="1:3" x14ac:dyDescent="0.25">
      <c r="A2020" s="1" t="s">
        <v>12611</v>
      </c>
      <c r="B2020" s="1" t="s">
        <v>16372</v>
      </c>
      <c r="C2020" s="3">
        <f>IF(B2020="","",SUMIFS('Factory Costs'!$C:$C,'Factory Costs'!$A:$A,"Blades",'Factory Costs'!$B:$B,B2020))</f>
        <v>42</v>
      </c>
    </row>
    <row r="2021" spans="1:3" x14ac:dyDescent="0.25">
      <c r="A2021" s="1" t="s">
        <v>12614</v>
      </c>
      <c r="B2021" s="1" t="s">
        <v>16370</v>
      </c>
      <c r="C2021" s="3">
        <f>IF(B2021="","",SUMIFS('Factory Costs'!$C:$C,'Factory Costs'!$A:$A,"Blades",'Factory Costs'!$B:$B,B2021))</f>
        <v>34</v>
      </c>
    </row>
    <row r="2022" spans="1:3" x14ac:dyDescent="0.25">
      <c r="A2022" s="1" t="s">
        <v>12617</v>
      </c>
      <c r="B2022" s="1" t="s">
        <v>16372</v>
      </c>
      <c r="C2022" s="3">
        <f>IF(B2022="","",SUMIFS('Factory Costs'!$C:$C,'Factory Costs'!$A:$A,"Blades",'Factory Costs'!$B:$B,B2022))</f>
        <v>42</v>
      </c>
    </row>
    <row r="2023" spans="1:3" x14ac:dyDescent="0.25">
      <c r="A2023" s="1" t="s">
        <v>12620</v>
      </c>
      <c r="B2023" s="1" t="s">
        <v>16370</v>
      </c>
      <c r="C2023" s="3">
        <f>IF(B2023="","",SUMIFS('Factory Costs'!$C:$C,'Factory Costs'!$A:$A,"Blades",'Factory Costs'!$B:$B,B2023))</f>
        <v>34</v>
      </c>
    </row>
    <row r="2024" spans="1:3" x14ac:dyDescent="0.25">
      <c r="A2024" s="1" t="s">
        <v>12623</v>
      </c>
      <c r="B2024" s="1" t="s">
        <v>16371</v>
      </c>
      <c r="C2024" s="3">
        <f>IF(B2024="","",SUMIFS('Factory Costs'!$C:$C,'Factory Costs'!$A:$A,"Blades",'Factory Costs'!$B:$B,B2024))</f>
        <v>37</v>
      </c>
    </row>
    <row r="2025" spans="1:3" x14ac:dyDescent="0.25">
      <c r="A2025" s="1" t="s">
        <v>12626</v>
      </c>
      <c r="B2025" s="1" t="s">
        <v>16371</v>
      </c>
      <c r="C2025" s="3">
        <f>IF(B2025="","",SUMIFS('Factory Costs'!$C:$C,'Factory Costs'!$A:$A,"Blades",'Factory Costs'!$B:$B,B2025))</f>
        <v>37</v>
      </c>
    </row>
    <row r="2026" spans="1:3" x14ac:dyDescent="0.25">
      <c r="A2026" s="1" t="s">
        <v>12629</v>
      </c>
      <c r="B2026" s="1" t="s">
        <v>16370</v>
      </c>
      <c r="C2026" s="3">
        <f>IF(B2026="","",SUMIFS('Factory Costs'!$C:$C,'Factory Costs'!$A:$A,"Blades",'Factory Costs'!$B:$B,B2026))</f>
        <v>34</v>
      </c>
    </row>
    <row r="2027" spans="1:3" x14ac:dyDescent="0.25">
      <c r="A2027" s="1" t="s">
        <v>12632</v>
      </c>
      <c r="B2027" s="1" t="s">
        <v>16371</v>
      </c>
      <c r="C2027" s="3">
        <f>IF(B2027="","",SUMIFS('Factory Costs'!$C:$C,'Factory Costs'!$A:$A,"Blades",'Factory Costs'!$B:$B,B2027))</f>
        <v>37</v>
      </c>
    </row>
    <row r="2028" spans="1:3" x14ac:dyDescent="0.25">
      <c r="A2028" s="1" t="s">
        <v>12635</v>
      </c>
      <c r="B2028" s="1" t="s">
        <v>16372</v>
      </c>
      <c r="C2028" s="3">
        <f>IF(B2028="","",SUMIFS('Factory Costs'!$C:$C,'Factory Costs'!$A:$A,"Blades",'Factory Costs'!$B:$B,B2028))</f>
        <v>42</v>
      </c>
    </row>
    <row r="2029" spans="1:3" x14ac:dyDescent="0.25">
      <c r="A2029" s="1" t="s">
        <v>12638</v>
      </c>
      <c r="B2029" s="1" t="s">
        <v>16370</v>
      </c>
      <c r="C2029" s="3">
        <f>IF(B2029="","",SUMIFS('Factory Costs'!$C:$C,'Factory Costs'!$A:$A,"Blades",'Factory Costs'!$B:$B,B2029))</f>
        <v>34</v>
      </c>
    </row>
    <row r="2030" spans="1:3" x14ac:dyDescent="0.25">
      <c r="A2030" s="1" t="s">
        <v>12641</v>
      </c>
      <c r="B2030" s="1" t="s">
        <v>16370</v>
      </c>
      <c r="C2030" s="3">
        <f>IF(B2030="","",SUMIFS('Factory Costs'!$C:$C,'Factory Costs'!$A:$A,"Blades",'Factory Costs'!$B:$B,B2030))</f>
        <v>34</v>
      </c>
    </row>
    <row r="2031" spans="1:3" x14ac:dyDescent="0.25">
      <c r="A2031" s="1" t="s">
        <v>12644</v>
      </c>
      <c r="B2031" s="1" t="s">
        <v>16372</v>
      </c>
      <c r="C2031" s="3">
        <f>IF(B2031="","",SUMIFS('Factory Costs'!$C:$C,'Factory Costs'!$A:$A,"Blades",'Factory Costs'!$B:$B,B2031))</f>
        <v>42</v>
      </c>
    </row>
    <row r="2032" spans="1:3" x14ac:dyDescent="0.25">
      <c r="A2032" s="1" t="s">
        <v>12647</v>
      </c>
      <c r="B2032" s="1" t="s">
        <v>16370</v>
      </c>
      <c r="C2032" s="3">
        <f>IF(B2032="","",SUMIFS('Factory Costs'!$C:$C,'Factory Costs'!$A:$A,"Blades",'Factory Costs'!$B:$B,B2032))</f>
        <v>34</v>
      </c>
    </row>
    <row r="2033" spans="1:3" x14ac:dyDescent="0.25">
      <c r="A2033" s="1" t="s">
        <v>12650</v>
      </c>
      <c r="B2033" s="1" t="s">
        <v>16372</v>
      </c>
      <c r="C2033" s="3">
        <f>IF(B2033="","",SUMIFS('Factory Costs'!$C:$C,'Factory Costs'!$A:$A,"Blades",'Factory Costs'!$B:$B,B2033))</f>
        <v>42</v>
      </c>
    </row>
    <row r="2034" spans="1:3" x14ac:dyDescent="0.25">
      <c r="A2034" s="1" t="s">
        <v>12653</v>
      </c>
      <c r="B2034" s="1" t="s">
        <v>16370</v>
      </c>
      <c r="C2034" s="3">
        <f>IF(B2034="","",SUMIFS('Factory Costs'!$C:$C,'Factory Costs'!$A:$A,"Blades",'Factory Costs'!$B:$B,B2034))</f>
        <v>34</v>
      </c>
    </row>
    <row r="2035" spans="1:3" x14ac:dyDescent="0.25">
      <c r="A2035" s="1" t="s">
        <v>12656</v>
      </c>
      <c r="B2035" s="1" t="s">
        <v>16370</v>
      </c>
      <c r="C2035" s="3">
        <f>IF(B2035="","",SUMIFS('Factory Costs'!$C:$C,'Factory Costs'!$A:$A,"Blades",'Factory Costs'!$B:$B,B2035))</f>
        <v>34</v>
      </c>
    </row>
    <row r="2036" spans="1:3" x14ac:dyDescent="0.25">
      <c r="A2036" s="1" t="s">
        <v>12659</v>
      </c>
      <c r="B2036" s="1" t="s">
        <v>16372</v>
      </c>
      <c r="C2036" s="3">
        <f>IF(B2036="","",SUMIFS('Factory Costs'!$C:$C,'Factory Costs'!$A:$A,"Blades",'Factory Costs'!$B:$B,B2036))</f>
        <v>42</v>
      </c>
    </row>
    <row r="2037" spans="1:3" x14ac:dyDescent="0.25">
      <c r="A2037" s="1" t="s">
        <v>12662</v>
      </c>
      <c r="B2037" s="1" t="s">
        <v>16371</v>
      </c>
      <c r="C2037" s="3">
        <f>IF(B2037="","",SUMIFS('Factory Costs'!$C:$C,'Factory Costs'!$A:$A,"Blades",'Factory Costs'!$B:$B,B2037))</f>
        <v>37</v>
      </c>
    </row>
    <row r="2038" spans="1:3" x14ac:dyDescent="0.25">
      <c r="A2038" s="1" t="s">
        <v>12665</v>
      </c>
      <c r="B2038" s="1" t="s">
        <v>16372</v>
      </c>
      <c r="C2038" s="3">
        <f>IF(B2038="","",SUMIFS('Factory Costs'!$C:$C,'Factory Costs'!$A:$A,"Blades",'Factory Costs'!$B:$B,B2038))</f>
        <v>42</v>
      </c>
    </row>
    <row r="2039" spans="1:3" x14ac:dyDescent="0.25">
      <c r="A2039" s="1" t="s">
        <v>12668</v>
      </c>
      <c r="B2039" s="1" t="s">
        <v>16370</v>
      </c>
      <c r="C2039" s="3">
        <f>IF(B2039="","",SUMIFS('Factory Costs'!$C:$C,'Factory Costs'!$A:$A,"Blades",'Factory Costs'!$B:$B,B2039))</f>
        <v>34</v>
      </c>
    </row>
    <row r="2040" spans="1:3" x14ac:dyDescent="0.25">
      <c r="A2040" s="1" t="s">
        <v>12671</v>
      </c>
      <c r="B2040" s="1" t="s">
        <v>16370</v>
      </c>
      <c r="C2040" s="3">
        <f>IF(B2040="","",SUMIFS('Factory Costs'!$C:$C,'Factory Costs'!$A:$A,"Blades",'Factory Costs'!$B:$B,B2040))</f>
        <v>34</v>
      </c>
    </row>
    <row r="2041" spans="1:3" x14ac:dyDescent="0.25">
      <c r="A2041" s="1" t="s">
        <v>12674</v>
      </c>
      <c r="B2041" s="1" t="s">
        <v>16372</v>
      </c>
      <c r="C2041" s="3">
        <f>IF(B2041="","",SUMIFS('Factory Costs'!$C:$C,'Factory Costs'!$A:$A,"Blades",'Factory Costs'!$B:$B,B2041))</f>
        <v>42</v>
      </c>
    </row>
    <row r="2042" spans="1:3" x14ac:dyDescent="0.25">
      <c r="A2042" s="1" t="s">
        <v>12677</v>
      </c>
      <c r="B2042" s="1" t="s">
        <v>16370</v>
      </c>
      <c r="C2042" s="3">
        <f>IF(B2042="","",SUMIFS('Factory Costs'!$C:$C,'Factory Costs'!$A:$A,"Blades",'Factory Costs'!$B:$B,B2042))</f>
        <v>34</v>
      </c>
    </row>
    <row r="2043" spans="1:3" x14ac:dyDescent="0.25">
      <c r="A2043" s="1" t="s">
        <v>12680</v>
      </c>
      <c r="B2043" s="1" t="s">
        <v>16372</v>
      </c>
      <c r="C2043" s="3">
        <f>IF(B2043="","",SUMIFS('Factory Costs'!$C:$C,'Factory Costs'!$A:$A,"Blades",'Factory Costs'!$B:$B,B2043))</f>
        <v>42</v>
      </c>
    </row>
    <row r="2044" spans="1:3" x14ac:dyDescent="0.25">
      <c r="A2044" s="1" t="s">
        <v>12683</v>
      </c>
      <c r="B2044" s="1" t="s">
        <v>16370</v>
      </c>
      <c r="C2044" s="3">
        <f>IF(B2044="","",SUMIFS('Factory Costs'!$C:$C,'Factory Costs'!$A:$A,"Blades",'Factory Costs'!$B:$B,B2044))</f>
        <v>34</v>
      </c>
    </row>
    <row r="2045" spans="1:3" x14ac:dyDescent="0.25">
      <c r="A2045" s="1" t="s">
        <v>12686</v>
      </c>
      <c r="B2045" s="1" t="s">
        <v>16372</v>
      </c>
      <c r="C2045" s="3">
        <f>IF(B2045="","",SUMIFS('Factory Costs'!$C:$C,'Factory Costs'!$A:$A,"Blades",'Factory Costs'!$B:$B,B2045))</f>
        <v>42</v>
      </c>
    </row>
    <row r="2046" spans="1:3" x14ac:dyDescent="0.25">
      <c r="A2046" s="1" t="s">
        <v>12689</v>
      </c>
      <c r="B2046" s="1" t="s">
        <v>16372</v>
      </c>
      <c r="C2046" s="3">
        <f>IF(B2046="","",SUMIFS('Factory Costs'!$C:$C,'Factory Costs'!$A:$A,"Blades",'Factory Costs'!$B:$B,B2046))</f>
        <v>42</v>
      </c>
    </row>
    <row r="2047" spans="1:3" x14ac:dyDescent="0.25">
      <c r="A2047" s="1" t="s">
        <v>12692</v>
      </c>
      <c r="B2047" s="1" t="s">
        <v>16370</v>
      </c>
      <c r="C2047" s="3">
        <f>IF(B2047="","",SUMIFS('Factory Costs'!$C:$C,'Factory Costs'!$A:$A,"Blades",'Factory Costs'!$B:$B,B2047))</f>
        <v>34</v>
      </c>
    </row>
    <row r="2048" spans="1:3" x14ac:dyDescent="0.25">
      <c r="A2048" s="1" t="s">
        <v>12695</v>
      </c>
      <c r="B2048" s="1" t="s">
        <v>16370</v>
      </c>
      <c r="C2048" s="3">
        <f>IF(B2048="","",SUMIFS('Factory Costs'!$C:$C,'Factory Costs'!$A:$A,"Blades",'Factory Costs'!$B:$B,B2048))</f>
        <v>34</v>
      </c>
    </row>
    <row r="2049" spans="1:3" x14ac:dyDescent="0.25">
      <c r="A2049" s="1" t="s">
        <v>12698</v>
      </c>
      <c r="B2049" s="1" t="s">
        <v>16370</v>
      </c>
      <c r="C2049" s="3">
        <f>IF(B2049="","",SUMIFS('Factory Costs'!$C:$C,'Factory Costs'!$A:$A,"Blades",'Factory Costs'!$B:$B,B2049))</f>
        <v>34</v>
      </c>
    </row>
    <row r="2050" spans="1:3" x14ac:dyDescent="0.25">
      <c r="A2050" s="1" t="s">
        <v>12701</v>
      </c>
      <c r="B2050" s="1" t="s">
        <v>16370</v>
      </c>
      <c r="C2050" s="3">
        <f>IF(B2050="","",SUMIFS('Factory Costs'!$C:$C,'Factory Costs'!$A:$A,"Blades",'Factory Costs'!$B:$B,B2050))</f>
        <v>34</v>
      </c>
    </row>
    <row r="2051" spans="1:3" x14ac:dyDescent="0.25">
      <c r="A2051" s="1" t="s">
        <v>12704</v>
      </c>
      <c r="B2051" s="1" t="s">
        <v>16371</v>
      </c>
      <c r="C2051" s="3">
        <f>IF(B2051="","",SUMIFS('Factory Costs'!$C:$C,'Factory Costs'!$A:$A,"Blades",'Factory Costs'!$B:$B,B2051))</f>
        <v>37</v>
      </c>
    </row>
    <row r="2052" spans="1:3" x14ac:dyDescent="0.25">
      <c r="A2052" s="1" t="s">
        <v>12707</v>
      </c>
      <c r="B2052" s="1" t="s">
        <v>16370</v>
      </c>
      <c r="C2052" s="3">
        <f>IF(B2052="","",SUMIFS('Factory Costs'!$C:$C,'Factory Costs'!$A:$A,"Blades",'Factory Costs'!$B:$B,B2052))</f>
        <v>34</v>
      </c>
    </row>
    <row r="2053" spans="1:3" x14ac:dyDescent="0.25">
      <c r="A2053" s="1" t="s">
        <v>12710</v>
      </c>
      <c r="B2053" s="1" t="s">
        <v>16370</v>
      </c>
      <c r="C2053" s="3">
        <f>IF(B2053="","",SUMIFS('Factory Costs'!$C:$C,'Factory Costs'!$A:$A,"Blades",'Factory Costs'!$B:$B,B2053))</f>
        <v>34</v>
      </c>
    </row>
    <row r="2054" spans="1:3" x14ac:dyDescent="0.25">
      <c r="A2054" s="1" t="s">
        <v>12713</v>
      </c>
      <c r="B2054" s="1" t="s">
        <v>16370</v>
      </c>
      <c r="C2054" s="3">
        <f>IF(B2054="","",SUMIFS('Factory Costs'!$C:$C,'Factory Costs'!$A:$A,"Blades",'Factory Costs'!$B:$B,B2054))</f>
        <v>34</v>
      </c>
    </row>
    <row r="2055" spans="1:3" x14ac:dyDescent="0.25">
      <c r="A2055" s="1" t="s">
        <v>12716</v>
      </c>
      <c r="B2055" s="1" t="s">
        <v>16370</v>
      </c>
      <c r="C2055" s="3">
        <f>IF(B2055="","",SUMIFS('Factory Costs'!$C:$C,'Factory Costs'!$A:$A,"Blades",'Factory Costs'!$B:$B,B2055))</f>
        <v>34</v>
      </c>
    </row>
    <row r="2056" spans="1:3" x14ac:dyDescent="0.25">
      <c r="A2056" s="1" t="s">
        <v>12719</v>
      </c>
      <c r="B2056" s="1" t="s">
        <v>16371</v>
      </c>
      <c r="C2056" s="3">
        <f>IF(B2056="","",SUMIFS('Factory Costs'!$C:$C,'Factory Costs'!$A:$A,"Blades",'Factory Costs'!$B:$B,B2056))</f>
        <v>37</v>
      </c>
    </row>
    <row r="2057" spans="1:3" x14ac:dyDescent="0.25">
      <c r="A2057" s="1" t="s">
        <v>12722</v>
      </c>
      <c r="B2057" s="1" t="s">
        <v>16371</v>
      </c>
      <c r="C2057" s="3">
        <f>IF(B2057="","",SUMIFS('Factory Costs'!$C:$C,'Factory Costs'!$A:$A,"Blades",'Factory Costs'!$B:$B,B2057))</f>
        <v>37</v>
      </c>
    </row>
    <row r="2058" spans="1:3" x14ac:dyDescent="0.25">
      <c r="A2058" s="1" t="s">
        <v>12725</v>
      </c>
      <c r="B2058" s="1" t="s">
        <v>16372</v>
      </c>
      <c r="C2058" s="3">
        <f>IF(B2058="","",SUMIFS('Factory Costs'!$C:$C,'Factory Costs'!$A:$A,"Blades",'Factory Costs'!$B:$B,B2058))</f>
        <v>42</v>
      </c>
    </row>
    <row r="2059" spans="1:3" x14ac:dyDescent="0.25">
      <c r="A2059" s="1" t="s">
        <v>12728</v>
      </c>
      <c r="B2059" s="1" t="s">
        <v>16370</v>
      </c>
      <c r="C2059" s="3">
        <f>IF(B2059="","",SUMIFS('Factory Costs'!$C:$C,'Factory Costs'!$A:$A,"Blades",'Factory Costs'!$B:$B,B2059))</f>
        <v>34</v>
      </c>
    </row>
    <row r="2060" spans="1:3" x14ac:dyDescent="0.25">
      <c r="A2060" s="1" t="s">
        <v>12731</v>
      </c>
      <c r="B2060" s="1" t="s">
        <v>16370</v>
      </c>
      <c r="C2060" s="3">
        <f>IF(B2060="","",SUMIFS('Factory Costs'!$C:$C,'Factory Costs'!$A:$A,"Blades",'Factory Costs'!$B:$B,B2060))</f>
        <v>34</v>
      </c>
    </row>
    <row r="2061" spans="1:3" x14ac:dyDescent="0.25">
      <c r="A2061" s="1" t="s">
        <v>12734</v>
      </c>
      <c r="B2061" s="1" t="s">
        <v>16370</v>
      </c>
      <c r="C2061" s="3">
        <f>IF(B2061="","",SUMIFS('Factory Costs'!$C:$C,'Factory Costs'!$A:$A,"Blades",'Factory Costs'!$B:$B,B2061))</f>
        <v>34</v>
      </c>
    </row>
    <row r="2062" spans="1:3" x14ac:dyDescent="0.25">
      <c r="A2062" s="1" t="s">
        <v>12737</v>
      </c>
      <c r="B2062" s="1" t="s">
        <v>16370</v>
      </c>
      <c r="C2062" s="3">
        <f>IF(B2062="","",SUMIFS('Factory Costs'!$C:$C,'Factory Costs'!$A:$A,"Blades",'Factory Costs'!$B:$B,B2062))</f>
        <v>34</v>
      </c>
    </row>
    <row r="2063" spans="1:3" x14ac:dyDescent="0.25">
      <c r="A2063" s="1" t="s">
        <v>12740</v>
      </c>
      <c r="B2063" s="1" t="s">
        <v>16371</v>
      </c>
      <c r="C2063" s="3">
        <f>IF(B2063="","",SUMIFS('Factory Costs'!$C:$C,'Factory Costs'!$A:$A,"Blades",'Factory Costs'!$B:$B,B2063))</f>
        <v>37</v>
      </c>
    </row>
    <row r="2064" spans="1:3" x14ac:dyDescent="0.25">
      <c r="A2064" s="1" t="s">
        <v>12743</v>
      </c>
      <c r="B2064" s="1" t="s">
        <v>16370</v>
      </c>
      <c r="C2064" s="3">
        <f>IF(B2064="","",SUMIFS('Factory Costs'!$C:$C,'Factory Costs'!$A:$A,"Blades",'Factory Costs'!$B:$B,B2064))</f>
        <v>34</v>
      </c>
    </row>
    <row r="2065" spans="1:3" x14ac:dyDescent="0.25">
      <c r="A2065" s="1" t="s">
        <v>12746</v>
      </c>
      <c r="B2065" s="1" t="s">
        <v>16370</v>
      </c>
      <c r="C2065" s="3">
        <f>IF(B2065="","",SUMIFS('Factory Costs'!$C:$C,'Factory Costs'!$A:$A,"Blades",'Factory Costs'!$B:$B,B2065))</f>
        <v>34</v>
      </c>
    </row>
    <row r="2066" spans="1:3" x14ac:dyDescent="0.25">
      <c r="A2066" s="1" t="s">
        <v>12749</v>
      </c>
      <c r="B2066" s="1" t="s">
        <v>16371</v>
      </c>
      <c r="C2066" s="3">
        <f>IF(B2066="","",SUMIFS('Factory Costs'!$C:$C,'Factory Costs'!$A:$A,"Blades",'Factory Costs'!$B:$B,B2066))</f>
        <v>37</v>
      </c>
    </row>
    <row r="2067" spans="1:3" x14ac:dyDescent="0.25">
      <c r="A2067" s="1" t="s">
        <v>12752</v>
      </c>
      <c r="B2067" s="1" t="s">
        <v>16370</v>
      </c>
      <c r="C2067" s="3">
        <f>IF(B2067="","",SUMIFS('Factory Costs'!$C:$C,'Factory Costs'!$A:$A,"Blades",'Factory Costs'!$B:$B,B2067))</f>
        <v>34</v>
      </c>
    </row>
    <row r="2068" spans="1:3" x14ac:dyDescent="0.25">
      <c r="A2068" s="1" t="s">
        <v>12755</v>
      </c>
      <c r="B2068" s="1" t="s">
        <v>16370</v>
      </c>
      <c r="C2068" s="3">
        <f>IF(B2068="","",SUMIFS('Factory Costs'!$C:$C,'Factory Costs'!$A:$A,"Blades",'Factory Costs'!$B:$B,B2068))</f>
        <v>34</v>
      </c>
    </row>
    <row r="2069" spans="1:3" x14ac:dyDescent="0.25">
      <c r="A2069" s="1" t="s">
        <v>12758</v>
      </c>
      <c r="B2069" s="1" t="s">
        <v>16371</v>
      </c>
      <c r="C2069" s="3">
        <f>IF(B2069="","",SUMIFS('Factory Costs'!$C:$C,'Factory Costs'!$A:$A,"Blades",'Factory Costs'!$B:$B,B2069))</f>
        <v>37</v>
      </c>
    </row>
    <row r="2070" spans="1:3" x14ac:dyDescent="0.25">
      <c r="A2070" s="1" t="s">
        <v>12761</v>
      </c>
      <c r="B2070" s="1" t="s">
        <v>16371</v>
      </c>
      <c r="C2070" s="3">
        <f>IF(B2070="","",SUMIFS('Factory Costs'!$C:$C,'Factory Costs'!$A:$A,"Blades",'Factory Costs'!$B:$B,B2070))</f>
        <v>37</v>
      </c>
    </row>
    <row r="2071" spans="1:3" x14ac:dyDescent="0.25">
      <c r="A2071" s="1" t="s">
        <v>12764</v>
      </c>
      <c r="B2071" s="1" t="s">
        <v>16371</v>
      </c>
      <c r="C2071" s="3">
        <f>IF(B2071="","",SUMIFS('Factory Costs'!$C:$C,'Factory Costs'!$A:$A,"Blades",'Factory Costs'!$B:$B,B2071))</f>
        <v>37</v>
      </c>
    </row>
    <row r="2072" spans="1:3" x14ac:dyDescent="0.25">
      <c r="A2072" s="1" t="s">
        <v>12767</v>
      </c>
      <c r="B2072" s="1" t="s">
        <v>16371</v>
      </c>
      <c r="C2072" s="3">
        <f>IF(B2072="","",SUMIFS('Factory Costs'!$C:$C,'Factory Costs'!$A:$A,"Blades",'Factory Costs'!$B:$B,B2072))</f>
        <v>37</v>
      </c>
    </row>
    <row r="2073" spans="1:3" x14ac:dyDescent="0.25">
      <c r="A2073" s="1" t="s">
        <v>12770</v>
      </c>
      <c r="B2073" s="1" t="s">
        <v>16371</v>
      </c>
      <c r="C2073" s="3">
        <f>IF(B2073="","",SUMIFS('Factory Costs'!$C:$C,'Factory Costs'!$A:$A,"Blades",'Factory Costs'!$B:$B,B2073))</f>
        <v>37</v>
      </c>
    </row>
    <row r="2074" spans="1:3" x14ac:dyDescent="0.25">
      <c r="A2074" s="1" t="s">
        <v>12773</v>
      </c>
      <c r="B2074" s="1" t="s">
        <v>16370</v>
      </c>
      <c r="C2074" s="3">
        <f>IF(B2074="","",SUMIFS('Factory Costs'!$C:$C,'Factory Costs'!$A:$A,"Blades",'Factory Costs'!$B:$B,B2074))</f>
        <v>34</v>
      </c>
    </row>
    <row r="2075" spans="1:3" x14ac:dyDescent="0.25">
      <c r="A2075" s="1" t="s">
        <v>12776</v>
      </c>
      <c r="B2075" s="1" t="s">
        <v>16370</v>
      </c>
      <c r="C2075" s="3">
        <f>IF(B2075="","",SUMIFS('Factory Costs'!$C:$C,'Factory Costs'!$A:$A,"Blades",'Factory Costs'!$B:$B,B2075))</f>
        <v>34</v>
      </c>
    </row>
    <row r="2076" spans="1:3" x14ac:dyDescent="0.25">
      <c r="A2076" s="1" t="s">
        <v>12779</v>
      </c>
      <c r="B2076" s="1" t="s">
        <v>16370</v>
      </c>
      <c r="C2076" s="3">
        <f>IF(B2076="","",SUMIFS('Factory Costs'!$C:$C,'Factory Costs'!$A:$A,"Blades",'Factory Costs'!$B:$B,B2076))</f>
        <v>34</v>
      </c>
    </row>
    <row r="2077" spans="1:3" x14ac:dyDescent="0.25">
      <c r="A2077" s="1" t="s">
        <v>12782</v>
      </c>
      <c r="B2077" s="1" t="s">
        <v>16372</v>
      </c>
      <c r="C2077" s="3">
        <f>IF(B2077="","",SUMIFS('Factory Costs'!$C:$C,'Factory Costs'!$A:$A,"Blades",'Factory Costs'!$B:$B,B2077))</f>
        <v>42</v>
      </c>
    </row>
    <row r="2078" spans="1:3" x14ac:dyDescent="0.25">
      <c r="A2078" s="1" t="s">
        <v>12785</v>
      </c>
      <c r="B2078" s="1" t="s">
        <v>16372</v>
      </c>
      <c r="C2078" s="3">
        <f>IF(B2078="","",SUMIFS('Factory Costs'!$C:$C,'Factory Costs'!$A:$A,"Blades",'Factory Costs'!$B:$B,B2078))</f>
        <v>42</v>
      </c>
    </row>
    <row r="2079" spans="1:3" x14ac:dyDescent="0.25">
      <c r="A2079" s="1" t="s">
        <v>12788</v>
      </c>
      <c r="B2079" s="1" t="s">
        <v>16370</v>
      </c>
      <c r="C2079" s="3">
        <f>IF(B2079="","",SUMIFS('Factory Costs'!$C:$C,'Factory Costs'!$A:$A,"Blades",'Factory Costs'!$B:$B,B2079))</f>
        <v>34</v>
      </c>
    </row>
    <row r="2080" spans="1:3" x14ac:dyDescent="0.25">
      <c r="A2080" s="1" t="s">
        <v>12791</v>
      </c>
      <c r="B2080" s="1" t="s">
        <v>16371</v>
      </c>
      <c r="C2080" s="3">
        <f>IF(B2080="","",SUMIFS('Factory Costs'!$C:$C,'Factory Costs'!$A:$A,"Blades",'Factory Costs'!$B:$B,B2080))</f>
        <v>37</v>
      </c>
    </row>
    <row r="2081" spans="1:3" x14ac:dyDescent="0.25">
      <c r="A2081" s="1" t="s">
        <v>12794</v>
      </c>
      <c r="B2081" s="1" t="s">
        <v>16372</v>
      </c>
      <c r="C2081" s="3">
        <f>IF(B2081="","",SUMIFS('Factory Costs'!$C:$C,'Factory Costs'!$A:$A,"Blades",'Factory Costs'!$B:$B,B2081))</f>
        <v>42</v>
      </c>
    </row>
    <row r="2082" spans="1:3" x14ac:dyDescent="0.25">
      <c r="A2082" s="1" t="s">
        <v>12797</v>
      </c>
      <c r="B2082" s="1" t="s">
        <v>16370</v>
      </c>
      <c r="C2082" s="3">
        <f>IF(B2082="","",SUMIFS('Factory Costs'!$C:$C,'Factory Costs'!$A:$A,"Blades",'Factory Costs'!$B:$B,B2082))</f>
        <v>34</v>
      </c>
    </row>
    <row r="2083" spans="1:3" x14ac:dyDescent="0.25">
      <c r="A2083" s="1" t="s">
        <v>12800</v>
      </c>
      <c r="B2083" s="1" t="s">
        <v>16371</v>
      </c>
      <c r="C2083" s="3">
        <f>IF(B2083="","",SUMIFS('Factory Costs'!$C:$C,'Factory Costs'!$A:$A,"Blades",'Factory Costs'!$B:$B,B2083))</f>
        <v>37</v>
      </c>
    </row>
    <row r="2084" spans="1:3" x14ac:dyDescent="0.25">
      <c r="A2084" s="1" t="s">
        <v>12803</v>
      </c>
      <c r="B2084" s="1" t="s">
        <v>16370</v>
      </c>
      <c r="C2084" s="3">
        <f>IF(B2084="","",SUMIFS('Factory Costs'!$C:$C,'Factory Costs'!$A:$A,"Blades",'Factory Costs'!$B:$B,B2084))</f>
        <v>34</v>
      </c>
    </row>
    <row r="2085" spans="1:3" x14ac:dyDescent="0.25">
      <c r="A2085" s="1" t="s">
        <v>12806</v>
      </c>
      <c r="B2085" s="1" t="s">
        <v>16370</v>
      </c>
      <c r="C2085" s="3">
        <f>IF(B2085="","",SUMIFS('Factory Costs'!$C:$C,'Factory Costs'!$A:$A,"Blades",'Factory Costs'!$B:$B,B2085))</f>
        <v>34</v>
      </c>
    </row>
    <row r="2086" spans="1:3" x14ac:dyDescent="0.25">
      <c r="A2086" s="1" t="s">
        <v>12809</v>
      </c>
      <c r="B2086" s="1" t="s">
        <v>16372</v>
      </c>
      <c r="C2086" s="3">
        <f>IF(B2086="","",SUMIFS('Factory Costs'!$C:$C,'Factory Costs'!$A:$A,"Blades",'Factory Costs'!$B:$B,B2086))</f>
        <v>42</v>
      </c>
    </row>
    <row r="2087" spans="1:3" x14ac:dyDescent="0.25">
      <c r="A2087" s="1" t="s">
        <v>12812</v>
      </c>
      <c r="B2087" s="1" t="s">
        <v>16372</v>
      </c>
      <c r="C2087" s="3">
        <f>IF(B2087="","",SUMIFS('Factory Costs'!$C:$C,'Factory Costs'!$A:$A,"Blades",'Factory Costs'!$B:$B,B2087))</f>
        <v>42</v>
      </c>
    </row>
    <row r="2088" spans="1:3" x14ac:dyDescent="0.25">
      <c r="A2088" s="1" t="s">
        <v>12815</v>
      </c>
      <c r="B2088" s="1" t="s">
        <v>16371</v>
      </c>
      <c r="C2088" s="3">
        <f>IF(B2088="","",SUMIFS('Factory Costs'!$C:$C,'Factory Costs'!$A:$A,"Blades",'Factory Costs'!$B:$B,B2088))</f>
        <v>37</v>
      </c>
    </row>
    <row r="2089" spans="1:3" x14ac:dyDescent="0.25">
      <c r="A2089" s="1" t="s">
        <v>12818</v>
      </c>
      <c r="B2089" s="1" t="s">
        <v>16372</v>
      </c>
      <c r="C2089" s="3">
        <f>IF(B2089="","",SUMIFS('Factory Costs'!$C:$C,'Factory Costs'!$A:$A,"Blades",'Factory Costs'!$B:$B,B2089))</f>
        <v>42</v>
      </c>
    </row>
    <row r="2090" spans="1:3" x14ac:dyDescent="0.25">
      <c r="A2090" s="1" t="s">
        <v>12821</v>
      </c>
      <c r="B2090" s="1" t="s">
        <v>16372</v>
      </c>
      <c r="C2090" s="3">
        <f>IF(B2090="","",SUMIFS('Factory Costs'!$C:$C,'Factory Costs'!$A:$A,"Blades",'Factory Costs'!$B:$B,B2090))</f>
        <v>42</v>
      </c>
    </row>
    <row r="2091" spans="1:3" x14ac:dyDescent="0.25">
      <c r="A2091" s="1" t="s">
        <v>12824</v>
      </c>
      <c r="B2091" s="1" t="s">
        <v>16370</v>
      </c>
      <c r="C2091" s="3">
        <f>IF(B2091="","",SUMIFS('Factory Costs'!$C:$C,'Factory Costs'!$A:$A,"Blades",'Factory Costs'!$B:$B,B2091))</f>
        <v>34</v>
      </c>
    </row>
    <row r="2092" spans="1:3" x14ac:dyDescent="0.25">
      <c r="A2092" s="1" t="s">
        <v>12827</v>
      </c>
      <c r="B2092" s="1" t="s">
        <v>16371</v>
      </c>
      <c r="C2092" s="3">
        <f>IF(B2092="","",SUMIFS('Factory Costs'!$C:$C,'Factory Costs'!$A:$A,"Blades",'Factory Costs'!$B:$B,B2092))</f>
        <v>37</v>
      </c>
    </row>
    <row r="2093" spans="1:3" x14ac:dyDescent="0.25">
      <c r="A2093" s="1" t="s">
        <v>12830</v>
      </c>
      <c r="B2093" s="1" t="s">
        <v>16371</v>
      </c>
      <c r="C2093" s="3">
        <f>IF(B2093="","",SUMIFS('Factory Costs'!$C:$C,'Factory Costs'!$A:$A,"Blades",'Factory Costs'!$B:$B,B2093))</f>
        <v>37</v>
      </c>
    </row>
    <row r="2094" spans="1:3" x14ac:dyDescent="0.25">
      <c r="A2094" s="1" t="s">
        <v>12833</v>
      </c>
      <c r="B2094" s="1" t="s">
        <v>16370</v>
      </c>
      <c r="C2094" s="3">
        <f>IF(B2094="","",SUMIFS('Factory Costs'!$C:$C,'Factory Costs'!$A:$A,"Blades",'Factory Costs'!$B:$B,B2094))</f>
        <v>34</v>
      </c>
    </row>
    <row r="2095" spans="1:3" x14ac:dyDescent="0.25">
      <c r="A2095" s="1" t="s">
        <v>12836</v>
      </c>
      <c r="B2095" s="1" t="s">
        <v>16371</v>
      </c>
      <c r="C2095" s="3">
        <f>IF(B2095="","",SUMIFS('Factory Costs'!$C:$C,'Factory Costs'!$A:$A,"Blades",'Factory Costs'!$B:$B,B2095))</f>
        <v>37</v>
      </c>
    </row>
    <row r="2096" spans="1:3" x14ac:dyDescent="0.25">
      <c r="A2096" s="1" t="s">
        <v>12839</v>
      </c>
      <c r="B2096" s="1" t="s">
        <v>16370</v>
      </c>
      <c r="C2096" s="3">
        <f>IF(B2096="","",SUMIFS('Factory Costs'!$C:$C,'Factory Costs'!$A:$A,"Blades",'Factory Costs'!$B:$B,B2096))</f>
        <v>34</v>
      </c>
    </row>
    <row r="2097" spans="1:3" x14ac:dyDescent="0.25">
      <c r="A2097" s="1" t="s">
        <v>12842</v>
      </c>
      <c r="B2097" s="1" t="s">
        <v>16370</v>
      </c>
      <c r="C2097" s="3">
        <f>IF(B2097="","",SUMIFS('Factory Costs'!$C:$C,'Factory Costs'!$A:$A,"Blades",'Factory Costs'!$B:$B,B2097))</f>
        <v>34</v>
      </c>
    </row>
    <row r="2098" spans="1:3" x14ac:dyDescent="0.25">
      <c r="A2098" s="1" t="s">
        <v>12845</v>
      </c>
      <c r="B2098" s="1" t="s">
        <v>16371</v>
      </c>
      <c r="C2098" s="3">
        <f>IF(B2098="","",SUMIFS('Factory Costs'!$C:$C,'Factory Costs'!$A:$A,"Blades",'Factory Costs'!$B:$B,B2098))</f>
        <v>37</v>
      </c>
    </row>
    <row r="2099" spans="1:3" x14ac:dyDescent="0.25">
      <c r="A2099" s="1" t="s">
        <v>12848</v>
      </c>
      <c r="B2099" s="1" t="s">
        <v>16370</v>
      </c>
      <c r="C2099" s="3">
        <f>IF(B2099="","",SUMIFS('Factory Costs'!$C:$C,'Factory Costs'!$A:$A,"Blades",'Factory Costs'!$B:$B,B2099))</f>
        <v>34</v>
      </c>
    </row>
    <row r="2100" spans="1:3" x14ac:dyDescent="0.25">
      <c r="A2100" s="1" t="s">
        <v>12851</v>
      </c>
      <c r="B2100" s="1" t="s">
        <v>16371</v>
      </c>
      <c r="C2100" s="3">
        <f>IF(B2100="","",SUMIFS('Factory Costs'!$C:$C,'Factory Costs'!$A:$A,"Blades",'Factory Costs'!$B:$B,B2100))</f>
        <v>37</v>
      </c>
    </row>
    <row r="2101" spans="1:3" x14ac:dyDescent="0.25">
      <c r="A2101" s="1" t="s">
        <v>12854</v>
      </c>
      <c r="B2101" s="1" t="s">
        <v>16372</v>
      </c>
      <c r="C2101" s="3">
        <f>IF(B2101="","",SUMIFS('Factory Costs'!$C:$C,'Factory Costs'!$A:$A,"Blades",'Factory Costs'!$B:$B,B2101))</f>
        <v>42</v>
      </c>
    </row>
    <row r="2102" spans="1:3" x14ac:dyDescent="0.25">
      <c r="A2102" s="1" t="s">
        <v>12857</v>
      </c>
      <c r="B2102" s="1" t="s">
        <v>16372</v>
      </c>
      <c r="C2102" s="3">
        <f>IF(B2102="","",SUMIFS('Factory Costs'!$C:$C,'Factory Costs'!$A:$A,"Blades",'Factory Costs'!$B:$B,B2102))</f>
        <v>42</v>
      </c>
    </row>
    <row r="2103" spans="1:3" x14ac:dyDescent="0.25">
      <c r="A2103" s="1" t="s">
        <v>12860</v>
      </c>
      <c r="B2103" s="1" t="s">
        <v>16370</v>
      </c>
      <c r="C2103" s="3">
        <f>IF(B2103="","",SUMIFS('Factory Costs'!$C:$C,'Factory Costs'!$A:$A,"Blades",'Factory Costs'!$B:$B,B2103))</f>
        <v>34</v>
      </c>
    </row>
    <row r="2104" spans="1:3" x14ac:dyDescent="0.25">
      <c r="A2104" s="1" t="s">
        <v>12863</v>
      </c>
      <c r="B2104" s="1" t="s">
        <v>16370</v>
      </c>
      <c r="C2104" s="3">
        <f>IF(B2104="","",SUMIFS('Factory Costs'!$C:$C,'Factory Costs'!$A:$A,"Blades",'Factory Costs'!$B:$B,B2104))</f>
        <v>34</v>
      </c>
    </row>
    <row r="2105" spans="1:3" x14ac:dyDescent="0.25">
      <c r="A2105" s="1" t="s">
        <v>12866</v>
      </c>
      <c r="B2105" s="1" t="s">
        <v>16370</v>
      </c>
      <c r="C2105" s="3">
        <f>IF(B2105="","",SUMIFS('Factory Costs'!$C:$C,'Factory Costs'!$A:$A,"Blades",'Factory Costs'!$B:$B,B2105))</f>
        <v>34</v>
      </c>
    </row>
    <row r="2106" spans="1:3" x14ac:dyDescent="0.25">
      <c r="A2106" s="1" t="s">
        <v>12869</v>
      </c>
      <c r="B2106" s="1" t="s">
        <v>16370</v>
      </c>
      <c r="C2106" s="3">
        <f>IF(B2106="","",SUMIFS('Factory Costs'!$C:$C,'Factory Costs'!$A:$A,"Blades",'Factory Costs'!$B:$B,B2106))</f>
        <v>34</v>
      </c>
    </row>
    <row r="2107" spans="1:3" x14ac:dyDescent="0.25">
      <c r="A2107" s="1" t="s">
        <v>12872</v>
      </c>
      <c r="B2107" s="1" t="s">
        <v>16370</v>
      </c>
      <c r="C2107" s="3">
        <f>IF(B2107="","",SUMIFS('Factory Costs'!$C:$C,'Factory Costs'!$A:$A,"Blades",'Factory Costs'!$B:$B,B2107))</f>
        <v>34</v>
      </c>
    </row>
    <row r="2108" spans="1:3" x14ac:dyDescent="0.25">
      <c r="A2108" s="1" t="s">
        <v>12875</v>
      </c>
      <c r="B2108" s="1" t="s">
        <v>16372</v>
      </c>
      <c r="C2108" s="3">
        <f>IF(B2108="","",SUMIFS('Factory Costs'!$C:$C,'Factory Costs'!$A:$A,"Blades",'Factory Costs'!$B:$B,B2108))</f>
        <v>42</v>
      </c>
    </row>
    <row r="2109" spans="1:3" x14ac:dyDescent="0.25">
      <c r="A2109" s="1" t="s">
        <v>12878</v>
      </c>
      <c r="B2109" s="1" t="s">
        <v>16371</v>
      </c>
      <c r="C2109" s="3">
        <f>IF(B2109="","",SUMIFS('Factory Costs'!$C:$C,'Factory Costs'!$A:$A,"Blades",'Factory Costs'!$B:$B,B2109))</f>
        <v>37</v>
      </c>
    </row>
    <row r="2110" spans="1:3" x14ac:dyDescent="0.25">
      <c r="A2110" s="1" t="s">
        <v>12881</v>
      </c>
      <c r="B2110" s="1" t="s">
        <v>16372</v>
      </c>
      <c r="C2110" s="3">
        <f>IF(B2110="","",SUMIFS('Factory Costs'!$C:$C,'Factory Costs'!$A:$A,"Blades",'Factory Costs'!$B:$B,B2110))</f>
        <v>42</v>
      </c>
    </row>
    <row r="2111" spans="1:3" x14ac:dyDescent="0.25">
      <c r="A2111" s="1" t="s">
        <v>12884</v>
      </c>
      <c r="B2111" s="1" t="s">
        <v>16370</v>
      </c>
      <c r="C2111" s="3">
        <f>IF(B2111="","",SUMIFS('Factory Costs'!$C:$C,'Factory Costs'!$A:$A,"Blades",'Factory Costs'!$B:$B,B2111))</f>
        <v>34</v>
      </c>
    </row>
    <row r="2112" spans="1:3" x14ac:dyDescent="0.25">
      <c r="A2112" s="1" t="s">
        <v>12887</v>
      </c>
      <c r="B2112" s="1" t="s">
        <v>16372</v>
      </c>
      <c r="C2112" s="3">
        <f>IF(B2112="","",SUMIFS('Factory Costs'!$C:$C,'Factory Costs'!$A:$A,"Blades",'Factory Costs'!$B:$B,B2112))</f>
        <v>42</v>
      </c>
    </row>
    <row r="2113" spans="1:3" x14ac:dyDescent="0.25">
      <c r="A2113" s="1" t="s">
        <v>12890</v>
      </c>
      <c r="B2113" s="1" t="s">
        <v>16370</v>
      </c>
      <c r="C2113" s="3">
        <f>IF(B2113="","",SUMIFS('Factory Costs'!$C:$C,'Factory Costs'!$A:$A,"Blades",'Factory Costs'!$B:$B,B2113))</f>
        <v>34</v>
      </c>
    </row>
    <row r="2114" spans="1:3" x14ac:dyDescent="0.25">
      <c r="A2114" s="1" t="s">
        <v>12893</v>
      </c>
      <c r="B2114" s="1" t="s">
        <v>16371</v>
      </c>
      <c r="C2114" s="3">
        <f>IF(B2114="","",SUMIFS('Factory Costs'!$C:$C,'Factory Costs'!$A:$A,"Blades",'Factory Costs'!$B:$B,B2114))</f>
        <v>37</v>
      </c>
    </row>
    <row r="2115" spans="1:3" x14ac:dyDescent="0.25">
      <c r="A2115" s="1" t="s">
        <v>12896</v>
      </c>
      <c r="B2115" s="1" t="s">
        <v>16370</v>
      </c>
      <c r="C2115" s="3">
        <f>IF(B2115="","",SUMIFS('Factory Costs'!$C:$C,'Factory Costs'!$A:$A,"Blades",'Factory Costs'!$B:$B,B2115))</f>
        <v>34</v>
      </c>
    </row>
    <row r="2116" spans="1:3" x14ac:dyDescent="0.25">
      <c r="A2116" s="1" t="s">
        <v>12899</v>
      </c>
      <c r="B2116" s="1" t="s">
        <v>16371</v>
      </c>
      <c r="C2116" s="3">
        <f>IF(B2116="","",SUMIFS('Factory Costs'!$C:$C,'Factory Costs'!$A:$A,"Blades",'Factory Costs'!$B:$B,B2116))</f>
        <v>37</v>
      </c>
    </row>
    <row r="2117" spans="1:3" x14ac:dyDescent="0.25">
      <c r="A2117" s="1" t="s">
        <v>12902</v>
      </c>
      <c r="B2117" s="1" t="s">
        <v>16372</v>
      </c>
      <c r="C2117" s="3">
        <f>IF(B2117="","",SUMIFS('Factory Costs'!$C:$C,'Factory Costs'!$A:$A,"Blades",'Factory Costs'!$B:$B,B2117))</f>
        <v>42</v>
      </c>
    </row>
    <row r="2118" spans="1:3" x14ac:dyDescent="0.25">
      <c r="A2118" s="1" t="s">
        <v>12905</v>
      </c>
      <c r="B2118" s="1" t="s">
        <v>16372</v>
      </c>
      <c r="C2118" s="3">
        <f>IF(B2118="","",SUMIFS('Factory Costs'!$C:$C,'Factory Costs'!$A:$A,"Blades",'Factory Costs'!$B:$B,B2118))</f>
        <v>42</v>
      </c>
    </row>
    <row r="2119" spans="1:3" x14ac:dyDescent="0.25">
      <c r="A2119" s="1" t="s">
        <v>12908</v>
      </c>
      <c r="B2119" s="1" t="s">
        <v>16370</v>
      </c>
      <c r="C2119" s="3">
        <f>IF(B2119="","",SUMIFS('Factory Costs'!$C:$C,'Factory Costs'!$A:$A,"Blades",'Factory Costs'!$B:$B,B2119))</f>
        <v>34</v>
      </c>
    </row>
    <row r="2120" spans="1:3" x14ac:dyDescent="0.25">
      <c r="A2120" s="1" t="s">
        <v>12911</v>
      </c>
      <c r="B2120" s="1" t="s">
        <v>16372</v>
      </c>
      <c r="C2120" s="3">
        <f>IF(B2120="","",SUMIFS('Factory Costs'!$C:$C,'Factory Costs'!$A:$A,"Blades",'Factory Costs'!$B:$B,B2120))</f>
        <v>42</v>
      </c>
    </row>
    <row r="2121" spans="1:3" x14ac:dyDescent="0.25">
      <c r="A2121" s="1" t="s">
        <v>12914</v>
      </c>
      <c r="B2121" s="1" t="s">
        <v>16372</v>
      </c>
      <c r="C2121" s="3">
        <f>IF(B2121="","",SUMIFS('Factory Costs'!$C:$C,'Factory Costs'!$A:$A,"Blades",'Factory Costs'!$B:$B,B2121))</f>
        <v>42</v>
      </c>
    </row>
    <row r="2122" spans="1:3" x14ac:dyDescent="0.25">
      <c r="A2122" s="1" t="s">
        <v>12917</v>
      </c>
      <c r="B2122" s="1" t="s">
        <v>16370</v>
      </c>
      <c r="C2122" s="3">
        <f>IF(B2122="","",SUMIFS('Factory Costs'!$C:$C,'Factory Costs'!$A:$A,"Blades",'Factory Costs'!$B:$B,B2122))</f>
        <v>34</v>
      </c>
    </row>
    <row r="2123" spans="1:3" x14ac:dyDescent="0.25">
      <c r="A2123" s="1" t="s">
        <v>12920</v>
      </c>
      <c r="B2123" s="1" t="s">
        <v>16370</v>
      </c>
      <c r="C2123" s="3">
        <f>IF(B2123="","",SUMIFS('Factory Costs'!$C:$C,'Factory Costs'!$A:$A,"Blades",'Factory Costs'!$B:$B,B2123))</f>
        <v>34</v>
      </c>
    </row>
    <row r="2124" spans="1:3" x14ac:dyDescent="0.25">
      <c r="A2124" s="1" t="s">
        <v>12923</v>
      </c>
      <c r="B2124" s="1" t="s">
        <v>16371</v>
      </c>
      <c r="C2124" s="3">
        <f>IF(B2124="","",SUMIFS('Factory Costs'!$C:$C,'Factory Costs'!$A:$A,"Blades",'Factory Costs'!$B:$B,B2124))</f>
        <v>37</v>
      </c>
    </row>
    <row r="2125" spans="1:3" x14ac:dyDescent="0.25">
      <c r="A2125" s="1" t="s">
        <v>12926</v>
      </c>
      <c r="B2125" s="1" t="s">
        <v>16370</v>
      </c>
      <c r="C2125" s="3">
        <f>IF(B2125="","",SUMIFS('Factory Costs'!$C:$C,'Factory Costs'!$A:$A,"Blades",'Factory Costs'!$B:$B,B2125))</f>
        <v>34</v>
      </c>
    </row>
    <row r="2126" spans="1:3" x14ac:dyDescent="0.25">
      <c r="A2126" s="1" t="s">
        <v>12929</v>
      </c>
      <c r="B2126" s="1" t="s">
        <v>16370</v>
      </c>
      <c r="C2126" s="3">
        <f>IF(B2126="","",SUMIFS('Factory Costs'!$C:$C,'Factory Costs'!$A:$A,"Blades",'Factory Costs'!$B:$B,B2126))</f>
        <v>34</v>
      </c>
    </row>
    <row r="2127" spans="1:3" x14ac:dyDescent="0.25">
      <c r="A2127" s="1" t="s">
        <v>12932</v>
      </c>
      <c r="B2127" s="1" t="s">
        <v>16370</v>
      </c>
      <c r="C2127" s="3">
        <f>IF(B2127="","",SUMIFS('Factory Costs'!$C:$C,'Factory Costs'!$A:$A,"Blades",'Factory Costs'!$B:$B,B2127))</f>
        <v>34</v>
      </c>
    </row>
    <row r="2128" spans="1:3" x14ac:dyDescent="0.25">
      <c r="A2128" s="1" t="s">
        <v>12935</v>
      </c>
      <c r="B2128" s="1" t="s">
        <v>16370</v>
      </c>
      <c r="C2128" s="3">
        <f>IF(B2128="","",SUMIFS('Factory Costs'!$C:$C,'Factory Costs'!$A:$A,"Blades",'Factory Costs'!$B:$B,B2128))</f>
        <v>34</v>
      </c>
    </row>
    <row r="2129" spans="1:3" x14ac:dyDescent="0.25">
      <c r="A2129" s="1" t="s">
        <v>12938</v>
      </c>
      <c r="B2129" s="1" t="s">
        <v>16370</v>
      </c>
      <c r="C2129" s="3">
        <f>IF(B2129="","",SUMIFS('Factory Costs'!$C:$C,'Factory Costs'!$A:$A,"Blades",'Factory Costs'!$B:$B,B2129))</f>
        <v>34</v>
      </c>
    </row>
    <row r="2130" spans="1:3" x14ac:dyDescent="0.25">
      <c r="A2130" s="1" t="s">
        <v>12941</v>
      </c>
      <c r="B2130" s="1" t="s">
        <v>16372</v>
      </c>
      <c r="C2130" s="3">
        <f>IF(B2130="","",SUMIFS('Factory Costs'!$C:$C,'Factory Costs'!$A:$A,"Blades",'Factory Costs'!$B:$B,B2130))</f>
        <v>42</v>
      </c>
    </row>
    <row r="2131" spans="1:3" x14ac:dyDescent="0.25">
      <c r="A2131" s="1" t="s">
        <v>12944</v>
      </c>
      <c r="B2131" s="1" t="s">
        <v>16371</v>
      </c>
      <c r="C2131" s="3">
        <f>IF(B2131="","",SUMIFS('Factory Costs'!$C:$C,'Factory Costs'!$A:$A,"Blades",'Factory Costs'!$B:$B,B2131))</f>
        <v>37</v>
      </c>
    </row>
    <row r="2132" spans="1:3" x14ac:dyDescent="0.25">
      <c r="A2132" s="1" t="s">
        <v>12947</v>
      </c>
      <c r="B2132" s="1" t="s">
        <v>16370</v>
      </c>
      <c r="C2132" s="3">
        <f>IF(B2132="","",SUMIFS('Factory Costs'!$C:$C,'Factory Costs'!$A:$A,"Blades",'Factory Costs'!$B:$B,B2132))</f>
        <v>34</v>
      </c>
    </row>
    <row r="2133" spans="1:3" x14ac:dyDescent="0.25">
      <c r="A2133" s="1" t="s">
        <v>12950</v>
      </c>
      <c r="B2133" s="1" t="s">
        <v>16370</v>
      </c>
      <c r="C2133" s="3">
        <f>IF(B2133="","",SUMIFS('Factory Costs'!$C:$C,'Factory Costs'!$A:$A,"Blades",'Factory Costs'!$B:$B,B2133))</f>
        <v>34</v>
      </c>
    </row>
    <row r="2134" spans="1:3" x14ac:dyDescent="0.25">
      <c r="A2134" s="1" t="s">
        <v>12953</v>
      </c>
      <c r="B2134" s="1" t="s">
        <v>16370</v>
      </c>
      <c r="C2134" s="3">
        <f>IF(B2134="","",SUMIFS('Factory Costs'!$C:$C,'Factory Costs'!$A:$A,"Blades",'Factory Costs'!$B:$B,B2134))</f>
        <v>34</v>
      </c>
    </row>
    <row r="2135" spans="1:3" x14ac:dyDescent="0.25">
      <c r="A2135" s="1" t="s">
        <v>12956</v>
      </c>
      <c r="B2135" s="1" t="s">
        <v>16370</v>
      </c>
      <c r="C2135" s="3">
        <f>IF(B2135="","",SUMIFS('Factory Costs'!$C:$C,'Factory Costs'!$A:$A,"Blades",'Factory Costs'!$B:$B,B2135))</f>
        <v>34</v>
      </c>
    </row>
    <row r="2136" spans="1:3" x14ac:dyDescent="0.25">
      <c r="A2136" s="1" t="s">
        <v>12959</v>
      </c>
      <c r="B2136" s="1" t="s">
        <v>16372</v>
      </c>
      <c r="C2136" s="3">
        <f>IF(B2136="","",SUMIFS('Factory Costs'!$C:$C,'Factory Costs'!$A:$A,"Blades",'Factory Costs'!$B:$B,B2136))</f>
        <v>42</v>
      </c>
    </row>
    <row r="2137" spans="1:3" x14ac:dyDescent="0.25">
      <c r="A2137" s="1" t="s">
        <v>12962</v>
      </c>
      <c r="B2137" s="1" t="s">
        <v>16372</v>
      </c>
      <c r="C2137" s="3">
        <f>IF(B2137="","",SUMIFS('Factory Costs'!$C:$C,'Factory Costs'!$A:$A,"Blades",'Factory Costs'!$B:$B,B2137))</f>
        <v>42</v>
      </c>
    </row>
    <row r="2138" spans="1:3" x14ac:dyDescent="0.25">
      <c r="A2138" s="1" t="s">
        <v>12965</v>
      </c>
      <c r="B2138" s="1" t="s">
        <v>16372</v>
      </c>
      <c r="C2138" s="3">
        <f>IF(B2138="","",SUMIFS('Factory Costs'!$C:$C,'Factory Costs'!$A:$A,"Blades",'Factory Costs'!$B:$B,B2138))</f>
        <v>42</v>
      </c>
    </row>
    <row r="2139" spans="1:3" x14ac:dyDescent="0.25">
      <c r="A2139" s="1" t="s">
        <v>12968</v>
      </c>
      <c r="B2139" s="1" t="s">
        <v>16372</v>
      </c>
      <c r="C2139" s="3">
        <f>IF(B2139="","",SUMIFS('Factory Costs'!$C:$C,'Factory Costs'!$A:$A,"Blades",'Factory Costs'!$B:$B,B2139))</f>
        <v>42</v>
      </c>
    </row>
    <row r="2140" spans="1:3" x14ac:dyDescent="0.25">
      <c r="A2140" s="1" t="s">
        <v>12971</v>
      </c>
      <c r="B2140" s="1" t="s">
        <v>16371</v>
      </c>
      <c r="C2140" s="3">
        <f>IF(B2140="","",SUMIFS('Factory Costs'!$C:$C,'Factory Costs'!$A:$A,"Blades",'Factory Costs'!$B:$B,B2140))</f>
        <v>37</v>
      </c>
    </row>
    <row r="2141" spans="1:3" x14ac:dyDescent="0.25">
      <c r="A2141" s="1" t="s">
        <v>12974</v>
      </c>
      <c r="B2141" s="1" t="s">
        <v>16372</v>
      </c>
      <c r="C2141" s="3">
        <f>IF(B2141="","",SUMIFS('Factory Costs'!$C:$C,'Factory Costs'!$A:$A,"Blades",'Factory Costs'!$B:$B,B2141))</f>
        <v>42</v>
      </c>
    </row>
    <row r="2142" spans="1:3" x14ac:dyDescent="0.25">
      <c r="A2142" s="1" t="s">
        <v>12977</v>
      </c>
      <c r="B2142" s="1" t="s">
        <v>16372</v>
      </c>
      <c r="C2142" s="3">
        <f>IF(B2142="","",SUMIFS('Factory Costs'!$C:$C,'Factory Costs'!$A:$A,"Blades",'Factory Costs'!$B:$B,B2142))</f>
        <v>42</v>
      </c>
    </row>
    <row r="2143" spans="1:3" x14ac:dyDescent="0.25">
      <c r="A2143" s="1" t="s">
        <v>12980</v>
      </c>
      <c r="B2143" s="1" t="s">
        <v>16370</v>
      </c>
      <c r="C2143" s="3">
        <f>IF(B2143="","",SUMIFS('Factory Costs'!$C:$C,'Factory Costs'!$A:$A,"Blades",'Factory Costs'!$B:$B,B2143))</f>
        <v>34</v>
      </c>
    </row>
    <row r="2144" spans="1:3" x14ac:dyDescent="0.25">
      <c r="A2144" s="1" t="s">
        <v>12983</v>
      </c>
      <c r="B2144" s="1" t="s">
        <v>16371</v>
      </c>
      <c r="C2144" s="3">
        <f>IF(B2144="","",SUMIFS('Factory Costs'!$C:$C,'Factory Costs'!$A:$A,"Blades",'Factory Costs'!$B:$B,B2144))</f>
        <v>37</v>
      </c>
    </row>
    <row r="2145" spans="1:3" x14ac:dyDescent="0.25">
      <c r="A2145" s="1" t="s">
        <v>12986</v>
      </c>
      <c r="B2145" s="1" t="s">
        <v>16371</v>
      </c>
      <c r="C2145" s="3">
        <f>IF(B2145="","",SUMIFS('Factory Costs'!$C:$C,'Factory Costs'!$A:$A,"Blades",'Factory Costs'!$B:$B,B2145))</f>
        <v>37</v>
      </c>
    </row>
    <row r="2146" spans="1:3" x14ac:dyDescent="0.25">
      <c r="A2146" s="1" t="s">
        <v>12989</v>
      </c>
      <c r="B2146" s="1" t="s">
        <v>16371</v>
      </c>
      <c r="C2146" s="3">
        <f>IF(B2146="","",SUMIFS('Factory Costs'!$C:$C,'Factory Costs'!$A:$A,"Blades",'Factory Costs'!$B:$B,B2146))</f>
        <v>37</v>
      </c>
    </row>
    <row r="2147" spans="1:3" x14ac:dyDescent="0.25">
      <c r="A2147" s="1" t="s">
        <v>12992</v>
      </c>
      <c r="B2147" s="1" t="s">
        <v>16370</v>
      </c>
      <c r="C2147" s="3">
        <f>IF(B2147="","",SUMIFS('Factory Costs'!$C:$C,'Factory Costs'!$A:$A,"Blades",'Factory Costs'!$B:$B,B2147))</f>
        <v>34</v>
      </c>
    </row>
    <row r="2148" spans="1:3" x14ac:dyDescent="0.25">
      <c r="A2148" s="1" t="s">
        <v>12995</v>
      </c>
      <c r="B2148" s="1" t="s">
        <v>16370</v>
      </c>
      <c r="C2148" s="3">
        <f>IF(B2148="","",SUMIFS('Factory Costs'!$C:$C,'Factory Costs'!$A:$A,"Blades",'Factory Costs'!$B:$B,B2148))</f>
        <v>34</v>
      </c>
    </row>
    <row r="2149" spans="1:3" x14ac:dyDescent="0.25">
      <c r="A2149" s="1" t="s">
        <v>12998</v>
      </c>
      <c r="B2149" s="1" t="s">
        <v>16370</v>
      </c>
      <c r="C2149" s="3">
        <f>IF(B2149="","",SUMIFS('Factory Costs'!$C:$C,'Factory Costs'!$A:$A,"Blades",'Factory Costs'!$B:$B,B2149))</f>
        <v>34</v>
      </c>
    </row>
    <row r="2150" spans="1:3" x14ac:dyDescent="0.25">
      <c r="A2150" s="1" t="s">
        <v>13001</v>
      </c>
      <c r="B2150" s="1" t="s">
        <v>16372</v>
      </c>
      <c r="C2150" s="3">
        <f>IF(B2150="","",SUMIFS('Factory Costs'!$C:$C,'Factory Costs'!$A:$A,"Blades",'Factory Costs'!$B:$B,B2150))</f>
        <v>42</v>
      </c>
    </row>
    <row r="2151" spans="1:3" x14ac:dyDescent="0.25">
      <c r="A2151" s="1" t="s">
        <v>13004</v>
      </c>
      <c r="B2151" s="1" t="s">
        <v>16372</v>
      </c>
      <c r="C2151" s="3">
        <f>IF(B2151="","",SUMIFS('Factory Costs'!$C:$C,'Factory Costs'!$A:$A,"Blades",'Factory Costs'!$B:$B,B2151))</f>
        <v>42</v>
      </c>
    </row>
    <row r="2152" spans="1:3" x14ac:dyDescent="0.25">
      <c r="A2152" s="1" t="s">
        <v>13007</v>
      </c>
      <c r="B2152" s="1" t="s">
        <v>16371</v>
      </c>
      <c r="C2152" s="3">
        <f>IF(B2152="","",SUMIFS('Factory Costs'!$C:$C,'Factory Costs'!$A:$A,"Blades",'Factory Costs'!$B:$B,B2152))</f>
        <v>37</v>
      </c>
    </row>
    <row r="2153" spans="1:3" x14ac:dyDescent="0.25">
      <c r="A2153" s="1" t="s">
        <v>13010</v>
      </c>
      <c r="B2153" s="1" t="s">
        <v>16372</v>
      </c>
      <c r="C2153" s="3">
        <f>IF(B2153="","",SUMIFS('Factory Costs'!$C:$C,'Factory Costs'!$A:$A,"Blades",'Factory Costs'!$B:$B,B2153))</f>
        <v>42</v>
      </c>
    </row>
    <row r="2154" spans="1:3" x14ac:dyDescent="0.25">
      <c r="A2154" s="1" t="s">
        <v>13013</v>
      </c>
      <c r="B2154" s="1" t="s">
        <v>16370</v>
      </c>
      <c r="C2154" s="3">
        <f>IF(B2154="","",SUMIFS('Factory Costs'!$C:$C,'Factory Costs'!$A:$A,"Blades",'Factory Costs'!$B:$B,B2154))</f>
        <v>34</v>
      </c>
    </row>
    <row r="2155" spans="1:3" x14ac:dyDescent="0.25">
      <c r="A2155" s="1" t="s">
        <v>13016</v>
      </c>
      <c r="B2155" s="1" t="s">
        <v>16370</v>
      </c>
      <c r="C2155" s="3">
        <f>IF(B2155="","",SUMIFS('Factory Costs'!$C:$C,'Factory Costs'!$A:$A,"Blades",'Factory Costs'!$B:$B,B2155))</f>
        <v>34</v>
      </c>
    </row>
    <row r="2156" spans="1:3" x14ac:dyDescent="0.25">
      <c r="A2156" s="1" t="s">
        <v>13019</v>
      </c>
      <c r="B2156" s="1" t="s">
        <v>16370</v>
      </c>
      <c r="C2156" s="3">
        <f>IF(B2156="","",SUMIFS('Factory Costs'!$C:$C,'Factory Costs'!$A:$A,"Blades",'Factory Costs'!$B:$B,B2156))</f>
        <v>34</v>
      </c>
    </row>
    <row r="2157" spans="1:3" x14ac:dyDescent="0.25">
      <c r="A2157" s="1" t="s">
        <v>13022</v>
      </c>
      <c r="B2157" s="1" t="s">
        <v>16370</v>
      </c>
      <c r="C2157" s="3">
        <f>IF(B2157="","",SUMIFS('Factory Costs'!$C:$C,'Factory Costs'!$A:$A,"Blades",'Factory Costs'!$B:$B,B2157))</f>
        <v>34</v>
      </c>
    </row>
    <row r="2158" spans="1:3" x14ac:dyDescent="0.25">
      <c r="A2158" s="1" t="s">
        <v>13025</v>
      </c>
      <c r="B2158" s="1" t="s">
        <v>16371</v>
      </c>
      <c r="C2158" s="3">
        <f>IF(B2158="","",SUMIFS('Factory Costs'!$C:$C,'Factory Costs'!$A:$A,"Blades",'Factory Costs'!$B:$B,B2158))</f>
        <v>37</v>
      </c>
    </row>
    <row r="2159" spans="1:3" x14ac:dyDescent="0.25">
      <c r="A2159" s="1" t="s">
        <v>13028</v>
      </c>
      <c r="B2159" s="1" t="s">
        <v>16370</v>
      </c>
      <c r="C2159" s="3">
        <f>IF(B2159="","",SUMIFS('Factory Costs'!$C:$C,'Factory Costs'!$A:$A,"Blades",'Factory Costs'!$B:$B,B2159))</f>
        <v>34</v>
      </c>
    </row>
    <row r="2160" spans="1:3" x14ac:dyDescent="0.25">
      <c r="A2160" s="1" t="s">
        <v>13031</v>
      </c>
      <c r="B2160" s="1" t="s">
        <v>16370</v>
      </c>
      <c r="C2160" s="3">
        <f>IF(B2160="","",SUMIFS('Factory Costs'!$C:$C,'Factory Costs'!$A:$A,"Blades",'Factory Costs'!$B:$B,B2160))</f>
        <v>34</v>
      </c>
    </row>
    <row r="2161" spans="1:3" x14ac:dyDescent="0.25">
      <c r="A2161" s="1" t="s">
        <v>13034</v>
      </c>
      <c r="B2161" s="1" t="s">
        <v>16370</v>
      </c>
      <c r="C2161" s="3">
        <f>IF(B2161="","",SUMIFS('Factory Costs'!$C:$C,'Factory Costs'!$A:$A,"Blades",'Factory Costs'!$B:$B,B2161))</f>
        <v>34</v>
      </c>
    </row>
    <row r="2162" spans="1:3" x14ac:dyDescent="0.25">
      <c r="A2162" s="1" t="s">
        <v>13037</v>
      </c>
      <c r="B2162" s="1" t="s">
        <v>16371</v>
      </c>
      <c r="C2162" s="3">
        <f>IF(B2162="","",SUMIFS('Factory Costs'!$C:$C,'Factory Costs'!$A:$A,"Blades",'Factory Costs'!$B:$B,B2162))</f>
        <v>37</v>
      </c>
    </row>
    <row r="2163" spans="1:3" x14ac:dyDescent="0.25">
      <c r="A2163" s="1" t="s">
        <v>13040</v>
      </c>
      <c r="B2163" s="1" t="s">
        <v>16372</v>
      </c>
      <c r="C2163" s="3">
        <f>IF(B2163="","",SUMIFS('Factory Costs'!$C:$C,'Factory Costs'!$A:$A,"Blades",'Factory Costs'!$B:$B,B2163))</f>
        <v>42</v>
      </c>
    </row>
    <row r="2164" spans="1:3" x14ac:dyDescent="0.25">
      <c r="A2164" s="1" t="s">
        <v>13043</v>
      </c>
      <c r="B2164" s="1" t="s">
        <v>16372</v>
      </c>
      <c r="C2164" s="3">
        <f>IF(B2164="","",SUMIFS('Factory Costs'!$C:$C,'Factory Costs'!$A:$A,"Blades",'Factory Costs'!$B:$B,B2164))</f>
        <v>42</v>
      </c>
    </row>
    <row r="2165" spans="1:3" x14ac:dyDescent="0.25">
      <c r="A2165" s="1" t="s">
        <v>13046</v>
      </c>
      <c r="B2165" s="1" t="s">
        <v>16371</v>
      </c>
      <c r="C2165" s="3">
        <f>IF(B2165="","",SUMIFS('Factory Costs'!$C:$C,'Factory Costs'!$A:$A,"Blades",'Factory Costs'!$B:$B,B2165))</f>
        <v>37</v>
      </c>
    </row>
    <row r="2166" spans="1:3" x14ac:dyDescent="0.25">
      <c r="A2166" s="1" t="s">
        <v>13049</v>
      </c>
      <c r="B2166" s="1" t="s">
        <v>16371</v>
      </c>
      <c r="C2166" s="3">
        <f>IF(B2166="","",SUMIFS('Factory Costs'!$C:$C,'Factory Costs'!$A:$A,"Blades",'Factory Costs'!$B:$B,B2166))</f>
        <v>37</v>
      </c>
    </row>
    <row r="2167" spans="1:3" x14ac:dyDescent="0.25">
      <c r="A2167" s="1" t="s">
        <v>13052</v>
      </c>
      <c r="B2167" s="1" t="s">
        <v>16371</v>
      </c>
      <c r="C2167" s="3">
        <f>IF(B2167="","",SUMIFS('Factory Costs'!$C:$C,'Factory Costs'!$A:$A,"Blades",'Factory Costs'!$B:$B,B2167))</f>
        <v>37</v>
      </c>
    </row>
    <row r="2168" spans="1:3" x14ac:dyDescent="0.25">
      <c r="A2168" s="1" t="s">
        <v>13055</v>
      </c>
      <c r="B2168" s="1" t="s">
        <v>16372</v>
      </c>
      <c r="C2168" s="3">
        <f>IF(B2168="","",SUMIFS('Factory Costs'!$C:$C,'Factory Costs'!$A:$A,"Blades",'Factory Costs'!$B:$B,B2168))</f>
        <v>42</v>
      </c>
    </row>
    <row r="2169" spans="1:3" x14ac:dyDescent="0.25">
      <c r="A2169" s="1" t="s">
        <v>13058</v>
      </c>
      <c r="B2169" s="1" t="s">
        <v>16371</v>
      </c>
      <c r="C2169" s="3">
        <f>IF(B2169="","",SUMIFS('Factory Costs'!$C:$C,'Factory Costs'!$A:$A,"Blades",'Factory Costs'!$B:$B,B2169))</f>
        <v>37</v>
      </c>
    </row>
    <row r="2170" spans="1:3" x14ac:dyDescent="0.25">
      <c r="A2170" s="1" t="s">
        <v>13061</v>
      </c>
      <c r="B2170" s="1" t="s">
        <v>16371</v>
      </c>
      <c r="C2170" s="3">
        <f>IF(B2170="","",SUMIFS('Factory Costs'!$C:$C,'Factory Costs'!$A:$A,"Blades",'Factory Costs'!$B:$B,B2170))</f>
        <v>37</v>
      </c>
    </row>
    <row r="2171" spans="1:3" x14ac:dyDescent="0.25">
      <c r="A2171" s="1" t="s">
        <v>13064</v>
      </c>
      <c r="B2171" s="1" t="s">
        <v>16372</v>
      </c>
      <c r="C2171" s="3">
        <f>IF(B2171="","",SUMIFS('Factory Costs'!$C:$C,'Factory Costs'!$A:$A,"Blades",'Factory Costs'!$B:$B,B2171))</f>
        <v>42</v>
      </c>
    </row>
    <row r="2172" spans="1:3" x14ac:dyDescent="0.25">
      <c r="A2172" s="1" t="s">
        <v>13067</v>
      </c>
      <c r="B2172" s="1" t="s">
        <v>16371</v>
      </c>
      <c r="C2172" s="3">
        <f>IF(B2172="","",SUMIFS('Factory Costs'!$C:$C,'Factory Costs'!$A:$A,"Blades",'Factory Costs'!$B:$B,B2172))</f>
        <v>37</v>
      </c>
    </row>
    <row r="2173" spans="1:3" x14ac:dyDescent="0.25">
      <c r="A2173" s="1" t="s">
        <v>13070</v>
      </c>
      <c r="B2173" s="1" t="s">
        <v>16370</v>
      </c>
      <c r="C2173" s="3">
        <f>IF(B2173="","",SUMIFS('Factory Costs'!$C:$C,'Factory Costs'!$A:$A,"Blades",'Factory Costs'!$B:$B,B2173))</f>
        <v>34</v>
      </c>
    </row>
    <row r="2174" spans="1:3" x14ac:dyDescent="0.25">
      <c r="A2174" s="1" t="s">
        <v>13073</v>
      </c>
      <c r="B2174" s="1" t="s">
        <v>16370</v>
      </c>
      <c r="C2174" s="3">
        <f>IF(B2174="","",SUMIFS('Factory Costs'!$C:$C,'Factory Costs'!$A:$A,"Blades",'Factory Costs'!$B:$B,B2174))</f>
        <v>34</v>
      </c>
    </row>
    <row r="2175" spans="1:3" x14ac:dyDescent="0.25">
      <c r="A2175" s="1" t="s">
        <v>13076</v>
      </c>
      <c r="B2175" s="1" t="s">
        <v>16372</v>
      </c>
      <c r="C2175" s="3">
        <f>IF(B2175="","",SUMIFS('Factory Costs'!$C:$C,'Factory Costs'!$A:$A,"Blades",'Factory Costs'!$B:$B,B2175))</f>
        <v>42</v>
      </c>
    </row>
    <row r="2176" spans="1:3" x14ac:dyDescent="0.25">
      <c r="A2176" s="1" t="s">
        <v>13079</v>
      </c>
      <c r="B2176" s="1" t="s">
        <v>16371</v>
      </c>
      <c r="C2176" s="3">
        <f>IF(B2176="","",SUMIFS('Factory Costs'!$C:$C,'Factory Costs'!$A:$A,"Blades",'Factory Costs'!$B:$B,B2176))</f>
        <v>37</v>
      </c>
    </row>
    <row r="2177" spans="1:3" x14ac:dyDescent="0.25">
      <c r="A2177" s="1" t="s">
        <v>13082</v>
      </c>
      <c r="B2177" s="1" t="s">
        <v>16370</v>
      </c>
      <c r="C2177" s="3">
        <f>IF(B2177="","",SUMIFS('Factory Costs'!$C:$C,'Factory Costs'!$A:$A,"Blades",'Factory Costs'!$B:$B,B2177))</f>
        <v>34</v>
      </c>
    </row>
    <row r="2178" spans="1:3" x14ac:dyDescent="0.25">
      <c r="A2178" s="1" t="s">
        <v>13085</v>
      </c>
      <c r="B2178" s="1" t="s">
        <v>16370</v>
      </c>
      <c r="C2178" s="3">
        <f>IF(B2178="","",SUMIFS('Factory Costs'!$C:$C,'Factory Costs'!$A:$A,"Blades",'Factory Costs'!$B:$B,B2178))</f>
        <v>34</v>
      </c>
    </row>
    <row r="2179" spans="1:3" x14ac:dyDescent="0.25">
      <c r="A2179" s="1" t="s">
        <v>13088</v>
      </c>
      <c r="B2179" s="1" t="s">
        <v>16371</v>
      </c>
      <c r="C2179" s="3">
        <f>IF(B2179="","",SUMIFS('Factory Costs'!$C:$C,'Factory Costs'!$A:$A,"Blades",'Factory Costs'!$B:$B,B2179))</f>
        <v>37</v>
      </c>
    </row>
    <row r="2180" spans="1:3" x14ac:dyDescent="0.25">
      <c r="A2180" s="1" t="s">
        <v>13091</v>
      </c>
      <c r="B2180" s="1" t="s">
        <v>16370</v>
      </c>
      <c r="C2180" s="3">
        <f>IF(B2180="","",SUMIFS('Factory Costs'!$C:$C,'Factory Costs'!$A:$A,"Blades",'Factory Costs'!$B:$B,B2180))</f>
        <v>34</v>
      </c>
    </row>
    <row r="2181" spans="1:3" x14ac:dyDescent="0.25">
      <c r="A2181" s="1" t="s">
        <v>13094</v>
      </c>
      <c r="B2181" s="1" t="s">
        <v>16370</v>
      </c>
      <c r="C2181" s="3">
        <f>IF(B2181="","",SUMIFS('Factory Costs'!$C:$C,'Factory Costs'!$A:$A,"Blades",'Factory Costs'!$B:$B,B2181))</f>
        <v>34</v>
      </c>
    </row>
    <row r="2182" spans="1:3" x14ac:dyDescent="0.25">
      <c r="A2182" s="1" t="s">
        <v>13097</v>
      </c>
      <c r="B2182" s="1" t="s">
        <v>16372</v>
      </c>
      <c r="C2182" s="3">
        <f>IF(B2182="","",SUMIFS('Factory Costs'!$C:$C,'Factory Costs'!$A:$A,"Blades",'Factory Costs'!$B:$B,B2182))</f>
        <v>42</v>
      </c>
    </row>
    <row r="2183" spans="1:3" x14ac:dyDescent="0.25">
      <c r="A2183" s="1" t="s">
        <v>13100</v>
      </c>
      <c r="B2183" s="1" t="s">
        <v>16370</v>
      </c>
      <c r="C2183" s="3">
        <f>IF(B2183="","",SUMIFS('Factory Costs'!$C:$C,'Factory Costs'!$A:$A,"Blades",'Factory Costs'!$B:$B,B2183))</f>
        <v>34</v>
      </c>
    </row>
    <row r="2184" spans="1:3" x14ac:dyDescent="0.25">
      <c r="A2184" s="1" t="s">
        <v>13103</v>
      </c>
      <c r="B2184" s="1" t="s">
        <v>16371</v>
      </c>
      <c r="C2184" s="3">
        <f>IF(B2184="","",SUMIFS('Factory Costs'!$C:$C,'Factory Costs'!$A:$A,"Blades",'Factory Costs'!$B:$B,B2184))</f>
        <v>37</v>
      </c>
    </row>
    <row r="2185" spans="1:3" x14ac:dyDescent="0.25">
      <c r="A2185" s="1" t="s">
        <v>13106</v>
      </c>
      <c r="B2185" s="1" t="s">
        <v>16370</v>
      </c>
      <c r="C2185" s="3">
        <f>IF(B2185="","",SUMIFS('Factory Costs'!$C:$C,'Factory Costs'!$A:$A,"Blades",'Factory Costs'!$B:$B,B2185))</f>
        <v>34</v>
      </c>
    </row>
    <row r="2186" spans="1:3" x14ac:dyDescent="0.25">
      <c r="A2186" s="1" t="s">
        <v>13109</v>
      </c>
      <c r="B2186" s="1" t="s">
        <v>16372</v>
      </c>
      <c r="C2186" s="3">
        <f>IF(B2186="","",SUMIFS('Factory Costs'!$C:$C,'Factory Costs'!$A:$A,"Blades",'Factory Costs'!$B:$B,B2186))</f>
        <v>42</v>
      </c>
    </row>
    <row r="2187" spans="1:3" x14ac:dyDescent="0.25">
      <c r="A2187" s="1" t="s">
        <v>13112</v>
      </c>
      <c r="B2187" s="1" t="s">
        <v>16370</v>
      </c>
      <c r="C2187" s="3">
        <f>IF(B2187="","",SUMIFS('Factory Costs'!$C:$C,'Factory Costs'!$A:$A,"Blades",'Factory Costs'!$B:$B,B2187))</f>
        <v>34</v>
      </c>
    </row>
    <row r="2188" spans="1:3" x14ac:dyDescent="0.25">
      <c r="A2188" s="1" t="s">
        <v>13115</v>
      </c>
      <c r="B2188" s="1" t="s">
        <v>16372</v>
      </c>
      <c r="C2188" s="3">
        <f>IF(B2188="","",SUMIFS('Factory Costs'!$C:$C,'Factory Costs'!$A:$A,"Blades",'Factory Costs'!$B:$B,B2188))</f>
        <v>42</v>
      </c>
    </row>
    <row r="2189" spans="1:3" x14ac:dyDescent="0.25">
      <c r="A2189" s="1" t="s">
        <v>13118</v>
      </c>
      <c r="B2189" s="1" t="s">
        <v>16372</v>
      </c>
      <c r="C2189" s="3">
        <f>IF(B2189="","",SUMIFS('Factory Costs'!$C:$C,'Factory Costs'!$A:$A,"Blades",'Factory Costs'!$B:$B,B2189))</f>
        <v>42</v>
      </c>
    </row>
    <row r="2190" spans="1:3" x14ac:dyDescent="0.25">
      <c r="A2190" s="1" t="s">
        <v>13121</v>
      </c>
      <c r="B2190" s="1" t="s">
        <v>16371</v>
      </c>
      <c r="C2190" s="3">
        <f>IF(B2190="","",SUMIFS('Factory Costs'!$C:$C,'Factory Costs'!$A:$A,"Blades",'Factory Costs'!$B:$B,B2190))</f>
        <v>37</v>
      </c>
    </row>
    <row r="2191" spans="1:3" x14ac:dyDescent="0.25">
      <c r="A2191" s="1" t="s">
        <v>13124</v>
      </c>
      <c r="B2191" s="1" t="s">
        <v>16371</v>
      </c>
      <c r="C2191" s="3">
        <f>IF(B2191="","",SUMIFS('Factory Costs'!$C:$C,'Factory Costs'!$A:$A,"Blades",'Factory Costs'!$B:$B,B2191))</f>
        <v>37</v>
      </c>
    </row>
    <row r="2192" spans="1:3" x14ac:dyDescent="0.25">
      <c r="A2192" s="1" t="s">
        <v>13127</v>
      </c>
      <c r="B2192" s="1" t="s">
        <v>16371</v>
      </c>
      <c r="C2192" s="3">
        <f>IF(B2192="","",SUMIFS('Factory Costs'!$C:$C,'Factory Costs'!$A:$A,"Blades",'Factory Costs'!$B:$B,B2192))</f>
        <v>37</v>
      </c>
    </row>
    <row r="2193" spans="1:3" x14ac:dyDescent="0.25">
      <c r="A2193" s="1" t="s">
        <v>13130</v>
      </c>
      <c r="B2193" s="1" t="s">
        <v>16372</v>
      </c>
      <c r="C2193" s="3">
        <f>IF(B2193="","",SUMIFS('Factory Costs'!$C:$C,'Factory Costs'!$A:$A,"Blades",'Factory Costs'!$B:$B,B2193))</f>
        <v>42</v>
      </c>
    </row>
    <row r="2194" spans="1:3" x14ac:dyDescent="0.25">
      <c r="A2194" s="1" t="s">
        <v>13133</v>
      </c>
      <c r="B2194" s="1" t="s">
        <v>16372</v>
      </c>
      <c r="C2194" s="3">
        <f>IF(B2194="","",SUMIFS('Factory Costs'!$C:$C,'Factory Costs'!$A:$A,"Blades",'Factory Costs'!$B:$B,B2194))</f>
        <v>42</v>
      </c>
    </row>
    <row r="2195" spans="1:3" x14ac:dyDescent="0.25">
      <c r="A2195" s="1" t="s">
        <v>13136</v>
      </c>
      <c r="B2195" s="1" t="s">
        <v>16371</v>
      </c>
      <c r="C2195" s="3">
        <f>IF(B2195="","",SUMIFS('Factory Costs'!$C:$C,'Factory Costs'!$A:$A,"Blades",'Factory Costs'!$B:$B,B2195))</f>
        <v>37</v>
      </c>
    </row>
    <row r="2196" spans="1:3" x14ac:dyDescent="0.25">
      <c r="A2196" s="1" t="s">
        <v>13139</v>
      </c>
      <c r="B2196" s="1" t="s">
        <v>16371</v>
      </c>
      <c r="C2196" s="3">
        <f>IF(B2196="","",SUMIFS('Factory Costs'!$C:$C,'Factory Costs'!$A:$A,"Blades",'Factory Costs'!$B:$B,B2196))</f>
        <v>37</v>
      </c>
    </row>
    <row r="2197" spans="1:3" x14ac:dyDescent="0.25">
      <c r="A2197" s="1" t="s">
        <v>13142</v>
      </c>
      <c r="B2197" s="1" t="s">
        <v>16370</v>
      </c>
      <c r="C2197" s="3">
        <f>IF(B2197="","",SUMIFS('Factory Costs'!$C:$C,'Factory Costs'!$A:$A,"Blades",'Factory Costs'!$B:$B,B2197))</f>
        <v>34</v>
      </c>
    </row>
    <row r="2198" spans="1:3" x14ac:dyDescent="0.25">
      <c r="A2198" s="1" t="s">
        <v>13145</v>
      </c>
      <c r="B2198" s="1" t="s">
        <v>16372</v>
      </c>
      <c r="C2198" s="3">
        <f>IF(B2198="","",SUMIFS('Factory Costs'!$C:$C,'Factory Costs'!$A:$A,"Blades",'Factory Costs'!$B:$B,B2198))</f>
        <v>42</v>
      </c>
    </row>
    <row r="2199" spans="1:3" x14ac:dyDescent="0.25">
      <c r="A2199" s="1" t="s">
        <v>13148</v>
      </c>
      <c r="B2199" s="1" t="s">
        <v>16371</v>
      </c>
      <c r="C2199" s="3">
        <f>IF(B2199="","",SUMIFS('Factory Costs'!$C:$C,'Factory Costs'!$A:$A,"Blades",'Factory Costs'!$B:$B,B2199))</f>
        <v>37</v>
      </c>
    </row>
    <row r="2200" spans="1:3" x14ac:dyDescent="0.25">
      <c r="A2200" s="1" t="s">
        <v>13151</v>
      </c>
      <c r="B2200" s="1" t="s">
        <v>16370</v>
      </c>
      <c r="C2200" s="3">
        <f>IF(B2200="","",SUMIFS('Factory Costs'!$C:$C,'Factory Costs'!$A:$A,"Blades",'Factory Costs'!$B:$B,B2200))</f>
        <v>34</v>
      </c>
    </row>
    <row r="2201" spans="1:3" x14ac:dyDescent="0.25">
      <c r="A2201" s="1" t="s">
        <v>13154</v>
      </c>
      <c r="B2201" s="1" t="s">
        <v>16372</v>
      </c>
      <c r="C2201" s="3">
        <f>IF(B2201="","",SUMIFS('Factory Costs'!$C:$C,'Factory Costs'!$A:$A,"Blades",'Factory Costs'!$B:$B,B2201))</f>
        <v>42</v>
      </c>
    </row>
    <row r="2202" spans="1:3" x14ac:dyDescent="0.25">
      <c r="A2202" s="1" t="s">
        <v>13157</v>
      </c>
      <c r="B2202" s="1" t="s">
        <v>16370</v>
      </c>
      <c r="C2202" s="3">
        <f>IF(B2202="","",SUMIFS('Factory Costs'!$C:$C,'Factory Costs'!$A:$A,"Blades",'Factory Costs'!$B:$B,B2202))</f>
        <v>34</v>
      </c>
    </row>
    <row r="2203" spans="1:3" x14ac:dyDescent="0.25">
      <c r="A2203" s="1" t="s">
        <v>13160</v>
      </c>
      <c r="B2203" s="1" t="s">
        <v>16372</v>
      </c>
      <c r="C2203" s="3">
        <f>IF(B2203="","",SUMIFS('Factory Costs'!$C:$C,'Factory Costs'!$A:$A,"Blades",'Factory Costs'!$B:$B,B2203))</f>
        <v>42</v>
      </c>
    </row>
    <row r="2204" spans="1:3" x14ac:dyDescent="0.25">
      <c r="A2204" s="1" t="s">
        <v>13163</v>
      </c>
      <c r="B2204" s="1" t="s">
        <v>16371</v>
      </c>
      <c r="C2204" s="3">
        <f>IF(B2204="","",SUMIFS('Factory Costs'!$C:$C,'Factory Costs'!$A:$A,"Blades",'Factory Costs'!$B:$B,B2204))</f>
        <v>37</v>
      </c>
    </row>
    <row r="2205" spans="1:3" x14ac:dyDescent="0.25">
      <c r="A2205" s="1" t="s">
        <v>13166</v>
      </c>
      <c r="B2205" s="1" t="s">
        <v>16370</v>
      </c>
      <c r="C2205" s="3">
        <f>IF(B2205="","",SUMIFS('Factory Costs'!$C:$C,'Factory Costs'!$A:$A,"Blades",'Factory Costs'!$B:$B,B2205))</f>
        <v>34</v>
      </c>
    </row>
    <row r="2206" spans="1:3" x14ac:dyDescent="0.25">
      <c r="A2206" s="1" t="s">
        <v>13169</v>
      </c>
      <c r="B2206" s="1" t="s">
        <v>16370</v>
      </c>
      <c r="C2206" s="3">
        <f>IF(B2206="","",SUMIFS('Factory Costs'!$C:$C,'Factory Costs'!$A:$A,"Blades",'Factory Costs'!$B:$B,B2206))</f>
        <v>34</v>
      </c>
    </row>
    <row r="2207" spans="1:3" x14ac:dyDescent="0.25">
      <c r="A2207" s="1" t="s">
        <v>13172</v>
      </c>
      <c r="B2207" s="1" t="s">
        <v>16370</v>
      </c>
      <c r="C2207" s="3">
        <f>IF(B2207="","",SUMIFS('Factory Costs'!$C:$C,'Factory Costs'!$A:$A,"Blades",'Factory Costs'!$B:$B,B2207))</f>
        <v>34</v>
      </c>
    </row>
    <row r="2208" spans="1:3" x14ac:dyDescent="0.25">
      <c r="A2208" s="1" t="s">
        <v>13175</v>
      </c>
      <c r="B2208" s="1" t="s">
        <v>16370</v>
      </c>
      <c r="C2208" s="3">
        <f>IF(B2208="","",SUMIFS('Factory Costs'!$C:$C,'Factory Costs'!$A:$A,"Blades",'Factory Costs'!$B:$B,B2208))</f>
        <v>34</v>
      </c>
    </row>
    <row r="2209" spans="1:3" x14ac:dyDescent="0.25">
      <c r="A2209" s="1" t="s">
        <v>13178</v>
      </c>
      <c r="B2209" s="1" t="s">
        <v>16370</v>
      </c>
      <c r="C2209" s="3">
        <f>IF(B2209="","",SUMIFS('Factory Costs'!$C:$C,'Factory Costs'!$A:$A,"Blades",'Factory Costs'!$B:$B,B2209))</f>
        <v>34</v>
      </c>
    </row>
    <row r="2210" spans="1:3" x14ac:dyDescent="0.25">
      <c r="A2210" s="1" t="s">
        <v>13181</v>
      </c>
      <c r="B2210" s="1" t="s">
        <v>16372</v>
      </c>
      <c r="C2210" s="3">
        <f>IF(B2210="","",SUMIFS('Factory Costs'!$C:$C,'Factory Costs'!$A:$A,"Blades",'Factory Costs'!$B:$B,B2210))</f>
        <v>42</v>
      </c>
    </row>
    <row r="2211" spans="1:3" x14ac:dyDescent="0.25">
      <c r="A2211" s="1" t="s">
        <v>13184</v>
      </c>
      <c r="B2211" s="1" t="s">
        <v>16372</v>
      </c>
      <c r="C2211" s="3">
        <f>IF(B2211="","",SUMIFS('Factory Costs'!$C:$C,'Factory Costs'!$A:$A,"Blades",'Factory Costs'!$B:$B,B2211))</f>
        <v>42</v>
      </c>
    </row>
    <row r="2212" spans="1:3" x14ac:dyDescent="0.25">
      <c r="A2212" s="1" t="s">
        <v>13187</v>
      </c>
      <c r="B2212" s="1" t="s">
        <v>16371</v>
      </c>
      <c r="C2212" s="3">
        <f>IF(B2212="","",SUMIFS('Factory Costs'!$C:$C,'Factory Costs'!$A:$A,"Blades",'Factory Costs'!$B:$B,B2212))</f>
        <v>37</v>
      </c>
    </row>
    <row r="2213" spans="1:3" x14ac:dyDescent="0.25">
      <c r="A2213" s="1" t="s">
        <v>13190</v>
      </c>
      <c r="B2213" s="1" t="s">
        <v>16370</v>
      </c>
      <c r="C2213" s="3">
        <f>IF(B2213="","",SUMIFS('Factory Costs'!$C:$C,'Factory Costs'!$A:$A,"Blades",'Factory Costs'!$B:$B,B2213))</f>
        <v>34</v>
      </c>
    </row>
    <row r="2214" spans="1:3" x14ac:dyDescent="0.25">
      <c r="A2214" s="1" t="s">
        <v>13193</v>
      </c>
      <c r="B2214" s="1" t="s">
        <v>16370</v>
      </c>
      <c r="C2214" s="3">
        <f>IF(B2214="","",SUMIFS('Factory Costs'!$C:$C,'Factory Costs'!$A:$A,"Blades",'Factory Costs'!$B:$B,B2214))</f>
        <v>34</v>
      </c>
    </row>
    <row r="2215" spans="1:3" x14ac:dyDescent="0.25">
      <c r="A2215" s="1" t="s">
        <v>13196</v>
      </c>
      <c r="B2215" s="1" t="s">
        <v>16370</v>
      </c>
      <c r="C2215" s="3">
        <f>IF(B2215="","",SUMIFS('Factory Costs'!$C:$C,'Factory Costs'!$A:$A,"Blades",'Factory Costs'!$B:$B,B2215))</f>
        <v>34</v>
      </c>
    </row>
    <row r="2216" spans="1:3" x14ac:dyDescent="0.25">
      <c r="A2216" s="1" t="s">
        <v>13199</v>
      </c>
      <c r="B2216" s="1" t="s">
        <v>16371</v>
      </c>
      <c r="C2216" s="3">
        <f>IF(B2216="","",SUMIFS('Factory Costs'!$C:$C,'Factory Costs'!$A:$A,"Blades",'Factory Costs'!$B:$B,B2216))</f>
        <v>37</v>
      </c>
    </row>
    <row r="2217" spans="1:3" x14ac:dyDescent="0.25">
      <c r="A2217" s="1" t="s">
        <v>13202</v>
      </c>
      <c r="B2217" s="1" t="s">
        <v>16370</v>
      </c>
      <c r="C2217" s="3">
        <f>IF(B2217="","",SUMIFS('Factory Costs'!$C:$C,'Factory Costs'!$A:$A,"Blades",'Factory Costs'!$B:$B,B2217))</f>
        <v>34</v>
      </c>
    </row>
    <row r="2218" spans="1:3" x14ac:dyDescent="0.25">
      <c r="A2218" s="1" t="s">
        <v>13205</v>
      </c>
      <c r="B2218" s="1" t="s">
        <v>16370</v>
      </c>
      <c r="C2218" s="3">
        <f>IF(B2218="","",SUMIFS('Factory Costs'!$C:$C,'Factory Costs'!$A:$A,"Blades",'Factory Costs'!$B:$B,B2218))</f>
        <v>34</v>
      </c>
    </row>
    <row r="2219" spans="1:3" x14ac:dyDescent="0.25">
      <c r="A2219" s="1" t="s">
        <v>13208</v>
      </c>
      <c r="B2219" s="1" t="s">
        <v>16372</v>
      </c>
      <c r="C2219" s="3">
        <f>IF(B2219="","",SUMIFS('Factory Costs'!$C:$C,'Factory Costs'!$A:$A,"Blades",'Factory Costs'!$B:$B,B2219))</f>
        <v>42</v>
      </c>
    </row>
    <row r="2220" spans="1:3" x14ac:dyDescent="0.25">
      <c r="A2220" s="1" t="s">
        <v>13211</v>
      </c>
      <c r="B2220" s="1" t="s">
        <v>16370</v>
      </c>
      <c r="C2220" s="3">
        <f>IF(B2220="","",SUMIFS('Factory Costs'!$C:$C,'Factory Costs'!$A:$A,"Blades",'Factory Costs'!$B:$B,B2220))</f>
        <v>34</v>
      </c>
    </row>
    <row r="2221" spans="1:3" x14ac:dyDescent="0.25">
      <c r="A2221" s="1" t="s">
        <v>13214</v>
      </c>
      <c r="B2221" s="1" t="s">
        <v>16370</v>
      </c>
      <c r="C2221" s="3">
        <f>IF(B2221="","",SUMIFS('Factory Costs'!$C:$C,'Factory Costs'!$A:$A,"Blades",'Factory Costs'!$B:$B,B2221))</f>
        <v>34</v>
      </c>
    </row>
    <row r="2222" spans="1:3" x14ac:dyDescent="0.25">
      <c r="A2222" s="1" t="s">
        <v>13217</v>
      </c>
      <c r="B2222" s="1" t="s">
        <v>16370</v>
      </c>
      <c r="C2222" s="3">
        <f>IF(B2222="","",SUMIFS('Factory Costs'!$C:$C,'Factory Costs'!$A:$A,"Blades",'Factory Costs'!$B:$B,B2222))</f>
        <v>34</v>
      </c>
    </row>
    <row r="2223" spans="1:3" x14ac:dyDescent="0.25">
      <c r="A2223" s="1" t="s">
        <v>13220</v>
      </c>
      <c r="B2223" s="1" t="s">
        <v>16371</v>
      </c>
      <c r="C2223" s="3">
        <f>IF(B2223="","",SUMIFS('Factory Costs'!$C:$C,'Factory Costs'!$A:$A,"Blades",'Factory Costs'!$B:$B,B2223))</f>
        <v>37</v>
      </c>
    </row>
    <row r="2224" spans="1:3" x14ac:dyDescent="0.25">
      <c r="A2224" s="1" t="s">
        <v>13223</v>
      </c>
      <c r="B2224" s="1" t="s">
        <v>16371</v>
      </c>
      <c r="C2224" s="3">
        <f>IF(B2224="","",SUMIFS('Factory Costs'!$C:$C,'Factory Costs'!$A:$A,"Blades",'Factory Costs'!$B:$B,B2224))</f>
        <v>37</v>
      </c>
    </row>
    <row r="2225" spans="1:3" x14ac:dyDescent="0.25">
      <c r="A2225" s="1" t="s">
        <v>13226</v>
      </c>
      <c r="B2225" s="1" t="s">
        <v>16371</v>
      </c>
      <c r="C2225" s="3">
        <f>IF(B2225="","",SUMIFS('Factory Costs'!$C:$C,'Factory Costs'!$A:$A,"Blades",'Factory Costs'!$B:$B,B2225))</f>
        <v>37</v>
      </c>
    </row>
    <row r="2226" spans="1:3" x14ac:dyDescent="0.25">
      <c r="A2226" s="1" t="s">
        <v>13229</v>
      </c>
      <c r="B2226" s="1" t="s">
        <v>16372</v>
      </c>
      <c r="C2226" s="3">
        <f>IF(B2226="","",SUMIFS('Factory Costs'!$C:$C,'Factory Costs'!$A:$A,"Blades",'Factory Costs'!$B:$B,B2226))</f>
        <v>42</v>
      </c>
    </row>
    <row r="2227" spans="1:3" x14ac:dyDescent="0.25">
      <c r="A2227" s="1" t="s">
        <v>13232</v>
      </c>
      <c r="B2227" s="1" t="s">
        <v>16370</v>
      </c>
      <c r="C2227" s="3">
        <f>IF(B2227="","",SUMIFS('Factory Costs'!$C:$C,'Factory Costs'!$A:$A,"Blades",'Factory Costs'!$B:$B,B2227))</f>
        <v>34</v>
      </c>
    </row>
    <row r="2228" spans="1:3" x14ac:dyDescent="0.25">
      <c r="A2228" s="1" t="s">
        <v>13235</v>
      </c>
      <c r="B2228" s="1" t="s">
        <v>16372</v>
      </c>
      <c r="C2228" s="3">
        <f>IF(B2228="","",SUMIFS('Factory Costs'!$C:$C,'Factory Costs'!$A:$A,"Blades",'Factory Costs'!$B:$B,B2228))</f>
        <v>42</v>
      </c>
    </row>
    <row r="2229" spans="1:3" x14ac:dyDescent="0.25">
      <c r="A2229" s="1" t="s">
        <v>13238</v>
      </c>
      <c r="B2229" s="1" t="s">
        <v>16370</v>
      </c>
      <c r="C2229" s="3">
        <f>IF(B2229="","",SUMIFS('Factory Costs'!$C:$C,'Factory Costs'!$A:$A,"Blades",'Factory Costs'!$B:$B,B2229))</f>
        <v>34</v>
      </c>
    </row>
    <row r="2230" spans="1:3" x14ac:dyDescent="0.25">
      <c r="A2230" s="1" t="s">
        <v>13241</v>
      </c>
      <c r="B2230" s="1" t="s">
        <v>16370</v>
      </c>
      <c r="C2230" s="3">
        <f>IF(B2230="","",SUMIFS('Factory Costs'!$C:$C,'Factory Costs'!$A:$A,"Blades",'Factory Costs'!$B:$B,B2230))</f>
        <v>34</v>
      </c>
    </row>
    <row r="2231" spans="1:3" x14ac:dyDescent="0.25">
      <c r="A2231" s="1" t="s">
        <v>13244</v>
      </c>
      <c r="B2231" s="1" t="s">
        <v>16370</v>
      </c>
      <c r="C2231" s="3">
        <f>IF(B2231="","",SUMIFS('Factory Costs'!$C:$C,'Factory Costs'!$A:$A,"Blades",'Factory Costs'!$B:$B,B2231))</f>
        <v>34</v>
      </c>
    </row>
    <row r="2232" spans="1:3" x14ac:dyDescent="0.25">
      <c r="A2232" s="1" t="s">
        <v>13247</v>
      </c>
      <c r="B2232" s="1" t="s">
        <v>16372</v>
      </c>
      <c r="C2232" s="3">
        <f>IF(B2232="","",SUMIFS('Factory Costs'!$C:$C,'Factory Costs'!$A:$A,"Blades",'Factory Costs'!$B:$B,B2232))</f>
        <v>42</v>
      </c>
    </row>
    <row r="2233" spans="1:3" x14ac:dyDescent="0.25">
      <c r="A2233" s="1" t="s">
        <v>13250</v>
      </c>
      <c r="B2233" s="1" t="s">
        <v>16370</v>
      </c>
      <c r="C2233" s="3">
        <f>IF(B2233="","",SUMIFS('Factory Costs'!$C:$C,'Factory Costs'!$A:$A,"Blades",'Factory Costs'!$B:$B,B2233))</f>
        <v>34</v>
      </c>
    </row>
    <row r="2234" spans="1:3" x14ac:dyDescent="0.25">
      <c r="A2234" s="1" t="s">
        <v>13253</v>
      </c>
      <c r="B2234" s="1" t="s">
        <v>16372</v>
      </c>
      <c r="C2234" s="3">
        <f>IF(B2234="","",SUMIFS('Factory Costs'!$C:$C,'Factory Costs'!$A:$A,"Blades",'Factory Costs'!$B:$B,B2234))</f>
        <v>42</v>
      </c>
    </row>
    <row r="2235" spans="1:3" x14ac:dyDescent="0.25">
      <c r="A2235" s="1" t="s">
        <v>13256</v>
      </c>
      <c r="B2235" s="1" t="s">
        <v>16371</v>
      </c>
      <c r="C2235" s="3">
        <f>IF(B2235="","",SUMIFS('Factory Costs'!$C:$C,'Factory Costs'!$A:$A,"Blades",'Factory Costs'!$B:$B,B2235))</f>
        <v>37</v>
      </c>
    </row>
    <row r="2236" spans="1:3" x14ac:dyDescent="0.25">
      <c r="A2236" s="1" t="s">
        <v>13259</v>
      </c>
      <c r="B2236" s="1" t="s">
        <v>16371</v>
      </c>
      <c r="C2236" s="3">
        <f>IF(B2236="","",SUMIFS('Factory Costs'!$C:$C,'Factory Costs'!$A:$A,"Blades",'Factory Costs'!$B:$B,B2236))</f>
        <v>37</v>
      </c>
    </row>
    <row r="2237" spans="1:3" x14ac:dyDescent="0.25">
      <c r="A2237" s="1" t="s">
        <v>13262</v>
      </c>
      <c r="B2237" s="1" t="s">
        <v>16370</v>
      </c>
      <c r="C2237" s="3">
        <f>IF(B2237="","",SUMIFS('Factory Costs'!$C:$C,'Factory Costs'!$A:$A,"Blades",'Factory Costs'!$B:$B,B2237))</f>
        <v>34</v>
      </c>
    </row>
    <row r="2238" spans="1:3" x14ac:dyDescent="0.25">
      <c r="A2238" s="1" t="s">
        <v>13265</v>
      </c>
      <c r="B2238" s="1" t="s">
        <v>16372</v>
      </c>
      <c r="C2238" s="3">
        <f>IF(B2238="","",SUMIFS('Factory Costs'!$C:$C,'Factory Costs'!$A:$A,"Blades",'Factory Costs'!$B:$B,B2238))</f>
        <v>42</v>
      </c>
    </row>
    <row r="2239" spans="1:3" x14ac:dyDescent="0.25">
      <c r="A2239" s="1" t="s">
        <v>13268</v>
      </c>
      <c r="B2239" s="1" t="s">
        <v>16370</v>
      </c>
      <c r="C2239" s="3">
        <f>IF(B2239="","",SUMIFS('Factory Costs'!$C:$C,'Factory Costs'!$A:$A,"Blades",'Factory Costs'!$B:$B,B2239))</f>
        <v>34</v>
      </c>
    </row>
    <row r="2240" spans="1:3" x14ac:dyDescent="0.25">
      <c r="A2240" s="1" t="s">
        <v>13271</v>
      </c>
      <c r="B2240" s="1" t="s">
        <v>16370</v>
      </c>
      <c r="C2240" s="3">
        <f>IF(B2240="","",SUMIFS('Factory Costs'!$C:$C,'Factory Costs'!$A:$A,"Blades",'Factory Costs'!$B:$B,B2240))</f>
        <v>34</v>
      </c>
    </row>
    <row r="2241" spans="1:3" x14ac:dyDescent="0.25">
      <c r="A2241" s="1" t="s">
        <v>13274</v>
      </c>
      <c r="B2241" s="1" t="s">
        <v>16372</v>
      </c>
      <c r="C2241" s="3">
        <f>IF(B2241="","",SUMIFS('Factory Costs'!$C:$C,'Factory Costs'!$A:$A,"Blades",'Factory Costs'!$B:$B,B2241))</f>
        <v>42</v>
      </c>
    </row>
    <row r="2242" spans="1:3" x14ac:dyDescent="0.25">
      <c r="A2242" s="1" t="s">
        <v>13277</v>
      </c>
      <c r="B2242" s="1" t="s">
        <v>16371</v>
      </c>
      <c r="C2242" s="3">
        <f>IF(B2242="","",SUMIFS('Factory Costs'!$C:$C,'Factory Costs'!$A:$A,"Blades",'Factory Costs'!$B:$B,B2242))</f>
        <v>37</v>
      </c>
    </row>
    <row r="2243" spans="1:3" x14ac:dyDescent="0.25">
      <c r="A2243" s="1" t="s">
        <v>13280</v>
      </c>
      <c r="B2243" s="1" t="s">
        <v>16372</v>
      </c>
      <c r="C2243" s="3">
        <f>IF(B2243="","",SUMIFS('Factory Costs'!$C:$C,'Factory Costs'!$A:$A,"Blades",'Factory Costs'!$B:$B,B2243))</f>
        <v>42</v>
      </c>
    </row>
    <row r="2244" spans="1:3" x14ac:dyDescent="0.25">
      <c r="A2244" s="1" t="s">
        <v>13283</v>
      </c>
      <c r="B2244" s="1" t="s">
        <v>16370</v>
      </c>
      <c r="C2244" s="3">
        <f>IF(B2244="","",SUMIFS('Factory Costs'!$C:$C,'Factory Costs'!$A:$A,"Blades",'Factory Costs'!$B:$B,B2244))</f>
        <v>34</v>
      </c>
    </row>
    <row r="2245" spans="1:3" x14ac:dyDescent="0.25">
      <c r="A2245" s="1" t="s">
        <v>13286</v>
      </c>
      <c r="B2245" s="1" t="s">
        <v>16370</v>
      </c>
      <c r="C2245" s="3">
        <f>IF(B2245="","",SUMIFS('Factory Costs'!$C:$C,'Factory Costs'!$A:$A,"Blades",'Factory Costs'!$B:$B,B2245))</f>
        <v>34</v>
      </c>
    </row>
    <row r="2246" spans="1:3" x14ac:dyDescent="0.25">
      <c r="A2246" s="1" t="s">
        <v>13289</v>
      </c>
      <c r="B2246" s="1" t="s">
        <v>16372</v>
      </c>
      <c r="C2246" s="3">
        <f>IF(B2246="","",SUMIFS('Factory Costs'!$C:$C,'Factory Costs'!$A:$A,"Blades",'Factory Costs'!$B:$B,B2246))</f>
        <v>42</v>
      </c>
    </row>
    <row r="2247" spans="1:3" x14ac:dyDescent="0.25">
      <c r="A2247" s="1" t="s">
        <v>13292</v>
      </c>
      <c r="B2247" s="1" t="s">
        <v>16370</v>
      </c>
      <c r="C2247" s="3">
        <f>IF(B2247="","",SUMIFS('Factory Costs'!$C:$C,'Factory Costs'!$A:$A,"Blades",'Factory Costs'!$B:$B,B2247))</f>
        <v>34</v>
      </c>
    </row>
    <row r="2248" spans="1:3" x14ac:dyDescent="0.25">
      <c r="A2248" s="1" t="s">
        <v>13295</v>
      </c>
      <c r="B2248" s="1" t="s">
        <v>16372</v>
      </c>
      <c r="C2248" s="3">
        <f>IF(B2248="","",SUMIFS('Factory Costs'!$C:$C,'Factory Costs'!$A:$A,"Blades",'Factory Costs'!$B:$B,B2248))</f>
        <v>42</v>
      </c>
    </row>
    <row r="2249" spans="1:3" x14ac:dyDescent="0.25">
      <c r="A2249" s="1" t="s">
        <v>13298</v>
      </c>
      <c r="B2249" s="1" t="s">
        <v>16370</v>
      </c>
      <c r="C2249" s="3">
        <f>IF(B2249="","",SUMIFS('Factory Costs'!$C:$C,'Factory Costs'!$A:$A,"Blades",'Factory Costs'!$B:$B,B2249))</f>
        <v>34</v>
      </c>
    </row>
    <row r="2250" spans="1:3" x14ac:dyDescent="0.25">
      <c r="A2250" s="1" t="s">
        <v>13301</v>
      </c>
      <c r="B2250" s="1" t="s">
        <v>16370</v>
      </c>
      <c r="C2250" s="3">
        <f>IF(B2250="","",SUMIFS('Factory Costs'!$C:$C,'Factory Costs'!$A:$A,"Blades",'Factory Costs'!$B:$B,B2250))</f>
        <v>34</v>
      </c>
    </row>
    <row r="2251" spans="1:3" x14ac:dyDescent="0.25">
      <c r="A2251" s="1" t="s">
        <v>13304</v>
      </c>
      <c r="B2251" s="1" t="s">
        <v>16371</v>
      </c>
      <c r="C2251" s="3">
        <f>IF(B2251="","",SUMIFS('Factory Costs'!$C:$C,'Factory Costs'!$A:$A,"Blades",'Factory Costs'!$B:$B,B2251))</f>
        <v>37</v>
      </c>
    </row>
    <row r="2252" spans="1:3" x14ac:dyDescent="0.25">
      <c r="A2252" s="1" t="s">
        <v>13307</v>
      </c>
      <c r="B2252" s="1" t="s">
        <v>16371</v>
      </c>
      <c r="C2252" s="3">
        <f>IF(B2252="","",SUMIFS('Factory Costs'!$C:$C,'Factory Costs'!$A:$A,"Blades",'Factory Costs'!$B:$B,B2252))</f>
        <v>37</v>
      </c>
    </row>
    <row r="2253" spans="1:3" x14ac:dyDescent="0.25">
      <c r="A2253" s="1" t="s">
        <v>13310</v>
      </c>
      <c r="B2253" s="1" t="s">
        <v>16371</v>
      </c>
      <c r="C2253" s="3">
        <f>IF(B2253="","",SUMIFS('Factory Costs'!$C:$C,'Factory Costs'!$A:$A,"Blades",'Factory Costs'!$B:$B,B2253))</f>
        <v>37</v>
      </c>
    </row>
    <row r="2254" spans="1:3" x14ac:dyDescent="0.25">
      <c r="A2254" s="1" t="s">
        <v>13313</v>
      </c>
      <c r="B2254" s="1" t="s">
        <v>16372</v>
      </c>
      <c r="C2254" s="3">
        <f>IF(B2254="","",SUMIFS('Factory Costs'!$C:$C,'Factory Costs'!$A:$A,"Blades",'Factory Costs'!$B:$B,B2254))</f>
        <v>42</v>
      </c>
    </row>
    <row r="2255" spans="1:3" x14ac:dyDescent="0.25">
      <c r="A2255" s="1" t="s">
        <v>13316</v>
      </c>
      <c r="B2255" s="1" t="s">
        <v>16370</v>
      </c>
      <c r="C2255" s="3">
        <f>IF(B2255="","",SUMIFS('Factory Costs'!$C:$C,'Factory Costs'!$A:$A,"Blades",'Factory Costs'!$B:$B,B2255))</f>
        <v>34</v>
      </c>
    </row>
    <row r="2256" spans="1:3" x14ac:dyDescent="0.25">
      <c r="A2256" s="1" t="s">
        <v>13319</v>
      </c>
      <c r="B2256" s="1" t="s">
        <v>16370</v>
      </c>
      <c r="C2256" s="3">
        <f>IF(B2256="","",SUMIFS('Factory Costs'!$C:$C,'Factory Costs'!$A:$A,"Blades",'Factory Costs'!$B:$B,B2256))</f>
        <v>34</v>
      </c>
    </row>
    <row r="2257" spans="1:3" x14ac:dyDescent="0.25">
      <c r="A2257" s="1" t="s">
        <v>13322</v>
      </c>
      <c r="B2257" s="1" t="s">
        <v>16370</v>
      </c>
      <c r="C2257" s="3">
        <f>IF(B2257="","",SUMIFS('Factory Costs'!$C:$C,'Factory Costs'!$A:$A,"Blades",'Factory Costs'!$B:$B,B2257))</f>
        <v>34</v>
      </c>
    </row>
    <row r="2258" spans="1:3" x14ac:dyDescent="0.25">
      <c r="A2258" s="1" t="s">
        <v>13325</v>
      </c>
      <c r="B2258" s="1" t="s">
        <v>16371</v>
      </c>
      <c r="C2258" s="3">
        <f>IF(B2258="","",SUMIFS('Factory Costs'!$C:$C,'Factory Costs'!$A:$A,"Blades",'Factory Costs'!$B:$B,B2258))</f>
        <v>37</v>
      </c>
    </row>
    <row r="2259" spans="1:3" x14ac:dyDescent="0.25">
      <c r="A2259" s="1" t="s">
        <v>13328</v>
      </c>
      <c r="B2259" s="1" t="s">
        <v>16370</v>
      </c>
      <c r="C2259" s="3">
        <f>IF(B2259="","",SUMIFS('Factory Costs'!$C:$C,'Factory Costs'!$A:$A,"Blades",'Factory Costs'!$B:$B,B2259))</f>
        <v>34</v>
      </c>
    </row>
    <row r="2260" spans="1:3" x14ac:dyDescent="0.25">
      <c r="A2260" s="1" t="s">
        <v>13331</v>
      </c>
      <c r="B2260" s="1" t="s">
        <v>16370</v>
      </c>
      <c r="C2260" s="3">
        <f>IF(B2260="","",SUMIFS('Factory Costs'!$C:$C,'Factory Costs'!$A:$A,"Blades",'Factory Costs'!$B:$B,B2260))</f>
        <v>34</v>
      </c>
    </row>
    <row r="2261" spans="1:3" x14ac:dyDescent="0.25">
      <c r="A2261" s="1" t="s">
        <v>13334</v>
      </c>
      <c r="B2261" s="1" t="s">
        <v>16370</v>
      </c>
      <c r="C2261" s="3">
        <f>IF(B2261="","",SUMIFS('Factory Costs'!$C:$C,'Factory Costs'!$A:$A,"Blades",'Factory Costs'!$B:$B,B2261))</f>
        <v>34</v>
      </c>
    </row>
    <row r="2262" spans="1:3" x14ac:dyDescent="0.25">
      <c r="A2262" s="1" t="s">
        <v>13337</v>
      </c>
      <c r="B2262" s="1" t="s">
        <v>16370</v>
      </c>
      <c r="C2262" s="3">
        <f>IF(B2262="","",SUMIFS('Factory Costs'!$C:$C,'Factory Costs'!$A:$A,"Blades",'Factory Costs'!$B:$B,B2262))</f>
        <v>34</v>
      </c>
    </row>
    <row r="2263" spans="1:3" x14ac:dyDescent="0.25">
      <c r="A2263" s="1" t="s">
        <v>13340</v>
      </c>
      <c r="B2263" s="1" t="s">
        <v>16370</v>
      </c>
      <c r="C2263" s="3">
        <f>IF(B2263="","",SUMIFS('Factory Costs'!$C:$C,'Factory Costs'!$A:$A,"Blades",'Factory Costs'!$B:$B,B2263))</f>
        <v>34</v>
      </c>
    </row>
    <row r="2264" spans="1:3" x14ac:dyDescent="0.25">
      <c r="A2264" s="1" t="s">
        <v>13343</v>
      </c>
      <c r="B2264" s="1" t="s">
        <v>16372</v>
      </c>
      <c r="C2264" s="3">
        <f>IF(B2264="","",SUMIFS('Factory Costs'!$C:$C,'Factory Costs'!$A:$A,"Blades",'Factory Costs'!$B:$B,B2264))</f>
        <v>42</v>
      </c>
    </row>
    <row r="2265" spans="1:3" x14ac:dyDescent="0.25">
      <c r="A2265" s="1" t="s">
        <v>13346</v>
      </c>
      <c r="B2265" s="1" t="s">
        <v>16372</v>
      </c>
      <c r="C2265" s="3">
        <f>IF(B2265="","",SUMIFS('Factory Costs'!$C:$C,'Factory Costs'!$A:$A,"Blades",'Factory Costs'!$B:$B,B2265))</f>
        <v>42</v>
      </c>
    </row>
    <row r="2266" spans="1:3" x14ac:dyDescent="0.25">
      <c r="A2266" s="1" t="s">
        <v>13349</v>
      </c>
      <c r="B2266" s="1" t="s">
        <v>16372</v>
      </c>
      <c r="C2266" s="3">
        <f>IF(B2266="","",SUMIFS('Factory Costs'!$C:$C,'Factory Costs'!$A:$A,"Blades",'Factory Costs'!$B:$B,B2266))</f>
        <v>42</v>
      </c>
    </row>
    <row r="2267" spans="1:3" x14ac:dyDescent="0.25">
      <c r="A2267" s="1" t="s">
        <v>13352</v>
      </c>
      <c r="B2267" s="1" t="s">
        <v>16372</v>
      </c>
      <c r="C2267" s="3">
        <f>IF(B2267="","",SUMIFS('Factory Costs'!$C:$C,'Factory Costs'!$A:$A,"Blades",'Factory Costs'!$B:$B,B2267))</f>
        <v>42</v>
      </c>
    </row>
    <row r="2268" spans="1:3" x14ac:dyDescent="0.25">
      <c r="A2268" s="1" t="s">
        <v>13355</v>
      </c>
      <c r="B2268" s="1" t="s">
        <v>16371</v>
      </c>
      <c r="C2268" s="3">
        <f>IF(B2268="","",SUMIFS('Factory Costs'!$C:$C,'Factory Costs'!$A:$A,"Blades",'Factory Costs'!$B:$B,B2268))</f>
        <v>37</v>
      </c>
    </row>
    <row r="2269" spans="1:3" x14ac:dyDescent="0.25">
      <c r="A2269" s="1" t="s">
        <v>13358</v>
      </c>
      <c r="B2269" s="1" t="s">
        <v>16371</v>
      </c>
      <c r="C2269" s="3">
        <f>IF(B2269="","",SUMIFS('Factory Costs'!$C:$C,'Factory Costs'!$A:$A,"Blades",'Factory Costs'!$B:$B,B2269))</f>
        <v>37</v>
      </c>
    </row>
    <row r="2270" spans="1:3" x14ac:dyDescent="0.25">
      <c r="A2270" s="1" t="s">
        <v>13361</v>
      </c>
      <c r="B2270" s="1" t="s">
        <v>16372</v>
      </c>
      <c r="C2270" s="3">
        <f>IF(B2270="","",SUMIFS('Factory Costs'!$C:$C,'Factory Costs'!$A:$A,"Blades",'Factory Costs'!$B:$B,B2270))</f>
        <v>42</v>
      </c>
    </row>
    <row r="2271" spans="1:3" x14ac:dyDescent="0.25">
      <c r="A2271" s="1" t="s">
        <v>13364</v>
      </c>
      <c r="B2271" s="1" t="s">
        <v>16372</v>
      </c>
      <c r="C2271" s="3">
        <f>IF(B2271="","",SUMIFS('Factory Costs'!$C:$C,'Factory Costs'!$A:$A,"Blades",'Factory Costs'!$B:$B,B2271))</f>
        <v>42</v>
      </c>
    </row>
    <row r="2272" spans="1:3" x14ac:dyDescent="0.25">
      <c r="A2272" s="1" t="s">
        <v>13367</v>
      </c>
      <c r="B2272" s="1" t="s">
        <v>16371</v>
      </c>
      <c r="C2272" s="3">
        <f>IF(B2272="","",SUMIFS('Factory Costs'!$C:$C,'Factory Costs'!$A:$A,"Blades",'Factory Costs'!$B:$B,B2272))</f>
        <v>37</v>
      </c>
    </row>
    <row r="2273" spans="1:3" x14ac:dyDescent="0.25">
      <c r="A2273" s="1" t="s">
        <v>13370</v>
      </c>
      <c r="B2273" s="1" t="s">
        <v>16370</v>
      </c>
      <c r="C2273" s="3">
        <f>IF(B2273="","",SUMIFS('Factory Costs'!$C:$C,'Factory Costs'!$A:$A,"Blades",'Factory Costs'!$B:$B,B2273))</f>
        <v>34</v>
      </c>
    </row>
    <row r="2274" spans="1:3" x14ac:dyDescent="0.25">
      <c r="A2274" s="1" t="s">
        <v>13373</v>
      </c>
      <c r="B2274" s="1" t="s">
        <v>16372</v>
      </c>
      <c r="C2274" s="3">
        <f>IF(B2274="","",SUMIFS('Factory Costs'!$C:$C,'Factory Costs'!$A:$A,"Blades",'Factory Costs'!$B:$B,B2274))</f>
        <v>42</v>
      </c>
    </row>
    <row r="2275" spans="1:3" x14ac:dyDescent="0.25">
      <c r="A2275" s="1" t="s">
        <v>13376</v>
      </c>
      <c r="B2275" s="1" t="s">
        <v>16371</v>
      </c>
      <c r="C2275" s="3">
        <f>IF(B2275="","",SUMIFS('Factory Costs'!$C:$C,'Factory Costs'!$A:$A,"Blades",'Factory Costs'!$B:$B,B2275))</f>
        <v>37</v>
      </c>
    </row>
    <row r="2276" spans="1:3" x14ac:dyDescent="0.25">
      <c r="A2276" s="1" t="s">
        <v>13379</v>
      </c>
      <c r="B2276" s="1" t="s">
        <v>16371</v>
      </c>
      <c r="C2276" s="3">
        <f>IF(B2276="","",SUMIFS('Factory Costs'!$C:$C,'Factory Costs'!$A:$A,"Blades",'Factory Costs'!$B:$B,B2276))</f>
        <v>37</v>
      </c>
    </row>
    <row r="2277" spans="1:3" x14ac:dyDescent="0.25">
      <c r="A2277" s="1" t="s">
        <v>13382</v>
      </c>
      <c r="B2277" s="1" t="s">
        <v>16371</v>
      </c>
      <c r="C2277" s="3">
        <f>IF(B2277="","",SUMIFS('Factory Costs'!$C:$C,'Factory Costs'!$A:$A,"Blades",'Factory Costs'!$B:$B,B2277))</f>
        <v>37</v>
      </c>
    </row>
    <row r="2278" spans="1:3" x14ac:dyDescent="0.25">
      <c r="A2278" s="1" t="s">
        <v>13385</v>
      </c>
      <c r="B2278" s="1" t="s">
        <v>16371</v>
      </c>
      <c r="C2278" s="3">
        <f>IF(B2278="","",SUMIFS('Factory Costs'!$C:$C,'Factory Costs'!$A:$A,"Blades",'Factory Costs'!$B:$B,B2278))</f>
        <v>37</v>
      </c>
    </row>
    <row r="2279" spans="1:3" x14ac:dyDescent="0.25">
      <c r="A2279" s="1" t="s">
        <v>13388</v>
      </c>
      <c r="B2279" s="1" t="s">
        <v>16372</v>
      </c>
      <c r="C2279" s="3">
        <f>IF(B2279="","",SUMIFS('Factory Costs'!$C:$C,'Factory Costs'!$A:$A,"Blades",'Factory Costs'!$B:$B,B2279))</f>
        <v>42</v>
      </c>
    </row>
    <row r="2280" spans="1:3" x14ac:dyDescent="0.25">
      <c r="A2280" s="1" t="s">
        <v>13391</v>
      </c>
      <c r="B2280" s="1" t="s">
        <v>16370</v>
      </c>
      <c r="C2280" s="3">
        <f>IF(B2280="","",SUMIFS('Factory Costs'!$C:$C,'Factory Costs'!$A:$A,"Blades",'Factory Costs'!$B:$B,B2280))</f>
        <v>34</v>
      </c>
    </row>
    <row r="2281" spans="1:3" x14ac:dyDescent="0.25">
      <c r="A2281" s="1" t="s">
        <v>13394</v>
      </c>
      <c r="B2281" s="1" t="s">
        <v>16372</v>
      </c>
      <c r="C2281" s="3">
        <f>IF(B2281="","",SUMIFS('Factory Costs'!$C:$C,'Factory Costs'!$A:$A,"Blades",'Factory Costs'!$B:$B,B2281))</f>
        <v>42</v>
      </c>
    </row>
    <row r="2282" spans="1:3" x14ac:dyDescent="0.25">
      <c r="A2282" s="1" t="s">
        <v>13397</v>
      </c>
      <c r="B2282" s="1" t="s">
        <v>16370</v>
      </c>
      <c r="C2282" s="3">
        <f>IF(B2282="","",SUMIFS('Factory Costs'!$C:$C,'Factory Costs'!$A:$A,"Blades",'Factory Costs'!$B:$B,B2282))</f>
        <v>34</v>
      </c>
    </row>
    <row r="2283" spans="1:3" x14ac:dyDescent="0.25">
      <c r="A2283" s="1" t="s">
        <v>13400</v>
      </c>
      <c r="B2283" s="1" t="s">
        <v>16372</v>
      </c>
      <c r="C2283" s="3">
        <f>IF(B2283="","",SUMIFS('Factory Costs'!$C:$C,'Factory Costs'!$A:$A,"Blades",'Factory Costs'!$B:$B,B2283))</f>
        <v>42</v>
      </c>
    </row>
    <row r="2284" spans="1:3" x14ac:dyDescent="0.25">
      <c r="A2284" s="1" t="s">
        <v>13403</v>
      </c>
      <c r="B2284" s="1" t="s">
        <v>16372</v>
      </c>
      <c r="C2284" s="3">
        <f>IF(B2284="","",SUMIFS('Factory Costs'!$C:$C,'Factory Costs'!$A:$A,"Blades",'Factory Costs'!$B:$B,B2284))</f>
        <v>42</v>
      </c>
    </row>
    <row r="2285" spans="1:3" x14ac:dyDescent="0.25">
      <c r="A2285" s="1" t="s">
        <v>13406</v>
      </c>
      <c r="B2285" s="1" t="s">
        <v>16370</v>
      </c>
      <c r="C2285" s="3">
        <f>IF(B2285="","",SUMIFS('Factory Costs'!$C:$C,'Factory Costs'!$A:$A,"Blades",'Factory Costs'!$B:$B,B2285))</f>
        <v>34</v>
      </c>
    </row>
    <row r="2286" spans="1:3" x14ac:dyDescent="0.25">
      <c r="A2286" s="1" t="s">
        <v>13409</v>
      </c>
      <c r="B2286" s="1" t="s">
        <v>16371</v>
      </c>
      <c r="C2286" s="3">
        <f>IF(B2286="","",SUMIFS('Factory Costs'!$C:$C,'Factory Costs'!$A:$A,"Blades",'Factory Costs'!$B:$B,B2286))</f>
        <v>37</v>
      </c>
    </row>
    <row r="2287" spans="1:3" x14ac:dyDescent="0.25">
      <c r="A2287" s="1" t="s">
        <v>13412</v>
      </c>
      <c r="B2287" s="1" t="s">
        <v>16372</v>
      </c>
      <c r="C2287" s="3">
        <f>IF(B2287="","",SUMIFS('Factory Costs'!$C:$C,'Factory Costs'!$A:$A,"Blades",'Factory Costs'!$B:$B,B2287))</f>
        <v>42</v>
      </c>
    </row>
    <row r="2288" spans="1:3" x14ac:dyDescent="0.25">
      <c r="A2288" s="1" t="s">
        <v>13415</v>
      </c>
      <c r="B2288" s="1" t="s">
        <v>16370</v>
      </c>
      <c r="C2288" s="3">
        <f>IF(B2288="","",SUMIFS('Factory Costs'!$C:$C,'Factory Costs'!$A:$A,"Blades",'Factory Costs'!$B:$B,B2288))</f>
        <v>34</v>
      </c>
    </row>
    <row r="2289" spans="1:3" x14ac:dyDescent="0.25">
      <c r="A2289" s="1" t="s">
        <v>13418</v>
      </c>
      <c r="B2289" s="1" t="s">
        <v>16370</v>
      </c>
      <c r="C2289" s="3">
        <f>IF(B2289="","",SUMIFS('Factory Costs'!$C:$C,'Factory Costs'!$A:$A,"Blades",'Factory Costs'!$B:$B,B2289))</f>
        <v>34</v>
      </c>
    </row>
    <row r="2290" spans="1:3" x14ac:dyDescent="0.25">
      <c r="A2290" s="1" t="s">
        <v>13421</v>
      </c>
      <c r="B2290" s="1" t="s">
        <v>16371</v>
      </c>
      <c r="C2290" s="3">
        <f>IF(B2290="","",SUMIFS('Factory Costs'!$C:$C,'Factory Costs'!$A:$A,"Blades",'Factory Costs'!$B:$B,B2290))</f>
        <v>37</v>
      </c>
    </row>
    <row r="2291" spans="1:3" x14ac:dyDescent="0.25">
      <c r="A2291" s="1" t="s">
        <v>13424</v>
      </c>
      <c r="B2291" s="1" t="s">
        <v>16370</v>
      </c>
      <c r="C2291" s="3">
        <f>IF(B2291="","",SUMIFS('Factory Costs'!$C:$C,'Factory Costs'!$A:$A,"Blades",'Factory Costs'!$B:$B,B2291))</f>
        <v>34</v>
      </c>
    </row>
    <row r="2292" spans="1:3" x14ac:dyDescent="0.25">
      <c r="A2292" s="1" t="s">
        <v>13427</v>
      </c>
      <c r="B2292" s="1" t="s">
        <v>16372</v>
      </c>
      <c r="C2292" s="3">
        <f>IF(B2292="","",SUMIFS('Factory Costs'!$C:$C,'Factory Costs'!$A:$A,"Blades",'Factory Costs'!$B:$B,B2292))</f>
        <v>42</v>
      </c>
    </row>
    <row r="2293" spans="1:3" x14ac:dyDescent="0.25">
      <c r="A2293" s="1" t="s">
        <v>13430</v>
      </c>
      <c r="B2293" s="1" t="s">
        <v>16372</v>
      </c>
      <c r="C2293" s="3">
        <f>IF(B2293="","",SUMIFS('Factory Costs'!$C:$C,'Factory Costs'!$A:$A,"Blades",'Factory Costs'!$B:$B,B2293))</f>
        <v>42</v>
      </c>
    </row>
    <row r="2294" spans="1:3" x14ac:dyDescent="0.25">
      <c r="A2294" s="1" t="s">
        <v>13433</v>
      </c>
      <c r="B2294" s="1" t="s">
        <v>16370</v>
      </c>
      <c r="C2294" s="3">
        <f>IF(B2294="","",SUMIFS('Factory Costs'!$C:$C,'Factory Costs'!$A:$A,"Blades",'Factory Costs'!$B:$B,B2294))</f>
        <v>34</v>
      </c>
    </row>
    <row r="2295" spans="1:3" x14ac:dyDescent="0.25">
      <c r="A2295" s="1" t="s">
        <v>13436</v>
      </c>
      <c r="B2295" s="1" t="s">
        <v>16372</v>
      </c>
      <c r="C2295" s="3">
        <f>IF(B2295="","",SUMIFS('Factory Costs'!$C:$C,'Factory Costs'!$A:$A,"Blades",'Factory Costs'!$B:$B,B2295))</f>
        <v>42</v>
      </c>
    </row>
    <row r="2296" spans="1:3" x14ac:dyDescent="0.25">
      <c r="A2296" s="1" t="s">
        <v>13439</v>
      </c>
      <c r="B2296" s="1" t="s">
        <v>16372</v>
      </c>
      <c r="C2296" s="3">
        <f>IF(B2296="","",SUMIFS('Factory Costs'!$C:$C,'Factory Costs'!$A:$A,"Blades",'Factory Costs'!$B:$B,B2296))</f>
        <v>42</v>
      </c>
    </row>
    <row r="2297" spans="1:3" x14ac:dyDescent="0.25">
      <c r="A2297" s="1" t="s">
        <v>13442</v>
      </c>
      <c r="B2297" s="1" t="s">
        <v>16370</v>
      </c>
      <c r="C2297" s="3">
        <f>IF(B2297="","",SUMIFS('Factory Costs'!$C:$C,'Factory Costs'!$A:$A,"Blades",'Factory Costs'!$B:$B,B2297))</f>
        <v>34</v>
      </c>
    </row>
    <row r="2298" spans="1:3" x14ac:dyDescent="0.25">
      <c r="A2298" s="1" t="s">
        <v>13445</v>
      </c>
      <c r="B2298" s="1" t="s">
        <v>16370</v>
      </c>
      <c r="C2298" s="3">
        <f>IF(B2298="","",SUMIFS('Factory Costs'!$C:$C,'Factory Costs'!$A:$A,"Blades",'Factory Costs'!$B:$B,B2298))</f>
        <v>34</v>
      </c>
    </row>
    <row r="2299" spans="1:3" x14ac:dyDescent="0.25">
      <c r="A2299" s="1" t="s">
        <v>13448</v>
      </c>
      <c r="B2299" s="1" t="s">
        <v>16371</v>
      </c>
      <c r="C2299" s="3">
        <f>IF(B2299="","",SUMIFS('Factory Costs'!$C:$C,'Factory Costs'!$A:$A,"Blades",'Factory Costs'!$B:$B,B2299))</f>
        <v>37</v>
      </c>
    </row>
    <row r="2300" spans="1:3" x14ac:dyDescent="0.25">
      <c r="A2300" s="1" t="s">
        <v>13451</v>
      </c>
      <c r="B2300" s="1" t="s">
        <v>16372</v>
      </c>
      <c r="C2300" s="3">
        <f>IF(B2300="","",SUMIFS('Factory Costs'!$C:$C,'Factory Costs'!$A:$A,"Blades",'Factory Costs'!$B:$B,B2300))</f>
        <v>42</v>
      </c>
    </row>
    <row r="2301" spans="1:3" x14ac:dyDescent="0.25">
      <c r="A2301" s="1" t="s">
        <v>13454</v>
      </c>
      <c r="B2301" s="1" t="s">
        <v>16371</v>
      </c>
      <c r="C2301" s="3">
        <f>IF(B2301="","",SUMIFS('Factory Costs'!$C:$C,'Factory Costs'!$A:$A,"Blades",'Factory Costs'!$B:$B,B2301))</f>
        <v>37</v>
      </c>
    </row>
    <row r="2302" spans="1:3" x14ac:dyDescent="0.25">
      <c r="A2302" s="1" t="s">
        <v>13457</v>
      </c>
      <c r="B2302" s="1" t="s">
        <v>16370</v>
      </c>
      <c r="C2302" s="3">
        <f>IF(B2302="","",SUMIFS('Factory Costs'!$C:$C,'Factory Costs'!$A:$A,"Blades",'Factory Costs'!$B:$B,B2302))</f>
        <v>34</v>
      </c>
    </row>
    <row r="2303" spans="1:3" x14ac:dyDescent="0.25">
      <c r="A2303" s="1" t="s">
        <v>13460</v>
      </c>
      <c r="B2303" s="1" t="s">
        <v>16371</v>
      </c>
      <c r="C2303" s="3">
        <f>IF(B2303="","",SUMIFS('Factory Costs'!$C:$C,'Factory Costs'!$A:$A,"Blades",'Factory Costs'!$B:$B,B2303))</f>
        <v>37</v>
      </c>
    </row>
    <row r="2304" spans="1:3" x14ac:dyDescent="0.25">
      <c r="A2304" s="1" t="s">
        <v>13463</v>
      </c>
      <c r="B2304" s="1" t="s">
        <v>16370</v>
      </c>
      <c r="C2304" s="3">
        <f>IF(B2304="","",SUMIFS('Factory Costs'!$C:$C,'Factory Costs'!$A:$A,"Blades",'Factory Costs'!$B:$B,B2304))</f>
        <v>34</v>
      </c>
    </row>
    <row r="2305" spans="1:3" x14ac:dyDescent="0.25">
      <c r="A2305" s="1" t="s">
        <v>13466</v>
      </c>
      <c r="B2305" s="1" t="s">
        <v>16370</v>
      </c>
      <c r="C2305" s="3">
        <f>IF(B2305="","",SUMIFS('Factory Costs'!$C:$C,'Factory Costs'!$A:$A,"Blades",'Factory Costs'!$B:$B,B2305))</f>
        <v>34</v>
      </c>
    </row>
    <row r="2306" spans="1:3" x14ac:dyDescent="0.25">
      <c r="A2306" s="1" t="s">
        <v>13469</v>
      </c>
      <c r="B2306" s="1" t="s">
        <v>16372</v>
      </c>
      <c r="C2306" s="3">
        <f>IF(B2306="","",SUMIFS('Factory Costs'!$C:$C,'Factory Costs'!$A:$A,"Blades",'Factory Costs'!$B:$B,B2306))</f>
        <v>42</v>
      </c>
    </row>
    <row r="2307" spans="1:3" x14ac:dyDescent="0.25">
      <c r="A2307" s="1" t="s">
        <v>13472</v>
      </c>
      <c r="B2307" s="1" t="s">
        <v>16370</v>
      </c>
      <c r="C2307" s="3">
        <f>IF(B2307="","",SUMIFS('Factory Costs'!$C:$C,'Factory Costs'!$A:$A,"Blades",'Factory Costs'!$B:$B,B2307))</f>
        <v>34</v>
      </c>
    </row>
    <row r="2308" spans="1:3" x14ac:dyDescent="0.25">
      <c r="A2308" s="1" t="s">
        <v>13475</v>
      </c>
      <c r="B2308" s="1" t="s">
        <v>16372</v>
      </c>
      <c r="C2308" s="3">
        <f>IF(B2308="","",SUMIFS('Factory Costs'!$C:$C,'Factory Costs'!$A:$A,"Blades",'Factory Costs'!$B:$B,B2308))</f>
        <v>42</v>
      </c>
    </row>
    <row r="2309" spans="1:3" x14ac:dyDescent="0.25">
      <c r="A2309" s="1" t="s">
        <v>13478</v>
      </c>
      <c r="B2309" s="1" t="s">
        <v>16370</v>
      </c>
      <c r="C2309" s="3">
        <f>IF(B2309="","",SUMIFS('Factory Costs'!$C:$C,'Factory Costs'!$A:$A,"Blades",'Factory Costs'!$B:$B,B2309))</f>
        <v>34</v>
      </c>
    </row>
    <row r="2310" spans="1:3" x14ac:dyDescent="0.25">
      <c r="A2310" s="1" t="s">
        <v>13481</v>
      </c>
      <c r="B2310" s="1" t="s">
        <v>16370</v>
      </c>
      <c r="C2310" s="3">
        <f>IF(B2310="","",SUMIFS('Factory Costs'!$C:$C,'Factory Costs'!$A:$A,"Blades",'Factory Costs'!$B:$B,B2310))</f>
        <v>34</v>
      </c>
    </row>
    <row r="2311" spans="1:3" x14ac:dyDescent="0.25">
      <c r="A2311" s="1" t="s">
        <v>13484</v>
      </c>
      <c r="B2311" s="1" t="s">
        <v>16370</v>
      </c>
      <c r="C2311" s="3">
        <f>IF(B2311="","",SUMIFS('Factory Costs'!$C:$C,'Factory Costs'!$A:$A,"Blades",'Factory Costs'!$B:$B,B2311))</f>
        <v>34</v>
      </c>
    </row>
    <row r="2312" spans="1:3" x14ac:dyDescent="0.25">
      <c r="A2312" s="1" t="s">
        <v>13487</v>
      </c>
      <c r="B2312" s="1" t="s">
        <v>16372</v>
      </c>
      <c r="C2312" s="3">
        <f>IF(B2312="","",SUMIFS('Factory Costs'!$C:$C,'Factory Costs'!$A:$A,"Blades",'Factory Costs'!$B:$B,B2312))</f>
        <v>42</v>
      </c>
    </row>
    <row r="2313" spans="1:3" x14ac:dyDescent="0.25">
      <c r="A2313" s="1" t="s">
        <v>13490</v>
      </c>
      <c r="B2313" s="1" t="s">
        <v>16372</v>
      </c>
      <c r="C2313" s="3">
        <f>IF(B2313="","",SUMIFS('Factory Costs'!$C:$C,'Factory Costs'!$A:$A,"Blades",'Factory Costs'!$B:$B,B2313))</f>
        <v>42</v>
      </c>
    </row>
    <row r="2314" spans="1:3" x14ac:dyDescent="0.25">
      <c r="A2314" s="1" t="s">
        <v>13493</v>
      </c>
      <c r="B2314" s="1" t="s">
        <v>16370</v>
      </c>
      <c r="C2314" s="3">
        <f>IF(B2314="","",SUMIFS('Factory Costs'!$C:$C,'Factory Costs'!$A:$A,"Blades",'Factory Costs'!$B:$B,B2314))</f>
        <v>34</v>
      </c>
    </row>
    <row r="2315" spans="1:3" x14ac:dyDescent="0.25">
      <c r="A2315" s="1" t="s">
        <v>13496</v>
      </c>
      <c r="B2315" s="1" t="s">
        <v>16370</v>
      </c>
      <c r="C2315" s="3">
        <f>IF(B2315="","",SUMIFS('Factory Costs'!$C:$C,'Factory Costs'!$A:$A,"Blades",'Factory Costs'!$B:$B,B2315))</f>
        <v>34</v>
      </c>
    </row>
    <row r="2316" spans="1:3" x14ac:dyDescent="0.25">
      <c r="A2316" s="1" t="s">
        <v>13499</v>
      </c>
      <c r="B2316" s="1" t="s">
        <v>16370</v>
      </c>
      <c r="C2316" s="3">
        <f>IF(B2316="","",SUMIFS('Factory Costs'!$C:$C,'Factory Costs'!$A:$A,"Blades",'Factory Costs'!$B:$B,B2316))</f>
        <v>34</v>
      </c>
    </row>
    <row r="2317" spans="1:3" x14ac:dyDescent="0.25">
      <c r="A2317" s="1" t="s">
        <v>13502</v>
      </c>
      <c r="B2317" s="1" t="s">
        <v>16372</v>
      </c>
      <c r="C2317" s="3">
        <f>IF(B2317="","",SUMIFS('Factory Costs'!$C:$C,'Factory Costs'!$A:$A,"Blades",'Factory Costs'!$B:$B,B2317))</f>
        <v>42</v>
      </c>
    </row>
    <row r="2318" spans="1:3" x14ac:dyDescent="0.25">
      <c r="A2318" s="1" t="s">
        <v>13505</v>
      </c>
      <c r="B2318" s="1" t="s">
        <v>16371</v>
      </c>
      <c r="C2318" s="3">
        <f>IF(B2318="","",SUMIFS('Factory Costs'!$C:$C,'Factory Costs'!$A:$A,"Blades",'Factory Costs'!$B:$B,B2318))</f>
        <v>37</v>
      </c>
    </row>
    <row r="2319" spans="1:3" x14ac:dyDescent="0.25">
      <c r="A2319" s="1" t="s">
        <v>13508</v>
      </c>
      <c r="B2319" s="1" t="s">
        <v>16372</v>
      </c>
      <c r="C2319" s="3">
        <f>IF(B2319="","",SUMIFS('Factory Costs'!$C:$C,'Factory Costs'!$A:$A,"Blades",'Factory Costs'!$B:$B,B2319))</f>
        <v>42</v>
      </c>
    </row>
    <row r="2320" spans="1:3" x14ac:dyDescent="0.25">
      <c r="A2320" s="1" t="s">
        <v>13511</v>
      </c>
      <c r="B2320" s="1" t="s">
        <v>16370</v>
      </c>
      <c r="C2320" s="3">
        <f>IF(B2320="","",SUMIFS('Factory Costs'!$C:$C,'Factory Costs'!$A:$A,"Blades",'Factory Costs'!$B:$B,B2320))</f>
        <v>34</v>
      </c>
    </row>
    <row r="2321" spans="1:3" x14ac:dyDescent="0.25">
      <c r="A2321" s="1" t="s">
        <v>13514</v>
      </c>
      <c r="B2321" s="1" t="s">
        <v>16370</v>
      </c>
      <c r="C2321" s="3">
        <f>IF(B2321="","",SUMIFS('Factory Costs'!$C:$C,'Factory Costs'!$A:$A,"Blades",'Factory Costs'!$B:$B,B2321))</f>
        <v>34</v>
      </c>
    </row>
    <row r="2322" spans="1:3" x14ac:dyDescent="0.25">
      <c r="A2322" s="1" t="s">
        <v>13517</v>
      </c>
      <c r="B2322" s="1" t="s">
        <v>16372</v>
      </c>
      <c r="C2322" s="3">
        <f>IF(B2322="","",SUMIFS('Factory Costs'!$C:$C,'Factory Costs'!$A:$A,"Blades",'Factory Costs'!$B:$B,B2322))</f>
        <v>42</v>
      </c>
    </row>
    <row r="2323" spans="1:3" x14ac:dyDescent="0.25">
      <c r="A2323" s="1" t="s">
        <v>13520</v>
      </c>
      <c r="B2323" s="1" t="s">
        <v>16370</v>
      </c>
      <c r="C2323" s="3">
        <f>IF(B2323="","",SUMIFS('Factory Costs'!$C:$C,'Factory Costs'!$A:$A,"Blades",'Factory Costs'!$B:$B,B2323))</f>
        <v>34</v>
      </c>
    </row>
    <row r="2324" spans="1:3" x14ac:dyDescent="0.25">
      <c r="A2324" s="1" t="s">
        <v>13523</v>
      </c>
      <c r="B2324" s="1" t="s">
        <v>16370</v>
      </c>
      <c r="C2324" s="3">
        <f>IF(B2324="","",SUMIFS('Factory Costs'!$C:$C,'Factory Costs'!$A:$A,"Blades",'Factory Costs'!$B:$B,B2324))</f>
        <v>34</v>
      </c>
    </row>
    <row r="2325" spans="1:3" x14ac:dyDescent="0.25">
      <c r="A2325" s="1" t="s">
        <v>13526</v>
      </c>
      <c r="B2325" s="1" t="s">
        <v>16370</v>
      </c>
      <c r="C2325" s="3">
        <f>IF(B2325="","",SUMIFS('Factory Costs'!$C:$C,'Factory Costs'!$A:$A,"Blades",'Factory Costs'!$B:$B,B2325))</f>
        <v>34</v>
      </c>
    </row>
    <row r="2326" spans="1:3" x14ac:dyDescent="0.25">
      <c r="A2326" s="1" t="s">
        <v>13529</v>
      </c>
      <c r="B2326" s="1" t="s">
        <v>16370</v>
      </c>
      <c r="C2326" s="3">
        <f>IF(B2326="","",SUMIFS('Factory Costs'!$C:$C,'Factory Costs'!$A:$A,"Blades",'Factory Costs'!$B:$B,B2326))</f>
        <v>34</v>
      </c>
    </row>
    <row r="2327" spans="1:3" x14ac:dyDescent="0.25">
      <c r="A2327" s="1" t="s">
        <v>13532</v>
      </c>
      <c r="B2327" s="1" t="s">
        <v>16372</v>
      </c>
      <c r="C2327" s="3">
        <f>IF(B2327="","",SUMIFS('Factory Costs'!$C:$C,'Factory Costs'!$A:$A,"Blades",'Factory Costs'!$B:$B,B2327))</f>
        <v>42</v>
      </c>
    </row>
    <row r="2328" spans="1:3" x14ac:dyDescent="0.25">
      <c r="A2328" s="1" t="s">
        <v>13535</v>
      </c>
      <c r="B2328" s="1" t="s">
        <v>16372</v>
      </c>
      <c r="C2328" s="3">
        <f>IF(B2328="","",SUMIFS('Factory Costs'!$C:$C,'Factory Costs'!$A:$A,"Blades",'Factory Costs'!$B:$B,B2328))</f>
        <v>42</v>
      </c>
    </row>
    <row r="2329" spans="1:3" x14ac:dyDescent="0.25">
      <c r="A2329" s="1" t="s">
        <v>13538</v>
      </c>
      <c r="B2329" s="1" t="s">
        <v>16370</v>
      </c>
      <c r="C2329" s="3">
        <f>IF(B2329="","",SUMIFS('Factory Costs'!$C:$C,'Factory Costs'!$A:$A,"Blades",'Factory Costs'!$B:$B,B2329))</f>
        <v>34</v>
      </c>
    </row>
    <row r="2330" spans="1:3" x14ac:dyDescent="0.25">
      <c r="A2330" s="1" t="s">
        <v>13541</v>
      </c>
      <c r="B2330" s="1" t="s">
        <v>16370</v>
      </c>
      <c r="C2330" s="3">
        <f>IF(B2330="","",SUMIFS('Factory Costs'!$C:$C,'Factory Costs'!$A:$A,"Blades",'Factory Costs'!$B:$B,B2330))</f>
        <v>34</v>
      </c>
    </row>
    <row r="2331" spans="1:3" x14ac:dyDescent="0.25">
      <c r="A2331" s="1" t="s">
        <v>13544</v>
      </c>
      <c r="B2331" s="1" t="s">
        <v>16370</v>
      </c>
      <c r="C2331" s="3">
        <f>IF(B2331="","",SUMIFS('Factory Costs'!$C:$C,'Factory Costs'!$A:$A,"Blades",'Factory Costs'!$B:$B,B2331))</f>
        <v>34</v>
      </c>
    </row>
    <row r="2332" spans="1:3" x14ac:dyDescent="0.25">
      <c r="A2332" s="1" t="s">
        <v>13547</v>
      </c>
      <c r="B2332" s="1" t="s">
        <v>16372</v>
      </c>
      <c r="C2332" s="3">
        <f>IF(B2332="","",SUMIFS('Factory Costs'!$C:$C,'Factory Costs'!$A:$A,"Blades",'Factory Costs'!$B:$B,B2332))</f>
        <v>42</v>
      </c>
    </row>
    <row r="2333" spans="1:3" x14ac:dyDescent="0.25">
      <c r="A2333" s="1" t="s">
        <v>13550</v>
      </c>
      <c r="B2333" s="1" t="s">
        <v>16371</v>
      </c>
      <c r="C2333" s="3">
        <f>IF(B2333="","",SUMIFS('Factory Costs'!$C:$C,'Factory Costs'!$A:$A,"Blades",'Factory Costs'!$B:$B,B2333))</f>
        <v>37</v>
      </c>
    </row>
    <row r="2334" spans="1:3" x14ac:dyDescent="0.25">
      <c r="A2334" s="1" t="s">
        <v>13553</v>
      </c>
      <c r="B2334" s="1" t="s">
        <v>16370</v>
      </c>
      <c r="C2334" s="3">
        <f>IF(B2334="","",SUMIFS('Factory Costs'!$C:$C,'Factory Costs'!$A:$A,"Blades",'Factory Costs'!$B:$B,B2334))</f>
        <v>34</v>
      </c>
    </row>
    <row r="2335" spans="1:3" x14ac:dyDescent="0.25">
      <c r="A2335" s="1" t="s">
        <v>13556</v>
      </c>
      <c r="B2335" s="1" t="s">
        <v>16372</v>
      </c>
      <c r="C2335" s="3">
        <f>IF(B2335="","",SUMIFS('Factory Costs'!$C:$C,'Factory Costs'!$A:$A,"Blades",'Factory Costs'!$B:$B,B2335))</f>
        <v>42</v>
      </c>
    </row>
    <row r="2336" spans="1:3" x14ac:dyDescent="0.25">
      <c r="A2336" s="1" t="s">
        <v>13559</v>
      </c>
      <c r="B2336" s="1" t="s">
        <v>16371</v>
      </c>
      <c r="C2336" s="3">
        <f>IF(B2336="","",SUMIFS('Factory Costs'!$C:$C,'Factory Costs'!$A:$A,"Blades",'Factory Costs'!$B:$B,B2336))</f>
        <v>37</v>
      </c>
    </row>
    <row r="2337" spans="1:3" x14ac:dyDescent="0.25">
      <c r="A2337" s="1" t="s">
        <v>13562</v>
      </c>
      <c r="B2337" s="1" t="s">
        <v>16370</v>
      </c>
      <c r="C2337" s="3">
        <f>IF(B2337="","",SUMIFS('Factory Costs'!$C:$C,'Factory Costs'!$A:$A,"Blades",'Factory Costs'!$B:$B,B2337))</f>
        <v>34</v>
      </c>
    </row>
    <row r="2338" spans="1:3" x14ac:dyDescent="0.25">
      <c r="A2338" s="1" t="s">
        <v>13565</v>
      </c>
      <c r="B2338" s="1" t="s">
        <v>16370</v>
      </c>
      <c r="C2338" s="3">
        <f>IF(B2338="","",SUMIFS('Factory Costs'!$C:$C,'Factory Costs'!$A:$A,"Blades",'Factory Costs'!$B:$B,B2338))</f>
        <v>34</v>
      </c>
    </row>
    <row r="2339" spans="1:3" x14ac:dyDescent="0.25">
      <c r="A2339" s="1" t="s">
        <v>13568</v>
      </c>
      <c r="B2339" s="1" t="s">
        <v>16370</v>
      </c>
      <c r="C2339" s="3">
        <f>IF(B2339="","",SUMIFS('Factory Costs'!$C:$C,'Factory Costs'!$A:$A,"Blades",'Factory Costs'!$B:$B,B2339))</f>
        <v>34</v>
      </c>
    </row>
    <row r="2340" spans="1:3" x14ac:dyDescent="0.25">
      <c r="A2340" s="1" t="s">
        <v>13571</v>
      </c>
      <c r="B2340" s="1" t="s">
        <v>16372</v>
      </c>
      <c r="C2340" s="3">
        <f>IF(B2340="","",SUMIFS('Factory Costs'!$C:$C,'Factory Costs'!$A:$A,"Blades",'Factory Costs'!$B:$B,B2340))</f>
        <v>42</v>
      </c>
    </row>
    <row r="2341" spans="1:3" x14ac:dyDescent="0.25">
      <c r="A2341" s="1" t="s">
        <v>13574</v>
      </c>
      <c r="B2341" s="1" t="s">
        <v>16370</v>
      </c>
      <c r="C2341" s="3">
        <f>IF(B2341="","",SUMIFS('Factory Costs'!$C:$C,'Factory Costs'!$A:$A,"Blades",'Factory Costs'!$B:$B,B2341))</f>
        <v>34</v>
      </c>
    </row>
    <row r="2342" spans="1:3" x14ac:dyDescent="0.25">
      <c r="A2342" s="1" t="s">
        <v>13577</v>
      </c>
      <c r="B2342" s="1" t="s">
        <v>16372</v>
      </c>
      <c r="C2342" s="3">
        <f>IF(B2342="","",SUMIFS('Factory Costs'!$C:$C,'Factory Costs'!$A:$A,"Blades",'Factory Costs'!$B:$B,B2342))</f>
        <v>42</v>
      </c>
    </row>
    <row r="2343" spans="1:3" x14ac:dyDescent="0.25">
      <c r="A2343" s="1" t="s">
        <v>13580</v>
      </c>
      <c r="B2343" s="1" t="s">
        <v>16372</v>
      </c>
      <c r="C2343" s="3">
        <f>IF(B2343="","",SUMIFS('Factory Costs'!$C:$C,'Factory Costs'!$A:$A,"Blades",'Factory Costs'!$B:$B,B2343))</f>
        <v>42</v>
      </c>
    </row>
    <row r="2344" spans="1:3" x14ac:dyDescent="0.25">
      <c r="A2344" s="1" t="s">
        <v>13583</v>
      </c>
      <c r="B2344" s="1" t="s">
        <v>16370</v>
      </c>
      <c r="C2344" s="3">
        <f>IF(B2344="","",SUMIFS('Factory Costs'!$C:$C,'Factory Costs'!$A:$A,"Blades",'Factory Costs'!$B:$B,B2344))</f>
        <v>34</v>
      </c>
    </row>
    <row r="2345" spans="1:3" x14ac:dyDescent="0.25">
      <c r="A2345" s="1" t="s">
        <v>13586</v>
      </c>
      <c r="B2345" s="1" t="s">
        <v>16372</v>
      </c>
      <c r="C2345" s="3">
        <f>IF(B2345="","",SUMIFS('Factory Costs'!$C:$C,'Factory Costs'!$A:$A,"Blades",'Factory Costs'!$B:$B,B2345))</f>
        <v>42</v>
      </c>
    </row>
    <row r="2346" spans="1:3" x14ac:dyDescent="0.25">
      <c r="A2346" s="1" t="s">
        <v>13589</v>
      </c>
      <c r="B2346" s="1" t="s">
        <v>16372</v>
      </c>
      <c r="C2346" s="3">
        <f>IF(B2346="","",SUMIFS('Factory Costs'!$C:$C,'Factory Costs'!$A:$A,"Blades",'Factory Costs'!$B:$B,B2346))</f>
        <v>42</v>
      </c>
    </row>
    <row r="2347" spans="1:3" x14ac:dyDescent="0.25">
      <c r="A2347" s="1" t="s">
        <v>13592</v>
      </c>
      <c r="B2347" s="1" t="s">
        <v>16371</v>
      </c>
      <c r="C2347" s="3">
        <f>IF(B2347="","",SUMIFS('Factory Costs'!$C:$C,'Factory Costs'!$A:$A,"Blades",'Factory Costs'!$B:$B,B2347))</f>
        <v>37</v>
      </c>
    </row>
    <row r="2348" spans="1:3" x14ac:dyDescent="0.25">
      <c r="A2348" s="1" t="s">
        <v>13595</v>
      </c>
      <c r="B2348" s="1" t="s">
        <v>16370</v>
      </c>
      <c r="C2348" s="3">
        <f>IF(B2348="","",SUMIFS('Factory Costs'!$C:$C,'Factory Costs'!$A:$A,"Blades",'Factory Costs'!$B:$B,B2348))</f>
        <v>34</v>
      </c>
    </row>
    <row r="2349" spans="1:3" x14ac:dyDescent="0.25">
      <c r="A2349" s="1" t="s">
        <v>13598</v>
      </c>
      <c r="B2349" s="1" t="s">
        <v>16371</v>
      </c>
      <c r="C2349" s="3">
        <f>IF(B2349="","",SUMIFS('Factory Costs'!$C:$C,'Factory Costs'!$A:$A,"Blades",'Factory Costs'!$B:$B,B2349))</f>
        <v>37</v>
      </c>
    </row>
    <row r="2350" spans="1:3" x14ac:dyDescent="0.25">
      <c r="A2350" s="1" t="s">
        <v>13601</v>
      </c>
      <c r="B2350" s="1" t="s">
        <v>16372</v>
      </c>
      <c r="C2350" s="3">
        <f>IF(B2350="","",SUMIFS('Factory Costs'!$C:$C,'Factory Costs'!$A:$A,"Blades",'Factory Costs'!$B:$B,B2350))</f>
        <v>42</v>
      </c>
    </row>
    <row r="2351" spans="1:3" x14ac:dyDescent="0.25">
      <c r="A2351" s="1" t="s">
        <v>13604</v>
      </c>
      <c r="B2351" s="1" t="s">
        <v>16372</v>
      </c>
      <c r="C2351" s="3">
        <f>IF(B2351="","",SUMIFS('Factory Costs'!$C:$C,'Factory Costs'!$A:$A,"Blades",'Factory Costs'!$B:$B,B2351))</f>
        <v>42</v>
      </c>
    </row>
    <row r="2352" spans="1:3" x14ac:dyDescent="0.25">
      <c r="A2352" s="1" t="s">
        <v>13607</v>
      </c>
      <c r="B2352" s="1" t="s">
        <v>16370</v>
      </c>
      <c r="C2352" s="3">
        <f>IF(B2352="","",SUMIFS('Factory Costs'!$C:$C,'Factory Costs'!$A:$A,"Blades",'Factory Costs'!$B:$B,B2352))</f>
        <v>34</v>
      </c>
    </row>
    <row r="2353" spans="1:3" x14ac:dyDescent="0.25">
      <c r="A2353" s="1" t="s">
        <v>13610</v>
      </c>
      <c r="B2353" s="1" t="s">
        <v>16371</v>
      </c>
      <c r="C2353" s="3">
        <f>IF(B2353="","",SUMIFS('Factory Costs'!$C:$C,'Factory Costs'!$A:$A,"Blades",'Factory Costs'!$B:$B,B2353))</f>
        <v>37</v>
      </c>
    </row>
    <row r="2354" spans="1:3" x14ac:dyDescent="0.25">
      <c r="A2354" s="1" t="s">
        <v>13613</v>
      </c>
      <c r="B2354" s="1" t="s">
        <v>16370</v>
      </c>
      <c r="C2354" s="3">
        <f>IF(B2354="","",SUMIFS('Factory Costs'!$C:$C,'Factory Costs'!$A:$A,"Blades",'Factory Costs'!$B:$B,B2354))</f>
        <v>34</v>
      </c>
    </row>
    <row r="2355" spans="1:3" x14ac:dyDescent="0.25">
      <c r="A2355" s="1" t="s">
        <v>13616</v>
      </c>
      <c r="B2355" s="1" t="s">
        <v>16370</v>
      </c>
      <c r="C2355" s="3">
        <f>IF(B2355="","",SUMIFS('Factory Costs'!$C:$C,'Factory Costs'!$A:$A,"Blades",'Factory Costs'!$B:$B,B2355))</f>
        <v>34</v>
      </c>
    </row>
    <row r="2356" spans="1:3" x14ac:dyDescent="0.25">
      <c r="A2356" s="1" t="s">
        <v>13619</v>
      </c>
      <c r="B2356" s="1" t="s">
        <v>16371</v>
      </c>
      <c r="C2356" s="3">
        <f>IF(B2356="","",SUMIFS('Factory Costs'!$C:$C,'Factory Costs'!$A:$A,"Blades",'Factory Costs'!$B:$B,B2356))</f>
        <v>37</v>
      </c>
    </row>
    <row r="2357" spans="1:3" x14ac:dyDescent="0.25">
      <c r="A2357" s="1" t="s">
        <v>13622</v>
      </c>
      <c r="B2357" s="1" t="s">
        <v>16371</v>
      </c>
      <c r="C2357" s="3">
        <f>IF(B2357="","",SUMIFS('Factory Costs'!$C:$C,'Factory Costs'!$A:$A,"Blades",'Factory Costs'!$B:$B,B2357))</f>
        <v>37</v>
      </c>
    </row>
    <row r="2358" spans="1:3" x14ac:dyDescent="0.25">
      <c r="A2358" s="1" t="s">
        <v>13625</v>
      </c>
      <c r="B2358" s="1" t="s">
        <v>16370</v>
      </c>
      <c r="C2358" s="3">
        <f>IF(B2358="","",SUMIFS('Factory Costs'!$C:$C,'Factory Costs'!$A:$A,"Blades",'Factory Costs'!$B:$B,B2358))</f>
        <v>34</v>
      </c>
    </row>
    <row r="2359" spans="1:3" x14ac:dyDescent="0.25">
      <c r="A2359" s="1" t="s">
        <v>13628</v>
      </c>
      <c r="B2359" s="1" t="s">
        <v>16371</v>
      </c>
      <c r="C2359" s="3">
        <f>IF(B2359="","",SUMIFS('Factory Costs'!$C:$C,'Factory Costs'!$A:$A,"Blades",'Factory Costs'!$B:$B,B2359))</f>
        <v>37</v>
      </c>
    </row>
    <row r="2360" spans="1:3" x14ac:dyDescent="0.25">
      <c r="A2360" s="1" t="s">
        <v>13631</v>
      </c>
      <c r="B2360" s="1" t="s">
        <v>16371</v>
      </c>
      <c r="C2360" s="3">
        <f>IF(B2360="","",SUMIFS('Factory Costs'!$C:$C,'Factory Costs'!$A:$A,"Blades",'Factory Costs'!$B:$B,B2360))</f>
        <v>37</v>
      </c>
    </row>
    <row r="2361" spans="1:3" x14ac:dyDescent="0.25">
      <c r="A2361" s="1" t="s">
        <v>13634</v>
      </c>
      <c r="B2361" s="1" t="s">
        <v>16370</v>
      </c>
      <c r="C2361" s="3">
        <f>IF(B2361="","",SUMIFS('Factory Costs'!$C:$C,'Factory Costs'!$A:$A,"Blades",'Factory Costs'!$B:$B,B2361))</f>
        <v>34</v>
      </c>
    </row>
    <row r="2362" spans="1:3" x14ac:dyDescent="0.25">
      <c r="A2362" s="1" t="s">
        <v>13637</v>
      </c>
      <c r="B2362" s="1" t="s">
        <v>16371</v>
      </c>
      <c r="C2362" s="3">
        <f>IF(B2362="","",SUMIFS('Factory Costs'!$C:$C,'Factory Costs'!$A:$A,"Blades",'Factory Costs'!$B:$B,B2362))</f>
        <v>37</v>
      </c>
    </row>
    <row r="2363" spans="1:3" x14ac:dyDescent="0.25">
      <c r="A2363" s="1" t="s">
        <v>13640</v>
      </c>
      <c r="B2363" s="1" t="s">
        <v>16372</v>
      </c>
      <c r="C2363" s="3">
        <f>IF(B2363="","",SUMIFS('Factory Costs'!$C:$C,'Factory Costs'!$A:$A,"Blades",'Factory Costs'!$B:$B,B2363))</f>
        <v>42</v>
      </c>
    </row>
    <row r="2364" spans="1:3" x14ac:dyDescent="0.25">
      <c r="A2364" s="1" t="s">
        <v>13643</v>
      </c>
      <c r="B2364" s="1" t="s">
        <v>16371</v>
      </c>
      <c r="C2364" s="3">
        <f>IF(B2364="","",SUMIFS('Factory Costs'!$C:$C,'Factory Costs'!$A:$A,"Blades",'Factory Costs'!$B:$B,B2364))</f>
        <v>37</v>
      </c>
    </row>
    <row r="2365" spans="1:3" x14ac:dyDescent="0.25">
      <c r="A2365" s="1" t="s">
        <v>13646</v>
      </c>
      <c r="B2365" s="1" t="s">
        <v>16372</v>
      </c>
      <c r="C2365" s="3">
        <f>IF(B2365="","",SUMIFS('Factory Costs'!$C:$C,'Factory Costs'!$A:$A,"Blades",'Factory Costs'!$B:$B,B2365))</f>
        <v>42</v>
      </c>
    </row>
    <row r="2366" spans="1:3" x14ac:dyDescent="0.25">
      <c r="A2366" s="1" t="s">
        <v>13649</v>
      </c>
      <c r="B2366" s="1" t="s">
        <v>16371</v>
      </c>
      <c r="C2366" s="3">
        <f>IF(B2366="","",SUMIFS('Factory Costs'!$C:$C,'Factory Costs'!$A:$A,"Blades",'Factory Costs'!$B:$B,B2366))</f>
        <v>37</v>
      </c>
    </row>
    <row r="2367" spans="1:3" x14ac:dyDescent="0.25">
      <c r="A2367" s="1" t="s">
        <v>13652</v>
      </c>
      <c r="B2367" s="1" t="s">
        <v>16370</v>
      </c>
      <c r="C2367" s="3">
        <f>IF(B2367="","",SUMIFS('Factory Costs'!$C:$C,'Factory Costs'!$A:$A,"Blades",'Factory Costs'!$B:$B,B2367))</f>
        <v>34</v>
      </c>
    </row>
    <row r="2368" spans="1:3" x14ac:dyDescent="0.25">
      <c r="A2368" s="1" t="s">
        <v>13655</v>
      </c>
      <c r="B2368" s="1" t="s">
        <v>16371</v>
      </c>
      <c r="C2368" s="3">
        <f>IF(B2368="","",SUMIFS('Factory Costs'!$C:$C,'Factory Costs'!$A:$A,"Blades",'Factory Costs'!$B:$B,B2368))</f>
        <v>37</v>
      </c>
    </row>
    <row r="2369" spans="1:3" x14ac:dyDescent="0.25">
      <c r="A2369" s="1" t="s">
        <v>13658</v>
      </c>
      <c r="B2369" s="1" t="s">
        <v>16370</v>
      </c>
      <c r="C2369" s="3">
        <f>IF(B2369="","",SUMIFS('Factory Costs'!$C:$C,'Factory Costs'!$A:$A,"Blades",'Factory Costs'!$B:$B,B2369))</f>
        <v>34</v>
      </c>
    </row>
    <row r="2370" spans="1:3" x14ac:dyDescent="0.25">
      <c r="A2370" s="1" t="s">
        <v>13661</v>
      </c>
      <c r="B2370" s="1" t="s">
        <v>16372</v>
      </c>
      <c r="C2370" s="3">
        <f>IF(B2370="","",SUMIFS('Factory Costs'!$C:$C,'Factory Costs'!$A:$A,"Blades",'Factory Costs'!$B:$B,B2370))</f>
        <v>42</v>
      </c>
    </row>
    <row r="2371" spans="1:3" x14ac:dyDescent="0.25">
      <c r="A2371" s="1" t="s">
        <v>13664</v>
      </c>
      <c r="B2371" s="1" t="s">
        <v>16370</v>
      </c>
      <c r="C2371" s="3">
        <f>IF(B2371="","",SUMIFS('Factory Costs'!$C:$C,'Factory Costs'!$A:$A,"Blades",'Factory Costs'!$B:$B,B2371))</f>
        <v>34</v>
      </c>
    </row>
    <row r="2372" spans="1:3" x14ac:dyDescent="0.25">
      <c r="A2372" s="1" t="s">
        <v>13667</v>
      </c>
      <c r="B2372" s="1" t="s">
        <v>16370</v>
      </c>
      <c r="C2372" s="3">
        <f>IF(B2372="","",SUMIFS('Factory Costs'!$C:$C,'Factory Costs'!$A:$A,"Blades",'Factory Costs'!$B:$B,B2372))</f>
        <v>34</v>
      </c>
    </row>
    <row r="2373" spans="1:3" x14ac:dyDescent="0.25">
      <c r="A2373" s="1" t="s">
        <v>13670</v>
      </c>
      <c r="B2373" s="1" t="s">
        <v>16372</v>
      </c>
      <c r="C2373" s="3">
        <f>IF(B2373="","",SUMIFS('Factory Costs'!$C:$C,'Factory Costs'!$A:$A,"Blades",'Factory Costs'!$B:$B,B2373))</f>
        <v>42</v>
      </c>
    </row>
    <row r="2374" spans="1:3" x14ac:dyDescent="0.25">
      <c r="A2374" s="1" t="s">
        <v>13673</v>
      </c>
      <c r="B2374" s="1" t="s">
        <v>16370</v>
      </c>
      <c r="C2374" s="3">
        <f>IF(B2374="","",SUMIFS('Factory Costs'!$C:$C,'Factory Costs'!$A:$A,"Blades",'Factory Costs'!$B:$B,B2374))</f>
        <v>34</v>
      </c>
    </row>
    <row r="2375" spans="1:3" x14ac:dyDescent="0.25">
      <c r="A2375" s="1" t="s">
        <v>13676</v>
      </c>
      <c r="B2375" s="1" t="s">
        <v>16370</v>
      </c>
      <c r="C2375" s="3">
        <f>IF(B2375="","",SUMIFS('Factory Costs'!$C:$C,'Factory Costs'!$A:$A,"Blades",'Factory Costs'!$B:$B,B2375))</f>
        <v>34</v>
      </c>
    </row>
    <row r="2376" spans="1:3" x14ac:dyDescent="0.25">
      <c r="A2376" s="1" t="s">
        <v>13679</v>
      </c>
      <c r="B2376" s="1" t="s">
        <v>16370</v>
      </c>
      <c r="C2376" s="3">
        <f>IF(B2376="","",SUMIFS('Factory Costs'!$C:$C,'Factory Costs'!$A:$A,"Blades",'Factory Costs'!$B:$B,B2376))</f>
        <v>34</v>
      </c>
    </row>
    <row r="2377" spans="1:3" x14ac:dyDescent="0.25">
      <c r="A2377" s="1" t="s">
        <v>13682</v>
      </c>
      <c r="B2377" s="1" t="s">
        <v>16372</v>
      </c>
      <c r="C2377" s="3">
        <f>IF(B2377="","",SUMIFS('Factory Costs'!$C:$C,'Factory Costs'!$A:$A,"Blades",'Factory Costs'!$B:$B,B2377))</f>
        <v>42</v>
      </c>
    </row>
    <row r="2378" spans="1:3" x14ac:dyDescent="0.25">
      <c r="A2378" s="1" t="s">
        <v>13685</v>
      </c>
      <c r="B2378" s="1" t="s">
        <v>16372</v>
      </c>
      <c r="C2378" s="3">
        <f>IF(B2378="","",SUMIFS('Factory Costs'!$C:$C,'Factory Costs'!$A:$A,"Blades",'Factory Costs'!$B:$B,B2378))</f>
        <v>42</v>
      </c>
    </row>
    <row r="2379" spans="1:3" x14ac:dyDescent="0.25">
      <c r="A2379" s="1" t="s">
        <v>13688</v>
      </c>
      <c r="B2379" s="1" t="s">
        <v>16371</v>
      </c>
      <c r="C2379" s="3">
        <f>IF(B2379="","",SUMIFS('Factory Costs'!$C:$C,'Factory Costs'!$A:$A,"Blades",'Factory Costs'!$B:$B,B2379))</f>
        <v>37</v>
      </c>
    </row>
    <row r="2380" spans="1:3" x14ac:dyDescent="0.25">
      <c r="A2380" s="1" t="s">
        <v>13691</v>
      </c>
      <c r="B2380" s="1" t="s">
        <v>16370</v>
      </c>
      <c r="C2380" s="3">
        <f>IF(B2380="","",SUMIFS('Factory Costs'!$C:$C,'Factory Costs'!$A:$A,"Blades",'Factory Costs'!$B:$B,B2380))</f>
        <v>34</v>
      </c>
    </row>
    <row r="2381" spans="1:3" x14ac:dyDescent="0.25">
      <c r="A2381" s="1" t="s">
        <v>13694</v>
      </c>
      <c r="B2381" s="1" t="s">
        <v>16370</v>
      </c>
      <c r="C2381" s="3">
        <f>IF(B2381="","",SUMIFS('Factory Costs'!$C:$C,'Factory Costs'!$A:$A,"Blades",'Factory Costs'!$B:$B,B2381))</f>
        <v>34</v>
      </c>
    </row>
    <row r="2382" spans="1:3" x14ac:dyDescent="0.25">
      <c r="A2382" s="1" t="s">
        <v>13697</v>
      </c>
      <c r="B2382" s="1" t="s">
        <v>16372</v>
      </c>
      <c r="C2382" s="3">
        <f>IF(B2382="","",SUMIFS('Factory Costs'!$C:$C,'Factory Costs'!$A:$A,"Blades",'Factory Costs'!$B:$B,B2382))</f>
        <v>42</v>
      </c>
    </row>
    <row r="2383" spans="1:3" x14ac:dyDescent="0.25">
      <c r="A2383" s="1" t="s">
        <v>13700</v>
      </c>
      <c r="B2383" s="1" t="s">
        <v>16370</v>
      </c>
      <c r="C2383" s="3">
        <f>IF(B2383="","",SUMIFS('Factory Costs'!$C:$C,'Factory Costs'!$A:$A,"Blades",'Factory Costs'!$B:$B,B2383))</f>
        <v>34</v>
      </c>
    </row>
    <row r="2384" spans="1:3" x14ac:dyDescent="0.25">
      <c r="A2384" s="1" t="s">
        <v>13703</v>
      </c>
      <c r="B2384" s="1" t="s">
        <v>16371</v>
      </c>
      <c r="C2384" s="3">
        <f>IF(B2384="","",SUMIFS('Factory Costs'!$C:$C,'Factory Costs'!$A:$A,"Blades",'Factory Costs'!$B:$B,B2384))</f>
        <v>37</v>
      </c>
    </row>
    <row r="2385" spans="1:3" x14ac:dyDescent="0.25">
      <c r="A2385" s="1" t="s">
        <v>13706</v>
      </c>
      <c r="B2385" s="1" t="s">
        <v>16371</v>
      </c>
      <c r="C2385" s="3">
        <f>IF(B2385="","",SUMIFS('Factory Costs'!$C:$C,'Factory Costs'!$A:$A,"Blades",'Factory Costs'!$B:$B,B2385))</f>
        <v>37</v>
      </c>
    </row>
    <row r="2386" spans="1:3" x14ac:dyDescent="0.25">
      <c r="A2386" s="1" t="s">
        <v>13709</v>
      </c>
      <c r="B2386" s="1" t="s">
        <v>16371</v>
      </c>
      <c r="C2386" s="3">
        <f>IF(B2386="","",SUMIFS('Factory Costs'!$C:$C,'Factory Costs'!$A:$A,"Blades",'Factory Costs'!$B:$B,B2386))</f>
        <v>37</v>
      </c>
    </row>
    <row r="2387" spans="1:3" x14ac:dyDescent="0.25">
      <c r="A2387" s="1" t="s">
        <v>13712</v>
      </c>
      <c r="B2387" s="1" t="s">
        <v>16371</v>
      </c>
      <c r="C2387" s="3">
        <f>IF(B2387="","",SUMIFS('Factory Costs'!$C:$C,'Factory Costs'!$A:$A,"Blades",'Factory Costs'!$B:$B,B2387))</f>
        <v>37</v>
      </c>
    </row>
    <row r="2388" spans="1:3" x14ac:dyDescent="0.25">
      <c r="A2388" s="1" t="s">
        <v>13715</v>
      </c>
      <c r="B2388" s="1" t="s">
        <v>16370</v>
      </c>
      <c r="C2388" s="3">
        <f>IF(B2388="","",SUMIFS('Factory Costs'!$C:$C,'Factory Costs'!$A:$A,"Blades",'Factory Costs'!$B:$B,B2388))</f>
        <v>34</v>
      </c>
    </row>
    <row r="2389" spans="1:3" x14ac:dyDescent="0.25">
      <c r="A2389" s="1" t="s">
        <v>13718</v>
      </c>
      <c r="B2389" s="1" t="s">
        <v>16370</v>
      </c>
      <c r="C2389" s="3">
        <f>IF(B2389="","",SUMIFS('Factory Costs'!$C:$C,'Factory Costs'!$A:$A,"Blades",'Factory Costs'!$B:$B,B2389))</f>
        <v>34</v>
      </c>
    </row>
    <row r="2390" spans="1:3" x14ac:dyDescent="0.25">
      <c r="A2390" s="1" t="s">
        <v>13721</v>
      </c>
      <c r="B2390" s="1" t="s">
        <v>16372</v>
      </c>
      <c r="C2390" s="3">
        <f>IF(B2390="","",SUMIFS('Factory Costs'!$C:$C,'Factory Costs'!$A:$A,"Blades",'Factory Costs'!$B:$B,B2390))</f>
        <v>42</v>
      </c>
    </row>
    <row r="2391" spans="1:3" x14ac:dyDescent="0.25">
      <c r="A2391" s="1" t="s">
        <v>13724</v>
      </c>
      <c r="B2391" s="1" t="s">
        <v>16371</v>
      </c>
      <c r="C2391" s="3">
        <f>IF(B2391="","",SUMIFS('Factory Costs'!$C:$C,'Factory Costs'!$A:$A,"Blades",'Factory Costs'!$B:$B,B2391))</f>
        <v>37</v>
      </c>
    </row>
    <row r="2392" spans="1:3" x14ac:dyDescent="0.25">
      <c r="A2392" s="1" t="s">
        <v>13727</v>
      </c>
      <c r="B2392" s="1" t="s">
        <v>16370</v>
      </c>
      <c r="C2392" s="3">
        <f>IF(B2392="","",SUMIFS('Factory Costs'!$C:$C,'Factory Costs'!$A:$A,"Blades",'Factory Costs'!$B:$B,B2392))</f>
        <v>34</v>
      </c>
    </row>
    <row r="2393" spans="1:3" x14ac:dyDescent="0.25">
      <c r="A2393" s="1" t="s">
        <v>13730</v>
      </c>
      <c r="B2393" s="1" t="s">
        <v>16370</v>
      </c>
      <c r="C2393" s="3">
        <f>IF(B2393="","",SUMIFS('Factory Costs'!$C:$C,'Factory Costs'!$A:$A,"Blades",'Factory Costs'!$B:$B,B2393))</f>
        <v>34</v>
      </c>
    </row>
    <row r="2394" spans="1:3" x14ac:dyDescent="0.25">
      <c r="A2394" s="1" t="s">
        <v>13733</v>
      </c>
      <c r="B2394" s="1" t="s">
        <v>16370</v>
      </c>
      <c r="C2394" s="3">
        <f>IF(B2394="","",SUMIFS('Factory Costs'!$C:$C,'Factory Costs'!$A:$A,"Blades",'Factory Costs'!$B:$B,B2394))</f>
        <v>34</v>
      </c>
    </row>
    <row r="2395" spans="1:3" x14ac:dyDescent="0.25">
      <c r="A2395" s="1" t="s">
        <v>13736</v>
      </c>
      <c r="B2395" s="1" t="s">
        <v>16370</v>
      </c>
      <c r="C2395" s="3">
        <f>IF(B2395="","",SUMIFS('Factory Costs'!$C:$C,'Factory Costs'!$A:$A,"Blades",'Factory Costs'!$B:$B,B2395))</f>
        <v>34</v>
      </c>
    </row>
    <row r="2396" spans="1:3" x14ac:dyDescent="0.25">
      <c r="A2396" s="1" t="s">
        <v>13739</v>
      </c>
      <c r="B2396" s="1" t="s">
        <v>16372</v>
      </c>
      <c r="C2396" s="3">
        <f>IF(B2396="","",SUMIFS('Factory Costs'!$C:$C,'Factory Costs'!$A:$A,"Blades",'Factory Costs'!$B:$B,B2396))</f>
        <v>42</v>
      </c>
    </row>
    <row r="2397" spans="1:3" x14ac:dyDescent="0.25">
      <c r="A2397" s="1" t="s">
        <v>13742</v>
      </c>
      <c r="B2397" s="1" t="s">
        <v>16372</v>
      </c>
      <c r="C2397" s="3">
        <f>IF(B2397="","",SUMIFS('Factory Costs'!$C:$C,'Factory Costs'!$A:$A,"Blades",'Factory Costs'!$B:$B,B2397))</f>
        <v>42</v>
      </c>
    </row>
    <row r="2398" spans="1:3" x14ac:dyDescent="0.25">
      <c r="A2398" s="1" t="s">
        <v>13745</v>
      </c>
      <c r="B2398" s="1" t="s">
        <v>16371</v>
      </c>
      <c r="C2398" s="3">
        <f>IF(B2398="","",SUMIFS('Factory Costs'!$C:$C,'Factory Costs'!$A:$A,"Blades",'Factory Costs'!$B:$B,B2398))</f>
        <v>37</v>
      </c>
    </row>
    <row r="2399" spans="1:3" x14ac:dyDescent="0.25">
      <c r="A2399" s="1" t="s">
        <v>13748</v>
      </c>
      <c r="B2399" s="1" t="s">
        <v>16372</v>
      </c>
      <c r="C2399" s="3">
        <f>IF(B2399="","",SUMIFS('Factory Costs'!$C:$C,'Factory Costs'!$A:$A,"Blades",'Factory Costs'!$B:$B,B2399))</f>
        <v>42</v>
      </c>
    </row>
    <row r="2400" spans="1:3" x14ac:dyDescent="0.25">
      <c r="A2400" s="1" t="s">
        <v>13751</v>
      </c>
      <c r="B2400" s="1" t="s">
        <v>16371</v>
      </c>
      <c r="C2400" s="3">
        <f>IF(B2400="","",SUMIFS('Factory Costs'!$C:$C,'Factory Costs'!$A:$A,"Blades",'Factory Costs'!$B:$B,B2400))</f>
        <v>37</v>
      </c>
    </row>
    <row r="2401" spans="1:3" x14ac:dyDescent="0.25">
      <c r="A2401" s="1" t="s">
        <v>13754</v>
      </c>
      <c r="B2401" s="1" t="s">
        <v>16370</v>
      </c>
      <c r="C2401" s="3">
        <f>IF(B2401="","",SUMIFS('Factory Costs'!$C:$C,'Factory Costs'!$A:$A,"Blades",'Factory Costs'!$B:$B,B2401))</f>
        <v>34</v>
      </c>
    </row>
    <row r="2402" spans="1:3" x14ac:dyDescent="0.25">
      <c r="A2402" s="1" t="s">
        <v>13757</v>
      </c>
      <c r="B2402" s="1" t="s">
        <v>16370</v>
      </c>
      <c r="C2402" s="3">
        <f>IF(B2402="","",SUMIFS('Factory Costs'!$C:$C,'Factory Costs'!$A:$A,"Blades",'Factory Costs'!$B:$B,B2402))</f>
        <v>34</v>
      </c>
    </row>
    <row r="2403" spans="1:3" x14ac:dyDescent="0.25">
      <c r="A2403" s="1" t="s">
        <v>13760</v>
      </c>
      <c r="B2403" s="1" t="s">
        <v>16370</v>
      </c>
      <c r="C2403" s="3">
        <f>IF(B2403="","",SUMIFS('Factory Costs'!$C:$C,'Factory Costs'!$A:$A,"Blades",'Factory Costs'!$B:$B,B2403))</f>
        <v>34</v>
      </c>
    </row>
    <row r="2404" spans="1:3" x14ac:dyDescent="0.25">
      <c r="A2404" s="1" t="s">
        <v>13763</v>
      </c>
      <c r="B2404" s="1" t="s">
        <v>16370</v>
      </c>
      <c r="C2404" s="3">
        <f>IF(B2404="","",SUMIFS('Factory Costs'!$C:$C,'Factory Costs'!$A:$A,"Blades",'Factory Costs'!$B:$B,B2404))</f>
        <v>34</v>
      </c>
    </row>
    <row r="2405" spans="1:3" x14ac:dyDescent="0.25">
      <c r="A2405" s="1" t="s">
        <v>13766</v>
      </c>
      <c r="B2405" s="1" t="s">
        <v>16371</v>
      </c>
      <c r="C2405" s="3">
        <f>IF(B2405="","",SUMIFS('Factory Costs'!$C:$C,'Factory Costs'!$A:$A,"Blades",'Factory Costs'!$B:$B,B2405))</f>
        <v>37</v>
      </c>
    </row>
    <row r="2406" spans="1:3" x14ac:dyDescent="0.25">
      <c r="A2406" s="1" t="s">
        <v>13769</v>
      </c>
      <c r="B2406" s="1" t="s">
        <v>16370</v>
      </c>
      <c r="C2406" s="3">
        <f>IF(B2406="","",SUMIFS('Factory Costs'!$C:$C,'Factory Costs'!$A:$A,"Blades",'Factory Costs'!$B:$B,B2406))</f>
        <v>34</v>
      </c>
    </row>
    <row r="2407" spans="1:3" x14ac:dyDescent="0.25">
      <c r="A2407" s="1" t="s">
        <v>13772</v>
      </c>
      <c r="B2407" s="1" t="s">
        <v>16372</v>
      </c>
      <c r="C2407" s="3">
        <f>IF(B2407="","",SUMIFS('Factory Costs'!$C:$C,'Factory Costs'!$A:$A,"Blades",'Factory Costs'!$B:$B,B2407))</f>
        <v>42</v>
      </c>
    </row>
    <row r="2408" spans="1:3" x14ac:dyDescent="0.25">
      <c r="A2408" s="1" t="s">
        <v>13775</v>
      </c>
      <c r="B2408" s="1" t="s">
        <v>16372</v>
      </c>
      <c r="C2408" s="3">
        <f>IF(B2408="","",SUMIFS('Factory Costs'!$C:$C,'Factory Costs'!$A:$A,"Blades",'Factory Costs'!$B:$B,B2408))</f>
        <v>42</v>
      </c>
    </row>
    <row r="2409" spans="1:3" x14ac:dyDescent="0.25">
      <c r="A2409" s="1" t="s">
        <v>13778</v>
      </c>
      <c r="B2409" s="1" t="s">
        <v>16370</v>
      </c>
      <c r="C2409" s="3">
        <f>IF(B2409="","",SUMIFS('Factory Costs'!$C:$C,'Factory Costs'!$A:$A,"Blades",'Factory Costs'!$B:$B,B2409))</f>
        <v>34</v>
      </c>
    </row>
    <row r="2410" spans="1:3" x14ac:dyDescent="0.25">
      <c r="A2410" s="1" t="s">
        <v>13781</v>
      </c>
      <c r="B2410" s="1" t="s">
        <v>16371</v>
      </c>
      <c r="C2410" s="3">
        <f>IF(B2410="","",SUMIFS('Factory Costs'!$C:$C,'Factory Costs'!$A:$A,"Blades",'Factory Costs'!$B:$B,B2410))</f>
        <v>37</v>
      </c>
    </row>
    <row r="2411" spans="1:3" x14ac:dyDescent="0.25">
      <c r="A2411" s="1" t="s">
        <v>13784</v>
      </c>
      <c r="B2411" s="1" t="s">
        <v>16372</v>
      </c>
      <c r="C2411" s="3">
        <f>IF(B2411="","",SUMIFS('Factory Costs'!$C:$C,'Factory Costs'!$A:$A,"Blades",'Factory Costs'!$B:$B,B2411))</f>
        <v>42</v>
      </c>
    </row>
    <row r="2412" spans="1:3" x14ac:dyDescent="0.25">
      <c r="A2412" s="1" t="s">
        <v>13787</v>
      </c>
      <c r="B2412" s="1" t="s">
        <v>16370</v>
      </c>
      <c r="C2412" s="3">
        <f>IF(B2412="","",SUMIFS('Factory Costs'!$C:$C,'Factory Costs'!$A:$A,"Blades",'Factory Costs'!$B:$B,B2412))</f>
        <v>34</v>
      </c>
    </row>
    <row r="2413" spans="1:3" x14ac:dyDescent="0.25">
      <c r="A2413" s="1" t="s">
        <v>13790</v>
      </c>
      <c r="B2413" s="1" t="s">
        <v>16370</v>
      </c>
      <c r="C2413" s="3">
        <f>IF(B2413="","",SUMIFS('Factory Costs'!$C:$C,'Factory Costs'!$A:$A,"Blades",'Factory Costs'!$B:$B,B2413))</f>
        <v>34</v>
      </c>
    </row>
    <row r="2414" spans="1:3" x14ac:dyDescent="0.25">
      <c r="A2414" s="1" t="s">
        <v>13793</v>
      </c>
      <c r="B2414" s="1" t="s">
        <v>16370</v>
      </c>
      <c r="C2414" s="3">
        <f>IF(B2414="","",SUMIFS('Factory Costs'!$C:$C,'Factory Costs'!$A:$A,"Blades",'Factory Costs'!$B:$B,B2414))</f>
        <v>34</v>
      </c>
    </row>
    <row r="2415" spans="1:3" x14ac:dyDescent="0.25">
      <c r="A2415" s="1" t="s">
        <v>13796</v>
      </c>
      <c r="B2415" s="1" t="s">
        <v>16370</v>
      </c>
      <c r="C2415" s="3">
        <f>IF(B2415="","",SUMIFS('Factory Costs'!$C:$C,'Factory Costs'!$A:$A,"Blades",'Factory Costs'!$B:$B,B2415))</f>
        <v>34</v>
      </c>
    </row>
    <row r="2416" spans="1:3" x14ac:dyDescent="0.25">
      <c r="A2416" s="1" t="s">
        <v>13799</v>
      </c>
      <c r="B2416" s="1" t="s">
        <v>16370</v>
      </c>
      <c r="C2416" s="3">
        <f>IF(B2416="","",SUMIFS('Factory Costs'!$C:$C,'Factory Costs'!$A:$A,"Blades",'Factory Costs'!$B:$B,B2416))</f>
        <v>34</v>
      </c>
    </row>
    <row r="2417" spans="1:3" x14ac:dyDescent="0.25">
      <c r="A2417" s="1" t="s">
        <v>13802</v>
      </c>
      <c r="B2417" s="1" t="s">
        <v>16370</v>
      </c>
      <c r="C2417" s="3">
        <f>IF(B2417="","",SUMIFS('Factory Costs'!$C:$C,'Factory Costs'!$A:$A,"Blades",'Factory Costs'!$B:$B,B2417))</f>
        <v>34</v>
      </c>
    </row>
    <row r="2418" spans="1:3" x14ac:dyDescent="0.25">
      <c r="A2418" s="1" t="s">
        <v>13805</v>
      </c>
      <c r="B2418" s="1" t="s">
        <v>16370</v>
      </c>
      <c r="C2418" s="3">
        <f>IF(B2418="","",SUMIFS('Factory Costs'!$C:$C,'Factory Costs'!$A:$A,"Blades",'Factory Costs'!$B:$B,B2418))</f>
        <v>34</v>
      </c>
    </row>
    <row r="2419" spans="1:3" x14ac:dyDescent="0.25">
      <c r="A2419" s="1" t="s">
        <v>13808</v>
      </c>
      <c r="B2419" s="1" t="s">
        <v>16370</v>
      </c>
      <c r="C2419" s="3">
        <f>IF(B2419="","",SUMIFS('Factory Costs'!$C:$C,'Factory Costs'!$A:$A,"Blades",'Factory Costs'!$B:$B,B2419))</f>
        <v>34</v>
      </c>
    </row>
    <row r="2420" spans="1:3" x14ac:dyDescent="0.25">
      <c r="A2420" s="1" t="s">
        <v>13811</v>
      </c>
      <c r="B2420" s="1" t="s">
        <v>16372</v>
      </c>
      <c r="C2420" s="3">
        <f>IF(B2420="","",SUMIFS('Factory Costs'!$C:$C,'Factory Costs'!$A:$A,"Blades",'Factory Costs'!$B:$B,B2420))</f>
        <v>42</v>
      </c>
    </row>
    <row r="2421" spans="1:3" x14ac:dyDescent="0.25">
      <c r="A2421" s="1" t="s">
        <v>13814</v>
      </c>
      <c r="B2421" s="1" t="s">
        <v>16370</v>
      </c>
      <c r="C2421" s="3">
        <f>IF(B2421="","",SUMIFS('Factory Costs'!$C:$C,'Factory Costs'!$A:$A,"Blades",'Factory Costs'!$B:$B,B2421))</f>
        <v>34</v>
      </c>
    </row>
    <row r="2422" spans="1:3" x14ac:dyDescent="0.25">
      <c r="A2422" s="1" t="s">
        <v>13817</v>
      </c>
      <c r="B2422" s="1" t="s">
        <v>16371</v>
      </c>
      <c r="C2422" s="3">
        <f>IF(B2422="","",SUMIFS('Factory Costs'!$C:$C,'Factory Costs'!$A:$A,"Blades",'Factory Costs'!$B:$B,B2422))</f>
        <v>37</v>
      </c>
    </row>
    <row r="2423" spans="1:3" x14ac:dyDescent="0.25">
      <c r="A2423" s="1" t="s">
        <v>13820</v>
      </c>
      <c r="B2423" s="1" t="s">
        <v>16372</v>
      </c>
      <c r="C2423" s="3">
        <f>IF(B2423="","",SUMIFS('Factory Costs'!$C:$C,'Factory Costs'!$A:$A,"Blades",'Factory Costs'!$B:$B,B2423))</f>
        <v>42</v>
      </c>
    </row>
    <row r="2424" spans="1:3" x14ac:dyDescent="0.25">
      <c r="A2424" s="1" t="s">
        <v>13823</v>
      </c>
      <c r="B2424" s="1" t="s">
        <v>16371</v>
      </c>
      <c r="C2424" s="3">
        <f>IF(B2424="","",SUMIFS('Factory Costs'!$C:$C,'Factory Costs'!$A:$A,"Blades",'Factory Costs'!$B:$B,B2424))</f>
        <v>37</v>
      </c>
    </row>
    <row r="2425" spans="1:3" x14ac:dyDescent="0.25">
      <c r="A2425" s="1" t="s">
        <v>13826</v>
      </c>
      <c r="B2425" s="1" t="s">
        <v>16372</v>
      </c>
      <c r="C2425" s="3">
        <f>IF(B2425="","",SUMIFS('Factory Costs'!$C:$C,'Factory Costs'!$A:$A,"Blades",'Factory Costs'!$B:$B,B2425))</f>
        <v>42</v>
      </c>
    </row>
    <row r="2426" spans="1:3" x14ac:dyDescent="0.25">
      <c r="A2426" s="1" t="s">
        <v>13829</v>
      </c>
      <c r="B2426" s="1" t="s">
        <v>16370</v>
      </c>
      <c r="C2426" s="3">
        <f>IF(B2426="","",SUMIFS('Factory Costs'!$C:$C,'Factory Costs'!$A:$A,"Blades",'Factory Costs'!$B:$B,B2426))</f>
        <v>34</v>
      </c>
    </row>
    <row r="2427" spans="1:3" x14ac:dyDescent="0.25">
      <c r="A2427" s="1" t="s">
        <v>13832</v>
      </c>
      <c r="B2427" s="1" t="s">
        <v>16371</v>
      </c>
      <c r="C2427" s="3">
        <f>IF(B2427="","",SUMIFS('Factory Costs'!$C:$C,'Factory Costs'!$A:$A,"Blades",'Factory Costs'!$B:$B,B2427))</f>
        <v>37</v>
      </c>
    </row>
    <row r="2428" spans="1:3" x14ac:dyDescent="0.25">
      <c r="A2428" s="1" t="s">
        <v>13835</v>
      </c>
      <c r="B2428" s="1" t="s">
        <v>16372</v>
      </c>
      <c r="C2428" s="3">
        <f>IF(B2428="","",SUMIFS('Factory Costs'!$C:$C,'Factory Costs'!$A:$A,"Blades",'Factory Costs'!$B:$B,B2428))</f>
        <v>42</v>
      </c>
    </row>
    <row r="2429" spans="1:3" x14ac:dyDescent="0.25">
      <c r="A2429" s="1" t="s">
        <v>13838</v>
      </c>
      <c r="B2429" s="1" t="s">
        <v>16370</v>
      </c>
      <c r="C2429" s="3">
        <f>IF(B2429="","",SUMIFS('Factory Costs'!$C:$C,'Factory Costs'!$A:$A,"Blades",'Factory Costs'!$B:$B,B2429))</f>
        <v>34</v>
      </c>
    </row>
    <row r="2430" spans="1:3" x14ac:dyDescent="0.25">
      <c r="A2430" s="1" t="s">
        <v>13841</v>
      </c>
      <c r="B2430" s="1" t="s">
        <v>16372</v>
      </c>
      <c r="C2430" s="3">
        <f>IF(B2430="","",SUMIFS('Factory Costs'!$C:$C,'Factory Costs'!$A:$A,"Blades",'Factory Costs'!$B:$B,B2430))</f>
        <v>42</v>
      </c>
    </row>
    <row r="2431" spans="1:3" x14ac:dyDescent="0.25">
      <c r="A2431" s="1" t="s">
        <v>13844</v>
      </c>
      <c r="B2431" s="1" t="s">
        <v>16371</v>
      </c>
      <c r="C2431" s="3">
        <f>IF(B2431="","",SUMIFS('Factory Costs'!$C:$C,'Factory Costs'!$A:$A,"Blades",'Factory Costs'!$B:$B,B2431))</f>
        <v>37</v>
      </c>
    </row>
    <row r="2432" spans="1:3" x14ac:dyDescent="0.25">
      <c r="A2432" s="1" t="s">
        <v>13847</v>
      </c>
      <c r="B2432" s="1" t="s">
        <v>16371</v>
      </c>
      <c r="C2432" s="3">
        <f>IF(B2432="","",SUMIFS('Factory Costs'!$C:$C,'Factory Costs'!$A:$A,"Blades",'Factory Costs'!$B:$B,B2432))</f>
        <v>37</v>
      </c>
    </row>
    <row r="2433" spans="1:3" x14ac:dyDescent="0.25">
      <c r="A2433" s="1" t="s">
        <v>13850</v>
      </c>
      <c r="B2433" s="1" t="s">
        <v>16370</v>
      </c>
      <c r="C2433" s="3">
        <f>IF(B2433="","",SUMIFS('Factory Costs'!$C:$C,'Factory Costs'!$A:$A,"Blades",'Factory Costs'!$B:$B,B2433))</f>
        <v>34</v>
      </c>
    </row>
    <row r="2434" spans="1:3" x14ac:dyDescent="0.25">
      <c r="A2434" s="1" t="s">
        <v>13853</v>
      </c>
      <c r="B2434" s="1" t="s">
        <v>16370</v>
      </c>
      <c r="C2434" s="3">
        <f>IF(B2434="","",SUMIFS('Factory Costs'!$C:$C,'Factory Costs'!$A:$A,"Blades",'Factory Costs'!$B:$B,B2434))</f>
        <v>34</v>
      </c>
    </row>
    <row r="2435" spans="1:3" x14ac:dyDescent="0.25">
      <c r="A2435" s="1" t="s">
        <v>13856</v>
      </c>
      <c r="B2435" s="1" t="s">
        <v>16370</v>
      </c>
      <c r="C2435" s="3">
        <f>IF(B2435="","",SUMIFS('Factory Costs'!$C:$C,'Factory Costs'!$A:$A,"Blades",'Factory Costs'!$B:$B,B2435))</f>
        <v>34</v>
      </c>
    </row>
    <row r="2436" spans="1:3" x14ac:dyDescent="0.25">
      <c r="A2436" s="1" t="s">
        <v>13859</v>
      </c>
      <c r="B2436" s="1" t="s">
        <v>16371</v>
      </c>
      <c r="C2436" s="3">
        <f>IF(B2436="","",SUMIFS('Factory Costs'!$C:$C,'Factory Costs'!$A:$A,"Blades",'Factory Costs'!$B:$B,B2436))</f>
        <v>37</v>
      </c>
    </row>
    <row r="2437" spans="1:3" x14ac:dyDescent="0.25">
      <c r="A2437" s="1" t="s">
        <v>13862</v>
      </c>
      <c r="B2437" s="1" t="s">
        <v>16370</v>
      </c>
      <c r="C2437" s="3">
        <f>IF(B2437="","",SUMIFS('Factory Costs'!$C:$C,'Factory Costs'!$A:$A,"Blades",'Factory Costs'!$B:$B,B2437))</f>
        <v>34</v>
      </c>
    </row>
    <row r="2438" spans="1:3" x14ac:dyDescent="0.25">
      <c r="A2438" s="1" t="s">
        <v>13865</v>
      </c>
      <c r="B2438" s="1" t="s">
        <v>16371</v>
      </c>
      <c r="C2438" s="3">
        <f>IF(B2438="","",SUMIFS('Factory Costs'!$C:$C,'Factory Costs'!$A:$A,"Blades",'Factory Costs'!$B:$B,B2438))</f>
        <v>37</v>
      </c>
    </row>
    <row r="2439" spans="1:3" x14ac:dyDescent="0.25">
      <c r="A2439" s="1" t="s">
        <v>13868</v>
      </c>
      <c r="B2439" s="1" t="s">
        <v>16372</v>
      </c>
      <c r="C2439" s="3">
        <f>IF(B2439="","",SUMIFS('Factory Costs'!$C:$C,'Factory Costs'!$A:$A,"Blades",'Factory Costs'!$B:$B,B2439))</f>
        <v>42</v>
      </c>
    </row>
    <row r="2440" spans="1:3" x14ac:dyDescent="0.25">
      <c r="A2440" s="1" t="s">
        <v>13871</v>
      </c>
      <c r="B2440" s="1" t="s">
        <v>16372</v>
      </c>
      <c r="C2440" s="3">
        <f>IF(B2440="","",SUMIFS('Factory Costs'!$C:$C,'Factory Costs'!$A:$A,"Blades",'Factory Costs'!$B:$B,B2440))</f>
        <v>42</v>
      </c>
    </row>
    <row r="2441" spans="1:3" x14ac:dyDescent="0.25">
      <c r="A2441" s="1" t="s">
        <v>13874</v>
      </c>
      <c r="B2441" s="1" t="s">
        <v>16372</v>
      </c>
      <c r="C2441" s="3">
        <f>IF(B2441="","",SUMIFS('Factory Costs'!$C:$C,'Factory Costs'!$A:$A,"Blades",'Factory Costs'!$B:$B,B2441))</f>
        <v>42</v>
      </c>
    </row>
    <row r="2442" spans="1:3" x14ac:dyDescent="0.25">
      <c r="A2442" s="1" t="s">
        <v>13877</v>
      </c>
      <c r="B2442" s="1" t="s">
        <v>16371</v>
      </c>
      <c r="C2442" s="3">
        <f>IF(B2442="","",SUMIFS('Factory Costs'!$C:$C,'Factory Costs'!$A:$A,"Blades",'Factory Costs'!$B:$B,B2442))</f>
        <v>37</v>
      </c>
    </row>
    <row r="2443" spans="1:3" x14ac:dyDescent="0.25">
      <c r="A2443" s="1" t="s">
        <v>13880</v>
      </c>
      <c r="B2443" s="1" t="s">
        <v>16372</v>
      </c>
      <c r="C2443" s="3">
        <f>IF(B2443="","",SUMIFS('Factory Costs'!$C:$C,'Factory Costs'!$A:$A,"Blades",'Factory Costs'!$B:$B,B2443))</f>
        <v>42</v>
      </c>
    </row>
    <row r="2444" spans="1:3" x14ac:dyDescent="0.25">
      <c r="A2444" s="1" t="s">
        <v>13883</v>
      </c>
      <c r="B2444" s="1" t="s">
        <v>16372</v>
      </c>
      <c r="C2444" s="3">
        <f>IF(B2444="","",SUMIFS('Factory Costs'!$C:$C,'Factory Costs'!$A:$A,"Blades",'Factory Costs'!$B:$B,B2444))</f>
        <v>42</v>
      </c>
    </row>
    <row r="2445" spans="1:3" x14ac:dyDescent="0.25">
      <c r="A2445" s="1" t="s">
        <v>13886</v>
      </c>
      <c r="B2445" s="1" t="s">
        <v>16370</v>
      </c>
      <c r="C2445" s="3">
        <f>IF(B2445="","",SUMIFS('Factory Costs'!$C:$C,'Factory Costs'!$A:$A,"Blades",'Factory Costs'!$B:$B,B2445))</f>
        <v>34</v>
      </c>
    </row>
    <row r="2446" spans="1:3" x14ac:dyDescent="0.25">
      <c r="A2446" s="1" t="s">
        <v>13889</v>
      </c>
      <c r="B2446" s="1" t="s">
        <v>16371</v>
      </c>
      <c r="C2446" s="3">
        <f>IF(B2446="","",SUMIFS('Factory Costs'!$C:$C,'Factory Costs'!$A:$A,"Blades",'Factory Costs'!$B:$B,B2446))</f>
        <v>37</v>
      </c>
    </row>
    <row r="2447" spans="1:3" x14ac:dyDescent="0.25">
      <c r="A2447" s="1" t="s">
        <v>13892</v>
      </c>
      <c r="B2447" s="1" t="s">
        <v>16370</v>
      </c>
      <c r="C2447" s="3">
        <f>IF(B2447="","",SUMIFS('Factory Costs'!$C:$C,'Factory Costs'!$A:$A,"Blades",'Factory Costs'!$B:$B,B2447))</f>
        <v>34</v>
      </c>
    </row>
    <row r="2448" spans="1:3" x14ac:dyDescent="0.25">
      <c r="A2448" s="1" t="s">
        <v>13895</v>
      </c>
      <c r="B2448" s="1" t="s">
        <v>16371</v>
      </c>
      <c r="C2448" s="3">
        <f>IF(B2448="","",SUMIFS('Factory Costs'!$C:$C,'Factory Costs'!$A:$A,"Blades",'Factory Costs'!$B:$B,B2448))</f>
        <v>37</v>
      </c>
    </row>
    <row r="2449" spans="1:3" x14ac:dyDescent="0.25">
      <c r="A2449" s="1" t="s">
        <v>13898</v>
      </c>
      <c r="B2449" s="1" t="s">
        <v>16372</v>
      </c>
      <c r="C2449" s="3">
        <f>IF(B2449="","",SUMIFS('Factory Costs'!$C:$C,'Factory Costs'!$A:$A,"Blades",'Factory Costs'!$B:$B,B2449))</f>
        <v>42</v>
      </c>
    </row>
    <row r="2450" spans="1:3" x14ac:dyDescent="0.25">
      <c r="A2450" s="1" t="s">
        <v>13901</v>
      </c>
      <c r="B2450" s="1" t="s">
        <v>16371</v>
      </c>
      <c r="C2450" s="3">
        <f>IF(B2450="","",SUMIFS('Factory Costs'!$C:$C,'Factory Costs'!$A:$A,"Blades",'Factory Costs'!$B:$B,B2450))</f>
        <v>37</v>
      </c>
    </row>
    <row r="2451" spans="1:3" x14ac:dyDescent="0.25">
      <c r="A2451" s="1" t="s">
        <v>13904</v>
      </c>
      <c r="B2451" s="1" t="s">
        <v>16371</v>
      </c>
      <c r="C2451" s="3">
        <f>IF(B2451="","",SUMIFS('Factory Costs'!$C:$C,'Factory Costs'!$A:$A,"Blades",'Factory Costs'!$B:$B,B2451))</f>
        <v>37</v>
      </c>
    </row>
    <row r="2452" spans="1:3" x14ac:dyDescent="0.25">
      <c r="A2452" s="1" t="s">
        <v>13907</v>
      </c>
      <c r="B2452" s="1" t="s">
        <v>16372</v>
      </c>
      <c r="C2452" s="3">
        <f>IF(B2452="","",SUMIFS('Factory Costs'!$C:$C,'Factory Costs'!$A:$A,"Blades",'Factory Costs'!$B:$B,B2452))</f>
        <v>42</v>
      </c>
    </row>
    <row r="2453" spans="1:3" x14ac:dyDescent="0.25">
      <c r="A2453" s="1" t="s">
        <v>13910</v>
      </c>
      <c r="B2453" s="1" t="s">
        <v>16372</v>
      </c>
      <c r="C2453" s="3">
        <f>IF(B2453="","",SUMIFS('Factory Costs'!$C:$C,'Factory Costs'!$A:$A,"Blades",'Factory Costs'!$B:$B,B2453))</f>
        <v>42</v>
      </c>
    </row>
    <row r="2454" spans="1:3" x14ac:dyDescent="0.25">
      <c r="A2454" s="1" t="s">
        <v>13913</v>
      </c>
      <c r="B2454" s="1" t="s">
        <v>16371</v>
      </c>
      <c r="C2454" s="3">
        <f>IF(B2454="","",SUMIFS('Factory Costs'!$C:$C,'Factory Costs'!$A:$A,"Blades",'Factory Costs'!$B:$B,B2454))</f>
        <v>37</v>
      </c>
    </row>
    <row r="2455" spans="1:3" x14ac:dyDescent="0.25">
      <c r="A2455" s="1" t="s">
        <v>13916</v>
      </c>
      <c r="B2455" s="1" t="s">
        <v>16370</v>
      </c>
      <c r="C2455" s="3">
        <f>IF(B2455="","",SUMIFS('Factory Costs'!$C:$C,'Factory Costs'!$A:$A,"Blades",'Factory Costs'!$B:$B,B2455))</f>
        <v>34</v>
      </c>
    </row>
    <row r="2456" spans="1:3" x14ac:dyDescent="0.25">
      <c r="A2456" s="1" t="s">
        <v>13919</v>
      </c>
      <c r="B2456" s="1" t="s">
        <v>16371</v>
      </c>
      <c r="C2456" s="3">
        <f>IF(B2456="","",SUMIFS('Factory Costs'!$C:$C,'Factory Costs'!$A:$A,"Blades",'Factory Costs'!$B:$B,B2456))</f>
        <v>37</v>
      </c>
    </row>
    <row r="2457" spans="1:3" x14ac:dyDescent="0.25">
      <c r="A2457" s="1" t="s">
        <v>13922</v>
      </c>
      <c r="B2457" s="1" t="s">
        <v>16370</v>
      </c>
      <c r="C2457" s="3">
        <f>IF(B2457="","",SUMIFS('Factory Costs'!$C:$C,'Factory Costs'!$A:$A,"Blades",'Factory Costs'!$B:$B,B2457))</f>
        <v>34</v>
      </c>
    </row>
    <row r="2458" spans="1:3" x14ac:dyDescent="0.25">
      <c r="A2458" s="1" t="s">
        <v>13925</v>
      </c>
      <c r="B2458" s="1" t="s">
        <v>16370</v>
      </c>
      <c r="C2458" s="3">
        <f>IF(B2458="","",SUMIFS('Factory Costs'!$C:$C,'Factory Costs'!$A:$A,"Blades",'Factory Costs'!$B:$B,B2458))</f>
        <v>34</v>
      </c>
    </row>
    <row r="2459" spans="1:3" x14ac:dyDescent="0.25">
      <c r="A2459" s="1" t="s">
        <v>13928</v>
      </c>
      <c r="B2459" s="1" t="s">
        <v>16371</v>
      </c>
      <c r="C2459" s="3">
        <f>IF(B2459="","",SUMIFS('Factory Costs'!$C:$C,'Factory Costs'!$A:$A,"Blades",'Factory Costs'!$B:$B,B2459))</f>
        <v>37</v>
      </c>
    </row>
    <row r="2460" spans="1:3" x14ac:dyDescent="0.25">
      <c r="A2460" s="1" t="s">
        <v>13931</v>
      </c>
      <c r="B2460" s="1" t="s">
        <v>16372</v>
      </c>
      <c r="C2460" s="3">
        <f>IF(B2460="","",SUMIFS('Factory Costs'!$C:$C,'Factory Costs'!$A:$A,"Blades",'Factory Costs'!$B:$B,B2460))</f>
        <v>42</v>
      </c>
    </row>
    <row r="2461" spans="1:3" x14ac:dyDescent="0.25">
      <c r="A2461" s="1" t="s">
        <v>13934</v>
      </c>
      <c r="B2461" s="1" t="s">
        <v>16371</v>
      </c>
      <c r="C2461" s="3">
        <f>IF(B2461="","",SUMIFS('Factory Costs'!$C:$C,'Factory Costs'!$A:$A,"Blades",'Factory Costs'!$B:$B,B2461))</f>
        <v>37</v>
      </c>
    </row>
    <row r="2462" spans="1:3" x14ac:dyDescent="0.25">
      <c r="A2462" s="1" t="s">
        <v>13937</v>
      </c>
      <c r="B2462" s="1" t="s">
        <v>16371</v>
      </c>
      <c r="C2462" s="3">
        <f>IF(B2462="","",SUMIFS('Factory Costs'!$C:$C,'Factory Costs'!$A:$A,"Blades",'Factory Costs'!$B:$B,B2462))</f>
        <v>37</v>
      </c>
    </row>
    <row r="2463" spans="1:3" x14ac:dyDescent="0.25">
      <c r="A2463" s="1" t="s">
        <v>13940</v>
      </c>
      <c r="B2463" s="1" t="s">
        <v>16371</v>
      </c>
      <c r="C2463" s="3">
        <f>IF(B2463="","",SUMIFS('Factory Costs'!$C:$C,'Factory Costs'!$A:$A,"Blades",'Factory Costs'!$B:$B,B2463))</f>
        <v>37</v>
      </c>
    </row>
    <row r="2464" spans="1:3" x14ac:dyDescent="0.25">
      <c r="A2464" s="1" t="s">
        <v>13943</v>
      </c>
      <c r="B2464" s="1" t="s">
        <v>16371</v>
      </c>
      <c r="C2464" s="3">
        <f>IF(B2464="","",SUMIFS('Factory Costs'!$C:$C,'Factory Costs'!$A:$A,"Blades",'Factory Costs'!$B:$B,B2464))</f>
        <v>37</v>
      </c>
    </row>
    <row r="2465" spans="1:3" x14ac:dyDescent="0.25">
      <c r="A2465" s="1" t="s">
        <v>13946</v>
      </c>
      <c r="B2465" s="1" t="s">
        <v>16370</v>
      </c>
      <c r="C2465" s="3">
        <f>IF(B2465="","",SUMIFS('Factory Costs'!$C:$C,'Factory Costs'!$A:$A,"Blades",'Factory Costs'!$B:$B,B2465))</f>
        <v>34</v>
      </c>
    </row>
    <row r="2466" spans="1:3" x14ac:dyDescent="0.25">
      <c r="A2466" s="1" t="s">
        <v>13949</v>
      </c>
      <c r="B2466" s="1" t="s">
        <v>16371</v>
      </c>
      <c r="C2466" s="3">
        <f>IF(B2466="","",SUMIFS('Factory Costs'!$C:$C,'Factory Costs'!$A:$A,"Blades",'Factory Costs'!$B:$B,B2466))</f>
        <v>37</v>
      </c>
    </row>
    <row r="2467" spans="1:3" x14ac:dyDescent="0.25">
      <c r="A2467" s="1" t="s">
        <v>13952</v>
      </c>
      <c r="B2467" s="1" t="s">
        <v>16370</v>
      </c>
      <c r="C2467" s="3">
        <f>IF(B2467="","",SUMIFS('Factory Costs'!$C:$C,'Factory Costs'!$A:$A,"Blades",'Factory Costs'!$B:$B,B2467))</f>
        <v>34</v>
      </c>
    </row>
    <row r="2468" spans="1:3" x14ac:dyDescent="0.25">
      <c r="A2468" s="1" t="s">
        <v>13955</v>
      </c>
      <c r="B2468" s="1" t="s">
        <v>16371</v>
      </c>
      <c r="C2468" s="3">
        <f>IF(B2468="","",SUMIFS('Factory Costs'!$C:$C,'Factory Costs'!$A:$A,"Blades",'Factory Costs'!$B:$B,B2468))</f>
        <v>37</v>
      </c>
    </row>
    <row r="2469" spans="1:3" x14ac:dyDescent="0.25">
      <c r="A2469" s="1" t="s">
        <v>13958</v>
      </c>
      <c r="B2469" s="1" t="s">
        <v>16370</v>
      </c>
      <c r="C2469" s="3">
        <f>IF(B2469="","",SUMIFS('Factory Costs'!$C:$C,'Factory Costs'!$A:$A,"Blades",'Factory Costs'!$B:$B,B2469))</f>
        <v>34</v>
      </c>
    </row>
    <row r="2470" spans="1:3" x14ac:dyDescent="0.25">
      <c r="A2470" s="1" t="s">
        <v>13961</v>
      </c>
      <c r="B2470" s="1" t="s">
        <v>16370</v>
      </c>
      <c r="C2470" s="3">
        <f>IF(B2470="","",SUMIFS('Factory Costs'!$C:$C,'Factory Costs'!$A:$A,"Blades",'Factory Costs'!$B:$B,B2470))</f>
        <v>34</v>
      </c>
    </row>
    <row r="2471" spans="1:3" x14ac:dyDescent="0.25">
      <c r="A2471" s="1" t="s">
        <v>13964</v>
      </c>
      <c r="B2471" s="1" t="s">
        <v>16370</v>
      </c>
      <c r="C2471" s="3">
        <f>IF(B2471="","",SUMIFS('Factory Costs'!$C:$C,'Factory Costs'!$A:$A,"Blades",'Factory Costs'!$B:$B,B2471))</f>
        <v>34</v>
      </c>
    </row>
    <row r="2472" spans="1:3" x14ac:dyDescent="0.25">
      <c r="A2472" s="1" t="s">
        <v>13967</v>
      </c>
      <c r="B2472" s="1" t="s">
        <v>16370</v>
      </c>
      <c r="C2472" s="3">
        <f>IF(B2472="","",SUMIFS('Factory Costs'!$C:$C,'Factory Costs'!$A:$A,"Blades",'Factory Costs'!$B:$B,B2472))</f>
        <v>34</v>
      </c>
    </row>
    <row r="2473" spans="1:3" x14ac:dyDescent="0.25">
      <c r="A2473" s="1" t="s">
        <v>13970</v>
      </c>
      <c r="B2473" s="1" t="s">
        <v>16370</v>
      </c>
      <c r="C2473" s="3">
        <f>IF(B2473="","",SUMIFS('Factory Costs'!$C:$C,'Factory Costs'!$A:$A,"Blades",'Factory Costs'!$B:$B,B2473))</f>
        <v>34</v>
      </c>
    </row>
    <row r="2474" spans="1:3" x14ac:dyDescent="0.25">
      <c r="A2474" s="1" t="s">
        <v>13973</v>
      </c>
      <c r="B2474" s="1" t="s">
        <v>16370</v>
      </c>
      <c r="C2474" s="3">
        <f>IF(B2474="","",SUMIFS('Factory Costs'!$C:$C,'Factory Costs'!$A:$A,"Blades",'Factory Costs'!$B:$B,B2474))</f>
        <v>34</v>
      </c>
    </row>
    <row r="2475" spans="1:3" x14ac:dyDescent="0.25">
      <c r="A2475" s="1" t="s">
        <v>13976</v>
      </c>
      <c r="B2475" s="1" t="s">
        <v>16372</v>
      </c>
      <c r="C2475" s="3">
        <f>IF(B2475="","",SUMIFS('Factory Costs'!$C:$C,'Factory Costs'!$A:$A,"Blades",'Factory Costs'!$B:$B,B2475))</f>
        <v>42</v>
      </c>
    </row>
    <row r="2476" spans="1:3" x14ac:dyDescent="0.25">
      <c r="A2476" s="1" t="s">
        <v>13979</v>
      </c>
      <c r="B2476" s="1" t="s">
        <v>16372</v>
      </c>
      <c r="C2476" s="3">
        <f>IF(B2476="","",SUMIFS('Factory Costs'!$C:$C,'Factory Costs'!$A:$A,"Blades",'Factory Costs'!$B:$B,B2476))</f>
        <v>42</v>
      </c>
    </row>
    <row r="2477" spans="1:3" x14ac:dyDescent="0.25">
      <c r="A2477" s="1" t="s">
        <v>13982</v>
      </c>
      <c r="B2477" s="1" t="s">
        <v>16371</v>
      </c>
      <c r="C2477" s="3">
        <f>IF(B2477="","",SUMIFS('Factory Costs'!$C:$C,'Factory Costs'!$A:$A,"Blades",'Factory Costs'!$B:$B,B2477))</f>
        <v>37</v>
      </c>
    </row>
    <row r="2478" spans="1:3" x14ac:dyDescent="0.25">
      <c r="A2478" s="1" t="s">
        <v>13985</v>
      </c>
      <c r="B2478" s="1" t="s">
        <v>16370</v>
      </c>
      <c r="C2478" s="3">
        <f>IF(B2478="","",SUMIFS('Factory Costs'!$C:$C,'Factory Costs'!$A:$A,"Blades",'Factory Costs'!$B:$B,B2478))</f>
        <v>34</v>
      </c>
    </row>
    <row r="2479" spans="1:3" x14ac:dyDescent="0.25">
      <c r="A2479" s="1" t="s">
        <v>13988</v>
      </c>
      <c r="B2479" s="1" t="s">
        <v>16370</v>
      </c>
      <c r="C2479" s="3">
        <f>IF(B2479="","",SUMIFS('Factory Costs'!$C:$C,'Factory Costs'!$A:$A,"Blades",'Factory Costs'!$B:$B,B2479))</f>
        <v>34</v>
      </c>
    </row>
    <row r="2480" spans="1:3" x14ac:dyDescent="0.25">
      <c r="A2480" s="1" t="s">
        <v>13991</v>
      </c>
      <c r="B2480" s="1" t="s">
        <v>16370</v>
      </c>
      <c r="C2480" s="3">
        <f>IF(B2480="","",SUMIFS('Factory Costs'!$C:$C,'Factory Costs'!$A:$A,"Blades",'Factory Costs'!$B:$B,B2480))</f>
        <v>34</v>
      </c>
    </row>
    <row r="2481" spans="1:3" x14ac:dyDescent="0.25">
      <c r="A2481" s="1" t="s">
        <v>13994</v>
      </c>
      <c r="B2481" s="1" t="s">
        <v>16371</v>
      </c>
      <c r="C2481" s="3">
        <f>IF(B2481="","",SUMIFS('Factory Costs'!$C:$C,'Factory Costs'!$A:$A,"Blades",'Factory Costs'!$B:$B,B2481))</f>
        <v>37</v>
      </c>
    </row>
    <row r="2482" spans="1:3" x14ac:dyDescent="0.25">
      <c r="A2482" s="1" t="s">
        <v>13997</v>
      </c>
      <c r="B2482" s="1" t="s">
        <v>16371</v>
      </c>
      <c r="C2482" s="3">
        <f>IF(B2482="","",SUMIFS('Factory Costs'!$C:$C,'Factory Costs'!$A:$A,"Blades",'Factory Costs'!$B:$B,B2482))</f>
        <v>37</v>
      </c>
    </row>
    <row r="2483" spans="1:3" x14ac:dyDescent="0.25">
      <c r="A2483" s="1" t="s">
        <v>14000</v>
      </c>
      <c r="B2483" s="1" t="s">
        <v>16372</v>
      </c>
      <c r="C2483" s="3">
        <f>IF(B2483="","",SUMIFS('Factory Costs'!$C:$C,'Factory Costs'!$A:$A,"Blades",'Factory Costs'!$B:$B,B2483))</f>
        <v>42</v>
      </c>
    </row>
    <row r="2484" spans="1:3" x14ac:dyDescent="0.25">
      <c r="A2484" s="1" t="s">
        <v>14003</v>
      </c>
      <c r="B2484" s="1" t="s">
        <v>16371</v>
      </c>
      <c r="C2484" s="3">
        <f>IF(B2484="","",SUMIFS('Factory Costs'!$C:$C,'Factory Costs'!$A:$A,"Blades",'Factory Costs'!$B:$B,B2484))</f>
        <v>37</v>
      </c>
    </row>
    <row r="2485" spans="1:3" x14ac:dyDescent="0.25">
      <c r="A2485" s="1" t="s">
        <v>14006</v>
      </c>
      <c r="B2485" s="1" t="s">
        <v>16371</v>
      </c>
      <c r="C2485" s="3">
        <f>IF(B2485="","",SUMIFS('Factory Costs'!$C:$C,'Factory Costs'!$A:$A,"Blades",'Factory Costs'!$B:$B,B2485))</f>
        <v>37</v>
      </c>
    </row>
    <row r="2486" spans="1:3" x14ac:dyDescent="0.25">
      <c r="A2486" s="1" t="s">
        <v>14009</v>
      </c>
      <c r="B2486" s="1" t="s">
        <v>16372</v>
      </c>
      <c r="C2486" s="3">
        <f>IF(B2486="","",SUMIFS('Factory Costs'!$C:$C,'Factory Costs'!$A:$A,"Blades",'Factory Costs'!$B:$B,B2486))</f>
        <v>42</v>
      </c>
    </row>
    <row r="2487" spans="1:3" x14ac:dyDescent="0.25">
      <c r="A2487" s="1" t="s">
        <v>14012</v>
      </c>
      <c r="B2487" s="1" t="s">
        <v>16371</v>
      </c>
      <c r="C2487" s="3">
        <f>IF(B2487="","",SUMIFS('Factory Costs'!$C:$C,'Factory Costs'!$A:$A,"Blades",'Factory Costs'!$B:$B,B2487))</f>
        <v>37</v>
      </c>
    </row>
    <row r="2488" spans="1:3" x14ac:dyDescent="0.25">
      <c r="A2488" s="1" t="s">
        <v>14015</v>
      </c>
      <c r="B2488" s="1" t="s">
        <v>16370</v>
      </c>
      <c r="C2488" s="3">
        <f>IF(B2488="","",SUMIFS('Factory Costs'!$C:$C,'Factory Costs'!$A:$A,"Blades",'Factory Costs'!$B:$B,B2488))</f>
        <v>34</v>
      </c>
    </row>
    <row r="2489" spans="1:3" x14ac:dyDescent="0.25">
      <c r="A2489" s="1" t="s">
        <v>14018</v>
      </c>
      <c r="B2489" s="1" t="s">
        <v>16370</v>
      </c>
      <c r="C2489" s="3">
        <f>IF(B2489="","",SUMIFS('Factory Costs'!$C:$C,'Factory Costs'!$A:$A,"Blades",'Factory Costs'!$B:$B,B2489))</f>
        <v>34</v>
      </c>
    </row>
    <row r="2490" spans="1:3" x14ac:dyDescent="0.25">
      <c r="A2490" s="1" t="s">
        <v>14021</v>
      </c>
      <c r="B2490" s="1" t="s">
        <v>16371</v>
      </c>
      <c r="C2490" s="3">
        <f>IF(B2490="","",SUMIFS('Factory Costs'!$C:$C,'Factory Costs'!$A:$A,"Blades",'Factory Costs'!$B:$B,B2490))</f>
        <v>37</v>
      </c>
    </row>
    <row r="2491" spans="1:3" x14ac:dyDescent="0.25">
      <c r="A2491" s="1" t="s">
        <v>14024</v>
      </c>
      <c r="B2491" s="1" t="s">
        <v>16372</v>
      </c>
      <c r="C2491" s="3">
        <f>IF(B2491="","",SUMIFS('Factory Costs'!$C:$C,'Factory Costs'!$A:$A,"Blades",'Factory Costs'!$B:$B,B2491))</f>
        <v>42</v>
      </c>
    </row>
    <row r="2492" spans="1:3" x14ac:dyDescent="0.25">
      <c r="A2492" s="1" t="s">
        <v>14027</v>
      </c>
      <c r="B2492" s="1" t="s">
        <v>16372</v>
      </c>
      <c r="C2492" s="3">
        <f>IF(B2492="","",SUMIFS('Factory Costs'!$C:$C,'Factory Costs'!$A:$A,"Blades",'Factory Costs'!$B:$B,B2492))</f>
        <v>42</v>
      </c>
    </row>
    <row r="2493" spans="1:3" x14ac:dyDescent="0.25">
      <c r="A2493" s="1" t="s">
        <v>14030</v>
      </c>
      <c r="B2493" s="1" t="s">
        <v>16370</v>
      </c>
      <c r="C2493" s="3">
        <f>IF(B2493="","",SUMIFS('Factory Costs'!$C:$C,'Factory Costs'!$A:$A,"Blades",'Factory Costs'!$B:$B,B2493))</f>
        <v>34</v>
      </c>
    </row>
    <row r="2494" spans="1:3" x14ac:dyDescent="0.25">
      <c r="A2494" s="1" t="s">
        <v>14033</v>
      </c>
      <c r="B2494" s="1" t="s">
        <v>16370</v>
      </c>
      <c r="C2494" s="3">
        <f>IF(B2494="","",SUMIFS('Factory Costs'!$C:$C,'Factory Costs'!$A:$A,"Blades",'Factory Costs'!$B:$B,B2494))</f>
        <v>34</v>
      </c>
    </row>
    <row r="2495" spans="1:3" x14ac:dyDescent="0.25">
      <c r="A2495" s="1" t="s">
        <v>14036</v>
      </c>
      <c r="B2495" s="1" t="s">
        <v>16370</v>
      </c>
      <c r="C2495" s="3">
        <f>IF(B2495="","",SUMIFS('Factory Costs'!$C:$C,'Factory Costs'!$A:$A,"Blades",'Factory Costs'!$B:$B,B2495))</f>
        <v>34</v>
      </c>
    </row>
    <row r="2496" spans="1:3" x14ac:dyDescent="0.25">
      <c r="A2496" s="1" t="s">
        <v>14039</v>
      </c>
      <c r="B2496" s="1" t="s">
        <v>16370</v>
      </c>
      <c r="C2496" s="3">
        <f>IF(B2496="","",SUMIFS('Factory Costs'!$C:$C,'Factory Costs'!$A:$A,"Blades",'Factory Costs'!$B:$B,B2496))</f>
        <v>34</v>
      </c>
    </row>
    <row r="2497" spans="1:3" x14ac:dyDescent="0.25">
      <c r="A2497" s="1" t="s">
        <v>14042</v>
      </c>
      <c r="B2497" s="1" t="s">
        <v>16370</v>
      </c>
      <c r="C2497" s="3">
        <f>IF(B2497="","",SUMIFS('Factory Costs'!$C:$C,'Factory Costs'!$A:$A,"Blades",'Factory Costs'!$B:$B,B2497))</f>
        <v>34</v>
      </c>
    </row>
    <row r="2498" spans="1:3" x14ac:dyDescent="0.25">
      <c r="A2498" s="1" t="s">
        <v>14045</v>
      </c>
      <c r="B2498" s="1" t="s">
        <v>16370</v>
      </c>
      <c r="C2498" s="3">
        <f>IF(B2498="","",SUMIFS('Factory Costs'!$C:$C,'Factory Costs'!$A:$A,"Blades",'Factory Costs'!$B:$B,B2498))</f>
        <v>34</v>
      </c>
    </row>
    <row r="2499" spans="1:3" x14ac:dyDescent="0.25">
      <c r="A2499" s="1" t="s">
        <v>14048</v>
      </c>
      <c r="B2499" s="1" t="s">
        <v>16371</v>
      </c>
      <c r="C2499" s="3">
        <f>IF(B2499="","",SUMIFS('Factory Costs'!$C:$C,'Factory Costs'!$A:$A,"Blades",'Factory Costs'!$B:$B,B2499))</f>
        <v>37</v>
      </c>
    </row>
    <row r="2500" spans="1:3" x14ac:dyDescent="0.25">
      <c r="A2500" s="1" t="s">
        <v>14051</v>
      </c>
      <c r="B2500" s="1" t="s">
        <v>16371</v>
      </c>
      <c r="C2500" s="3">
        <f>IF(B2500="","",SUMIFS('Factory Costs'!$C:$C,'Factory Costs'!$A:$A,"Blades",'Factory Costs'!$B:$B,B2500))</f>
        <v>37</v>
      </c>
    </row>
    <row r="2501" spans="1:3" x14ac:dyDescent="0.25">
      <c r="A2501" s="1" t="s">
        <v>14054</v>
      </c>
      <c r="B2501" s="1" t="s">
        <v>16372</v>
      </c>
      <c r="C2501" s="3">
        <f>IF(B2501="","",SUMIFS('Factory Costs'!$C:$C,'Factory Costs'!$A:$A,"Blades",'Factory Costs'!$B:$B,B2501))</f>
        <v>42</v>
      </c>
    </row>
    <row r="2502" spans="1:3" x14ac:dyDescent="0.25">
      <c r="A2502" s="1" t="s">
        <v>14057</v>
      </c>
      <c r="B2502" s="1" t="s">
        <v>16371</v>
      </c>
      <c r="C2502" s="3">
        <f>IF(B2502="","",SUMIFS('Factory Costs'!$C:$C,'Factory Costs'!$A:$A,"Blades",'Factory Costs'!$B:$B,B2502))</f>
        <v>37</v>
      </c>
    </row>
    <row r="2503" spans="1:3" x14ac:dyDescent="0.25">
      <c r="A2503" s="1" t="s">
        <v>14060</v>
      </c>
      <c r="B2503" s="1" t="s">
        <v>16370</v>
      </c>
      <c r="C2503" s="3">
        <f>IF(B2503="","",SUMIFS('Factory Costs'!$C:$C,'Factory Costs'!$A:$A,"Blades",'Factory Costs'!$B:$B,B2503))</f>
        <v>34</v>
      </c>
    </row>
    <row r="2504" spans="1:3" x14ac:dyDescent="0.25">
      <c r="A2504" s="1" t="s">
        <v>14063</v>
      </c>
      <c r="B2504" s="1" t="s">
        <v>16371</v>
      </c>
      <c r="C2504" s="3">
        <f>IF(B2504="","",SUMIFS('Factory Costs'!$C:$C,'Factory Costs'!$A:$A,"Blades",'Factory Costs'!$B:$B,B2504))</f>
        <v>37</v>
      </c>
    </row>
    <row r="2505" spans="1:3" x14ac:dyDescent="0.25">
      <c r="A2505" s="1" t="s">
        <v>14066</v>
      </c>
      <c r="B2505" s="1" t="s">
        <v>16370</v>
      </c>
      <c r="C2505" s="3">
        <f>IF(B2505="","",SUMIFS('Factory Costs'!$C:$C,'Factory Costs'!$A:$A,"Blades",'Factory Costs'!$B:$B,B2505))</f>
        <v>34</v>
      </c>
    </row>
    <row r="2506" spans="1:3" x14ac:dyDescent="0.25">
      <c r="A2506" s="1" t="s">
        <v>14069</v>
      </c>
      <c r="B2506" s="1" t="s">
        <v>16372</v>
      </c>
      <c r="C2506" s="3">
        <f>IF(B2506="","",SUMIFS('Factory Costs'!$C:$C,'Factory Costs'!$A:$A,"Blades",'Factory Costs'!$B:$B,B2506))</f>
        <v>42</v>
      </c>
    </row>
    <row r="2507" spans="1:3" x14ac:dyDescent="0.25">
      <c r="A2507" s="1" t="s">
        <v>14072</v>
      </c>
      <c r="B2507" s="1" t="s">
        <v>16372</v>
      </c>
      <c r="C2507" s="3">
        <f>IF(B2507="","",SUMIFS('Factory Costs'!$C:$C,'Factory Costs'!$A:$A,"Blades",'Factory Costs'!$B:$B,B2507))</f>
        <v>42</v>
      </c>
    </row>
    <row r="2508" spans="1:3" x14ac:dyDescent="0.25">
      <c r="A2508" s="1" t="s">
        <v>14075</v>
      </c>
      <c r="B2508" s="1" t="s">
        <v>16372</v>
      </c>
      <c r="C2508" s="3">
        <f>IF(B2508="","",SUMIFS('Factory Costs'!$C:$C,'Factory Costs'!$A:$A,"Blades",'Factory Costs'!$B:$B,B2508))</f>
        <v>42</v>
      </c>
    </row>
    <row r="2509" spans="1:3" x14ac:dyDescent="0.25">
      <c r="A2509" s="1" t="s">
        <v>14078</v>
      </c>
      <c r="B2509" s="1" t="s">
        <v>16370</v>
      </c>
      <c r="C2509" s="3">
        <f>IF(B2509="","",SUMIFS('Factory Costs'!$C:$C,'Factory Costs'!$A:$A,"Blades",'Factory Costs'!$B:$B,B2509))</f>
        <v>34</v>
      </c>
    </row>
    <row r="2510" spans="1:3" x14ac:dyDescent="0.25">
      <c r="A2510" s="1" t="s">
        <v>14081</v>
      </c>
      <c r="B2510" s="1" t="s">
        <v>16371</v>
      </c>
      <c r="C2510" s="3">
        <f>IF(B2510="","",SUMIFS('Factory Costs'!$C:$C,'Factory Costs'!$A:$A,"Blades",'Factory Costs'!$B:$B,B2510))</f>
        <v>37</v>
      </c>
    </row>
    <row r="2511" spans="1:3" x14ac:dyDescent="0.25">
      <c r="A2511" s="1" t="s">
        <v>14084</v>
      </c>
      <c r="B2511" s="1" t="s">
        <v>16371</v>
      </c>
      <c r="C2511" s="3">
        <f>IF(B2511="","",SUMIFS('Factory Costs'!$C:$C,'Factory Costs'!$A:$A,"Blades",'Factory Costs'!$B:$B,B2511))</f>
        <v>37</v>
      </c>
    </row>
    <row r="2512" spans="1:3" x14ac:dyDescent="0.25">
      <c r="A2512" s="1" t="s">
        <v>14087</v>
      </c>
      <c r="B2512" s="1" t="s">
        <v>16370</v>
      </c>
      <c r="C2512" s="3">
        <f>IF(B2512="","",SUMIFS('Factory Costs'!$C:$C,'Factory Costs'!$A:$A,"Blades",'Factory Costs'!$B:$B,B2512))</f>
        <v>34</v>
      </c>
    </row>
    <row r="2513" spans="1:3" x14ac:dyDescent="0.25">
      <c r="A2513" s="1" t="s">
        <v>14090</v>
      </c>
      <c r="B2513" s="1" t="s">
        <v>16372</v>
      </c>
      <c r="C2513" s="3">
        <f>IF(B2513="","",SUMIFS('Factory Costs'!$C:$C,'Factory Costs'!$A:$A,"Blades",'Factory Costs'!$B:$B,B2513))</f>
        <v>42</v>
      </c>
    </row>
    <row r="2514" spans="1:3" x14ac:dyDescent="0.25">
      <c r="A2514" s="1" t="s">
        <v>14093</v>
      </c>
      <c r="B2514" s="1" t="s">
        <v>16370</v>
      </c>
      <c r="C2514" s="3">
        <f>IF(B2514="","",SUMIFS('Factory Costs'!$C:$C,'Factory Costs'!$A:$A,"Blades",'Factory Costs'!$B:$B,B2514))</f>
        <v>34</v>
      </c>
    </row>
    <row r="2515" spans="1:3" x14ac:dyDescent="0.25">
      <c r="A2515" s="1" t="s">
        <v>14096</v>
      </c>
      <c r="B2515" s="1" t="s">
        <v>16371</v>
      </c>
      <c r="C2515" s="3">
        <f>IF(B2515="","",SUMIFS('Factory Costs'!$C:$C,'Factory Costs'!$A:$A,"Blades",'Factory Costs'!$B:$B,B2515))</f>
        <v>37</v>
      </c>
    </row>
    <row r="2516" spans="1:3" x14ac:dyDescent="0.25">
      <c r="A2516" s="1" t="s">
        <v>14099</v>
      </c>
      <c r="B2516" s="1" t="s">
        <v>16371</v>
      </c>
      <c r="C2516" s="3">
        <f>IF(B2516="","",SUMIFS('Factory Costs'!$C:$C,'Factory Costs'!$A:$A,"Blades",'Factory Costs'!$B:$B,B2516))</f>
        <v>37</v>
      </c>
    </row>
    <row r="2517" spans="1:3" x14ac:dyDescent="0.25">
      <c r="A2517" s="1" t="s">
        <v>14102</v>
      </c>
      <c r="B2517" s="1" t="s">
        <v>16371</v>
      </c>
      <c r="C2517" s="3">
        <f>IF(B2517="","",SUMIFS('Factory Costs'!$C:$C,'Factory Costs'!$A:$A,"Blades",'Factory Costs'!$B:$B,B2517))</f>
        <v>37</v>
      </c>
    </row>
    <row r="2518" spans="1:3" x14ac:dyDescent="0.25">
      <c r="A2518" s="1" t="s">
        <v>14105</v>
      </c>
      <c r="B2518" s="1" t="s">
        <v>16370</v>
      </c>
      <c r="C2518" s="3">
        <f>IF(B2518="","",SUMIFS('Factory Costs'!$C:$C,'Factory Costs'!$A:$A,"Blades",'Factory Costs'!$B:$B,B2518))</f>
        <v>34</v>
      </c>
    </row>
    <row r="2519" spans="1:3" x14ac:dyDescent="0.25">
      <c r="A2519" s="1" t="s">
        <v>14108</v>
      </c>
      <c r="B2519" s="1" t="s">
        <v>16370</v>
      </c>
      <c r="C2519" s="3">
        <f>IF(B2519="","",SUMIFS('Factory Costs'!$C:$C,'Factory Costs'!$A:$A,"Blades",'Factory Costs'!$B:$B,B2519))</f>
        <v>34</v>
      </c>
    </row>
    <row r="2520" spans="1:3" x14ac:dyDescent="0.25">
      <c r="A2520" s="1" t="s">
        <v>14111</v>
      </c>
      <c r="B2520" s="1" t="s">
        <v>16370</v>
      </c>
      <c r="C2520" s="3">
        <f>IF(B2520="","",SUMIFS('Factory Costs'!$C:$C,'Factory Costs'!$A:$A,"Blades",'Factory Costs'!$B:$B,B2520))</f>
        <v>34</v>
      </c>
    </row>
    <row r="2521" spans="1:3" x14ac:dyDescent="0.25">
      <c r="A2521" s="1" t="s">
        <v>14114</v>
      </c>
      <c r="B2521" s="1" t="s">
        <v>16370</v>
      </c>
      <c r="C2521" s="3">
        <f>IF(B2521="","",SUMIFS('Factory Costs'!$C:$C,'Factory Costs'!$A:$A,"Blades",'Factory Costs'!$B:$B,B2521))</f>
        <v>34</v>
      </c>
    </row>
    <row r="2522" spans="1:3" x14ac:dyDescent="0.25">
      <c r="A2522" s="1" t="s">
        <v>14117</v>
      </c>
      <c r="B2522" s="1" t="s">
        <v>16370</v>
      </c>
      <c r="C2522" s="3">
        <f>IF(B2522="","",SUMIFS('Factory Costs'!$C:$C,'Factory Costs'!$A:$A,"Blades",'Factory Costs'!$B:$B,B2522))</f>
        <v>34</v>
      </c>
    </row>
    <row r="2523" spans="1:3" x14ac:dyDescent="0.25">
      <c r="A2523" s="1" t="s">
        <v>14120</v>
      </c>
      <c r="B2523" s="1" t="s">
        <v>16371</v>
      </c>
      <c r="C2523" s="3">
        <f>IF(B2523="","",SUMIFS('Factory Costs'!$C:$C,'Factory Costs'!$A:$A,"Blades",'Factory Costs'!$B:$B,B2523))</f>
        <v>37</v>
      </c>
    </row>
    <row r="2524" spans="1:3" x14ac:dyDescent="0.25">
      <c r="A2524" s="1" t="s">
        <v>14123</v>
      </c>
      <c r="B2524" s="1" t="s">
        <v>16370</v>
      </c>
      <c r="C2524" s="3">
        <f>IF(B2524="","",SUMIFS('Factory Costs'!$C:$C,'Factory Costs'!$A:$A,"Blades",'Factory Costs'!$B:$B,B2524))</f>
        <v>34</v>
      </c>
    </row>
    <row r="2525" spans="1:3" x14ac:dyDescent="0.25">
      <c r="A2525" s="1" t="s">
        <v>14126</v>
      </c>
      <c r="B2525" s="1" t="s">
        <v>16370</v>
      </c>
      <c r="C2525" s="3">
        <f>IF(B2525="","",SUMIFS('Factory Costs'!$C:$C,'Factory Costs'!$A:$A,"Blades",'Factory Costs'!$B:$B,B2525))</f>
        <v>34</v>
      </c>
    </row>
    <row r="2526" spans="1:3" x14ac:dyDescent="0.25">
      <c r="A2526" s="1" t="s">
        <v>14129</v>
      </c>
      <c r="B2526" s="1" t="s">
        <v>16371</v>
      </c>
      <c r="C2526" s="3">
        <f>IF(B2526="","",SUMIFS('Factory Costs'!$C:$C,'Factory Costs'!$A:$A,"Blades",'Factory Costs'!$B:$B,B2526))</f>
        <v>37</v>
      </c>
    </row>
    <row r="2527" spans="1:3" x14ac:dyDescent="0.25">
      <c r="A2527" s="1" t="s">
        <v>14132</v>
      </c>
      <c r="B2527" s="1" t="s">
        <v>16370</v>
      </c>
      <c r="C2527" s="3">
        <f>IF(B2527="","",SUMIFS('Factory Costs'!$C:$C,'Factory Costs'!$A:$A,"Blades",'Factory Costs'!$B:$B,B2527))</f>
        <v>34</v>
      </c>
    </row>
    <row r="2528" spans="1:3" x14ac:dyDescent="0.25">
      <c r="A2528" s="1" t="s">
        <v>14135</v>
      </c>
      <c r="B2528" s="1" t="s">
        <v>16371</v>
      </c>
      <c r="C2528" s="3">
        <f>IF(B2528="","",SUMIFS('Factory Costs'!$C:$C,'Factory Costs'!$A:$A,"Blades",'Factory Costs'!$B:$B,B2528))</f>
        <v>37</v>
      </c>
    </row>
    <row r="2529" spans="1:3" x14ac:dyDescent="0.25">
      <c r="A2529" s="1" t="s">
        <v>14138</v>
      </c>
      <c r="B2529" s="1" t="s">
        <v>16370</v>
      </c>
      <c r="C2529" s="3">
        <f>IF(B2529="","",SUMIFS('Factory Costs'!$C:$C,'Factory Costs'!$A:$A,"Blades",'Factory Costs'!$B:$B,B2529))</f>
        <v>34</v>
      </c>
    </row>
    <row r="2530" spans="1:3" x14ac:dyDescent="0.25">
      <c r="A2530" s="1" t="s">
        <v>14141</v>
      </c>
      <c r="B2530" s="1" t="s">
        <v>16370</v>
      </c>
      <c r="C2530" s="3">
        <f>IF(B2530="","",SUMIFS('Factory Costs'!$C:$C,'Factory Costs'!$A:$A,"Blades",'Factory Costs'!$B:$B,B2530))</f>
        <v>34</v>
      </c>
    </row>
    <row r="2531" spans="1:3" x14ac:dyDescent="0.25">
      <c r="A2531" s="1" t="s">
        <v>14144</v>
      </c>
      <c r="B2531" s="1" t="s">
        <v>16371</v>
      </c>
      <c r="C2531" s="3">
        <f>IF(B2531="","",SUMIFS('Factory Costs'!$C:$C,'Factory Costs'!$A:$A,"Blades",'Factory Costs'!$B:$B,B2531))</f>
        <v>37</v>
      </c>
    </row>
    <row r="2532" spans="1:3" x14ac:dyDescent="0.25">
      <c r="A2532" s="1" t="s">
        <v>14147</v>
      </c>
      <c r="B2532" s="1" t="s">
        <v>16370</v>
      </c>
      <c r="C2532" s="3">
        <f>IF(B2532="","",SUMIFS('Factory Costs'!$C:$C,'Factory Costs'!$A:$A,"Blades",'Factory Costs'!$B:$B,B2532))</f>
        <v>34</v>
      </c>
    </row>
    <row r="2533" spans="1:3" x14ac:dyDescent="0.25">
      <c r="A2533" s="1" t="s">
        <v>14150</v>
      </c>
      <c r="B2533" s="1" t="s">
        <v>16370</v>
      </c>
      <c r="C2533" s="3">
        <f>IF(B2533="","",SUMIFS('Factory Costs'!$C:$C,'Factory Costs'!$A:$A,"Blades",'Factory Costs'!$B:$B,B2533))</f>
        <v>34</v>
      </c>
    </row>
    <row r="2534" spans="1:3" x14ac:dyDescent="0.25">
      <c r="A2534" s="1" t="s">
        <v>14153</v>
      </c>
      <c r="B2534" s="1" t="s">
        <v>16370</v>
      </c>
      <c r="C2534" s="3">
        <f>IF(B2534="","",SUMIFS('Factory Costs'!$C:$C,'Factory Costs'!$A:$A,"Blades",'Factory Costs'!$B:$B,B2534))</f>
        <v>34</v>
      </c>
    </row>
    <row r="2535" spans="1:3" x14ac:dyDescent="0.25">
      <c r="A2535" s="1" t="s">
        <v>14156</v>
      </c>
      <c r="B2535" s="1" t="s">
        <v>16372</v>
      </c>
      <c r="C2535" s="3">
        <f>IF(B2535="","",SUMIFS('Factory Costs'!$C:$C,'Factory Costs'!$A:$A,"Blades",'Factory Costs'!$B:$B,B2535))</f>
        <v>42</v>
      </c>
    </row>
    <row r="2536" spans="1:3" x14ac:dyDescent="0.25">
      <c r="A2536" s="1" t="s">
        <v>14159</v>
      </c>
      <c r="B2536" s="1" t="s">
        <v>16370</v>
      </c>
      <c r="C2536" s="3">
        <f>IF(B2536="","",SUMIFS('Factory Costs'!$C:$C,'Factory Costs'!$A:$A,"Blades",'Factory Costs'!$B:$B,B2536))</f>
        <v>34</v>
      </c>
    </row>
    <row r="2537" spans="1:3" x14ac:dyDescent="0.25">
      <c r="A2537" s="1" t="s">
        <v>14162</v>
      </c>
      <c r="B2537" s="1" t="s">
        <v>16372</v>
      </c>
      <c r="C2537" s="3">
        <f>IF(B2537="","",SUMIFS('Factory Costs'!$C:$C,'Factory Costs'!$A:$A,"Blades",'Factory Costs'!$B:$B,B2537))</f>
        <v>42</v>
      </c>
    </row>
    <row r="2538" spans="1:3" x14ac:dyDescent="0.25">
      <c r="A2538" s="1" t="s">
        <v>14165</v>
      </c>
      <c r="B2538" s="1" t="s">
        <v>16372</v>
      </c>
      <c r="C2538" s="3">
        <f>IF(B2538="","",SUMIFS('Factory Costs'!$C:$C,'Factory Costs'!$A:$A,"Blades",'Factory Costs'!$B:$B,B2538))</f>
        <v>42</v>
      </c>
    </row>
    <row r="2539" spans="1:3" x14ac:dyDescent="0.25">
      <c r="A2539" s="1" t="s">
        <v>14168</v>
      </c>
      <c r="B2539" s="1" t="s">
        <v>16372</v>
      </c>
      <c r="C2539" s="3">
        <f>IF(B2539="","",SUMIFS('Factory Costs'!$C:$C,'Factory Costs'!$A:$A,"Blades",'Factory Costs'!$B:$B,B2539))</f>
        <v>42</v>
      </c>
    </row>
    <row r="2540" spans="1:3" x14ac:dyDescent="0.25">
      <c r="A2540" s="1" t="s">
        <v>14171</v>
      </c>
      <c r="B2540" s="1" t="s">
        <v>16371</v>
      </c>
      <c r="C2540" s="3">
        <f>IF(B2540="","",SUMIFS('Factory Costs'!$C:$C,'Factory Costs'!$A:$A,"Blades",'Factory Costs'!$B:$B,B2540))</f>
        <v>37</v>
      </c>
    </row>
    <row r="2541" spans="1:3" x14ac:dyDescent="0.25">
      <c r="A2541" s="1" t="s">
        <v>14174</v>
      </c>
      <c r="B2541" s="1" t="s">
        <v>16371</v>
      </c>
      <c r="C2541" s="3">
        <f>IF(B2541="","",SUMIFS('Factory Costs'!$C:$C,'Factory Costs'!$A:$A,"Blades",'Factory Costs'!$B:$B,B2541))</f>
        <v>37</v>
      </c>
    </row>
    <row r="2542" spans="1:3" x14ac:dyDescent="0.25">
      <c r="A2542" s="1" t="s">
        <v>14177</v>
      </c>
      <c r="B2542" s="1" t="s">
        <v>16370</v>
      </c>
      <c r="C2542" s="3">
        <f>IF(B2542="","",SUMIFS('Factory Costs'!$C:$C,'Factory Costs'!$A:$A,"Blades",'Factory Costs'!$B:$B,B2542))</f>
        <v>34</v>
      </c>
    </row>
    <row r="2543" spans="1:3" x14ac:dyDescent="0.25">
      <c r="A2543" s="1" t="s">
        <v>14180</v>
      </c>
      <c r="B2543" s="1" t="s">
        <v>16370</v>
      </c>
      <c r="C2543" s="3">
        <f>IF(B2543="","",SUMIFS('Factory Costs'!$C:$C,'Factory Costs'!$A:$A,"Blades",'Factory Costs'!$B:$B,B2543))</f>
        <v>34</v>
      </c>
    </row>
    <row r="2544" spans="1:3" x14ac:dyDescent="0.25">
      <c r="A2544" s="1" t="s">
        <v>14183</v>
      </c>
      <c r="B2544" s="1" t="s">
        <v>16371</v>
      </c>
      <c r="C2544" s="3">
        <f>IF(B2544="","",SUMIFS('Factory Costs'!$C:$C,'Factory Costs'!$A:$A,"Blades",'Factory Costs'!$B:$B,B2544))</f>
        <v>37</v>
      </c>
    </row>
    <row r="2545" spans="1:3" x14ac:dyDescent="0.25">
      <c r="A2545" s="1" t="s">
        <v>14186</v>
      </c>
      <c r="B2545" s="1" t="s">
        <v>16370</v>
      </c>
      <c r="C2545" s="3">
        <f>IF(B2545="","",SUMIFS('Factory Costs'!$C:$C,'Factory Costs'!$A:$A,"Blades",'Factory Costs'!$B:$B,B2545))</f>
        <v>34</v>
      </c>
    </row>
    <row r="2546" spans="1:3" x14ac:dyDescent="0.25">
      <c r="A2546" s="1" t="s">
        <v>14189</v>
      </c>
      <c r="B2546" s="1" t="s">
        <v>16370</v>
      </c>
      <c r="C2546" s="3">
        <f>IF(B2546="","",SUMIFS('Factory Costs'!$C:$C,'Factory Costs'!$A:$A,"Blades",'Factory Costs'!$B:$B,B2546))</f>
        <v>34</v>
      </c>
    </row>
    <row r="2547" spans="1:3" x14ac:dyDescent="0.25">
      <c r="A2547" s="1" t="s">
        <v>14192</v>
      </c>
      <c r="B2547" s="1" t="s">
        <v>16370</v>
      </c>
      <c r="C2547" s="3">
        <f>IF(B2547="","",SUMIFS('Factory Costs'!$C:$C,'Factory Costs'!$A:$A,"Blades",'Factory Costs'!$B:$B,B2547))</f>
        <v>34</v>
      </c>
    </row>
    <row r="2548" spans="1:3" x14ac:dyDescent="0.25">
      <c r="A2548" s="1" t="s">
        <v>14195</v>
      </c>
      <c r="B2548" s="1" t="s">
        <v>16371</v>
      </c>
      <c r="C2548" s="3">
        <f>IF(B2548="","",SUMIFS('Factory Costs'!$C:$C,'Factory Costs'!$A:$A,"Blades",'Factory Costs'!$B:$B,B2548))</f>
        <v>37</v>
      </c>
    </row>
    <row r="2549" spans="1:3" x14ac:dyDescent="0.25">
      <c r="A2549" s="1" t="s">
        <v>14198</v>
      </c>
      <c r="B2549" s="1" t="s">
        <v>16371</v>
      </c>
      <c r="C2549" s="3">
        <f>IF(B2549="","",SUMIFS('Factory Costs'!$C:$C,'Factory Costs'!$A:$A,"Blades",'Factory Costs'!$B:$B,B2549))</f>
        <v>37</v>
      </c>
    </row>
    <row r="2550" spans="1:3" x14ac:dyDescent="0.25">
      <c r="A2550" s="1" t="s">
        <v>14201</v>
      </c>
      <c r="B2550" s="1" t="s">
        <v>16370</v>
      </c>
      <c r="C2550" s="3">
        <f>IF(B2550="","",SUMIFS('Factory Costs'!$C:$C,'Factory Costs'!$A:$A,"Blades",'Factory Costs'!$B:$B,B2550))</f>
        <v>34</v>
      </c>
    </row>
    <row r="2551" spans="1:3" x14ac:dyDescent="0.25">
      <c r="A2551" s="1" t="s">
        <v>14204</v>
      </c>
      <c r="B2551" s="1" t="s">
        <v>16372</v>
      </c>
      <c r="C2551" s="3">
        <f>IF(B2551="","",SUMIFS('Factory Costs'!$C:$C,'Factory Costs'!$A:$A,"Blades",'Factory Costs'!$B:$B,B2551))</f>
        <v>42</v>
      </c>
    </row>
    <row r="2552" spans="1:3" x14ac:dyDescent="0.25">
      <c r="A2552" s="1" t="s">
        <v>14207</v>
      </c>
      <c r="B2552" s="1" t="s">
        <v>16371</v>
      </c>
      <c r="C2552" s="3">
        <f>IF(B2552="","",SUMIFS('Factory Costs'!$C:$C,'Factory Costs'!$A:$A,"Blades",'Factory Costs'!$B:$B,B2552))</f>
        <v>37</v>
      </c>
    </row>
    <row r="2553" spans="1:3" x14ac:dyDescent="0.25">
      <c r="A2553" s="1" t="s">
        <v>14210</v>
      </c>
      <c r="B2553" s="1" t="s">
        <v>16370</v>
      </c>
      <c r="C2553" s="3">
        <f>IF(B2553="","",SUMIFS('Factory Costs'!$C:$C,'Factory Costs'!$A:$A,"Blades",'Factory Costs'!$B:$B,B2553))</f>
        <v>34</v>
      </c>
    </row>
    <row r="2554" spans="1:3" x14ac:dyDescent="0.25">
      <c r="A2554" s="1" t="s">
        <v>14213</v>
      </c>
      <c r="B2554" s="1" t="s">
        <v>16371</v>
      </c>
      <c r="C2554" s="3">
        <f>IF(B2554="","",SUMIFS('Factory Costs'!$C:$C,'Factory Costs'!$A:$A,"Blades",'Factory Costs'!$B:$B,B2554))</f>
        <v>37</v>
      </c>
    </row>
    <row r="2555" spans="1:3" x14ac:dyDescent="0.25">
      <c r="A2555" s="1" t="s">
        <v>14216</v>
      </c>
      <c r="B2555" s="1" t="s">
        <v>16371</v>
      </c>
      <c r="C2555" s="3">
        <f>IF(B2555="","",SUMIFS('Factory Costs'!$C:$C,'Factory Costs'!$A:$A,"Blades",'Factory Costs'!$B:$B,B2555))</f>
        <v>37</v>
      </c>
    </row>
    <row r="2556" spans="1:3" x14ac:dyDescent="0.25">
      <c r="A2556" s="1" t="s">
        <v>14219</v>
      </c>
      <c r="B2556" s="1" t="s">
        <v>16370</v>
      </c>
      <c r="C2556" s="3">
        <f>IF(B2556="","",SUMIFS('Factory Costs'!$C:$C,'Factory Costs'!$A:$A,"Blades",'Factory Costs'!$B:$B,B2556))</f>
        <v>34</v>
      </c>
    </row>
    <row r="2557" spans="1:3" x14ac:dyDescent="0.25">
      <c r="A2557" s="1" t="s">
        <v>14222</v>
      </c>
      <c r="B2557" s="1" t="s">
        <v>16372</v>
      </c>
      <c r="C2557" s="3">
        <f>IF(B2557="","",SUMIFS('Factory Costs'!$C:$C,'Factory Costs'!$A:$A,"Blades",'Factory Costs'!$B:$B,B2557))</f>
        <v>42</v>
      </c>
    </row>
    <row r="2558" spans="1:3" x14ac:dyDescent="0.25">
      <c r="A2558" s="1" t="s">
        <v>14225</v>
      </c>
      <c r="B2558" s="1" t="s">
        <v>16370</v>
      </c>
      <c r="C2558" s="3">
        <f>IF(B2558="","",SUMIFS('Factory Costs'!$C:$C,'Factory Costs'!$A:$A,"Blades",'Factory Costs'!$B:$B,B2558))</f>
        <v>34</v>
      </c>
    </row>
    <row r="2559" spans="1:3" x14ac:dyDescent="0.25">
      <c r="A2559" s="1" t="s">
        <v>14228</v>
      </c>
      <c r="B2559" s="1" t="s">
        <v>16371</v>
      </c>
      <c r="C2559" s="3">
        <f>IF(B2559="","",SUMIFS('Factory Costs'!$C:$C,'Factory Costs'!$A:$A,"Blades",'Factory Costs'!$B:$B,B2559))</f>
        <v>37</v>
      </c>
    </row>
    <row r="2560" spans="1:3" x14ac:dyDescent="0.25">
      <c r="A2560" s="1" t="s">
        <v>14231</v>
      </c>
      <c r="B2560" s="1" t="s">
        <v>16372</v>
      </c>
      <c r="C2560" s="3">
        <f>IF(B2560="","",SUMIFS('Factory Costs'!$C:$C,'Factory Costs'!$A:$A,"Blades",'Factory Costs'!$B:$B,B2560))</f>
        <v>42</v>
      </c>
    </row>
    <row r="2561" spans="1:3" x14ac:dyDescent="0.25">
      <c r="A2561" s="1" t="s">
        <v>14234</v>
      </c>
      <c r="B2561" s="1" t="s">
        <v>16370</v>
      </c>
      <c r="C2561" s="3">
        <f>IF(B2561="","",SUMIFS('Factory Costs'!$C:$C,'Factory Costs'!$A:$A,"Blades",'Factory Costs'!$B:$B,B2561))</f>
        <v>34</v>
      </c>
    </row>
    <row r="2562" spans="1:3" x14ac:dyDescent="0.25">
      <c r="A2562" s="1" t="s">
        <v>14237</v>
      </c>
      <c r="B2562" s="1" t="s">
        <v>16370</v>
      </c>
      <c r="C2562" s="3">
        <f>IF(B2562="","",SUMIFS('Factory Costs'!$C:$C,'Factory Costs'!$A:$A,"Blades",'Factory Costs'!$B:$B,B2562))</f>
        <v>34</v>
      </c>
    </row>
    <row r="2563" spans="1:3" x14ac:dyDescent="0.25">
      <c r="A2563" s="1" t="s">
        <v>14240</v>
      </c>
      <c r="B2563" s="1" t="s">
        <v>16370</v>
      </c>
      <c r="C2563" s="3">
        <f>IF(B2563="","",SUMIFS('Factory Costs'!$C:$C,'Factory Costs'!$A:$A,"Blades",'Factory Costs'!$B:$B,B2563))</f>
        <v>34</v>
      </c>
    </row>
    <row r="2564" spans="1:3" x14ac:dyDescent="0.25">
      <c r="A2564" s="1" t="s">
        <v>14243</v>
      </c>
      <c r="B2564" s="1" t="s">
        <v>16370</v>
      </c>
      <c r="C2564" s="3">
        <f>IF(B2564="","",SUMIFS('Factory Costs'!$C:$C,'Factory Costs'!$A:$A,"Blades",'Factory Costs'!$B:$B,B2564))</f>
        <v>34</v>
      </c>
    </row>
    <row r="2565" spans="1:3" x14ac:dyDescent="0.25">
      <c r="A2565" s="1" t="s">
        <v>14246</v>
      </c>
      <c r="B2565" s="1" t="s">
        <v>16371</v>
      </c>
      <c r="C2565" s="3">
        <f>IF(B2565="","",SUMIFS('Factory Costs'!$C:$C,'Factory Costs'!$A:$A,"Blades",'Factory Costs'!$B:$B,B2565))</f>
        <v>37</v>
      </c>
    </row>
    <row r="2566" spans="1:3" x14ac:dyDescent="0.25">
      <c r="A2566" s="1" t="s">
        <v>14249</v>
      </c>
      <c r="B2566" s="1" t="s">
        <v>16370</v>
      </c>
      <c r="C2566" s="3">
        <f>IF(B2566="","",SUMIFS('Factory Costs'!$C:$C,'Factory Costs'!$A:$A,"Blades",'Factory Costs'!$B:$B,B2566))</f>
        <v>34</v>
      </c>
    </row>
    <row r="2567" spans="1:3" x14ac:dyDescent="0.25">
      <c r="A2567" s="1" t="s">
        <v>14252</v>
      </c>
      <c r="B2567" s="1" t="s">
        <v>16371</v>
      </c>
      <c r="C2567" s="3">
        <f>IF(B2567="","",SUMIFS('Factory Costs'!$C:$C,'Factory Costs'!$A:$A,"Blades",'Factory Costs'!$B:$B,B2567))</f>
        <v>37</v>
      </c>
    </row>
    <row r="2568" spans="1:3" x14ac:dyDescent="0.25">
      <c r="A2568" s="1" t="s">
        <v>14255</v>
      </c>
      <c r="B2568" s="1" t="s">
        <v>16370</v>
      </c>
      <c r="C2568" s="3">
        <f>IF(B2568="","",SUMIFS('Factory Costs'!$C:$C,'Factory Costs'!$A:$A,"Blades",'Factory Costs'!$B:$B,B2568))</f>
        <v>34</v>
      </c>
    </row>
    <row r="2569" spans="1:3" x14ac:dyDescent="0.25">
      <c r="A2569" s="1" t="s">
        <v>14258</v>
      </c>
      <c r="B2569" s="1" t="s">
        <v>16370</v>
      </c>
      <c r="C2569" s="3">
        <f>IF(B2569="","",SUMIFS('Factory Costs'!$C:$C,'Factory Costs'!$A:$A,"Blades",'Factory Costs'!$B:$B,B2569))</f>
        <v>34</v>
      </c>
    </row>
    <row r="2570" spans="1:3" x14ac:dyDescent="0.25">
      <c r="A2570" s="1" t="s">
        <v>14261</v>
      </c>
      <c r="B2570" s="1" t="s">
        <v>16370</v>
      </c>
      <c r="C2570" s="3">
        <f>IF(B2570="","",SUMIFS('Factory Costs'!$C:$C,'Factory Costs'!$A:$A,"Blades",'Factory Costs'!$B:$B,B2570))</f>
        <v>34</v>
      </c>
    </row>
    <row r="2571" spans="1:3" x14ac:dyDescent="0.25">
      <c r="A2571" s="1" t="s">
        <v>14264</v>
      </c>
      <c r="B2571" s="1" t="s">
        <v>16370</v>
      </c>
      <c r="C2571" s="3">
        <f>IF(B2571="","",SUMIFS('Factory Costs'!$C:$C,'Factory Costs'!$A:$A,"Blades",'Factory Costs'!$B:$B,B2571))</f>
        <v>34</v>
      </c>
    </row>
    <row r="2572" spans="1:3" x14ac:dyDescent="0.25">
      <c r="A2572" s="1" t="s">
        <v>14267</v>
      </c>
      <c r="B2572" s="1" t="s">
        <v>16372</v>
      </c>
      <c r="C2572" s="3">
        <f>IF(B2572="","",SUMIFS('Factory Costs'!$C:$C,'Factory Costs'!$A:$A,"Blades",'Factory Costs'!$B:$B,B2572))</f>
        <v>42</v>
      </c>
    </row>
    <row r="2573" spans="1:3" x14ac:dyDescent="0.25">
      <c r="A2573" s="1" t="s">
        <v>14270</v>
      </c>
      <c r="B2573" s="1" t="s">
        <v>16372</v>
      </c>
      <c r="C2573" s="3">
        <f>IF(B2573="","",SUMIFS('Factory Costs'!$C:$C,'Factory Costs'!$A:$A,"Blades",'Factory Costs'!$B:$B,B2573))</f>
        <v>42</v>
      </c>
    </row>
    <row r="2574" spans="1:3" x14ac:dyDescent="0.25">
      <c r="A2574" s="1" t="s">
        <v>14273</v>
      </c>
      <c r="B2574" s="1" t="s">
        <v>16372</v>
      </c>
      <c r="C2574" s="3">
        <f>IF(B2574="","",SUMIFS('Factory Costs'!$C:$C,'Factory Costs'!$A:$A,"Blades",'Factory Costs'!$B:$B,B2574))</f>
        <v>42</v>
      </c>
    </row>
    <row r="2575" spans="1:3" x14ac:dyDescent="0.25">
      <c r="A2575" s="1" t="s">
        <v>14276</v>
      </c>
      <c r="B2575" s="1" t="s">
        <v>16372</v>
      </c>
      <c r="C2575" s="3">
        <f>IF(B2575="","",SUMIFS('Factory Costs'!$C:$C,'Factory Costs'!$A:$A,"Blades",'Factory Costs'!$B:$B,B2575))</f>
        <v>42</v>
      </c>
    </row>
    <row r="2576" spans="1:3" x14ac:dyDescent="0.25">
      <c r="A2576" s="1" t="s">
        <v>14279</v>
      </c>
      <c r="B2576" s="1" t="s">
        <v>16370</v>
      </c>
      <c r="C2576" s="3">
        <f>IF(B2576="","",SUMIFS('Factory Costs'!$C:$C,'Factory Costs'!$A:$A,"Blades",'Factory Costs'!$B:$B,B2576))</f>
        <v>34</v>
      </c>
    </row>
    <row r="2577" spans="1:3" x14ac:dyDescent="0.25">
      <c r="A2577" s="1" t="s">
        <v>14282</v>
      </c>
      <c r="B2577" s="1" t="s">
        <v>16372</v>
      </c>
      <c r="C2577" s="3">
        <f>IF(B2577="","",SUMIFS('Factory Costs'!$C:$C,'Factory Costs'!$A:$A,"Blades",'Factory Costs'!$B:$B,B2577))</f>
        <v>42</v>
      </c>
    </row>
    <row r="2578" spans="1:3" x14ac:dyDescent="0.25">
      <c r="A2578" s="1" t="s">
        <v>14285</v>
      </c>
      <c r="B2578" s="1" t="s">
        <v>16370</v>
      </c>
      <c r="C2578" s="3">
        <f>IF(B2578="","",SUMIFS('Factory Costs'!$C:$C,'Factory Costs'!$A:$A,"Blades",'Factory Costs'!$B:$B,B2578))</f>
        <v>34</v>
      </c>
    </row>
    <row r="2579" spans="1:3" x14ac:dyDescent="0.25">
      <c r="A2579" s="1" t="s">
        <v>14288</v>
      </c>
      <c r="B2579" s="1" t="s">
        <v>16372</v>
      </c>
      <c r="C2579" s="3">
        <f>IF(B2579="","",SUMIFS('Factory Costs'!$C:$C,'Factory Costs'!$A:$A,"Blades",'Factory Costs'!$B:$B,B2579))</f>
        <v>42</v>
      </c>
    </row>
    <row r="2580" spans="1:3" x14ac:dyDescent="0.25">
      <c r="A2580" s="1" t="s">
        <v>14291</v>
      </c>
      <c r="B2580" s="1" t="s">
        <v>16371</v>
      </c>
      <c r="C2580" s="3">
        <f>IF(B2580="","",SUMIFS('Factory Costs'!$C:$C,'Factory Costs'!$A:$A,"Blades",'Factory Costs'!$B:$B,B2580))</f>
        <v>37</v>
      </c>
    </row>
    <row r="2581" spans="1:3" x14ac:dyDescent="0.25">
      <c r="A2581" s="1" t="s">
        <v>14294</v>
      </c>
      <c r="B2581" s="1" t="s">
        <v>16370</v>
      </c>
      <c r="C2581" s="3">
        <f>IF(B2581="","",SUMIFS('Factory Costs'!$C:$C,'Factory Costs'!$A:$A,"Blades",'Factory Costs'!$B:$B,B2581))</f>
        <v>34</v>
      </c>
    </row>
    <row r="2582" spans="1:3" x14ac:dyDescent="0.25">
      <c r="A2582" s="1" t="s">
        <v>14297</v>
      </c>
      <c r="B2582" s="1" t="s">
        <v>16370</v>
      </c>
      <c r="C2582" s="3">
        <f>IF(B2582="","",SUMIFS('Factory Costs'!$C:$C,'Factory Costs'!$A:$A,"Blades",'Factory Costs'!$B:$B,B2582))</f>
        <v>34</v>
      </c>
    </row>
    <row r="2583" spans="1:3" x14ac:dyDescent="0.25">
      <c r="A2583" s="1" t="s">
        <v>14300</v>
      </c>
      <c r="B2583" s="1" t="s">
        <v>16371</v>
      </c>
      <c r="C2583" s="3">
        <f>IF(B2583="","",SUMIFS('Factory Costs'!$C:$C,'Factory Costs'!$A:$A,"Blades",'Factory Costs'!$B:$B,B2583))</f>
        <v>37</v>
      </c>
    </row>
    <row r="2584" spans="1:3" x14ac:dyDescent="0.25">
      <c r="A2584" s="1" t="s">
        <v>14303</v>
      </c>
      <c r="B2584" s="1" t="s">
        <v>16372</v>
      </c>
      <c r="C2584" s="3">
        <f>IF(B2584="","",SUMIFS('Factory Costs'!$C:$C,'Factory Costs'!$A:$A,"Blades",'Factory Costs'!$B:$B,B2584))</f>
        <v>42</v>
      </c>
    </row>
    <row r="2585" spans="1:3" x14ac:dyDescent="0.25">
      <c r="A2585" s="1" t="s">
        <v>14306</v>
      </c>
      <c r="B2585" s="1" t="s">
        <v>16372</v>
      </c>
      <c r="C2585" s="3">
        <f>IF(B2585="","",SUMIFS('Factory Costs'!$C:$C,'Factory Costs'!$A:$A,"Blades",'Factory Costs'!$B:$B,B2585))</f>
        <v>42</v>
      </c>
    </row>
    <row r="2586" spans="1:3" x14ac:dyDescent="0.25">
      <c r="A2586" s="1" t="s">
        <v>14309</v>
      </c>
      <c r="B2586" s="1" t="s">
        <v>16371</v>
      </c>
      <c r="C2586" s="3">
        <f>IF(B2586="","",SUMIFS('Factory Costs'!$C:$C,'Factory Costs'!$A:$A,"Blades",'Factory Costs'!$B:$B,B2586))</f>
        <v>37</v>
      </c>
    </row>
    <row r="2587" spans="1:3" x14ac:dyDescent="0.25">
      <c r="A2587" s="1" t="s">
        <v>14312</v>
      </c>
      <c r="B2587" s="1" t="s">
        <v>16370</v>
      </c>
      <c r="C2587" s="3">
        <f>IF(B2587="","",SUMIFS('Factory Costs'!$C:$C,'Factory Costs'!$A:$A,"Blades",'Factory Costs'!$B:$B,B2587))</f>
        <v>34</v>
      </c>
    </row>
    <row r="2588" spans="1:3" x14ac:dyDescent="0.25">
      <c r="A2588" s="1" t="s">
        <v>14315</v>
      </c>
      <c r="B2588" s="1" t="s">
        <v>16370</v>
      </c>
      <c r="C2588" s="3">
        <f>IF(B2588="","",SUMIFS('Factory Costs'!$C:$C,'Factory Costs'!$A:$A,"Blades",'Factory Costs'!$B:$B,B2588))</f>
        <v>34</v>
      </c>
    </row>
    <row r="2589" spans="1:3" x14ac:dyDescent="0.25">
      <c r="A2589" s="1" t="s">
        <v>14318</v>
      </c>
      <c r="B2589" s="1" t="s">
        <v>16371</v>
      </c>
      <c r="C2589" s="3">
        <f>IF(B2589="","",SUMIFS('Factory Costs'!$C:$C,'Factory Costs'!$A:$A,"Blades",'Factory Costs'!$B:$B,B2589))</f>
        <v>37</v>
      </c>
    </row>
    <row r="2590" spans="1:3" x14ac:dyDescent="0.25">
      <c r="A2590" s="1" t="s">
        <v>14321</v>
      </c>
      <c r="B2590" s="1" t="s">
        <v>16370</v>
      </c>
      <c r="C2590" s="3">
        <f>IF(B2590="","",SUMIFS('Factory Costs'!$C:$C,'Factory Costs'!$A:$A,"Blades",'Factory Costs'!$B:$B,B2590))</f>
        <v>34</v>
      </c>
    </row>
    <row r="2591" spans="1:3" x14ac:dyDescent="0.25">
      <c r="A2591" s="1" t="s">
        <v>14324</v>
      </c>
      <c r="B2591" s="1" t="s">
        <v>16371</v>
      </c>
      <c r="C2591" s="3">
        <f>IF(B2591="","",SUMIFS('Factory Costs'!$C:$C,'Factory Costs'!$A:$A,"Blades",'Factory Costs'!$B:$B,B2591))</f>
        <v>37</v>
      </c>
    </row>
    <row r="2592" spans="1:3" x14ac:dyDescent="0.25">
      <c r="A2592" s="1" t="s">
        <v>14327</v>
      </c>
      <c r="B2592" s="1" t="s">
        <v>16370</v>
      </c>
      <c r="C2592" s="3">
        <f>IF(B2592="","",SUMIFS('Factory Costs'!$C:$C,'Factory Costs'!$A:$A,"Blades",'Factory Costs'!$B:$B,B2592))</f>
        <v>34</v>
      </c>
    </row>
    <row r="2593" spans="1:3" x14ac:dyDescent="0.25">
      <c r="A2593" s="1" t="s">
        <v>14330</v>
      </c>
      <c r="B2593" s="1" t="s">
        <v>16370</v>
      </c>
      <c r="C2593" s="3">
        <f>IF(B2593="","",SUMIFS('Factory Costs'!$C:$C,'Factory Costs'!$A:$A,"Blades",'Factory Costs'!$B:$B,B2593))</f>
        <v>34</v>
      </c>
    </row>
    <row r="2594" spans="1:3" x14ac:dyDescent="0.25">
      <c r="A2594" s="1" t="s">
        <v>14333</v>
      </c>
      <c r="B2594" s="1" t="s">
        <v>16371</v>
      </c>
      <c r="C2594" s="3">
        <f>IF(B2594="","",SUMIFS('Factory Costs'!$C:$C,'Factory Costs'!$A:$A,"Blades",'Factory Costs'!$B:$B,B2594))</f>
        <v>37</v>
      </c>
    </row>
    <row r="2595" spans="1:3" x14ac:dyDescent="0.25">
      <c r="A2595" s="1" t="s">
        <v>14336</v>
      </c>
      <c r="B2595" s="1" t="s">
        <v>16370</v>
      </c>
      <c r="C2595" s="3">
        <f>IF(B2595="","",SUMIFS('Factory Costs'!$C:$C,'Factory Costs'!$A:$A,"Blades",'Factory Costs'!$B:$B,B2595))</f>
        <v>34</v>
      </c>
    </row>
    <row r="2596" spans="1:3" x14ac:dyDescent="0.25">
      <c r="A2596" s="1" t="s">
        <v>14339</v>
      </c>
      <c r="B2596" s="1" t="s">
        <v>16370</v>
      </c>
      <c r="C2596" s="3">
        <f>IF(B2596="","",SUMIFS('Factory Costs'!$C:$C,'Factory Costs'!$A:$A,"Blades",'Factory Costs'!$B:$B,B2596))</f>
        <v>34</v>
      </c>
    </row>
    <row r="2597" spans="1:3" x14ac:dyDescent="0.25">
      <c r="A2597" s="1" t="s">
        <v>14342</v>
      </c>
      <c r="B2597" s="1" t="s">
        <v>16371</v>
      </c>
      <c r="C2597" s="3">
        <f>IF(B2597="","",SUMIFS('Factory Costs'!$C:$C,'Factory Costs'!$A:$A,"Blades",'Factory Costs'!$B:$B,B2597))</f>
        <v>37</v>
      </c>
    </row>
    <row r="2598" spans="1:3" x14ac:dyDescent="0.25">
      <c r="A2598" s="1" t="s">
        <v>14345</v>
      </c>
      <c r="B2598" s="1" t="s">
        <v>16370</v>
      </c>
      <c r="C2598" s="3">
        <f>IF(B2598="","",SUMIFS('Factory Costs'!$C:$C,'Factory Costs'!$A:$A,"Blades",'Factory Costs'!$B:$B,B2598))</f>
        <v>34</v>
      </c>
    </row>
    <row r="2599" spans="1:3" x14ac:dyDescent="0.25">
      <c r="A2599" s="1" t="s">
        <v>14348</v>
      </c>
      <c r="B2599" s="1" t="s">
        <v>16372</v>
      </c>
      <c r="C2599" s="3">
        <f>IF(B2599="","",SUMIFS('Factory Costs'!$C:$C,'Factory Costs'!$A:$A,"Blades",'Factory Costs'!$B:$B,B2599))</f>
        <v>42</v>
      </c>
    </row>
    <row r="2600" spans="1:3" x14ac:dyDescent="0.25">
      <c r="A2600" s="1" t="s">
        <v>14351</v>
      </c>
      <c r="B2600" s="1" t="s">
        <v>16372</v>
      </c>
      <c r="C2600" s="3">
        <f>IF(B2600="","",SUMIFS('Factory Costs'!$C:$C,'Factory Costs'!$A:$A,"Blades",'Factory Costs'!$B:$B,B2600))</f>
        <v>42</v>
      </c>
    </row>
    <row r="2601" spans="1:3" x14ac:dyDescent="0.25">
      <c r="A2601" s="1" t="s">
        <v>14354</v>
      </c>
      <c r="B2601" s="1" t="s">
        <v>16371</v>
      </c>
      <c r="C2601" s="3">
        <f>IF(B2601="","",SUMIFS('Factory Costs'!$C:$C,'Factory Costs'!$A:$A,"Blades",'Factory Costs'!$B:$B,B2601))</f>
        <v>37</v>
      </c>
    </row>
    <row r="2602" spans="1:3" x14ac:dyDescent="0.25">
      <c r="A2602" s="1" t="s">
        <v>14357</v>
      </c>
      <c r="B2602" s="1" t="s">
        <v>16371</v>
      </c>
      <c r="C2602" s="3">
        <f>IF(B2602="","",SUMIFS('Factory Costs'!$C:$C,'Factory Costs'!$A:$A,"Blades",'Factory Costs'!$B:$B,B2602))</f>
        <v>37</v>
      </c>
    </row>
    <row r="2603" spans="1:3" x14ac:dyDescent="0.25">
      <c r="A2603" s="1" t="s">
        <v>14360</v>
      </c>
      <c r="B2603" s="1" t="s">
        <v>16372</v>
      </c>
      <c r="C2603" s="3">
        <f>IF(B2603="","",SUMIFS('Factory Costs'!$C:$C,'Factory Costs'!$A:$A,"Blades",'Factory Costs'!$B:$B,B2603))</f>
        <v>42</v>
      </c>
    </row>
    <row r="2604" spans="1:3" x14ac:dyDescent="0.25">
      <c r="A2604" s="1" t="s">
        <v>14363</v>
      </c>
      <c r="B2604" s="1" t="s">
        <v>16372</v>
      </c>
      <c r="C2604" s="3">
        <f>IF(B2604="","",SUMIFS('Factory Costs'!$C:$C,'Factory Costs'!$A:$A,"Blades",'Factory Costs'!$B:$B,B2604))</f>
        <v>42</v>
      </c>
    </row>
    <row r="2605" spans="1:3" x14ac:dyDescent="0.25">
      <c r="A2605" s="1" t="s">
        <v>14366</v>
      </c>
      <c r="B2605" s="1" t="s">
        <v>16371</v>
      </c>
      <c r="C2605" s="3">
        <f>IF(B2605="","",SUMIFS('Factory Costs'!$C:$C,'Factory Costs'!$A:$A,"Blades",'Factory Costs'!$B:$B,B2605))</f>
        <v>37</v>
      </c>
    </row>
    <row r="2606" spans="1:3" x14ac:dyDescent="0.25">
      <c r="A2606" s="1" t="s">
        <v>14369</v>
      </c>
      <c r="B2606" s="1" t="s">
        <v>16371</v>
      </c>
      <c r="C2606" s="3">
        <f>IF(B2606="","",SUMIFS('Factory Costs'!$C:$C,'Factory Costs'!$A:$A,"Blades",'Factory Costs'!$B:$B,B2606))</f>
        <v>37</v>
      </c>
    </row>
    <row r="2607" spans="1:3" x14ac:dyDescent="0.25">
      <c r="A2607" s="1" t="s">
        <v>14372</v>
      </c>
      <c r="B2607" s="1" t="s">
        <v>16370</v>
      </c>
      <c r="C2607" s="3">
        <f>IF(B2607="","",SUMIFS('Factory Costs'!$C:$C,'Factory Costs'!$A:$A,"Blades",'Factory Costs'!$B:$B,B2607))</f>
        <v>34</v>
      </c>
    </row>
    <row r="2608" spans="1:3" x14ac:dyDescent="0.25">
      <c r="A2608" s="1" t="s">
        <v>14375</v>
      </c>
      <c r="B2608" s="1" t="s">
        <v>16370</v>
      </c>
      <c r="C2608" s="3">
        <f>IF(B2608="","",SUMIFS('Factory Costs'!$C:$C,'Factory Costs'!$A:$A,"Blades",'Factory Costs'!$B:$B,B2608))</f>
        <v>34</v>
      </c>
    </row>
    <row r="2609" spans="1:3" x14ac:dyDescent="0.25">
      <c r="A2609" s="1" t="s">
        <v>14378</v>
      </c>
      <c r="B2609" s="1" t="s">
        <v>16371</v>
      </c>
      <c r="C2609" s="3">
        <f>IF(B2609="","",SUMIFS('Factory Costs'!$C:$C,'Factory Costs'!$A:$A,"Blades",'Factory Costs'!$B:$B,B2609))</f>
        <v>37</v>
      </c>
    </row>
    <row r="2610" spans="1:3" x14ac:dyDescent="0.25">
      <c r="A2610" s="1" t="s">
        <v>14381</v>
      </c>
      <c r="B2610" s="1" t="s">
        <v>16371</v>
      </c>
      <c r="C2610" s="3">
        <f>IF(B2610="","",SUMIFS('Factory Costs'!$C:$C,'Factory Costs'!$A:$A,"Blades",'Factory Costs'!$B:$B,B2610))</f>
        <v>37</v>
      </c>
    </row>
    <row r="2611" spans="1:3" x14ac:dyDescent="0.25">
      <c r="A2611" s="1" t="s">
        <v>14384</v>
      </c>
      <c r="B2611" s="1" t="s">
        <v>16371</v>
      </c>
      <c r="C2611" s="3">
        <f>IF(B2611="","",SUMIFS('Factory Costs'!$C:$C,'Factory Costs'!$A:$A,"Blades",'Factory Costs'!$B:$B,B2611))</f>
        <v>37</v>
      </c>
    </row>
    <row r="2612" spans="1:3" x14ac:dyDescent="0.25">
      <c r="A2612" s="1" t="s">
        <v>14387</v>
      </c>
      <c r="B2612" s="1" t="s">
        <v>16370</v>
      </c>
      <c r="C2612" s="3">
        <f>IF(B2612="","",SUMIFS('Factory Costs'!$C:$C,'Factory Costs'!$A:$A,"Blades",'Factory Costs'!$B:$B,B2612))</f>
        <v>34</v>
      </c>
    </row>
    <row r="2613" spans="1:3" x14ac:dyDescent="0.25">
      <c r="A2613" s="1" t="s">
        <v>14390</v>
      </c>
      <c r="B2613" s="1" t="s">
        <v>16370</v>
      </c>
      <c r="C2613" s="3">
        <f>IF(B2613="","",SUMIFS('Factory Costs'!$C:$C,'Factory Costs'!$A:$A,"Blades",'Factory Costs'!$B:$B,B2613))</f>
        <v>34</v>
      </c>
    </row>
    <row r="2614" spans="1:3" x14ac:dyDescent="0.25">
      <c r="A2614" s="1" t="s">
        <v>14393</v>
      </c>
      <c r="B2614" s="1" t="s">
        <v>16370</v>
      </c>
      <c r="C2614" s="3">
        <f>IF(B2614="","",SUMIFS('Factory Costs'!$C:$C,'Factory Costs'!$A:$A,"Blades",'Factory Costs'!$B:$B,B2614))</f>
        <v>34</v>
      </c>
    </row>
    <row r="2615" spans="1:3" x14ac:dyDescent="0.25">
      <c r="A2615" s="1" t="s">
        <v>14396</v>
      </c>
      <c r="B2615" s="1" t="s">
        <v>16372</v>
      </c>
      <c r="C2615" s="3">
        <f>IF(B2615="","",SUMIFS('Factory Costs'!$C:$C,'Factory Costs'!$A:$A,"Blades",'Factory Costs'!$B:$B,B2615))</f>
        <v>42</v>
      </c>
    </row>
    <row r="2616" spans="1:3" x14ac:dyDescent="0.25">
      <c r="A2616" s="1" t="s">
        <v>14399</v>
      </c>
      <c r="B2616" s="1" t="s">
        <v>16372</v>
      </c>
      <c r="C2616" s="3">
        <f>IF(B2616="","",SUMIFS('Factory Costs'!$C:$C,'Factory Costs'!$A:$A,"Blades",'Factory Costs'!$B:$B,B2616))</f>
        <v>42</v>
      </c>
    </row>
    <row r="2617" spans="1:3" x14ac:dyDescent="0.25">
      <c r="A2617" s="1" t="s">
        <v>14402</v>
      </c>
      <c r="B2617" s="1" t="s">
        <v>16371</v>
      </c>
      <c r="C2617" s="3">
        <f>IF(B2617="","",SUMIFS('Factory Costs'!$C:$C,'Factory Costs'!$A:$A,"Blades",'Factory Costs'!$B:$B,B2617))</f>
        <v>37</v>
      </c>
    </row>
    <row r="2618" spans="1:3" x14ac:dyDescent="0.25">
      <c r="A2618" s="1" t="s">
        <v>14405</v>
      </c>
      <c r="B2618" s="1" t="s">
        <v>16372</v>
      </c>
      <c r="C2618" s="3">
        <f>IF(B2618="","",SUMIFS('Factory Costs'!$C:$C,'Factory Costs'!$A:$A,"Blades",'Factory Costs'!$B:$B,B2618))</f>
        <v>42</v>
      </c>
    </row>
    <row r="2619" spans="1:3" x14ac:dyDescent="0.25">
      <c r="A2619" s="1" t="s">
        <v>14408</v>
      </c>
      <c r="B2619" s="1" t="s">
        <v>16371</v>
      </c>
      <c r="C2619" s="3">
        <f>IF(B2619="","",SUMIFS('Factory Costs'!$C:$C,'Factory Costs'!$A:$A,"Blades",'Factory Costs'!$B:$B,B2619))</f>
        <v>37</v>
      </c>
    </row>
    <row r="2620" spans="1:3" x14ac:dyDescent="0.25">
      <c r="A2620" s="1" t="s">
        <v>14411</v>
      </c>
      <c r="B2620" s="1" t="s">
        <v>16371</v>
      </c>
      <c r="C2620" s="3">
        <f>IF(B2620="","",SUMIFS('Factory Costs'!$C:$C,'Factory Costs'!$A:$A,"Blades",'Factory Costs'!$B:$B,B2620))</f>
        <v>37</v>
      </c>
    </row>
    <row r="2621" spans="1:3" x14ac:dyDescent="0.25">
      <c r="A2621" s="1" t="s">
        <v>14414</v>
      </c>
      <c r="B2621" s="1" t="s">
        <v>16372</v>
      </c>
      <c r="C2621" s="3">
        <f>IF(B2621="","",SUMIFS('Factory Costs'!$C:$C,'Factory Costs'!$A:$A,"Blades",'Factory Costs'!$B:$B,B2621))</f>
        <v>42</v>
      </c>
    </row>
    <row r="2622" spans="1:3" x14ac:dyDescent="0.25">
      <c r="A2622" s="1" t="s">
        <v>14417</v>
      </c>
      <c r="B2622" s="1" t="s">
        <v>16370</v>
      </c>
      <c r="C2622" s="3">
        <f>IF(B2622="","",SUMIFS('Factory Costs'!$C:$C,'Factory Costs'!$A:$A,"Blades",'Factory Costs'!$B:$B,B2622))</f>
        <v>34</v>
      </c>
    </row>
    <row r="2623" spans="1:3" x14ac:dyDescent="0.25">
      <c r="A2623" s="1" t="s">
        <v>14420</v>
      </c>
      <c r="B2623" s="1" t="s">
        <v>16370</v>
      </c>
      <c r="C2623" s="3">
        <f>IF(B2623="","",SUMIFS('Factory Costs'!$C:$C,'Factory Costs'!$A:$A,"Blades",'Factory Costs'!$B:$B,B2623))</f>
        <v>34</v>
      </c>
    </row>
    <row r="2624" spans="1:3" x14ac:dyDescent="0.25">
      <c r="A2624" s="1" t="s">
        <v>14423</v>
      </c>
      <c r="B2624" s="1" t="s">
        <v>16370</v>
      </c>
      <c r="C2624" s="3">
        <f>IF(B2624="","",SUMIFS('Factory Costs'!$C:$C,'Factory Costs'!$A:$A,"Blades",'Factory Costs'!$B:$B,B2624))</f>
        <v>34</v>
      </c>
    </row>
    <row r="2625" spans="1:3" x14ac:dyDescent="0.25">
      <c r="A2625" s="1" t="s">
        <v>14426</v>
      </c>
      <c r="B2625" s="1" t="s">
        <v>16371</v>
      </c>
      <c r="C2625" s="3">
        <f>IF(B2625="","",SUMIFS('Factory Costs'!$C:$C,'Factory Costs'!$A:$A,"Blades",'Factory Costs'!$B:$B,B2625))</f>
        <v>37</v>
      </c>
    </row>
    <row r="2626" spans="1:3" x14ac:dyDescent="0.25">
      <c r="A2626" s="1" t="s">
        <v>14429</v>
      </c>
      <c r="B2626" s="1" t="s">
        <v>16371</v>
      </c>
      <c r="C2626" s="3">
        <f>IF(B2626="","",SUMIFS('Factory Costs'!$C:$C,'Factory Costs'!$A:$A,"Blades",'Factory Costs'!$B:$B,B2626))</f>
        <v>37</v>
      </c>
    </row>
    <row r="2627" spans="1:3" x14ac:dyDescent="0.25">
      <c r="A2627" s="1" t="s">
        <v>14432</v>
      </c>
      <c r="B2627" s="1" t="s">
        <v>16371</v>
      </c>
      <c r="C2627" s="3">
        <f>IF(B2627="","",SUMIFS('Factory Costs'!$C:$C,'Factory Costs'!$A:$A,"Blades",'Factory Costs'!$B:$B,B2627))</f>
        <v>37</v>
      </c>
    </row>
    <row r="2628" spans="1:3" x14ac:dyDescent="0.25">
      <c r="A2628" s="1" t="s">
        <v>14435</v>
      </c>
      <c r="B2628" s="1" t="s">
        <v>16372</v>
      </c>
      <c r="C2628" s="3">
        <f>IF(B2628="","",SUMIFS('Factory Costs'!$C:$C,'Factory Costs'!$A:$A,"Blades",'Factory Costs'!$B:$B,B2628))</f>
        <v>42</v>
      </c>
    </row>
    <row r="2629" spans="1:3" x14ac:dyDescent="0.25">
      <c r="A2629" s="1" t="s">
        <v>14438</v>
      </c>
      <c r="B2629" s="1" t="s">
        <v>16370</v>
      </c>
      <c r="C2629" s="3">
        <f>IF(B2629="","",SUMIFS('Factory Costs'!$C:$C,'Factory Costs'!$A:$A,"Blades",'Factory Costs'!$B:$B,B2629))</f>
        <v>34</v>
      </c>
    </row>
    <row r="2630" spans="1:3" x14ac:dyDescent="0.25">
      <c r="A2630" s="1" t="s">
        <v>14441</v>
      </c>
      <c r="B2630" s="1" t="s">
        <v>16370</v>
      </c>
      <c r="C2630" s="3">
        <f>IF(B2630="","",SUMIFS('Factory Costs'!$C:$C,'Factory Costs'!$A:$A,"Blades",'Factory Costs'!$B:$B,B2630))</f>
        <v>34</v>
      </c>
    </row>
    <row r="2631" spans="1:3" x14ac:dyDescent="0.25">
      <c r="A2631" s="1" t="s">
        <v>14444</v>
      </c>
      <c r="B2631" s="1" t="s">
        <v>16370</v>
      </c>
      <c r="C2631" s="3">
        <f>IF(B2631="","",SUMIFS('Factory Costs'!$C:$C,'Factory Costs'!$A:$A,"Blades",'Factory Costs'!$B:$B,B2631))</f>
        <v>34</v>
      </c>
    </row>
    <row r="2632" spans="1:3" x14ac:dyDescent="0.25">
      <c r="A2632" s="1" t="s">
        <v>14447</v>
      </c>
      <c r="B2632" s="1" t="s">
        <v>16370</v>
      </c>
      <c r="C2632" s="3">
        <f>IF(B2632="","",SUMIFS('Factory Costs'!$C:$C,'Factory Costs'!$A:$A,"Blades",'Factory Costs'!$B:$B,B2632))</f>
        <v>34</v>
      </c>
    </row>
    <row r="2633" spans="1:3" x14ac:dyDescent="0.25">
      <c r="A2633" s="1" t="s">
        <v>14450</v>
      </c>
      <c r="B2633" s="1" t="s">
        <v>16372</v>
      </c>
      <c r="C2633" s="3">
        <f>IF(B2633="","",SUMIFS('Factory Costs'!$C:$C,'Factory Costs'!$A:$A,"Blades",'Factory Costs'!$B:$B,B2633))</f>
        <v>42</v>
      </c>
    </row>
    <row r="2634" spans="1:3" x14ac:dyDescent="0.25">
      <c r="A2634" s="1" t="s">
        <v>14453</v>
      </c>
      <c r="B2634" s="1" t="s">
        <v>16370</v>
      </c>
      <c r="C2634" s="3">
        <f>IF(B2634="","",SUMIFS('Factory Costs'!$C:$C,'Factory Costs'!$A:$A,"Blades",'Factory Costs'!$B:$B,B2634))</f>
        <v>34</v>
      </c>
    </row>
    <row r="2635" spans="1:3" x14ac:dyDescent="0.25">
      <c r="A2635" s="1" t="s">
        <v>14456</v>
      </c>
      <c r="B2635" s="1" t="s">
        <v>16370</v>
      </c>
      <c r="C2635" s="3">
        <f>IF(B2635="","",SUMIFS('Factory Costs'!$C:$C,'Factory Costs'!$A:$A,"Blades",'Factory Costs'!$B:$B,B2635))</f>
        <v>34</v>
      </c>
    </row>
    <row r="2636" spans="1:3" x14ac:dyDescent="0.25">
      <c r="A2636" s="1" t="s">
        <v>14459</v>
      </c>
      <c r="B2636" s="1" t="s">
        <v>16371</v>
      </c>
      <c r="C2636" s="3">
        <f>IF(B2636="","",SUMIFS('Factory Costs'!$C:$C,'Factory Costs'!$A:$A,"Blades",'Factory Costs'!$B:$B,B2636))</f>
        <v>37</v>
      </c>
    </row>
    <row r="2637" spans="1:3" x14ac:dyDescent="0.25">
      <c r="A2637" s="1" t="s">
        <v>14462</v>
      </c>
      <c r="B2637" s="1" t="s">
        <v>16372</v>
      </c>
      <c r="C2637" s="3">
        <f>IF(B2637="","",SUMIFS('Factory Costs'!$C:$C,'Factory Costs'!$A:$A,"Blades",'Factory Costs'!$B:$B,B2637))</f>
        <v>42</v>
      </c>
    </row>
    <row r="2638" spans="1:3" x14ac:dyDescent="0.25">
      <c r="A2638" s="1" t="s">
        <v>14465</v>
      </c>
      <c r="B2638" s="1" t="s">
        <v>16371</v>
      </c>
      <c r="C2638" s="3">
        <f>IF(B2638="","",SUMIFS('Factory Costs'!$C:$C,'Factory Costs'!$A:$A,"Blades",'Factory Costs'!$B:$B,B2638))</f>
        <v>37</v>
      </c>
    </row>
    <row r="2639" spans="1:3" x14ac:dyDescent="0.25">
      <c r="A2639" s="1" t="s">
        <v>14468</v>
      </c>
      <c r="B2639" s="1" t="s">
        <v>16371</v>
      </c>
      <c r="C2639" s="3">
        <f>IF(B2639="","",SUMIFS('Factory Costs'!$C:$C,'Factory Costs'!$A:$A,"Blades",'Factory Costs'!$B:$B,B2639))</f>
        <v>37</v>
      </c>
    </row>
    <row r="2640" spans="1:3" x14ac:dyDescent="0.25">
      <c r="A2640" s="1" t="s">
        <v>14471</v>
      </c>
      <c r="B2640" s="1" t="s">
        <v>16372</v>
      </c>
      <c r="C2640" s="3">
        <f>IF(B2640="","",SUMIFS('Factory Costs'!$C:$C,'Factory Costs'!$A:$A,"Blades",'Factory Costs'!$B:$B,B2640))</f>
        <v>42</v>
      </c>
    </row>
    <row r="2641" spans="1:3" x14ac:dyDescent="0.25">
      <c r="A2641" s="1" t="s">
        <v>14474</v>
      </c>
      <c r="B2641" s="1" t="s">
        <v>16370</v>
      </c>
      <c r="C2641" s="3">
        <f>IF(B2641="","",SUMIFS('Factory Costs'!$C:$C,'Factory Costs'!$A:$A,"Blades",'Factory Costs'!$B:$B,B2641))</f>
        <v>34</v>
      </c>
    </row>
    <row r="2642" spans="1:3" x14ac:dyDescent="0.25">
      <c r="A2642" s="1" t="s">
        <v>14477</v>
      </c>
      <c r="B2642" s="1" t="s">
        <v>16372</v>
      </c>
      <c r="C2642" s="3">
        <f>IF(B2642="","",SUMIFS('Factory Costs'!$C:$C,'Factory Costs'!$A:$A,"Blades",'Factory Costs'!$B:$B,B2642))</f>
        <v>42</v>
      </c>
    </row>
    <row r="2643" spans="1:3" x14ac:dyDescent="0.25">
      <c r="A2643" s="1" t="s">
        <v>14480</v>
      </c>
      <c r="B2643" s="1" t="s">
        <v>16371</v>
      </c>
      <c r="C2643" s="3">
        <f>IF(B2643="","",SUMIFS('Factory Costs'!$C:$C,'Factory Costs'!$A:$A,"Blades",'Factory Costs'!$B:$B,B2643))</f>
        <v>37</v>
      </c>
    </row>
    <row r="2644" spans="1:3" x14ac:dyDescent="0.25">
      <c r="A2644" s="1" t="s">
        <v>14483</v>
      </c>
      <c r="B2644" s="1" t="s">
        <v>16372</v>
      </c>
      <c r="C2644" s="3">
        <f>IF(B2644="","",SUMIFS('Factory Costs'!$C:$C,'Factory Costs'!$A:$A,"Blades",'Factory Costs'!$B:$B,B2644))</f>
        <v>42</v>
      </c>
    </row>
    <row r="2645" spans="1:3" x14ac:dyDescent="0.25">
      <c r="A2645" s="1" t="s">
        <v>14486</v>
      </c>
      <c r="B2645" s="1" t="s">
        <v>16372</v>
      </c>
      <c r="C2645" s="3">
        <f>IF(B2645="","",SUMIFS('Factory Costs'!$C:$C,'Factory Costs'!$A:$A,"Blades",'Factory Costs'!$B:$B,B2645))</f>
        <v>42</v>
      </c>
    </row>
    <row r="2646" spans="1:3" x14ac:dyDescent="0.25">
      <c r="A2646" s="1" t="s">
        <v>14489</v>
      </c>
      <c r="B2646" s="1" t="s">
        <v>16370</v>
      </c>
      <c r="C2646" s="3">
        <f>IF(B2646="","",SUMIFS('Factory Costs'!$C:$C,'Factory Costs'!$A:$A,"Blades",'Factory Costs'!$B:$B,B2646))</f>
        <v>34</v>
      </c>
    </row>
    <row r="2647" spans="1:3" x14ac:dyDescent="0.25">
      <c r="A2647" s="1" t="s">
        <v>14492</v>
      </c>
      <c r="B2647" s="1" t="s">
        <v>16372</v>
      </c>
      <c r="C2647" s="3">
        <f>IF(B2647="","",SUMIFS('Factory Costs'!$C:$C,'Factory Costs'!$A:$A,"Blades",'Factory Costs'!$B:$B,B2647))</f>
        <v>42</v>
      </c>
    </row>
    <row r="2648" spans="1:3" x14ac:dyDescent="0.25">
      <c r="A2648" s="1" t="s">
        <v>14495</v>
      </c>
      <c r="B2648" s="1" t="s">
        <v>16370</v>
      </c>
      <c r="C2648" s="3">
        <f>IF(B2648="","",SUMIFS('Factory Costs'!$C:$C,'Factory Costs'!$A:$A,"Blades",'Factory Costs'!$B:$B,B2648))</f>
        <v>34</v>
      </c>
    </row>
    <row r="2649" spans="1:3" x14ac:dyDescent="0.25">
      <c r="A2649" s="1" t="s">
        <v>14498</v>
      </c>
      <c r="B2649" s="1" t="s">
        <v>16372</v>
      </c>
      <c r="C2649" s="3">
        <f>IF(B2649="","",SUMIFS('Factory Costs'!$C:$C,'Factory Costs'!$A:$A,"Blades",'Factory Costs'!$B:$B,B2649))</f>
        <v>42</v>
      </c>
    </row>
    <row r="2650" spans="1:3" x14ac:dyDescent="0.25">
      <c r="A2650" s="1" t="s">
        <v>14501</v>
      </c>
      <c r="B2650" s="1" t="s">
        <v>16370</v>
      </c>
      <c r="C2650" s="3">
        <f>IF(B2650="","",SUMIFS('Factory Costs'!$C:$C,'Factory Costs'!$A:$A,"Blades",'Factory Costs'!$B:$B,B2650))</f>
        <v>34</v>
      </c>
    </row>
    <row r="2651" spans="1:3" x14ac:dyDescent="0.25">
      <c r="A2651" s="1" t="s">
        <v>14504</v>
      </c>
      <c r="B2651" s="1" t="s">
        <v>16372</v>
      </c>
      <c r="C2651" s="3">
        <f>IF(B2651="","",SUMIFS('Factory Costs'!$C:$C,'Factory Costs'!$A:$A,"Blades",'Factory Costs'!$B:$B,B2651))</f>
        <v>42</v>
      </c>
    </row>
    <row r="2652" spans="1:3" x14ac:dyDescent="0.25">
      <c r="A2652" s="1" t="s">
        <v>14507</v>
      </c>
      <c r="B2652" s="1" t="s">
        <v>16371</v>
      </c>
      <c r="C2652" s="3">
        <f>IF(B2652="","",SUMIFS('Factory Costs'!$C:$C,'Factory Costs'!$A:$A,"Blades",'Factory Costs'!$B:$B,B2652))</f>
        <v>37</v>
      </c>
    </row>
    <row r="2653" spans="1:3" x14ac:dyDescent="0.25">
      <c r="A2653" s="1" t="s">
        <v>14510</v>
      </c>
      <c r="B2653" s="1" t="s">
        <v>16371</v>
      </c>
      <c r="C2653" s="3">
        <f>IF(B2653="","",SUMIFS('Factory Costs'!$C:$C,'Factory Costs'!$A:$A,"Blades",'Factory Costs'!$B:$B,B2653))</f>
        <v>37</v>
      </c>
    </row>
    <row r="2654" spans="1:3" x14ac:dyDescent="0.25">
      <c r="A2654" s="1" t="s">
        <v>14513</v>
      </c>
      <c r="B2654" s="1" t="s">
        <v>16372</v>
      </c>
      <c r="C2654" s="3">
        <f>IF(B2654="","",SUMIFS('Factory Costs'!$C:$C,'Factory Costs'!$A:$A,"Blades",'Factory Costs'!$B:$B,B2654))</f>
        <v>42</v>
      </c>
    </row>
    <row r="2655" spans="1:3" x14ac:dyDescent="0.25">
      <c r="A2655" s="1" t="s">
        <v>14516</v>
      </c>
      <c r="B2655" s="1" t="s">
        <v>16370</v>
      </c>
      <c r="C2655" s="3">
        <f>IF(B2655="","",SUMIFS('Factory Costs'!$C:$C,'Factory Costs'!$A:$A,"Blades",'Factory Costs'!$B:$B,B2655))</f>
        <v>34</v>
      </c>
    </row>
    <row r="2656" spans="1:3" x14ac:dyDescent="0.25">
      <c r="A2656" s="1" t="s">
        <v>14519</v>
      </c>
      <c r="B2656" s="1" t="s">
        <v>16370</v>
      </c>
      <c r="C2656" s="3">
        <f>IF(B2656="","",SUMIFS('Factory Costs'!$C:$C,'Factory Costs'!$A:$A,"Blades",'Factory Costs'!$B:$B,B2656))</f>
        <v>34</v>
      </c>
    </row>
    <row r="2657" spans="1:3" x14ac:dyDescent="0.25">
      <c r="A2657" s="1" t="s">
        <v>14522</v>
      </c>
      <c r="B2657" s="1" t="s">
        <v>16372</v>
      </c>
      <c r="C2657" s="3">
        <f>IF(B2657="","",SUMIFS('Factory Costs'!$C:$C,'Factory Costs'!$A:$A,"Blades",'Factory Costs'!$B:$B,B2657))</f>
        <v>42</v>
      </c>
    </row>
    <row r="2658" spans="1:3" x14ac:dyDescent="0.25">
      <c r="A2658" s="1" t="s">
        <v>14525</v>
      </c>
      <c r="B2658" s="1" t="s">
        <v>16371</v>
      </c>
      <c r="C2658" s="3">
        <f>IF(B2658="","",SUMIFS('Factory Costs'!$C:$C,'Factory Costs'!$A:$A,"Blades",'Factory Costs'!$B:$B,B2658))</f>
        <v>37</v>
      </c>
    </row>
    <row r="2659" spans="1:3" x14ac:dyDescent="0.25">
      <c r="A2659" s="1" t="s">
        <v>14528</v>
      </c>
      <c r="B2659" s="1" t="s">
        <v>16372</v>
      </c>
      <c r="C2659" s="3">
        <f>IF(B2659="","",SUMIFS('Factory Costs'!$C:$C,'Factory Costs'!$A:$A,"Blades",'Factory Costs'!$B:$B,B2659))</f>
        <v>42</v>
      </c>
    </row>
    <row r="2660" spans="1:3" x14ac:dyDescent="0.25">
      <c r="A2660" s="1" t="s">
        <v>14531</v>
      </c>
      <c r="B2660" s="1" t="s">
        <v>16371</v>
      </c>
      <c r="C2660" s="3">
        <f>IF(B2660="","",SUMIFS('Factory Costs'!$C:$C,'Factory Costs'!$A:$A,"Blades",'Factory Costs'!$B:$B,B2660))</f>
        <v>37</v>
      </c>
    </row>
    <row r="2661" spans="1:3" x14ac:dyDescent="0.25">
      <c r="A2661" s="1" t="s">
        <v>14534</v>
      </c>
      <c r="B2661" s="1" t="s">
        <v>16370</v>
      </c>
      <c r="C2661" s="3">
        <f>IF(B2661="","",SUMIFS('Factory Costs'!$C:$C,'Factory Costs'!$A:$A,"Blades",'Factory Costs'!$B:$B,B2661))</f>
        <v>34</v>
      </c>
    </row>
    <row r="2662" spans="1:3" x14ac:dyDescent="0.25">
      <c r="A2662" s="1" t="s">
        <v>14537</v>
      </c>
      <c r="B2662" s="1" t="s">
        <v>16370</v>
      </c>
      <c r="C2662" s="3">
        <f>IF(B2662="","",SUMIFS('Factory Costs'!$C:$C,'Factory Costs'!$A:$A,"Blades",'Factory Costs'!$B:$B,B2662))</f>
        <v>34</v>
      </c>
    </row>
    <row r="2663" spans="1:3" x14ac:dyDescent="0.25">
      <c r="A2663" s="1" t="s">
        <v>14540</v>
      </c>
      <c r="B2663" s="1" t="s">
        <v>16370</v>
      </c>
      <c r="C2663" s="3">
        <f>IF(B2663="","",SUMIFS('Factory Costs'!$C:$C,'Factory Costs'!$A:$A,"Blades",'Factory Costs'!$B:$B,B2663))</f>
        <v>34</v>
      </c>
    </row>
    <row r="2664" spans="1:3" x14ac:dyDescent="0.25">
      <c r="A2664" s="1" t="s">
        <v>14543</v>
      </c>
      <c r="B2664" s="1" t="s">
        <v>16372</v>
      </c>
      <c r="C2664" s="3">
        <f>IF(B2664="","",SUMIFS('Factory Costs'!$C:$C,'Factory Costs'!$A:$A,"Blades",'Factory Costs'!$B:$B,B2664))</f>
        <v>42</v>
      </c>
    </row>
    <row r="2665" spans="1:3" x14ac:dyDescent="0.25">
      <c r="A2665" s="1" t="s">
        <v>14546</v>
      </c>
      <c r="B2665" s="1" t="s">
        <v>16372</v>
      </c>
      <c r="C2665" s="3">
        <f>IF(B2665="","",SUMIFS('Factory Costs'!$C:$C,'Factory Costs'!$A:$A,"Blades",'Factory Costs'!$B:$B,B2665))</f>
        <v>42</v>
      </c>
    </row>
    <row r="2666" spans="1:3" x14ac:dyDescent="0.25">
      <c r="A2666" s="1" t="s">
        <v>14549</v>
      </c>
      <c r="B2666" s="1" t="s">
        <v>16372</v>
      </c>
      <c r="C2666" s="3">
        <f>IF(B2666="","",SUMIFS('Factory Costs'!$C:$C,'Factory Costs'!$A:$A,"Blades",'Factory Costs'!$B:$B,B2666))</f>
        <v>42</v>
      </c>
    </row>
    <row r="2667" spans="1:3" x14ac:dyDescent="0.25">
      <c r="A2667" s="1" t="s">
        <v>14552</v>
      </c>
      <c r="B2667" s="1" t="s">
        <v>16372</v>
      </c>
      <c r="C2667" s="3">
        <f>IF(B2667="","",SUMIFS('Factory Costs'!$C:$C,'Factory Costs'!$A:$A,"Blades",'Factory Costs'!$B:$B,B2667))</f>
        <v>42</v>
      </c>
    </row>
    <row r="2668" spans="1:3" x14ac:dyDescent="0.25">
      <c r="A2668" s="1" t="s">
        <v>14555</v>
      </c>
      <c r="B2668" s="1" t="s">
        <v>16370</v>
      </c>
      <c r="C2668" s="3">
        <f>IF(B2668="","",SUMIFS('Factory Costs'!$C:$C,'Factory Costs'!$A:$A,"Blades",'Factory Costs'!$B:$B,B2668))</f>
        <v>34</v>
      </c>
    </row>
    <row r="2669" spans="1:3" x14ac:dyDescent="0.25">
      <c r="A2669" s="1" t="s">
        <v>14558</v>
      </c>
      <c r="B2669" s="1" t="s">
        <v>16370</v>
      </c>
      <c r="C2669" s="3">
        <f>IF(B2669="","",SUMIFS('Factory Costs'!$C:$C,'Factory Costs'!$A:$A,"Blades",'Factory Costs'!$B:$B,B2669))</f>
        <v>34</v>
      </c>
    </row>
    <row r="2670" spans="1:3" x14ac:dyDescent="0.25">
      <c r="A2670" s="1" t="s">
        <v>14561</v>
      </c>
      <c r="B2670" s="1" t="s">
        <v>16370</v>
      </c>
      <c r="C2670" s="3">
        <f>IF(B2670="","",SUMIFS('Factory Costs'!$C:$C,'Factory Costs'!$A:$A,"Blades",'Factory Costs'!$B:$B,B2670))</f>
        <v>34</v>
      </c>
    </row>
    <row r="2671" spans="1:3" x14ac:dyDescent="0.25">
      <c r="A2671" s="1" t="s">
        <v>14564</v>
      </c>
      <c r="B2671" s="1" t="s">
        <v>16372</v>
      </c>
      <c r="C2671" s="3">
        <f>IF(B2671="","",SUMIFS('Factory Costs'!$C:$C,'Factory Costs'!$A:$A,"Blades",'Factory Costs'!$B:$B,B2671))</f>
        <v>42</v>
      </c>
    </row>
    <row r="2672" spans="1:3" x14ac:dyDescent="0.25">
      <c r="A2672" s="1" t="s">
        <v>14567</v>
      </c>
      <c r="B2672" s="1" t="s">
        <v>16372</v>
      </c>
      <c r="C2672" s="3">
        <f>IF(B2672="","",SUMIFS('Factory Costs'!$C:$C,'Factory Costs'!$A:$A,"Blades",'Factory Costs'!$B:$B,B2672))</f>
        <v>42</v>
      </c>
    </row>
    <row r="2673" spans="1:3" x14ac:dyDescent="0.25">
      <c r="A2673" s="1" t="s">
        <v>14570</v>
      </c>
      <c r="B2673" s="1" t="s">
        <v>16370</v>
      </c>
      <c r="C2673" s="3">
        <f>IF(B2673="","",SUMIFS('Factory Costs'!$C:$C,'Factory Costs'!$A:$A,"Blades",'Factory Costs'!$B:$B,B2673))</f>
        <v>34</v>
      </c>
    </row>
    <row r="2674" spans="1:3" x14ac:dyDescent="0.25">
      <c r="A2674" s="1" t="s">
        <v>14573</v>
      </c>
      <c r="B2674" s="1" t="s">
        <v>16370</v>
      </c>
      <c r="C2674" s="3">
        <f>IF(B2674="","",SUMIFS('Factory Costs'!$C:$C,'Factory Costs'!$A:$A,"Blades",'Factory Costs'!$B:$B,B2674))</f>
        <v>34</v>
      </c>
    </row>
    <row r="2675" spans="1:3" x14ac:dyDescent="0.25">
      <c r="A2675" s="1" t="s">
        <v>14576</v>
      </c>
      <c r="B2675" s="1" t="s">
        <v>16372</v>
      </c>
      <c r="C2675" s="3">
        <f>IF(B2675="","",SUMIFS('Factory Costs'!$C:$C,'Factory Costs'!$A:$A,"Blades",'Factory Costs'!$B:$B,B2675))</f>
        <v>42</v>
      </c>
    </row>
    <row r="2676" spans="1:3" x14ac:dyDescent="0.25">
      <c r="A2676" s="1" t="s">
        <v>14579</v>
      </c>
      <c r="B2676" s="1" t="s">
        <v>16371</v>
      </c>
      <c r="C2676" s="3">
        <f>IF(B2676="","",SUMIFS('Factory Costs'!$C:$C,'Factory Costs'!$A:$A,"Blades",'Factory Costs'!$B:$B,B2676))</f>
        <v>37</v>
      </c>
    </row>
    <row r="2677" spans="1:3" x14ac:dyDescent="0.25">
      <c r="A2677" s="1" t="s">
        <v>14582</v>
      </c>
      <c r="B2677" s="1" t="s">
        <v>16371</v>
      </c>
      <c r="C2677" s="3">
        <f>IF(B2677="","",SUMIFS('Factory Costs'!$C:$C,'Factory Costs'!$A:$A,"Blades",'Factory Costs'!$B:$B,B2677))</f>
        <v>37</v>
      </c>
    </row>
    <row r="2678" spans="1:3" x14ac:dyDescent="0.25">
      <c r="A2678" s="1" t="s">
        <v>14585</v>
      </c>
      <c r="B2678" s="1" t="s">
        <v>16372</v>
      </c>
      <c r="C2678" s="3">
        <f>IF(B2678="","",SUMIFS('Factory Costs'!$C:$C,'Factory Costs'!$A:$A,"Blades",'Factory Costs'!$B:$B,B2678))</f>
        <v>42</v>
      </c>
    </row>
    <row r="2679" spans="1:3" x14ac:dyDescent="0.25">
      <c r="A2679" s="1" t="s">
        <v>14588</v>
      </c>
      <c r="B2679" s="1" t="s">
        <v>16370</v>
      </c>
      <c r="C2679" s="3">
        <f>IF(B2679="","",SUMIFS('Factory Costs'!$C:$C,'Factory Costs'!$A:$A,"Blades",'Factory Costs'!$B:$B,B2679))</f>
        <v>34</v>
      </c>
    </row>
    <row r="2680" spans="1:3" x14ac:dyDescent="0.25">
      <c r="A2680" s="1" t="s">
        <v>14591</v>
      </c>
      <c r="B2680" s="1" t="s">
        <v>16370</v>
      </c>
      <c r="C2680" s="3">
        <f>IF(B2680="","",SUMIFS('Factory Costs'!$C:$C,'Factory Costs'!$A:$A,"Blades",'Factory Costs'!$B:$B,B2680))</f>
        <v>34</v>
      </c>
    </row>
    <row r="2681" spans="1:3" x14ac:dyDescent="0.25">
      <c r="A2681" s="1" t="s">
        <v>14594</v>
      </c>
      <c r="B2681" s="1" t="s">
        <v>16372</v>
      </c>
      <c r="C2681" s="3">
        <f>IF(B2681="","",SUMIFS('Factory Costs'!$C:$C,'Factory Costs'!$A:$A,"Blades",'Factory Costs'!$B:$B,B2681))</f>
        <v>42</v>
      </c>
    </row>
    <row r="2682" spans="1:3" x14ac:dyDescent="0.25">
      <c r="A2682" s="1" t="s">
        <v>14597</v>
      </c>
      <c r="B2682" s="1" t="s">
        <v>16372</v>
      </c>
      <c r="C2682" s="3">
        <f>IF(B2682="","",SUMIFS('Factory Costs'!$C:$C,'Factory Costs'!$A:$A,"Blades",'Factory Costs'!$B:$B,B2682))</f>
        <v>42</v>
      </c>
    </row>
    <row r="2683" spans="1:3" x14ac:dyDescent="0.25">
      <c r="A2683" s="1" t="s">
        <v>14600</v>
      </c>
      <c r="B2683" s="1" t="s">
        <v>16370</v>
      </c>
      <c r="C2683" s="3">
        <f>IF(B2683="","",SUMIFS('Factory Costs'!$C:$C,'Factory Costs'!$A:$A,"Blades",'Factory Costs'!$B:$B,B2683))</f>
        <v>34</v>
      </c>
    </row>
    <row r="2684" spans="1:3" x14ac:dyDescent="0.25">
      <c r="A2684" s="1" t="s">
        <v>14603</v>
      </c>
      <c r="B2684" s="1" t="s">
        <v>16371</v>
      </c>
      <c r="C2684" s="3">
        <f>IF(B2684="","",SUMIFS('Factory Costs'!$C:$C,'Factory Costs'!$A:$A,"Blades",'Factory Costs'!$B:$B,B2684))</f>
        <v>37</v>
      </c>
    </row>
    <row r="2685" spans="1:3" x14ac:dyDescent="0.25">
      <c r="A2685" s="1" t="s">
        <v>14606</v>
      </c>
      <c r="B2685" s="1" t="s">
        <v>16370</v>
      </c>
      <c r="C2685" s="3">
        <f>IF(B2685="","",SUMIFS('Factory Costs'!$C:$C,'Factory Costs'!$A:$A,"Blades",'Factory Costs'!$B:$B,B2685))</f>
        <v>34</v>
      </c>
    </row>
    <row r="2686" spans="1:3" x14ac:dyDescent="0.25">
      <c r="A2686" s="1" t="s">
        <v>14609</v>
      </c>
      <c r="B2686" s="1" t="s">
        <v>16372</v>
      </c>
      <c r="C2686" s="3">
        <f>IF(B2686="","",SUMIFS('Factory Costs'!$C:$C,'Factory Costs'!$A:$A,"Blades",'Factory Costs'!$B:$B,B2686))</f>
        <v>42</v>
      </c>
    </row>
    <row r="2687" spans="1:3" x14ac:dyDescent="0.25">
      <c r="A2687" s="1" t="s">
        <v>14612</v>
      </c>
      <c r="B2687" s="1" t="s">
        <v>16370</v>
      </c>
      <c r="C2687" s="3">
        <f>IF(B2687="","",SUMIFS('Factory Costs'!$C:$C,'Factory Costs'!$A:$A,"Blades",'Factory Costs'!$B:$B,B2687))</f>
        <v>34</v>
      </c>
    </row>
    <row r="2688" spans="1:3" x14ac:dyDescent="0.25">
      <c r="A2688" s="1" t="s">
        <v>14615</v>
      </c>
      <c r="B2688" s="1" t="s">
        <v>16371</v>
      </c>
      <c r="C2688" s="3">
        <f>IF(B2688="","",SUMIFS('Factory Costs'!$C:$C,'Factory Costs'!$A:$A,"Blades",'Factory Costs'!$B:$B,B2688))</f>
        <v>37</v>
      </c>
    </row>
    <row r="2689" spans="1:3" x14ac:dyDescent="0.25">
      <c r="A2689" s="1" t="s">
        <v>14618</v>
      </c>
      <c r="B2689" s="1" t="s">
        <v>16371</v>
      </c>
      <c r="C2689" s="3">
        <f>IF(B2689="","",SUMIFS('Factory Costs'!$C:$C,'Factory Costs'!$A:$A,"Blades",'Factory Costs'!$B:$B,B2689))</f>
        <v>37</v>
      </c>
    </row>
    <row r="2690" spans="1:3" x14ac:dyDescent="0.25">
      <c r="A2690" s="1" t="s">
        <v>14621</v>
      </c>
      <c r="B2690" s="1" t="s">
        <v>16370</v>
      </c>
      <c r="C2690" s="3">
        <f>IF(B2690="","",SUMIFS('Factory Costs'!$C:$C,'Factory Costs'!$A:$A,"Blades",'Factory Costs'!$B:$B,B2690))</f>
        <v>34</v>
      </c>
    </row>
    <row r="2691" spans="1:3" x14ac:dyDescent="0.25">
      <c r="A2691" s="1" t="s">
        <v>14624</v>
      </c>
      <c r="B2691" s="1" t="s">
        <v>16370</v>
      </c>
      <c r="C2691" s="3">
        <f>IF(B2691="","",SUMIFS('Factory Costs'!$C:$C,'Factory Costs'!$A:$A,"Blades",'Factory Costs'!$B:$B,B2691))</f>
        <v>34</v>
      </c>
    </row>
    <row r="2692" spans="1:3" x14ac:dyDescent="0.25">
      <c r="A2692" s="1" t="s">
        <v>14627</v>
      </c>
      <c r="B2692" s="1" t="s">
        <v>16371</v>
      </c>
      <c r="C2692" s="3">
        <f>IF(B2692="","",SUMIFS('Factory Costs'!$C:$C,'Factory Costs'!$A:$A,"Blades",'Factory Costs'!$B:$B,B2692))</f>
        <v>37</v>
      </c>
    </row>
    <row r="2693" spans="1:3" x14ac:dyDescent="0.25">
      <c r="A2693" s="1" t="s">
        <v>14630</v>
      </c>
      <c r="B2693" s="1" t="s">
        <v>16372</v>
      </c>
      <c r="C2693" s="3">
        <f>IF(B2693="","",SUMIFS('Factory Costs'!$C:$C,'Factory Costs'!$A:$A,"Blades",'Factory Costs'!$B:$B,B2693))</f>
        <v>42</v>
      </c>
    </row>
    <row r="2694" spans="1:3" x14ac:dyDescent="0.25">
      <c r="A2694" s="1" t="s">
        <v>14633</v>
      </c>
      <c r="B2694" s="1" t="s">
        <v>16371</v>
      </c>
      <c r="C2694" s="3">
        <f>IF(B2694="","",SUMIFS('Factory Costs'!$C:$C,'Factory Costs'!$A:$A,"Blades",'Factory Costs'!$B:$B,B2694))</f>
        <v>37</v>
      </c>
    </row>
    <row r="2695" spans="1:3" x14ac:dyDescent="0.25">
      <c r="A2695" s="1" t="s">
        <v>14636</v>
      </c>
      <c r="B2695" s="1" t="s">
        <v>16370</v>
      </c>
      <c r="C2695" s="3">
        <f>IF(B2695="","",SUMIFS('Factory Costs'!$C:$C,'Factory Costs'!$A:$A,"Blades",'Factory Costs'!$B:$B,B2695))</f>
        <v>34</v>
      </c>
    </row>
    <row r="2696" spans="1:3" x14ac:dyDescent="0.25">
      <c r="A2696" s="1" t="s">
        <v>14639</v>
      </c>
      <c r="B2696" s="1" t="s">
        <v>16372</v>
      </c>
      <c r="C2696" s="3">
        <f>IF(B2696="","",SUMIFS('Factory Costs'!$C:$C,'Factory Costs'!$A:$A,"Blades",'Factory Costs'!$B:$B,B2696))</f>
        <v>42</v>
      </c>
    </row>
    <row r="2697" spans="1:3" x14ac:dyDescent="0.25">
      <c r="A2697" s="1" t="s">
        <v>14642</v>
      </c>
      <c r="B2697" s="1" t="s">
        <v>16370</v>
      </c>
      <c r="C2697" s="3">
        <f>IF(B2697="","",SUMIFS('Factory Costs'!$C:$C,'Factory Costs'!$A:$A,"Blades",'Factory Costs'!$B:$B,B2697))</f>
        <v>34</v>
      </c>
    </row>
    <row r="2698" spans="1:3" x14ac:dyDescent="0.25">
      <c r="A2698" s="1" t="s">
        <v>14645</v>
      </c>
      <c r="B2698" s="1" t="s">
        <v>16370</v>
      </c>
      <c r="C2698" s="3">
        <f>IF(B2698="","",SUMIFS('Factory Costs'!$C:$C,'Factory Costs'!$A:$A,"Blades",'Factory Costs'!$B:$B,B2698))</f>
        <v>34</v>
      </c>
    </row>
    <row r="2699" spans="1:3" x14ac:dyDescent="0.25">
      <c r="A2699" s="1" t="s">
        <v>14648</v>
      </c>
      <c r="B2699" s="1" t="s">
        <v>16371</v>
      </c>
      <c r="C2699" s="3">
        <f>IF(B2699="","",SUMIFS('Factory Costs'!$C:$C,'Factory Costs'!$A:$A,"Blades",'Factory Costs'!$B:$B,B2699))</f>
        <v>37</v>
      </c>
    </row>
    <row r="2700" spans="1:3" x14ac:dyDescent="0.25">
      <c r="A2700" s="1" t="s">
        <v>14651</v>
      </c>
      <c r="B2700" s="1" t="s">
        <v>16370</v>
      </c>
      <c r="C2700" s="3">
        <f>IF(B2700="","",SUMIFS('Factory Costs'!$C:$C,'Factory Costs'!$A:$A,"Blades",'Factory Costs'!$B:$B,B2700))</f>
        <v>34</v>
      </c>
    </row>
    <row r="2701" spans="1:3" x14ac:dyDescent="0.25">
      <c r="A2701" s="1" t="s">
        <v>14654</v>
      </c>
      <c r="B2701" s="1" t="s">
        <v>16370</v>
      </c>
      <c r="C2701" s="3">
        <f>IF(B2701="","",SUMIFS('Factory Costs'!$C:$C,'Factory Costs'!$A:$A,"Blades",'Factory Costs'!$B:$B,B2701))</f>
        <v>34</v>
      </c>
    </row>
    <row r="2702" spans="1:3" x14ac:dyDescent="0.25">
      <c r="A2702" s="1" t="s">
        <v>14657</v>
      </c>
      <c r="B2702" s="1" t="s">
        <v>16370</v>
      </c>
      <c r="C2702" s="3">
        <f>IF(B2702="","",SUMIFS('Factory Costs'!$C:$C,'Factory Costs'!$A:$A,"Blades",'Factory Costs'!$B:$B,B2702))</f>
        <v>34</v>
      </c>
    </row>
    <row r="2703" spans="1:3" x14ac:dyDescent="0.25">
      <c r="A2703" s="1" t="s">
        <v>14660</v>
      </c>
      <c r="B2703" s="1" t="s">
        <v>16371</v>
      </c>
      <c r="C2703" s="3">
        <f>IF(B2703="","",SUMIFS('Factory Costs'!$C:$C,'Factory Costs'!$A:$A,"Blades",'Factory Costs'!$B:$B,B2703))</f>
        <v>37</v>
      </c>
    </row>
    <row r="2704" spans="1:3" x14ac:dyDescent="0.25">
      <c r="A2704" s="1" t="s">
        <v>14663</v>
      </c>
      <c r="B2704" s="1" t="s">
        <v>16370</v>
      </c>
      <c r="C2704" s="3">
        <f>IF(B2704="","",SUMIFS('Factory Costs'!$C:$C,'Factory Costs'!$A:$A,"Blades",'Factory Costs'!$B:$B,B2704))</f>
        <v>34</v>
      </c>
    </row>
    <row r="2705" spans="1:3" x14ac:dyDescent="0.25">
      <c r="A2705" s="1" t="s">
        <v>14666</v>
      </c>
      <c r="B2705" s="1" t="s">
        <v>16370</v>
      </c>
      <c r="C2705" s="3">
        <f>IF(B2705="","",SUMIFS('Factory Costs'!$C:$C,'Factory Costs'!$A:$A,"Blades",'Factory Costs'!$B:$B,B2705))</f>
        <v>34</v>
      </c>
    </row>
    <row r="2706" spans="1:3" x14ac:dyDescent="0.25">
      <c r="A2706" s="1" t="s">
        <v>14669</v>
      </c>
      <c r="B2706" s="1" t="s">
        <v>16370</v>
      </c>
      <c r="C2706" s="3">
        <f>IF(B2706="","",SUMIFS('Factory Costs'!$C:$C,'Factory Costs'!$A:$A,"Blades",'Factory Costs'!$B:$B,B2706))</f>
        <v>34</v>
      </c>
    </row>
    <row r="2707" spans="1:3" x14ac:dyDescent="0.25">
      <c r="A2707" s="1" t="s">
        <v>14672</v>
      </c>
      <c r="B2707" s="1" t="s">
        <v>16372</v>
      </c>
      <c r="C2707" s="3">
        <f>IF(B2707="","",SUMIFS('Factory Costs'!$C:$C,'Factory Costs'!$A:$A,"Blades",'Factory Costs'!$B:$B,B2707))</f>
        <v>42</v>
      </c>
    </row>
    <row r="2708" spans="1:3" x14ac:dyDescent="0.25">
      <c r="A2708" s="1" t="s">
        <v>14675</v>
      </c>
      <c r="B2708" s="1" t="s">
        <v>16372</v>
      </c>
      <c r="C2708" s="3">
        <f>IF(B2708="","",SUMIFS('Factory Costs'!$C:$C,'Factory Costs'!$A:$A,"Blades",'Factory Costs'!$B:$B,B2708))</f>
        <v>42</v>
      </c>
    </row>
    <row r="2709" spans="1:3" x14ac:dyDescent="0.25">
      <c r="A2709" s="1" t="s">
        <v>14678</v>
      </c>
      <c r="B2709" s="1" t="s">
        <v>16372</v>
      </c>
      <c r="C2709" s="3">
        <f>IF(B2709="","",SUMIFS('Factory Costs'!$C:$C,'Factory Costs'!$A:$A,"Blades",'Factory Costs'!$B:$B,B2709))</f>
        <v>42</v>
      </c>
    </row>
    <row r="2710" spans="1:3" x14ac:dyDescent="0.25">
      <c r="A2710" s="1" t="s">
        <v>14681</v>
      </c>
      <c r="B2710" s="1" t="s">
        <v>16370</v>
      </c>
      <c r="C2710" s="3">
        <f>IF(B2710="","",SUMIFS('Factory Costs'!$C:$C,'Factory Costs'!$A:$A,"Blades",'Factory Costs'!$B:$B,B2710))</f>
        <v>34</v>
      </c>
    </row>
    <row r="2711" spans="1:3" x14ac:dyDescent="0.25">
      <c r="A2711" s="1" t="s">
        <v>14684</v>
      </c>
      <c r="B2711" s="1" t="s">
        <v>16372</v>
      </c>
      <c r="C2711" s="3">
        <f>IF(B2711="","",SUMIFS('Factory Costs'!$C:$C,'Factory Costs'!$A:$A,"Blades",'Factory Costs'!$B:$B,B2711))</f>
        <v>42</v>
      </c>
    </row>
    <row r="2712" spans="1:3" x14ac:dyDescent="0.25">
      <c r="A2712" s="1" t="s">
        <v>14687</v>
      </c>
      <c r="B2712" s="1" t="s">
        <v>16371</v>
      </c>
      <c r="C2712" s="3">
        <f>IF(B2712="","",SUMIFS('Factory Costs'!$C:$C,'Factory Costs'!$A:$A,"Blades",'Factory Costs'!$B:$B,B2712))</f>
        <v>37</v>
      </c>
    </row>
    <row r="2713" spans="1:3" x14ac:dyDescent="0.25">
      <c r="A2713" s="1" t="s">
        <v>14690</v>
      </c>
      <c r="B2713" s="1" t="s">
        <v>16371</v>
      </c>
      <c r="C2713" s="3">
        <f>IF(B2713="","",SUMIFS('Factory Costs'!$C:$C,'Factory Costs'!$A:$A,"Blades",'Factory Costs'!$B:$B,B2713))</f>
        <v>37</v>
      </c>
    </row>
    <row r="2714" spans="1:3" x14ac:dyDescent="0.25">
      <c r="A2714" s="1" t="s">
        <v>14693</v>
      </c>
      <c r="B2714" s="1" t="s">
        <v>16370</v>
      </c>
      <c r="C2714" s="3">
        <f>IF(B2714="","",SUMIFS('Factory Costs'!$C:$C,'Factory Costs'!$A:$A,"Blades",'Factory Costs'!$B:$B,B2714))</f>
        <v>34</v>
      </c>
    </row>
    <row r="2715" spans="1:3" x14ac:dyDescent="0.25">
      <c r="A2715" s="1" t="s">
        <v>14696</v>
      </c>
      <c r="B2715" s="1" t="s">
        <v>16372</v>
      </c>
      <c r="C2715" s="3">
        <f>IF(B2715="","",SUMIFS('Factory Costs'!$C:$C,'Factory Costs'!$A:$A,"Blades",'Factory Costs'!$B:$B,B2715))</f>
        <v>42</v>
      </c>
    </row>
    <row r="2716" spans="1:3" x14ac:dyDescent="0.25">
      <c r="A2716" s="1" t="s">
        <v>14699</v>
      </c>
      <c r="B2716" s="1" t="s">
        <v>16370</v>
      </c>
      <c r="C2716" s="3">
        <f>IF(B2716="","",SUMIFS('Factory Costs'!$C:$C,'Factory Costs'!$A:$A,"Blades",'Factory Costs'!$B:$B,B2716))</f>
        <v>34</v>
      </c>
    </row>
    <row r="2717" spans="1:3" x14ac:dyDescent="0.25">
      <c r="A2717" s="1" t="s">
        <v>14702</v>
      </c>
      <c r="B2717" s="1" t="s">
        <v>16370</v>
      </c>
      <c r="C2717" s="3">
        <f>IF(B2717="","",SUMIFS('Factory Costs'!$C:$C,'Factory Costs'!$A:$A,"Blades",'Factory Costs'!$B:$B,B2717))</f>
        <v>34</v>
      </c>
    </row>
    <row r="2718" spans="1:3" x14ac:dyDescent="0.25">
      <c r="A2718" s="1" t="s">
        <v>14705</v>
      </c>
      <c r="B2718" s="1" t="s">
        <v>16371</v>
      </c>
      <c r="C2718" s="3">
        <f>IF(B2718="","",SUMIFS('Factory Costs'!$C:$C,'Factory Costs'!$A:$A,"Blades",'Factory Costs'!$B:$B,B2718))</f>
        <v>37</v>
      </c>
    </row>
    <row r="2719" spans="1:3" x14ac:dyDescent="0.25">
      <c r="A2719" s="1" t="s">
        <v>14708</v>
      </c>
      <c r="B2719" s="1" t="s">
        <v>16370</v>
      </c>
      <c r="C2719" s="3">
        <f>IF(B2719="","",SUMIFS('Factory Costs'!$C:$C,'Factory Costs'!$A:$A,"Blades",'Factory Costs'!$B:$B,B2719))</f>
        <v>34</v>
      </c>
    </row>
    <row r="2720" spans="1:3" x14ac:dyDescent="0.25">
      <c r="A2720" s="1" t="s">
        <v>14711</v>
      </c>
      <c r="B2720" s="1" t="s">
        <v>16370</v>
      </c>
      <c r="C2720" s="3">
        <f>IF(B2720="","",SUMIFS('Factory Costs'!$C:$C,'Factory Costs'!$A:$A,"Blades",'Factory Costs'!$B:$B,B2720))</f>
        <v>34</v>
      </c>
    </row>
    <row r="2721" spans="1:3" x14ac:dyDescent="0.25">
      <c r="A2721" s="1" t="s">
        <v>14714</v>
      </c>
      <c r="B2721" s="1" t="s">
        <v>16371</v>
      </c>
      <c r="C2721" s="3">
        <f>IF(B2721="","",SUMIFS('Factory Costs'!$C:$C,'Factory Costs'!$A:$A,"Blades",'Factory Costs'!$B:$B,B2721))</f>
        <v>37</v>
      </c>
    </row>
    <row r="2722" spans="1:3" x14ac:dyDescent="0.25">
      <c r="A2722" s="1" t="s">
        <v>14717</v>
      </c>
      <c r="B2722" s="1" t="s">
        <v>16372</v>
      </c>
      <c r="C2722" s="3">
        <f>IF(B2722="","",SUMIFS('Factory Costs'!$C:$C,'Factory Costs'!$A:$A,"Blades",'Factory Costs'!$B:$B,B2722))</f>
        <v>42</v>
      </c>
    </row>
    <row r="2723" spans="1:3" x14ac:dyDescent="0.25">
      <c r="A2723" s="1" t="s">
        <v>14720</v>
      </c>
      <c r="B2723" s="1" t="s">
        <v>16371</v>
      </c>
      <c r="C2723" s="3">
        <f>IF(B2723="","",SUMIFS('Factory Costs'!$C:$C,'Factory Costs'!$A:$A,"Blades",'Factory Costs'!$B:$B,B2723))</f>
        <v>37</v>
      </c>
    </row>
    <row r="2724" spans="1:3" x14ac:dyDescent="0.25">
      <c r="A2724" s="1" t="s">
        <v>14723</v>
      </c>
      <c r="B2724" s="1" t="s">
        <v>16371</v>
      </c>
      <c r="C2724" s="3">
        <f>IF(B2724="","",SUMIFS('Factory Costs'!$C:$C,'Factory Costs'!$A:$A,"Blades",'Factory Costs'!$B:$B,B2724))</f>
        <v>37</v>
      </c>
    </row>
    <row r="2725" spans="1:3" x14ac:dyDescent="0.25">
      <c r="A2725" s="1" t="s">
        <v>14726</v>
      </c>
      <c r="B2725" s="1" t="s">
        <v>16371</v>
      </c>
      <c r="C2725" s="3">
        <f>IF(B2725="","",SUMIFS('Factory Costs'!$C:$C,'Factory Costs'!$A:$A,"Blades",'Factory Costs'!$B:$B,B2725))</f>
        <v>37</v>
      </c>
    </row>
    <row r="2726" spans="1:3" x14ac:dyDescent="0.25">
      <c r="A2726" s="1" t="s">
        <v>14729</v>
      </c>
      <c r="B2726" s="1" t="s">
        <v>16370</v>
      </c>
      <c r="C2726" s="3">
        <f>IF(B2726="","",SUMIFS('Factory Costs'!$C:$C,'Factory Costs'!$A:$A,"Blades",'Factory Costs'!$B:$B,B2726))</f>
        <v>34</v>
      </c>
    </row>
    <row r="2727" spans="1:3" x14ac:dyDescent="0.25">
      <c r="A2727" s="1" t="s">
        <v>14732</v>
      </c>
      <c r="B2727" s="1" t="s">
        <v>16372</v>
      </c>
      <c r="C2727" s="3">
        <f>IF(B2727="","",SUMIFS('Factory Costs'!$C:$C,'Factory Costs'!$A:$A,"Blades",'Factory Costs'!$B:$B,B2727))</f>
        <v>42</v>
      </c>
    </row>
    <row r="2728" spans="1:3" x14ac:dyDescent="0.25">
      <c r="A2728" s="1" t="s">
        <v>14735</v>
      </c>
      <c r="B2728" s="1" t="s">
        <v>16372</v>
      </c>
      <c r="C2728" s="3">
        <f>IF(B2728="","",SUMIFS('Factory Costs'!$C:$C,'Factory Costs'!$A:$A,"Blades",'Factory Costs'!$B:$B,B2728))</f>
        <v>42</v>
      </c>
    </row>
    <row r="2729" spans="1:3" x14ac:dyDescent="0.25">
      <c r="A2729" s="1" t="s">
        <v>14738</v>
      </c>
      <c r="B2729" s="1" t="s">
        <v>16372</v>
      </c>
      <c r="C2729" s="3">
        <f>IF(B2729="","",SUMIFS('Factory Costs'!$C:$C,'Factory Costs'!$A:$A,"Blades",'Factory Costs'!$B:$B,B2729))</f>
        <v>42</v>
      </c>
    </row>
    <row r="2730" spans="1:3" x14ac:dyDescent="0.25">
      <c r="A2730" s="1" t="s">
        <v>14741</v>
      </c>
      <c r="B2730" s="1" t="s">
        <v>16371</v>
      </c>
      <c r="C2730" s="3">
        <f>IF(B2730="","",SUMIFS('Factory Costs'!$C:$C,'Factory Costs'!$A:$A,"Blades",'Factory Costs'!$B:$B,B2730))</f>
        <v>37</v>
      </c>
    </row>
    <row r="2731" spans="1:3" x14ac:dyDescent="0.25">
      <c r="A2731" s="1" t="s">
        <v>14744</v>
      </c>
      <c r="B2731" s="1" t="s">
        <v>16372</v>
      </c>
      <c r="C2731" s="3">
        <f>IF(B2731="","",SUMIFS('Factory Costs'!$C:$C,'Factory Costs'!$A:$A,"Blades",'Factory Costs'!$B:$B,B2731))</f>
        <v>42</v>
      </c>
    </row>
    <row r="2732" spans="1:3" x14ac:dyDescent="0.25">
      <c r="A2732" s="1" t="s">
        <v>14747</v>
      </c>
      <c r="B2732" s="1" t="s">
        <v>16372</v>
      </c>
      <c r="C2732" s="3">
        <f>IF(B2732="","",SUMIFS('Factory Costs'!$C:$C,'Factory Costs'!$A:$A,"Blades",'Factory Costs'!$B:$B,B2732))</f>
        <v>42</v>
      </c>
    </row>
    <row r="2733" spans="1:3" x14ac:dyDescent="0.25">
      <c r="A2733" s="1" t="s">
        <v>14750</v>
      </c>
      <c r="B2733" s="1" t="s">
        <v>16372</v>
      </c>
      <c r="C2733" s="3">
        <f>IF(B2733="","",SUMIFS('Factory Costs'!$C:$C,'Factory Costs'!$A:$A,"Blades",'Factory Costs'!$B:$B,B2733))</f>
        <v>42</v>
      </c>
    </row>
    <row r="2734" spans="1:3" x14ac:dyDescent="0.25">
      <c r="A2734" s="1" t="s">
        <v>14753</v>
      </c>
      <c r="B2734" s="1" t="s">
        <v>16370</v>
      </c>
      <c r="C2734" s="3">
        <f>IF(B2734="","",SUMIFS('Factory Costs'!$C:$C,'Factory Costs'!$A:$A,"Blades",'Factory Costs'!$B:$B,B2734))</f>
        <v>34</v>
      </c>
    </row>
    <row r="2735" spans="1:3" x14ac:dyDescent="0.25">
      <c r="A2735" s="1" t="s">
        <v>14756</v>
      </c>
      <c r="B2735" s="1" t="s">
        <v>16371</v>
      </c>
      <c r="C2735" s="3">
        <f>IF(B2735="","",SUMIFS('Factory Costs'!$C:$C,'Factory Costs'!$A:$A,"Blades",'Factory Costs'!$B:$B,B2735))</f>
        <v>37</v>
      </c>
    </row>
    <row r="2736" spans="1:3" x14ac:dyDescent="0.25">
      <c r="A2736" s="1" t="s">
        <v>14759</v>
      </c>
      <c r="B2736" s="1" t="s">
        <v>16370</v>
      </c>
      <c r="C2736" s="3">
        <f>IF(B2736="","",SUMIFS('Factory Costs'!$C:$C,'Factory Costs'!$A:$A,"Blades",'Factory Costs'!$B:$B,B2736))</f>
        <v>34</v>
      </c>
    </row>
    <row r="2737" spans="1:3" x14ac:dyDescent="0.25">
      <c r="A2737" s="1" t="s">
        <v>14762</v>
      </c>
      <c r="B2737" s="1" t="s">
        <v>16370</v>
      </c>
      <c r="C2737" s="3">
        <f>IF(B2737="","",SUMIFS('Factory Costs'!$C:$C,'Factory Costs'!$A:$A,"Blades",'Factory Costs'!$B:$B,B2737))</f>
        <v>34</v>
      </c>
    </row>
    <row r="2738" spans="1:3" x14ac:dyDescent="0.25">
      <c r="A2738" s="1" t="s">
        <v>14765</v>
      </c>
      <c r="B2738" s="1" t="s">
        <v>16372</v>
      </c>
      <c r="C2738" s="3">
        <f>IF(B2738="","",SUMIFS('Factory Costs'!$C:$C,'Factory Costs'!$A:$A,"Blades",'Factory Costs'!$B:$B,B2738))</f>
        <v>42</v>
      </c>
    </row>
    <row r="2739" spans="1:3" x14ac:dyDescent="0.25">
      <c r="A2739" s="1" t="s">
        <v>14768</v>
      </c>
      <c r="B2739" s="1" t="s">
        <v>16370</v>
      </c>
      <c r="C2739" s="3">
        <f>IF(B2739="","",SUMIFS('Factory Costs'!$C:$C,'Factory Costs'!$A:$A,"Blades",'Factory Costs'!$B:$B,B2739))</f>
        <v>34</v>
      </c>
    </row>
    <row r="2740" spans="1:3" x14ac:dyDescent="0.25">
      <c r="A2740" s="1" t="s">
        <v>14771</v>
      </c>
      <c r="B2740" s="1" t="s">
        <v>16372</v>
      </c>
      <c r="C2740" s="3">
        <f>IF(B2740="","",SUMIFS('Factory Costs'!$C:$C,'Factory Costs'!$A:$A,"Blades",'Factory Costs'!$B:$B,B2740))</f>
        <v>42</v>
      </c>
    </row>
    <row r="2741" spans="1:3" x14ac:dyDescent="0.25">
      <c r="A2741" s="1" t="s">
        <v>14774</v>
      </c>
      <c r="B2741" s="1" t="s">
        <v>16372</v>
      </c>
      <c r="C2741" s="3">
        <f>IF(B2741="","",SUMIFS('Factory Costs'!$C:$C,'Factory Costs'!$A:$A,"Blades",'Factory Costs'!$B:$B,B2741))</f>
        <v>42</v>
      </c>
    </row>
    <row r="2742" spans="1:3" x14ac:dyDescent="0.25">
      <c r="A2742" s="1" t="s">
        <v>14777</v>
      </c>
      <c r="B2742" s="1" t="s">
        <v>16371</v>
      </c>
      <c r="C2742" s="3">
        <f>IF(B2742="","",SUMIFS('Factory Costs'!$C:$C,'Factory Costs'!$A:$A,"Blades",'Factory Costs'!$B:$B,B2742))</f>
        <v>37</v>
      </c>
    </row>
    <row r="2743" spans="1:3" x14ac:dyDescent="0.25">
      <c r="A2743" s="1" t="s">
        <v>14780</v>
      </c>
      <c r="B2743" s="1" t="s">
        <v>16370</v>
      </c>
      <c r="C2743" s="3">
        <f>IF(B2743="","",SUMIFS('Factory Costs'!$C:$C,'Factory Costs'!$A:$A,"Blades",'Factory Costs'!$B:$B,B2743))</f>
        <v>34</v>
      </c>
    </row>
    <row r="2744" spans="1:3" x14ac:dyDescent="0.25">
      <c r="A2744" s="1" t="s">
        <v>14783</v>
      </c>
      <c r="B2744" s="1" t="s">
        <v>16371</v>
      </c>
      <c r="C2744" s="3">
        <f>IF(B2744="","",SUMIFS('Factory Costs'!$C:$C,'Factory Costs'!$A:$A,"Blades",'Factory Costs'!$B:$B,B2744))</f>
        <v>37</v>
      </c>
    </row>
    <row r="2745" spans="1:3" x14ac:dyDescent="0.25">
      <c r="A2745" s="1" t="s">
        <v>14786</v>
      </c>
      <c r="B2745" s="1" t="s">
        <v>16372</v>
      </c>
      <c r="C2745" s="3">
        <f>IF(B2745="","",SUMIFS('Factory Costs'!$C:$C,'Factory Costs'!$A:$A,"Blades",'Factory Costs'!$B:$B,B2745))</f>
        <v>42</v>
      </c>
    </row>
    <row r="2746" spans="1:3" x14ac:dyDescent="0.25">
      <c r="A2746" s="1" t="s">
        <v>14789</v>
      </c>
      <c r="B2746" s="1" t="s">
        <v>16370</v>
      </c>
      <c r="C2746" s="3">
        <f>IF(B2746="","",SUMIFS('Factory Costs'!$C:$C,'Factory Costs'!$A:$A,"Blades",'Factory Costs'!$B:$B,B2746))</f>
        <v>34</v>
      </c>
    </row>
    <row r="2747" spans="1:3" x14ac:dyDescent="0.25">
      <c r="A2747" s="1" t="s">
        <v>14792</v>
      </c>
      <c r="B2747" s="1" t="s">
        <v>16370</v>
      </c>
      <c r="C2747" s="3">
        <f>IF(B2747="","",SUMIFS('Factory Costs'!$C:$C,'Factory Costs'!$A:$A,"Blades",'Factory Costs'!$B:$B,B2747))</f>
        <v>34</v>
      </c>
    </row>
    <row r="2748" spans="1:3" x14ac:dyDescent="0.25">
      <c r="A2748" s="1" t="s">
        <v>14795</v>
      </c>
      <c r="B2748" s="1" t="s">
        <v>16370</v>
      </c>
      <c r="C2748" s="3">
        <f>IF(B2748="","",SUMIFS('Factory Costs'!$C:$C,'Factory Costs'!$A:$A,"Blades",'Factory Costs'!$B:$B,B2748))</f>
        <v>34</v>
      </c>
    </row>
    <row r="2749" spans="1:3" x14ac:dyDescent="0.25">
      <c r="A2749" s="1" t="s">
        <v>14798</v>
      </c>
      <c r="B2749" s="1" t="s">
        <v>16372</v>
      </c>
      <c r="C2749" s="3">
        <f>IF(B2749="","",SUMIFS('Factory Costs'!$C:$C,'Factory Costs'!$A:$A,"Blades",'Factory Costs'!$B:$B,B2749))</f>
        <v>42</v>
      </c>
    </row>
    <row r="2750" spans="1:3" x14ac:dyDescent="0.25">
      <c r="A2750" s="1" t="s">
        <v>14801</v>
      </c>
      <c r="B2750" s="1" t="s">
        <v>16370</v>
      </c>
      <c r="C2750" s="3">
        <f>IF(B2750="","",SUMIFS('Factory Costs'!$C:$C,'Factory Costs'!$A:$A,"Blades",'Factory Costs'!$B:$B,B2750))</f>
        <v>34</v>
      </c>
    </row>
    <row r="2751" spans="1:3" x14ac:dyDescent="0.25">
      <c r="A2751" s="1" t="s">
        <v>14804</v>
      </c>
      <c r="B2751" s="1" t="s">
        <v>16371</v>
      </c>
      <c r="C2751" s="3">
        <f>IF(B2751="","",SUMIFS('Factory Costs'!$C:$C,'Factory Costs'!$A:$A,"Blades",'Factory Costs'!$B:$B,B2751))</f>
        <v>37</v>
      </c>
    </row>
    <row r="2752" spans="1:3" x14ac:dyDescent="0.25">
      <c r="A2752" s="1" t="s">
        <v>14807</v>
      </c>
      <c r="B2752" s="1" t="s">
        <v>16372</v>
      </c>
      <c r="C2752" s="3">
        <f>IF(B2752="","",SUMIFS('Factory Costs'!$C:$C,'Factory Costs'!$A:$A,"Blades",'Factory Costs'!$B:$B,B2752))</f>
        <v>42</v>
      </c>
    </row>
    <row r="2753" spans="1:3" x14ac:dyDescent="0.25">
      <c r="A2753" s="1" t="s">
        <v>14810</v>
      </c>
      <c r="B2753" s="1" t="s">
        <v>16370</v>
      </c>
      <c r="C2753" s="3">
        <f>IF(B2753="","",SUMIFS('Factory Costs'!$C:$C,'Factory Costs'!$A:$A,"Blades",'Factory Costs'!$B:$B,B2753))</f>
        <v>34</v>
      </c>
    </row>
    <row r="2754" spans="1:3" x14ac:dyDescent="0.25">
      <c r="A2754" s="1" t="s">
        <v>14813</v>
      </c>
      <c r="B2754" s="1" t="s">
        <v>16370</v>
      </c>
      <c r="C2754" s="3">
        <f>IF(B2754="","",SUMIFS('Factory Costs'!$C:$C,'Factory Costs'!$A:$A,"Blades",'Factory Costs'!$B:$B,B2754))</f>
        <v>34</v>
      </c>
    </row>
    <row r="2755" spans="1:3" x14ac:dyDescent="0.25">
      <c r="A2755" s="1" t="s">
        <v>14816</v>
      </c>
      <c r="B2755" s="1" t="s">
        <v>16370</v>
      </c>
      <c r="C2755" s="3">
        <f>IF(B2755="","",SUMIFS('Factory Costs'!$C:$C,'Factory Costs'!$A:$A,"Blades",'Factory Costs'!$B:$B,B2755))</f>
        <v>34</v>
      </c>
    </row>
    <row r="2756" spans="1:3" x14ac:dyDescent="0.25">
      <c r="A2756" s="1" t="s">
        <v>14819</v>
      </c>
      <c r="B2756" s="1" t="s">
        <v>16371</v>
      </c>
      <c r="C2756" s="3">
        <f>IF(B2756="","",SUMIFS('Factory Costs'!$C:$C,'Factory Costs'!$A:$A,"Blades",'Factory Costs'!$B:$B,B2756))</f>
        <v>37</v>
      </c>
    </row>
    <row r="2757" spans="1:3" x14ac:dyDescent="0.25">
      <c r="A2757" s="1" t="s">
        <v>14822</v>
      </c>
      <c r="B2757" s="1" t="s">
        <v>16371</v>
      </c>
      <c r="C2757" s="3">
        <f>IF(B2757="","",SUMIFS('Factory Costs'!$C:$C,'Factory Costs'!$A:$A,"Blades",'Factory Costs'!$B:$B,B2757))</f>
        <v>37</v>
      </c>
    </row>
    <row r="2758" spans="1:3" x14ac:dyDescent="0.25">
      <c r="A2758" s="1" t="s">
        <v>14825</v>
      </c>
      <c r="B2758" s="1" t="s">
        <v>16371</v>
      </c>
      <c r="C2758" s="3">
        <f>IF(B2758="","",SUMIFS('Factory Costs'!$C:$C,'Factory Costs'!$A:$A,"Blades",'Factory Costs'!$B:$B,B2758))</f>
        <v>37</v>
      </c>
    </row>
    <row r="2759" spans="1:3" x14ac:dyDescent="0.25">
      <c r="A2759" s="1" t="s">
        <v>14828</v>
      </c>
      <c r="B2759" s="1" t="s">
        <v>16370</v>
      </c>
      <c r="C2759" s="3">
        <f>IF(B2759="","",SUMIFS('Factory Costs'!$C:$C,'Factory Costs'!$A:$A,"Blades",'Factory Costs'!$B:$B,B2759))</f>
        <v>34</v>
      </c>
    </row>
    <row r="2760" spans="1:3" x14ac:dyDescent="0.25">
      <c r="A2760" s="1" t="s">
        <v>14831</v>
      </c>
      <c r="B2760" s="1" t="s">
        <v>16370</v>
      </c>
      <c r="C2760" s="3">
        <f>IF(B2760="","",SUMIFS('Factory Costs'!$C:$C,'Factory Costs'!$A:$A,"Blades",'Factory Costs'!$B:$B,B2760))</f>
        <v>34</v>
      </c>
    </row>
    <row r="2761" spans="1:3" x14ac:dyDescent="0.25">
      <c r="A2761" s="1" t="s">
        <v>14834</v>
      </c>
      <c r="B2761" s="1" t="s">
        <v>16372</v>
      </c>
      <c r="C2761" s="3">
        <f>IF(B2761="","",SUMIFS('Factory Costs'!$C:$C,'Factory Costs'!$A:$A,"Blades",'Factory Costs'!$B:$B,B2761))</f>
        <v>42</v>
      </c>
    </row>
    <row r="2762" spans="1:3" x14ac:dyDescent="0.25">
      <c r="A2762" s="1" t="s">
        <v>14837</v>
      </c>
      <c r="B2762" s="1" t="s">
        <v>16370</v>
      </c>
      <c r="C2762" s="3">
        <f>IF(B2762="","",SUMIFS('Factory Costs'!$C:$C,'Factory Costs'!$A:$A,"Blades",'Factory Costs'!$B:$B,B2762))</f>
        <v>34</v>
      </c>
    </row>
    <row r="2763" spans="1:3" x14ac:dyDescent="0.25">
      <c r="A2763" s="1" t="s">
        <v>14840</v>
      </c>
      <c r="B2763" s="1" t="s">
        <v>16370</v>
      </c>
      <c r="C2763" s="3">
        <f>IF(B2763="","",SUMIFS('Factory Costs'!$C:$C,'Factory Costs'!$A:$A,"Blades",'Factory Costs'!$B:$B,B2763))</f>
        <v>34</v>
      </c>
    </row>
    <row r="2764" spans="1:3" x14ac:dyDescent="0.25">
      <c r="A2764" s="1" t="s">
        <v>14843</v>
      </c>
      <c r="B2764" s="1" t="s">
        <v>16372</v>
      </c>
      <c r="C2764" s="3">
        <f>IF(B2764="","",SUMIFS('Factory Costs'!$C:$C,'Factory Costs'!$A:$A,"Blades",'Factory Costs'!$B:$B,B2764))</f>
        <v>42</v>
      </c>
    </row>
    <row r="2765" spans="1:3" x14ac:dyDescent="0.25">
      <c r="A2765" s="1" t="s">
        <v>14846</v>
      </c>
      <c r="B2765" s="1" t="s">
        <v>16370</v>
      </c>
      <c r="C2765" s="3">
        <f>IF(B2765="","",SUMIFS('Factory Costs'!$C:$C,'Factory Costs'!$A:$A,"Blades",'Factory Costs'!$B:$B,B2765))</f>
        <v>34</v>
      </c>
    </row>
    <row r="2766" spans="1:3" x14ac:dyDescent="0.25">
      <c r="A2766" s="1" t="s">
        <v>14849</v>
      </c>
      <c r="B2766" s="1" t="s">
        <v>16370</v>
      </c>
      <c r="C2766" s="3">
        <f>IF(B2766="","",SUMIFS('Factory Costs'!$C:$C,'Factory Costs'!$A:$A,"Blades",'Factory Costs'!$B:$B,B2766))</f>
        <v>34</v>
      </c>
    </row>
    <row r="2767" spans="1:3" x14ac:dyDescent="0.25">
      <c r="A2767" s="1" t="s">
        <v>14852</v>
      </c>
      <c r="B2767" s="1" t="s">
        <v>16372</v>
      </c>
      <c r="C2767" s="3">
        <f>IF(B2767="","",SUMIFS('Factory Costs'!$C:$C,'Factory Costs'!$A:$A,"Blades",'Factory Costs'!$B:$B,B2767))</f>
        <v>42</v>
      </c>
    </row>
    <row r="2768" spans="1:3" x14ac:dyDescent="0.25">
      <c r="A2768" s="1" t="s">
        <v>14855</v>
      </c>
      <c r="B2768" s="1" t="s">
        <v>16370</v>
      </c>
      <c r="C2768" s="3">
        <f>IF(B2768="","",SUMIFS('Factory Costs'!$C:$C,'Factory Costs'!$A:$A,"Blades",'Factory Costs'!$B:$B,B2768))</f>
        <v>34</v>
      </c>
    </row>
    <row r="2769" spans="1:3" x14ac:dyDescent="0.25">
      <c r="A2769" s="1" t="s">
        <v>14858</v>
      </c>
      <c r="B2769" s="1" t="s">
        <v>16370</v>
      </c>
      <c r="C2769" s="3">
        <f>IF(B2769="","",SUMIFS('Factory Costs'!$C:$C,'Factory Costs'!$A:$A,"Blades",'Factory Costs'!$B:$B,B2769))</f>
        <v>34</v>
      </c>
    </row>
    <row r="2770" spans="1:3" x14ac:dyDescent="0.25">
      <c r="A2770" s="1" t="s">
        <v>14861</v>
      </c>
      <c r="B2770" s="1" t="s">
        <v>16372</v>
      </c>
      <c r="C2770" s="3">
        <f>IF(B2770="","",SUMIFS('Factory Costs'!$C:$C,'Factory Costs'!$A:$A,"Blades",'Factory Costs'!$B:$B,B2770))</f>
        <v>42</v>
      </c>
    </row>
    <row r="2771" spans="1:3" x14ac:dyDescent="0.25">
      <c r="A2771" s="1" t="s">
        <v>14864</v>
      </c>
      <c r="B2771" s="1" t="s">
        <v>16372</v>
      </c>
      <c r="C2771" s="3">
        <f>IF(B2771="","",SUMIFS('Factory Costs'!$C:$C,'Factory Costs'!$A:$A,"Blades",'Factory Costs'!$B:$B,B2771))</f>
        <v>42</v>
      </c>
    </row>
    <row r="2772" spans="1:3" x14ac:dyDescent="0.25">
      <c r="A2772" s="1" t="s">
        <v>14867</v>
      </c>
      <c r="B2772" s="1" t="s">
        <v>16370</v>
      </c>
      <c r="C2772" s="3">
        <f>IF(B2772="","",SUMIFS('Factory Costs'!$C:$C,'Factory Costs'!$A:$A,"Blades",'Factory Costs'!$B:$B,B2772))</f>
        <v>34</v>
      </c>
    </row>
    <row r="2773" spans="1:3" x14ac:dyDescent="0.25">
      <c r="A2773" s="1" t="s">
        <v>14870</v>
      </c>
      <c r="B2773" s="1" t="s">
        <v>16370</v>
      </c>
      <c r="C2773" s="3">
        <f>IF(B2773="","",SUMIFS('Factory Costs'!$C:$C,'Factory Costs'!$A:$A,"Blades",'Factory Costs'!$B:$B,B2773))</f>
        <v>34</v>
      </c>
    </row>
    <row r="2774" spans="1:3" x14ac:dyDescent="0.25">
      <c r="A2774" s="1" t="s">
        <v>14873</v>
      </c>
      <c r="B2774" s="1" t="s">
        <v>16370</v>
      </c>
      <c r="C2774" s="3">
        <f>IF(B2774="","",SUMIFS('Factory Costs'!$C:$C,'Factory Costs'!$A:$A,"Blades",'Factory Costs'!$B:$B,B2774))</f>
        <v>34</v>
      </c>
    </row>
    <row r="2775" spans="1:3" x14ac:dyDescent="0.25">
      <c r="A2775" s="1" t="s">
        <v>14876</v>
      </c>
      <c r="B2775" s="1" t="s">
        <v>16370</v>
      </c>
      <c r="C2775" s="3">
        <f>IF(B2775="","",SUMIFS('Factory Costs'!$C:$C,'Factory Costs'!$A:$A,"Blades",'Factory Costs'!$B:$B,B2775))</f>
        <v>34</v>
      </c>
    </row>
    <row r="2776" spans="1:3" x14ac:dyDescent="0.25">
      <c r="A2776" s="1" t="s">
        <v>14879</v>
      </c>
      <c r="B2776" s="1" t="s">
        <v>16372</v>
      </c>
      <c r="C2776" s="3">
        <f>IF(B2776="","",SUMIFS('Factory Costs'!$C:$C,'Factory Costs'!$A:$A,"Blades",'Factory Costs'!$B:$B,B2776))</f>
        <v>42</v>
      </c>
    </row>
    <row r="2777" spans="1:3" x14ac:dyDescent="0.25">
      <c r="A2777" s="1" t="s">
        <v>14882</v>
      </c>
      <c r="B2777" s="1" t="s">
        <v>16370</v>
      </c>
      <c r="C2777" s="3">
        <f>IF(B2777="","",SUMIFS('Factory Costs'!$C:$C,'Factory Costs'!$A:$A,"Blades",'Factory Costs'!$B:$B,B2777))</f>
        <v>34</v>
      </c>
    </row>
    <row r="2778" spans="1:3" x14ac:dyDescent="0.25">
      <c r="A2778" s="1" t="s">
        <v>14885</v>
      </c>
      <c r="B2778" s="1" t="s">
        <v>16371</v>
      </c>
      <c r="C2778" s="3">
        <f>IF(B2778="","",SUMIFS('Factory Costs'!$C:$C,'Factory Costs'!$A:$A,"Blades",'Factory Costs'!$B:$B,B2778))</f>
        <v>37</v>
      </c>
    </row>
    <row r="2779" spans="1:3" x14ac:dyDescent="0.25">
      <c r="A2779" s="1" t="s">
        <v>14888</v>
      </c>
      <c r="B2779" s="1" t="s">
        <v>16370</v>
      </c>
      <c r="C2779" s="3">
        <f>IF(B2779="","",SUMIFS('Factory Costs'!$C:$C,'Factory Costs'!$A:$A,"Blades",'Factory Costs'!$B:$B,B2779))</f>
        <v>34</v>
      </c>
    </row>
    <row r="2780" spans="1:3" x14ac:dyDescent="0.25">
      <c r="A2780" s="1" t="s">
        <v>14891</v>
      </c>
      <c r="B2780" s="1" t="s">
        <v>16372</v>
      </c>
      <c r="C2780" s="3">
        <f>IF(B2780="","",SUMIFS('Factory Costs'!$C:$C,'Factory Costs'!$A:$A,"Blades",'Factory Costs'!$B:$B,B2780))</f>
        <v>42</v>
      </c>
    </row>
    <row r="2781" spans="1:3" x14ac:dyDescent="0.25">
      <c r="A2781" s="1" t="s">
        <v>14894</v>
      </c>
      <c r="B2781" s="1" t="s">
        <v>16371</v>
      </c>
      <c r="C2781" s="3">
        <f>IF(B2781="","",SUMIFS('Factory Costs'!$C:$C,'Factory Costs'!$A:$A,"Blades",'Factory Costs'!$B:$B,B2781))</f>
        <v>37</v>
      </c>
    </row>
    <row r="2782" spans="1:3" x14ac:dyDescent="0.25">
      <c r="A2782" s="1" t="s">
        <v>14897</v>
      </c>
      <c r="B2782" s="1" t="s">
        <v>16372</v>
      </c>
      <c r="C2782" s="3">
        <f>IF(B2782="","",SUMIFS('Factory Costs'!$C:$C,'Factory Costs'!$A:$A,"Blades",'Factory Costs'!$B:$B,B2782))</f>
        <v>42</v>
      </c>
    </row>
    <row r="2783" spans="1:3" x14ac:dyDescent="0.25">
      <c r="A2783" s="1" t="s">
        <v>14900</v>
      </c>
      <c r="B2783" s="1" t="s">
        <v>16372</v>
      </c>
      <c r="C2783" s="3">
        <f>IF(B2783="","",SUMIFS('Factory Costs'!$C:$C,'Factory Costs'!$A:$A,"Blades",'Factory Costs'!$B:$B,B2783))</f>
        <v>42</v>
      </c>
    </row>
    <row r="2784" spans="1:3" x14ac:dyDescent="0.25">
      <c r="A2784" s="1" t="s">
        <v>14903</v>
      </c>
      <c r="B2784" s="1" t="s">
        <v>16370</v>
      </c>
      <c r="C2784" s="3">
        <f>IF(B2784="","",SUMIFS('Factory Costs'!$C:$C,'Factory Costs'!$A:$A,"Blades",'Factory Costs'!$B:$B,B2784))</f>
        <v>34</v>
      </c>
    </row>
    <row r="2785" spans="1:3" x14ac:dyDescent="0.25">
      <c r="A2785" s="1" t="s">
        <v>14906</v>
      </c>
      <c r="B2785" s="1" t="s">
        <v>16371</v>
      </c>
      <c r="C2785" s="3">
        <f>IF(B2785="","",SUMIFS('Factory Costs'!$C:$C,'Factory Costs'!$A:$A,"Blades",'Factory Costs'!$B:$B,B2785))</f>
        <v>37</v>
      </c>
    </row>
    <row r="2786" spans="1:3" x14ac:dyDescent="0.25">
      <c r="A2786" s="1" t="s">
        <v>14909</v>
      </c>
      <c r="B2786" s="1" t="s">
        <v>16372</v>
      </c>
      <c r="C2786" s="3">
        <f>IF(B2786="","",SUMIFS('Factory Costs'!$C:$C,'Factory Costs'!$A:$A,"Blades",'Factory Costs'!$B:$B,B2786))</f>
        <v>42</v>
      </c>
    </row>
    <row r="2787" spans="1:3" x14ac:dyDescent="0.25">
      <c r="A2787" s="1" t="s">
        <v>14912</v>
      </c>
      <c r="B2787" s="1" t="s">
        <v>16371</v>
      </c>
      <c r="C2787" s="3">
        <f>IF(B2787="","",SUMIFS('Factory Costs'!$C:$C,'Factory Costs'!$A:$A,"Blades",'Factory Costs'!$B:$B,B2787))</f>
        <v>37</v>
      </c>
    </row>
    <row r="2788" spans="1:3" x14ac:dyDescent="0.25">
      <c r="A2788" s="1" t="s">
        <v>14915</v>
      </c>
      <c r="B2788" s="1" t="s">
        <v>16372</v>
      </c>
      <c r="C2788" s="3">
        <f>IF(B2788="","",SUMIFS('Factory Costs'!$C:$C,'Factory Costs'!$A:$A,"Blades",'Factory Costs'!$B:$B,B2788))</f>
        <v>42</v>
      </c>
    </row>
    <row r="2789" spans="1:3" x14ac:dyDescent="0.25">
      <c r="A2789" s="1" t="s">
        <v>14918</v>
      </c>
      <c r="B2789" s="1" t="s">
        <v>16372</v>
      </c>
      <c r="C2789" s="3">
        <f>IF(B2789="","",SUMIFS('Factory Costs'!$C:$C,'Factory Costs'!$A:$A,"Blades",'Factory Costs'!$B:$B,B2789))</f>
        <v>42</v>
      </c>
    </row>
    <row r="2790" spans="1:3" x14ac:dyDescent="0.25">
      <c r="A2790" s="1" t="s">
        <v>14921</v>
      </c>
      <c r="B2790" s="1" t="s">
        <v>16372</v>
      </c>
      <c r="C2790" s="3">
        <f>IF(B2790="","",SUMIFS('Factory Costs'!$C:$C,'Factory Costs'!$A:$A,"Blades",'Factory Costs'!$B:$B,B2790))</f>
        <v>42</v>
      </c>
    </row>
    <row r="2791" spans="1:3" x14ac:dyDescent="0.25">
      <c r="A2791" s="1" t="s">
        <v>14924</v>
      </c>
      <c r="B2791" s="1" t="s">
        <v>16371</v>
      </c>
      <c r="C2791" s="3">
        <f>IF(B2791="","",SUMIFS('Factory Costs'!$C:$C,'Factory Costs'!$A:$A,"Blades",'Factory Costs'!$B:$B,B2791))</f>
        <v>37</v>
      </c>
    </row>
    <row r="2792" spans="1:3" x14ac:dyDescent="0.25">
      <c r="A2792" s="1" t="s">
        <v>14927</v>
      </c>
      <c r="B2792" s="1" t="s">
        <v>16370</v>
      </c>
      <c r="C2792" s="3">
        <f>IF(B2792="","",SUMIFS('Factory Costs'!$C:$C,'Factory Costs'!$A:$A,"Blades",'Factory Costs'!$B:$B,B2792))</f>
        <v>34</v>
      </c>
    </row>
    <row r="2793" spans="1:3" x14ac:dyDescent="0.25">
      <c r="A2793" s="1" t="s">
        <v>14930</v>
      </c>
      <c r="B2793" s="1" t="s">
        <v>16370</v>
      </c>
      <c r="C2793" s="3">
        <f>IF(B2793="","",SUMIFS('Factory Costs'!$C:$C,'Factory Costs'!$A:$A,"Blades",'Factory Costs'!$B:$B,B2793))</f>
        <v>34</v>
      </c>
    </row>
    <row r="2794" spans="1:3" x14ac:dyDescent="0.25">
      <c r="A2794" s="1" t="s">
        <v>14933</v>
      </c>
      <c r="B2794" s="1" t="s">
        <v>16370</v>
      </c>
      <c r="C2794" s="3">
        <f>IF(B2794="","",SUMIFS('Factory Costs'!$C:$C,'Factory Costs'!$A:$A,"Blades",'Factory Costs'!$B:$B,B2794))</f>
        <v>34</v>
      </c>
    </row>
    <row r="2795" spans="1:3" x14ac:dyDescent="0.25">
      <c r="A2795" s="1" t="s">
        <v>14936</v>
      </c>
      <c r="B2795" s="1" t="s">
        <v>16371</v>
      </c>
      <c r="C2795" s="3">
        <f>IF(B2795="","",SUMIFS('Factory Costs'!$C:$C,'Factory Costs'!$A:$A,"Blades",'Factory Costs'!$B:$B,B2795))</f>
        <v>37</v>
      </c>
    </row>
    <row r="2796" spans="1:3" x14ac:dyDescent="0.25">
      <c r="A2796" s="1" t="s">
        <v>14939</v>
      </c>
      <c r="B2796" s="1" t="s">
        <v>16370</v>
      </c>
      <c r="C2796" s="3">
        <f>IF(B2796="","",SUMIFS('Factory Costs'!$C:$C,'Factory Costs'!$A:$A,"Blades",'Factory Costs'!$B:$B,B2796))</f>
        <v>34</v>
      </c>
    </row>
    <row r="2797" spans="1:3" x14ac:dyDescent="0.25">
      <c r="A2797" s="1" t="s">
        <v>14942</v>
      </c>
      <c r="B2797" s="1" t="s">
        <v>16370</v>
      </c>
      <c r="C2797" s="3">
        <f>IF(B2797="","",SUMIFS('Factory Costs'!$C:$C,'Factory Costs'!$A:$A,"Blades",'Factory Costs'!$B:$B,B2797))</f>
        <v>34</v>
      </c>
    </row>
    <row r="2798" spans="1:3" x14ac:dyDescent="0.25">
      <c r="A2798" s="1" t="s">
        <v>14945</v>
      </c>
      <c r="B2798" s="1" t="s">
        <v>16372</v>
      </c>
      <c r="C2798" s="3">
        <f>IF(B2798="","",SUMIFS('Factory Costs'!$C:$C,'Factory Costs'!$A:$A,"Blades",'Factory Costs'!$B:$B,B2798))</f>
        <v>42</v>
      </c>
    </row>
    <row r="2799" spans="1:3" x14ac:dyDescent="0.25">
      <c r="A2799" s="1" t="s">
        <v>14948</v>
      </c>
      <c r="B2799" s="1" t="s">
        <v>16372</v>
      </c>
      <c r="C2799" s="3">
        <f>IF(B2799="","",SUMIFS('Factory Costs'!$C:$C,'Factory Costs'!$A:$A,"Blades",'Factory Costs'!$B:$B,B2799))</f>
        <v>42</v>
      </c>
    </row>
    <row r="2800" spans="1:3" x14ac:dyDescent="0.25">
      <c r="A2800" s="1" t="s">
        <v>14951</v>
      </c>
      <c r="B2800" s="1" t="s">
        <v>16370</v>
      </c>
      <c r="C2800" s="3">
        <f>IF(B2800="","",SUMIFS('Factory Costs'!$C:$C,'Factory Costs'!$A:$A,"Blades",'Factory Costs'!$B:$B,B2800))</f>
        <v>34</v>
      </c>
    </row>
    <row r="2801" spans="1:3" x14ac:dyDescent="0.25">
      <c r="A2801" s="1" t="s">
        <v>14954</v>
      </c>
      <c r="B2801" s="1" t="s">
        <v>16372</v>
      </c>
      <c r="C2801" s="3">
        <f>IF(B2801="","",SUMIFS('Factory Costs'!$C:$C,'Factory Costs'!$A:$A,"Blades",'Factory Costs'!$B:$B,B2801))</f>
        <v>42</v>
      </c>
    </row>
    <row r="2802" spans="1:3" x14ac:dyDescent="0.25">
      <c r="A2802" s="1" t="s">
        <v>14957</v>
      </c>
      <c r="B2802" s="1" t="s">
        <v>16370</v>
      </c>
      <c r="C2802" s="3">
        <f>IF(B2802="","",SUMIFS('Factory Costs'!$C:$C,'Factory Costs'!$A:$A,"Blades",'Factory Costs'!$B:$B,B2802))</f>
        <v>34</v>
      </c>
    </row>
    <row r="2803" spans="1:3" x14ac:dyDescent="0.25">
      <c r="A2803" s="1" t="s">
        <v>14960</v>
      </c>
      <c r="B2803" s="1" t="s">
        <v>16370</v>
      </c>
      <c r="C2803" s="3">
        <f>IF(B2803="","",SUMIFS('Factory Costs'!$C:$C,'Factory Costs'!$A:$A,"Blades",'Factory Costs'!$B:$B,B2803))</f>
        <v>34</v>
      </c>
    </row>
    <row r="2804" spans="1:3" x14ac:dyDescent="0.25">
      <c r="A2804" s="1" t="s">
        <v>14963</v>
      </c>
      <c r="B2804" s="1" t="s">
        <v>16370</v>
      </c>
      <c r="C2804" s="3">
        <f>IF(B2804="","",SUMIFS('Factory Costs'!$C:$C,'Factory Costs'!$A:$A,"Blades",'Factory Costs'!$B:$B,B2804))</f>
        <v>34</v>
      </c>
    </row>
    <row r="2805" spans="1:3" x14ac:dyDescent="0.25">
      <c r="A2805" s="1" t="s">
        <v>14966</v>
      </c>
      <c r="B2805" s="1" t="s">
        <v>16372</v>
      </c>
      <c r="C2805" s="3">
        <f>IF(B2805="","",SUMIFS('Factory Costs'!$C:$C,'Factory Costs'!$A:$A,"Blades",'Factory Costs'!$B:$B,B2805))</f>
        <v>42</v>
      </c>
    </row>
    <row r="2806" spans="1:3" x14ac:dyDescent="0.25">
      <c r="A2806" s="1" t="s">
        <v>14969</v>
      </c>
      <c r="B2806" s="1" t="s">
        <v>16372</v>
      </c>
      <c r="C2806" s="3">
        <f>IF(B2806="","",SUMIFS('Factory Costs'!$C:$C,'Factory Costs'!$A:$A,"Blades",'Factory Costs'!$B:$B,B2806))</f>
        <v>42</v>
      </c>
    </row>
    <row r="2807" spans="1:3" x14ac:dyDescent="0.25">
      <c r="A2807" s="1" t="s">
        <v>14972</v>
      </c>
      <c r="B2807" s="1" t="s">
        <v>16370</v>
      </c>
      <c r="C2807" s="3">
        <f>IF(B2807="","",SUMIFS('Factory Costs'!$C:$C,'Factory Costs'!$A:$A,"Blades",'Factory Costs'!$B:$B,B2807))</f>
        <v>34</v>
      </c>
    </row>
    <row r="2808" spans="1:3" x14ac:dyDescent="0.25">
      <c r="A2808" s="1" t="s">
        <v>14975</v>
      </c>
      <c r="B2808" s="1" t="s">
        <v>16371</v>
      </c>
      <c r="C2808" s="3">
        <f>IF(B2808="","",SUMIFS('Factory Costs'!$C:$C,'Factory Costs'!$A:$A,"Blades",'Factory Costs'!$B:$B,B2808))</f>
        <v>37</v>
      </c>
    </row>
    <row r="2809" spans="1:3" x14ac:dyDescent="0.25">
      <c r="A2809" s="1" t="s">
        <v>14978</v>
      </c>
      <c r="B2809" s="1" t="s">
        <v>16370</v>
      </c>
      <c r="C2809" s="3">
        <f>IF(B2809="","",SUMIFS('Factory Costs'!$C:$C,'Factory Costs'!$A:$A,"Blades",'Factory Costs'!$B:$B,B2809))</f>
        <v>34</v>
      </c>
    </row>
    <row r="2810" spans="1:3" x14ac:dyDescent="0.25">
      <c r="A2810" s="1" t="s">
        <v>14981</v>
      </c>
      <c r="B2810" s="1" t="s">
        <v>16371</v>
      </c>
      <c r="C2810" s="3">
        <f>IF(B2810="","",SUMIFS('Factory Costs'!$C:$C,'Factory Costs'!$A:$A,"Blades",'Factory Costs'!$B:$B,B2810))</f>
        <v>37</v>
      </c>
    </row>
    <row r="2811" spans="1:3" x14ac:dyDescent="0.25">
      <c r="A2811" s="1" t="s">
        <v>14984</v>
      </c>
      <c r="B2811" s="1" t="s">
        <v>16370</v>
      </c>
      <c r="C2811" s="3">
        <f>IF(B2811="","",SUMIFS('Factory Costs'!$C:$C,'Factory Costs'!$A:$A,"Blades",'Factory Costs'!$B:$B,B2811))</f>
        <v>34</v>
      </c>
    </row>
    <row r="2812" spans="1:3" x14ac:dyDescent="0.25">
      <c r="A2812" s="1" t="s">
        <v>14987</v>
      </c>
      <c r="B2812" s="1" t="s">
        <v>16370</v>
      </c>
      <c r="C2812" s="3">
        <f>IF(B2812="","",SUMIFS('Factory Costs'!$C:$C,'Factory Costs'!$A:$A,"Blades",'Factory Costs'!$B:$B,B2812))</f>
        <v>34</v>
      </c>
    </row>
    <row r="2813" spans="1:3" x14ac:dyDescent="0.25">
      <c r="A2813" s="1" t="s">
        <v>14990</v>
      </c>
      <c r="B2813" s="1" t="s">
        <v>16371</v>
      </c>
      <c r="C2813" s="3">
        <f>IF(B2813="","",SUMIFS('Factory Costs'!$C:$C,'Factory Costs'!$A:$A,"Blades",'Factory Costs'!$B:$B,B2813))</f>
        <v>37</v>
      </c>
    </row>
    <row r="2814" spans="1:3" x14ac:dyDescent="0.25">
      <c r="A2814" s="1" t="s">
        <v>14993</v>
      </c>
      <c r="B2814" s="1" t="s">
        <v>16372</v>
      </c>
      <c r="C2814" s="3">
        <f>IF(B2814="","",SUMIFS('Factory Costs'!$C:$C,'Factory Costs'!$A:$A,"Blades",'Factory Costs'!$B:$B,B2814))</f>
        <v>42</v>
      </c>
    </row>
    <row r="2815" spans="1:3" x14ac:dyDescent="0.25">
      <c r="A2815" s="1" t="s">
        <v>14996</v>
      </c>
      <c r="B2815" s="1" t="s">
        <v>16370</v>
      </c>
      <c r="C2815" s="3">
        <f>IF(B2815="","",SUMIFS('Factory Costs'!$C:$C,'Factory Costs'!$A:$A,"Blades",'Factory Costs'!$B:$B,B2815))</f>
        <v>34</v>
      </c>
    </row>
    <row r="2816" spans="1:3" x14ac:dyDescent="0.25">
      <c r="A2816" s="1" t="s">
        <v>14999</v>
      </c>
      <c r="B2816" s="1" t="s">
        <v>16372</v>
      </c>
      <c r="C2816" s="3">
        <f>IF(B2816="","",SUMIFS('Factory Costs'!$C:$C,'Factory Costs'!$A:$A,"Blades",'Factory Costs'!$B:$B,B2816))</f>
        <v>42</v>
      </c>
    </row>
    <row r="2817" spans="1:3" x14ac:dyDescent="0.25">
      <c r="A2817" s="1" t="s">
        <v>15002</v>
      </c>
      <c r="B2817" s="1" t="s">
        <v>16370</v>
      </c>
      <c r="C2817" s="3">
        <f>IF(B2817="","",SUMIFS('Factory Costs'!$C:$C,'Factory Costs'!$A:$A,"Blades",'Factory Costs'!$B:$B,B2817))</f>
        <v>34</v>
      </c>
    </row>
    <row r="2818" spans="1:3" x14ac:dyDescent="0.25">
      <c r="A2818" s="1" t="s">
        <v>15005</v>
      </c>
      <c r="B2818" s="1" t="s">
        <v>16370</v>
      </c>
      <c r="C2818" s="3">
        <f>IF(B2818="","",SUMIFS('Factory Costs'!$C:$C,'Factory Costs'!$A:$A,"Blades",'Factory Costs'!$B:$B,B2818))</f>
        <v>34</v>
      </c>
    </row>
    <row r="2819" spans="1:3" x14ac:dyDescent="0.25">
      <c r="A2819" s="1" t="s">
        <v>15008</v>
      </c>
      <c r="B2819" s="1" t="s">
        <v>16370</v>
      </c>
      <c r="C2819" s="3">
        <f>IF(B2819="","",SUMIFS('Factory Costs'!$C:$C,'Factory Costs'!$A:$A,"Blades",'Factory Costs'!$B:$B,B2819))</f>
        <v>34</v>
      </c>
    </row>
    <row r="2820" spans="1:3" x14ac:dyDescent="0.25">
      <c r="A2820" s="1" t="s">
        <v>15011</v>
      </c>
      <c r="B2820" s="1" t="s">
        <v>16372</v>
      </c>
      <c r="C2820" s="3">
        <f>IF(B2820="","",SUMIFS('Factory Costs'!$C:$C,'Factory Costs'!$A:$A,"Blades",'Factory Costs'!$B:$B,B2820))</f>
        <v>42</v>
      </c>
    </row>
    <row r="2821" spans="1:3" x14ac:dyDescent="0.25">
      <c r="A2821" s="1" t="s">
        <v>15014</v>
      </c>
      <c r="B2821" s="1" t="s">
        <v>16370</v>
      </c>
      <c r="C2821" s="3">
        <f>IF(B2821="","",SUMIFS('Factory Costs'!$C:$C,'Factory Costs'!$A:$A,"Blades",'Factory Costs'!$B:$B,B2821))</f>
        <v>34</v>
      </c>
    </row>
    <row r="2822" spans="1:3" x14ac:dyDescent="0.25">
      <c r="A2822" s="1" t="s">
        <v>15017</v>
      </c>
      <c r="B2822" s="1" t="s">
        <v>16370</v>
      </c>
      <c r="C2822" s="3">
        <f>IF(B2822="","",SUMIFS('Factory Costs'!$C:$C,'Factory Costs'!$A:$A,"Blades",'Factory Costs'!$B:$B,B2822))</f>
        <v>34</v>
      </c>
    </row>
    <row r="2823" spans="1:3" x14ac:dyDescent="0.25">
      <c r="A2823" s="1" t="s">
        <v>15020</v>
      </c>
      <c r="B2823" s="1" t="s">
        <v>16370</v>
      </c>
      <c r="C2823" s="3">
        <f>IF(B2823="","",SUMIFS('Factory Costs'!$C:$C,'Factory Costs'!$A:$A,"Blades",'Factory Costs'!$B:$B,B2823))</f>
        <v>34</v>
      </c>
    </row>
    <row r="2824" spans="1:3" x14ac:dyDescent="0.25">
      <c r="A2824" s="1" t="s">
        <v>15023</v>
      </c>
      <c r="B2824" s="1" t="s">
        <v>16370</v>
      </c>
      <c r="C2824" s="3">
        <f>IF(B2824="","",SUMIFS('Factory Costs'!$C:$C,'Factory Costs'!$A:$A,"Blades",'Factory Costs'!$B:$B,B2824))</f>
        <v>34</v>
      </c>
    </row>
    <row r="2825" spans="1:3" x14ac:dyDescent="0.25">
      <c r="A2825" s="1" t="s">
        <v>15026</v>
      </c>
      <c r="B2825" s="1" t="s">
        <v>16372</v>
      </c>
      <c r="C2825" s="3">
        <f>IF(B2825="","",SUMIFS('Factory Costs'!$C:$C,'Factory Costs'!$A:$A,"Blades",'Factory Costs'!$B:$B,B2825))</f>
        <v>42</v>
      </c>
    </row>
    <row r="2826" spans="1:3" x14ac:dyDescent="0.25">
      <c r="A2826" s="1" t="s">
        <v>15029</v>
      </c>
      <c r="B2826" s="1" t="s">
        <v>16370</v>
      </c>
      <c r="C2826" s="3">
        <f>IF(B2826="","",SUMIFS('Factory Costs'!$C:$C,'Factory Costs'!$A:$A,"Blades",'Factory Costs'!$B:$B,B2826))</f>
        <v>34</v>
      </c>
    </row>
    <row r="2827" spans="1:3" x14ac:dyDescent="0.25">
      <c r="A2827" s="1" t="s">
        <v>15032</v>
      </c>
      <c r="B2827" s="1" t="s">
        <v>16370</v>
      </c>
      <c r="C2827" s="3">
        <f>IF(B2827="","",SUMIFS('Factory Costs'!$C:$C,'Factory Costs'!$A:$A,"Blades",'Factory Costs'!$B:$B,B2827))</f>
        <v>34</v>
      </c>
    </row>
    <row r="2828" spans="1:3" x14ac:dyDescent="0.25">
      <c r="A2828" s="1" t="s">
        <v>15035</v>
      </c>
      <c r="B2828" s="1" t="s">
        <v>16370</v>
      </c>
      <c r="C2828" s="3">
        <f>IF(B2828="","",SUMIFS('Factory Costs'!$C:$C,'Factory Costs'!$A:$A,"Blades",'Factory Costs'!$B:$B,B2828))</f>
        <v>34</v>
      </c>
    </row>
    <row r="2829" spans="1:3" x14ac:dyDescent="0.25">
      <c r="A2829" s="1" t="s">
        <v>15038</v>
      </c>
      <c r="B2829" s="1" t="s">
        <v>16370</v>
      </c>
      <c r="C2829" s="3">
        <f>IF(B2829="","",SUMIFS('Factory Costs'!$C:$C,'Factory Costs'!$A:$A,"Blades",'Factory Costs'!$B:$B,B2829))</f>
        <v>34</v>
      </c>
    </row>
    <row r="2830" spans="1:3" x14ac:dyDescent="0.25">
      <c r="A2830" s="1" t="s">
        <v>15041</v>
      </c>
      <c r="B2830" s="1" t="s">
        <v>16372</v>
      </c>
      <c r="C2830" s="3">
        <f>IF(B2830="","",SUMIFS('Factory Costs'!$C:$C,'Factory Costs'!$A:$A,"Blades",'Factory Costs'!$B:$B,B2830))</f>
        <v>42</v>
      </c>
    </row>
    <row r="2831" spans="1:3" x14ac:dyDescent="0.25">
      <c r="A2831" s="1" t="s">
        <v>15044</v>
      </c>
      <c r="B2831" s="1" t="s">
        <v>16370</v>
      </c>
      <c r="C2831" s="3">
        <f>IF(B2831="","",SUMIFS('Factory Costs'!$C:$C,'Factory Costs'!$A:$A,"Blades",'Factory Costs'!$B:$B,B2831))</f>
        <v>34</v>
      </c>
    </row>
    <row r="2832" spans="1:3" x14ac:dyDescent="0.25">
      <c r="A2832" s="1" t="s">
        <v>15047</v>
      </c>
      <c r="B2832" s="1" t="s">
        <v>16370</v>
      </c>
      <c r="C2832" s="3">
        <f>IF(B2832="","",SUMIFS('Factory Costs'!$C:$C,'Factory Costs'!$A:$A,"Blades",'Factory Costs'!$B:$B,B2832))</f>
        <v>34</v>
      </c>
    </row>
    <row r="2833" spans="1:3" x14ac:dyDescent="0.25">
      <c r="A2833" s="1" t="s">
        <v>15050</v>
      </c>
      <c r="B2833" s="1" t="s">
        <v>16370</v>
      </c>
      <c r="C2833" s="3">
        <f>IF(B2833="","",SUMIFS('Factory Costs'!$C:$C,'Factory Costs'!$A:$A,"Blades",'Factory Costs'!$B:$B,B2833))</f>
        <v>34</v>
      </c>
    </row>
    <row r="2834" spans="1:3" x14ac:dyDescent="0.25">
      <c r="A2834" s="1" t="s">
        <v>15053</v>
      </c>
      <c r="B2834" s="1" t="s">
        <v>16372</v>
      </c>
      <c r="C2834" s="3">
        <f>IF(B2834="","",SUMIFS('Factory Costs'!$C:$C,'Factory Costs'!$A:$A,"Blades",'Factory Costs'!$B:$B,B2834))</f>
        <v>42</v>
      </c>
    </row>
    <row r="2835" spans="1:3" x14ac:dyDescent="0.25">
      <c r="A2835" s="1" t="s">
        <v>15056</v>
      </c>
      <c r="B2835" s="1" t="s">
        <v>16371</v>
      </c>
      <c r="C2835" s="3">
        <f>IF(B2835="","",SUMIFS('Factory Costs'!$C:$C,'Factory Costs'!$A:$A,"Blades",'Factory Costs'!$B:$B,B2835))</f>
        <v>37</v>
      </c>
    </row>
    <row r="2836" spans="1:3" x14ac:dyDescent="0.25">
      <c r="A2836" s="1" t="s">
        <v>15059</v>
      </c>
      <c r="B2836" s="1" t="s">
        <v>16370</v>
      </c>
      <c r="C2836" s="3">
        <f>IF(B2836="","",SUMIFS('Factory Costs'!$C:$C,'Factory Costs'!$A:$A,"Blades",'Factory Costs'!$B:$B,B2836))</f>
        <v>34</v>
      </c>
    </row>
    <row r="2837" spans="1:3" x14ac:dyDescent="0.25">
      <c r="A2837" s="1" t="s">
        <v>15062</v>
      </c>
      <c r="B2837" s="1" t="s">
        <v>16370</v>
      </c>
      <c r="C2837" s="3">
        <f>IF(B2837="","",SUMIFS('Factory Costs'!$C:$C,'Factory Costs'!$A:$A,"Blades",'Factory Costs'!$B:$B,B2837))</f>
        <v>34</v>
      </c>
    </row>
    <row r="2838" spans="1:3" x14ac:dyDescent="0.25">
      <c r="A2838" s="1" t="s">
        <v>15065</v>
      </c>
      <c r="B2838" s="1" t="s">
        <v>16370</v>
      </c>
      <c r="C2838" s="3">
        <f>IF(B2838="","",SUMIFS('Factory Costs'!$C:$C,'Factory Costs'!$A:$A,"Blades",'Factory Costs'!$B:$B,B2838))</f>
        <v>34</v>
      </c>
    </row>
    <row r="2839" spans="1:3" x14ac:dyDescent="0.25">
      <c r="A2839" s="1" t="s">
        <v>15068</v>
      </c>
      <c r="B2839" s="1" t="s">
        <v>16370</v>
      </c>
      <c r="C2839" s="3">
        <f>IF(B2839="","",SUMIFS('Factory Costs'!$C:$C,'Factory Costs'!$A:$A,"Blades",'Factory Costs'!$B:$B,B2839))</f>
        <v>34</v>
      </c>
    </row>
    <row r="2840" spans="1:3" x14ac:dyDescent="0.25">
      <c r="A2840" s="1" t="s">
        <v>15071</v>
      </c>
      <c r="B2840" s="1" t="s">
        <v>16371</v>
      </c>
      <c r="C2840" s="3">
        <f>IF(B2840="","",SUMIFS('Factory Costs'!$C:$C,'Factory Costs'!$A:$A,"Blades",'Factory Costs'!$B:$B,B2840))</f>
        <v>37</v>
      </c>
    </row>
    <row r="2841" spans="1:3" x14ac:dyDescent="0.25">
      <c r="A2841" s="1" t="s">
        <v>15074</v>
      </c>
      <c r="B2841" s="1" t="s">
        <v>16370</v>
      </c>
      <c r="C2841" s="3">
        <f>IF(B2841="","",SUMIFS('Factory Costs'!$C:$C,'Factory Costs'!$A:$A,"Blades",'Factory Costs'!$B:$B,B2841))</f>
        <v>34</v>
      </c>
    </row>
    <row r="2842" spans="1:3" x14ac:dyDescent="0.25">
      <c r="A2842" s="1" t="s">
        <v>15077</v>
      </c>
      <c r="B2842" s="1" t="s">
        <v>16370</v>
      </c>
      <c r="C2842" s="3">
        <f>IF(B2842="","",SUMIFS('Factory Costs'!$C:$C,'Factory Costs'!$A:$A,"Blades",'Factory Costs'!$B:$B,B2842))</f>
        <v>34</v>
      </c>
    </row>
    <row r="2843" spans="1:3" x14ac:dyDescent="0.25">
      <c r="A2843" s="1" t="s">
        <v>15080</v>
      </c>
      <c r="B2843" s="1" t="s">
        <v>16370</v>
      </c>
      <c r="C2843" s="3">
        <f>IF(B2843="","",SUMIFS('Factory Costs'!$C:$C,'Factory Costs'!$A:$A,"Blades",'Factory Costs'!$B:$B,B2843))</f>
        <v>34</v>
      </c>
    </row>
    <row r="2844" spans="1:3" x14ac:dyDescent="0.25">
      <c r="A2844" s="1" t="s">
        <v>15083</v>
      </c>
      <c r="B2844" s="1" t="s">
        <v>16372</v>
      </c>
      <c r="C2844" s="3">
        <f>IF(B2844="","",SUMIFS('Factory Costs'!$C:$C,'Factory Costs'!$A:$A,"Blades",'Factory Costs'!$B:$B,B2844))</f>
        <v>42</v>
      </c>
    </row>
    <row r="2845" spans="1:3" x14ac:dyDescent="0.25">
      <c r="A2845" s="1" t="s">
        <v>15086</v>
      </c>
      <c r="B2845" s="1" t="s">
        <v>16372</v>
      </c>
      <c r="C2845" s="3">
        <f>IF(B2845="","",SUMIFS('Factory Costs'!$C:$C,'Factory Costs'!$A:$A,"Blades",'Factory Costs'!$B:$B,B2845))</f>
        <v>42</v>
      </c>
    </row>
    <row r="2846" spans="1:3" x14ac:dyDescent="0.25">
      <c r="A2846" s="1" t="s">
        <v>15089</v>
      </c>
      <c r="B2846" s="1" t="s">
        <v>16371</v>
      </c>
      <c r="C2846" s="3">
        <f>IF(B2846="","",SUMIFS('Factory Costs'!$C:$C,'Factory Costs'!$A:$A,"Blades",'Factory Costs'!$B:$B,B2846))</f>
        <v>37</v>
      </c>
    </row>
    <row r="2847" spans="1:3" x14ac:dyDescent="0.25">
      <c r="A2847" s="1" t="s">
        <v>15092</v>
      </c>
      <c r="B2847" s="1" t="s">
        <v>16372</v>
      </c>
      <c r="C2847" s="3">
        <f>IF(B2847="","",SUMIFS('Factory Costs'!$C:$C,'Factory Costs'!$A:$A,"Blades",'Factory Costs'!$B:$B,B2847))</f>
        <v>42</v>
      </c>
    </row>
    <row r="2848" spans="1:3" x14ac:dyDescent="0.25">
      <c r="A2848" s="1" t="s">
        <v>15095</v>
      </c>
      <c r="B2848" s="1" t="s">
        <v>16370</v>
      </c>
      <c r="C2848" s="3">
        <f>IF(B2848="","",SUMIFS('Factory Costs'!$C:$C,'Factory Costs'!$A:$A,"Blades",'Factory Costs'!$B:$B,B2848))</f>
        <v>34</v>
      </c>
    </row>
    <row r="2849" spans="1:3" x14ac:dyDescent="0.25">
      <c r="A2849" s="1" t="s">
        <v>15098</v>
      </c>
      <c r="B2849" s="1" t="s">
        <v>16370</v>
      </c>
      <c r="C2849" s="3">
        <f>IF(B2849="","",SUMIFS('Factory Costs'!$C:$C,'Factory Costs'!$A:$A,"Blades",'Factory Costs'!$B:$B,B2849))</f>
        <v>34</v>
      </c>
    </row>
    <row r="2850" spans="1:3" x14ac:dyDescent="0.25">
      <c r="A2850" s="1" t="s">
        <v>15101</v>
      </c>
      <c r="B2850" s="1" t="s">
        <v>16372</v>
      </c>
      <c r="C2850" s="3">
        <f>IF(B2850="","",SUMIFS('Factory Costs'!$C:$C,'Factory Costs'!$A:$A,"Blades",'Factory Costs'!$B:$B,B2850))</f>
        <v>42</v>
      </c>
    </row>
    <row r="2851" spans="1:3" x14ac:dyDescent="0.25">
      <c r="A2851" s="1" t="s">
        <v>15104</v>
      </c>
      <c r="B2851" s="1" t="s">
        <v>16370</v>
      </c>
      <c r="C2851" s="3">
        <f>IF(B2851="","",SUMIFS('Factory Costs'!$C:$C,'Factory Costs'!$A:$A,"Blades",'Factory Costs'!$B:$B,B2851))</f>
        <v>34</v>
      </c>
    </row>
    <row r="2852" spans="1:3" x14ac:dyDescent="0.25">
      <c r="A2852" s="1" t="s">
        <v>15107</v>
      </c>
      <c r="B2852" s="1" t="s">
        <v>16370</v>
      </c>
      <c r="C2852" s="3">
        <f>IF(B2852="","",SUMIFS('Factory Costs'!$C:$C,'Factory Costs'!$A:$A,"Blades",'Factory Costs'!$B:$B,B2852))</f>
        <v>34</v>
      </c>
    </row>
    <row r="2853" spans="1:3" x14ac:dyDescent="0.25">
      <c r="A2853" s="1" t="s">
        <v>15110</v>
      </c>
      <c r="B2853" s="1" t="s">
        <v>16372</v>
      </c>
      <c r="C2853" s="3">
        <f>IF(B2853="","",SUMIFS('Factory Costs'!$C:$C,'Factory Costs'!$A:$A,"Blades",'Factory Costs'!$B:$B,B2853))</f>
        <v>42</v>
      </c>
    </row>
    <row r="2854" spans="1:3" x14ac:dyDescent="0.25">
      <c r="A2854" s="1" t="s">
        <v>15113</v>
      </c>
      <c r="B2854" s="1" t="s">
        <v>16371</v>
      </c>
      <c r="C2854" s="3">
        <f>IF(B2854="","",SUMIFS('Factory Costs'!$C:$C,'Factory Costs'!$A:$A,"Blades",'Factory Costs'!$B:$B,B2854))</f>
        <v>37</v>
      </c>
    </row>
    <row r="2855" spans="1:3" x14ac:dyDescent="0.25">
      <c r="A2855" s="1" t="s">
        <v>15116</v>
      </c>
      <c r="B2855" s="1" t="s">
        <v>16371</v>
      </c>
      <c r="C2855" s="3">
        <f>IF(B2855="","",SUMIFS('Factory Costs'!$C:$C,'Factory Costs'!$A:$A,"Blades",'Factory Costs'!$B:$B,B2855))</f>
        <v>37</v>
      </c>
    </row>
    <row r="2856" spans="1:3" x14ac:dyDescent="0.25">
      <c r="A2856" s="1" t="s">
        <v>15119</v>
      </c>
      <c r="B2856" s="1" t="s">
        <v>16371</v>
      </c>
      <c r="C2856" s="3">
        <f>IF(B2856="","",SUMIFS('Factory Costs'!$C:$C,'Factory Costs'!$A:$A,"Blades",'Factory Costs'!$B:$B,B2856))</f>
        <v>37</v>
      </c>
    </row>
    <row r="2857" spans="1:3" x14ac:dyDescent="0.25">
      <c r="A2857" s="1" t="s">
        <v>15122</v>
      </c>
      <c r="B2857" s="1" t="s">
        <v>16370</v>
      </c>
      <c r="C2857" s="3">
        <f>IF(B2857="","",SUMIFS('Factory Costs'!$C:$C,'Factory Costs'!$A:$A,"Blades",'Factory Costs'!$B:$B,B2857))</f>
        <v>34</v>
      </c>
    </row>
    <row r="2858" spans="1:3" x14ac:dyDescent="0.25">
      <c r="A2858" s="1" t="s">
        <v>15125</v>
      </c>
      <c r="B2858" s="1" t="s">
        <v>16371</v>
      </c>
      <c r="C2858" s="3">
        <f>IF(B2858="","",SUMIFS('Factory Costs'!$C:$C,'Factory Costs'!$A:$A,"Blades",'Factory Costs'!$B:$B,B2858))</f>
        <v>37</v>
      </c>
    </row>
    <row r="2859" spans="1:3" x14ac:dyDescent="0.25">
      <c r="A2859" s="1" t="s">
        <v>15128</v>
      </c>
      <c r="B2859" s="1" t="s">
        <v>16370</v>
      </c>
      <c r="C2859" s="3">
        <f>IF(B2859="","",SUMIFS('Factory Costs'!$C:$C,'Factory Costs'!$A:$A,"Blades",'Factory Costs'!$B:$B,B2859))</f>
        <v>34</v>
      </c>
    </row>
    <row r="2860" spans="1:3" x14ac:dyDescent="0.25">
      <c r="A2860" s="1" t="s">
        <v>15131</v>
      </c>
      <c r="B2860" s="1" t="s">
        <v>16371</v>
      </c>
      <c r="C2860" s="3">
        <f>IF(B2860="","",SUMIFS('Factory Costs'!$C:$C,'Factory Costs'!$A:$A,"Blades",'Factory Costs'!$B:$B,B2860))</f>
        <v>37</v>
      </c>
    </row>
    <row r="2861" spans="1:3" x14ac:dyDescent="0.25">
      <c r="A2861" s="1" t="s">
        <v>15134</v>
      </c>
      <c r="B2861" s="1" t="s">
        <v>16370</v>
      </c>
      <c r="C2861" s="3">
        <f>IF(B2861="","",SUMIFS('Factory Costs'!$C:$C,'Factory Costs'!$A:$A,"Blades",'Factory Costs'!$B:$B,B2861))</f>
        <v>34</v>
      </c>
    </row>
    <row r="2862" spans="1:3" x14ac:dyDescent="0.25">
      <c r="A2862" s="1" t="s">
        <v>15137</v>
      </c>
      <c r="B2862" s="1" t="s">
        <v>16372</v>
      </c>
      <c r="C2862" s="3">
        <f>IF(B2862="","",SUMIFS('Factory Costs'!$C:$C,'Factory Costs'!$A:$A,"Blades",'Factory Costs'!$B:$B,B2862))</f>
        <v>42</v>
      </c>
    </row>
    <row r="2863" spans="1:3" x14ac:dyDescent="0.25">
      <c r="A2863" s="1" t="s">
        <v>15140</v>
      </c>
      <c r="B2863" s="1" t="s">
        <v>16371</v>
      </c>
      <c r="C2863" s="3">
        <f>IF(B2863="","",SUMIFS('Factory Costs'!$C:$C,'Factory Costs'!$A:$A,"Blades",'Factory Costs'!$B:$B,B2863))</f>
        <v>37</v>
      </c>
    </row>
    <row r="2864" spans="1:3" x14ac:dyDescent="0.25">
      <c r="A2864" s="1" t="s">
        <v>15143</v>
      </c>
      <c r="B2864" s="1" t="s">
        <v>16372</v>
      </c>
      <c r="C2864" s="3">
        <f>IF(B2864="","",SUMIFS('Factory Costs'!$C:$C,'Factory Costs'!$A:$A,"Blades",'Factory Costs'!$B:$B,B2864))</f>
        <v>42</v>
      </c>
    </row>
    <row r="2865" spans="1:3" x14ac:dyDescent="0.25">
      <c r="A2865" s="1" t="s">
        <v>15146</v>
      </c>
      <c r="B2865" s="1" t="s">
        <v>16370</v>
      </c>
      <c r="C2865" s="3">
        <f>IF(B2865="","",SUMIFS('Factory Costs'!$C:$C,'Factory Costs'!$A:$A,"Blades",'Factory Costs'!$B:$B,B2865))</f>
        <v>34</v>
      </c>
    </row>
    <row r="2866" spans="1:3" x14ac:dyDescent="0.25">
      <c r="A2866" s="1" t="s">
        <v>15149</v>
      </c>
      <c r="B2866" s="1" t="s">
        <v>16371</v>
      </c>
      <c r="C2866" s="3">
        <f>IF(B2866="","",SUMIFS('Factory Costs'!$C:$C,'Factory Costs'!$A:$A,"Blades",'Factory Costs'!$B:$B,B2866))</f>
        <v>37</v>
      </c>
    </row>
    <row r="2867" spans="1:3" x14ac:dyDescent="0.25">
      <c r="A2867" s="1" t="s">
        <v>15152</v>
      </c>
      <c r="B2867" s="1" t="s">
        <v>16370</v>
      </c>
      <c r="C2867" s="3">
        <f>IF(B2867="","",SUMIFS('Factory Costs'!$C:$C,'Factory Costs'!$A:$A,"Blades",'Factory Costs'!$B:$B,B2867))</f>
        <v>34</v>
      </c>
    </row>
    <row r="2868" spans="1:3" x14ac:dyDescent="0.25">
      <c r="A2868" s="1" t="s">
        <v>15155</v>
      </c>
      <c r="B2868" s="1" t="s">
        <v>16370</v>
      </c>
      <c r="C2868" s="3">
        <f>IF(B2868="","",SUMIFS('Factory Costs'!$C:$C,'Factory Costs'!$A:$A,"Blades",'Factory Costs'!$B:$B,B2868))</f>
        <v>34</v>
      </c>
    </row>
    <row r="2869" spans="1:3" x14ac:dyDescent="0.25">
      <c r="A2869" s="1" t="s">
        <v>15158</v>
      </c>
      <c r="B2869" s="1" t="s">
        <v>16370</v>
      </c>
      <c r="C2869" s="3">
        <f>IF(B2869="","",SUMIFS('Factory Costs'!$C:$C,'Factory Costs'!$A:$A,"Blades",'Factory Costs'!$B:$B,B2869))</f>
        <v>34</v>
      </c>
    </row>
    <row r="2870" spans="1:3" x14ac:dyDescent="0.25">
      <c r="A2870" s="1" t="s">
        <v>15161</v>
      </c>
      <c r="B2870" s="1" t="s">
        <v>16370</v>
      </c>
      <c r="C2870" s="3">
        <f>IF(B2870="","",SUMIFS('Factory Costs'!$C:$C,'Factory Costs'!$A:$A,"Blades",'Factory Costs'!$B:$B,B2870))</f>
        <v>34</v>
      </c>
    </row>
    <row r="2871" spans="1:3" x14ac:dyDescent="0.25">
      <c r="A2871" s="1" t="s">
        <v>15164</v>
      </c>
      <c r="B2871" s="1" t="s">
        <v>16370</v>
      </c>
      <c r="C2871" s="3">
        <f>IF(B2871="","",SUMIFS('Factory Costs'!$C:$C,'Factory Costs'!$A:$A,"Blades",'Factory Costs'!$B:$B,B2871))</f>
        <v>34</v>
      </c>
    </row>
    <row r="2872" spans="1:3" x14ac:dyDescent="0.25">
      <c r="A2872" s="1" t="s">
        <v>15167</v>
      </c>
      <c r="B2872" s="1" t="s">
        <v>16370</v>
      </c>
      <c r="C2872" s="3">
        <f>IF(B2872="","",SUMIFS('Factory Costs'!$C:$C,'Factory Costs'!$A:$A,"Blades",'Factory Costs'!$B:$B,B2872))</f>
        <v>34</v>
      </c>
    </row>
    <row r="2873" spans="1:3" x14ac:dyDescent="0.25">
      <c r="A2873" s="1" t="s">
        <v>15170</v>
      </c>
      <c r="B2873" s="1" t="s">
        <v>16370</v>
      </c>
      <c r="C2873" s="3">
        <f>IF(B2873="","",SUMIFS('Factory Costs'!$C:$C,'Factory Costs'!$A:$A,"Blades",'Factory Costs'!$B:$B,B2873))</f>
        <v>34</v>
      </c>
    </row>
    <row r="2874" spans="1:3" x14ac:dyDescent="0.25">
      <c r="A2874" s="1" t="s">
        <v>15173</v>
      </c>
      <c r="B2874" s="1" t="s">
        <v>16370</v>
      </c>
      <c r="C2874" s="3">
        <f>IF(B2874="","",SUMIFS('Factory Costs'!$C:$C,'Factory Costs'!$A:$A,"Blades",'Factory Costs'!$B:$B,B2874))</f>
        <v>34</v>
      </c>
    </row>
    <row r="2875" spans="1:3" x14ac:dyDescent="0.25">
      <c r="A2875" s="1" t="s">
        <v>15176</v>
      </c>
      <c r="B2875" s="1" t="s">
        <v>16371</v>
      </c>
      <c r="C2875" s="3">
        <f>IF(B2875="","",SUMIFS('Factory Costs'!$C:$C,'Factory Costs'!$A:$A,"Blades",'Factory Costs'!$B:$B,B2875))</f>
        <v>37</v>
      </c>
    </row>
    <row r="2876" spans="1:3" x14ac:dyDescent="0.25">
      <c r="A2876" s="1" t="s">
        <v>15179</v>
      </c>
      <c r="B2876" s="1" t="s">
        <v>16372</v>
      </c>
      <c r="C2876" s="3">
        <f>IF(B2876="","",SUMIFS('Factory Costs'!$C:$C,'Factory Costs'!$A:$A,"Blades",'Factory Costs'!$B:$B,B2876))</f>
        <v>42</v>
      </c>
    </row>
    <row r="2877" spans="1:3" x14ac:dyDescent="0.25">
      <c r="A2877" s="1" t="s">
        <v>15182</v>
      </c>
      <c r="B2877" s="1" t="s">
        <v>16371</v>
      </c>
      <c r="C2877" s="3">
        <f>IF(B2877="","",SUMIFS('Factory Costs'!$C:$C,'Factory Costs'!$A:$A,"Blades",'Factory Costs'!$B:$B,B2877))</f>
        <v>37</v>
      </c>
    </row>
    <row r="2878" spans="1:3" x14ac:dyDescent="0.25">
      <c r="A2878" s="1" t="s">
        <v>15185</v>
      </c>
      <c r="B2878" s="1" t="s">
        <v>16372</v>
      </c>
      <c r="C2878" s="3">
        <f>IF(B2878="","",SUMIFS('Factory Costs'!$C:$C,'Factory Costs'!$A:$A,"Blades",'Factory Costs'!$B:$B,B2878))</f>
        <v>42</v>
      </c>
    </row>
    <row r="2879" spans="1:3" x14ac:dyDescent="0.25">
      <c r="A2879" s="1" t="s">
        <v>15188</v>
      </c>
      <c r="B2879" s="1" t="s">
        <v>16370</v>
      </c>
      <c r="C2879" s="3">
        <f>IF(B2879="","",SUMIFS('Factory Costs'!$C:$C,'Factory Costs'!$A:$A,"Blades",'Factory Costs'!$B:$B,B2879))</f>
        <v>34</v>
      </c>
    </row>
    <row r="2880" spans="1:3" x14ac:dyDescent="0.25">
      <c r="A2880" s="1" t="s">
        <v>15191</v>
      </c>
      <c r="B2880" s="1" t="s">
        <v>16370</v>
      </c>
      <c r="C2880" s="3">
        <f>IF(B2880="","",SUMIFS('Factory Costs'!$C:$C,'Factory Costs'!$A:$A,"Blades",'Factory Costs'!$B:$B,B2880))</f>
        <v>34</v>
      </c>
    </row>
    <row r="2881" spans="1:3" x14ac:dyDescent="0.25">
      <c r="A2881" s="1" t="s">
        <v>15194</v>
      </c>
      <c r="B2881" s="1" t="s">
        <v>16371</v>
      </c>
      <c r="C2881" s="3">
        <f>IF(B2881="","",SUMIFS('Factory Costs'!$C:$C,'Factory Costs'!$A:$A,"Blades",'Factory Costs'!$B:$B,B2881))</f>
        <v>37</v>
      </c>
    </row>
    <row r="2882" spans="1:3" x14ac:dyDescent="0.25">
      <c r="A2882" s="1" t="s">
        <v>15197</v>
      </c>
      <c r="B2882" s="1" t="s">
        <v>16371</v>
      </c>
      <c r="C2882" s="3">
        <f>IF(B2882="","",SUMIFS('Factory Costs'!$C:$C,'Factory Costs'!$A:$A,"Blades",'Factory Costs'!$B:$B,B2882))</f>
        <v>37</v>
      </c>
    </row>
    <row r="2883" spans="1:3" x14ac:dyDescent="0.25">
      <c r="A2883" s="1" t="s">
        <v>15200</v>
      </c>
      <c r="B2883" s="1" t="s">
        <v>16371</v>
      </c>
      <c r="C2883" s="3">
        <f>IF(B2883="","",SUMIFS('Factory Costs'!$C:$C,'Factory Costs'!$A:$A,"Blades",'Factory Costs'!$B:$B,B2883))</f>
        <v>37</v>
      </c>
    </row>
    <row r="2884" spans="1:3" x14ac:dyDescent="0.25">
      <c r="A2884" s="1" t="s">
        <v>15203</v>
      </c>
      <c r="B2884" s="1" t="s">
        <v>16371</v>
      </c>
      <c r="C2884" s="3">
        <f>IF(B2884="","",SUMIFS('Factory Costs'!$C:$C,'Factory Costs'!$A:$A,"Blades",'Factory Costs'!$B:$B,B2884))</f>
        <v>37</v>
      </c>
    </row>
    <row r="2885" spans="1:3" x14ac:dyDescent="0.25">
      <c r="A2885" s="1" t="s">
        <v>15206</v>
      </c>
      <c r="B2885" s="1" t="s">
        <v>16370</v>
      </c>
      <c r="C2885" s="3">
        <f>IF(B2885="","",SUMIFS('Factory Costs'!$C:$C,'Factory Costs'!$A:$A,"Blades",'Factory Costs'!$B:$B,B2885))</f>
        <v>34</v>
      </c>
    </row>
    <row r="2886" spans="1:3" x14ac:dyDescent="0.25">
      <c r="A2886" s="1" t="s">
        <v>15209</v>
      </c>
      <c r="B2886" s="1" t="s">
        <v>16370</v>
      </c>
      <c r="C2886" s="3">
        <f>IF(B2886="","",SUMIFS('Factory Costs'!$C:$C,'Factory Costs'!$A:$A,"Blades",'Factory Costs'!$B:$B,B2886))</f>
        <v>34</v>
      </c>
    </row>
    <row r="2887" spans="1:3" x14ac:dyDescent="0.25">
      <c r="A2887" s="1" t="s">
        <v>15212</v>
      </c>
      <c r="B2887" s="1" t="s">
        <v>16372</v>
      </c>
      <c r="C2887" s="3">
        <f>IF(B2887="","",SUMIFS('Factory Costs'!$C:$C,'Factory Costs'!$A:$A,"Blades",'Factory Costs'!$B:$B,B2887))</f>
        <v>42</v>
      </c>
    </row>
    <row r="2888" spans="1:3" x14ac:dyDescent="0.25">
      <c r="A2888" s="1" t="s">
        <v>15215</v>
      </c>
      <c r="B2888" s="1" t="s">
        <v>16372</v>
      </c>
      <c r="C2888" s="3">
        <f>IF(B2888="","",SUMIFS('Factory Costs'!$C:$C,'Factory Costs'!$A:$A,"Blades",'Factory Costs'!$B:$B,B2888))</f>
        <v>42</v>
      </c>
    </row>
    <row r="2889" spans="1:3" x14ac:dyDescent="0.25">
      <c r="A2889" s="1" t="s">
        <v>15218</v>
      </c>
      <c r="B2889" s="1" t="s">
        <v>16372</v>
      </c>
      <c r="C2889" s="3">
        <f>IF(B2889="","",SUMIFS('Factory Costs'!$C:$C,'Factory Costs'!$A:$A,"Blades",'Factory Costs'!$B:$B,B2889))</f>
        <v>42</v>
      </c>
    </row>
    <row r="2890" spans="1:3" x14ac:dyDescent="0.25">
      <c r="A2890" s="1" t="s">
        <v>15221</v>
      </c>
      <c r="B2890" s="1" t="s">
        <v>16371</v>
      </c>
      <c r="C2890" s="3">
        <f>IF(B2890="","",SUMIFS('Factory Costs'!$C:$C,'Factory Costs'!$A:$A,"Blades",'Factory Costs'!$B:$B,B2890))</f>
        <v>37</v>
      </c>
    </row>
    <row r="2891" spans="1:3" x14ac:dyDescent="0.25">
      <c r="A2891" s="1" t="s">
        <v>15224</v>
      </c>
      <c r="B2891" s="1" t="s">
        <v>16370</v>
      </c>
      <c r="C2891" s="3">
        <f>IF(B2891="","",SUMIFS('Factory Costs'!$C:$C,'Factory Costs'!$A:$A,"Blades",'Factory Costs'!$B:$B,B2891))</f>
        <v>34</v>
      </c>
    </row>
    <row r="2892" spans="1:3" x14ac:dyDescent="0.25">
      <c r="A2892" s="1" t="s">
        <v>15227</v>
      </c>
      <c r="B2892" s="1" t="s">
        <v>16372</v>
      </c>
      <c r="C2892" s="3">
        <f>IF(B2892="","",SUMIFS('Factory Costs'!$C:$C,'Factory Costs'!$A:$A,"Blades",'Factory Costs'!$B:$B,B2892))</f>
        <v>42</v>
      </c>
    </row>
    <row r="2893" spans="1:3" x14ac:dyDescent="0.25">
      <c r="A2893" s="1" t="s">
        <v>15230</v>
      </c>
      <c r="B2893" s="1" t="s">
        <v>16371</v>
      </c>
      <c r="C2893" s="3">
        <f>IF(B2893="","",SUMIFS('Factory Costs'!$C:$C,'Factory Costs'!$A:$A,"Blades",'Factory Costs'!$B:$B,B2893))</f>
        <v>37</v>
      </c>
    </row>
    <row r="2894" spans="1:3" x14ac:dyDescent="0.25">
      <c r="A2894" s="1" t="s">
        <v>15233</v>
      </c>
      <c r="B2894" s="1" t="s">
        <v>16371</v>
      </c>
      <c r="C2894" s="3">
        <f>IF(B2894="","",SUMIFS('Factory Costs'!$C:$C,'Factory Costs'!$A:$A,"Blades",'Factory Costs'!$B:$B,B2894))</f>
        <v>37</v>
      </c>
    </row>
    <row r="2895" spans="1:3" x14ac:dyDescent="0.25">
      <c r="A2895" s="1" t="s">
        <v>15236</v>
      </c>
      <c r="B2895" s="1" t="s">
        <v>16371</v>
      </c>
      <c r="C2895" s="3">
        <f>IF(B2895="","",SUMIFS('Factory Costs'!$C:$C,'Factory Costs'!$A:$A,"Blades",'Factory Costs'!$B:$B,B2895))</f>
        <v>37</v>
      </c>
    </row>
    <row r="2896" spans="1:3" x14ac:dyDescent="0.25">
      <c r="A2896" s="1" t="s">
        <v>15239</v>
      </c>
      <c r="B2896" s="1" t="s">
        <v>16370</v>
      </c>
      <c r="C2896" s="3">
        <f>IF(B2896="","",SUMIFS('Factory Costs'!$C:$C,'Factory Costs'!$A:$A,"Blades",'Factory Costs'!$B:$B,B2896))</f>
        <v>34</v>
      </c>
    </row>
    <row r="2897" spans="1:3" x14ac:dyDescent="0.25">
      <c r="A2897" s="1" t="s">
        <v>15242</v>
      </c>
      <c r="B2897" s="1" t="s">
        <v>16370</v>
      </c>
      <c r="C2897" s="3">
        <f>IF(B2897="","",SUMIFS('Factory Costs'!$C:$C,'Factory Costs'!$A:$A,"Blades",'Factory Costs'!$B:$B,B2897))</f>
        <v>34</v>
      </c>
    </row>
    <row r="2898" spans="1:3" x14ac:dyDescent="0.25">
      <c r="A2898" s="1" t="s">
        <v>15245</v>
      </c>
      <c r="B2898" s="1" t="s">
        <v>16371</v>
      </c>
      <c r="C2898" s="3">
        <f>IF(B2898="","",SUMIFS('Factory Costs'!$C:$C,'Factory Costs'!$A:$A,"Blades",'Factory Costs'!$B:$B,B2898))</f>
        <v>37</v>
      </c>
    </row>
    <row r="2899" spans="1:3" x14ac:dyDescent="0.25">
      <c r="A2899" s="1" t="s">
        <v>15248</v>
      </c>
      <c r="B2899" s="1" t="s">
        <v>16371</v>
      </c>
      <c r="C2899" s="3">
        <f>IF(B2899="","",SUMIFS('Factory Costs'!$C:$C,'Factory Costs'!$A:$A,"Blades",'Factory Costs'!$B:$B,B2899))</f>
        <v>37</v>
      </c>
    </row>
    <row r="2900" spans="1:3" x14ac:dyDescent="0.25">
      <c r="A2900" s="1" t="s">
        <v>15251</v>
      </c>
      <c r="B2900" s="1" t="s">
        <v>16370</v>
      </c>
      <c r="C2900" s="3">
        <f>IF(B2900="","",SUMIFS('Factory Costs'!$C:$C,'Factory Costs'!$A:$A,"Blades",'Factory Costs'!$B:$B,B2900))</f>
        <v>34</v>
      </c>
    </row>
    <row r="2901" spans="1:3" x14ac:dyDescent="0.25">
      <c r="A2901" s="1" t="s">
        <v>15254</v>
      </c>
      <c r="B2901" s="1" t="s">
        <v>16371</v>
      </c>
      <c r="C2901" s="3">
        <f>IF(B2901="","",SUMIFS('Factory Costs'!$C:$C,'Factory Costs'!$A:$A,"Blades",'Factory Costs'!$B:$B,B2901))</f>
        <v>37</v>
      </c>
    </row>
    <row r="2902" spans="1:3" x14ac:dyDescent="0.25">
      <c r="A2902" s="1" t="s">
        <v>15257</v>
      </c>
      <c r="B2902" s="1" t="s">
        <v>16370</v>
      </c>
      <c r="C2902" s="3">
        <f>IF(B2902="","",SUMIFS('Factory Costs'!$C:$C,'Factory Costs'!$A:$A,"Blades",'Factory Costs'!$B:$B,B2902))</f>
        <v>34</v>
      </c>
    </row>
    <row r="2903" spans="1:3" x14ac:dyDescent="0.25">
      <c r="A2903" s="1" t="s">
        <v>15260</v>
      </c>
      <c r="B2903" s="1" t="s">
        <v>16370</v>
      </c>
      <c r="C2903" s="3">
        <f>IF(B2903="","",SUMIFS('Factory Costs'!$C:$C,'Factory Costs'!$A:$A,"Blades",'Factory Costs'!$B:$B,B2903))</f>
        <v>34</v>
      </c>
    </row>
    <row r="2904" spans="1:3" x14ac:dyDescent="0.25">
      <c r="A2904" s="1" t="s">
        <v>15263</v>
      </c>
      <c r="B2904" s="1" t="s">
        <v>16370</v>
      </c>
      <c r="C2904" s="3">
        <f>IF(B2904="","",SUMIFS('Factory Costs'!$C:$C,'Factory Costs'!$A:$A,"Blades",'Factory Costs'!$B:$B,B2904))</f>
        <v>34</v>
      </c>
    </row>
    <row r="2905" spans="1:3" x14ac:dyDescent="0.25">
      <c r="A2905" s="1" t="s">
        <v>15266</v>
      </c>
      <c r="B2905" s="1" t="s">
        <v>16372</v>
      </c>
      <c r="C2905" s="3">
        <f>IF(B2905="","",SUMIFS('Factory Costs'!$C:$C,'Factory Costs'!$A:$A,"Blades",'Factory Costs'!$B:$B,B2905))</f>
        <v>42</v>
      </c>
    </row>
    <row r="2906" spans="1:3" x14ac:dyDescent="0.25">
      <c r="A2906" s="1" t="s">
        <v>15269</v>
      </c>
      <c r="B2906" s="1" t="s">
        <v>16371</v>
      </c>
      <c r="C2906" s="3">
        <f>IF(B2906="","",SUMIFS('Factory Costs'!$C:$C,'Factory Costs'!$A:$A,"Blades",'Factory Costs'!$B:$B,B2906))</f>
        <v>37</v>
      </c>
    </row>
    <row r="2907" spans="1:3" x14ac:dyDescent="0.25">
      <c r="A2907" s="1" t="s">
        <v>15272</v>
      </c>
      <c r="B2907" s="1" t="s">
        <v>16370</v>
      </c>
      <c r="C2907" s="3">
        <f>IF(B2907="","",SUMIFS('Factory Costs'!$C:$C,'Factory Costs'!$A:$A,"Blades",'Factory Costs'!$B:$B,B2907))</f>
        <v>34</v>
      </c>
    </row>
    <row r="2908" spans="1:3" x14ac:dyDescent="0.25">
      <c r="A2908" s="1" t="s">
        <v>15275</v>
      </c>
      <c r="B2908" s="1" t="s">
        <v>16372</v>
      </c>
      <c r="C2908" s="3">
        <f>IF(B2908="","",SUMIFS('Factory Costs'!$C:$C,'Factory Costs'!$A:$A,"Blades",'Factory Costs'!$B:$B,B2908))</f>
        <v>42</v>
      </c>
    </row>
    <row r="2909" spans="1:3" x14ac:dyDescent="0.25">
      <c r="A2909" s="1" t="s">
        <v>15278</v>
      </c>
      <c r="B2909" s="1" t="s">
        <v>16370</v>
      </c>
      <c r="C2909" s="3">
        <f>IF(B2909="","",SUMIFS('Factory Costs'!$C:$C,'Factory Costs'!$A:$A,"Blades",'Factory Costs'!$B:$B,B2909))</f>
        <v>34</v>
      </c>
    </row>
    <row r="2910" spans="1:3" x14ac:dyDescent="0.25">
      <c r="A2910" s="1" t="s">
        <v>15281</v>
      </c>
      <c r="B2910" s="1" t="s">
        <v>16372</v>
      </c>
      <c r="C2910" s="3">
        <f>IF(B2910="","",SUMIFS('Factory Costs'!$C:$C,'Factory Costs'!$A:$A,"Blades",'Factory Costs'!$B:$B,B2910))</f>
        <v>42</v>
      </c>
    </row>
    <row r="2911" spans="1:3" x14ac:dyDescent="0.25">
      <c r="A2911" s="1" t="s">
        <v>15284</v>
      </c>
      <c r="B2911" s="1" t="s">
        <v>16371</v>
      </c>
      <c r="C2911" s="3">
        <f>IF(B2911="","",SUMIFS('Factory Costs'!$C:$C,'Factory Costs'!$A:$A,"Blades",'Factory Costs'!$B:$B,B2911))</f>
        <v>37</v>
      </c>
    </row>
    <row r="2912" spans="1:3" x14ac:dyDescent="0.25">
      <c r="A2912" s="1" t="s">
        <v>15287</v>
      </c>
      <c r="B2912" s="1" t="s">
        <v>16372</v>
      </c>
      <c r="C2912" s="3">
        <f>IF(B2912="","",SUMIFS('Factory Costs'!$C:$C,'Factory Costs'!$A:$A,"Blades",'Factory Costs'!$B:$B,B2912))</f>
        <v>42</v>
      </c>
    </row>
    <row r="2913" spans="1:3" x14ac:dyDescent="0.25">
      <c r="A2913" s="1" t="s">
        <v>15290</v>
      </c>
      <c r="B2913" s="1" t="s">
        <v>16370</v>
      </c>
      <c r="C2913" s="3">
        <f>IF(B2913="","",SUMIFS('Factory Costs'!$C:$C,'Factory Costs'!$A:$A,"Blades",'Factory Costs'!$B:$B,B2913))</f>
        <v>34</v>
      </c>
    </row>
    <row r="2914" spans="1:3" x14ac:dyDescent="0.25">
      <c r="A2914" s="1" t="s">
        <v>15293</v>
      </c>
      <c r="B2914" s="1" t="s">
        <v>16372</v>
      </c>
      <c r="C2914" s="3">
        <f>IF(B2914="","",SUMIFS('Factory Costs'!$C:$C,'Factory Costs'!$A:$A,"Blades",'Factory Costs'!$B:$B,B2914))</f>
        <v>42</v>
      </c>
    </row>
    <row r="2915" spans="1:3" x14ac:dyDescent="0.25">
      <c r="A2915" s="1" t="s">
        <v>15296</v>
      </c>
      <c r="B2915" s="1" t="s">
        <v>16372</v>
      </c>
      <c r="C2915" s="3">
        <f>IF(B2915="","",SUMIFS('Factory Costs'!$C:$C,'Factory Costs'!$A:$A,"Blades",'Factory Costs'!$B:$B,B2915))</f>
        <v>42</v>
      </c>
    </row>
    <row r="2916" spans="1:3" x14ac:dyDescent="0.25">
      <c r="A2916" s="1" t="s">
        <v>15299</v>
      </c>
      <c r="B2916" s="1" t="s">
        <v>16372</v>
      </c>
      <c r="C2916" s="3">
        <f>IF(B2916="","",SUMIFS('Factory Costs'!$C:$C,'Factory Costs'!$A:$A,"Blades",'Factory Costs'!$B:$B,B2916))</f>
        <v>42</v>
      </c>
    </row>
    <row r="2917" spans="1:3" x14ac:dyDescent="0.25">
      <c r="A2917" s="1" t="s">
        <v>15302</v>
      </c>
      <c r="B2917" s="1" t="s">
        <v>16370</v>
      </c>
      <c r="C2917" s="3">
        <f>IF(B2917="","",SUMIFS('Factory Costs'!$C:$C,'Factory Costs'!$A:$A,"Blades",'Factory Costs'!$B:$B,B2917))</f>
        <v>34</v>
      </c>
    </row>
    <row r="2918" spans="1:3" x14ac:dyDescent="0.25">
      <c r="A2918" s="1" t="s">
        <v>15305</v>
      </c>
      <c r="B2918" s="1" t="s">
        <v>16371</v>
      </c>
      <c r="C2918" s="3">
        <f>IF(B2918="","",SUMIFS('Factory Costs'!$C:$C,'Factory Costs'!$A:$A,"Blades",'Factory Costs'!$B:$B,B2918))</f>
        <v>37</v>
      </c>
    </row>
    <row r="2919" spans="1:3" x14ac:dyDescent="0.25">
      <c r="A2919" s="1" t="s">
        <v>15308</v>
      </c>
      <c r="B2919" s="1" t="s">
        <v>16370</v>
      </c>
      <c r="C2919" s="3">
        <f>IF(B2919="","",SUMIFS('Factory Costs'!$C:$C,'Factory Costs'!$A:$A,"Blades",'Factory Costs'!$B:$B,B2919))</f>
        <v>34</v>
      </c>
    </row>
    <row r="2920" spans="1:3" x14ac:dyDescent="0.25">
      <c r="A2920" s="1" t="s">
        <v>15311</v>
      </c>
      <c r="B2920" s="1" t="s">
        <v>16370</v>
      </c>
      <c r="C2920" s="3">
        <f>IF(B2920="","",SUMIFS('Factory Costs'!$C:$C,'Factory Costs'!$A:$A,"Blades",'Factory Costs'!$B:$B,B2920))</f>
        <v>34</v>
      </c>
    </row>
    <row r="2921" spans="1:3" x14ac:dyDescent="0.25">
      <c r="A2921" s="1" t="s">
        <v>15314</v>
      </c>
      <c r="B2921" s="1" t="s">
        <v>16370</v>
      </c>
      <c r="C2921" s="3">
        <f>IF(B2921="","",SUMIFS('Factory Costs'!$C:$C,'Factory Costs'!$A:$A,"Blades",'Factory Costs'!$B:$B,B2921))</f>
        <v>34</v>
      </c>
    </row>
    <row r="2922" spans="1:3" x14ac:dyDescent="0.25">
      <c r="A2922" s="1" t="s">
        <v>15317</v>
      </c>
      <c r="B2922" s="1" t="s">
        <v>16372</v>
      </c>
      <c r="C2922" s="3">
        <f>IF(B2922="","",SUMIFS('Factory Costs'!$C:$C,'Factory Costs'!$A:$A,"Blades",'Factory Costs'!$B:$B,B2922))</f>
        <v>42</v>
      </c>
    </row>
    <row r="2923" spans="1:3" x14ac:dyDescent="0.25">
      <c r="A2923" s="1" t="s">
        <v>15320</v>
      </c>
      <c r="B2923" s="1" t="s">
        <v>16370</v>
      </c>
      <c r="C2923" s="3">
        <f>IF(B2923="","",SUMIFS('Factory Costs'!$C:$C,'Factory Costs'!$A:$A,"Blades",'Factory Costs'!$B:$B,B2923))</f>
        <v>34</v>
      </c>
    </row>
    <row r="2924" spans="1:3" x14ac:dyDescent="0.25">
      <c r="A2924" s="1" t="s">
        <v>15323</v>
      </c>
      <c r="B2924" s="1" t="s">
        <v>16371</v>
      </c>
      <c r="C2924" s="3">
        <f>IF(B2924="","",SUMIFS('Factory Costs'!$C:$C,'Factory Costs'!$A:$A,"Blades",'Factory Costs'!$B:$B,B2924))</f>
        <v>37</v>
      </c>
    </row>
    <row r="2925" spans="1:3" x14ac:dyDescent="0.25">
      <c r="A2925" s="1" t="s">
        <v>15326</v>
      </c>
      <c r="B2925" s="1" t="s">
        <v>16370</v>
      </c>
      <c r="C2925" s="3">
        <f>IF(B2925="","",SUMIFS('Factory Costs'!$C:$C,'Factory Costs'!$A:$A,"Blades",'Factory Costs'!$B:$B,B2925))</f>
        <v>34</v>
      </c>
    </row>
    <row r="2926" spans="1:3" x14ac:dyDescent="0.25">
      <c r="A2926" s="1" t="s">
        <v>15329</v>
      </c>
      <c r="B2926" s="1" t="s">
        <v>16370</v>
      </c>
      <c r="C2926" s="3">
        <f>IF(B2926="","",SUMIFS('Factory Costs'!$C:$C,'Factory Costs'!$A:$A,"Blades",'Factory Costs'!$B:$B,B2926))</f>
        <v>34</v>
      </c>
    </row>
    <row r="2927" spans="1:3" x14ac:dyDescent="0.25">
      <c r="A2927" s="1" t="s">
        <v>15332</v>
      </c>
      <c r="B2927" s="1" t="s">
        <v>16371</v>
      </c>
      <c r="C2927" s="3">
        <f>IF(B2927="","",SUMIFS('Factory Costs'!$C:$C,'Factory Costs'!$A:$A,"Blades",'Factory Costs'!$B:$B,B2927))</f>
        <v>37</v>
      </c>
    </row>
    <row r="2928" spans="1:3" x14ac:dyDescent="0.25">
      <c r="A2928" s="1" t="s">
        <v>15335</v>
      </c>
      <c r="B2928" s="1" t="s">
        <v>16370</v>
      </c>
      <c r="C2928" s="3">
        <f>IF(B2928="","",SUMIFS('Factory Costs'!$C:$C,'Factory Costs'!$A:$A,"Blades",'Factory Costs'!$B:$B,B2928))</f>
        <v>34</v>
      </c>
    </row>
    <row r="2929" spans="1:3" x14ac:dyDescent="0.25">
      <c r="A2929" s="1" t="s">
        <v>15338</v>
      </c>
      <c r="B2929" s="1" t="s">
        <v>16372</v>
      </c>
      <c r="C2929" s="3">
        <f>IF(B2929="","",SUMIFS('Factory Costs'!$C:$C,'Factory Costs'!$A:$A,"Blades",'Factory Costs'!$B:$B,B2929))</f>
        <v>42</v>
      </c>
    </row>
    <row r="2930" spans="1:3" x14ac:dyDescent="0.25">
      <c r="A2930" s="1" t="s">
        <v>15341</v>
      </c>
      <c r="B2930" s="1" t="s">
        <v>16370</v>
      </c>
      <c r="C2930" s="3">
        <f>IF(B2930="","",SUMIFS('Factory Costs'!$C:$C,'Factory Costs'!$A:$A,"Blades",'Factory Costs'!$B:$B,B2930))</f>
        <v>34</v>
      </c>
    </row>
    <row r="2931" spans="1:3" x14ac:dyDescent="0.25">
      <c r="A2931" s="1" t="s">
        <v>15344</v>
      </c>
      <c r="B2931" s="1" t="s">
        <v>16370</v>
      </c>
      <c r="C2931" s="3">
        <f>IF(B2931="","",SUMIFS('Factory Costs'!$C:$C,'Factory Costs'!$A:$A,"Blades",'Factory Costs'!$B:$B,B2931))</f>
        <v>34</v>
      </c>
    </row>
    <row r="2932" spans="1:3" x14ac:dyDescent="0.25">
      <c r="A2932" s="1" t="s">
        <v>15347</v>
      </c>
      <c r="B2932" s="1" t="s">
        <v>16371</v>
      </c>
      <c r="C2932" s="3">
        <f>IF(B2932="","",SUMIFS('Factory Costs'!$C:$C,'Factory Costs'!$A:$A,"Blades",'Factory Costs'!$B:$B,B2932))</f>
        <v>37</v>
      </c>
    </row>
    <row r="2933" spans="1:3" x14ac:dyDescent="0.25">
      <c r="A2933" s="1" t="s">
        <v>15350</v>
      </c>
      <c r="B2933" s="1" t="s">
        <v>16371</v>
      </c>
      <c r="C2933" s="3">
        <f>IF(B2933="","",SUMIFS('Factory Costs'!$C:$C,'Factory Costs'!$A:$A,"Blades",'Factory Costs'!$B:$B,B2933))</f>
        <v>37</v>
      </c>
    </row>
    <row r="2934" spans="1:3" x14ac:dyDescent="0.25">
      <c r="A2934" s="1" t="s">
        <v>15353</v>
      </c>
      <c r="B2934" s="1" t="s">
        <v>16372</v>
      </c>
      <c r="C2934" s="3">
        <f>IF(B2934="","",SUMIFS('Factory Costs'!$C:$C,'Factory Costs'!$A:$A,"Blades",'Factory Costs'!$B:$B,B2934))</f>
        <v>42</v>
      </c>
    </row>
    <row r="2935" spans="1:3" x14ac:dyDescent="0.25">
      <c r="A2935" s="1" t="s">
        <v>15356</v>
      </c>
      <c r="B2935" s="1" t="s">
        <v>16370</v>
      </c>
      <c r="C2935" s="3">
        <f>IF(B2935="","",SUMIFS('Factory Costs'!$C:$C,'Factory Costs'!$A:$A,"Blades",'Factory Costs'!$B:$B,B2935))</f>
        <v>34</v>
      </c>
    </row>
    <row r="2936" spans="1:3" x14ac:dyDescent="0.25">
      <c r="A2936" s="1" t="s">
        <v>15359</v>
      </c>
      <c r="B2936" s="1" t="s">
        <v>16370</v>
      </c>
      <c r="C2936" s="3">
        <f>IF(B2936="","",SUMIFS('Factory Costs'!$C:$C,'Factory Costs'!$A:$A,"Blades",'Factory Costs'!$B:$B,B2936))</f>
        <v>34</v>
      </c>
    </row>
    <row r="2937" spans="1:3" x14ac:dyDescent="0.25">
      <c r="A2937" s="1" t="s">
        <v>15362</v>
      </c>
      <c r="B2937" s="1" t="s">
        <v>16372</v>
      </c>
      <c r="C2937" s="3">
        <f>IF(B2937="","",SUMIFS('Factory Costs'!$C:$C,'Factory Costs'!$A:$A,"Blades",'Factory Costs'!$B:$B,B2937))</f>
        <v>42</v>
      </c>
    </row>
    <row r="2938" spans="1:3" x14ac:dyDescent="0.25">
      <c r="A2938" s="1" t="s">
        <v>15365</v>
      </c>
      <c r="B2938" s="1" t="s">
        <v>16370</v>
      </c>
      <c r="C2938" s="3">
        <f>IF(B2938="","",SUMIFS('Factory Costs'!$C:$C,'Factory Costs'!$A:$A,"Blades",'Factory Costs'!$B:$B,B2938))</f>
        <v>34</v>
      </c>
    </row>
    <row r="2939" spans="1:3" x14ac:dyDescent="0.25">
      <c r="A2939" s="1" t="s">
        <v>15368</v>
      </c>
      <c r="B2939" s="1" t="s">
        <v>16371</v>
      </c>
      <c r="C2939" s="3">
        <f>IF(B2939="","",SUMIFS('Factory Costs'!$C:$C,'Factory Costs'!$A:$A,"Blades",'Factory Costs'!$B:$B,B2939))</f>
        <v>37</v>
      </c>
    </row>
    <row r="2940" spans="1:3" x14ac:dyDescent="0.25">
      <c r="A2940" s="1" t="s">
        <v>15371</v>
      </c>
      <c r="B2940" s="1" t="s">
        <v>16370</v>
      </c>
      <c r="C2940" s="3">
        <f>IF(B2940="","",SUMIFS('Factory Costs'!$C:$C,'Factory Costs'!$A:$A,"Blades",'Factory Costs'!$B:$B,B2940))</f>
        <v>34</v>
      </c>
    </row>
    <row r="2941" spans="1:3" x14ac:dyDescent="0.25">
      <c r="A2941" s="1" t="s">
        <v>15374</v>
      </c>
      <c r="B2941" s="1" t="s">
        <v>16372</v>
      </c>
      <c r="C2941" s="3">
        <f>IF(B2941="","",SUMIFS('Factory Costs'!$C:$C,'Factory Costs'!$A:$A,"Blades",'Factory Costs'!$B:$B,B2941))</f>
        <v>42</v>
      </c>
    </row>
    <row r="2942" spans="1:3" x14ac:dyDescent="0.25">
      <c r="A2942" s="1" t="s">
        <v>15377</v>
      </c>
      <c r="B2942" s="1" t="s">
        <v>16371</v>
      </c>
      <c r="C2942" s="3">
        <f>IF(B2942="","",SUMIFS('Factory Costs'!$C:$C,'Factory Costs'!$A:$A,"Blades",'Factory Costs'!$B:$B,B2942))</f>
        <v>37</v>
      </c>
    </row>
    <row r="2943" spans="1:3" x14ac:dyDescent="0.25">
      <c r="A2943" s="1" t="s">
        <v>15380</v>
      </c>
      <c r="B2943" s="1" t="s">
        <v>16370</v>
      </c>
      <c r="C2943" s="3">
        <f>IF(B2943="","",SUMIFS('Factory Costs'!$C:$C,'Factory Costs'!$A:$A,"Blades",'Factory Costs'!$B:$B,B2943))</f>
        <v>34</v>
      </c>
    </row>
    <row r="2944" spans="1:3" x14ac:dyDescent="0.25">
      <c r="A2944" s="1" t="s">
        <v>15383</v>
      </c>
      <c r="B2944" s="1" t="s">
        <v>16372</v>
      </c>
      <c r="C2944" s="3">
        <f>IF(B2944="","",SUMIFS('Factory Costs'!$C:$C,'Factory Costs'!$A:$A,"Blades",'Factory Costs'!$B:$B,B2944))</f>
        <v>42</v>
      </c>
    </row>
    <row r="2945" spans="1:3" x14ac:dyDescent="0.25">
      <c r="A2945" s="1" t="s">
        <v>15386</v>
      </c>
      <c r="B2945" s="1" t="s">
        <v>16372</v>
      </c>
      <c r="C2945" s="3">
        <f>IF(B2945="","",SUMIFS('Factory Costs'!$C:$C,'Factory Costs'!$A:$A,"Blades",'Factory Costs'!$B:$B,B2945))</f>
        <v>42</v>
      </c>
    </row>
    <row r="2946" spans="1:3" x14ac:dyDescent="0.25">
      <c r="A2946" s="1" t="s">
        <v>15389</v>
      </c>
      <c r="B2946" s="1" t="s">
        <v>16370</v>
      </c>
      <c r="C2946" s="3">
        <f>IF(B2946="","",SUMIFS('Factory Costs'!$C:$C,'Factory Costs'!$A:$A,"Blades",'Factory Costs'!$B:$B,B2946))</f>
        <v>34</v>
      </c>
    </row>
    <row r="2947" spans="1:3" x14ac:dyDescent="0.25">
      <c r="A2947" s="1" t="s">
        <v>15392</v>
      </c>
      <c r="B2947" s="1" t="s">
        <v>16371</v>
      </c>
      <c r="C2947" s="3">
        <f>IF(B2947="","",SUMIFS('Factory Costs'!$C:$C,'Factory Costs'!$A:$A,"Blades",'Factory Costs'!$B:$B,B2947))</f>
        <v>37</v>
      </c>
    </row>
    <row r="2948" spans="1:3" x14ac:dyDescent="0.25">
      <c r="A2948" s="1" t="s">
        <v>15395</v>
      </c>
      <c r="B2948" s="1" t="s">
        <v>16370</v>
      </c>
      <c r="C2948" s="3">
        <f>IF(B2948="","",SUMIFS('Factory Costs'!$C:$C,'Factory Costs'!$A:$A,"Blades",'Factory Costs'!$B:$B,B2948))</f>
        <v>34</v>
      </c>
    </row>
    <row r="2949" spans="1:3" x14ac:dyDescent="0.25">
      <c r="A2949" s="1" t="s">
        <v>15398</v>
      </c>
      <c r="B2949" s="1" t="s">
        <v>16371</v>
      </c>
      <c r="C2949" s="3">
        <f>IF(B2949="","",SUMIFS('Factory Costs'!$C:$C,'Factory Costs'!$A:$A,"Blades",'Factory Costs'!$B:$B,B2949))</f>
        <v>37</v>
      </c>
    </row>
    <row r="2950" spans="1:3" x14ac:dyDescent="0.25">
      <c r="A2950" s="1" t="s">
        <v>15401</v>
      </c>
      <c r="B2950" s="1" t="s">
        <v>16372</v>
      </c>
      <c r="C2950" s="3">
        <f>IF(B2950="","",SUMIFS('Factory Costs'!$C:$C,'Factory Costs'!$A:$A,"Blades",'Factory Costs'!$B:$B,B2950))</f>
        <v>42</v>
      </c>
    </row>
    <row r="2951" spans="1:3" x14ac:dyDescent="0.25">
      <c r="A2951" s="1" t="s">
        <v>15404</v>
      </c>
      <c r="B2951" s="1" t="s">
        <v>16371</v>
      </c>
      <c r="C2951" s="3">
        <f>IF(B2951="","",SUMIFS('Factory Costs'!$C:$C,'Factory Costs'!$A:$A,"Blades",'Factory Costs'!$B:$B,B2951))</f>
        <v>37</v>
      </c>
    </row>
    <row r="2952" spans="1:3" x14ac:dyDescent="0.25">
      <c r="A2952" s="1" t="s">
        <v>15407</v>
      </c>
      <c r="B2952" s="1" t="s">
        <v>16372</v>
      </c>
      <c r="C2952" s="3">
        <f>IF(B2952="","",SUMIFS('Factory Costs'!$C:$C,'Factory Costs'!$A:$A,"Blades",'Factory Costs'!$B:$B,B2952))</f>
        <v>42</v>
      </c>
    </row>
    <row r="2953" spans="1:3" x14ac:dyDescent="0.25">
      <c r="A2953" s="1" t="s">
        <v>15410</v>
      </c>
      <c r="B2953" s="1" t="s">
        <v>16370</v>
      </c>
      <c r="C2953" s="3">
        <f>IF(B2953="","",SUMIFS('Factory Costs'!$C:$C,'Factory Costs'!$A:$A,"Blades",'Factory Costs'!$B:$B,B2953))</f>
        <v>34</v>
      </c>
    </row>
    <row r="2954" spans="1:3" x14ac:dyDescent="0.25">
      <c r="A2954" s="1" t="s">
        <v>15413</v>
      </c>
      <c r="B2954" s="1" t="s">
        <v>16370</v>
      </c>
      <c r="C2954" s="3">
        <f>IF(B2954="","",SUMIFS('Factory Costs'!$C:$C,'Factory Costs'!$A:$A,"Blades",'Factory Costs'!$B:$B,B2954))</f>
        <v>34</v>
      </c>
    </row>
    <row r="2955" spans="1:3" x14ac:dyDescent="0.25">
      <c r="A2955" s="1" t="s">
        <v>15416</v>
      </c>
      <c r="B2955" s="1" t="s">
        <v>16372</v>
      </c>
      <c r="C2955" s="3">
        <f>IF(B2955="","",SUMIFS('Factory Costs'!$C:$C,'Factory Costs'!$A:$A,"Blades",'Factory Costs'!$B:$B,B2955))</f>
        <v>42</v>
      </c>
    </row>
    <row r="2956" spans="1:3" x14ac:dyDescent="0.25">
      <c r="A2956" s="1" t="s">
        <v>15419</v>
      </c>
      <c r="B2956" s="1" t="s">
        <v>16372</v>
      </c>
      <c r="C2956" s="3">
        <f>IF(B2956="","",SUMIFS('Factory Costs'!$C:$C,'Factory Costs'!$A:$A,"Blades",'Factory Costs'!$B:$B,B2956))</f>
        <v>42</v>
      </c>
    </row>
    <row r="2957" spans="1:3" x14ac:dyDescent="0.25">
      <c r="A2957" s="1" t="s">
        <v>15422</v>
      </c>
      <c r="B2957" s="1" t="s">
        <v>16370</v>
      </c>
      <c r="C2957" s="3">
        <f>IF(B2957="","",SUMIFS('Factory Costs'!$C:$C,'Factory Costs'!$A:$A,"Blades",'Factory Costs'!$B:$B,B2957))</f>
        <v>34</v>
      </c>
    </row>
    <row r="2958" spans="1:3" x14ac:dyDescent="0.25">
      <c r="A2958" s="1" t="s">
        <v>15425</v>
      </c>
      <c r="B2958" s="1" t="s">
        <v>16370</v>
      </c>
      <c r="C2958" s="3">
        <f>IF(B2958="","",SUMIFS('Factory Costs'!$C:$C,'Factory Costs'!$A:$A,"Blades",'Factory Costs'!$B:$B,B2958))</f>
        <v>34</v>
      </c>
    </row>
    <row r="2959" spans="1:3" x14ac:dyDescent="0.25">
      <c r="A2959" s="1" t="s">
        <v>15428</v>
      </c>
      <c r="B2959" s="1" t="s">
        <v>16371</v>
      </c>
      <c r="C2959" s="3">
        <f>IF(B2959="","",SUMIFS('Factory Costs'!$C:$C,'Factory Costs'!$A:$A,"Blades",'Factory Costs'!$B:$B,B2959))</f>
        <v>37</v>
      </c>
    </row>
    <row r="2960" spans="1:3" x14ac:dyDescent="0.25">
      <c r="A2960" s="1" t="s">
        <v>15431</v>
      </c>
      <c r="B2960" s="1" t="s">
        <v>16371</v>
      </c>
      <c r="C2960" s="3">
        <f>IF(B2960="","",SUMIFS('Factory Costs'!$C:$C,'Factory Costs'!$A:$A,"Blades",'Factory Costs'!$B:$B,B2960))</f>
        <v>37</v>
      </c>
    </row>
    <row r="2961" spans="1:3" x14ac:dyDescent="0.25">
      <c r="A2961" s="1" t="s">
        <v>15434</v>
      </c>
      <c r="B2961" s="1" t="s">
        <v>16372</v>
      </c>
      <c r="C2961" s="3">
        <f>IF(B2961="","",SUMIFS('Factory Costs'!$C:$C,'Factory Costs'!$A:$A,"Blades",'Factory Costs'!$B:$B,B2961))</f>
        <v>42</v>
      </c>
    </row>
    <row r="2962" spans="1:3" x14ac:dyDescent="0.25">
      <c r="A2962" s="1" t="s">
        <v>15437</v>
      </c>
      <c r="B2962" s="1" t="s">
        <v>16372</v>
      </c>
      <c r="C2962" s="3">
        <f>IF(B2962="","",SUMIFS('Factory Costs'!$C:$C,'Factory Costs'!$A:$A,"Blades",'Factory Costs'!$B:$B,B2962))</f>
        <v>42</v>
      </c>
    </row>
    <row r="2963" spans="1:3" x14ac:dyDescent="0.25">
      <c r="A2963" s="1" t="s">
        <v>15440</v>
      </c>
      <c r="B2963" s="1" t="s">
        <v>16371</v>
      </c>
      <c r="C2963" s="3">
        <f>IF(B2963="","",SUMIFS('Factory Costs'!$C:$C,'Factory Costs'!$A:$A,"Blades",'Factory Costs'!$B:$B,B2963))</f>
        <v>37</v>
      </c>
    </row>
    <row r="2964" spans="1:3" x14ac:dyDescent="0.25">
      <c r="A2964" s="1" t="s">
        <v>15443</v>
      </c>
      <c r="B2964" s="1" t="s">
        <v>16372</v>
      </c>
      <c r="C2964" s="3">
        <f>IF(B2964="","",SUMIFS('Factory Costs'!$C:$C,'Factory Costs'!$A:$A,"Blades",'Factory Costs'!$B:$B,B2964))</f>
        <v>42</v>
      </c>
    </row>
    <row r="2965" spans="1:3" x14ac:dyDescent="0.25">
      <c r="A2965" s="1" t="s">
        <v>15446</v>
      </c>
      <c r="B2965" s="1" t="s">
        <v>16371</v>
      </c>
      <c r="C2965" s="3">
        <f>IF(B2965="","",SUMIFS('Factory Costs'!$C:$C,'Factory Costs'!$A:$A,"Blades",'Factory Costs'!$B:$B,B2965))</f>
        <v>37</v>
      </c>
    </row>
    <row r="2966" spans="1:3" x14ac:dyDescent="0.25">
      <c r="A2966" s="1" t="s">
        <v>15449</v>
      </c>
      <c r="B2966" s="1" t="s">
        <v>16372</v>
      </c>
      <c r="C2966" s="3">
        <f>IF(B2966="","",SUMIFS('Factory Costs'!$C:$C,'Factory Costs'!$A:$A,"Blades",'Factory Costs'!$B:$B,B2966))</f>
        <v>42</v>
      </c>
    </row>
    <row r="2967" spans="1:3" x14ac:dyDescent="0.25">
      <c r="A2967" s="1" t="s">
        <v>15452</v>
      </c>
      <c r="B2967" s="1" t="s">
        <v>16370</v>
      </c>
      <c r="C2967" s="3">
        <f>IF(B2967="","",SUMIFS('Factory Costs'!$C:$C,'Factory Costs'!$A:$A,"Blades",'Factory Costs'!$B:$B,B2967))</f>
        <v>34</v>
      </c>
    </row>
    <row r="2968" spans="1:3" x14ac:dyDescent="0.25">
      <c r="A2968" s="1" t="s">
        <v>15455</v>
      </c>
      <c r="B2968" s="1" t="s">
        <v>16371</v>
      </c>
      <c r="C2968" s="3">
        <f>IF(B2968="","",SUMIFS('Factory Costs'!$C:$C,'Factory Costs'!$A:$A,"Blades",'Factory Costs'!$B:$B,B2968))</f>
        <v>37</v>
      </c>
    </row>
    <row r="2969" spans="1:3" x14ac:dyDescent="0.25">
      <c r="A2969" s="1" t="s">
        <v>15458</v>
      </c>
      <c r="B2969" s="1" t="s">
        <v>16370</v>
      </c>
      <c r="C2969" s="3">
        <f>IF(B2969="","",SUMIFS('Factory Costs'!$C:$C,'Factory Costs'!$A:$A,"Blades",'Factory Costs'!$B:$B,B2969))</f>
        <v>34</v>
      </c>
    </row>
    <row r="2970" spans="1:3" x14ac:dyDescent="0.25">
      <c r="A2970" s="1" t="s">
        <v>15461</v>
      </c>
      <c r="B2970" s="1" t="s">
        <v>16371</v>
      </c>
      <c r="C2970" s="3">
        <f>IF(B2970="","",SUMIFS('Factory Costs'!$C:$C,'Factory Costs'!$A:$A,"Blades",'Factory Costs'!$B:$B,B2970))</f>
        <v>37</v>
      </c>
    </row>
    <row r="2971" spans="1:3" x14ac:dyDescent="0.25">
      <c r="A2971" s="1" t="s">
        <v>15464</v>
      </c>
      <c r="B2971" s="1" t="s">
        <v>16372</v>
      </c>
      <c r="C2971" s="3">
        <f>IF(B2971="","",SUMIFS('Factory Costs'!$C:$C,'Factory Costs'!$A:$A,"Blades",'Factory Costs'!$B:$B,B2971))</f>
        <v>42</v>
      </c>
    </row>
    <row r="2972" spans="1:3" x14ac:dyDescent="0.25">
      <c r="A2972" s="1" t="s">
        <v>15467</v>
      </c>
      <c r="B2972" s="1" t="s">
        <v>16370</v>
      </c>
      <c r="C2972" s="3">
        <f>IF(B2972="","",SUMIFS('Factory Costs'!$C:$C,'Factory Costs'!$A:$A,"Blades",'Factory Costs'!$B:$B,B2972))</f>
        <v>34</v>
      </c>
    </row>
    <row r="2973" spans="1:3" x14ac:dyDescent="0.25">
      <c r="A2973" s="1" t="s">
        <v>15470</v>
      </c>
      <c r="B2973" s="1" t="s">
        <v>16372</v>
      </c>
      <c r="C2973" s="3">
        <f>IF(B2973="","",SUMIFS('Factory Costs'!$C:$C,'Factory Costs'!$A:$A,"Blades",'Factory Costs'!$B:$B,B2973))</f>
        <v>42</v>
      </c>
    </row>
    <row r="2974" spans="1:3" x14ac:dyDescent="0.25">
      <c r="A2974" s="1" t="s">
        <v>15473</v>
      </c>
      <c r="B2974" s="1" t="s">
        <v>16372</v>
      </c>
      <c r="C2974" s="3">
        <f>IF(B2974="","",SUMIFS('Factory Costs'!$C:$C,'Factory Costs'!$A:$A,"Blades",'Factory Costs'!$B:$B,B2974))</f>
        <v>42</v>
      </c>
    </row>
    <row r="2975" spans="1:3" x14ac:dyDescent="0.25">
      <c r="A2975" s="1" t="s">
        <v>15476</v>
      </c>
      <c r="B2975" s="1" t="s">
        <v>16371</v>
      </c>
      <c r="C2975" s="3">
        <f>IF(B2975="","",SUMIFS('Factory Costs'!$C:$C,'Factory Costs'!$A:$A,"Blades",'Factory Costs'!$B:$B,B2975))</f>
        <v>37</v>
      </c>
    </row>
    <row r="2976" spans="1:3" x14ac:dyDescent="0.25">
      <c r="A2976" s="1" t="s">
        <v>15479</v>
      </c>
      <c r="B2976" s="1" t="s">
        <v>16372</v>
      </c>
      <c r="C2976" s="3">
        <f>IF(B2976="","",SUMIFS('Factory Costs'!$C:$C,'Factory Costs'!$A:$A,"Blades",'Factory Costs'!$B:$B,B2976))</f>
        <v>42</v>
      </c>
    </row>
    <row r="2977" spans="1:3" x14ac:dyDescent="0.25">
      <c r="A2977" s="1" t="s">
        <v>15482</v>
      </c>
      <c r="B2977" s="1" t="s">
        <v>16370</v>
      </c>
      <c r="C2977" s="3">
        <f>IF(B2977="","",SUMIFS('Factory Costs'!$C:$C,'Factory Costs'!$A:$A,"Blades",'Factory Costs'!$B:$B,B2977))</f>
        <v>34</v>
      </c>
    </row>
    <row r="2978" spans="1:3" x14ac:dyDescent="0.25">
      <c r="A2978" s="1" t="s">
        <v>15485</v>
      </c>
      <c r="B2978" s="1" t="s">
        <v>16370</v>
      </c>
      <c r="C2978" s="3">
        <f>IF(B2978="","",SUMIFS('Factory Costs'!$C:$C,'Factory Costs'!$A:$A,"Blades",'Factory Costs'!$B:$B,B2978))</f>
        <v>34</v>
      </c>
    </row>
    <row r="2979" spans="1:3" x14ac:dyDescent="0.25">
      <c r="A2979" s="1" t="s">
        <v>15488</v>
      </c>
      <c r="B2979" s="1" t="s">
        <v>16371</v>
      </c>
      <c r="C2979" s="3">
        <f>IF(B2979="","",SUMIFS('Factory Costs'!$C:$C,'Factory Costs'!$A:$A,"Blades",'Factory Costs'!$B:$B,B2979))</f>
        <v>37</v>
      </c>
    </row>
    <row r="2980" spans="1:3" x14ac:dyDescent="0.25">
      <c r="A2980" s="1" t="s">
        <v>15491</v>
      </c>
      <c r="B2980" s="1" t="s">
        <v>16372</v>
      </c>
      <c r="C2980" s="3">
        <f>IF(B2980="","",SUMIFS('Factory Costs'!$C:$C,'Factory Costs'!$A:$A,"Blades",'Factory Costs'!$B:$B,B2980))</f>
        <v>42</v>
      </c>
    </row>
    <row r="2981" spans="1:3" x14ac:dyDescent="0.25">
      <c r="A2981" s="1" t="s">
        <v>15494</v>
      </c>
      <c r="B2981" s="1" t="s">
        <v>16370</v>
      </c>
      <c r="C2981" s="3">
        <f>IF(B2981="","",SUMIFS('Factory Costs'!$C:$C,'Factory Costs'!$A:$A,"Blades",'Factory Costs'!$B:$B,B2981))</f>
        <v>34</v>
      </c>
    </row>
    <row r="2982" spans="1:3" x14ac:dyDescent="0.25">
      <c r="A2982" s="1" t="s">
        <v>15497</v>
      </c>
      <c r="B2982" s="1" t="s">
        <v>16370</v>
      </c>
      <c r="C2982" s="3">
        <f>IF(B2982="","",SUMIFS('Factory Costs'!$C:$C,'Factory Costs'!$A:$A,"Blades",'Factory Costs'!$B:$B,B2982))</f>
        <v>34</v>
      </c>
    </row>
    <row r="2983" spans="1:3" x14ac:dyDescent="0.25">
      <c r="A2983" s="1" t="s">
        <v>15500</v>
      </c>
      <c r="B2983" s="1" t="s">
        <v>16370</v>
      </c>
      <c r="C2983" s="3">
        <f>IF(B2983="","",SUMIFS('Factory Costs'!$C:$C,'Factory Costs'!$A:$A,"Blades",'Factory Costs'!$B:$B,B2983))</f>
        <v>34</v>
      </c>
    </row>
    <row r="2984" spans="1:3" x14ac:dyDescent="0.25">
      <c r="A2984" s="1" t="s">
        <v>15503</v>
      </c>
      <c r="B2984" s="1" t="s">
        <v>16371</v>
      </c>
      <c r="C2984" s="3">
        <f>IF(B2984="","",SUMIFS('Factory Costs'!$C:$C,'Factory Costs'!$A:$A,"Blades",'Factory Costs'!$B:$B,B2984))</f>
        <v>37</v>
      </c>
    </row>
    <row r="2985" spans="1:3" x14ac:dyDescent="0.25">
      <c r="A2985" s="1" t="s">
        <v>15506</v>
      </c>
      <c r="B2985" s="1" t="s">
        <v>16370</v>
      </c>
      <c r="C2985" s="3">
        <f>IF(B2985="","",SUMIFS('Factory Costs'!$C:$C,'Factory Costs'!$A:$A,"Blades",'Factory Costs'!$B:$B,B2985))</f>
        <v>34</v>
      </c>
    </row>
    <row r="2986" spans="1:3" x14ac:dyDescent="0.25">
      <c r="A2986" s="1" t="s">
        <v>15509</v>
      </c>
      <c r="B2986" s="1" t="s">
        <v>16370</v>
      </c>
      <c r="C2986" s="3">
        <f>IF(B2986="","",SUMIFS('Factory Costs'!$C:$C,'Factory Costs'!$A:$A,"Blades",'Factory Costs'!$B:$B,B2986))</f>
        <v>34</v>
      </c>
    </row>
    <row r="2987" spans="1:3" x14ac:dyDescent="0.25">
      <c r="A2987" s="1" t="s">
        <v>15512</v>
      </c>
      <c r="B2987" s="1" t="s">
        <v>16370</v>
      </c>
      <c r="C2987" s="3">
        <f>IF(B2987="","",SUMIFS('Factory Costs'!$C:$C,'Factory Costs'!$A:$A,"Blades",'Factory Costs'!$B:$B,B2987))</f>
        <v>34</v>
      </c>
    </row>
    <row r="2988" spans="1:3" x14ac:dyDescent="0.25">
      <c r="A2988" s="1" t="s">
        <v>15515</v>
      </c>
      <c r="B2988" s="1" t="s">
        <v>16371</v>
      </c>
      <c r="C2988" s="3">
        <f>IF(B2988="","",SUMIFS('Factory Costs'!$C:$C,'Factory Costs'!$A:$A,"Blades",'Factory Costs'!$B:$B,B2988))</f>
        <v>37</v>
      </c>
    </row>
    <row r="2989" spans="1:3" x14ac:dyDescent="0.25">
      <c r="A2989" s="1" t="s">
        <v>15518</v>
      </c>
      <c r="B2989" s="1" t="s">
        <v>16371</v>
      </c>
      <c r="C2989" s="3">
        <f>IF(B2989="","",SUMIFS('Factory Costs'!$C:$C,'Factory Costs'!$A:$A,"Blades",'Factory Costs'!$B:$B,B2989))</f>
        <v>37</v>
      </c>
    </row>
    <row r="2990" spans="1:3" x14ac:dyDescent="0.25">
      <c r="A2990" s="1" t="s">
        <v>15521</v>
      </c>
      <c r="B2990" s="1" t="s">
        <v>16371</v>
      </c>
      <c r="C2990" s="3">
        <f>IF(B2990="","",SUMIFS('Factory Costs'!$C:$C,'Factory Costs'!$A:$A,"Blades",'Factory Costs'!$B:$B,B2990))</f>
        <v>37</v>
      </c>
    </row>
    <row r="2991" spans="1:3" x14ac:dyDescent="0.25">
      <c r="A2991" s="1" t="s">
        <v>15524</v>
      </c>
      <c r="B2991" s="1" t="s">
        <v>16370</v>
      </c>
      <c r="C2991" s="3">
        <f>IF(B2991="","",SUMIFS('Factory Costs'!$C:$C,'Factory Costs'!$A:$A,"Blades",'Factory Costs'!$B:$B,B2991))</f>
        <v>34</v>
      </c>
    </row>
    <row r="2992" spans="1:3" x14ac:dyDescent="0.25">
      <c r="A2992" s="1" t="s">
        <v>15527</v>
      </c>
      <c r="B2992" s="1" t="s">
        <v>16370</v>
      </c>
      <c r="C2992" s="3">
        <f>IF(B2992="","",SUMIFS('Factory Costs'!$C:$C,'Factory Costs'!$A:$A,"Blades",'Factory Costs'!$B:$B,B2992))</f>
        <v>34</v>
      </c>
    </row>
    <row r="2993" spans="1:3" x14ac:dyDescent="0.25">
      <c r="A2993" s="1" t="s">
        <v>15530</v>
      </c>
      <c r="B2993" s="1" t="s">
        <v>16371</v>
      </c>
      <c r="C2993" s="3">
        <f>IF(B2993="","",SUMIFS('Factory Costs'!$C:$C,'Factory Costs'!$A:$A,"Blades",'Factory Costs'!$B:$B,B2993))</f>
        <v>37</v>
      </c>
    </row>
    <row r="2994" spans="1:3" x14ac:dyDescent="0.25">
      <c r="A2994" s="1" t="s">
        <v>15533</v>
      </c>
      <c r="B2994" s="1" t="s">
        <v>16372</v>
      </c>
      <c r="C2994" s="3">
        <f>IF(B2994="","",SUMIFS('Factory Costs'!$C:$C,'Factory Costs'!$A:$A,"Blades",'Factory Costs'!$B:$B,B2994))</f>
        <v>42</v>
      </c>
    </row>
    <row r="2995" spans="1:3" x14ac:dyDescent="0.25">
      <c r="A2995" s="1" t="s">
        <v>15536</v>
      </c>
      <c r="B2995" s="1" t="s">
        <v>16370</v>
      </c>
      <c r="C2995" s="3">
        <f>IF(B2995="","",SUMIFS('Factory Costs'!$C:$C,'Factory Costs'!$A:$A,"Blades",'Factory Costs'!$B:$B,B2995))</f>
        <v>34</v>
      </c>
    </row>
    <row r="2996" spans="1:3" x14ac:dyDescent="0.25">
      <c r="A2996" s="1" t="s">
        <v>15539</v>
      </c>
      <c r="B2996" s="1" t="s">
        <v>16372</v>
      </c>
      <c r="C2996" s="3">
        <f>IF(B2996="","",SUMIFS('Factory Costs'!$C:$C,'Factory Costs'!$A:$A,"Blades",'Factory Costs'!$B:$B,B2996))</f>
        <v>42</v>
      </c>
    </row>
    <row r="2997" spans="1:3" x14ac:dyDescent="0.25">
      <c r="A2997" s="1" t="s">
        <v>15542</v>
      </c>
      <c r="B2997" s="1" t="s">
        <v>16370</v>
      </c>
      <c r="C2997" s="3">
        <f>IF(B2997="","",SUMIFS('Factory Costs'!$C:$C,'Factory Costs'!$A:$A,"Blades",'Factory Costs'!$B:$B,B2997))</f>
        <v>34</v>
      </c>
    </row>
    <row r="2998" spans="1:3" x14ac:dyDescent="0.25">
      <c r="A2998" s="1" t="s">
        <v>15545</v>
      </c>
      <c r="B2998" s="1" t="s">
        <v>16371</v>
      </c>
      <c r="C2998" s="3">
        <f>IF(B2998="","",SUMIFS('Factory Costs'!$C:$C,'Factory Costs'!$A:$A,"Blades",'Factory Costs'!$B:$B,B2998))</f>
        <v>37</v>
      </c>
    </row>
    <row r="2999" spans="1:3" x14ac:dyDescent="0.25">
      <c r="A2999" s="1" t="s">
        <v>15548</v>
      </c>
      <c r="B2999" s="1" t="s">
        <v>16372</v>
      </c>
      <c r="C2999" s="3">
        <f>IF(B2999="","",SUMIFS('Factory Costs'!$C:$C,'Factory Costs'!$A:$A,"Blades",'Factory Costs'!$B:$B,B2999))</f>
        <v>42</v>
      </c>
    </row>
    <row r="3000" spans="1:3" x14ac:dyDescent="0.25">
      <c r="A3000" s="1" t="s">
        <v>15551</v>
      </c>
      <c r="B3000" s="1" t="s">
        <v>16372</v>
      </c>
      <c r="C3000" s="3">
        <f>IF(B3000="","",SUMIFS('Factory Costs'!$C:$C,'Factory Costs'!$A:$A,"Blades",'Factory Costs'!$B:$B,B3000))</f>
        <v>42</v>
      </c>
    </row>
    <row r="3001" spans="1:3" x14ac:dyDescent="0.25">
      <c r="A3001" s="1" t="s">
        <v>15554</v>
      </c>
      <c r="B3001" s="1" t="s">
        <v>16370</v>
      </c>
      <c r="C3001" s="3">
        <f>IF(B3001="","",SUMIFS('Factory Costs'!$C:$C,'Factory Costs'!$A:$A,"Blades",'Factory Costs'!$B:$B,B3001))</f>
        <v>34</v>
      </c>
    </row>
    <row r="3002" spans="1:3" x14ac:dyDescent="0.25">
      <c r="A3002" s="1" t="s">
        <v>15557</v>
      </c>
      <c r="B3002" s="1" t="s">
        <v>16371</v>
      </c>
      <c r="C3002" s="3">
        <f>IF(B3002="","",SUMIFS('Factory Costs'!$C:$C,'Factory Costs'!$A:$A,"Blades",'Factory Costs'!$B:$B,B3002))</f>
        <v>37</v>
      </c>
    </row>
    <row r="3003" spans="1:3" x14ac:dyDescent="0.25">
      <c r="A3003" s="1" t="s">
        <v>15560</v>
      </c>
      <c r="B3003" s="1" t="s">
        <v>16370</v>
      </c>
      <c r="C3003" s="3">
        <f>IF(B3003="","",SUMIFS('Factory Costs'!$C:$C,'Factory Costs'!$A:$A,"Blades",'Factory Costs'!$B:$B,B3003))</f>
        <v>34</v>
      </c>
    </row>
    <row r="3004" spans="1:3" x14ac:dyDescent="0.25">
      <c r="A3004" s="1" t="s">
        <v>15563</v>
      </c>
      <c r="B3004" s="1" t="s">
        <v>16370</v>
      </c>
      <c r="C3004" s="3">
        <f>IF(B3004="","",SUMIFS('Factory Costs'!$C:$C,'Factory Costs'!$A:$A,"Blades",'Factory Costs'!$B:$B,B3004))</f>
        <v>34</v>
      </c>
    </row>
    <row r="3005" spans="1:3" x14ac:dyDescent="0.25">
      <c r="A3005" s="1" t="s">
        <v>15566</v>
      </c>
      <c r="B3005" s="1" t="s">
        <v>16370</v>
      </c>
      <c r="C3005" s="3">
        <f>IF(B3005="","",SUMIFS('Factory Costs'!$C:$C,'Factory Costs'!$A:$A,"Blades",'Factory Costs'!$B:$B,B3005))</f>
        <v>34</v>
      </c>
    </row>
    <row r="3006" spans="1:3" x14ac:dyDescent="0.25">
      <c r="A3006" s="1" t="s">
        <v>15569</v>
      </c>
      <c r="B3006" s="1" t="s">
        <v>16372</v>
      </c>
      <c r="C3006" s="3">
        <f>IF(B3006="","",SUMIFS('Factory Costs'!$C:$C,'Factory Costs'!$A:$A,"Blades",'Factory Costs'!$B:$B,B3006))</f>
        <v>42</v>
      </c>
    </row>
    <row r="3007" spans="1:3" x14ac:dyDescent="0.25">
      <c r="A3007" s="1" t="s">
        <v>15572</v>
      </c>
      <c r="B3007" s="1" t="s">
        <v>16370</v>
      </c>
      <c r="C3007" s="3">
        <f>IF(B3007="","",SUMIFS('Factory Costs'!$C:$C,'Factory Costs'!$A:$A,"Blades",'Factory Costs'!$B:$B,B3007))</f>
        <v>34</v>
      </c>
    </row>
    <row r="3008" spans="1:3" x14ac:dyDescent="0.25">
      <c r="A3008" s="1" t="s">
        <v>15575</v>
      </c>
      <c r="B3008" s="1" t="s">
        <v>16372</v>
      </c>
      <c r="C3008" s="3">
        <f>IF(B3008="","",SUMIFS('Factory Costs'!$C:$C,'Factory Costs'!$A:$A,"Blades",'Factory Costs'!$B:$B,B3008))</f>
        <v>42</v>
      </c>
    </row>
    <row r="3009" spans="1:3" x14ac:dyDescent="0.25">
      <c r="A3009" s="1" t="s">
        <v>15578</v>
      </c>
      <c r="B3009" s="1" t="s">
        <v>16370</v>
      </c>
      <c r="C3009" s="3">
        <f>IF(B3009="","",SUMIFS('Factory Costs'!$C:$C,'Factory Costs'!$A:$A,"Blades",'Factory Costs'!$B:$B,B3009))</f>
        <v>34</v>
      </c>
    </row>
    <row r="3010" spans="1:3" x14ac:dyDescent="0.25">
      <c r="A3010" s="1" t="s">
        <v>15581</v>
      </c>
      <c r="B3010" s="1" t="s">
        <v>16372</v>
      </c>
      <c r="C3010" s="3">
        <f>IF(B3010="","",SUMIFS('Factory Costs'!$C:$C,'Factory Costs'!$A:$A,"Blades",'Factory Costs'!$B:$B,B3010))</f>
        <v>42</v>
      </c>
    </row>
    <row r="3011" spans="1:3" x14ac:dyDescent="0.25">
      <c r="A3011" s="1" t="s">
        <v>15584</v>
      </c>
      <c r="B3011" s="1" t="s">
        <v>16370</v>
      </c>
      <c r="C3011" s="3">
        <f>IF(B3011="","",SUMIFS('Factory Costs'!$C:$C,'Factory Costs'!$A:$A,"Blades",'Factory Costs'!$B:$B,B3011))</f>
        <v>34</v>
      </c>
    </row>
    <row r="3012" spans="1:3" x14ac:dyDescent="0.25">
      <c r="A3012" s="1" t="s">
        <v>15587</v>
      </c>
      <c r="B3012" s="1" t="s">
        <v>16371</v>
      </c>
      <c r="C3012" s="3">
        <f>IF(B3012="","",SUMIFS('Factory Costs'!$C:$C,'Factory Costs'!$A:$A,"Blades",'Factory Costs'!$B:$B,B3012))</f>
        <v>37</v>
      </c>
    </row>
    <row r="3013" spans="1:3" x14ac:dyDescent="0.25">
      <c r="A3013" s="1" t="s">
        <v>15590</v>
      </c>
      <c r="B3013" s="1" t="s">
        <v>16370</v>
      </c>
      <c r="C3013" s="3">
        <f>IF(B3013="","",SUMIFS('Factory Costs'!$C:$C,'Factory Costs'!$A:$A,"Blades",'Factory Costs'!$B:$B,B3013))</f>
        <v>34</v>
      </c>
    </row>
    <row r="3014" spans="1:3" x14ac:dyDescent="0.25">
      <c r="A3014" s="1" t="s">
        <v>15593</v>
      </c>
      <c r="B3014" s="1" t="s">
        <v>16370</v>
      </c>
      <c r="C3014" s="3">
        <f>IF(B3014="","",SUMIFS('Factory Costs'!$C:$C,'Factory Costs'!$A:$A,"Blades",'Factory Costs'!$B:$B,B3014))</f>
        <v>34</v>
      </c>
    </row>
    <row r="3015" spans="1:3" x14ac:dyDescent="0.25">
      <c r="A3015" s="1" t="s">
        <v>15596</v>
      </c>
      <c r="B3015" s="1" t="s">
        <v>16372</v>
      </c>
      <c r="C3015" s="3">
        <f>IF(B3015="","",SUMIFS('Factory Costs'!$C:$C,'Factory Costs'!$A:$A,"Blades",'Factory Costs'!$B:$B,B3015))</f>
        <v>42</v>
      </c>
    </row>
    <row r="3016" spans="1:3" x14ac:dyDescent="0.25">
      <c r="A3016" s="1" t="s">
        <v>15599</v>
      </c>
      <c r="B3016" s="1" t="s">
        <v>16370</v>
      </c>
      <c r="C3016" s="3">
        <f>IF(B3016="","",SUMIFS('Factory Costs'!$C:$C,'Factory Costs'!$A:$A,"Blades",'Factory Costs'!$B:$B,B3016))</f>
        <v>34</v>
      </c>
    </row>
    <row r="3017" spans="1:3" x14ac:dyDescent="0.25">
      <c r="A3017" s="1" t="s">
        <v>15602</v>
      </c>
      <c r="B3017" s="1" t="s">
        <v>16371</v>
      </c>
      <c r="C3017" s="3">
        <f>IF(B3017="","",SUMIFS('Factory Costs'!$C:$C,'Factory Costs'!$A:$A,"Blades",'Factory Costs'!$B:$B,B3017))</f>
        <v>37</v>
      </c>
    </row>
    <row r="3018" spans="1:3" x14ac:dyDescent="0.25">
      <c r="A3018" s="1" t="s">
        <v>15605</v>
      </c>
      <c r="B3018" s="1" t="s">
        <v>16371</v>
      </c>
      <c r="C3018" s="3">
        <f>IF(B3018="","",SUMIFS('Factory Costs'!$C:$C,'Factory Costs'!$A:$A,"Blades",'Factory Costs'!$B:$B,B3018))</f>
        <v>37</v>
      </c>
    </row>
    <row r="3019" spans="1:3" x14ac:dyDescent="0.25">
      <c r="A3019" s="1" t="s">
        <v>15608</v>
      </c>
      <c r="B3019" s="1" t="s">
        <v>16371</v>
      </c>
      <c r="C3019" s="3">
        <f>IF(B3019="","",SUMIFS('Factory Costs'!$C:$C,'Factory Costs'!$A:$A,"Blades",'Factory Costs'!$B:$B,B3019))</f>
        <v>37</v>
      </c>
    </row>
    <row r="3020" spans="1:3" x14ac:dyDescent="0.25">
      <c r="A3020" s="1" t="s">
        <v>15611</v>
      </c>
      <c r="B3020" s="1" t="s">
        <v>16372</v>
      </c>
      <c r="C3020" s="3">
        <f>IF(B3020="","",SUMIFS('Factory Costs'!$C:$C,'Factory Costs'!$A:$A,"Blades",'Factory Costs'!$B:$B,B3020))</f>
        <v>42</v>
      </c>
    </row>
    <row r="3021" spans="1:3" x14ac:dyDescent="0.25">
      <c r="A3021" s="1" t="s">
        <v>15614</v>
      </c>
      <c r="B3021" s="1" t="s">
        <v>16370</v>
      </c>
      <c r="C3021" s="3">
        <f>IF(B3021="","",SUMIFS('Factory Costs'!$C:$C,'Factory Costs'!$A:$A,"Blades",'Factory Costs'!$B:$B,B3021))</f>
        <v>34</v>
      </c>
    </row>
    <row r="3022" spans="1:3" x14ac:dyDescent="0.25">
      <c r="A3022" s="1" t="s">
        <v>15617</v>
      </c>
      <c r="B3022" s="1" t="s">
        <v>16370</v>
      </c>
      <c r="C3022" s="3">
        <f>IF(B3022="","",SUMIFS('Factory Costs'!$C:$C,'Factory Costs'!$A:$A,"Blades",'Factory Costs'!$B:$B,B3022))</f>
        <v>34</v>
      </c>
    </row>
    <row r="3023" spans="1:3" x14ac:dyDescent="0.25">
      <c r="A3023" s="1" t="s">
        <v>15620</v>
      </c>
      <c r="B3023" s="1" t="s">
        <v>16370</v>
      </c>
      <c r="C3023" s="3">
        <f>IF(B3023="","",SUMIFS('Factory Costs'!$C:$C,'Factory Costs'!$A:$A,"Blades",'Factory Costs'!$B:$B,B3023))</f>
        <v>34</v>
      </c>
    </row>
    <row r="3024" spans="1:3" x14ac:dyDescent="0.25">
      <c r="A3024" s="1" t="s">
        <v>15623</v>
      </c>
      <c r="B3024" s="1" t="s">
        <v>16371</v>
      </c>
      <c r="C3024" s="3">
        <f>IF(B3024="","",SUMIFS('Factory Costs'!$C:$C,'Factory Costs'!$A:$A,"Blades",'Factory Costs'!$B:$B,B3024))</f>
        <v>37</v>
      </c>
    </row>
    <row r="3025" spans="1:3" x14ac:dyDescent="0.25">
      <c r="A3025" s="1" t="s">
        <v>15626</v>
      </c>
      <c r="B3025" s="1" t="s">
        <v>16370</v>
      </c>
      <c r="C3025" s="3">
        <f>IF(B3025="","",SUMIFS('Factory Costs'!$C:$C,'Factory Costs'!$A:$A,"Blades",'Factory Costs'!$B:$B,B3025))</f>
        <v>34</v>
      </c>
    </row>
    <row r="3026" spans="1:3" x14ac:dyDescent="0.25">
      <c r="A3026" s="1" t="s">
        <v>15629</v>
      </c>
      <c r="B3026" s="1" t="s">
        <v>16370</v>
      </c>
      <c r="C3026" s="3">
        <f>IF(B3026="","",SUMIFS('Factory Costs'!$C:$C,'Factory Costs'!$A:$A,"Blades",'Factory Costs'!$B:$B,B3026))</f>
        <v>34</v>
      </c>
    </row>
    <row r="3027" spans="1:3" x14ac:dyDescent="0.25">
      <c r="A3027" s="1" t="s">
        <v>15632</v>
      </c>
      <c r="B3027" s="1" t="s">
        <v>16370</v>
      </c>
      <c r="C3027" s="3">
        <f>IF(B3027="","",SUMIFS('Factory Costs'!$C:$C,'Factory Costs'!$A:$A,"Blades",'Factory Costs'!$B:$B,B3027))</f>
        <v>34</v>
      </c>
    </row>
    <row r="3028" spans="1:3" x14ac:dyDescent="0.25">
      <c r="A3028" s="1" t="s">
        <v>15635</v>
      </c>
      <c r="B3028" s="1" t="s">
        <v>16371</v>
      </c>
      <c r="C3028" s="3">
        <f>IF(B3028="","",SUMIFS('Factory Costs'!$C:$C,'Factory Costs'!$A:$A,"Blades",'Factory Costs'!$B:$B,B3028))</f>
        <v>37</v>
      </c>
    </row>
    <row r="3029" spans="1:3" x14ac:dyDescent="0.25">
      <c r="A3029" s="1" t="s">
        <v>15638</v>
      </c>
      <c r="B3029" s="1" t="s">
        <v>16372</v>
      </c>
      <c r="C3029" s="3">
        <f>IF(B3029="","",SUMIFS('Factory Costs'!$C:$C,'Factory Costs'!$A:$A,"Blades",'Factory Costs'!$B:$B,B3029))</f>
        <v>42</v>
      </c>
    </row>
    <row r="3030" spans="1:3" x14ac:dyDescent="0.25">
      <c r="A3030" s="1" t="s">
        <v>15641</v>
      </c>
      <c r="B3030" s="1" t="s">
        <v>16370</v>
      </c>
      <c r="C3030" s="3">
        <f>IF(B3030="","",SUMIFS('Factory Costs'!$C:$C,'Factory Costs'!$A:$A,"Blades",'Factory Costs'!$B:$B,B3030))</f>
        <v>34</v>
      </c>
    </row>
    <row r="3031" spans="1:3" x14ac:dyDescent="0.25">
      <c r="A3031" s="1" t="s">
        <v>15644</v>
      </c>
      <c r="B3031" s="1" t="s">
        <v>16370</v>
      </c>
      <c r="C3031" s="3">
        <f>IF(B3031="","",SUMIFS('Factory Costs'!$C:$C,'Factory Costs'!$A:$A,"Blades",'Factory Costs'!$B:$B,B3031))</f>
        <v>34</v>
      </c>
    </row>
    <row r="3032" spans="1:3" x14ac:dyDescent="0.25">
      <c r="A3032" s="1" t="s">
        <v>15647</v>
      </c>
      <c r="B3032" s="1" t="s">
        <v>16372</v>
      </c>
      <c r="C3032" s="3">
        <f>IF(B3032="","",SUMIFS('Factory Costs'!$C:$C,'Factory Costs'!$A:$A,"Blades",'Factory Costs'!$B:$B,B3032))</f>
        <v>42</v>
      </c>
    </row>
    <row r="3033" spans="1:3" x14ac:dyDescent="0.25">
      <c r="A3033" s="1" t="s">
        <v>15650</v>
      </c>
      <c r="B3033" s="1" t="s">
        <v>16372</v>
      </c>
      <c r="C3033" s="3">
        <f>IF(B3033="","",SUMIFS('Factory Costs'!$C:$C,'Factory Costs'!$A:$A,"Blades",'Factory Costs'!$B:$B,B3033))</f>
        <v>42</v>
      </c>
    </row>
    <row r="3034" spans="1:3" x14ac:dyDescent="0.25">
      <c r="A3034" s="1" t="s">
        <v>15653</v>
      </c>
      <c r="B3034" s="1" t="s">
        <v>16370</v>
      </c>
      <c r="C3034" s="3">
        <f>IF(B3034="","",SUMIFS('Factory Costs'!$C:$C,'Factory Costs'!$A:$A,"Blades",'Factory Costs'!$B:$B,B3034))</f>
        <v>34</v>
      </c>
    </row>
    <row r="3035" spans="1:3" x14ac:dyDescent="0.25">
      <c r="A3035" s="1" t="s">
        <v>15656</v>
      </c>
      <c r="B3035" s="1" t="s">
        <v>16370</v>
      </c>
      <c r="C3035" s="3">
        <f>IF(B3035="","",SUMIFS('Factory Costs'!$C:$C,'Factory Costs'!$A:$A,"Blades",'Factory Costs'!$B:$B,B3035))</f>
        <v>34</v>
      </c>
    </row>
    <row r="3036" spans="1:3" x14ac:dyDescent="0.25">
      <c r="A3036" s="1" t="s">
        <v>15659</v>
      </c>
      <c r="B3036" s="1" t="s">
        <v>16372</v>
      </c>
      <c r="C3036" s="3">
        <f>IF(B3036="","",SUMIFS('Factory Costs'!$C:$C,'Factory Costs'!$A:$A,"Blades",'Factory Costs'!$B:$B,B3036))</f>
        <v>42</v>
      </c>
    </row>
    <row r="3037" spans="1:3" x14ac:dyDescent="0.25">
      <c r="A3037" s="1" t="s">
        <v>15662</v>
      </c>
      <c r="B3037" s="1" t="s">
        <v>16372</v>
      </c>
      <c r="C3037" s="3">
        <f>IF(B3037="","",SUMIFS('Factory Costs'!$C:$C,'Factory Costs'!$A:$A,"Blades",'Factory Costs'!$B:$B,B3037))</f>
        <v>42</v>
      </c>
    </row>
    <row r="3038" spans="1:3" x14ac:dyDescent="0.25">
      <c r="A3038" s="1" t="s">
        <v>15665</v>
      </c>
      <c r="B3038" s="1" t="s">
        <v>16370</v>
      </c>
      <c r="C3038" s="3">
        <f>IF(B3038="","",SUMIFS('Factory Costs'!$C:$C,'Factory Costs'!$A:$A,"Blades",'Factory Costs'!$B:$B,B3038))</f>
        <v>34</v>
      </c>
    </row>
    <row r="3039" spans="1:3" x14ac:dyDescent="0.25">
      <c r="A3039" s="1" t="s">
        <v>15668</v>
      </c>
      <c r="B3039" s="1" t="s">
        <v>16370</v>
      </c>
      <c r="C3039" s="3">
        <f>IF(B3039="","",SUMIFS('Factory Costs'!$C:$C,'Factory Costs'!$A:$A,"Blades",'Factory Costs'!$B:$B,B3039))</f>
        <v>34</v>
      </c>
    </row>
    <row r="3040" spans="1:3" x14ac:dyDescent="0.25">
      <c r="A3040" s="1" t="s">
        <v>15671</v>
      </c>
      <c r="B3040" s="1" t="s">
        <v>16370</v>
      </c>
      <c r="C3040" s="3">
        <f>IF(B3040="","",SUMIFS('Factory Costs'!$C:$C,'Factory Costs'!$A:$A,"Blades",'Factory Costs'!$B:$B,B3040))</f>
        <v>34</v>
      </c>
    </row>
    <row r="3041" spans="1:3" x14ac:dyDescent="0.25">
      <c r="A3041" s="1" t="s">
        <v>15674</v>
      </c>
      <c r="B3041" s="1" t="s">
        <v>16370</v>
      </c>
      <c r="C3041" s="3">
        <f>IF(B3041="","",SUMIFS('Factory Costs'!$C:$C,'Factory Costs'!$A:$A,"Blades",'Factory Costs'!$B:$B,B3041))</f>
        <v>34</v>
      </c>
    </row>
    <row r="3042" spans="1:3" x14ac:dyDescent="0.25">
      <c r="A3042" s="1" t="s">
        <v>15677</v>
      </c>
      <c r="B3042" s="1" t="s">
        <v>16372</v>
      </c>
      <c r="C3042" s="3">
        <f>IF(B3042="","",SUMIFS('Factory Costs'!$C:$C,'Factory Costs'!$A:$A,"Blades",'Factory Costs'!$B:$B,B3042))</f>
        <v>42</v>
      </c>
    </row>
    <row r="3043" spans="1:3" x14ac:dyDescent="0.25">
      <c r="A3043" s="1" t="s">
        <v>15680</v>
      </c>
      <c r="B3043" s="1" t="s">
        <v>16370</v>
      </c>
      <c r="C3043" s="3">
        <f>IF(B3043="","",SUMIFS('Factory Costs'!$C:$C,'Factory Costs'!$A:$A,"Blades",'Factory Costs'!$B:$B,B3043))</f>
        <v>34</v>
      </c>
    </row>
    <row r="3044" spans="1:3" x14ac:dyDescent="0.25">
      <c r="A3044" s="1" t="s">
        <v>15683</v>
      </c>
      <c r="B3044" s="1" t="s">
        <v>16371</v>
      </c>
      <c r="C3044" s="3">
        <f>IF(B3044="","",SUMIFS('Factory Costs'!$C:$C,'Factory Costs'!$A:$A,"Blades",'Factory Costs'!$B:$B,B3044))</f>
        <v>37</v>
      </c>
    </row>
    <row r="3045" spans="1:3" x14ac:dyDescent="0.25">
      <c r="A3045" s="1" t="s">
        <v>15686</v>
      </c>
      <c r="B3045" s="1" t="s">
        <v>16370</v>
      </c>
      <c r="C3045" s="3">
        <f>IF(B3045="","",SUMIFS('Factory Costs'!$C:$C,'Factory Costs'!$A:$A,"Blades",'Factory Costs'!$B:$B,B3045))</f>
        <v>34</v>
      </c>
    </row>
    <row r="3046" spans="1:3" x14ac:dyDescent="0.25">
      <c r="A3046" s="1" t="s">
        <v>15689</v>
      </c>
      <c r="B3046" s="1" t="s">
        <v>16371</v>
      </c>
      <c r="C3046" s="3">
        <f>IF(B3046="","",SUMIFS('Factory Costs'!$C:$C,'Factory Costs'!$A:$A,"Blades",'Factory Costs'!$B:$B,B3046))</f>
        <v>37</v>
      </c>
    </row>
    <row r="3047" spans="1:3" x14ac:dyDescent="0.25">
      <c r="A3047" s="1" t="s">
        <v>15692</v>
      </c>
      <c r="B3047" s="1" t="s">
        <v>16371</v>
      </c>
      <c r="C3047" s="3">
        <f>IF(B3047="","",SUMIFS('Factory Costs'!$C:$C,'Factory Costs'!$A:$A,"Blades",'Factory Costs'!$B:$B,B3047))</f>
        <v>37</v>
      </c>
    </row>
    <row r="3048" spans="1:3" x14ac:dyDescent="0.25">
      <c r="A3048" s="1" t="s">
        <v>15695</v>
      </c>
      <c r="B3048" s="1" t="s">
        <v>16371</v>
      </c>
      <c r="C3048" s="3">
        <f>IF(B3048="","",SUMIFS('Factory Costs'!$C:$C,'Factory Costs'!$A:$A,"Blades",'Factory Costs'!$B:$B,B3048))</f>
        <v>37</v>
      </c>
    </row>
    <row r="3049" spans="1:3" x14ac:dyDescent="0.25">
      <c r="A3049" s="1" t="s">
        <v>15698</v>
      </c>
      <c r="B3049" s="1" t="s">
        <v>16371</v>
      </c>
      <c r="C3049" s="3">
        <f>IF(B3049="","",SUMIFS('Factory Costs'!$C:$C,'Factory Costs'!$A:$A,"Blades",'Factory Costs'!$B:$B,B3049))</f>
        <v>37</v>
      </c>
    </row>
    <row r="3050" spans="1:3" x14ac:dyDescent="0.25">
      <c r="A3050" s="1" t="s">
        <v>15701</v>
      </c>
      <c r="B3050" s="1" t="s">
        <v>16370</v>
      </c>
      <c r="C3050" s="3">
        <f>IF(B3050="","",SUMIFS('Factory Costs'!$C:$C,'Factory Costs'!$A:$A,"Blades",'Factory Costs'!$B:$B,B3050))</f>
        <v>34</v>
      </c>
    </row>
    <row r="3051" spans="1:3" x14ac:dyDescent="0.25">
      <c r="A3051" s="1" t="s">
        <v>15704</v>
      </c>
      <c r="B3051" s="1" t="s">
        <v>16372</v>
      </c>
      <c r="C3051" s="3">
        <f>IF(B3051="","",SUMIFS('Factory Costs'!$C:$C,'Factory Costs'!$A:$A,"Blades",'Factory Costs'!$B:$B,B3051))</f>
        <v>42</v>
      </c>
    </row>
    <row r="3052" spans="1:3" x14ac:dyDescent="0.25">
      <c r="A3052" s="1" t="s">
        <v>15707</v>
      </c>
      <c r="B3052" s="1" t="s">
        <v>16372</v>
      </c>
      <c r="C3052" s="3">
        <f>IF(B3052="","",SUMIFS('Factory Costs'!$C:$C,'Factory Costs'!$A:$A,"Blades",'Factory Costs'!$B:$B,B3052))</f>
        <v>42</v>
      </c>
    </row>
    <row r="3053" spans="1:3" x14ac:dyDescent="0.25">
      <c r="A3053" s="1" t="s">
        <v>15710</v>
      </c>
      <c r="B3053" s="1" t="s">
        <v>16370</v>
      </c>
      <c r="C3053" s="3">
        <f>IF(B3053="","",SUMIFS('Factory Costs'!$C:$C,'Factory Costs'!$A:$A,"Blades",'Factory Costs'!$B:$B,B3053))</f>
        <v>34</v>
      </c>
    </row>
    <row r="3054" spans="1:3" x14ac:dyDescent="0.25">
      <c r="A3054" s="1" t="s">
        <v>15713</v>
      </c>
      <c r="B3054" s="1" t="s">
        <v>16370</v>
      </c>
      <c r="C3054" s="3">
        <f>IF(B3054="","",SUMIFS('Factory Costs'!$C:$C,'Factory Costs'!$A:$A,"Blades",'Factory Costs'!$B:$B,B3054))</f>
        <v>34</v>
      </c>
    </row>
    <row r="3055" spans="1:3" x14ac:dyDescent="0.25">
      <c r="A3055" s="1" t="s">
        <v>15716</v>
      </c>
      <c r="B3055" s="1" t="s">
        <v>16370</v>
      </c>
      <c r="C3055" s="3">
        <f>IF(B3055="","",SUMIFS('Factory Costs'!$C:$C,'Factory Costs'!$A:$A,"Blades",'Factory Costs'!$B:$B,B3055))</f>
        <v>34</v>
      </c>
    </row>
    <row r="3056" spans="1:3" x14ac:dyDescent="0.25">
      <c r="A3056" s="1" t="s">
        <v>15719</v>
      </c>
      <c r="B3056" s="1" t="s">
        <v>16370</v>
      </c>
      <c r="C3056" s="3">
        <f>IF(B3056="","",SUMIFS('Factory Costs'!$C:$C,'Factory Costs'!$A:$A,"Blades",'Factory Costs'!$B:$B,B3056))</f>
        <v>34</v>
      </c>
    </row>
    <row r="3057" spans="1:3" x14ac:dyDescent="0.25">
      <c r="A3057" s="1" t="s">
        <v>15722</v>
      </c>
      <c r="B3057" s="1" t="s">
        <v>16370</v>
      </c>
      <c r="C3057" s="3">
        <f>IF(B3057="","",SUMIFS('Factory Costs'!$C:$C,'Factory Costs'!$A:$A,"Blades",'Factory Costs'!$B:$B,B3057))</f>
        <v>34</v>
      </c>
    </row>
    <row r="3058" spans="1:3" x14ac:dyDescent="0.25">
      <c r="A3058" s="1" t="s">
        <v>15725</v>
      </c>
      <c r="B3058" s="1" t="s">
        <v>16372</v>
      </c>
      <c r="C3058" s="3">
        <f>IF(B3058="","",SUMIFS('Factory Costs'!$C:$C,'Factory Costs'!$A:$A,"Blades",'Factory Costs'!$B:$B,B3058))</f>
        <v>42</v>
      </c>
    </row>
    <row r="3059" spans="1:3" x14ac:dyDescent="0.25">
      <c r="A3059" s="1" t="s">
        <v>15728</v>
      </c>
      <c r="B3059" s="1" t="s">
        <v>16370</v>
      </c>
      <c r="C3059" s="3">
        <f>IF(B3059="","",SUMIFS('Factory Costs'!$C:$C,'Factory Costs'!$A:$A,"Blades",'Factory Costs'!$B:$B,B3059))</f>
        <v>34</v>
      </c>
    </row>
    <row r="3060" spans="1:3" x14ac:dyDescent="0.25">
      <c r="A3060" s="1" t="s">
        <v>15731</v>
      </c>
      <c r="B3060" s="1" t="s">
        <v>16372</v>
      </c>
      <c r="C3060" s="3">
        <f>IF(B3060="","",SUMIFS('Factory Costs'!$C:$C,'Factory Costs'!$A:$A,"Blades",'Factory Costs'!$B:$B,B3060))</f>
        <v>42</v>
      </c>
    </row>
    <row r="3061" spans="1:3" x14ac:dyDescent="0.25">
      <c r="A3061" s="1" t="s">
        <v>15734</v>
      </c>
      <c r="B3061" s="1" t="s">
        <v>16371</v>
      </c>
      <c r="C3061" s="3">
        <f>IF(B3061="","",SUMIFS('Factory Costs'!$C:$C,'Factory Costs'!$A:$A,"Blades",'Factory Costs'!$B:$B,B3061))</f>
        <v>37</v>
      </c>
    </row>
    <row r="3062" spans="1:3" x14ac:dyDescent="0.25">
      <c r="A3062" s="1" t="s">
        <v>15737</v>
      </c>
      <c r="B3062" s="1" t="s">
        <v>16371</v>
      </c>
      <c r="C3062" s="3">
        <f>IF(B3062="","",SUMIFS('Factory Costs'!$C:$C,'Factory Costs'!$A:$A,"Blades",'Factory Costs'!$B:$B,B3062))</f>
        <v>37</v>
      </c>
    </row>
    <row r="3063" spans="1:3" x14ac:dyDescent="0.25">
      <c r="A3063" s="1" t="s">
        <v>15740</v>
      </c>
      <c r="B3063" s="1" t="s">
        <v>16370</v>
      </c>
      <c r="C3063" s="3">
        <f>IF(B3063="","",SUMIFS('Factory Costs'!$C:$C,'Factory Costs'!$A:$A,"Blades",'Factory Costs'!$B:$B,B3063))</f>
        <v>34</v>
      </c>
    </row>
    <row r="3064" spans="1:3" x14ac:dyDescent="0.25">
      <c r="A3064" s="1" t="s">
        <v>15743</v>
      </c>
      <c r="B3064" s="1" t="s">
        <v>16370</v>
      </c>
      <c r="C3064" s="3">
        <f>IF(B3064="","",SUMIFS('Factory Costs'!$C:$C,'Factory Costs'!$A:$A,"Blades",'Factory Costs'!$B:$B,B3064))</f>
        <v>34</v>
      </c>
    </row>
    <row r="3065" spans="1:3" x14ac:dyDescent="0.25">
      <c r="A3065" s="1" t="s">
        <v>15746</v>
      </c>
      <c r="B3065" s="1" t="s">
        <v>16371</v>
      </c>
      <c r="C3065" s="3">
        <f>IF(B3065="","",SUMIFS('Factory Costs'!$C:$C,'Factory Costs'!$A:$A,"Blades",'Factory Costs'!$B:$B,B3065))</f>
        <v>37</v>
      </c>
    </row>
    <row r="3066" spans="1:3" x14ac:dyDescent="0.25">
      <c r="A3066" s="1" t="s">
        <v>15749</v>
      </c>
      <c r="B3066" s="1" t="s">
        <v>16371</v>
      </c>
      <c r="C3066" s="3">
        <f>IF(B3066="","",SUMIFS('Factory Costs'!$C:$C,'Factory Costs'!$A:$A,"Blades",'Factory Costs'!$B:$B,B3066))</f>
        <v>37</v>
      </c>
    </row>
    <row r="3067" spans="1:3" x14ac:dyDescent="0.25">
      <c r="A3067" s="1" t="s">
        <v>15752</v>
      </c>
      <c r="B3067" s="1" t="s">
        <v>16372</v>
      </c>
      <c r="C3067" s="3">
        <f>IF(B3067="","",SUMIFS('Factory Costs'!$C:$C,'Factory Costs'!$A:$A,"Blades",'Factory Costs'!$B:$B,B3067))</f>
        <v>42</v>
      </c>
    </row>
    <row r="3068" spans="1:3" x14ac:dyDescent="0.25">
      <c r="A3068" s="1" t="s">
        <v>15755</v>
      </c>
      <c r="B3068" s="1" t="s">
        <v>16370</v>
      </c>
      <c r="C3068" s="3">
        <f>IF(B3068="","",SUMIFS('Factory Costs'!$C:$C,'Factory Costs'!$A:$A,"Blades",'Factory Costs'!$B:$B,B3068))</f>
        <v>34</v>
      </c>
    </row>
    <row r="3069" spans="1:3" x14ac:dyDescent="0.25">
      <c r="A3069" s="1" t="s">
        <v>15758</v>
      </c>
      <c r="B3069" s="1" t="s">
        <v>16370</v>
      </c>
      <c r="C3069" s="3">
        <f>IF(B3069="","",SUMIFS('Factory Costs'!$C:$C,'Factory Costs'!$A:$A,"Blades",'Factory Costs'!$B:$B,B3069))</f>
        <v>34</v>
      </c>
    </row>
    <row r="3070" spans="1:3" x14ac:dyDescent="0.25">
      <c r="A3070" s="1" t="s">
        <v>15761</v>
      </c>
      <c r="B3070" s="1" t="s">
        <v>16370</v>
      </c>
      <c r="C3070" s="3">
        <f>IF(B3070="","",SUMIFS('Factory Costs'!$C:$C,'Factory Costs'!$A:$A,"Blades",'Factory Costs'!$B:$B,B3070))</f>
        <v>34</v>
      </c>
    </row>
    <row r="3071" spans="1:3" x14ac:dyDescent="0.25">
      <c r="A3071" s="1" t="s">
        <v>15764</v>
      </c>
      <c r="B3071" s="1" t="s">
        <v>16370</v>
      </c>
      <c r="C3071" s="3">
        <f>IF(B3071="","",SUMIFS('Factory Costs'!$C:$C,'Factory Costs'!$A:$A,"Blades",'Factory Costs'!$B:$B,B3071))</f>
        <v>34</v>
      </c>
    </row>
    <row r="3072" spans="1:3" x14ac:dyDescent="0.25">
      <c r="A3072" s="1" t="s">
        <v>15767</v>
      </c>
      <c r="B3072" s="1" t="s">
        <v>16370</v>
      </c>
      <c r="C3072" s="3">
        <f>IF(B3072="","",SUMIFS('Factory Costs'!$C:$C,'Factory Costs'!$A:$A,"Blades",'Factory Costs'!$B:$B,B3072))</f>
        <v>34</v>
      </c>
    </row>
    <row r="3073" spans="1:3" x14ac:dyDescent="0.25">
      <c r="A3073" s="1" t="s">
        <v>15770</v>
      </c>
      <c r="B3073" s="1" t="s">
        <v>16371</v>
      </c>
      <c r="C3073" s="3">
        <f>IF(B3073="","",SUMIFS('Factory Costs'!$C:$C,'Factory Costs'!$A:$A,"Blades",'Factory Costs'!$B:$B,B3073))</f>
        <v>37</v>
      </c>
    </row>
    <row r="3074" spans="1:3" x14ac:dyDescent="0.25">
      <c r="A3074" s="1" t="s">
        <v>15773</v>
      </c>
      <c r="B3074" s="1" t="s">
        <v>16372</v>
      </c>
      <c r="C3074" s="3">
        <f>IF(B3074="","",SUMIFS('Factory Costs'!$C:$C,'Factory Costs'!$A:$A,"Blades",'Factory Costs'!$B:$B,B3074))</f>
        <v>42</v>
      </c>
    </row>
    <row r="3075" spans="1:3" x14ac:dyDescent="0.25">
      <c r="A3075" s="1" t="s">
        <v>15776</v>
      </c>
      <c r="B3075" s="1" t="s">
        <v>16372</v>
      </c>
      <c r="C3075" s="3">
        <f>IF(B3075="","",SUMIFS('Factory Costs'!$C:$C,'Factory Costs'!$A:$A,"Blades",'Factory Costs'!$B:$B,B3075))</f>
        <v>42</v>
      </c>
    </row>
    <row r="3076" spans="1:3" x14ac:dyDescent="0.25">
      <c r="A3076" s="1" t="s">
        <v>15779</v>
      </c>
      <c r="B3076" s="1" t="s">
        <v>16371</v>
      </c>
      <c r="C3076" s="3">
        <f>IF(B3076="","",SUMIFS('Factory Costs'!$C:$C,'Factory Costs'!$A:$A,"Blades",'Factory Costs'!$B:$B,B3076))</f>
        <v>37</v>
      </c>
    </row>
    <row r="3077" spans="1:3" x14ac:dyDescent="0.25">
      <c r="A3077" s="1" t="s">
        <v>15782</v>
      </c>
      <c r="B3077" s="1" t="s">
        <v>16371</v>
      </c>
      <c r="C3077" s="3">
        <f>IF(B3077="","",SUMIFS('Factory Costs'!$C:$C,'Factory Costs'!$A:$A,"Blades",'Factory Costs'!$B:$B,B3077))</f>
        <v>37</v>
      </c>
    </row>
    <row r="3078" spans="1:3" x14ac:dyDescent="0.25">
      <c r="A3078" s="1" t="s">
        <v>15785</v>
      </c>
      <c r="B3078" s="1" t="s">
        <v>16370</v>
      </c>
      <c r="C3078" s="3">
        <f>IF(B3078="","",SUMIFS('Factory Costs'!$C:$C,'Factory Costs'!$A:$A,"Blades",'Factory Costs'!$B:$B,B3078))</f>
        <v>34</v>
      </c>
    </row>
    <row r="3079" spans="1:3" x14ac:dyDescent="0.25">
      <c r="A3079" s="1" t="s">
        <v>15788</v>
      </c>
      <c r="B3079" s="1" t="s">
        <v>16370</v>
      </c>
      <c r="C3079" s="3">
        <f>IF(B3079="","",SUMIFS('Factory Costs'!$C:$C,'Factory Costs'!$A:$A,"Blades",'Factory Costs'!$B:$B,B3079))</f>
        <v>34</v>
      </c>
    </row>
    <row r="3080" spans="1:3" x14ac:dyDescent="0.25">
      <c r="A3080" s="1" t="s">
        <v>15791</v>
      </c>
      <c r="B3080" s="1" t="s">
        <v>16370</v>
      </c>
      <c r="C3080" s="3">
        <f>IF(B3080="","",SUMIFS('Factory Costs'!$C:$C,'Factory Costs'!$A:$A,"Blades",'Factory Costs'!$B:$B,B3080))</f>
        <v>34</v>
      </c>
    </row>
    <row r="3081" spans="1:3" x14ac:dyDescent="0.25">
      <c r="A3081" s="1" t="s">
        <v>15794</v>
      </c>
      <c r="B3081" s="1" t="s">
        <v>16371</v>
      </c>
      <c r="C3081" s="3">
        <f>IF(B3081="","",SUMIFS('Factory Costs'!$C:$C,'Factory Costs'!$A:$A,"Blades",'Factory Costs'!$B:$B,B3081))</f>
        <v>37</v>
      </c>
    </row>
    <row r="3082" spans="1:3" x14ac:dyDescent="0.25">
      <c r="A3082" s="1" t="s">
        <v>15797</v>
      </c>
      <c r="B3082" s="1" t="s">
        <v>16371</v>
      </c>
      <c r="C3082" s="3">
        <f>IF(B3082="","",SUMIFS('Factory Costs'!$C:$C,'Factory Costs'!$A:$A,"Blades",'Factory Costs'!$B:$B,B3082))</f>
        <v>37</v>
      </c>
    </row>
    <row r="3083" spans="1:3" x14ac:dyDescent="0.25">
      <c r="A3083" s="1" t="s">
        <v>15800</v>
      </c>
      <c r="B3083" s="1" t="s">
        <v>16371</v>
      </c>
      <c r="C3083" s="3">
        <f>IF(B3083="","",SUMIFS('Factory Costs'!$C:$C,'Factory Costs'!$A:$A,"Blades",'Factory Costs'!$B:$B,B3083))</f>
        <v>37</v>
      </c>
    </row>
    <row r="3084" spans="1:3" x14ac:dyDescent="0.25">
      <c r="A3084" s="1" t="s">
        <v>15803</v>
      </c>
      <c r="B3084" s="1" t="s">
        <v>16372</v>
      </c>
      <c r="C3084" s="3">
        <f>IF(B3084="","",SUMIFS('Factory Costs'!$C:$C,'Factory Costs'!$A:$A,"Blades",'Factory Costs'!$B:$B,B3084))</f>
        <v>42</v>
      </c>
    </row>
    <row r="3085" spans="1:3" x14ac:dyDescent="0.25">
      <c r="A3085" s="1" t="s">
        <v>15806</v>
      </c>
      <c r="B3085" s="1" t="s">
        <v>16372</v>
      </c>
      <c r="C3085" s="3">
        <f>IF(B3085="","",SUMIFS('Factory Costs'!$C:$C,'Factory Costs'!$A:$A,"Blades",'Factory Costs'!$B:$B,B3085))</f>
        <v>42</v>
      </c>
    </row>
    <row r="3086" spans="1:3" x14ac:dyDescent="0.25">
      <c r="A3086" s="1" t="s">
        <v>15809</v>
      </c>
      <c r="B3086" s="1" t="s">
        <v>16372</v>
      </c>
      <c r="C3086" s="3">
        <f>IF(B3086="","",SUMIFS('Factory Costs'!$C:$C,'Factory Costs'!$A:$A,"Blades",'Factory Costs'!$B:$B,B3086))</f>
        <v>42</v>
      </c>
    </row>
    <row r="3087" spans="1:3" x14ac:dyDescent="0.25">
      <c r="A3087" s="1" t="s">
        <v>15812</v>
      </c>
      <c r="B3087" s="1" t="s">
        <v>16370</v>
      </c>
      <c r="C3087" s="3">
        <f>IF(B3087="","",SUMIFS('Factory Costs'!$C:$C,'Factory Costs'!$A:$A,"Blades",'Factory Costs'!$B:$B,B3087))</f>
        <v>34</v>
      </c>
    </row>
    <row r="3088" spans="1:3" x14ac:dyDescent="0.25">
      <c r="A3088" s="1" t="s">
        <v>15815</v>
      </c>
      <c r="B3088" s="1" t="s">
        <v>16370</v>
      </c>
      <c r="C3088" s="3">
        <f>IF(B3088="","",SUMIFS('Factory Costs'!$C:$C,'Factory Costs'!$A:$A,"Blades",'Factory Costs'!$B:$B,B3088))</f>
        <v>34</v>
      </c>
    </row>
    <row r="3089" spans="1:3" x14ac:dyDescent="0.25">
      <c r="A3089" s="1" t="s">
        <v>15818</v>
      </c>
      <c r="B3089" s="1" t="s">
        <v>16372</v>
      </c>
      <c r="C3089" s="3">
        <f>IF(B3089="","",SUMIFS('Factory Costs'!$C:$C,'Factory Costs'!$A:$A,"Blades",'Factory Costs'!$B:$B,B3089))</f>
        <v>42</v>
      </c>
    </row>
    <row r="3090" spans="1:3" x14ac:dyDescent="0.25">
      <c r="A3090" s="1" t="s">
        <v>15821</v>
      </c>
      <c r="B3090" s="1" t="s">
        <v>16372</v>
      </c>
      <c r="C3090" s="3">
        <f>IF(B3090="","",SUMIFS('Factory Costs'!$C:$C,'Factory Costs'!$A:$A,"Blades",'Factory Costs'!$B:$B,B3090))</f>
        <v>42</v>
      </c>
    </row>
    <row r="3091" spans="1:3" x14ac:dyDescent="0.25">
      <c r="A3091" s="1" t="s">
        <v>15824</v>
      </c>
      <c r="B3091" s="1" t="s">
        <v>16370</v>
      </c>
      <c r="C3091" s="3">
        <f>IF(B3091="","",SUMIFS('Factory Costs'!$C:$C,'Factory Costs'!$A:$A,"Blades",'Factory Costs'!$B:$B,B3091))</f>
        <v>34</v>
      </c>
    </row>
    <row r="3092" spans="1:3" x14ac:dyDescent="0.25">
      <c r="A3092" s="1" t="s">
        <v>15827</v>
      </c>
      <c r="B3092" s="1" t="s">
        <v>16370</v>
      </c>
      <c r="C3092" s="3">
        <f>IF(B3092="","",SUMIFS('Factory Costs'!$C:$C,'Factory Costs'!$A:$A,"Blades",'Factory Costs'!$B:$B,B3092))</f>
        <v>34</v>
      </c>
    </row>
    <row r="3093" spans="1:3" x14ac:dyDescent="0.25">
      <c r="A3093" s="1" t="s">
        <v>15830</v>
      </c>
      <c r="B3093" s="1" t="s">
        <v>16371</v>
      </c>
      <c r="C3093" s="3">
        <f>IF(B3093="","",SUMIFS('Factory Costs'!$C:$C,'Factory Costs'!$A:$A,"Blades",'Factory Costs'!$B:$B,B3093))</f>
        <v>37</v>
      </c>
    </row>
    <row r="3094" spans="1:3" x14ac:dyDescent="0.25">
      <c r="A3094" s="1" t="s">
        <v>15833</v>
      </c>
      <c r="B3094" s="1" t="s">
        <v>16372</v>
      </c>
      <c r="C3094" s="3">
        <f>IF(B3094="","",SUMIFS('Factory Costs'!$C:$C,'Factory Costs'!$A:$A,"Blades",'Factory Costs'!$B:$B,B3094))</f>
        <v>42</v>
      </c>
    </row>
    <row r="3095" spans="1:3" x14ac:dyDescent="0.25">
      <c r="A3095" s="1" t="s">
        <v>15836</v>
      </c>
      <c r="B3095" s="1" t="s">
        <v>16372</v>
      </c>
      <c r="C3095" s="3">
        <f>IF(B3095="","",SUMIFS('Factory Costs'!$C:$C,'Factory Costs'!$A:$A,"Blades",'Factory Costs'!$B:$B,B3095))</f>
        <v>42</v>
      </c>
    </row>
    <row r="3096" spans="1:3" x14ac:dyDescent="0.25">
      <c r="A3096" s="1" t="s">
        <v>15839</v>
      </c>
      <c r="B3096" s="1" t="s">
        <v>16371</v>
      </c>
      <c r="C3096" s="3">
        <f>IF(B3096="","",SUMIFS('Factory Costs'!$C:$C,'Factory Costs'!$A:$A,"Blades",'Factory Costs'!$B:$B,B3096))</f>
        <v>37</v>
      </c>
    </row>
    <row r="3097" spans="1:3" x14ac:dyDescent="0.25">
      <c r="A3097" s="1" t="s">
        <v>15842</v>
      </c>
      <c r="B3097" s="1" t="s">
        <v>16370</v>
      </c>
      <c r="C3097" s="3">
        <f>IF(B3097="","",SUMIFS('Factory Costs'!$C:$C,'Factory Costs'!$A:$A,"Blades",'Factory Costs'!$B:$B,B3097))</f>
        <v>34</v>
      </c>
    </row>
    <row r="3098" spans="1:3" x14ac:dyDescent="0.25">
      <c r="A3098" s="1" t="s">
        <v>15845</v>
      </c>
      <c r="B3098" s="1" t="s">
        <v>16371</v>
      </c>
      <c r="C3098" s="3">
        <f>IF(B3098="","",SUMIFS('Factory Costs'!$C:$C,'Factory Costs'!$A:$A,"Blades",'Factory Costs'!$B:$B,B3098))</f>
        <v>37</v>
      </c>
    </row>
    <row r="3099" spans="1:3" x14ac:dyDescent="0.25">
      <c r="A3099" s="1" t="s">
        <v>15848</v>
      </c>
      <c r="B3099" s="1" t="s">
        <v>16370</v>
      </c>
      <c r="C3099" s="3">
        <f>IF(B3099="","",SUMIFS('Factory Costs'!$C:$C,'Factory Costs'!$A:$A,"Blades",'Factory Costs'!$B:$B,B3099))</f>
        <v>34</v>
      </c>
    </row>
    <row r="3100" spans="1:3" x14ac:dyDescent="0.25">
      <c r="A3100" s="1" t="s">
        <v>15851</v>
      </c>
      <c r="B3100" s="1" t="s">
        <v>16372</v>
      </c>
      <c r="C3100" s="3">
        <f>IF(B3100="","",SUMIFS('Factory Costs'!$C:$C,'Factory Costs'!$A:$A,"Blades",'Factory Costs'!$B:$B,B3100))</f>
        <v>42</v>
      </c>
    </row>
    <row r="3101" spans="1:3" x14ac:dyDescent="0.25">
      <c r="A3101" s="1" t="s">
        <v>15854</v>
      </c>
      <c r="B3101" s="1" t="s">
        <v>16372</v>
      </c>
      <c r="C3101" s="3">
        <f>IF(B3101="","",SUMIFS('Factory Costs'!$C:$C,'Factory Costs'!$A:$A,"Blades",'Factory Costs'!$B:$B,B3101))</f>
        <v>42</v>
      </c>
    </row>
    <row r="3102" spans="1:3" x14ac:dyDescent="0.25">
      <c r="A3102" s="1" t="s">
        <v>15857</v>
      </c>
      <c r="B3102" s="1" t="s">
        <v>16370</v>
      </c>
      <c r="C3102" s="3">
        <f>IF(B3102="","",SUMIFS('Factory Costs'!$C:$C,'Factory Costs'!$A:$A,"Blades",'Factory Costs'!$B:$B,B3102))</f>
        <v>34</v>
      </c>
    </row>
    <row r="3103" spans="1:3" x14ac:dyDescent="0.25">
      <c r="A3103" s="1" t="s">
        <v>15860</v>
      </c>
      <c r="B3103" s="1" t="s">
        <v>16372</v>
      </c>
      <c r="C3103" s="3">
        <f>IF(B3103="","",SUMIFS('Factory Costs'!$C:$C,'Factory Costs'!$A:$A,"Blades",'Factory Costs'!$B:$B,B3103))</f>
        <v>42</v>
      </c>
    </row>
    <row r="3104" spans="1:3" x14ac:dyDescent="0.25">
      <c r="A3104" s="1" t="s">
        <v>15863</v>
      </c>
      <c r="B3104" s="1" t="s">
        <v>16372</v>
      </c>
      <c r="C3104" s="3">
        <f>IF(B3104="","",SUMIFS('Factory Costs'!$C:$C,'Factory Costs'!$A:$A,"Blades",'Factory Costs'!$B:$B,B3104))</f>
        <v>42</v>
      </c>
    </row>
    <row r="3105" spans="1:3" x14ac:dyDescent="0.25">
      <c r="A3105" s="1" t="s">
        <v>15866</v>
      </c>
      <c r="B3105" s="1" t="s">
        <v>16370</v>
      </c>
      <c r="C3105" s="3">
        <f>IF(B3105="","",SUMIFS('Factory Costs'!$C:$C,'Factory Costs'!$A:$A,"Blades",'Factory Costs'!$B:$B,B3105))</f>
        <v>34</v>
      </c>
    </row>
    <row r="3106" spans="1:3" x14ac:dyDescent="0.25">
      <c r="A3106" s="1" t="s">
        <v>15869</v>
      </c>
      <c r="B3106" s="1" t="s">
        <v>16371</v>
      </c>
      <c r="C3106" s="3">
        <f>IF(B3106="","",SUMIFS('Factory Costs'!$C:$C,'Factory Costs'!$A:$A,"Blades",'Factory Costs'!$B:$B,B3106))</f>
        <v>37</v>
      </c>
    </row>
    <row r="3107" spans="1:3" x14ac:dyDescent="0.25">
      <c r="A3107" s="1" t="s">
        <v>15872</v>
      </c>
      <c r="B3107" s="1" t="s">
        <v>16370</v>
      </c>
      <c r="C3107" s="3">
        <f>IF(B3107="","",SUMIFS('Factory Costs'!$C:$C,'Factory Costs'!$A:$A,"Blades",'Factory Costs'!$B:$B,B3107))</f>
        <v>34</v>
      </c>
    </row>
    <row r="3108" spans="1:3" x14ac:dyDescent="0.25">
      <c r="A3108" s="1" t="s">
        <v>15875</v>
      </c>
      <c r="B3108" s="1" t="s">
        <v>16372</v>
      </c>
      <c r="C3108" s="3">
        <f>IF(B3108="","",SUMIFS('Factory Costs'!$C:$C,'Factory Costs'!$A:$A,"Blades",'Factory Costs'!$B:$B,B3108))</f>
        <v>42</v>
      </c>
    </row>
    <row r="3109" spans="1:3" x14ac:dyDescent="0.25">
      <c r="A3109" s="1" t="s">
        <v>15878</v>
      </c>
      <c r="B3109" s="1" t="s">
        <v>16370</v>
      </c>
      <c r="C3109" s="3">
        <f>IF(B3109="","",SUMIFS('Factory Costs'!$C:$C,'Factory Costs'!$A:$A,"Blades",'Factory Costs'!$B:$B,B3109))</f>
        <v>34</v>
      </c>
    </row>
    <row r="3110" spans="1:3" x14ac:dyDescent="0.25">
      <c r="A3110" s="1" t="s">
        <v>15881</v>
      </c>
      <c r="B3110" s="1" t="s">
        <v>16371</v>
      </c>
      <c r="C3110" s="3">
        <f>IF(B3110="","",SUMIFS('Factory Costs'!$C:$C,'Factory Costs'!$A:$A,"Blades",'Factory Costs'!$B:$B,B3110))</f>
        <v>37</v>
      </c>
    </row>
    <row r="3111" spans="1:3" x14ac:dyDescent="0.25">
      <c r="A3111" s="1" t="s">
        <v>15884</v>
      </c>
      <c r="B3111" s="1" t="s">
        <v>16372</v>
      </c>
      <c r="C3111" s="3">
        <f>IF(B3111="","",SUMIFS('Factory Costs'!$C:$C,'Factory Costs'!$A:$A,"Blades",'Factory Costs'!$B:$B,B3111))</f>
        <v>42</v>
      </c>
    </row>
    <row r="3112" spans="1:3" x14ac:dyDescent="0.25">
      <c r="A3112" s="1" t="s">
        <v>15887</v>
      </c>
      <c r="B3112" s="1" t="s">
        <v>16370</v>
      </c>
      <c r="C3112" s="3">
        <f>IF(B3112="","",SUMIFS('Factory Costs'!$C:$C,'Factory Costs'!$A:$A,"Blades",'Factory Costs'!$B:$B,B3112))</f>
        <v>34</v>
      </c>
    </row>
    <row r="3113" spans="1:3" x14ac:dyDescent="0.25">
      <c r="A3113" s="1" t="s">
        <v>15890</v>
      </c>
      <c r="B3113" s="1" t="s">
        <v>16372</v>
      </c>
      <c r="C3113" s="3">
        <f>IF(B3113="","",SUMIFS('Factory Costs'!$C:$C,'Factory Costs'!$A:$A,"Blades",'Factory Costs'!$B:$B,B3113))</f>
        <v>42</v>
      </c>
    </row>
    <row r="3114" spans="1:3" x14ac:dyDescent="0.25">
      <c r="A3114" s="1" t="s">
        <v>15893</v>
      </c>
      <c r="B3114" s="1" t="s">
        <v>16371</v>
      </c>
      <c r="C3114" s="3">
        <f>IF(B3114="","",SUMIFS('Factory Costs'!$C:$C,'Factory Costs'!$A:$A,"Blades",'Factory Costs'!$B:$B,B3114))</f>
        <v>37</v>
      </c>
    </row>
    <row r="3115" spans="1:3" x14ac:dyDescent="0.25">
      <c r="A3115" s="1" t="s">
        <v>15896</v>
      </c>
      <c r="B3115" s="1" t="s">
        <v>16371</v>
      </c>
      <c r="C3115" s="3">
        <f>IF(B3115="","",SUMIFS('Factory Costs'!$C:$C,'Factory Costs'!$A:$A,"Blades",'Factory Costs'!$B:$B,B3115))</f>
        <v>37</v>
      </c>
    </row>
    <row r="3116" spans="1:3" x14ac:dyDescent="0.25">
      <c r="A3116" s="1" t="s">
        <v>15899</v>
      </c>
      <c r="B3116" s="1" t="s">
        <v>16371</v>
      </c>
      <c r="C3116" s="3">
        <f>IF(B3116="","",SUMIFS('Factory Costs'!$C:$C,'Factory Costs'!$A:$A,"Blades",'Factory Costs'!$B:$B,B3116))</f>
        <v>37</v>
      </c>
    </row>
    <row r="3117" spans="1:3" x14ac:dyDescent="0.25">
      <c r="A3117" s="1" t="s">
        <v>15902</v>
      </c>
      <c r="B3117" s="1" t="s">
        <v>16372</v>
      </c>
      <c r="C3117" s="3">
        <f>IF(B3117="","",SUMIFS('Factory Costs'!$C:$C,'Factory Costs'!$A:$A,"Blades",'Factory Costs'!$B:$B,B3117))</f>
        <v>42</v>
      </c>
    </row>
    <row r="3118" spans="1:3" x14ac:dyDescent="0.25">
      <c r="A3118" s="1" t="s">
        <v>15905</v>
      </c>
      <c r="B3118" s="1" t="s">
        <v>16370</v>
      </c>
      <c r="C3118" s="3">
        <f>IF(B3118="","",SUMIFS('Factory Costs'!$C:$C,'Factory Costs'!$A:$A,"Blades",'Factory Costs'!$B:$B,B3118))</f>
        <v>34</v>
      </c>
    </row>
    <row r="3119" spans="1:3" x14ac:dyDescent="0.25">
      <c r="A3119" s="1" t="s">
        <v>15908</v>
      </c>
      <c r="B3119" s="1" t="s">
        <v>16370</v>
      </c>
      <c r="C3119" s="3">
        <f>IF(B3119="","",SUMIFS('Factory Costs'!$C:$C,'Factory Costs'!$A:$A,"Blades",'Factory Costs'!$B:$B,B3119))</f>
        <v>34</v>
      </c>
    </row>
    <row r="3120" spans="1:3" x14ac:dyDescent="0.25">
      <c r="A3120" s="1" t="s">
        <v>15911</v>
      </c>
      <c r="B3120" s="1" t="s">
        <v>16370</v>
      </c>
      <c r="C3120" s="3">
        <f>IF(B3120="","",SUMIFS('Factory Costs'!$C:$C,'Factory Costs'!$A:$A,"Blades",'Factory Costs'!$B:$B,B3120))</f>
        <v>34</v>
      </c>
    </row>
    <row r="3121" spans="1:3" x14ac:dyDescent="0.25">
      <c r="A3121" s="1" t="s">
        <v>15914</v>
      </c>
      <c r="B3121" s="1" t="s">
        <v>16370</v>
      </c>
      <c r="C3121" s="3">
        <f>IF(B3121="","",SUMIFS('Factory Costs'!$C:$C,'Factory Costs'!$A:$A,"Blades",'Factory Costs'!$B:$B,B3121))</f>
        <v>34</v>
      </c>
    </row>
    <row r="3122" spans="1:3" x14ac:dyDescent="0.25">
      <c r="A3122" s="1" t="s">
        <v>15917</v>
      </c>
      <c r="B3122" s="1" t="s">
        <v>16370</v>
      </c>
      <c r="C3122" s="3">
        <f>IF(B3122="","",SUMIFS('Factory Costs'!$C:$C,'Factory Costs'!$A:$A,"Blades",'Factory Costs'!$B:$B,B3122))</f>
        <v>34</v>
      </c>
    </row>
    <row r="3123" spans="1:3" x14ac:dyDescent="0.25">
      <c r="A3123" s="1" t="s">
        <v>15920</v>
      </c>
      <c r="B3123" s="1" t="s">
        <v>16372</v>
      </c>
      <c r="C3123" s="3">
        <f>IF(B3123="","",SUMIFS('Factory Costs'!$C:$C,'Factory Costs'!$A:$A,"Blades",'Factory Costs'!$B:$B,B3123))</f>
        <v>42</v>
      </c>
    </row>
    <row r="3124" spans="1:3" x14ac:dyDescent="0.25">
      <c r="A3124" s="1" t="s">
        <v>15923</v>
      </c>
      <c r="B3124" s="1" t="s">
        <v>16370</v>
      </c>
      <c r="C3124" s="3">
        <f>IF(B3124="","",SUMIFS('Factory Costs'!$C:$C,'Factory Costs'!$A:$A,"Blades",'Factory Costs'!$B:$B,B3124))</f>
        <v>34</v>
      </c>
    </row>
    <row r="3125" spans="1:3" x14ac:dyDescent="0.25">
      <c r="A3125" s="1" t="s">
        <v>15926</v>
      </c>
      <c r="B3125" s="1" t="s">
        <v>16370</v>
      </c>
      <c r="C3125" s="3">
        <f>IF(B3125="","",SUMIFS('Factory Costs'!$C:$C,'Factory Costs'!$A:$A,"Blades",'Factory Costs'!$B:$B,B3125))</f>
        <v>34</v>
      </c>
    </row>
    <row r="3126" spans="1:3" x14ac:dyDescent="0.25">
      <c r="A3126" s="1" t="s">
        <v>15929</v>
      </c>
      <c r="B3126" s="1" t="s">
        <v>16370</v>
      </c>
      <c r="C3126" s="3">
        <f>IF(B3126="","",SUMIFS('Factory Costs'!$C:$C,'Factory Costs'!$A:$A,"Blades",'Factory Costs'!$B:$B,B3126))</f>
        <v>34</v>
      </c>
    </row>
    <row r="3127" spans="1:3" x14ac:dyDescent="0.25">
      <c r="A3127" s="1" t="s">
        <v>15932</v>
      </c>
      <c r="B3127" s="1" t="s">
        <v>16371</v>
      </c>
      <c r="C3127" s="3">
        <f>IF(B3127="","",SUMIFS('Factory Costs'!$C:$C,'Factory Costs'!$A:$A,"Blades",'Factory Costs'!$B:$B,B3127))</f>
        <v>37</v>
      </c>
    </row>
    <row r="3128" spans="1:3" x14ac:dyDescent="0.25">
      <c r="A3128" s="1" t="s">
        <v>15935</v>
      </c>
      <c r="B3128" s="1" t="s">
        <v>16371</v>
      </c>
      <c r="C3128" s="3">
        <f>IF(B3128="","",SUMIFS('Factory Costs'!$C:$C,'Factory Costs'!$A:$A,"Blades",'Factory Costs'!$B:$B,B3128))</f>
        <v>37</v>
      </c>
    </row>
    <row r="3129" spans="1:3" x14ac:dyDescent="0.25">
      <c r="A3129" s="1" t="s">
        <v>15938</v>
      </c>
      <c r="B3129" s="1" t="s">
        <v>16371</v>
      </c>
      <c r="C3129" s="3">
        <f>IF(B3129="","",SUMIFS('Factory Costs'!$C:$C,'Factory Costs'!$A:$A,"Blades",'Factory Costs'!$B:$B,B3129))</f>
        <v>37</v>
      </c>
    </row>
    <row r="3130" spans="1:3" x14ac:dyDescent="0.25">
      <c r="A3130" s="1" t="s">
        <v>15941</v>
      </c>
      <c r="B3130" s="1" t="s">
        <v>16370</v>
      </c>
      <c r="C3130" s="3">
        <f>IF(B3130="","",SUMIFS('Factory Costs'!$C:$C,'Factory Costs'!$A:$A,"Blades",'Factory Costs'!$B:$B,B3130))</f>
        <v>34</v>
      </c>
    </row>
    <row r="3131" spans="1:3" x14ac:dyDescent="0.25">
      <c r="A3131" s="1" t="s">
        <v>15944</v>
      </c>
      <c r="B3131" s="1" t="s">
        <v>16372</v>
      </c>
      <c r="C3131" s="3">
        <f>IF(B3131="","",SUMIFS('Factory Costs'!$C:$C,'Factory Costs'!$A:$A,"Blades",'Factory Costs'!$B:$B,B3131))</f>
        <v>42</v>
      </c>
    </row>
    <row r="3132" spans="1:3" x14ac:dyDescent="0.25">
      <c r="A3132" s="1" t="s">
        <v>15947</v>
      </c>
      <c r="B3132" s="1" t="s">
        <v>16371</v>
      </c>
      <c r="C3132" s="3">
        <f>IF(B3132="","",SUMIFS('Factory Costs'!$C:$C,'Factory Costs'!$A:$A,"Blades",'Factory Costs'!$B:$B,B3132))</f>
        <v>37</v>
      </c>
    </row>
    <row r="3133" spans="1:3" x14ac:dyDescent="0.25">
      <c r="A3133" s="1" t="s">
        <v>15950</v>
      </c>
      <c r="B3133" s="1" t="s">
        <v>16370</v>
      </c>
      <c r="C3133" s="3">
        <f>IF(B3133="","",SUMIFS('Factory Costs'!$C:$C,'Factory Costs'!$A:$A,"Blades",'Factory Costs'!$B:$B,B3133))</f>
        <v>34</v>
      </c>
    </row>
    <row r="3134" spans="1:3" x14ac:dyDescent="0.25">
      <c r="A3134" s="1" t="s">
        <v>15953</v>
      </c>
      <c r="B3134" s="1" t="s">
        <v>16371</v>
      </c>
      <c r="C3134" s="3">
        <f>IF(B3134="","",SUMIFS('Factory Costs'!$C:$C,'Factory Costs'!$A:$A,"Blades",'Factory Costs'!$B:$B,B3134))</f>
        <v>37</v>
      </c>
    </row>
    <row r="3135" spans="1:3" x14ac:dyDescent="0.25">
      <c r="A3135" s="1" t="s">
        <v>15956</v>
      </c>
      <c r="B3135" s="1" t="s">
        <v>16371</v>
      </c>
      <c r="C3135" s="3">
        <f>IF(B3135="","",SUMIFS('Factory Costs'!$C:$C,'Factory Costs'!$A:$A,"Blades",'Factory Costs'!$B:$B,B3135))</f>
        <v>37</v>
      </c>
    </row>
    <row r="3136" spans="1:3" x14ac:dyDescent="0.25">
      <c r="A3136" s="1" t="s">
        <v>15959</v>
      </c>
      <c r="B3136" s="1" t="s">
        <v>16370</v>
      </c>
      <c r="C3136" s="3">
        <f>IF(B3136="","",SUMIFS('Factory Costs'!$C:$C,'Factory Costs'!$A:$A,"Blades",'Factory Costs'!$B:$B,B3136))</f>
        <v>34</v>
      </c>
    </row>
    <row r="3137" spans="1:3" x14ac:dyDescent="0.25">
      <c r="A3137" s="1" t="s">
        <v>15962</v>
      </c>
      <c r="B3137" s="1" t="s">
        <v>16370</v>
      </c>
      <c r="C3137" s="3">
        <f>IF(B3137="","",SUMIFS('Factory Costs'!$C:$C,'Factory Costs'!$A:$A,"Blades",'Factory Costs'!$B:$B,B3137))</f>
        <v>34</v>
      </c>
    </row>
    <row r="3138" spans="1:3" x14ac:dyDescent="0.25">
      <c r="A3138" s="1" t="s">
        <v>15965</v>
      </c>
      <c r="B3138" s="1" t="s">
        <v>16370</v>
      </c>
      <c r="C3138" s="3">
        <f>IF(B3138="","",SUMIFS('Factory Costs'!$C:$C,'Factory Costs'!$A:$A,"Blades",'Factory Costs'!$B:$B,B3138))</f>
        <v>34</v>
      </c>
    </row>
    <row r="3139" spans="1:3" x14ac:dyDescent="0.25">
      <c r="A3139" s="1" t="s">
        <v>15968</v>
      </c>
      <c r="B3139" s="1" t="s">
        <v>16370</v>
      </c>
      <c r="C3139" s="3">
        <f>IF(B3139="","",SUMIFS('Factory Costs'!$C:$C,'Factory Costs'!$A:$A,"Blades",'Factory Costs'!$B:$B,B3139))</f>
        <v>34</v>
      </c>
    </row>
    <row r="3140" spans="1:3" x14ac:dyDescent="0.25">
      <c r="A3140" s="1" t="s">
        <v>15971</v>
      </c>
      <c r="B3140" s="1" t="s">
        <v>16370</v>
      </c>
      <c r="C3140" s="3">
        <f>IF(B3140="","",SUMIFS('Factory Costs'!$C:$C,'Factory Costs'!$A:$A,"Blades",'Factory Costs'!$B:$B,B3140))</f>
        <v>34</v>
      </c>
    </row>
    <row r="3141" spans="1:3" x14ac:dyDescent="0.25">
      <c r="A3141" s="1" t="s">
        <v>15974</v>
      </c>
      <c r="B3141" s="1" t="s">
        <v>16372</v>
      </c>
      <c r="C3141" s="3">
        <f>IF(B3141="","",SUMIFS('Factory Costs'!$C:$C,'Factory Costs'!$A:$A,"Blades",'Factory Costs'!$B:$B,B3141))</f>
        <v>42</v>
      </c>
    </row>
    <row r="3142" spans="1:3" x14ac:dyDescent="0.25">
      <c r="A3142" s="1" t="s">
        <v>15977</v>
      </c>
      <c r="B3142" s="1" t="s">
        <v>16370</v>
      </c>
      <c r="C3142" s="3">
        <f>IF(B3142="","",SUMIFS('Factory Costs'!$C:$C,'Factory Costs'!$A:$A,"Blades",'Factory Costs'!$B:$B,B3142))</f>
        <v>34</v>
      </c>
    </row>
    <row r="3143" spans="1:3" x14ac:dyDescent="0.25">
      <c r="A3143" s="1" t="s">
        <v>15980</v>
      </c>
      <c r="B3143" s="1" t="s">
        <v>16371</v>
      </c>
      <c r="C3143" s="3">
        <f>IF(B3143="","",SUMIFS('Factory Costs'!$C:$C,'Factory Costs'!$A:$A,"Blades",'Factory Costs'!$B:$B,B3143))</f>
        <v>37</v>
      </c>
    </row>
    <row r="3144" spans="1:3" x14ac:dyDescent="0.25">
      <c r="A3144" s="1" t="s">
        <v>15983</v>
      </c>
      <c r="B3144" s="1" t="s">
        <v>16370</v>
      </c>
      <c r="C3144" s="3">
        <f>IF(B3144="","",SUMIFS('Factory Costs'!$C:$C,'Factory Costs'!$A:$A,"Blades",'Factory Costs'!$B:$B,B3144))</f>
        <v>34</v>
      </c>
    </row>
    <row r="3145" spans="1:3" x14ac:dyDescent="0.25">
      <c r="A3145" s="1" t="s">
        <v>15986</v>
      </c>
      <c r="B3145" s="1" t="s">
        <v>16371</v>
      </c>
      <c r="C3145" s="3">
        <f>IF(B3145="","",SUMIFS('Factory Costs'!$C:$C,'Factory Costs'!$A:$A,"Blades",'Factory Costs'!$B:$B,B3145))</f>
        <v>37</v>
      </c>
    </row>
    <row r="3146" spans="1:3" x14ac:dyDescent="0.25">
      <c r="A3146" s="1" t="s">
        <v>15989</v>
      </c>
      <c r="B3146" s="1" t="s">
        <v>16370</v>
      </c>
      <c r="C3146" s="3">
        <f>IF(B3146="","",SUMIFS('Factory Costs'!$C:$C,'Factory Costs'!$A:$A,"Blades",'Factory Costs'!$B:$B,B3146))</f>
        <v>34</v>
      </c>
    </row>
    <row r="3147" spans="1:3" x14ac:dyDescent="0.25">
      <c r="A3147" s="1" t="s">
        <v>15992</v>
      </c>
      <c r="B3147" s="1" t="s">
        <v>16372</v>
      </c>
      <c r="C3147" s="3">
        <f>IF(B3147="","",SUMIFS('Factory Costs'!$C:$C,'Factory Costs'!$A:$A,"Blades",'Factory Costs'!$B:$B,B3147))</f>
        <v>42</v>
      </c>
    </row>
    <row r="3148" spans="1:3" x14ac:dyDescent="0.25">
      <c r="A3148" s="1" t="s">
        <v>15995</v>
      </c>
      <c r="B3148" s="1" t="s">
        <v>16371</v>
      </c>
      <c r="C3148" s="3">
        <f>IF(B3148="","",SUMIFS('Factory Costs'!$C:$C,'Factory Costs'!$A:$A,"Blades",'Factory Costs'!$B:$B,B3148))</f>
        <v>37</v>
      </c>
    </row>
    <row r="3149" spans="1:3" x14ac:dyDescent="0.25">
      <c r="A3149" s="1" t="s">
        <v>15998</v>
      </c>
      <c r="B3149" s="1" t="s">
        <v>16371</v>
      </c>
      <c r="C3149" s="3">
        <f>IF(B3149="","",SUMIFS('Factory Costs'!$C:$C,'Factory Costs'!$A:$A,"Blades",'Factory Costs'!$B:$B,B3149))</f>
        <v>37</v>
      </c>
    </row>
    <row r="3150" spans="1:3" x14ac:dyDescent="0.25">
      <c r="A3150" s="1" t="s">
        <v>16001</v>
      </c>
      <c r="B3150" s="1" t="s">
        <v>16370</v>
      </c>
      <c r="C3150" s="3">
        <f>IF(B3150="","",SUMIFS('Factory Costs'!$C:$C,'Factory Costs'!$A:$A,"Blades",'Factory Costs'!$B:$B,B3150))</f>
        <v>34</v>
      </c>
    </row>
    <row r="3151" spans="1:3" x14ac:dyDescent="0.25">
      <c r="A3151" s="1" t="s">
        <v>16004</v>
      </c>
      <c r="B3151" s="1" t="s">
        <v>16370</v>
      </c>
      <c r="C3151" s="3">
        <f>IF(B3151="","",SUMIFS('Factory Costs'!$C:$C,'Factory Costs'!$A:$A,"Blades",'Factory Costs'!$B:$B,B3151))</f>
        <v>34</v>
      </c>
    </row>
    <row r="3152" spans="1:3" x14ac:dyDescent="0.25">
      <c r="A3152" s="1" t="s">
        <v>16007</v>
      </c>
      <c r="B3152" s="1" t="s">
        <v>16370</v>
      </c>
      <c r="C3152" s="3">
        <f>IF(B3152="","",SUMIFS('Factory Costs'!$C:$C,'Factory Costs'!$A:$A,"Blades",'Factory Costs'!$B:$B,B3152))</f>
        <v>34</v>
      </c>
    </row>
    <row r="3153" spans="1:3" x14ac:dyDescent="0.25">
      <c r="A3153" s="1" t="s">
        <v>16010</v>
      </c>
      <c r="B3153" s="1" t="s">
        <v>16370</v>
      </c>
      <c r="C3153" s="3">
        <f>IF(B3153="","",SUMIFS('Factory Costs'!$C:$C,'Factory Costs'!$A:$A,"Blades",'Factory Costs'!$B:$B,B3153))</f>
        <v>34</v>
      </c>
    </row>
    <row r="3154" spans="1:3" x14ac:dyDescent="0.25">
      <c r="A3154" s="1" t="s">
        <v>16013</v>
      </c>
      <c r="B3154" s="1" t="s">
        <v>16370</v>
      </c>
      <c r="C3154" s="3">
        <f>IF(B3154="","",SUMIFS('Factory Costs'!$C:$C,'Factory Costs'!$A:$A,"Blades",'Factory Costs'!$B:$B,B3154))</f>
        <v>34</v>
      </c>
    </row>
    <row r="3155" spans="1:3" x14ac:dyDescent="0.25">
      <c r="A3155" s="1" t="s">
        <v>16016</v>
      </c>
      <c r="B3155" s="1" t="s">
        <v>16370</v>
      </c>
      <c r="C3155" s="3">
        <f>IF(B3155="","",SUMIFS('Factory Costs'!$C:$C,'Factory Costs'!$A:$A,"Blades",'Factory Costs'!$B:$B,B3155))</f>
        <v>34</v>
      </c>
    </row>
    <row r="3156" spans="1:3" x14ac:dyDescent="0.25">
      <c r="A3156" s="1" t="s">
        <v>16019</v>
      </c>
      <c r="B3156" s="1" t="s">
        <v>16371</v>
      </c>
      <c r="C3156" s="3">
        <f>IF(B3156="","",SUMIFS('Factory Costs'!$C:$C,'Factory Costs'!$A:$A,"Blades",'Factory Costs'!$B:$B,B3156))</f>
        <v>37</v>
      </c>
    </row>
    <row r="3157" spans="1:3" x14ac:dyDescent="0.25">
      <c r="A3157" s="1" t="s">
        <v>16022</v>
      </c>
      <c r="B3157" s="1" t="s">
        <v>16370</v>
      </c>
      <c r="C3157" s="3">
        <f>IF(B3157="","",SUMIFS('Factory Costs'!$C:$C,'Factory Costs'!$A:$A,"Blades",'Factory Costs'!$B:$B,B3157))</f>
        <v>34</v>
      </c>
    </row>
    <row r="3158" spans="1:3" x14ac:dyDescent="0.25">
      <c r="A3158" s="1" t="s">
        <v>16025</v>
      </c>
      <c r="B3158" s="1" t="s">
        <v>16371</v>
      </c>
      <c r="C3158" s="3">
        <f>IF(B3158="","",SUMIFS('Factory Costs'!$C:$C,'Factory Costs'!$A:$A,"Blades",'Factory Costs'!$B:$B,B3158))</f>
        <v>37</v>
      </c>
    </row>
    <row r="3159" spans="1:3" x14ac:dyDescent="0.25">
      <c r="A3159" s="1" t="s">
        <v>16028</v>
      </c>
      <c r="B3159" s="1" t="s">
        <v>16370</v>
      </c>
      <c r="C3159" s="3">
        <f>IF(B3159="","",SUMIFS('Factory Costs'!$C:$C,'Factory Costs'!$A:$A,"Blades",'Factory Costs'!$B:$B,B3159))</f>
        <v>34</v>
      </c>
    </row>
    <row r="3160" spans="1:3" x14ac:dyDescent="0.25">
      <c r="A3160" s="1" t="s">
        <v>16031</v>
      </c>
      <c r="B3160" s="1" t="s">
        <v>16370</v>
      </c>
      <c r="C3160" s="3">
        <f>IF(B3160="","",SUMIFS('Factory Costs'!$C:$C,'Factory Costs'!$A:$A,"Blades",'Factory Costs'!$B:$B,B3160))</f>
        <v>34</v>
      </c>
    </row>
    <row r="3161" spans="1:3" x14ac:dyDescent="0.25">
      <c r="A3161" s="1" t="s">
        <v>16034</v>
      </c>
      <c r="B3161" s="1" t="s">
        <v>16372</v>
      </c>
      <c r="C3161" s="3">
        <f>IF(B3161="","",SUMIFS('Factory Costs'!$C:$C,'Factory Costs'!$A:$A,"Blades",'Factory Costs'!$B:$B,B3161))</f>
        <v>42</v>
      </c>
    </row>
    <row r="3162" spans="1:3" x14ac:dyDescent="0.25">
      <c r="A3162" s="1" t="s">
        <v>16037</v>
      </c>
      <c r="B3162" s="1" t="s">
        <v>16371</v>
      </c>
      <c r="C3162" s="3">
        <f>IF(B3162="","",SUMIFS('Factory Costs'!$C:$C,'Factory Costs'!$A:$A,"Blades",'Factory Costs'!$B:$B,B3162))</f>
        <v>37</v>
      </c>
    </row>
    <row r="3163" spans="1:3" x14ac:dyDescent="0.25">
      <c r="A3163" s="1" t="s">
        <v>16040</v>
      </c>
      <c r="B3163" s="1" t="s">
        <v>16372</v>
      </c>
      <c r="C3163" s="3">
        <f>IF(B3163="","",SUMIFS('Factory Costs'!$C:$C,'Factory Costs'!$A:$A,"Blades",'Factory Costs'!$B:$B,B3163))</f>
        <v>42</v>
      </c>
    </row>
    <row r="3164" spans="1:3" x14ac:dyDescent="0.25">
      <c r="A3164" s="1" t="s">
        <v>16043</v>
      </c>
      <c r="B3164" s="1" t="s">
        <v>16370</v>
      </c>
      <c r="C3164" s="3">
        <f>IF(B3164="","",SUMIFS('Factory Costs'!$C:$C,'Factory Costs'!$A:$A,"Blades",'Factory Costs'!$B:$B,B3164))</f>
        <v>34</v>
      </c>
    </row>
    <row r="3165" spans="1:3" x14ac:dyDescent="0.25">
      <c r="A3165" s="1" t="s">
        <v>16046</v>
      </c>
      <c r="B3165" s="1" t="s">
        <v>16371</v>
      </c>
      <c r="C3165" s="3">
        <f>IF(B3165="","",SUMIFS('Factory Costs'!$C:$C,'Factory Costs'!$A:$A,"Blades",'Factory Costs'!$B:$B,B3165))</f>
        <v>37</v>
      </c>
    </row>
    <row r="3166" spans="1:3" x14ac:dyDescent="0.25">
      <c r="A3166" s="1" t="s">
        <v>16049</v>
      </c>
      <c r="B3166" s="1" t="s">
        <v>16371</v>
      </c>
      <c r="C3166" s="3">
        <f>IF(B3166="","",SUMIFS('Factory Costs'!$C:$C,'Factory Costs'!$A:$A,"Blades",'Factory Costs'!$B:$B,B3166))</f>
        <v>37</v>
      </c>
    </row>
    <row r="3167" spans="1:3" x14ac:dyDescent="0.25">
      <c r="A3167" s="1" t="s">
        <v>16052</v>
      </c>
      <c r="B3167" s="1" t="s">
        <v>16370</v>
      </c>
      <c r="C3167" s="3">
        <f>IF(B3167="","",SUMIFS('Factory Costs'!$C:$C,'Factory Costs'!$A:$A,"Blades",'Factory Costs'!$B:$B,B3167))</f>
        <v>34</v>
      </c>
    </row>
    <row r="3168" spans="1:3" x14ac:dyDescent="0.25">
      <c r="A3168" s="1" t="s">
        <v>16055</v>
      </c>
      <c r="B3168" s="1" t="s">
        <v>16372</v>
      </c>
      <c r="C3168" s="3">
        <f>IF(B3168="","",SUMIFS('Factory Costs'!$C:$C,'Factory Costs'!$A:$A,"Blades",'Factory Costs'!$B:$B,B3168))</f>
        <v>42</v>
      </c>
    </row>
    <row r="3169" spans="1:3" x14ac:dyDescent="0.25">
      <c r="A3169" s="1" t="s">
        <v>16058</v>
      </c>
      <c r="B3169" s="1" t="s">
        <v>16370</v>
      </c>
      <c r="C3169" s="3">
        <f>IF(B3169="","",SUMIFS('Factory Costs'!$C:$C,'Factory Costs'!$A:$A,"Blades",'Factory Costs'!$B:$B,B3169))</f>
        <v>34</v>
      </c>
    </row>
    <row r="3170" spans="1:3" x14ac:dyDescent="0.25">
      <c r="A3170" s="1" t="s">
        <v>16061</v>
      </c>
      <c r="B3170" s="1" t="s">
        <v>16372</v>
      </c>
      <c r="C3170" s="3">
        <f>IF(B3170="","",SUMIFS('Factory Costs'!$C:$C,'Factory Costs'!$A:$A,"Blades",'Factory Costs'!$B:$B,B3170))</f>
        <v>42</v>
      </c>
    </row>
    <row r="3171" spans="1:3" x14ac:dyDescent="0.25">
      <c r="A3171" s="1" t="s">
        <v>16064</v>
      </c>
      <c r="B3171" s="1" t="s">
        <v>16371</v>
      </c>
      <c r="C3171" s="3">
        <f>IF(B3171="","",SUMIFS('Factory Costs'!$C:$C,'Factory Costs'!$A:$A,"Blades",'Factory Costs'!$B:$B,B3171))</f>
        <v>37</v>
      </c>
    </row>
    <row r="3172" spans="1:3" x14ac:dyDescent="0.25">
      <c r="A3172" s="1" t="s">
        <v>16067</v>
      </c>
      <c r="B3172" s="1" t="s">
        <v>16370</v>
      </c>
      <c r="C3172" s="3">
        <f>IF(B3172="","",SUMIFS('Factory Costs'!$C:$C,'Factory Costs'!$A:$A,"Blades",'Factory Costs'!$B:$B,B3172))</f>
        <v>34</v>
      </c>
    </row>
    <row r="3173" spans="1:3" x14ac:dyDescent="0.25">
      <c r="A3173" s="1" t="s">
        <v>16070</v>
      </c>
      <c r="B3173" s="1" t="s">
        <v>16372</v>
      </c>
      <c r="C3173" s="3">
        <f>IF(B3173="","",SUMIFS('Factory Costs'!$C:$C,'Factory Costs'!$A:$A,"Blades",'Factory Costs'!$B:$B,B3173))</f>
        <v>42</v>
      </c>
    </row>
    <row r="3174" spans="1:3" x14ac:dyDescent="0.25">
      <c r="A3174" s="1" t="s">
        <v>16073</v>
      </c>
      <c r="B3174" s="1" t="s">
        <v>16371</v>
      </c>
      <c r="C3174" s="3">
        <f>IF(B3174="","",SUMIFS('Factory Costs'!$C:$C,'Factory Costs'!$A:$A,"Blades",'Factory Costs'!$B:$B,B3174))</f>
        <v>37</v>
      </c>
    </row>
    <row r="3175" spans="1:3" x14ac:dyDescent="0.25">
      <c r="A3175" s="1" t="s">
        <v>16076</v>
      </c>
      <c r="B3175" s="1" t="s">
        <v>16370</v>
      </c>
      <c r="C3175" s="3">
        <f>IF(B3175="","",SUMIFS('Factory Costs'!$C:$C,'Factory Costs'!$A:$A,"Blades",'Factory Costs'!$B:$B,B3175))</f>
        <v>34</v>
      </c>
    </row>
    <row r="3176" spans="1:3" x14ac:dyDescent="0.25">
      <c r="A3176" s="1" t="s">
        <v>16079</v>
      </c>
      <c r="B3176" s="1" t="s">
        <v>16370</v>
      </c>
      <c r="C3176" s="3">
        <f>IF(B3176="","",SUMIFS('Factory Costs'!$C:$C,'Factory Costs'!$A:$A,"Blades",'Factory Costs'!$B:$B,B3176))</f>
        <v>34</v>
      </c>
    </row>
    <row r="3177" spans="1:3" x14ac:dyDescent="0.25">
      <c r="A3177" s="1" t="s">
        <v>16082</v>
      </c>
      <c r="B3177" s="1" t="s">
        <v>16372</v>
      </c>
      <c r="C3177" s="3">
        <f>IF(B3177="","",SUMIFS('Factory Costs'!$C:$C,'Factory Costs'!$A:$A,"Blades",'Factory Costs'!$B:$B,B3177))</f>
        <v>42</v>
      </c>
    </row>
    <row r="3178" spans="1:3" x14ac:dyDescent="0.25">
      <c r="A3178" s="1" t="s">
        <v>16085</v>
      </c>
      <c r="B3178" s="1" t="s">
        <v>16372</v>
      </c>
      <c r="C3178" s="3">
        <f>IF(B3178="","",SUMIFS('Factory Costs'!$C:$C,'Factory Costs'!$A:$A,"Blades",'Factory Costs'!$B:$B,B3178))</f>
        <v>42</v>
      </c>
    </row>
    <row r="3179" spans="1:3" x14ac:dyDescent="0.25">
      <c r="A3179" s="1" t="s">
        <v>16088</v>
      </c>
      <c r="B3179" s="1" t="s">
        <v>16371</v>
      </c>
      <c r="C3179" s="3">
        <f>IF(B3179="","",SUMIFS('Factory Costs'!$C:$C,'Factory Costs'!$A:$A,"Blades",'Factory Costs'!$B:$B,B3179))</f>
        <v>37</v>
      </c>
    </row>
    <row r="3180" spans="1:3" x14ac:dyDescent="0.25">
      <c r="A3180" s="1" t="s">
        <v>16091</v>
      </c>
      <c r="B3180" s="1" t="s">
        <v>16371</v>
      </c>
      <c r="C3180" s="3">
        <f>IF(B3180="","",SUMIFS('Factory Costs'!$C:$C,'Factory Costs'!$A:$A,"Blades",'Factory Costs'!$B:$B,B3180))</f>
        <v>37</v>
      </c>
    </row>
    <row r="3181" spans="1:3" x14ac:dyDescent="0.25">
      <c r="A3181" s="1" t="s">
        <v>16094</v>
      </c>
      <c r="B3181" s="1" t="s">
        <v>16371</v>
      </c>
      <c r="C3181" s="3">
        <f>IF(B3181="","",SUMIFS('Factory Costs'!$C:$C,'Factory Costs'!$A:$A,"Blades",'Factory Costs'!$B:$B,B3181))</f>
        <v>37</v>
      </c>
    </row>
    <row r="3182" spans="1:3" x14ac:dyDescent="0.25">
      <c r="A3182" s="1" t="s">
        <v>16097</v>
      </c>
      <c r="B3182" s="1" t="s">
        <v>16372</v>
      </c>
      <c r="C3182" s="3">
        <f>IF(B3182="","",SUMIFS('Factory Costs'!$C:$C,'Factory Costs'!$A:$A,"Blades",'Factory Costs'!$B:$B,B3182))</f>
        <v>42</v>
      </c>
    </row>
    <row r="3183" spans="1:3" x14ac:dyDescent="0.25">
      <c r="A3183" s="1" t="s">
        <v>16100</v>
      </c>
      <c r="B3183" s="1" t="s">
        <v>16372</v>
      </c>
      <c r="C3183" s="3">
        <f>IF(B3183="","",SUMIFS('Factory Costs'!$C:$C,'Factory Costs'!$A:$A,"Blades",'Factory Costs'!$B:$B,B3183))</f>
        <v>42</v>
      </c>
    </row>
    <row r="3184" spans="1:3" x14ac:dyDescent="0.25">
      <c r="A3184" s="1" t="s">
        <v>16103</v>
      </c>
      <c r="B3184" s="1" t="s">
        <v>16371</v>
      </c>
      <c r="C3184" s="3">
        <f>IF(B3184="","",SUMIFS('Factory Costs'!$C:$C,'Factory Costs'!$A:$A,"Blades",'Factory Costs'!$B:$B,B3184))</f>
        <v>37</v>
      </c>
    </row>
    <row r="3185" spans="1:3" x14ac:dyDescent="0.25">
      <c r="A3185" s="1" t="s">
        <v>16106</v>
      </c>
      <c r="B3185" s="1" t="s">
        <v>16372</v>
      </c>
      <c r="C3185" s="3">
        <f>IF(B3185="","",SUMIFS('Factory Costs'!$C:$C,'Factory Costs'!$A:$A,"Blades",'Factory Costs'!$B:$B,B3185))</f>
        <v>42</v>
      </c>
    </row>
    <row r="3186" spans="1:3" x14ac:dyDescent="0.25">
      <c r="A3186" s="1" t="s">
        <v>16109</v>
      </c>
      <c r="B3186" s="1" t="s">
        <v>16371</v>
      </c>
      <c r="C3186" s="3">
        <f>IF(B3186="","",SUMIFS('Factory Costs'!$C:$C,'Factory Costs'!$A:$A,"Blades",'Factory Costs'!$B:$B,B3186))</f>
        <v>37</v>
      </c>
    </row>
    <row r="3187" spans="1:3" x14ac:dyDescent="0.25">
      <c r="A3187" s="1" t="s">
        <v>16112</v>
      </c>
      <c r="B3187" s="1" t="s">
        <v>16371</v>
      </c>
      <c r="C3187" s="3">
        <f>IF(B3187="","",SUMIFS('Factory Costs'!$C:$C,'Factory Costs'!$A:$A,"Blades",'Factory Costs'!$B:$B,B3187))</f>
        <v>37</v>
      </c>
    </row>
    <row r="3188" spans="1:3" x14ac:dyDescent="0.25">
      <c r="A3188" s="1" t="s">
        <v>16115</v>
      </c>
      <c r="B3188" s="1" t="s">
        <v>16371</v>
      </c>
      <c r="C3188" s="3">
        <f>IF(B3188="","",SUMIFS('Factory Costs'!$C:$C,'Factory Costs'!$A:$A,"Blades",'Factory Costs'!$B:$B,B3188))</f>
        <v>37</v>
      </c>
    </row>
    <row r="3189" spans="1:3" x14ac:dyDescent="0.25">
      <c r="A3189" s="1" t="s">
        <v>16118</v>
      </c>
      <c r="B3189" s="1" t="s">
        <v>16371</v>
      </c>
      <c r="C3189" s="3">
        <f>IF(B3189="","",SUMIFS('Factory Costs'!$C:$C,'Factory Costs'!$A:$A,"Blades",'Factory Costs'!$B:$B,B3189))</f>
        <v>37</v>
      </c>
    </row>
    <row r="3190" spans="1:3" x14ac:dyDescent="0.25">
      <c r="A3190" s="1" t="s">
        <v>16121</v>
      </c>
      <c r="B3190" s="1" t="s">
        <v>16371</v>
      </c>
      <c r="C3190" s="3">
        <f>IF(B3190="","",SUMIFS('Factory Costs'!$C:$C,'Factory Costs'!$A:$A,"Blades",'Factory Costs'!$B:$B,B3190))</f>
        <v>37</v>
      </c>
    </row>
    <row r="3191" spans="1:3" x14ac:dyDescent="0.25">
      <c r="A3191" s="1" t="s">
        <v>16124</v>
      </c>
      <c r="B3191" s="1" t="s">
        <v>16371</v>
      </c>
      <c r="C3191" s="3">
        <f>IF(B3191="","",SUMIFS('Factory Costs'!$C:$C,'Factory Costs'!$A:$A,"Blades",'Factory Costs'!$B:$B,B3191))</f>
        <v>37</v>
      </c>
    </row>
    <row r="3192" spans="1:3" x14ac:dyDescent="0.25">
      <c r="A3192" s="1" t="s">
        <v>16127</v>
      </c>
      <c r="B3192" s="1" t="s">
        <v>16370</v>
      </c>
      <c r="C3192" s="3">
        <f>IF(B3192="","",SUMIFS('Factory Costs'!$C:$C,'Factory Costs'!$A:$A,"Blades",'Factory Costs'!$B:$B,B3192))</f>
        <v>34</v>
      </c>
    </row>
    <row r="3193" spans="1:3" x14ac:dyDescent="0.25">
      <c r="A3193" s="1" t="s">
        <v>16130</v>
      </c>
      <c r="B3193" s="1" t="s">
        <v>16371</v>
      </c>
      <c r="C3193" s="3">
        <f>IF(B3193="","",SUMIFS('Factory Costs'!$C:$C,'Factory Costs'!$A:$A,"Blades",'Factory Costs'!$B:$B,B3193))</f>
        <v>37</v>
      </c>
    </row>
    <row r="3194" spans="1:3" x14ac:dyDescent="0.25">
      <c r="A3194" s="1" t="s">
        <v>16133</v>
      </c>
      <c r="B3194" s="1" t="s">
        <v>16371</v>
      </c>
      <c r="C3194" s="3">
        <f>IF(B3194="","",SUMIFS('Factory Costs'!$C:$C,'Factory Costs'!$A:$A,"Blades",'Factory Costs'!$B:$B,B3194))</f>
        <v>37</v>
      </c>
    </row>
    <row r="3195" spans="1:3" x14ac:dyDescent="0.25">
      <c r="A3195" s="1" t="s">
        <v>16136</v>
      </c>
      <c r="B3195" s="1" t="s">
        <v>16370</v>
      </c>
      <c r="C3195" s="3">
        <f>IF(B3195="","",SUMIFS('Factory Costs'!$C:$C,'Factory Costs'!$A:$A,"Blades",'Factory Costs'!$B:$B,B3195))</f>
        <v>34</v>
      </c>
    </row>
    <row r="3196" spans="1:3" x14ac:dyDescent="0.25">
      <c r="A3196" s="1" t="s">
        <v>16139</v>
      </c>
      <c r="B3196" s="1" t="s">
        <v>16370</v>
      </c>
      <c r="C3196" s="3">
        <f>IF(B3196="","",SUMIFS('Factory Costs'!$C:$C,'Factory Costs'!$A:$A,"Blades",'Factory Costs'!$B:$B,B3196))</f>
        <v>34</v>
      </c>
    </row>
    <row r="3197" spans="1:3" x14ac:dyDescent="0.25">
      <c r="A3197" s="1" t="s">
        <v>16142</v>
      </c>
      <c r="B3197" s="1" t="s">
        <v>16370</v>
      </c>
      <c r="C3197" s="3">
        <f>IF(B3197="","",SUMIFS('Factory Costs'!$C:$C,'Factory Costs'!$A:$A,"Blades",'Factory Costs'!$B:$B,B3197))</f>
        <v>34</v>
      </c>
    </row>
    <row r="3198" spans="1:3" x14ac:dyDescent="0.25">
      <c r="A3198" s="1" t="s">
        <v>16145</v>
      </c>
      <c r="B3198" s="1" t="s">
        <v>16370</v>
      </c>
      <c r="C3198" s="3">
        <f>IF(B3198="","",SUMIFS('Factory Costs'!$C:$C,'Factory Costs'!$A:$A,"Blades",'Factory Costs'!$B:$B,B3198))</f>
        <v>34</v>
      </c>
    </row>
    <row r="3199" spans="1:3" x14ac:dyDescent="0.25">
      <c r="A3199" s="1" t="s">
        <v>16148</v>
      </c>
      <c r="B3199" s="1" t="s">
        <v>16371</v>
      </c>
      <c r="C3199" s="3">
        <f>IF(B3199="","",SUMIFS('Factory Costs'!$C:$C,'Factory Costs'!$A:$A,"Blades",'Factory Costs'!$B:$B,B3199))</f>
        <v>37</v>
      </c>
    </row>
    <row r="3200" spans="1:3" x14ac:dyDescent="0.25">
      <c r="A3200" s="1" t="s">
        <v>16151</v>
      </c>
      <c r="B3200" s="1" t="s">
        <v>16370</v>
      </c>
      <c r="C3200" s="3">
        <f>IF(B3200="","",SUMIFS('Factory Costs'!$C:$C,'Factory Costs'!$A:$A,"Blades",'Factory Costs'!$B:$B,B3200))</f>
        <v>34</v>
      </c>
    </row>
    <row r="3201" spans="1:3" x14ac:dyDescent="0.25">
      <c r="A3201" s="1" t="s">
        <v>16154</v>
      </c>
      <c r="B3201" s="1" t="s">
        <v>16370</v>
      </c>
      <c r="C3201" s="3">
        <f>IF(B3201="","",SUMIFS('Factory Costs'!$C:$C,'Factory Costs'!$A:$A,"Blades",'Factory Costs'!$B:$B,B3201))</f>
        <v>34</v>
      </c>
    </row>
    <row r="3202" spans="1:3" x14ac:dyDescent="0.25">
      <c r="A3202" s="1" t="s">
        <v>16157</v>
      </c>
      <c r="B3202" s="1" t="s">
        <v>16370</v>
      </c>
      <c r="C3202" s="3">
        <f>IF(B3202="","",SUMIFS('Factory Costs'!$C:$C,'Factory Costs'!$A:$A,"Blades",'Factory Costs'!$B:$B,B3202))</f>
        <v>34</v>
      </c>
    </row>
    <row r="3203" spans="1:3" x14ac:dyDescent="0.25">
      <c r="A3203" s="1" t="s">
        <v>16160</v>
      </c>
      <c r="B3203" s="1" t="s">
        <v>16372</v>
      </c>
      <c r="C3203" s="3">
        <f>IF(B3203="","",SUMIFS('Factory Costs'!$C:$C,'Factory Costs'!$A:$A,"Blades",'Factory Costs'!$B:$B,B3203))</f>
        <v>42</v>
      </c>
    </row>
    <row r="3204" spans="1:3" x14ac:dyDescent="0.25">
      <c r="A3204" s="1" t="s">
        <v>16163</v>
      </c>
      <c r="B3204" s="1" t="s">
        <v>16372</v>
      </c>
      <c r="C3204" s="3">
        <f>IF(B3204="","",SUMIFS('Factory Costs'!$C:$C,'Factory Costs'!$A:$A,"Blades",'Factory Costs'!$B:$B,B3204))</f>
        <v>42</v>
      </c>
    </row>
    <row r="3205" spans="1:3" x14ac:dyDescent="0.25">
      <c r="A3205" s="1" t="s">
        <v>16166</v>
      </c>
      <c r="B3205" s="1" t="s">
        <v>16371</v>
      </c>
      <c r="C3205" s="3">
        <f>IF(B3205="","",SUMIFS('Factory Costs'!$C:$C,'Factory Costs'!$A:$A,"Blades",'Factory Costs'!$B:$B,B3205))</f>
        <v>37</v>
      </c>
    </row>
    <row r="3206" spans="1:3" x14ac:dyDescent="0.25">
      <c r="A3206" s="1" t="s">
        <v>16169</v>
      </c>
      <c r="B3206" s="1" t="s">
        <v>16371</v>
      </c>
      <c r="C3206" s="3">
        <f>IF(B3206="","",SUMIFS('Factory Costs'!$C:$C,'Factory Costs'!$A:$A,"Blades",'Factory Costs'!$B:$B,B3206))</f>
        <v>37</v>
      </c>
    </row>
    <row r="3207" spans="1:3" x14ac:dyDescent="0.25">
      <c r="A3207" s="1" t="s">
        <v>16172</v>
      </c>
      <c r="B3207" s="1" t="s">
        <v>16371</v>
      </c>
      <c r="C3207" s="3">
        <f>IF(B3207="","",SUMIFS('Factory Costs'!$C:$C,'Factory Costs'!$A:$A,"Blades",'Factory Costs'!$B:$B,B3207))</f>
        <v>37</v>
      </c>
    </row>
    <row r="3208" spans="1:3" x14ac:dyDescent="0.25">
      <c r="A3208" s="1" t="s">
        <v>16175</v>
      </c>
      <c r="B3208" s="1" t="s">
        <v>16370</v>
      </c>
      <c r="C3208" s="3">
        <f>IF(B3208="","",SUMIFS('Factory Costs'!$C:$C,'Factory Costs'!$A:$A,"Blades",'Factory Costs'!$B:$B,B3208))</f>
        <v>34</v>
      </c>
    </row>
    <row r="3209" spans="1:3" x14ac:dyDescent="0.25">
      <c r="A3209" s="1" t="s">
        <v>16178</v>
      </c>
      <c r="B3209" s="1" t="s">
        <v>16370</v>
      </c>
      <c r="C3209" s="3">
        <f>IF(B3209="","",SUMIFS('Factory Costs'!$C:$C,'Factory Costs'!$A:$A,"Blades",'Factory Costs'!$B:$B,B3209))</f>
        <v>34</v>
      </c>
    </row>
    <row r="3210" spans="1:3" x14ac:dyDescent="0.25">
      <c r="A3210" s="1" t="s">
        <v>16181</v>
      </c>
      <c r="B3210" s="1" t="s">
        <v>16372</v>
      </c>
      <c r="C3210" s="3">
        <f>IF(B3210="","",SUMIFS('Factory Costs'!$C:$C,'Factory Costs'!$A:$A,"Blades",'Factory Costs'!$B:$B,B3210))</f>
        <v>42</v>
      </c>
    </row>
    <row r="3211" spans="1:3" x14ac:dyDescent="0.25">
      <c r="A3211" s="1" t="s">
        <v>16184</v>
      </c>
      <c r="B3211" s="1" t="s">
        <v>16370</v>
      </c>
      <c r="C3211" s="3">
        <f>IF(B3211="","",SUMIFS('Factory Costs'!$C:$C,'Factory Costs'!$A:$A,"Blades",'Factory Costs'!$B:$B,B3211))</f>
        <v>34</v>
      </c>
    </row>
    <row r="3212" spans="1:3" x14ac:dyDescent="0.25">
      <c r="A3212" s="1" t="s">
        <v>16187</v>
      </c>
      <c r="B3212" s="1" t="s">
        <v>16370</v>
      </c>
      <c r="C3212" s="3">
        <f>IF(B3212="","",SUMIFS('Factory Costs'!$C:$C,'Factory Costs'!$A:$A,"Blades",'Factory Costs'!$B:$B,B3212))</f>
        <v>34</v>
      </c>
    </row>
    <row r="3213" spans="1:3" x14ac:dyDescent="0.25">
      <c r="A3213" s="1" t="s">
        <v>16190</v>
      </c>
      <c r="B3213" s="1" t="s">
        <v>16370</v>
      </c>
      <c r="C3213" s="3">
        <f>IF(B3213="","",SUMIFS('Factory Costs'!$C:$C,'Factory Costs'!$A:$A,"Blades",'Factory Costs'!$B:$B,B3213))</f>
        <v>34</v>
      </c>
    </row>
    <row r="3214" spans="1:3" x14ac:dyDescent="0.25">
      <c r="A3214" s="1" t="s">
        <v>16193</v>
      </c>
      <c r="B3214" s="1" t="s">
        <v>16371</v>
      </c>
      <c r="C3214" s="3">
        <f>IF(B3214="","",SUMIFS('Factory Costs'!$C:$C,'Factory Costs'!$A:$A,"Blades",'Factory Costs'!$B:$B,B3214))</f>
        <v>37</v>
      </c>
    </row>
    <row r="3215" spans="1:3" x14ac:dyDescent="0.25">
      <c r="A3215" s="1" t="s">
        <v>16196</v>
      </c>
      <c r="B3215" s="1" t="s">
        <v>16370</v>
      </c>
      <c r="C3215" s="3">
        <f>IF(B3215="","",SUMIFS('Factory Costs'!$C:$C,'Factory Costs'!$A:$A,"Blades",'Factory Costs'!$B:$B,B3215))</f>
        <v>34</v>
      </c>
    </row>
    <row r="3216" spans="1:3" x14ac:dyDescent="0.25">
      <c r="A3216" s="1" t="s">
        <v>16199</v>
      </c>
      <c r="B3216" s="1" t="s">
        <v>16370</v>
      </c>
      <c r="C3216" s="3">
        <f>IF(B3216="","",SUMIFS('Factory Costs'!$C:$C,'Factory Costs'!$A:$A,"Blades",'Factory Costs'!$B:$B,B3216))</f>
        <v>34</v>
      </c>
    </row>
    <row r="3217" spans="1:3" x14ac:dyDescent="0.25">
      <c r="A3217" s="1" t="s">
        <v>16202</v>
      </c>
      <c r="B3217" s="1" t="s">
        <v>16370</v>
      </c>
      <c r="C3217" s="3">
        <f>IF(B3217="","",SUMIFS('Factory Costs'!$C:$C,'Factory Costs'!$A:$A,"Blades",'Factory Costs'!$B:$B,B3217))</f>
        <v>34</v>
      </c>
    </row>
    <row r="3218" spans="1:3" x14ac:dyDescent="0.25">
      <c r="A3218" s="1" t="s">
        <v>16205</v>
      </c>
      <c r="B3218" s="1" t="s">
        <v>16371</v>
      </c>
      <c r="C3218" s="3">
        <f>IF(B3218="","",SUMIFS('Factory Costs'!$C:$C,'Factory Costs'!$A:$A,"Blades",'Factory Costs'!$B:$B,B3218))</f>
        <v>37</v>
      </c>
    </row>
    <row r="3219" spans="1:3" x14ac:dyDescent="0.25">
      <c r="A3219" s="1" t="s">
        <v>16208</v>
      </c>
      <c r="B3219" s="1" t="s">
        <v>16370</v>
      </c>
      <c r="C3219" s="3">
        <f>IF(B3219="","",SUMIFS('Factory Costs'!$C:$C,'Factory Costs'!$A:$A,"Blades",'Factory Costs'!$B:$B,B3219))</f>
        <v>34</v>
      </c>
    </row>
    <row r="3220" spans="1:3" x14ac:dyDescent="0.25">
      <c r="A3220" s="1" t="s">
        <v>16211</v>
      </c>
      <c r="B3220" s="1" t="s">
        <v>16370</v>
      </c>
      <c r="C3220" s="3">
        <f>IF(B3220="","",SUMIFS('Factory Costs'!$C:$C,'Factory Costs'!$A:$A,"Blades",'Factory Costs'!$B:$B,B3220))</f>
        <v>34</v>
      </c>
    </row>
    <row r="3221" spans="1:3" x14ac:dyDescent="0.25">
      <c r="A3221" s="1" t="s">
        <v>16214</v>
      </c>
      <c r="B3221" s="1" t="s">
        <v>16372</v>
      </c>
      <c r="C3221" s="3">
        <f>IF(B3221="","",SUMIFS('Factory Costs'!$C:$C,'Factory Costs'!$A:$A,"Blades",'Factory Costs'!$B:$B,B3221))</f>
        <v>42</v>
      </c>
    </row>
    <row r="3222" spans="1:3" x14ac:dyDescent="0.25">
      <c r="A3222" s="1" t="s">
        <v>16217</v>
      </c>
      <c r="B3222" s="1" t="s">
        <v>16371</v>
      </c>
      <c r="C3222" s="3">
        <f>IF(B3222="","",SUMIFS('Factory Costs'!$C:$C,'Factory Costs'!$A:$A,"Blades",'Factory Costs'!$B:$B,B3222))</f>
        <v>37</v>
      </c>
    </row>
    <row r="3223" spans="1:3" x14ac:dyDescent="0.25">
      <c r="A3223" s="1" t="s">
        <v>16220</v>
      </c>
      <c r="B3223" s="1" t="s">
        <v>16372</v>
      </c>
      <c r="C3223" s="3">
        <f>IF(B3223="","",SUMIFS('Factory Costs'!$C:$C,'Factory Costs'!$A:$A,"Blades",'Factory Costs'!$B:$B,B3223))</f>
        <v>42</v>
      </c>
    </row>
    <row r="3224" spans="1:3" x14ac:dyDescent="0.25">
      <c r="A3224" s="1" t="s">
        <v>16223</v>
      </c>
      <c r="B3224" s="1" t="s">
        <v>16371</v>
      </c>
      <c r="C3224" s="3">
        <f>IF(B3224="","",SUMIFS('Factory Costs'!$C:$C,'Factory Costs'!$A:$A,"Blades",'Factory Costs'!$B:$B,B3224))</f>
        <v>37</v>
      </c>
    </row>
    <row r="3225" spans="1:3" x14ac:dyDescent="0.25">
      <c r="A3225" s="1" t="s">
        <v>16226</v>
      </c>
      <c r="B3225" s="1" t="s">
        <v>16370</v>
      </c>
      <c r="C3225" s="3">
        <f>IF(B3225="","",SUMIFS('Factory Costs'!$C:$C,'Factory Costs'!$A:$A,"Blades",'Factory Costs'!$B:$B,B3225))</f>
        <v>34</v>
      </c>
    </row>
    <row r="3226" spans="1:3" x14ac:dyDescent="0.25">
      <c r="A3226" s="1" t="s">
        <v>16229</v>
      </c>
      <c r="B3226" s="1" t="s">
        <v>16370</v>
      </c>
      <c r="C3226" s="3">
        <f>IF(B3226="","",SUMIFS('Factory Costs'!$C:$C,'Factory Costs'!$A:$A,"Blades",'Factory Costs'!$B:$B,B3226))</f>
        <v>34</v>
      </c>
    </row>
    <row r="3227" spans="1:3" x14ac:dyDescent="0.25">
      <c r="A3227" s="1" t="s">
        <v>16232</v>
      </c>
      <c r="B3227" s="1" t="s">
        <v>16371</v>
      </c>
      <c r="C3227" s="3">
        <f>IF(B3227="","",SUMIFS('Factory Costs'!$C:$C,'Factory Costs'!$A:$A,"Blades",'Factory Costs'!$B:$B,B3227))</f>
        <v>37</v>
      </c>
    </row>
    <row r="3228" spans="1:3" x14ac:dyDescent="0.25">
      <c r="A3228" s="1" t="s">
        <v>16235</v>
      </c>
      <c r="B3228" s="1" t="s">
        <v>16371</v>
      </c>
      <c r="C3228" s="3">
        <f>IF(B3228="","",SUMIFS('Factory Costs'!$C:$C,'Factory Costs'!$A:$A,"Blades",'Factory Costs'!$B:$B,B3228))</f>
        <v>37</v>
      </c>
    </row>
    <row r="3229" spans="1:3" x14ac:dyDescent="0.25">
      <c r="A3229" s="1" t="s">
        <v>16238</v>
      </c>
      <c r="B3229" s="1" t="s">
        <v>16371</v>
      </c>
      <c r="C3229" s="3">
        <f>IF(B3229="","",SUMIFS('Factory Costs'!$C:$C,'Factory Costs'!$A:$A,"Blades",'Factory Costs'!$B:$B,B3229))</f>
        <v>37</v>
      </c>
    </row>
    <row r="3230" spans="1:3" x14ac:dyDescent="0.25">
      <c r="A3230" s="1" t="s">
        <v>16241</v>
      </c>
      <c r="B3230" s="1" t="s">
        <v>16370</v>
      </c>
      <c r="C3230" s="3">
        <f>IF(B3230="","",SUMIFS('Factory Costs'!$C:$C,'Factory Costs'!$A:$A,"Blades",'Factory Costs'!$B:$B,B3230))</f>
        <v>34</v>
      </c>
    </row>
    <row r="3231" spans="1:3" x14ac:dyDescent="0.25">
      <c r="A3231" s="1" t="s">
        <v>16244</v>
      </c>
      <c r="B3231" s="1" t="s">
        <v>16371</v>
      </c>
      <c r="C3231" s="3">
        <f>IF(B3231="","",SUMIFS('Factory Costs'!$C:$C,'Factory Costs'!$A:$A,"Blades",'Factory Costs'!$B:$B,B3231))</f>
        <v>37</v>
      </c>
    </row>
    <row r="3232" spans="1:3" x14ac:dyDescent="0.25">
      <c r="A3232" s="1" t="s">
        <v>16247</v>
      </c>
      <c r="B3232" s="1" t="s">
        <v>16370</v>
      </c>
      <c r="C3232" s="3">
        <f>IF(B3232="","",SUMIFS('Factory Costs'!$C:$C,'Factory Costs'!$A:$A,"Blades",'Factory Costs'!$B:$B,B3232))</f>
        <v>34</v>
      </c>
    </row>
    <row r="3233" spans="1:3" x14ac:dyDescent="0.25">
      <c r="A3233" s="1" t="s">
        <v>16250</v>
      </c>
      <c r="B3233" s="1" t="s">
        <v>16372</v>
      </c>
      <c r="C3233" s="3">
        <f>IF(B3233="","",SUMIFS('Factory Costs'!$C:$C,'Factory Costs'!$A:$A,"Blades",'Factory Costs'!$B:$B,B3233))</f>
        <v>42</v>
      </c>
    </row>
    <row r="3234" spans="1:3" x14ac:dyDescent="0.25">
      <c r="A3234" s="1" t="s">
        <v>16253</v>
      </c>
      <c r="B3234" s="1" t="s">
        <v>16371</v>
      </c>
      <c r="C3234" s="3">
        <f>IF(B3234="","",SUMIFS('Factory Costs'!$C:$C,'Factory Costs'!$A:$A,"Blades",'Factory Costs'!$B:$B,B3234))</f>
        <v>37</v>
      </c>
    </row>
    <row r="3235" spans="1:3" x14ac:dyDescent="0.25">
      <c r="A3235" s="1" t="s">
        <v>16256</v>
      </c>
      <c r="B3235" s="1" t="s">
        <v>16370</v>
      </c>
      <c r="C3235" s="3">
        <f>IF(B3235="","",SUMIFS('Factory Costs'!$C:$C,'Factory Costs'!$A:$A,"Blades",'Factory Costs'!$B:$B,B3235))</f>
        <v>34</v>
      </c>
    </row>
    <row r="3236" spans="1:3" x14ac:dyDescent="0.25">
      <c r="A3236" s="1" t="s">
        <v>16259</v>
      </c>
      <c r="B3236" s="1" t="s">
        <v>16372</v>
      </c>
      <c r="C3236" s="3">
        <f>IF(B3236="","",SUMIFS('Factory Costs'!$C:$C,'Factory Costs'!$A:$A,"Blades",'Factory Costs'!$B:$B,B3236))</f>
        <v>42</v>
      </c>
    </row>
    <row r="3237" spans="1:3" x14ac:dyDescent="0.25">
      <c r="A3237" s="1" t="s">
        <v>16262</v>
      </c>
      <c r="B3237" s="1" t="s">
        <v>16370</v>
      </c>
      <c r="C3237" s="3">
        <f>IF(B3237="","",SUMIFS('Factory Costs'!$C:$C,'Factory Costs'!$A:$A,"Blades",'Factory Costs'!$B:$B,B3237))</f>
        <v>34</v>
      </c>
    </row>
    <row r="3238" spans="1:3" x14ac:dyDescent="0.25">
      <c r="A3238" s="1" t="s">
        <v>16265</v>
      </c>
      <c r="B3238" s="1" t="s">
        <v>16370</v>
      </c>
      <c r="C3238" s="3">
        <f>IF(B3238="","",SUMIFS('Factory Costs'!$C:$C,'Factory Costs'!$A:$A,"Blades",'Factory Costs'!$B:$B,B3238))</f>
        <v>34</v>
      </c>
    </row>
    <row r="3239" spans="1:3" x14ac:dyDescent="0.25">
      <c r="A3239" s="1" t="s">
        <v>16268</v>
      </c>
      <c r="B3239" s="1" t="s">
        <v>16372</v>
      </c>
      <c r="C3239" s="3">
        <f>IF(B3239="","",SUMIFS('Factory Costs'!$C:$C,'Factory Costs'!$A:$A,"Blades",'Factory Costs'!$B:$B,B3239))</f>
        <v>42</v>
      </c>
    </row>
    <row r="3240" spans="1:3" x14ac:dyDescent="0.25">
      <c r="A3240" s="1" t="s">
        <v>16271</v>
      </c>
      <c r="B3240" s="1" t="s">
        <v>16372</v>
      </c>
      <c r="C3240" s="3">
        <f>IF(B3240="","",SUMIFS('Factory Costs'!$C:$C,'Factory Costs'!$A:$A,"Blades",'Factory Costs'!$B:$B,B3240))</f>
        <v>42</v>
      </c>
    </row>
    <row r="3241" spans="1:3" x14ac:dyDescent="0.25">
      <c r="A3241" s="1" t="s">
        <v>16274</v>
      </c>
      <c r="B3241" s="1" t="s">
        <v>16370</v>
      </c>
      <c r="C3241" s="3">
        <f>IF(B3241="","",SUMIFS('Factory Costs'!$C:$C,'Factory Costs'!$A:$A,"Blades",'Factory Costs'!$B:$B,B3241))</f>
        <v>34</v>
      </c>
    </row>
    <row r="3242" spans="1:3" x14ac:dyDescent="0.25">
      <c r="A3242" s="1" t="s">
        <v>16277</v>
      </c>
      <c r="B3242" s="1" t="s">
        <v>16372</v>
      </c>
      <c r="C3242" s="3">
        <f>IF(B3242="","",SUMIFS('Factory Costs'!$C:$C,'Factory Costs'!$A:$A,"Blades",'Factory Costs'!$B:$B,B3242))</f>
        <v>42</v>
      </c>
    </row>
    <row r="3243" spans="1:3" x14ac:dyDescent="0.25">
      <c r="A3243" s="1" t="s">
        <v>16280</v>
      </c>
      <c r="B3243" s="1" t="s">
        <v>16370</v>
      </c>
      <c r="C3243" s="3">
        <f>IF(B3243="","",SUMIFS('Factory Costs'!$C:$C,'Factory Costs'!$A:$A,"Blades",'Factory Costs'!$B:$B,B3243))</f>
        <v>34</v>
      </c>
    </row>
    <row r="3244" spans="1:3" x14ac:dyDescent="0.25">
      <c r="A3244" s="1" t="s">
        <v>16283</v>
      </c>
      <c r="B3244" s="1" t="s">
        <v>16371</v>
      </c>
      <c r="C3244" s="3">
        <f>IF(B3244="","",SUMIFS('Factory Costs'!$C:$C,'Factory Costs'!$A:$A,"Blades",'Factory Costs'!$B:$B,B3244))</f>
        <v>37</v>
      </c>
    </row>
    <row r="3245" spans="1:3" x14ac:dyDescent="0.25">
      <c r="A3245" s="1" t="s">
        <v>16286</v>
      </c>
      <c r="B3245" s="1" t="s">
        <v>16371</v>
      </c>
      <c r="C3245" s="3">
        <f>IF(B3245="","",SUMIFS('Factory Costs'!$C:$C,'Factory Costs'!$A:$A,"Blades",'Factory Costs'!$B:$B,B3245))</f>
        <v>37</v>
      </c>
    </row>
    <row r="3246" spans="1:3" x14ac:dyDescent="0.25">
      <c r="A3246" s="1" t="s">
        <v>16289</v>
      </c>
      <c r="B3246" s="1" t="s">
        <v>16372</v>
      </c>
      <c r="C3246" s="3">
        <f>IF(B3246="","",SUMIFS('Factory Costs'!$C:$C,'Factory Costs'!$A:$A,"Blades",'Factory Costs'!$B:$B,B3246))</f>
        <v>42</v>
      </c>
    </row>
    <row r="3247" spans="1:3" x14ac:dyDescent="0.25">
      <c r="A3247" s="1" t="s">
        <v>16292</v>
      </c>
      <c r="B3247" s="1" t="s">
        <v>16372</v>
      </c>
      <c r="C3247" s="3">
        <f>IF(B3247="","",SUMIFS('Factory Costs'!$C:$C,'Factory Costs'!$A:$A,"Blades",'Factory Costs'!$B:$B,B3247))</f>
        <v>42</v>
      </c>
    </row>
    <row r="3248" spans="1:3" x14ac:dyDescent="0.25">
      <c r="A3248" s="1" t="s">
        <v>16295</v>
      </c>
      <c r="B3248" s="1" t="s">
        <v>16371</v>
      </c>
      <c r="C3248" s="3">
        <f>IF(B3248="","",SUMIFS('Factory Costs'!$C:$C,'Factory Costs'!$A:$A,"Blades",'Factory Costs'!$B:$B,B3248))</f>
        <v>37</v>
      </c>
    </row>
    <row r="3249" spans="1:3" x14ac:dyDescent="0.25">
      <c r="A3249" s="1" t="s">
        <v>16298</v>
      </c>
      <c r="B3249" s="1" t="s">
        <v>16372</v>
      </c>
      <c r="C3249" s="3">
        <f>IF(B3249="","",SUMIFS('Factory Costs'!$C:$C,'Factory Costs'!$A:$A,"Blades",'Factory Costs'!$B:$B,B3249))</f>
        <v>42</v>
      </c>
    </row>
    <row r="3250" spans="1:3" x14ac:dyDescent="0.25">
      <c r="A3250" s="1" t="s">
        <v>16301</v>
      </c>
      <c r="B3250" s="1" t="s">
        <v>16371</v>
      </c>
      <c r="C3250" s="3">
        <f>IF(B3250="","",SUMIFS('Factory Costs'!$C:$C,'Factory Costs'!$A:$A,"Blades",'Factory Costs'!$B:$B,B3250))</f>
        <v>37</v>
      </c>
    </row>
    <row r="3251" spans="1:3" x14ac:dyDescent="0.25">
      <c r="A3251" s="1" t="s">
        <v>16304</v>
      </c>
      <c r="B3251" s="1" t="s">
        <v>16370</v>
      </c>
      <c r="C3251" s="3">
        <f>IF(B3251="","",SUMIFS('Factory Costs'!$C:$C,'Factory Costs'!$A:$A,"Blades",'Factory Costs'!$B:$B,B3251))</f>
        <v>34</v>
      </c>
    </row>
    <row r="3252" spans="1:3" x14ac:dyDescent="0.25">
      <c r="A3252" s="1" t="s">
        <v>16307</v>
      </c>
      <c r="B3252" s="1" t="s">
        <v>16370</v>
      </c>
      <c r="C3252" s="3">
        <f>IF(B3252="","",SUMIFS('Factory Costs'!$C:$C,'Factory Costs'!$A:$A,"Blades",'Factory Costs'!$B:$B,B3252))</f>
        <v>34</v>
      </c>
    </row>
    <row r="3253" spans="1:3" x14ac:dyDescent="0.25">
      <c r="A3253" s="1" t="s">
        <v>16310</v>
      </c>
      <c r="B3253" s="1" t="s">
        <v>16370</v>
      </c>
      <c r="C3253" s="3">
        <f>IF(B3253="","",SUMIFS('Factory Costs'!$C:$C,'Factory Costs'!$A:$A,"Blades",'Factory Costs'!$B:$B,B3253))</f>
        <v>34</v>
      </c>
    </row>
    <row r="3254" spans="1:3" x14ac:dyDescent="0.25">
      <c r="A3254" s="1" t="s">
        <v>16313</v>
      </c>
      <c r="B3254" s="1" t="s">
        <v>16371</v>
      </c>
      <c r="C3254" s="3">
        <f>IF(B3254="","",SUMIFS('Factory Costs'!$C:$C,'Factory Costs'!$A:$A,"Blades",'Factory Costs'!$B:$B,B3254))</f>
        <v>37</v>
      </c>
    </row>
    <row r="3255" spans="1:3" x14ac:dyDescent="0.25">
      <c r="A3255" s="1" t="s">
        <v>16316</v>
      </c>
      <c r="B3255" s="1" t="s">
        <v>16372</v>
      </c>
      <c r="C3255" s="3">
        <f>IF(B3255="","",SUMIFS('Factory Costs'!$C:$C,'Factory Costs'!$A:$A,"Blades",'Factory Costs'!$B:$B,B3255))</f>
        <v>42</v>
      </c>
    </row>
    <row r="3256" spans="1:3" x14ac:dyDescent="0.25">
      <c r="A3256" s="1" t="s">
        <v>16319</v>
      </c>
      <c r="B3256" s="1" t="s">
        <v>16371</v>
      </c>
      <c r="C3256" s="3">
        <f>IF(B3256="","",SUMIFS('Factory Costs'!$C:$C,'Factory Costs'!$A:$A,"Blades",'Factory Costs'!$B:$B,B3256))</f>
        <v>37</v>
      </c>
    </row>
    <row r="3257" spans="1:3" x14ac:dyDescent="0.25">
      <c r="A3257" s="1" t="s">
        <v>16322</v>
      </c>
      <c r="B3257" s="1" t="s">
        <v>16372</v>
      </c>
      <c r="C3257" s="3">
        <f>IF(B3257="","",SUMIFS('Factory Costs'!$C:$C,'Factory Costs'!$A:$A,"Blades",'Factory Costs'!$B:$B,B3257))</f>
        <v>42</v>
      </c>
    </row>
    <row r="3258" spans="1:3" x14ac:dyDescent="0.25">
      <c r="A3258" s="1" t="s">
        <v>16325</v>
      </c>
      <c r="B3258" s="1" t="s">
        <v>16372</v>
      </c>
      <c r="C3258" s="3">
        <f>IF(B3258="","",SUMIFS('Factory Costs'!$C:$C,'Factory Costs'!$A:$A,"Blades",'Factory Costs'!$B:$B,B3258))</f>
        <v>42</v>
      </c>
    </row>
    <row r="3259" spans="1:3" x14ac:dyDescent="0.25">
      <c r="A3259" s="1" t="s">
        <v>16328</v>
      </c>
      <c r="B3259" s="1" t="s">
        <v>16371</v>
      </c>
      <c r="C3259" s="3">
        <f>IF(B3259="","",SUMIFS('Factory Costs'!$C:$C,'Factory Costs'!$A:$A,"Blades",'Factory Costs'!$B:$B,B3259))</f>
        <v>37</v>
      </c>
    </row>
    <row r="3260" spans="1:3" x14ac:dyDescent="0.25">
      <c r="A3260" s="1" t="s">
        <v>16331</v>
      </c>
      <c r="B3260" s="1" t="s">
        <v>16370</v>
      </c>
      <c r="C3260" s="3">
        <f>IF(B3260="","",SUMIFS('Factory Costs'!$C:$C,'Factory Costs'!$A:$A,"Blades",'Factory Costs'!$B:$B,B3260))</f>
        <v>34</v>
      </c>
    </row>
    <row r="3261" spans="1:3" x14ac:dyDescent="0.25">
      <c r="A3261" s="1" t="s">
        <v>16334</v>
      </c>
      <c r="B3261" s="1" t="s">
        <v>16370</v>
      </c>
      <c r="C3261" s="3">
        <f>IF(B3261="","",SUMIFS('Factory Costs'!$C:$C,'Factory Costs'!$A:$A,"Blades",'Factory Costs'!$B:$B,B3261))</f>
        <v>34</v>
      </c>
    </row>
    <row r="3262" spans="1:3" x14ac:dyDescent="0.25">
      <c r="A3262" s="1" t="s">
        <v>16337</v>
      </c>
      <c r="B3262" s="1" t="s">
        <v>16371</v>
      </c>
      <c r="C3262" s="3">
        <f>IF(B3262="","",SUMIFS('Factory Costs'!$C:$C,'Factory Costs'!$A:$A,"Blades",'Factory Costs'!$B:$B,B3262))</f>
        <v>37</v>
      </c>
    </row>
    <row r="3263" spans="1:3" x14ac:dyDescent="0.25">
      <c r="A3263" s="1" t="s">
        <v>16340</v>
      </c>
      <c r="B3263" s="1" t="s">
        <v>16372</v>
      </c>
      <c r="C3263" s="3">
        <f>IF(B3263="","",SUMIFS('Factory Costs'!$C:$C,'Factory Costs'!$A:$A,"Blades",'Factory Costs'!$B:$B,B3263))</f>
        <v>42</v>
      </c>
    </row>
    <row r="3264" spans="1:3" x14ac:dyDescent="0.25">
      <c r="A3264" s="1" t="s">
        <v>16343</v>
      </c>
      <c r="B3264" s="1" t="s">
        <v>16370</v>
      </c>
      <c r="C3264" s="3">
        <f>IF(B3264="","",SUMIFS('Factory Costs'!$C:$C,'Factory Costs'!$A:$A,"Blades",'Factory Costs'!$B:$B,B3264))</f>
        <v>34</v>
      </c>
    </row>
    <row r="3265" spans="1:3" x14ac:dyDescent="0.25">
      <c r="A3265" s="1" t="s">
        <v>16346</v>
      </c>
      <c r="B3265" s="1" t="s">
        <v>16371</v>
      </c>
      <c r="C3265" s="3">
        <f>IF(B3265="","",SUMIFS('Factory Costs'!$C:$C,'Factory Costs'!$A:$A,"Blades",'Factory Costs'!$B:$B,B3265))</f>
        <v>37</v>
      </c>
    </row>
    <row r="3266" spans="1:3" x14ac:dyDescent="0.25">
      <c r="A3266" s="1" t="s">
        <v>16349</v>
      </c>
      <c r="B3266" s="1" t="s">
        <v>16372</v>
      </c>
      <c r="C3266" s="3">
        <f>IF(B3266="","",SUMIFS('Factory Costs'!$C:$C,'Factory Costs'!$A:$A,"Blades",'Factory Costs'!$B:$B,B3266))</f>
        <v>42</v>
      </c>
    </row>
    <row r="3267" spans="1:3" x14ac:dyDescent="0.25">
      <c r="A3267" s="1" t="s">
        <v>16352</v>
      </c>
      <c r="B3267" s="1" t="s">
        <v>16370</v>
      </c>
      <c r="C3267" s="3">
        <f>IF(B3267="","",SUMIFS('Factory Costs'!$C:$C,'Factory Costs'!$A:$A,"Blades",'Factory Costs'!$B:$B,B3267))</f>
        <v>34</v>
      </c>
    </row>
    <row r="3268" spans="1:3" x14ac:dyDescent="0.25">
      <c r="A3268" s="1" t="s">
        <v>16355</v>
      </c>
      <c r="B3268" s="1" t="s">
        <v>16371</v>
      </c>
      <c r="C3268" s="3">
        <f>IF(B3268="","",SUMIFS('Factory Costs'!$C:$C,'Factory Costs'!$A:$A,"Blades",'Factory Costs'!$B:$B,B3268))</f>
        <v>37</v>
      </c>
    </row>
    <row r="3269" spans="1:3" x14ac:dyDescent="0.25">
      <c r="A3269" s="1" t="s">
        <v>16358</v>
      </c>
      <c r="B3269" s="1" t="s">
        <v>16372</v>
      </c>
      <c r="C3269" s="3">
        <f>IF(B3269="","",SUMIFS('Factory Costs'!$C:$C,'Factory Costs'!$A:$A,"Blades",'Factory Costs'!$B:$B,B3269))</f>
        <v>42</v>
      </c>
    </row>
    <row r="3270" spans="1:3" x14ac:dyDescent="0.25">
      <c r="A3270" s="1" t="s">
        <v>16361</v>
      </c>
      <c r="B3270" s="1" t="s">
        <v>16370</v>
      </c>
      <c r="C3270" s="3">
        <f>IF(B3270="","",SUMIFS('Factory Costs'!$C:$C,'Factory Costs'!$A:$A,"Blades",'Factory Costs'!$B:$B,B3270))</f>
        <v>34</v>
      </c>
    </row>
    <row r="3271" spans="1:3" x14ac:dyDescent="0.25">
      <c r="A3271" s="1" t="s">
        <v>16364</v>
      </c>
      <c r="B3271" s="1" t="s">
        <v>16370</v>
      </c>
      <c r="C3271" s="3">
        <f>IF(B3271="","",SUMIFS('Factory Costs'!$C:$C,'Factory Costs'!$A:$A,"Blades",'Factory Costs'!$B:$B,B3271))</f>
        <v>34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'Factory Costs'!$B$2:$B$4</xm:f>
          </x14:formula1>
          <xm:sqref>B2:B3271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71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3" width="20" customWidth="1"/>
  </cols>
  <sheetData>
    <row r="1" spans="1:3" x14ac:dyDescent="0.25">
      <c r="A1" s="2" t="s">
        <v>6555</v>
      </c>
      <c r="B1" s="2" t="s">
        <v>16368</v>
      </c>
      <c r="C1" s="2" t="s">
        <v>16369</v>
      </c>
    </row>
    <row r="2" spans="1:3" x14ac:dyDescent="0.25">
      <c r="A2" s="1" t="s">
        <v>6558</v>
      </c>
      <c r="B2" s="1" t="s">
        <v>16374</v>
      </c>
      <c r="C2" s="3">
        <f>IF(B2="","",SUMIFS('Factory Costs'!$C:$C,'Factory Costs'!$A:$A,"Motor",'Factory Costs'!$B:$B,B2))</f>
        <v>62</v>
      </c>
    </row>
    <row r="3" spans="1:3" x14ac:dyDescent="0.25">
      <c r="A3" s="1" t="s">
        <v>6561</v>
      </c>
      <c r="B3" s="1" t="s">
        <v>16374</v>
      </c>
      <c r="C3" s="3">
        <f>IF(B3="","",SUMIFS('Factory Costs'!$C:$C,'Factory Costs'!$A:$A,"Motor",'Factory Costs'!$B:$B,B3))</f>
        <v>62</v>
      </c>
    </row>
    <row r="4" spans="1:3" x14ac:dyDescent="0.25">
      <c r="A4" s="1" t="s">
        <v>6564</v>
      </c>
      <c r="B4" s="1" t="s">
        <v>16374</v>
      </c>
      <c r="C4" s="3">
        <f>IF(B4="","",SUMIFS('Factory Costs'!$C:$C,'Factory Costs'!$A:$A,"Motor",'Factory Costs'!$B:$B,B4))</f>
        <v>62</v>
      </c>
    </row>
    <row r="5" spans="1:3" x14ac:dyDescent="0.25">
      <c r="A5" s="1" t="s">
        <v>6567</v>
      </c>
      <c r="B5" s="1" t="s">
        <v>16375</v>
      </c>
      <c r="C5" s="3">
        <f>IF(B5="","",SUMIFS('Factory Costs'!$C:$C,'Factory Costs'!$A:$A,"Motor",'Factory Costs'!$B:$B,B5))</f>
        <v>72</v>
      </c>
    </row>
    <row r="6" spans="1:3" x14ac:dyDescent="0.25">
      <c r="A6" s="1" t="s">
        <v>6570</v>
      </c>
      <c r="B6" s="1" t="s">
        <v>16374</v>
      </c>
      <c r="C6" s="3">
        <f>IF(B6="","",SUMIFS('Factory Costs'!$C:$C,'Factory Costs'!$A:$A,"Motor",'Factory Costs'!$B:$B,B6))</f>
        <v>62</v>
      </c>
    </row>
    <row r="7" spans="1:3" x14ac:dyDescent="0.25">
      <c r="A7" s="1" t="s">
        <v>6573</v>
      </c>
      <c r="B7" s="1" t="s">
        <v>16374</v>
      </c>
      <c r="C7" s="3">
        <f>IF(B7="","",SUMIFS('Factory Costs'!$C:$C,'Factory Costs'!$A:$A,"Motor",'Factory Costs'!$B:$B,B7))</f>
        <v>62</v>
      </c>
    </row>
    <row r="8" spans="1:3" x14ac:dyDescent="0.25">
      <c r="A8" s="1" t="s">
        <v>6576</v>
      </c>
      <c r="B8" s="1" t="s">
        <v>16375</v>
      </c>
      <c r="C8" s="3">
        <f>IF(B8="","",SUMIFS('Factory Costs'!$C:$C,'Factory Costs'!$A:$A,"Motor",'Factory Costs'!$B:$B,B8))</f>
        <v>72</v>
      </c>
    </row>
    <row r="9" spans="1:3" x14ac:dyDescent="0.25">
      <c r="A9" s="1" t="s">
        <v>6579</v>
      </c>
      <c r="B9" s="1" t="s">
        <v>16374</v>
      </c>
      <c r="C9" s="3">
        <f>IF(B9="","",SUMIFS('Factory Costs'!$C:$C,'Factory Costs'!$A:$A,"Motor",'Factory Costs'!$B:$B,B9))</f>
        <v>62</v>
      </c>
    </row>
    <row r="10" spans="1:3" x14ac:dyDescent="0.25">
      <c r="A10" s="1" t="s">
        <v>6582</v>
      </c>
      <c r="B10" s="1" t="s">
        <v>16375</v>
      </c>
      <c r="C10" s="3">
        <f>IF(B10="","",SUMIFS('Factory Costs'!$C:$C,'Factory Costs'!$A:$A,"Motor",'Factory Costs'!$B:$B,B10))</f>
        <v>72</v>
      </c>
    </row>
    <row r="11" spans="1:3" x14ac:dyDescent="0.25">
      <c r="A11" s="1" t="s">
        <v>6585</v>
      </c>
      <c r="B11" s="1" t="s">
        <v>16375</v>
      </c>
      <c r="C11" s="3">
        <f>IF(B11="","",SUMIFS('Factory Costs'!$C:$C,'Factory Costs'!$A:$A,"Motor",'Factory Costs'!$B:$B,B11))</f>
        <v>72</v>
      </c>
    </row>
    <row r="12" spans="1:3" x14ac:dyDescent="0.25">
      <c r="A12" s="1" t="s">
        <v>6588</v>
      </c>
      <c r="B12" s="1" t="s">
        <v>16375</v>
      </c>
      <c r="C12" s="3">
        <f>IF(B12="","",SUMIFS('Factory Costs'!$C:$C,'Factory Costs'!$A:$A,"Motor",'Factory Costs'!$B:$B,B12))</f>
        <v>72</v>
      </c>
    </row>
    <row r="13" spans="1:3" x14ac:dyDescent="0.25">
      <c r="A13" s="1" t="s">
        <v>6591</v>
      </c>
      <c r="B13" s="1" t="s">
        <v>16375</v>
      </c>
      <c r="C13" s="3">
        <f>IF(B13="","",SUMIFS('Factory Costs'!$C:$C,'Factory Costs'!$A:$A,"Motor",'Factory Costs'!$B:$B,B13))</f>
        <v>72</v>
      </c>
    </row>
    <row r="14" spans="1:3" x14ac:dyDescent="0.25">
      <c r="A14" s="1" t="s">
        <v>6594</v>
      </c>
      <c r="B14" s="1" t="s">
        <v>16374</v>
      </c>
      <c r="C14" s="3">
        <f>IF(B14="","",SUMIFS('Factory Costs'!$C:$C,'Factory Costs'!$A:$A,"Motor",'Factory Costs'!$B:$B,B14))</f>
        <v>62</v>
      </c>
    </row>
    <row r="15" spans="1:3" x14ac:dyDescent="0.25">
      <c r="A15" s="1" t="s">
        <v>6597</v>
      </c>
      <c r="B15" s="1" t="s">
        <v>16374</v>
      </c>
      <c r="C15" s="3">
        <f>IF(B15="","",SUMIFS('Factory Costs'!$C:$C,'Factory Costs'!$A:$A,"Motor",'Factory Costs'!$B:$B,B15))</f>
        <v>62</v>
      </c>
    </row>
    <row r="16" spans="1:3" x14ac:dyDescent="0.25">
      <c r="A16" s="1" t="s">
        <v>6600</v>
      </c>
      <c r="B16" s="1" t="s">
        <v>16374</v>
      </c>
      <c r="C16" s="3">
        <f>IF(B16="","",SUMIFS('Factory Costs'!$C:$C,'Factory Costs'!$A:$A,"Motor",'Factory Costs'!$B:$B,B16))</f>
        <v>62</v>
      </c>
    </row>
    <row r="17" spans="1:3" x14ac:dyDescent="0.25">
      <c r="A17" s="1" t="s">
        <v>6603</v>
      </c>
      <c r="B17" s="1" t="s">
        <v>16375</v>
      </c>
      <c r="C17" s="3">
        <f>IF(B17="","",SUMIFS('Factory Costs'!$C:$C,'Factory Costs'!$A:$A,"Motor",'Factory Costs'!$B:$B,B17))</f>
        <v>72</v>
      </c>
    </row>
    <row r="18" spans="1:3" x14ac:dyDescent="0.25">
      <c r="A18" s="1" t="s">
        <v>6606</v>
      </c>
      <c r="B18" s="1" t="s">
        <v>16374</v>
      </c>
      <c r="C18" s="3">
        <f>IF(B18="","",SUMIFS('Factory Costs'!$C:$C,'Factory Costs'!$A:$A,"Motor",'Factory Costs'!$B:$B,B18))</f>
        <v>62</v>
      </c>
    </row>
    <row r="19" spans="1:3" x14ac:dyDescent="0.25">
      <c r="A19" s="1" t="s">
        <v>6609</v>
      </c>
      <c r="B19" s="1" t="s">
        <v>16374</v>
      </c>
      <c r="C19" s="3">
        <f>IF(B19="","",SUMIFS('Factory Costs'!$C:$C,'Factory Costs'!$A:$A,"Motor",'Factory Costs'!$B:$B,B19))</f>
        <v>62</v>
      </c>
    </row>
    <row r="20" spans="1:3" x14ac:dyDescent="0.25">
      <c r="A20" s="1" t="s">
        <v>6612</v>
      </c>
      <c r="B20" s="1" t="s">
        <v>16374</v>
      </c>
      <c r="C20" s="3">
        <f>IF(B20="","",SUMIFS('Factory Costs'!$C:$C,'Factory Costs'!$A:$A,"Motor",'Factory Costs'!$B:$B,B20))</f>
        <v>62</v>
      </c>
    </row>
    <row r="21" spans="1:3" x14ac:dyDescent="0.25">
      <c r="A21" s="1" t="s">
        <v>6615</v>
      </c>
      <c r="B21" s="1" t="s">
        <v>16374</v>
      </c>
      <c r="C21" s="3">
        <f>IF(B21="","",SUMIFS('Factory Costs'!$C:$C,'Factory Costs'!$A:$A,"Motor",'Factory Costs'!$B:$B,B21))</f>
        <v>62</v>
      </c>
    </row>
    <row r="22" spans="1:3" x14ac:dyDescent="0.25">
      <c r="A22" s="1" t="s">
        <v>6618</v>
      </c>
      <c r="B22" s="1" t="s">
        <v>16375</v>
      </c>
      <c r="C22" s="3">
        <f>IF(B22="","",SUMIFS('Factory Costs'!$C:$C,'Factory Costs'!$A:$A,"Motor",'Factory Costs'!$B:$B,B22))</f>
        <v>72</v>
      </c>
    </row>
    <row r="23" spans="1:3" x14ac:dyDescent="0.25">
      <c r="A23" s="1" t="s">
        <v>6621</v>
      </c>
      <c r="B23" s="1" t="s">
        <v>16374</v>
      </c>
      <c r="C23" s="3">
        <f>IF(B23="","",SUMIFS('Factory Costs'!$C:$C,'Factory Costs'!$A:$A,"Motor",'Factory Costs'!$B:$B,B23))</f>
        <v>62</v>
      </c>
    </row>
    <row r="24" spans="1:3" x14ac:dyDescent="0.25">
      <c r="A24" s="1" t="s">
        <v>6624</v>
      </c>
      <c r="B24" s="1" t="s">
        <v>16374</v>
      </c>
      <c r="C24" s="3">
        <f>IF(B24="","",SUMIFS('Factory Costs'!$C:$C,'Factory Costs'!$A:$A,"Motor",'Factory Costs'!$B:$B,B24))</f>
        <v>62</v>
      </c>
    </row>
    <row r="25" spans="1:3" x14ac:dyDescent="0.25">
      <c r="A25" s="1" t="s">
        <v>6627</v>
      </c>
      <c r="B25" s="1" t="s">
        <v>16374</v>
      </c>
      <c r="C25" s="3">
        <f>IF(B25="","",SUMIFS('Factory Costs'!$C:$C,'Factory Costs'!$A:$A,"Motor",'Factory Costs'!$B:$B,B25))</f>
        <v>62</v>
      </c>
    </row>
    <row r="26" spans="1:3" x14ac:dyDescent="0.25">
      <c r="A26" s="1" t="s">
        <v>6630</v>
      </c>
      <c r="B26" s="1" t="s">
        <v>16375</v>
      </c>
      <c r="C26" s="3">
        <f>IF(B26="","",SUMIFS('Factory Costs'!$C:$C,'Factory Costs'!$A:$A,"Motor",'Factory Costs'!$B:$B,B26))</f>
        <v>72</v>
      </c>
    </row>
    <row r="27" spans="1:3" x14ac:dyDescent="0.25">
      <c r="A27" s="1" t="s">
        <v>6633</v>
      </c>
      <c r="B27" s="1" t="s">
        <v>16374</v>
      </c>
      <c r="C27" s="3">
        <f>IF(B27="","",SUMIFS('Factory Costs'!$C:$C,'Factory Costs'!$A:$A,"Motor",'Factory Costs'!$B:$B,B27))</f>
        <v>62</v>
      </c>
    </row>
    <row r="28" spans="1:3" x14ac:dyDescent="0.25">
      <c r="A28" s="1" t="s">
        <v>6636</v>
      </c>
      <c r="B28" s="1" t="s">
        <v>16374</v>
      </c>
      <c r="C28" s="3">
        <f>IF(B28="","",SUMIFS('Factory Costs'!$C:$C,'Factory Costs'!$A:$A,"Motor",'Factory Costs'!$B:$B,B28))</f>
        <v>62</v>
      </c>
    </row>
    <row r="29" spans="1:3" x14ac:dyDescent="0.25">
      <c r="A29" s="1" t="s">
        <v>6639</v>
      </c>
      <c r="B29" s="1" t="s">
        <v>16374</v>
      </c>
      <c r="C29" s="3">
        <f>IF(B29="","",SUMIFS('Factory Costs'!$C:$C,'Factory Costs'!$A:$A,"Motor",'Factory Costs'!$B:$B,B29))</f>
        <v>62</v>
      </c>
    </row>
    <row r="30" spans="1:3" x14ac:dyDescent="0.25">
      <c r="A30" s="1" t="s">
        <v>6642</v>
      </c>
      <c r="B30" s="1" t="s">
        <v>16374</v>
      </c>
      <c r="C30" s="3">
        <f>IF(B30="","",SUMIFS('Factory Costs'!$C:$C,'Factory Costs'!$A:$A,"Motor",'Factory Costs'!$B:$B,B30))</f>
        <v>62</v>
      </c>
    </row>
    <row r="31" spans="1:3" x14ac:dyDescent="0.25">
      <c r="A31" s="1" t="s">
        <v>6645</v>
      </c>
      <c r="B31" s="1" t="s">
        <v>16374</v>
      </c>
      <c r="C31" s="3">
        <f>IF(B31="","",SUMIFS('Factory Costs'!$C:$C,'Factory Costs'!$A:$A,"Motor",'Factory Costs'!$B:$B,B31))</f>
        <v>62</v>
      </c>
    </row>
    <row r="32" spans="1:3" x14ac:dyDescent="0.25">
      <c r="A32" s="1" t="s">
        <v>6648</v>
      </c>
      <c r="B32" s="1" t="s">
        <v>16374</v>
      </c>
      <c r="C32" s="3">
        <f>IF(B32="","",SUMIFS('Factory Costs'!$C:$C,'Factory Costs'!$A:$A,"Motor",'Factory Costs'!$B:$B,B32))</f>
        <v>62</v>
      </c>
    </row>
    <row r="33" spans="1:3" x14ac:dyDescent="0.25">
      <c r="A33" s="1" t="s">
        <v>6651</v>
      </c>
      <c r="B33" s="1" t="s">
        <v>16374</v>
      </c>
      <c r="C33" s="3">
        <f>IF(B33="","",SUMIFS('Factory Costs'!$C:$C,'Factory Costs'!$A:$A,"Motor",'Factory Costs'!$B:$B,B33))</f>
        <v>62</v>
      </c>
    </row>
    <row r="34" spans="1:3" x14ac:dyDescent="0.25">
      <c r="A34" s="1" t="s">
        <v>6654</v>
      </c>
      <c r="B34" s="1" t="s">
        <v>16374</v>
      </c>
      <c r="C34" s="3">
        <f>IF(B34="","",SUMIFS('Factory Costs'!$C:$C,'Factory Costs'!$A:$A,"Motor",'Factory Costs'!$B:$B,B34))</f>
        <v>62</v>
      </c>
    </row>
    <row r="35" spans="1:3" x14ac:dyDescent="0.25">
      <c r="A35" s="1" t="s">
        <v>6657</v>
      </c>
      <c r="B35" s="1" t="s">
        <v>16375</v>
      </c>
      <c r="C35" s="3">
        <f>IF(B35="","",SUMIFS('Factory Costs'!$C:$C,'Factory Costs'!$A:$A,"Motor",'Factory Costs'!$B:$B,B35))</f>
        <v>72</v>
      </c>
    </row>
    <row r="36" spans="1:3" x14ac:dyDescent="0.25">
      <c r="A36" s="1" t="s">
        <v>6660</v>
      </c>
      <c r="B36" s="1" t="s">
        <v>16375</v>
      </c>
      <c r="C36" s="3">
        <f>IF(B36="","",SUMIFS('Factory Costs'!$C:$C,'Factory Costs'!$A:$A,"Motor",'Factory Costs'!$B:$B,B36))</f>
        <v>72</v>
      </c>
    </row>
    <row r="37" spans="1:3" x14ac:dyDescent="0.25">
      <c r="A37" s="1" t="s">
        <v>6663</v>
      </c>
      <c r="B37" s="1" t="s">
        <v>16374</v>
      </c>
      <c r="C37" s="3">
        <f>IF(B37="","",SUMIFS('Factory Costs'!$C:$C,'Factory Costs'!$A:$A,"Motor",'Factory Costs'!$B:$B,B37))</f>
        <v>62</v>
      </c>
    </row>
    <row r="38" spans="1:3" x14ac:dyDescent="0.25">
      <c r="A38" s="1" t="s">
        <v>6666</v>
      </c>
      <c r="B38" s="1" t="s">
        <v>16374</v>
      </c>
      <c r="C38" s="3">
        <f>IF(B38="","",SUMIFS('Factory Costs'!$C:$C,'Factory Costs'!$A:$A,"Motor",'Factory Costs'!$B:$B,B38))</f>
        <v>62</v>
      </c>
    </row>
    <row r="39" spans="1:3" x14ac:dyDescent="0.25">
      <c r="A39" s="1" t="s">
        <v>6669</v>
      </c>
      <c r="B39" s="1" t="s">
        <v>16374</v>
      </c>
      <c r="C39" s="3">
        <f>IF(B39="","",SUMIFS('Factory Costs'!$C:$C,'Factory Costs'!$A:$A,"Motor",'Factory Costs'!$B:$B,B39))</f>
        <v>62</v>
      </c>
    </row>
    <row r="40" spans="1:3" x14ac:dyDescent="0.25">
      <c r="A40" s="1" t="s">
        <v>6672</v>
      </c>
      <c r="B40" s="1" t="s">
        <v>16374</v>
      </c>
      <c r="C40" s="3">
        <f>IF(B40="","",SUMIFS('Factory Costs'!$C:$C,'Factory Costs'!$A:$A,"Motor",'Factory Costs'!$B:$B,B40))</f>
        <v>62</v>
      </c>
    </row>
    <row r="41" spans="1:3" x14ac:dyDescent="0.25">
      <c r="A41" s="1" t="s">
        <v>6675</v>
      </c>
      <c r="B41" s="1" t="s">
        <v>16374</v>
      </c>
      <c r="C41" s="3">
        <f>IF(B41="","",SUMIFS('Factory Costs'!$C:$C,'Factory Costs'!$A:$A,"Motor",'Factory Costs'!$B:$B,B41))</f>
        <v>62</v>
      </c>
    </row>
    <row r="42" spans="1:3" x14ac:dyDescent="0.25">
      <c r="A42" s="1" t="s">
        <v>6678</v>
      </c>
      <c r="B42" s="1" t="s">
        <v>16374</v>
      </c>
      <c r="C42" s="3">
        <f>IF(B42="","",SUMIFS('Factory Costs'!$C:$C,'Factory Costs'!$A:$A,"Motor",'Factory Costs'!$B:$B,B42))</f>
        <v>62</v>
      </c>
    </row>
    <row r="43" spans="1:3" x14ac:dyDescent="0.25">
      <c r="A43" s="1" t="s">
        <v>6681</v>
      </c>
      <c r="B43" s="1" t="s">
        <v>16375</v>
      </c>
      <c r="C43" s="3">
        <f>IF(B43="","",SUMIFS('Factory Costs'!$C:$C,'Factory Costs'!$A:$A,"Motor",'Factory Costs'!$B:$B,B43))</f>
        <v>72</v>
      </c>
    </row>
    <row r="44" spans="1:3" x14ac:dyDescent="0.25">
      <c r="A44" s="1" t="s">
        <v>6684</v>
      </c>
      <c r="B44" s="1" t="s">
        <v>16374</v>
      </c>
      <c r="C44" s="3">
        <f>IF(B44="","",SUMIFS('Factory Costs'!$C:$C,'Factory Costs'!$A:$A,"Motor",'Factory Costs'!$B:$B,B44))</f>
        <v>62</v>
      </c>
    </row>
    <row r="45" spans="1:3" x14ac:dyDescent="0.25">
      <c r="A45" s="1" t="s">
        <v>6687</v>
      </c>
      <c r="B45" s="1" t="s">
        <v>16375</v>
      </c>
      <c r="C45" s="3">
        <f>IF(B45="","",SUMIFS('Factory Costs'!$C:$C,'Factory Costs'!$A:$A,"Motor",'Factory Costs'!$B:$B,B45))</f>
        <v>72</v>
      </c>
    </row>
    <row r="46" spans="1:3" x14ac:dyDescent="0.25">
      <c r="A46" s="1" t="s">
        <v>6690</v>
      </c>
      <c r="B46" s="1" t="s">
        <v>16374</v>
      </c>
      <c r="C46" s="3">
        <f>IF(B46="","",SUMIFS('Factory Costs'!$C:$C,'Factory Costs'!$A:$A,"Motor",'Factory Costs'!$B:$B,B46))</f>
        <v>62</v>
      </c>
    </row>
    <row r="47" spans="1:3" x14ac:dyDescent="0.25">
      <c r="A47" s="1" t="s">
        <v>6693</v>
      </c>
      <c r="B47" s="1" t="s">
        <v>16374</v>
      </c>
      <c r="C47" s="3">
        <f>IF(B47="","",SUMIFS('Factory Costs'!$C:$C,'Factory Costs'!$A:$A,"Motor",'Factory Costs'!$B:$B,B47))</f>
        <v>62</v>
      </c>
    </row>
    <row r="48" spans="1:3" x14ac:dyDescent="0.25">
      <c r="A48" s="1" t="s">
        <v>6696</v>
      </c>
      <c r="B48" s="1" t="s">
        <v>16375</v>
      </c>
      <c r="C48" s="3">
        <f>IF(B48="","",SUMIFS('Factory Costs'!$C:$C,'Factory Costs'!$A:$A,"Motor",'Factory Costs'!$B:$B,B48))</f>
        <v>72</v>
      </c>
    </row>
    <row r="49" spans="1:3" x14ac:dyDescent="0.25">
      <c r="A49" s="1" t="s">
        <v>6699</v>
      </c>
      <c r="B49" s="1" t="s">
        <v>16375</v>
      </c>
      <c r="C49" s="3">
        <f>IF(B49="","",SUMIFS('Factory Costs'!$C:$C,'Factory Costs'!$A:$A,"Motor",'Factory Costs'!$B:$B,B49))</f>
        <v>72</v>
      </c>
    </row>
    <row r="50" spans="1:3" x14ac:dyDescent="0.25">
      <c r="A50" s="1" t="s">
        <v>6702</v>
      </c>
      <c r="B50" s="1" t="s">
        <v>16374</v>
      </c>
      <c r="C50" s="3">
        <f>IF(B50="","",SUMIFS('Factory Costs'!$C:$C,'Factory Costs'!$A:$A,"Motor",'Factory Costs'!$B:$B,B50))</f>
        <v>62</v>
      </c>
    </row>
    <row r="51" spans="1:3" x14ac:dyDescent="0.25">
      <c r="A51" s="1" t="s">
        <v>6705</v>
      </c>
      <c r="B51" s="1" t="s">
        <v>16375</v>
      </c>
      <c r="C51" s="3">
        <f>IF(B51="","",SUMIFS('Factory Costs'!$C:$C,'Factory Costs'!$A:$A,"Motor",'Factory Costs'!$B:$B,B51))</f>
        <v>72</v>
      </c>
    </row>
    <row r="52" spans="1:3" x14ac:dyDescent="0.25">
      <c r="A52" s="1" t="s">
        <v>6708</v>
      </c>
      <c r="B52" s="1" t="s">
        <v>16375</v>
      </c>
      <c r="C52" s="3">
        <f>IF(B52="","",SUMIFS('Factory Costs'!$C:$C,'Factory Costs'!$A:$A,"Motor",'Factory Costs'!$B:$B,B52))</f>
        <v>72</v>
      </c>
    </row>
    <row r="53" spans="1:3" x14ac:dyDescent="0.25">
      <c r="A53" s="1" t="s">
        <v>6711</v>
      </c>
      <c r="B53" s="1" t="s">
        <v>16374</v>
      </c>
      <c r="C53" s="3">
        <f>IF(B53="","",SUMIFS('Factory Costs'!$C:$C,'Factory Costs'!$A:$A,"Motor",'Factory Costs'!$B:$B,B53))</f>
        <v>62</v>
      </c>
    </row>
    <row r="54" spans="1:3" x14ac:dyDescent="0.25">
      <c r="A54" s="1" t="s">
        <v>6714</v>
      </c>
      <c r="B54" s="1" t="s">
        <v>16375</v>
      </c>
      <c r="C54" s="3">
        <f>IF(B54="","",SUMIFS('Factory Costs'!$C:$C,'Factory Costs'!$A:$A,"Motor",'Factory Costs'!$B:$B,B54))</f>
        <v>72</v>
      </c>
    </row>
    <row r="55" spans="1:3" x14ac:dyDescent="0.25">
      <c r="A55" s="1" t="s">
        <v>6717</v>
      </c>
      <c r="B55" s="1" t="s">
        <v>16375</v>
      </c>
      <c r="C55" s="3">
        <f>IF(B55="","",SUMIFS('Factory Costs'!$C:$C,'Factory Costs'!$A:$A,"Motor",'Factory Costs'!$B:$B,B55))</f>
        <v>72</v>
      </c>
    </row>
    <row r="56" spans="1:3" x14ac:dyDescent="0.25">
      <c r="A56" s="1" t="s">
        <v>6720</v>
      </c>
      <c r="B56" s="1" t="s">
        <v>16374</v>
      </c>
      <c r="C56" s="3">
        <f>IF(B56="","",SUMIFS('Factory Costs'!$C:$C,'Factory Costs'!$A:$A,"Motor",'Factory Costs'!$B:$B,B56))</f>
        <v>62</v>
      </c>
    </row>
    <row r="57" spans="1:3" x14ac:dyDescent="0.25">
      <c r="A57" s="1" t="s">
        <v>6723</v>
      </c>
      <c r="B57" s="1" t="s">
        <v>16375</v>
      </c>
      <c r="C57" s="3">
        <f>IF(B57="","",SUMIFS('Factory Costs'!$C:$C,'Factory Costs'!$A:$A,"Motor",'Factory Costs'!$B:$B,B57))</f>
        <v>72</v>
      </c>
    </row>
    <row r="58" spans="1:3" x14ac:dyDescent="0.25">
      <c r="A58" s="1" t="s">
        <v>6726</v>
      </c>
      <c r="B58" s="1" t="s">
        <v>16375</v>
      </c>
      <c r="C58" s="3">
        <f>IF(B58="","",SUMIFS('Factory Costs'!$C:$C,'Factory Costs'!$A:$A,"Motor",'Factory Costs'!$B:$B,B58))</f>
        <v>72</v>
      </c>
    </row>
    <row r="59" spans="1:3" x14ac:dyDescent="0.25">
      <c r="A59" s="1" t="s">
        <v>6729</v>
      </c>
      <c r="B59" s="1" t="s">
        <v>16374</v>
      </c>
      <c r="C59" s="3">
        <f>IF(B59="","",SUMIFS('Factory Costs'!$C:$C,'Factory Costs'!$A:$A,"Motor",'Factory Costs'!$B:$B,B59))</f>
        <v>62</v>
      </c>
    </row>
    <row r="60" spans="1:3" x14ac:dyDescent="0.25">
      <c r="A60" s="1" t="s">
        <v>6732</v>
      </c>
      <c r="B60" s="1" t="s">
        <v>16375</v>
      </c>
      <c r="C60" s="3">
        <f>IF(B60="","",SUMIFS('Factory Costs'!$C:$C,'Factory Costs'!$A:$A,"Motor",'Factory Costs'!$B:$B,B60))</f>
        <v>72</v>
      </c>
    </row>
    <row r="61" spans="1:3" x14ac:dyDescent="0.25">
      <c r="A61" s="1" t="s">
        <v>6735</v>
      </c>
      <c r="B61" s="1" t="s">
        <v>16374</v>
      </c>
      <c r="C61" s="3">
        <f>IF(B61="","",SUMIFS('Factory Costs'!$C:$C,'Factory Costs'!$A:$A,"Motor",'Factory Costs'!$B:$B,B61))</f>
        <v>62</v>
      </c>
    </row>
    <row r="62" spans="1:3" x14ac:dyDescent="0.25">
      <c r="A62" s="1" t="s">
        <v>6738</v>
      </c>
      <c r="B62" s="1" t="s">
        <v>16375</v>
      </c>
      <c r="C62" s="3">
        <f>IF(B62="","",SUMIFS('Factory Costs'!$C:$C,'Factory Costs'!$A:$A,"Motor",'Factory Costs'!$B:$B,B62))</f>
        <v>72</v>
      </c>
    </row>
    <row r="63" spans="1:3" x14ac:dyDescent="0.25">
      <c r="A63" s="1" t="s">
        <v>6741</v>
      </c>
      <c r="B63" s="1" t="s">
        <v>16374</v>
      </c>
      <c r="C63" s="3">
        <f>IF(B63="","",SUMIFS('Factory Costs'!$C:$C,'Factory Costs'!$A:$A,"Motor",'Factory Costs'!$B:$B,B63))</f>
        <v>62</v>
      </c>
    </row>
    <row r="64" spans="1:3" x14ac:dyDescent="0.25">
      <c r="A64" s="1" t="s">
        <v>6744</v>
      </c>
      <c r="B64" s="1" t="s">
        <v>16374</v>
      </c>
      <c r="C64" s="3">
        <f>IF(B64="","",SUMIFS('Factory Costs'!$C:$C,'Factory Costs'!$A:$A,"Motor",'Factory Costs'!$B:$B,B64))</f>
        <v>62</v>
      </c>
    </row>
    <row r="65" spans="1:3" x14ac:dyDescent="0.25">
      <c r="A65" s="1" t="s">
        <v>6747</v>
      </c>
      <c r="B65" s="1" t="s">
        <v>16374</v>
      </c>
      <c r="C65" s="3">
        <f>IF(B65="","",SUMIFS('Factory Costs'!$C:$C,'Factory Costs'!$A:$A,"Motor",'Factory Costs'!$B:$B,B65))</f>
        <v>62</v>
      </c>
    </row>
    <row r="66" spans="1:3" x14ac:dyDescent="0.25">
      <c r="A66" s="1" t="s">
        <v>6750</v>
      </c>
      <c r="B66" s="1" t="s">
        <v>16374</v>
      </c>
      <c r="C66" s="3">
        <f>IF(B66="","",SUMIFS('Factory Costs'!$C:$C,'Factory Costs'!$A:$A,"Motor",'Factory Costs'!$B:$B,B66))</f>
        <v>62</v>
      </c>
    </row>
    <row r="67" spans="1:3" x14ac:dyDescent="0.25">
      <c r="A67" s="1" t="s">
        <v>6753</v>
      </c>
      <c r="B67" s="1" t="s">
        <v>16375</v>
      </c>
      <c r="C67" s="3">
        <f>IF(B67="","",SUMIFS('Factory Costs'!$C:$C,'Factory Costs'!$A:$A,"Motor",'Factory Costs'!$B:$B,B67))</f>
        <v>72</v>
      </c>
    </row>
    <row r="68" spans="1:3" x14ac:dyDescent="0.25">
      <c r="A68" s="1" t="s">
        <v>6756</v>
      </c>
      <c r="B68" s="1" t="s">
        <v>16375</v>
      </c>
      <c r="C68" s="3">
        <f>IF(B68="","",SUMIFS('Factory Costs'!$C:$C,'Factory Costs'!$A:$A,"Motor",'Factory Costs'!$B:$B,B68))</f>
        <v>72</v>
      </c>
    </row>
    <row r="69" spans="1:3" x14ac:dyDescent="0.25">
      <c r="A69" s="1" t="s">
        <v>6759</v>
      </c>
      <c r="B69" s="1" t="s">
        <v>16374</v>
      </c>
      <c r="C69" s="3">
        <f>IF(B69="","",SUMIFS('Factory Costs'!$C:$C,'Factory Costs'!$A:$A,"Motor",'Factory Costs'!$B:$B,B69))</f>
        <v>62</v>
      </c>
    </row>
    <row r="70" spans="1:3" x14ac:dyDescent="0.25">
      <c r="A70" s="1" t="s">
        <v>6762</v>
      </c>
      <c r="B70" s="1" t="s">
        <v>16374</v>
      </c>
      <c r="C70" s="3">
        <f>IF(B70="","",SUMIFS('Factory Costs'!$C:$C,'Factory Costs'!$A:$A,"Motor",'Factory Costs'!$B:$B,B70))</f>
        <v>62</v>
      </c>
    </row>
    <row r="71" spans="1:3" x14ac:dyDescent="0.25">
      <c r="A71" s="1" t="s">
        <v>6765</v>
      </c>
      <c r="B71" s="1" t="s">
        <v>16375</v>
      </c>
      <c r="C71" s="3">
        <f>IF(B71="","",SUMIFS('Factory Costs'!$C:$C,'Factory Costs'!$A:$A,"Motor",'Factory Costs'!$B:$B,B71))</f>
        <v>72</v>
      </c>
    </row>
    <row r="72" spans="1:3" x14ac:dyDescent="0.25">
      <c r="A72" s="1" t="s">
        <v>6768</v>
      </c>
      <c r="B72" s="1" t="s">
        <v>16374</v>
      </c>
      <c r="C72" s="3">
        <f>IF(B72="","",SUMIFS('Factory Costs'!$C:$C,'Factory Costs'!$A:$A,"Motor",'Factory Costs'!$B:$B,B72))</f>
        <v>62</v>
      </c>
    </row>
    <row r="73" spans="1:3" x14ac:dyDescent="0.25">
      <c r="A73" s="1" t="s">
        <v>6771</v>
      </c>
      <c r="B73" s="1" t="s">
        <v>16375</v>
      </c>
      <c r="C73" s="3">
        <f>IF(B73="","",SUMIFS('Factory Costs'!$C:$C,'Factory Costs'!$A:$A,"Motor",'Factory Costs'!$B:$B,B73))</f>
        <v>72</v>
      </c>
    </row>
    <row r="74" spans="1:3" x14ac:dyDescent="0.25">
      <c r="A74" s="1" t="s">
        <v>6774</v>
      </c>
      <c r="B74" s="1" t="s">
        <v>16374</v>
      </c>
      <c r="C74" s="3">
        <f>IF(B74="","",SUMIFS('Factory Costs'!$C:$C,'Factory Costs'!$A:$A,"Motor",'Factory Costs'!$B:$B,B74))</f>
        <v>62</v>
      </c>
    </row>
    <row r="75" spans="1:3" x14ac:dyDescent="0.25">
      <c r="A75" s="1" t="s">
        <v>6777</v>
      </c>
      <c r="B75" s="1" t="s">
        <v>16375</v>
      </c>
      <c r="C75" s="3">
        <f>IF(B75="","",SUMIFS('Factory Costs'!$C:$C,'Factory Costs'!$A:$A,"Motor",'Factory Costs'!$B:$B,B75))</f>
        <v>72</v>
      </c>
    </row>
    <row r="76" spans="1:3" x14ac:dyDescent="0.25">
      <c r="A76" s="1" t="s">
        <v>6780</v>
      </c>
      <c r="B76" s="1" t="s">
        <v>16374</v>
      </c>
      <c r="C76" s="3">
        <f>IF(B76="","",SUMIFS('Factory Costs'!$C:$C,'Factory Costs'!$A:$A,"Motor",'Factory Costs'!$B:$B,B76))</f>
        <v>62</v>
      </c>
    </row>
    <row r="77" spans="1:3" x14ac:dyDescent="0.25">
      <c r="A77" s="1" t="s">
        <v>6783</v>
      </c>
      <c r="B77" s="1" t="s">
        <v>16374</v>
      </c>
      <c r="C77" s="3">
        <f>IF(B77="","",SUMIFS('Factory Costs'!$C:$C,'Factory Costs'!$A:$A,"Motor",'Factory Costs'!$B:$B,B77))</f>
        <v>62</v>
      </c>
    </row>
    <row r="78" spans="1:3" x14ac:dyDescent="0.25">
      <c r="A78" s="1" t="s">
        <v>6786</v>
      </c>
      <c r="B78" s="1" t="s">
        <v>16374</v>
      </c>
      <c r="C78" s="3">
        <f>IF(B78="","",SUMIFS('Factory Costs'!$C:$C,'Factory Costs'!$A:$A,"Motor",'Factory Costs'!$B:$B,B78))</f>
        <v>62</v>
      </c>
    </row>
    <row r="79" spans="1:3" x14ac:dyDescent="0.25">
      <c r="A79" s="1" t="s">
        <v>6789</v>
      </c>
      <c r="B79" s="1" t="s">
        <v>16374</v>
      </c>
      <c r="C79" s="3">
        <f>IF(B79="","",SUMIFS('Factory Costs'!$C:$C,'Factory Costs'!$A:$A,"Motor",'Factory Costs'!$B:$B,B79))</f>
        <v>62</v>
      </c>
    </row>
    <row r="80" spans="1:3" x14ac:dyDescent="0.25">
      <c r="A80" s="1" t="s">
        <v>6792</v>
      </c>
      <c r="B80" s="1" t="s">
        <v>16375</v>
      </c>
      <c r="C80" s="3">
        <f>IF(B80="","",SUMIFS('Factory Costs'!$C:$C,'Factory Costs'!$A:$A,"Motor",'Factory Costs'!$B:$B,B80))</f>
        <v>72</v>
      </c>
    </row>
    <row r="81" spans="1:3" x14ac:dyDescent="0.25">
      <c r="A81" s="1" t="s">
        <v>6795</v>
      </c>
      <c r="B81" s="1" t="s">
        <v>16374</v>
      </c>
      <c r="C81" s="3">
        <f>IF(B81="","",SUMIFS('Factory Costs'!$C:$C,'Factory Costs'!$A:$A,"Motor",'Factory Costs'!$B:$B,B81))</f>
        <v>62</v>
      </c>
    </row>
    <row r="82" spans="1:3" x14ac:dyDescent="0.25">
      <c r="A82" s="1" t="s">
        <v>6798</v>
      </c>
      <c r="B82" s="1" t="s">
        <v>16375</v>
      </c>
      <c r="C82" s="3">
        <f>IF(B82="","",SUMIFS('Factory Costs'!$C:$C,'Factory Costs'!$A:$A,"Motor",'Factory Costs'!$B:$B,B82))</f>
        <v>72</v>
      </c>
    </row>
    <row r="83" spans="1:3" x14ac:dyDescent="0.25">
      <c r="A83" s="1" t="s">
        <v>6801</v>
      </c>
      <c r="B83" s="1" t="s">
        <v>16374</v>
      </c>
      <c r="C83" s="3">
        <f>IF(B83="","",SUMIFS('Factory Costs'!$C:$C,'Factory Costs'!$A:$A,"Motor",'Factory Costs'!$B:$B,B83))</f>
        <v>62</v>
      </c>
    </row>
    <row r="84" spans="1:3" x14ac:dyDescent="0.25">
      <c r="A84" s="1" t="s">
        <v>6804</v>
      </c>
      <c r="B84" s="1" t="s">
        <v>16375</v>
      </c>
      <c r="C84" s="3">
        <f>IF(B84="","",SUMIFS('Factory Costs'!$C:$C,'Factory Costs'!$A:$A,"Motor",'Factory Costs'!$B:$B,B84))</f>
        <v>72</v>
      </c>
    </row>
    <row r="85" spans="1:3" x14ac:dyDescent="0.25">
      <c r="A85" s="1" t="s">
        <v>6807</v>
      </c>
      <c r="B85" s="1" t="s">
        <v>16375</v>
      </c>
      <c r="C85" s="3">
        <f>IF(B85="","",SUMIFS('Factory Costs'!$C:$C,'Factory Costs'!$A:$A,"Motor",'Factory Costs'!$B:$B,B85))</f>
        <v>72</v>
      </c>
    </row>
    <row r="86" spans="1:3" x14ac:dyDescent="0.25">
      <c r="A86" s="1" t="s">
        <v>6810</v>
      </c>
      <c r="B86" s="1" t="s">
        <v>16374</v>
      </c>
      <c r="C86" s="3">
        <f>IF(B86="","",SUMIFS('Factory Costs'!$C:$C,'Factory Costs'!$A:$A,"Motor",'Factory Costs'!$B:$B,B86))</f>
        <v>62</v>
      </c>
    </row>
    <row r="87" spans="1:3" x14ac:dyDescent="0.25">
      <c r="A87" s="1" t="s">
        <v>6813</v>
      </c>
      <c r="B87" s="1" t="s">
        <v>16374</v>
      </c>
      <c r="C87" s="3">
        <f>IF(B87="","",SUMIFS('Factory Costs'!$C:$C,'Factory Costs'!$A:$A,"Motor",'Factory Costs'!$B:$B,B87))</f>
        <v>62</v>
      </c>
    </row>
    <row r="88" spans="1:3" x14ac:dyDescent="0.25">
      <c r="A88" s="1" t="s">
        <v>6816</v>
      </c>
      <c r="B88" s="1" t="s">
        <v>16374</v>
      </c>
      <c r="C88" s="3">
        <f>IF(B88="","",SUMIFS('Factory Costs'!$C:$C,'Factory Costs'!$A:$A,"Motor",'Factory Costs'!$B:$B,B88))</f>
        <v>62</v>
      </c>
    </row>
    <row r="89" spans="1:3" x14ac:dyDescent="0.25">
      <c r="A89" s="1" t="s">
        <v>6819</v>
      </c>
      <c r="B89" s="1" t="s">
        <v>16374</v>
      </c>
      <c r="C89" s="3">
        <f>IF(B89="","",SUMIFS('Factory Costs'!$C:$C,'Factory Costs'!$A:$A,"Motor",'Factory Costs'!$B:$B,B89))</f>
        <v>62</v>
      </c>
    </row>
    <row r="90" spans="1:3" x14ac:dyDescent="0.25">
      <c r="A90" s="1" t="s">
        <v>6822</v>
      </c>
      <c r="B90" s="1" t="s">
        <v>16374</v>
      </c>
      <c r="C90" s="3">
        <f>IF(B90="","",SUMIFS('Factory Costs'!$C:$C,'Factory Costs'!$A:$A,"Motor",'Factory Costs'!$B:$B,B90))</f>
        <v>62</v>
      </c>
    </row>
    <row r="91" spans="1:3" x14ac:dyDescent="0.25">
      <c r="A91" s="1" t="s">
        <v>6825</v>
      </c>
      <c r="B91" s="1" t="s">
        <v>16374</v>
      </c>
      <c r="C91" s="3">
        <f>IF(B91="","",SUMIFS('Factory Costs'!$C:$C,'Factory Costs'!$A:$A,"Motor",'Factory Costs'!$B:$B,B91))</f>
        <v>62</v>
      </c>
    </row>
    <row r="92" spans="1:3" x14ac:dyDescent="0.25">
      <c r="A92" s="1" t="s">
        <v>6828</v>
      </c>
      <c r="B92" s="1" t="s">
        <v>16375</v>
      </c>
      <c r="C92" s="3">
        <f>IF(B92="","",SUMIFS('Factory Costs'!$C:$C,'Factory Costs'!$A:$A,"Motor",'Factory Costs'!$B:$B,B92))</f>
        <v>72</v>
      </c>
    </row>
    <row r="93" spans="1:3" x14ac:dyDescent="0.25">
      <c r="A93" s="1" t="s">
        <v>6831</v>
      </c>
      <c r="B93" s="1" t="s">
        <v>16374</v>
      </c>
      <c r="C93" s="3">
        <f>IF(B93="","",SUMIFS('Factory Costs'!$C:$C,'Factory Costs'!$A:$A,"Motor",'Factory Costs'!$B:$B,B93))</f>
        <v>62</v>
      </c>
    </row>
    <row r="94" spans="1:3" x14ac:dyDescent="0.25">
      <c r="A94" s="1" t="s">
        <v>6834</v>
      </c>
      <c r="B94" s="1" t="s">
        <v>16374</v>
      </c>
      <c r="C94" s="3">
        <f>IF(B94="","",SUMIFS('Factory Costs'!$C:$C,'Factory Costs'!$A:$A,"Motor",'Factory Costs'!$B:$B,B94))</f>
        <v>62</v>
      </c>
    </row>
    <row r="95" spans="1:3" x14ac:dyDescent="0.25">
      <c r="A95" s="1" t="s">
        <v>6837</v>
      </c>
      <c r="B95" s="1" t="s">
        <v>16374</v>
      </c>
      <c r="C95" s="3">
        <f>IF(B95="","",SUMIFS('Factory Costs'!$C:$C,'Factory Costs'!$A:$A,"Motor",'Factory Costs'!$B:$B,B95))</f>
        <v>62</v>
      </c>
    </row>
    <row r="96" spans="1:3" x14ac:dyDescent="0.25">
      <c r="A96" s="1" t="s">
        <v>6840</v>
      </c>
      <c r="B96" s="1" t="s">
        <v>16374</v>
      </c>
      <c r="C96" s="3">
        <f>IF(B96="","",SUMIFS('Factory Costs'!$C:$C,'Factory Costs'!$A:$A,"Motor",'Factory Costs'!$B:$B,B96))</f>
        <v>62</v>
      </c>
    </row>
    <row r="97" spans="1:3" x14ac:dyDescent="0.25">
      <c r="A97" s="1" t="s">
        <v>6843</v>
      </c>
      <c r="B97" s="1" t="s">
        <v>16374</v>
      </c>
      <c r="C97" s="3">
        <f>IF(B97="","",SUMIFS('Factory Costs'!$C:$C,'Factory Costs'!$A:$A,"Motor",'Factory Costs'!$B:$B,B97))</f>
        <v>62</v>
      </c>
    </row>
    <row r="98" spans="1:3" x14ac:dyDescent="0.25">
      <c r="A98" s="1" t="s">
        <v>6846</v>
      </c>
      <c r="B98" s="1" t="s">
        <v>16375</v>
      </c>
      <c r="C98" s="3">
        <f>IF(B98="","",SUMIFS('Factory Costs'!$C:$C,'Factory Costs'!$A:$A,"Motor",'Factory Costs'!$B:$B,B98))</f>
        <v>72</v>
      </c>
    </row>
    <row r="99" spans="1:3" x14ac:dyDescent="0.25">
      <c r="A99" s="1" t="s">
        <v>6849</v>
      </c>
      <c r="B99" s="1" t="s">
        <v>16375</v>
      </c>
      <c r="C99" s="3">
        <f>IF(B99="","",SUMIFS('Factory Costs'!$C:$C,'Factory Costs'!$A:$A,"Motor",'Factory Costs'!$B:$B,B99))</f>
        <v>72</v>
      </c>
    </row>
    <row r="100" spans="1:3" x14ac:dyDescent="0.25">
      <c r="A100" s="1" t="s">
        <v>6852</v>
      </c>
      <c r="B100" s="1" t="s">
        <v>16374</v>
      </c>
      <c r="C100" s="3">
        <f>IF(B100="","",SUMIFS('Factory Costs'!$C:$C,'Factory Costs'!$A:$A,"Motor",'Factory Costs'!$B:$B,B100))</f>
        <v>62</v>
      </c>
    </row>
    <row r="101" spans="1:3" x14ac:dyDescent="0.25">
      <c r="A101" s="1" t="s">
        <v>6855</v>
      </c>
      <c r="B101" s="1" t="s">
        <v>16374</v>
      </c>
      <c r="C101" s="3">
        <f>IF(B101="","",SUMIFS('Factory Costs'!$C:$C,'Factory Costs'!$A:$A,"Motor",'Factory Costs'!$B:$B,B101))</f>
        <v>62</v>
      </c>
    </row>
    <row r="102" spans="1:3" x14ac:dyDescent="0.25">
      <c r="A102" s="1" t="s">
        <v>6858</v>
      </c>
      <c r="B102" s="1" t="s">
        <v>16375</v>
      </c>
      <c r="C102" s="3">
        <f>IF(B102="","",SUMIFS('Factory Costs'!$C:$C,'Factory Costs'!$A:$A,"Motor",'Factory Costs'!$B:$B,B102))</f>
        <v>72</v>
      </c>
    </row>
    <row r="103" spans="1:3" x14ac:dyDescent="0.25">
      <c r="A103" s="1" t="s">
        <v>6861</v>
      </c>
      <c r="B103" s="1" t="s">
        <v>16375</v>
      </c>
      <c r="C103" s="3">
        <f>IF(B103="","",SUMIFS('Factory Costs'!$C:$C,'Factory Costs'!$A:$A,"Motor",'Factory Costs'!$B:$B,B103))</f>
        <v>72</v>
      </c>
    </row>
    <row r="104" spans="1:3" x14ac:dyDescent="0.25">
      <c r="A104" s="1" t="s">
        <v>6864</v>
      </c>
      <c r="B104" s="1" t="s">
        <v>16374</v>
      </c>
      <c r="C104" s="3">
        <f>IF(B104="","",SUMIFS('Factory Costs'!$C:$C,'Factory Costs'!$A:$A,"Motor",'Factory Costs'!$B:$B,B104))</f>
        <v>62</v>
      </c>
    </row>
    <row r="105" spans="1:3" x14ac:dyDescent="0.25">
      <c r="A105" s="1" t="s">
        <v>6867</v>
      </c>
      <c r="B105" s="1" t="s">
        <v>16375</v>
      </c>
      <c r="C105" s="3">
        <f>IF(B105="","",SUMIFS('Factory Costs'!$C:$C,'Factory Costs'!$A:$A,"Motor",'Factory Costs'!$B:$B,B105))</f>
        <v>72</v>
      </c>
    </row>
    <row r="106" spans="1:3" x14ac:dyDescent="0.25">
      <c r="A106" s="1" t="s">
        <v>6870</v>
      </c>
      <c r="B106" s="1" t="s">
        <v>16375</v>
      </c>
      <c r="C106" s="3">
        <f>IF(B106="","",SUMIFS('Factory Costs'!$C:$C,'Factory Costs'!$A:$A,"Motor",'Factory Costs'!$B:$B,B106))</f>
        <v>72</v>
      </c>
    </row>
    <row r="107" spans="1:3" x14ac:dyDescent="0.25">
      <c r="A107" s="1" t="s">
        <v>6873</v>
      </c>
      <c r="B107" s="1" t="s">
        <v>16374</v>
      </c>
      <c r="C107" s="3">
        <f>IF(B107="","",SUMIFS('Factory Costs'!$C:$C,'Factory Costs'!$A:$A,"Motor",'Factory Costs'!$B:$B,B107))</f>
        <v>62</v>
      </c>
    </row>
    <row r="108" spans="1:3" x14ac:dyDescent="0.25">
      <c r="A108" s="1" t="s">
        <v>6876</v>
      </c>
      <c r="B108" s="1" t="s">
        <v>16374</v>
      </c>
      <c r="C108" s="3">
        <f>IF(B108="","",SUMIFS('Factory Costs'!$C:$C,'Factory Costs'!$A:$A,"Motor",'Factory Costs'!$B:$B,B108))</f>
        <v>62</v>
      </c>
    </row>
    <row r="109" spans="1:3" x14ac:dyDescent="0.25">
      <c r="A109" s="1" t="s">
        <v>6879</v>
      </c>
      <c r="B109" s="1" t="s">
        <v>16375</v>
      </c>
      <c r="C109" s="3">
        <f>IF(B109="","",SUMIFS('Factory Costs'!$C:$C,'Factory Costs'!$A:$A,"Motor",'Factory Costs'!$B:$B,B109))</f>
        <v>72</v>
      </c>
    </row>
    <row r="110" spans="1:3" x14ac:dyDescent="0.25">
      <c r="A110" s="1" t="s">
        <v>6882</v>
      </c>
      <c r="B110" s="1" t="s">
        <v>16374</v>
      </c>
      <c r="C110" s="3">
        <f>IF(B110="","",SUMIFS('Factory Costs'!$C:$C,'Factory Costs'!$A:$A,"Motor",'Factory Costs'!$B:$B,B110))</f>
        <v>62</v>
      </c>
    </row>
    <row r="111" spans="1:3" x14ac:dyDescent="0.25">
      <c r="A111" s="1" t="s">
        <v>6885</v>
      </c>
      <c r="B111" s="1" t="s">
        <v>16374</v>
      </c>
      <c r="C111" s="3">
        <f>IF(B111="","",SUMIFS('Factory Costs'!$C:$C,'Factory Costs'!$A:$A,"Motor",'Factory Costs'!$B:$B,B111))</f>
        <v>62</v>
      </c>
    </row>
    <row r="112" spans="1:3" x14ac:dyDescent="0.25">
      <c r="A112" s="1" t="s">
        <v>6888</v>
      </c>
      <c r="B112" s="1" t="s">
        <v>16374</v>
      </c>
      <c r="C112" s="3">
        <f>IF(B112="","",SUMIFS('Factory Costs'!$C:$C,'Factory Costs'!$A:$A,"Motor",'Factory Costs'!$B:$B,B112))</f>
        <v>62</v>
      </c>
    </row>
    <row r="113" spans="1:3" x14ac:dyDescent="0.25">
      <c r="A113" s="1" t="s">
        <v>6891</v>
      </c>
      <c r="B113" s="1" t="s">
        <v>16374</v>
      </c>
      <c r="C113" s="3">
        <f>IF(B113="","",SUMIFS('Factory Costs'!$C:$C,'Factory Costs'!$A:$A,"Motor",'Factory Costs'!$B:$B,B113))</f>
        <v>62</v>
      </c>
    </row>
    <row r="114" spans="1:3" x14ac:dyDescent="0.25">
      <c r="A114" s="1" t="s">
        <v>6894</v>
      </c>
      <c r="B114" s="1" t="s">
        <v>16374</v>
      </c>
      <c r="C114" s="3">
        <f>IF(B114="","",SUMIFS('Factory Costs'!$C:$C,'Factory Costs'!$A:$A,"Motor",'Factory Costs'!$B:$B,B114))</f>
        <v>62</v>
      </c>
    </row>
    <row r="115" spans="1:3" x14ac:dyDescent="0.25">
      <c r="A115" s="1" t="s">
        <v>6897</v>
      </c>
      <c r="B115" s="1" t="s">
        <v>16374</v>
      </c>
      <c r="C115" s="3">
        <f>IF(B115="","",SUMIFS('Factory Costs'!$C:$C,'Factory Costs'!$A:$A,"Motor",'Factory Costs'!$B:$B,B115))</f>
        <v>62</v>
      </c>
    </row>
    <row r="116" spans="1:3" x14ac:dyDescent="0.25">
      <c r="A116" s="1" t="s">
        <v>6900</v>
      </c>
      <c r="B116" s="1" t="s">
        <v>16374</v>
      </c>
      <c r="C116" s="3">
        <f>IF(B116="","",SUMIFS('Factory Costs'!$C:$C,'Factory Costs'!$A:$A,"Motor",'Factory Costs'!$B:$B,B116))</f>
        <v>62</v>
      </c>
    </row>
    <row r="117" spans="1:3" x14ac:dyDescent="0.25">
      <c r="A117" s="1" t="s">
        <v>6903</v>
      </c>
      <c r="B117" s="1" t="s">
        <v>16375</v>
      </c>
      <c r="C117" s="3">
        <f>IF(B117="","",SUMIFS('Factory Costs'!$C:$C,'Factory Costs'!$A:$A,"Motor",'Factory Costs'!$B:$B,B117))</f>
        <v>72</v>
      </c>
    </row>
    <row r="118" spans="1:3" x14ac:dyDescent="0.25">
      <c r="A118" s="1" t="s">
        <v>6906</v>
      </c>
      <c r="B118" s="1" t="s">
        <v>16375</v>
      </c>
      <c r="C118" s="3">
        <f>IF(B118="","",SUMIFS('Factory Costs'!$C:$C,'Factory Costs'!$A:$A,"Motor",'Factory Costs'!$B:$B,B118))</f>
        <v>72</v>
      </c>
    </row>
    <row r="119" spans="1:3" x14ac:dyDescent="0.25">
      <c r="A119" s="1" t="s">
        <v>6909</v>
      </c>
      <c r="B119" s="1" t="s">
        <v>16374</v>
      </c>
      <c r="C119" s="3">
        <f>IF(B119="","",SUMIFS('Factory Costs'!$C:$C,'Factory Costs'!$A:$A,"Motor",'Factory Costs'!$B:$B,B119))</f>
        <v>62</v>
      </c>
    </row>
    <row r="120" spans="1:3" x14ac:dyDescent="0.25">
      <c r="A120" s="1" t="s">
        <v>6912</v>
      </c>
      <c r="B120" s="1" t="s">
        <v>16374</v>
      </c>
      <c r="C120" s="3">
        <f>IF(B120="","",SUMIFS('Factory Costs'!$C:$C,'Factory Costs'!$A:$A,"Motor",'Factory Costs'!$B:$B,B120))</f>
        <v>62</v>
      </c>
    </row>
    <row r="121" spans="1:3" x14ac:dyDescent="0.25">
      <c r="A121" s="1" t="s">
        <v>6915</v>
      </c>
      <c r="B121" s="1" t="s">
        <v>16375</v>
      </c>
      <c r="C121" s="3">
        <f>IF(B121="","",SUMIFS('Factory Costs'!$C:$C,'Factory Costs'!$A:$A,"Motor",'Factory Costs'!$B:$B,B121))</f>
        <v>72</v>
      </c>
    </row>
    <row r="122" spans="1:3" x14ac:dyDescent="0.25">
      <c r="A122" s="1" t="s">
        <v>6918</v>
      </c>
      <c r="B122" s="1" t="s">
        <v>16374</v>
      </c>
      <c r="C122" s="3">
        <f>IF(B122="","",SUMIFS('Factory Costs'!$C:$C,'Factory Costs'!$A:$A,"Motor",'Factory Costs'!$B:$B,B122))</f>
        <v>62</v>
      </c>
    </row>
    <row r="123" spans="1:3" x14ac:dyDescent="0.25">
      <c r="A123" s="1" t="s">
        <v>6921</v>
      </c>
      <c r="B123" s="1" t="s">
        <v>16374</v>
      </c>
      <c r="C123" s="3">
        <f>IF(B123="","",SUMIFS('Factory Costs'!$C:$C,'Factory Costs'!$A:$A,"Motor",'Factory Costs'!$B:$B,B123))</f>
        <v>62</v>
      </c>
    </row>
    <row r="124" spans="1:3" x14ac:dyDescent="0.25">
      <c r="A124" s="1" t="s">
        <v>6924</v>
      </c>
      <c r="B124" s="1" t="s">
        <v>16374</v>
      </c>
      <c r="C124" s="3">
        <f>IF(B124="","",SUMIFS('Factory Costs'!$C:$C,'Factory Costs'!$A:$A,"Motor",'Factory Costs'!$B:$B,B124))</f>
        <v>62</v>
      </c>
    </row>
    <row r="125" spans="1:3" x14ac:dyDescent="0.25">
      <c r="A125" s="1" t="s">
        <v>6927</v>
      </c>
      <c r="B125" s="1" t="s">
        <v>16375</v>
      </c>
      <c r="C125" s="3">
        <f>IF(B125="","",SUMIFS('Factory Costs'!$C:$C,'Factory Costs'!$A:$A,"Motor",'Factory Costs'!$B:$B,B125))</f>
        <v>72</v>
      </c>
    </row>
    <row r="126" spans="1:3" x14ac:dyDescent="0.25">
      <c r="A126" s="1" t="s">
        <v>6930</v>
      </c>
      <c r="B126" s="1" t="s">
        <v>16374</v>
      </c>
      <c r="C126" s="3">
        <f>IF(B126="","",SUMIFS('Factory Costs'!$C:$C,'Factory Costs'!$A:$A,"Motor",'Factory Costs'!$B:$B,B126))</f>
        <v>62</v>
      </c>
    </row>
    <row r="127" spans="1:3" x14ac:dyDescent="0.25">
      <c r="A127" s="1" t="s">
        <v>6933</v>
      </c>
      <c r="B127" s="1" t="s">
        <v>16374</v>
      </c>
      <c r="C127" s="3">
        <f>IF(B127="","",SUMIFS('Factory Costs'!$C:$C,'Factory Costs'!$A:$A,"Motor",'Factory Costs'!$B:$B,B127))</f>
        <v>62</v>
      </c>
    </row>
    <row r="128" spans="1:3" x14ac:dyDescent="0.25">
      <c r="A128" s="1" t="s">
        <v>6936</v>
      </c>
      <c r="B128" s="1" t="s">
        <v>16375</v>
      </c>
      <c r="C128" s="3">
        <f>IF(B128="","",SUMIFS('Factory Costs'!$C:$C,'Factory Costs'!$A:$A,"Motor",'Factory Costs'!$B:$B,B128))</f>
        <v>72</v>
      </c>
    </row>
    <row r="129" spans="1:3" x14ac:dyDescent="0.25">
      <c r="A129" s="1" t="s">
        <v>6939</v>
      </c>
      <c r="B129" s="1" t="s">
        <v>16375</v>
      </c>
      <c r="C129" s="3">
        <f>IF(B129="","",SUMIFS('Factory Costs'!$C:$C,'Factory Costs'!$A:$A,"Motor",'Factory Costs'!$B:$B,B129))</f>
        <v>72</v>
      </c>
    </row>
    <row r="130" spans="1:3" x14ac:dyDescent="0.25">
      <c r="A130" s="1" t="s">
        <v>6942</v>
      </c>
      <c r="B130" s="1" t="s">
        <v>16374</v>
      </c>
      <c r="C130" s="3">
        <f>IF(B130="","",SUMIFS('Factory Costs'!$C:$C,'Factory Costs'!$A:$A,"Motor",'Factory Costs'!$B:$B,B130))</f>
        <v>62</v>
      </c>
    </row>
    <row r="131" spans="1:3" x14ac:dyDescent="0.25">
      <c r="A131" s="1" t="s">
        <v>6945</v>
      </c>
      <c r="B131" s="1" t="s">
        <v>16374</v>
      </c>
      <c r="C131" s="3">
        <f>IF(B131="","",SUMIFS('Factory Costs'!$C:$C,'Factory Costs'!$A:$A,"Motor",'Factory Costs'!$B:$B,B131))</f>
        <v>62</v>
      </c>
    </row>
    <row r="132" spans="1:3" x14ac:dyDescent="0.25">
      <c r="A132" s="1" t="s">
        <v>6948</v>
      </c>
      <c r="B132" s="1" t="s">
        <v>16374</v>
      </c>
      <c r="C132" s="3">
        <f>IF(B132="","",SUMIFS('Factory Costs'!$C:$C,'Factory Costs'!$A:$A,"Motor",'Factory Costs'!$B:$B,B132))</f>
        <v>62</v>
      </c>
    </row>
    <row r="133" spans="1:3" x14ac:dyDescent="0.25">
      <c r="A133" s="1" t="s">
        <v>6951</v>
      </c>
      <c r="B133" s="1" t="s">
        <v>16375</v>
      </c>
      <c r="C133" s="3">
        <f>IF(B133="","",SUMIFS('Factory Costs'!$C:$C,'Factory Costs'!$A:$A,"Motor",'Factory Costs'!$B:$B,B133))</f>
        <v>72</v>
      </c>
    </row>
    <row r="134" spans="1:3" x14ac:dyDescent="0.25">
      <c r="A134" s="1" t="s">
        <v>6954</v>
      </c>
      <c r="B134" s="1" t="s">
        <v>16375</v>
      </c>
      <c r="C134" s="3">
        <f>IF(B134="","",SUMIFS('Factory Costs'!$C:$C,'Factory Costs'!$A:$A,"Motor",'Factory Costs'!$B:$B,B134))</f>
        <v>72</v>
      </c>
    </row>
    <row r="135" spans="1:3" x14ac:dyDescent="0.25">
      <c r="A135" s="1" t="s">
        <v>6957</v>
      </c>
      <c r="B135" s="1" t="s">
        <v>16374</v>
      </c>
      <c r="C135" s="3">
        <f>IF(B135="","",SUMIFS('Factory Costs'!$C:$C,'Factory Costs'!$A:$A,"Motor",'Factory Costs'!$B:$B,B135))</f>
        <v>62</v>
      </c>
    </row>
    <row r="136" spans="1:3" x14ac:dyDescent="0.25">
      <c r="A136" s="1" t="s">
        <v>6960</v>
      </c>
      <c r="B136" s="1" t="s">
        <v>16374</v>
      </c>
      <c r="C136" s="3">
        <f>IF(B136="","",SUMIFS('Factory Costs'!$C:$C,'Factory Costs'!$A:$A,"Motor",'Factory Costs'!$B:$B,B136))</f>
        <v>62</v>
      </c>
    </row>
    <row r="137" spans="1:3" x14ac:dyDescent="0.25">
      <c r="A137" s="1" t="s">
        <v>6963</v>
      </c>
      <c r="B137" s="1" t="s">
        <v>16375</v>
      </c>
      <c r="C137" s="3">
        <f>IF(B137="","",SUMIFS('Factory Costs'!$C:$C,'Factory Costs'!$A:$A,"Motor",'Factory Costs'!$B:$B,B137))</f>
        <v>72</v>
      </c>
    </row>
    <row r="138" spans="1:3" x14ac:dyDescent="0.25">
      <c r="A138" s="1" t="s">
        <v>6966</v>
      </c>
      <c r="B138" s="1" t="s">
        <v>16375</v>
      </c>
      <c r="C138" s="3">
        <f>IF(B138="","",SUMIFS('Factory Costs'!$C:$C,'Factory Costs'!$A:$A,"Motor",'Factory Costs'!$B:$B,B138))</f>
        <v>72</v>
      </c>
    </row>
    <row r="139" spans="1:3" x14ac:dyDescent="0.25">
      <c r="A139" s="1" t="s">
        <v>6969</v>
      </c>
      <c r="B139" s="1" t="s">
        <v>16374</v>
      </c>
      <c r="C139" s="3">
        <f>IF(B139="","",SUMIFS('Factory Costs'!$C:$C,'Factory Costs'!$A:$A,"Motor",'Factory Costs'!$B:$B,B139))</f>
        <v>62</v>
      </c>
    </row>
    <row r="140" spans="1:3" x14ac:dyDescent="0.25">
      <c r="A140" s="1" t="s">
        <v>6972</v>
      </c>
      <c r="B140" s="1" t="s">
        <v>16375</v>
      </c>
      <c r="C140" s="3">
        <f>IF(B140="","",SUMIFS('Factory Costs'!$C:$C,'Factory Costs'!$A:$A,"Motor",'Factory Costs'!$B:$B,B140))</f>
        <v>72</v>
      </c>
    </row>
    <row r="141" spans="1:3" x14ac:dyDescent="0.25">
      <c r="A141" s="1" t="s">
        <v>6975</v>
      </c>
      <c r="B141" s="1" t="s">
        <v>16375</v>
      </c>
      <c r="C141" s="3">
        <f>IF(B141="","",SUMIFS('Factory Costs'!$C:$C,'Factory Costs'!$A:$A,"Motor",'Factory Costs'!$B:$B,B141))</f>
        <v>72</v>
      </c>
    </row>
    <row r="142" spans="1:3" x14ac:dyDescent="0.25">
      <c r="A142" s="1" t="s">
        <v>6978</v>
      </c>
      <c r="B142" s="1" t="s">
        <v>16375</v>
      </c>
      <c r="C142" s="3">
        <f>IF(B142="","",SUMIFS('Factory Costs'!$C:$C,'Factory Costs'!$A:$A,"Motor",'Factory Costs'!$B:$B,B142))</f>
        <v>72</v>
      </c>
    </row>
    <row r="143" spans="1:3" x14ac:dyDescent="0.25">
      <c r="A143" s="1" t="s">
        <v>6981</v>
      </c>
      <c r="B143" s="1" t="s">
        <v>16374</v>
      </c>
      <c r="C143" s="3">
        <f>IF(B143="","",SUMIFS('Factory Costs'!$C:$C,'Factory Costs'!$A:$A,"Motor",'Factory Costs'!$B:$B,B143))</f>
        <v>62</v>
      </c>
    </row>
    <row r="144" spans="1:3" x14ac:dyDescent="0.25">
      <c r="A144" s="1" t="s">
        <v>6984</v>
      </c>
      <c r="B144" s="1" t="s">
        <v>16374</v>
      </c>
      <c r="C144" s="3">
        <f>IF(B144="","",SUMIFS('Factory Costs'!$C:$C,'Factory Costs'!$A:$A,"Motor",'Factory Costs'!$B:$B,B144))</f>
        <v>62</v>
      </c>
    </row>
    <row r="145" spans="1:3" x14ac:dyDescent="0.25">
      <c r="A145" s="1" t="s">
        <v>6987</v>
      </c>
      <c r="B145" s="1" t="s">
        <v>16374</v>
      </c>
      <c r="C145" s="3">
        <f>IF(B145="","",SUMIFS('Factory Costs'!$C:$C,'Factory Costs'!$A:$A,"Motor",'Factory Costs'!$B:$B,B145))</f>
        <v>62</v>
      </c>
    </row>
    <row r="146" spans="1:3" x14ac:dyDescent="0.25">
      <c r="A146" s="1" t="s">
        <v>6990</v>
      </c>
      <c r="B146" s="1" t="s">
        <v>16375</v>
      </c>
      <c r="C146" s="3">
        <f>IF(B146="","",SUMIFS('Factory Costs'!$C:$C,'Factory Costs'!$A:$A,"Motor",'Factory Costs'!$B:$B,B146))</f>
        <v>72</v>
      </c>
    </row>
    <row r="147" spans="1:3" x14ac:dyDescent="0.25">
      <c r="A147" s="1" t="s">
        <v>6993</v>
      </c>
      <c r="B147" s="1" t="s">
        <v>16375</v>
      </c>
      <c r="C147" s="3">
        <f>IF(B147="","",SUMIFS('Factory Costs'!$C:$C,'Factory Costs'!$A:$A,"Motor",'Factory Costs'!$B:$B,B147))</f>
        <v>72</v>
      </c>
    </row>
    <row r="148" spans="1:3" x14ac:dyDescent="0.25">
      <c r="A148" s="1" t="s">
        <v>6996</v>
      </c>
      <c r="B148" s="1" t="s">
        <v>16374</v>
      </c>
      <c r="C148" s="3">
        <f>IF(B148="","",SUMIFS('Factory Costs'!$C:$C,'Factory Costs'!$A:$A,"Motor",'Factory Costs'!$B:$B,B148))</f>
        <v>62</v>
      </c>
    </row>
    <row r="149" spans="1:3" x14ac:dyDescent="0.25">
      <c r="A149" s="1" t="s">
        <v>6999</v>
      </c>
      <c r="B149" s="1" t="s">
        <v>16375</v>
      </c>
      <c r="C149" s="3">
        <f>IF(B149="","",SUMIFS('Factory Costs'!$C:$C,'Factory Costs'!$A:$A,"Motor",'Factory Costs'!$B:$B,B149))</f>
        <v>72</v>
      </c>
    </row>
    <row r="150" spans="1:3" x14ac:dyDescent="0.25">
      <c r="A150" s="1" t="s">
        <v>7002</v>
      </c>
      <c r="B150" s="1" t="s">
        <v>16374</v>
      </c>
      <c r="C150" s="3">
        <f>IF(B150="","",SUMIFS('Factory Costs'!$C:$C,'Factory Costs'!$A:$A,"Motor",'Factory Costs'!$B:$B,B150))</f>
        <v>62</v>
      </c>
    </row>
    <row r="151" spans="1:3" x14ac:dyDescent="0.25">
      <c r="A151" s="1" t="s">
        <v>7005</v>
      </c>
      <c r="B151" s="1" t="s">
        <v>16375</v>
      </c>
      <c r="C151" s="3">
        <f>IF(B151="","",SUMIFS('Factory Costs'!$C:$C,'Factory Costs'!$A:$A,"Motor",'Factory Costs'!$B:$B,B151))</f>
        <v>72</v>
      </c>
    </row>
    <row r="152" spans="1:3" x14ac:dyDescent="0.25">
      <c r="A152" s="1" t="s">
        <v>7008</v>
      </c>
      <c r="B152" s="1" t="s">
        <v>16374</v>
      </c>
      <c r="C152" s="3">
        <f>IF(B152="","",SUMIFS('Factory Costs'!$C:$C,'Factory Costs'!$A:$A,"Motor",'Factory Costs'!$B:$B,B152))</f>
        <v>62</v>
      </c>
    </row>
    <row r="153" spans="1:3" x14ac:dyDescent="0.25">
      <c r="A153" s="1" t="s">
        <v>7011</v>
      </c>
      <c r="B153" s="1" t="s">
        <v>16374</v>
      </c>
      <c r="C153" s="3">
        <f>IF(B153="","",SUMIFS('Factory Costs'!$C:$C,'Factory Costs'!$A:$A,"Motor",'Factory Costs'!$B:$B,B153))</f>
        <v>62</v>
      </c>
    </row>
    <row r="154" spans="1:3" x14ac:dyDescent="0.25">
      <c r="A154" s="1" t="s">
        <v>7014</v>
      </c>
      <c r="B154" s="1" t="s">
        <v>16374</v>
      </c>
      <c r="C154" s="3">
        <f>IF(B154="","",SUMIFS('Factory Costs'!$C:$C,'Factory Costs'!$A:$A,"Motor",'Factory Costs'!$B:$B,B154))</f>
        <v>62</v>
      </c>
    </row>
    <row r="155" spans="1:3" x14ac:dyDescent="0.25">
      <c r="A155" s="1" t="s">
        <v>7017</v>
      </c>
      <c r="B155" s="1" t="s">
        <v>16375</v>
      </c>
      <c r="C155" s="3">
        <f>IF(B155="","",SUMIFS('Factory Costs'!$C:$C,'Factory Costs'!$A:$A,"Motor",'Factory Costs'!$B:$B,B155))</f>
        <v>72</v>
      </c>
    </row>
    <row r="156" spans="1:3" x14ac:dyDescent="0.25">
      <c r="A156" s="1" t="s">
        <v>7020</v>
      </c>
      <c r="B156" s="1" t="s">
        <v>16374</v>
      </c>
      <c r="C156" s="3">
        <f>IF(B156="","",SUMIFS('Factory Costs'!$C:$C,'Factory Costs'!$A:$A,"Motor",'Factory Costs'!$B:$B,B156))</f>
        <v>62</v>
      </c>
    </row>
    <row r="157" spans="1:3" x14ac:dyDescent="0.25">
      <c r="A157" s="1" t="s">
        <v>7023</v>
      </c>
      <c r="B157" s="1" t="s">
        <v>16374</v>
      </c>
      <c r="C157" s="3">
        <f>IF(B157="","",SUMIFS('Factory Costs'!$C:$C,'Factory Costs'!$A:$A,"Motor",'Factory Costs'!$B:$B,B157))</f>
        <v>62</v>
      </c>
    </row>
    <row r="158" spans="1:3" x14ac:dyDescent="0.25">
      <c r="A158" s="1" t="s">
        <v>7026</v>
      </c>
      <c r="B158" s="1" t="s">
        <v>16374</v>
      </c>
      <c r="C158" s="3">
        <f>IF(B158="","",SUMIFS('Factory Costs'!$C:$C,'Factory Costs'!$A:$A,"Motor",'Factory Costs'!$B:$B,B158))</f>
        <v>62</v>
      </c>
    </row>
    <row r="159" spans="1:3" x14ac:dyDescent="0.25">
      <c r="A159" s="1" t="s">
        <v>7029</v>
      </c>
      <c r="B159" s="1" t="s">
        <v>16374</v>
      </c>
      <c r="C159" s="3">
        <f>IF(B159="","",SUMIFS('Factory Costs'!$C:$C,'Factory Costs'!$A:$A,"Motor",'Factory Costs'!$B:$B,B159))</f>
        <v>62</v>
      </c>
    </row>
    <row r="160" spans="1:3" x14ac:dyDescent="0.25">
      <c r="A160" s="1" t="s">
        <v>7032</v>
      </c>
      <c r="B160" s="1" t="s">
        <v>16375</v>
      </c>
      <c r="C160" s="3">
        <f>IF(B160="","",SUMIFS('Factory Costs'!$C:$C,'Factory Costs'!$A:$A,"Motor",'Factory Costs'!$B:$B,B160))</f>
        <v>72</v>
      </c>
    </row>
    <row r="161" spans="1:3" x14ac:dyDescent="0.25">
      <c r="A161" s="1" t="s">
        <v>7035</v>
      </c>
      <c r="B161" s="1" t="s">
        <v>16374</v>
      </c>
      <c r="C161" s="3">
        <f>IF(B161="","",SUMIFS('Factory Costs'!$C:$C,'Factory Costs'!$A:$A,"Motor",'Factory Costs'!$B:$B,B161))</f>
        <v>62</v>
      </c>
    </row>
    <row r="162" spans="1:3" x14ac:dyDescent="0.25">
      <c r="A162" s="1" t="s">
        <v>7038</v>
      </c>
      <c r="B162" s="1" t="s">
        <v>16374</v>
      </c>
      <c r="C162" s="3">
        <f>IF(B162="","",SUMIFS('Factory Costs'!$C:$C,'Factory Costs'!$A:$A,"Motor",'Factory Costs'!$B:$B,B162))</f>
        <v>62</v>
      </c>
    </row>
    <row r="163" spans="1:3" x14ac:dyDescent="0.25">
      <c r="A163" s="1" t="s">
        <v>7041</v>
      </c>
      <c r="B163" s="1" t="s">
        <v>16374</v>
      </c>
      <c r="C163" s="3">
        <f>IF(B163="","",SUMIFS('Factory Costs'!$C:$C,'Factory Costs'!$A:$A,"Motor",'Factory Costs'!$B:$B,B163))</f>
        <v>62</v>
      </c>
    </row>
    <row r="164" spans="1:3" x14ac:dyDescent="0.25">
      <c r="A164" s="1" t="s">
        <v>7044</v>
      </c>
      <c r="B164" s="1" t="s">
        <v>16375</v>
      </c>
      <c r="C164" s="3">
        <f>IF(B164="","",SUMIFS('Factory Costs'!$C:$C,'Factory Costs'!$A:$A,"Motor",'Factory Costs'!$B:$B,B164))</f>
        <v>72</v>
      </c>
    </row>
    <row r="165" spans="1:3" x14ac:dyDescent="0.25">
      <c r="A165" s="1" t="s">
        <v>7047</v>
      </c>
      <c r="B165" s="1" t="s">
        <v>16375</v>
      </c>
      <c r="C165" s="3">
        <f>IF(B165="","",SUMIFS('Factory Costs'!$C:$C,'Factory Costs'!$A:$A,"Motor",'Factory Costs'!$B:$B,B165))</f>
        <v>72</v>
      </c>
    </row>
    <row r="166" spans="1:3" x14ac:dyDescent="0.25">
      <c r="A166" s="1" t="s">
        <v>7050</v>
      </c>
      <c r="B166" s="1" t="s">
        <v>16375</v>
      </c>
      <c r="C166" s="3">
        <f>IF(B166="","",SUMIFS('Factory Costs'!$C:$C,'Factory Costs'!$A:$A,"Motor",'Factory Costs'!$B:$B,B166))</f>
        <v>72</v>
      </c>
    </row>
    <row r="167" spans="1:3" x14ac:dyDescent="0.25">
      <c r="A167" s="1" t="s">
        <v>7053</v>
      </c>
      <c r="B167" s="1" t="s">
        <v>16374</v>
      </c>
      <c r="C167" s="3">
        <f>IF(B167="","",SUMIFS('Factory Costs'!$C:$C,'Factory Costs'!$A:$A,"Motor",'Factory Costs'!$B:$B,B167))</f>
        <v>62</v>
      </c>
    </row>
    <row r="168" spans="1:3" x14ac:dyDescent="0.25">
      <c r="A168" s="1" t="s">
        <v>7056</v>
      </c>
      <c r="B168" s="1" t="s">
        <v>16375</v>
      </c>
      <c r="C168" s="3">
        <f>IF(B168="","",SUMIFS('Factory Costs'!$C:$C,'Factory Costs'!$A:$A,"Motor",'Factory Costs'!$B:$B,B168))</f>
        <v>72</v>
      </c>
    </row>
    <row r="169" spans="1:3" x14ac:dyDescent="0.25">
      <c r="A169" s="1" t="s">
        <v>7059</v>
      </c>
      <c r="B169" s="1" t="s">
        <v>16374</v>
      </c>
      <c r="C169" s="3">
        <f>IF(B169="","",SUMIFS('Factory Costs'!$C:$C,'Factory Costs'!$A:$A,"Motor",'Factory Costs'!$B:$B,B169))</f>
        <v>62</v>
      </c>
    </row>
    <row r="170" spans="1:3" x14ac:dyDescent="0.25">
      <c r="A170" s="1" t="s">
        <v>7062</v>
      </c>
      <c r="B170" s="1" t="s">
        <v>16375</v>
      </c>
      <c r="C170" s="3">
        <f>IF(B170="","",SUMIFS('Factory Costs'!$C:$C,'Factory Costs'!$A:$A,"Motor",'Factory Costs'!$B:$B,B170))</f>
        <v>72</v>
      </c>
    </row>
    <row r="171" spans="1:3" x14ac:dyDescent="0.25">
      <c r="A171" s="1" t="s">
        <v>7065</v>
      </c>
      <c r="B171" s="1" t="s">
        <v>16375</v>
      </c>
      <c r="C171" s="3">
        <f>IF(B171="","",SUMIFS('Factory Costs'!$C:$C,'Factory Costs'!$A:$A,"Motor",'Factory Costs'!$B:$B,B171))</f>
        <v>72</v>
      </c>
    </row>
    <row r="172" spans="1:3" x14ac:dyDescent="0.25">
      <c r="A172" s="1" t="s">
        <v>7068</v>
      </c>
      <c r="B172" s="1" t="s">
        <v>16374</v>
      </c>
      <c r="C172" s="3">
        <f>IF(B172="","",SUMIFS('Factory Costs'!$C:$C,'Factory Costs'!$A:$A,"Motor",'Factory Costs'!$B:$B,B172))</f>
        <v>62</v>
      </c>
    </row>
    <row r="173" spans="1:3" x14ac:dyDescent="0.25">
      <c r="A173" s="1" t="s">
        <v>7071</v>
      </c>
      <c r="B173" s="1" t="s">
        <v>16374</v>
      </c>
      <c r="C173" s="3">
        <f>IF(B173="","",SUMIFS('Factory Costs'!$C:$C,'Factory Costs'!$A:$A,"Motor",'Factory Costs'!$B:$B,B173))</f>
        <v>62</v>
      </c>
    </row>
    <row r="174" spans="1:3" x14ac:dyDescent="0.25">
      <c r="A174" s="1" t="s">
        <v>7074</v>
      </c>
      <c r="B174" s="1" t="s">
        <v>16375</v>
      </c>
      <c r="C174" s="3">
        <f>IF(B174="","",SUMIFS('Factory Costs'!$C:$C,'Factory Costs'!$A:$A,"Motor",'Factory Costs'!$B:$B,B174))</f>
        <v>72</v>
      </c>
    </row>
    <row r="175" spans="1:3" x14ac:dyDescent="0.25">
      <c r="A175" s="1" t="s">
        <v>7077</v>
      </c>
      <c r="B175" s="1" t="s">
        <v>16375</v>
      </c>
      <c r="C175" s="3">
        <f>IF(B175="","",SUMIFS('Factory Costs'!$C:$C,'Factory Costs'!$A:$A,"Motor",'Factory Costs'!$B:$B,B175))</f>
        <v>72</v>
      </c>
    </row>
    <row r="176" spans="1:3" x14ac:dyDescent="0.25">
      <c r="A176" s="1" t="s">
        <v>7080</v>
      </c>
      <c r="B176" s="1" t="s">
        <v>16375</v>
      </c>
      <c r="C176" s="3">
        <f>IF(B176="","",SUMIFS('Factory Costs'!$C:$C,'Factory Costs'!$A:$A,"Motor",'Factory Costs'!$B:$B,B176))</f>
        <v>72</v>
      </c>
    </row>
    <row r="177" spans="1:3" x14ac:dyDescent="0.25">
      <c r="A177" s="1" t="s">
        <v>7083</v>
      </c>
      <c r="B177" s="1" t="s">
        <v>16374</v>
      </c>
      <c r="C177" s="3">
        <f>IF(B177="","",SUMIFS('Factory Costs'!$C:$C,'Factory Costs'!$A:$A,"Motor",'Factory Costs'!$B:$B,B177))</f>
        <v>62</v>
      </c>
    </row>
    <row r="178" spans="1:3" x14ac:dyDescent="0.25">
      <c r="A178" s="1" t="s">
        <v>7086</v>
      </c>
      <c r="B178" s="1" t="s">
        <v>16375</v>
      </c>
      <c r="C178" s="3">
        <f>IF(B178="","",SUMIFS('Factory Costs'!$C:$C,'Factory Costs'!$A:$A,"Motor",'Factory Costs'!$B:$B,B178))</f>
        <v>72</v>
      </c>
    </row>
    <row r="179" spans="1:3" x14ac:dyDescent="0.25">
      <c r="A179" s="1" t="s">
        <v>7089</v>
      </c>
      <c r="B179" s="1" t="s">
        <v>16374</v>
      </c>
      <c r="C179" s="3">
        <f>IF(B179="","",SUMIFS('Factory Costs'!$C:$C,'Factory Costs'!$A:$A,"Motor",'Factory Costs'!$B:$B,B179))</f>
        <v>62</v>
      </c>
    </row>
    <row r="180" spans="1:3" x14ac:dyDescent="0.25">
      <c r="A180" s="1" t="s">
        <v>7092</v>
      </c>
      <c r="B180" s="1" t="s">
        <v>16374</v>
      </c>
      <c r="C180" s="3">
        <f>IF(B180="","",SUMIFS('Factory Costs'!$C:$C,'Factory Costs'!$A:$A,"Motor",'Factory Costs'!$B:$B,B180))</f>
        <v>62</v>
      </c>
    </row>
    <row r="181" spans="1:3" x14ac:dyDescent="0.25">
      <c r="A181" s="1" t="s">
        <v>7095</v>
      </c>
      <c r="B181" s="1" t="s">
        <v>16375</v>
      </c>
      <c r="C181" s="3">
        <f>IF(B181="","",SUMIFS('Factory Costs'!$C:$C,'Factory Costs'!$A:$A,"Motor",'Factory Costs'!$B:$B,B181))</f>
        <v>72</v>
      </c>
    </row>
    <row r="182" spans="1:3" x14ac:dyDescent="0.25">
      <c r="A182" s="1" t="s">
        <v>7098</v>
      </c>
      <c r="B182" s="1" t="s">
        <v>16375</v>
      </c>
      <c r="C182" s="3">
        <f>IF(B182="","",SUMIFS('Factory Costs'!$C:$C,'Factory Costs'!$A:$A,"Motor",'Factory Costs'!$B:$B,B182))</f>
        <v>72</v>
      </c>
    </row>
    <row r="183" spans="1:3" x14ac:dyDescent="0.25">
      <c r="A183" s="1" t="s">
        <v>7101</v>
      </c>
      <c r="B183" s="1" t="s">
        <v>16375</v>
      </c>
      <c r="C183" s="3">
        <f>IF(B183="","",SUMIFS('Factory Costs'!$C:$C,'Factory Costs'!$A:$A,"Motor",'Factory Costs'!$B:$B,B183))</f>
        <v>72</v>
      </c>
    </row>
    <row r="184" spans="1:3" x14ac:dyDescent="0.25">
      <c r="A184" s="1" t="s">
        <v>7104</v>
      </c>
      <c r="B184" s="1" t="s">
        <v>16374</v>
      </c>
      <c r="C184" s="3">
        <f>IF(B184="","",SUMIFS('Factory Costs'!$C:$C,'Factory Costs'!$A:$A,"Motor",'Factory Costs'!$B:$B,B184))</f>
        <v>62</v>
      </c>
    </row>
    <row r="185" spans="1:3" x14ac:dyDescent="0.25">
      <c r="A185" s="1" t="s">
        <v>7107</v>
      </c>
      <c r="B185" s="1" t="s">
        <v>16374</v>
      </c>
      <c r="C185" s="3">
        <f>IF(B185="","",SUMIFS('Factory Costs'!$C:$C,'Factory Costs'!$A:$A,"Motor",'Factory Costs'!$B:$B,B185))</f>
        <v>62</v>
      </c>
    </row>
    <row r="186" spans="1:3" x14ac:dyDescent="0.25">
      <c r="A186" s="1" t="s">
        <v>7110</v>
      </c>
      <c r="B186" s="1" t="s">
        <v>16375</v>
      </c>
      <c r="C186" s="3">
        <f>IF(B186="","",SUMIFS('Factory Costs'!$C:$C,'Factory Costs'!$A:$A,"Motor",'Factory Costs'!$B:$B,B186))</f>
        <v>72</v>
      </c>
    </row>
    <row r="187" spans="1:3" x14ac:dyDescent="0.25">
      <c r="A187" s="1" t="s">
        <v>7113</v>
      </c>
      <c r="B187" s="1" t="s">
        <v>16374</v>
      </c>
      <c r="C187" s="3">
        <f>IF(B187="","",SUMIFS('Factory Costs'!$C:$C,'Factory Costs'!$A:$A,"Motor",'Factory Costs'!$B:$B,B187))</f>
        <v>62</v>
      </c>
    </row>
    <row r="188" spans="1:3" x14ac:dyDescent="0.25">
      <c r="A188" s="1" t="s">
        <v>7116</v>
      </c>
      <c r="B188" s="1" t="s">
        <v>16375</v>
      </c>
      <c r="C188" s="3">
        <f>IF(B188="","",SUMIFS('Factory Costs'!$C:$C,'Factory Costs'!$A:$A,"Motor",'Factory Costs'!$B:$B,B188))</f>
        <v>72</v>
      </c>
    </row>
    <row r="189" spans="1:3" x14ac:dyDescent="0.25">
      <c r="A189" s="1" t="s">
        <v>7119</v>
      </c>
      <c r="B189" s="1" t="s">
        <v>16374</v>
      </c>
      <c r="C189" s="3">
        <f>IF(B189="","",SUMIFS('Factory Costs'!$C:$C,'Factory Costs'!$A:$A,"Motor",'Factory Costs'!$B:$B,B189))</f>
        <v>62</v>
      </c>
    </row>
    <row r="190" spans="1:3" x14ac:dyDescent="0.25">
      <c r="A190" s="1" t="s">
        <v>7122</v>
      </c>
      <c r="B190" s="1" t="s">
        <v>16374</v>
      </c>
      <c r="C190" s="3">
        <f>IF(B190="","",SUMIFS('Factory Costs'!$C:$C,'Factory Costs'!$A:$A,"Motor",'Factory Costs'!$B:$B,B190))</f>
        <v>62</v>
      </c>
    </row>
    <row r="191" spans="1:3" x14ac:dyDescent="0.25">
      <c r="A191" s="1" t="s">
        <v>7125</v>
      </c>
      <c r="B191" s="1" t="s">
        <v>16375</v>
      </c>
      <c r="C191" s="3">
        <f>IF(B191="","",SUMIFS('Factory Costs'!$C:$C,'Factory Costs'!$A:$A,"Motor",'Factory Costs'!$B:$B,B191))</f>
        <v>72</v>
      </c>
    </row>
    <row r="192" spans="1:3" x14ac:dyDescent="0.25">
      <c r="A192" s="1" t="s">
        <v>7128</v>
      </c>
      <c r="B192" s="1" t="s">
        <v>16374</v>
      </c>
      <c r="C192" s="3">
        <f>IF(B192="","",SUMIFS('Factory Costs'!$C:$C,'Factory Costs'!$A:$A,"Motor",'Factory Costs'!$B:$B,B192))</f>
        <v>62</v>
      </c>
    </row>
    <row r="193" spans="1:3" x14ac:dyDescent="0.25">
      <c r="A193" s="1" t="s">
        <v>7131</v>
      </c>
      <c r="B193" s="1" t="s">
        <v>16374</v>
      </c>
      <c r="C193" s="3">
        <f>IF(B193="","",SUMIFS('Factory Costs'!$C:$C,'Factory Costs'!$A:$A,"Motor",'Factory Costs'!$B:$B,B193))</f>
        <v>62</v>
      </c>
    </row>
    <row r="194" spans="1:3" x14ac:dyDescent="0.25">
      <c r="A194" s="1" t="s">
        <v>7134</v>
      </c>
      <c r="B194" s="1" t="s">
        <v>16375</v>
      </c>
      <c r="C194" s="3">
        <f>IF(B194="","",SUMIFS('Factory Costs'!$C:$C,'Factory Costs'!$A:$A,"Motor",'Factory Costs'!$B:$B,B194))</f>
        <v>72</v>
      </c>
    </row>
    <row r="195" spans="1:3" x14ac:dyDescent="0.25">
      <c r="A195" s="1" t="s">
        <v>7137</v>
      </c>
      <c r="B195" s="1" t="s">
        <v>16375</v>
      </c>
      <c r="C195" s="3">
        <f>IF(B195="","",SUMIFS('Factory Costs'!$C:$C,'Factory Costs'!$A:$A,"Motor",'Factory Costs'!$B:$B,B195))</f>
        <v>72</v>
      </c>
    </row>
    <row r="196" spans="1:3" x14ac:dyDescent="0.25">
      <c r="A196" s="1" t="s">
        <v>7140</v>
      </c>
      <c r="B196" s="1" t="s">
        <v>16375</v>
      </c>
      <c r="C196" s="3">
        <f>IF(B196="","",SUMIFS('Factory Costs'!$C:$C,'Factory Costs'!$A:$A,"Motor",'Factory Costs'!$B:$B,B196))</f>
        <v>72</v>
      </c>
    </row>
    <row r="197" spans="1:3" x14ac:dyDescent="0.25">
      <c r="A197" s="1" t="s">
        <v>7143</v>
      </c>
      <c r="B197" s="1" t="s">
        <v>16374</v>
      </c>
      <c r="C197" s="3">
        <f>IF(B197="","",SUMIFS('Factory Costs'!$C:$C,'Factory Costs'!$A:$A,"Motor",'Factory Costs'!$B:$B,B197))</f>
        <v>62</v>
      </c>
    </row>
    <row r="198" spans="1:3" x14ac:dyDescent="0.25">
      <c r="A198" s="1" t="s">
        <v>7146</v>
      </c>
      <c r="B198" s="1" t="s">
        <v>16375</v>
      </c>
      <c r="C198" s="3">
        <f>IF(B198="","",SUMIFS('Factory Costs'!$C:$C,'Factory Costs'!$A:$A,"Motor",'Factory Costs'!$B:$B,B198))</f>
        <v>72</v>
      </c>
    </row>
    <row r="199" spans="1:3" x14ac:dyDescent="0.25">
      <c r="A199" s="1" t="s">
        <v>7149</v>
      </c>
      <c r="B199" s="1" t="s">
        <v>16375</v>
      </c>
      <c r="C199" s="3">
        <f>IF(B199="","",SUMIFS('Factory Costs'!$C:$C,'Factory Costs'!$A:$A,"Motor",'Factory Costs'!$B:$B,B199))</f>
        <v>72</v>
      </c>
    </row>
    <row r="200" spans="1:3" x14ac:dyDescent="0.25">
      <c r="A200" s="1" t="s">
        <v>7152</v>
      </c>
      <c r="B200" s="1" t="s">
        <v>16374</v>
      </c>
      <c r="C200" s="3">
        <f>IF(B200="","",SUMIFS('Factory Costs'!$C:$C,'Factory Costs'!$A:$A,"Motor",'Factory Costs'!$B:$B,B200))</f>
        <v>62</v>
      </c>
    </row>
    <row r="201" spans="1:3" x14ac:dyDescent="0.25">
      <c r="A201" s="1" t="s">
        <v>7155</v>
      </c>
      <c r="B201" s="1" t="s">
        <v>16375</v>
      </c>
      <c r="C201" s="3">
        <f>IF(B201="","",SUMIFS('Factory Costs'!$C:$C,'Factory Costs'!$A:$A,"Motor",'Factory Costs'!$B:$B,B201))</f>
        <v>72</v>
      </c>
    </row>
    <row r="202" spans="1:3" x14ac:dyDescent="0.25">
      <c r="A202" s="1" t="s">
        <v>7158</v>
      </c>
      <c r="B202" s="1" t="s">
        <v>16374</v>
      </c>
      <c r="C202" s="3">
        <f>IF(B202="","",SUMIFS('Factory Costs'!$C:$C,'Factory Costs'!$A:$A,"Motor",'Factory Costs'!$B:$B,B202))</f>
        <v>62</v>
      </c>
    </row>
    <row r="203" spans="1:3" x14ac:dyDescent="0.25">
      <c r="A203" s="1" t="s">
        <v>7161</v>
      </c>
      <c r="B203" s="1" t="s">
        <v>16374</v>
      </c>
      <c r="C203" s="3">
        <f>IF(B203="","",SUMIFS('Factory Costs'!$C:$C,'Factory Costs'!$A:$A,"Motor",'Factory Costs'!$B:$B,B203))</f>
        <v>62</v>
      </c>
    </row>
    <row r="204" spans="1:3" x14ac:dyDescent="0.25">
      <c r="A204" s="1" t="s">
        <v>7164</v>
      </c>
      <c r="B204" s="1" t="s">
        <v>16374</v>
      </c>
      <c r="C204" s="3">
        <f>IF(B204="","",SUMIFS('Factory Costs'!$C:$C,'Factory Costs'!$A:$A,"Motor",'Factory Costs'!$B:$B,B204))</f>
        <v>62</v>
      </c>
    </row>
    <row r="205" spans="1:3" x14ac:dyDescent="0.25">
      <c r="A205" s="1" t="s">
        <v>7167</v>
      </c>
      <c r="B205" s="1" t="s">
        <v>16374</v>
      </c>
      <c r="C205" s="3">
        <f>IF(B205="","",SUMIFS('Factory Costs'!$C:$C,'Factory Costs'!$A:$A,"Motor",'Factory Costs'!$B:$B,B205))</f>
        <v>62</v>
      </c>
    </row>
    <row r="206" spans="1:3" x14ac:dyDescent="0.25">
      <c r="A206" s="1" t="s">
        <v>7170</v>
      </c>
      <c r="B206" s="1" t="s">
        <v>16375</v>
      </c>
      <c r="C206" s="3">
        <f>IF(B206="","",SUMIFS('Factory Costs'!$C:$C,'Factory Costs'!$A:$A,"Motor",'Factory Costs'!$B:$B,B206))</f>
        <v>72</v>
      </c>
    </row>
    <row r="207" spans="1:3" x14ac:dyDescent="0.25">
      <c r="A207" s="1" t="s">
        <v>7173</v>
      </c>
      <c r="B207" s="1" t="s">
        <v>16375</v>
      </c>
      <c r="C207" s="3">
        <f>IF(B207="","",SUMIFS('Factory Costs'!$C:$C,'Factory Costs'!$A:$A,"Motor",'Factory Costs'!$B:$B,B207))</f>
        <v>72</v>
      </c>
    </row>
    <row r="208" spans="1:3" x14ac:dyDescent="0.25">
      <c r="A208" s="1" t="s">
        <v>7176</v>
      </c>
      <c r="B208" s="1" t="s">
        <v>16375</v>
      </c>
      <c r="C208" s="3">
        <f>IF(B208="","",SUMIFS('Factory Costs'!$C:$C,'Factory Costs'!$A:$A,"Motor",'Factory Costs'!$B:$B,B208))</f>
        <v>72</v>
      </c>
    </row>
    <row r="209" spans="1:3" x14ac:dyDescent="0.25">
      <c r="A209" s="1" t="s">
        <v>7179</v>
      </c>
      <c r="B209" s="1" t="s">
        <v>16374</v>
      </c>
      <c r="C209" s="3">
        <f>IF(B209="","",SUMIFS('Factory Costs'!$C:$C,'Factory Costs'!$A:$A,"Motor",'Factory Costs'!$B:$B,B209))</f>
        <v>62</v>
      </c>
    </row>
    <row r="210" spans="1:3" x14ac:dyDescent="0.25">
      <c r="A210" s="1" t="s">
        <v>7182</v>
      </c>
      <c r="B210" s="1" t="s">
        <v>16374</v>
      </c>
      <c r="C210" s="3">
        <f>IF(B210="","",SUMIFS('Factory Costs'!$C:$C,'Factory Costs'!$A:$A,"Motor",'Factory Costs'!$B:$B,B210))</f>
        <v>62</v>
      </c>
    </row>
    <row r="211" spans="1:3" x14ac:dyDescent="0.25">
      <c r="A211" s="1" t="s">
        <v>7185</v>
      </c>
      <c r="B211" s="1" t="s">
        <v>16374</v>
      </c>
      <c r="C211" s="3">
        <f>IF(B211="","",SUMIFS('Factory Costs'!$C:$C,'Factory Costs'!$A:$A,"Motor",'Factory Costs'!$B:$B,B211))</f>
        <v>62</v>
      </c>
    </row>
    <row r="212" spans="1:3" x14ac:dyDescent="0.25">
      <c r="A212" s="1" t="s">
        <v>7188</v>
      </c>
      <c r="B212" s="1" t="s">
        <v>16374</v>
      </c>
      <c r="C212" s="3">
        <f>IF(B212="","",SUMIFS('Factory Costs'!$C:$C,'Factory Costs'!$A:$A,"Motor",'Factory Costs'!$B:$B,B212))</f>
        <v>62</v>
      </c>
    </row>
    <row r="213" spans="1:3" x14ac:dyDescent="0.25">
      <c r="A213" s="1" t="s">
        <v>7191</v>
      </c>
      <c r="B213" s="1" t="s">
        <v>16374</v>
      </c>
      <c r="C213" s="3">
        <f>IF(B213="","",SUMIFS('Factory Costs'!$C:$C,'Factory Costs'!$A:$A,"Motor",'Factory Costs'!$B:$B,B213))</f>
        <v>62</v>
      </c>
    </row>
    <row r="214" spans="1:3" x14ac:dyDescent="0.25">
      <c r="A214" s="1" t="s">
        <v>7194</v>
      </c>
      <c r="B214" s="1" t="s">
        <v>16374</v>
      </c>
      <c r="C214" s="3">
        <f>IF(B214="","",SUMIFS('Factory Costs'!$C:$C,'Factory Costs'!$A:$A,"Motor",'Factory Costs'!$B:$B,B214))</f>
        <v>62</v>
      </c>
    </row>
    <row r="215" spans="1:3" x14ac:dyDescent="0.25">
      <c r="A215" s="1" t="s">
        <v>7197</v>
      </c>
      <c r="B215" s="1" t="s">
        <v>16375</v>
      </c>
      <c r="C215" s="3">
        <f>IF(B215="","",SUMIFS('Factory Costs'!$C:$C,'Factory Costs'!$A:$A,"Motor",'Factory Costs'!$B:$B,B215))</f>
        <v>72</v>
      </c>
    </row>
    <row r="216" spans="1:3" x14ac:dyDescent="0.25">
      <c r="A216" s="1" t="s">
        <v>7200</v>
      </c>
      <c r="B216" s="1" t="s">
        <v>16374</v>
      </c>
      <c r="C216" s="3">
        <f>IF(B216="","",SUMIFS('Factory Costs'!$C:$C,'Factory Costs'!$A:$A,"Motor",'Factory Costs'!$B:$B,B216))</f>
        <v>62</v>
      </c>
    </row>
    <row r="217" spans="1:3" x14ac:dyDescent="0.25">
      <c r="A217" s="1" t="s">
        <v>7203</v>
      </c>
      <c r="B217" s="1" t="s">
        <v>16375</v>
      </c>
      <c r="C217" s="3">
        <f>IF(B217="","",SUMIFS('Factory Costs'!$C:$C,'Factory Costs'!$A:$A,"Motor",'Factory Costs'!$B:$B,B217))</f>
        <v>72</v>
      </c>
    </row>
    <row r="218" spans="1:3" x14ac:dyDescent="0.25">
      <c r="A218" s="1" t="s">
        <v>7206</v>
      </c>
      <c r="B218" s="1" t="s">
        <v>16374</v>
      </c>
      <c r="C218" s="3">
        <f>IF(B218="","",SUMIFS('Factory Costs'!$C:$C,'Factory Costs'!$A:$A,"Motor",'Factory Costs'!$B:$B,B218))</f>
        <v>62</v>
      </c>
    </row>
    <row r="219" spans="1:3" x14ac:dyDescent="0.25">
      <c r="A219" s="1" t="s">
        <v>7209</v>
      </c>
      <c r="B219" s="1" t="s">
        <v>16375</v>
      </c>
      <c r="C219" s="3">
        <f>IF(B219="","",SUMIFS('Factory Costs'!$C:$C,'Factory Costs'!$A:$A,"Motor",'Factory Costs'!$B:$B,B219))</f>
        <v>72</v>
      </c>
    </row>
    <row r="220" spans="1:3" x14ac:dyDescent="0.25">
      <c r="A220" s="1" t="s">
        <v>7212</v>
      </c>
      <c r="B220" s="1" t="s">
        <v>16374</v>
      </c>
      <c r="C220" s="3">
        <f>IF(B220="","",SUMIFS('Factory Costs'!$C:$C,'Factory Costs'!$A:$A,"Motor",'Factory Costs'!$B:$B,B220))</f>
        <v>62</v>
      </c>
    </row>
    <row r="221" spans="1:3" x14ac:dyDescent="0.25">
      <c r="A221" s="1" t="s">
        <v>7215</v>
      </c>
      <c r="B221" s="1" t="s">
        <v>16375</v>
      </c>
      <c r="C221" s="3">
        <f>IF(B221="","",SUMIFS('Factory Costs'!$C:$C,'Factory Costs'!$A:$A,"Motor",'Factory Costs'!$B:$B,B221))</f>
        <v>72</v>
      </c>
    </row>
    <row r="222" spans="1:3" x14ac:dyDescent="0.25">
      <c r="A222" s="1" t="s">
        <v>7218</v>
      </c>
      <c r="B222" s="1" t="s">
        <v>16374</v>
      </c>
      <c r="C222" s="3">
        <f>IF(B222="","",SUMIFS('Factory Costs'!$C:$C,'Factory Costs'!$A:$A,"Motor",'Factory Costs'!$B:$B,B222))</f>
        <v>62</v>
      </c>
    </row>
    <row r="223" spans="1:3" x14ac:dyDescent="0.25">
      <c r="A223" s="1" t="s">
        <v>7221</v>
      </c>
      <c r="B223" s="1" t="s">
        <v>16375</v>
      </c>
      <c r="C223" s="3">
        <f>IF(B223="","",SUMIFS('Factory Costs'!$C:$C,'Factory Costs'!$A:$A,"Motor",'Factory Costs'!$B:$B,B223))</f>
        <v>72</v>
      </c>
    </row>
    <row r="224" spans="1:3" x14ac:dyDescent="0.25">
      <c r="A224" s="1" t="s">
        <v>7224</v>
      </c>
      <c r="B224" s="1" t="s">
        <v>16375</v>
      </c>
      <c r="C224" s="3">
        <f>IF(B224="","",SUMIFS('Factory Costs'!$C:$C,'Factory Costs'!$A:$A,"Motor",'Factory Costs'!$B:$B,B224))</f>
        <v>72</v>
      </c>
    </row>
    <row r="225" spans="1:3" x14ac:dyDescent="0.25">
      <c r="A225" s="1" t="s">
        <v>7227</v>
      </c>
      <c r="B225" s="1" t="s">
        <v>16374</v>
      </c>
      <c r="C225" s="3">
        <f>IF(B225="","",SUMIFS('Factory Costs'!$C:$C,'Factory Costs'!$A:$A,"Motor",'Factory Costs'!$B:$B,B225))</f>
        <v>62</v>
      </c>
    </row>
    <row r="226" spans="1:3" x14ac:dyDescent="0.25">
      <c r="A226" s="1" t="s">
        <v>7230</v>
      </c>
      <c r="B226" s="1" t="s">
        <v>16374</v>
      </c>
      <c r="C226" s="3">
        <f>IF(B226="","",SUMIFS('Factory Costs'!$C:$C,'Factory Costs'!$A:$A,"Motor",'Factory Costs'!$B:$B,B226))</f>
        <v>62</v>
      </c>
    </row>
    <row r="227" spans="1:3" x14ac:dyDescent="0.25">
      <c r="A227" s="1" t="s">
        <v>7233</v>
      </c>
      <c r="B227" s="1" t="s">
        <v>16374</v>
      </c>
      <c r="C227" s="3">
        <f>IF(B227="","",SUMIFS('Factory Costs'!$C:$C,'Factory Costs'!$A:$A,"Motor",'Factory Costs'!$B:$B,B227))</f>
        <v>62</v>
      </c>
    </row>
    <row r="228" spans="1:3" x14ac:dyDescent="0.25">
      <c r="A228" s="1" t="s">
        <v>7236</v>
      </c>
      <c r="B228" s="1" t="s">
        <v>16374</v>
      </c>
      <c r="C228" s="3">
        <f>IF(B228="","",SUMIFS('Factory Costs'!$C:$C,'Factory Costs'!$A:$A,"Motor",'Factory Costs'!$B:$B,B228))</f>
        <v>62</v>
      </c>
    </row>
    <row r="229" spans="1:3" x14ac:dyDescent="0.25">
      <c r="A229" s="1" t="s">
        <v>7239</v>
      </c>
      <c r="B229" s="1" t="s">
        <v>16375</v>
      </c>
      <c r="C229" s="3">
        <f>IF(B229="","",SUMIFS('Factory Costs'!$C:$C,'Factory Costs'!$A:$A,"Motor",'Factory Costs'!$B:$B,B229))</f>
        <v>72</v>
      </c>
    </row>
    <row r="230" spans="1:3" x14ac:dyDescent="0.25">
      <c r="A230" s="1" t="s">
        <v>7242</v>
      </c>
      <c r="B230" s="1" t="s">
        <v>16375</v>
      </c>
      <c r="C230" s="3">
        <f>IF(B230="","",SUMIFS('Factory Costs'!$C:$C,'Factory Costs'!$A:$A,"Motor",'Factory Costs'!$B:$B,B230))</f>
        <v>72</v>
      </c>
    </row>
    <row r="231" spans="1:3" x14ac:dyDescent="0.25">
      <c r="A231" s="1" t="s">
        <v>7245</v>
      </c>
      <c r="B231" s="1" t="s">
        <v>16375</v>
      </c>
      <c r="C231" s="3">
        <f>IF(B231="","",SUMIFS('Factory Costs'!$C:$C,'Factory Costs'!$A:$A,"Motor",'Factory Costs'!$B:$B,B231))</f>
        <v>72</v>
      </c>
    </row>
    <row r="232" spans="1:3" x14ac:dyDescent="0.25">
      <c r="A232" s="1" t="s">
        <v>7248</v>
      </c>
      <c r="B232" s="1" t="s">
        <v>16374</v>
      </c>
      <c r="C232" s="3">
        <f>IF(B232="","",SUMIFS('Factory Costs'!$C:$C,'Factory Costs'!$A:$A,"Motor",'Factory Costs'!$B:$B,B232))</f>
        <v>62</v>
      </c>
    </row>
    <row r="233" spans="1:3" x14ac:dyDescent="0.25">
      <c r="A233" s="1" t="s">
        <v>7251</v>
      </c>
      <c r="B233" s="1" t="s">
        <v>16375</v>
      </c>
      <c r="C233" s="3">
        <f>IF(B233="","",SUMIFS('Factory Costs'!$C:$C,'Factory Costs'!$A:$A,"Motor",'Factory Costs'!$B:$B,B233))</f>
        <v>72</v>
      </c>
    </row>
    <row r="234" spans="1:3" x14ac:dyDescent="0.25">
      <c r="A234" s="1" t="s">
        <v>7254</v>
      </c>
      <c r="B234" s="1" t="s">
        <v>16374</v>
      </c>
      <c r="C234" s="3">
        <f>IF(B234="","",SUMIFS('Factory Costs'!$C:$C,'Factory Costs'!$A:$A,"Motor",'Factory Costs'!$B:$B,B234))</f>
        <v>62</v>
      </c>
    </row>
    <row r="235" spans="1:3" x14ac:dyDescent="0.25">
      <c r="A235" s="1" t="s">
        <v>7257</v>
      </c>
      <c r="B235" s="1" t="s">
        <v>16374</v>
      </c>
      <c r="C235" s="3">
        <f>IF(B235="","",SUMIFS('Factory Costs'!$C:$C,'Factory Costs'!$A:$A,"Motor",'Factory Costs'!$B:$B,B235))</f>
        <v>62</v>
      </c>
    </row>
    <row r="236" spans="1:3" x14ac:dyDescent="0.25">
      <c r="A236" s="1" t="s">
        <v>7260</v>
      </c>
      <c r="B236" s="1" t="s">
        <v>16375</v>
      </c>
      <c r="C236" s="3">
        <f>IF(B236="","",SUMIFS('Factory Costs'!$C:$C,'Factory Costs'!$A:$A,"Motor",'Factory Costs'!$B:$B,B236))</f>
        <v>72</v>
      </c>
    </row>
    <row r="237" spans="1:3" x14ac:dyDescent="0.25">
      <c r="A237" s="1" t="s">
        <v>7263</v>
      </c>
      <c r="B237" s="1" t="s">
        <v>16375</v>
      </c>
      <c r="C237" s="3">
        <f>IF(B237="","",SUMIFS('Factory Costs'!$C:$C,'Factory Costs'!$A:$A,"Motor",'Factory Costs'!$B:$B,B237))</f>
        <v>72</v>
      </c>
    </row>
    <row r="238" spans="1:3" x14ac:dyDescent="0.25">
      <c r="A238" s="1" t="s">
        <v>7266</v>
      </c>
      <c r="B238" s="1" t="s">
        <v>16374</v>
      </c>
      <c r="C238" s="3">
        <f>IF(B238="","",SUMIFS('Factory Costs'!$C:$C,'Factory Costs'!$A:$A,"Motor",'Factory Costs'!$B:$B,B238))</f>
        <v>62</v>
      </c>
    </row>
    <row r="239" spans="1:3" x14ac:dyDescent="0.25">
      <c r="A239" s="1" t="s">
        <v>7269</v>
      </c>
      <c r="B239" s="1" t="s">
        <v>16374</v>
      </c>
      <c r="C239" s="3">
        <f>IF(B239="","",SUMIFS('Factory Costs'!$C:$C,'Factory Costs'!$A:$A,"Motor",'Factory Costs'!$B:$B,B239))</f>
        <v>62</v>
      </c>
    </row>
    <row r="240" spans="1:3" x14ac:dyDescent="0.25">
      <c r="A240" s="1" t="s">
        <v>7272</v>
      </c>
      <c r="B240" s="1" t="s">
        <v>16374</v>
      </c>
      <c r="C240" s="3">
        <f>IF(B240="","",SUMIFS('Factory Costs'!$C:$C,'Factory Costs'!$A:$A,"Motor",'Factory Costs'!$B:$B,B240))</f>
        <v>62</v>
      </c>
    </row>
    <row r="241" spans="1:3" x14ac:dyDescent="0.25">
      <c r="A241" s="1" t="s">
        <v>7275</v>
      </c>
      <c r="B241" s="1" t="s">
        <v>16375</v>
      </c>
      <c r="C241" s="3">
        <f>IF(B241="","",SUMIFS('Factory Costs'!$C:$C,'Factory Costs'!$A:$A,"Motor",'Factory Costs'!$B:$B,B241))</f>
        <v>72</v>
      </c>
    </row>
    <row r="242" spans="1:3" x14ac:dyDescent="0.25">
      <c r="A242" s="1" t="s">
        <v>7278</v>
      </c>
      <c r="B242" s="1" t="s">
        <v>16375</v>
      </c>
      <c r="C242" s="3">
        <f>IF(B242="","",SUMIFS('Factory Costs'!$C:$C,'Factory Costs'!$A:$A,"Motor",'Factory Costs'!$B:$B,B242))</f>
        <v>72</v>
      </c>
    </row>
    <row r="243" spans="1:3" x14ac:dyDescent="0.25">
      <c r="A243" s="1" t="s">
        <v>7281</v>
      </c>
      <c r="B243" s="1" t="s">
        <v>16375</v>
      </c>
      <c r="C243" s="3">
        <f>IF(B243="","",SUMIFS('Factory Costs'!$C:$C,'Factory Costs'!$A:$A,"Motor",'Factory Costs'!$B:$B,B243))</f>
        <v>72</v>
      </c>
    </row>
    <row r="244" spans="1:3" x14ac:dyDescent="0.25">
      <c r="A244" s="1" t="s">
        <v>7284</v>
      </c>
      <c r="B244" s="1" t="s">
        <v>16374</v>
      </c>
      <c r="C244" s="3">
        <f>IF(B244="","",SUMIFS('Factory Costs'!$C:$C,'Factory Costs'!$A:$A,"Motor",'Factory Costs'!$B:$B,B244))</f>
        <v>62</v>
      </c>
    </row>
    <row r="245" spans="1:3" x14ac:dyDescent="0.25">
      <c r="A245" s="1" t="s">
        <v>7287</v>
      </c>
      <c r="B245" s="1" t="s">
        <v>16375</v>
      </c>
      <c r="C245" s="3">
        <f>IF(B245="","",SUMIFS('Factory Costs'!$C:$C,'Factory Costs'!$A:$A,"Motor",'Factory Costs'!$B:$B,B245))</f>
        <v>72</v>
      </c>
    </row>
    <row r="246" spans="1:3" x14ac:dyDescent="0.25">
      <c r="A246" s="1" t="s">
        <v>7290</v>
      </c>
      <c r="B246" s="1" t="s">
        <v>16374</v>
      </c>
      <c r="C246" s="3">
        <f>IF(B246="","",SUMIFS('Factory Costs'!$C:$C,'Factory Costs'!$A:$A,"Motor",'Factory Costs'!$B:$B,B246))</f>
        <v>62</v>
      </c>
    </row>
    <row r="247" spans="1:3" x14ac:dyDescent="0.25">
      <c r="A247" s="1" t="s">
        <v>7293</v>
      </c>
      <c r="B247" s="1" t="s">
        <v>16374</v>
      </c>
      <c r="C247" s="3">
        <f>IF(B247="","",SUMIFS('Factory Costs'!$C:$C,'Factory Costs'!$A:$A,"Motor",'Factory Costs'!$B:$B,B247))</f>
        <v>62</v>
      </c>
    </row>
    <row r="248" spans="1:3" x14ac:dyDescent="0.25">
      <c r="A248" s="1" t="s">
        <v>7296</v>
      </c>
      <c r="B248" s="1" t="s">
        <v>16374</v>
      </c>
      <c r="C248" s="3">
        <f>IF(B248="","",SUMIFS('Factory Costs'!$C:$C,'Factory Costs'!$A:$A,"Motor",'Factory Costs'!$B:$B,B248))</f>
        <v>62</v>
      </c>
    </row>
    <row r="249" spans="1:3" x14ac:dyDescent="0.25">
      <c r="A249" s="1" t="s">
        <v>7299</v>
      </c>
      <c r="B249" s="1" t="s">
        <v>16374</v>
      </c>
      <c r="C249" s="3">
        <f>IF(B249="","",SUMIFS('Factory Costs'!$C:$C,'Factory Costs'!$A:$A,"Motor",'Factory Costs'!$B:$B,B249))</f>
        <v>62</v>
      </c>
    </row>
    <row r="250" spans="1:3" x14ac:dyDescent="0.25">
      <c r="A250" s="1" t="s">
        <v>7302</v>
      </c>
      <c r="B250" s="1" t="s">
        <v>16374</v>
      </c>
      <c r="C250" s="3">
        <f>IF(B250="","",SUMIFS('Factory Costs'!$C:$C,'Factory Costs'!$A:$A,"Motor",'Factory Costs'!$B:$B,B250))</f>
        <v>62</v>
      </c>
    </row>
    <row r="251" spans="1:3" x14ac:dyDescent="0.25">
      <c r="A251" s="1" t="s">
        <v>7305</v>
      </c>
      <c r="B251" s="1" t="s">
        <v>16374</v>
      </c>
      <c r="C251" s="3">
        <f>IF(B251="","",SUMIFS('Factory Costs'!$C:$C,'Factory Costs'!$A:$A,"Motor",'Factory Costs'!$B:$B,B251))</f>
        <v>62</v>
      </c>
    </row>
    <row r="252" spans="1:3" x14ac:dyDescent="0.25">
      <c r="A252" s="1" t="s">
        <v>7308</v>
      </c>
      <c r="B252" s="1" t="s">
        <v>16375</v>
      </c>
      <c r="C252" s="3">
        <f>IF(B252="","",SUMIFS('Factory Costs'!$C:$C,'Factory Costs'!$A:$A,"Motor",'Factory Costs'!$B:$B,B252))</f>
        <v>72</v>
      </c>
    </row>
    <row r="253" spans="1:3" x14ac:dyDescent="0.25">
      <c r="A253" s="1" t="s">
        <v>7311</v>
      </c>
      <c r="B253" s="1" t="s">
        <v>16374</v>
      </c>
      <c r="C253" s="3">
        <f>IF(B253="","",SUMIFS('Factory Costs'!$C:$C,'Factory Costs'!$A:$A,"Motor",'Factory Costs'!$B:$B,B253))</f>
        <v>62</v>
      </c>
    </row>
    <row r="254" spans="1:3" x14ac:dyDescent="0.25">
      <c r="A254" s="1" t="s">
        <v>7314</v>
      </c>
      <c r="B254" s="1" t="s">
        <v>16374</v>
      </c>
      <c r="C254" s="3">
        <f>IF(B254="","",SUMIFS('Factory Costs'!$C:$C,'Factory Costs'!$A:$A,"Motor",'Factory Costs'!$B:$B,B254))</f>
        <v>62</v>
      </c>
    </row>
    <row r="255" spans="1:3" x14ac:dyDescent="0.25">
      <c r="A255" s="1" t="s">
        <v>7317</v>
      </c>
      <c r="B255" s="1" t="s">
        <v>16375</v>
      </c>
      <c r="C255" s="3">
        <f>IF(B255="","",SUMIFS('Factory Costs'!$C:$C,'Factory Costs'!$A:$A,"Motor",'Factory Costs'!$B:$B,B255))</f>
        <v>72</v>
      </c>
    </row>
    <row r="256" spans="1:3" x14ac:dyDescent="0.25">
      <c r="A256" s="1" t="s">
        <v>7320</v>
      </c>
      <c r="B256" s="1" t="s">
        <v>16374</v>
      </c>
      <c r="C256" s="3">
        <f>IF(B256="","",SUMIFS('Factory Costs'!$C:$C,'Factory Costs'!$A:$A,"Motor",'Factory Costs'!$B:$B,B256))</f>
        <v>62</v>
      </c>
    </row>
    <row r="257" spans="1:3" x14ac:dyDescent="0.25">
      <c r="A257" s="1" t="s">
        <v>7323</v>
      </c>
      <c r="B257" s="1" t="s">
        <v>16374</v>
      </c>
      <c r="C257" s="3">
        <f>IF(B257="","",SUMIFS('Factory Costs'!$C:$C,'Factory Costs'!$A:$A,"Motor",'Factory Costs'!$B:$B,B257))</f>
        <v>62</v>
      </c>
    </row>
    <row r="258" spans="1:3" x14ac:dyDescent="0.25">
      <c r="A258" s="1" t="s">
        <v>7326</v>
      </c>
      <c r="B258" s="1" t="s">
        <v>16375</v>
      </c>
      <c r="C258" s="3">
        <f>IF(B258="","",SUMIFS('Factory Costs'!$C:$C,'Factory Costs'!$A:$A,"Motor",'Factory Costs'!$B:$B,B258))</f>
        <v>72</v>
      </c>
    </row>
    <row r="259" spans="1:3" x14ac:dyDescent="0.25">
      <c r="A259" s="1" t="s">
        <v>7329</v>
      </c>
      <c r="B259" s="1" t="s">
        <v>16374</v>
      </c>
      <c r="C259" s="3">
        <f>IF(B259="","",SUMIFS('Factory Costs'!$C:$C,'Factory Costs'!$A:$A,"Motor",'Factory Costs'!$B:$B,B259))</f>
        <v>62</v>
      </c>
    </row>
    <row r="260" spans="1:3" x14ac:dyDescent="0.25">
      <c r="A260" s="1" t="s">
        <v>7332</v>
      </c>
      <c r="B260" s="1" t="s">
        <v>16374</v>
      </c>
      <c r="C260" s="3">
        <f>IF(B260="","",SUMIFS('Factory Costs'!$C:$C,'Factory Costs'!$A:$A,"Motor",'Factory Costs'!$B:$B,B260))</f>
        <v>62</v>
      </c>
    </row>
    <row r="261" spans="1:3" x14ac:dyDescent="0.25">
      <c r="A261" s="1" t="s">
        <v>7335</v>
      </c>
      <c r="B261" s="1" t="s">
        <v>16374</v>
      </c>
      <c r="C261" s="3">
        <f>IF(B261="","",SUMIFS('Factory Costs'!$C:$C,'Factory Costs'!$A:$A,"Motor",'Factory Costs'!$B:$B,B261))</f>
        <v>62</v>
      </c>
    </row>
    <row r="262" spans="1:3" x14ac:dyDescent="0.25">
      <c r="A262" s="1" t="s">
        <v>7338</v>
      </c>
      <c r="B262" s="1" t="s">
        <v>16375</v>
      </c>
      <c r="C262" s="3">
        <f>IF(B262="","",SUMIFS('Factory Costs'!$C:$C,'Factory Costs'!$A:$A,"Motor",'Factory Costs'!$B:$B,B262))</f>
        <v>72</v>
      </c>
    </row>
    <row r="263" spans="1:3" x14ac:dyDescent="0.25">
      <c r="A263" s="1" t="s">
        <v>7341</v>
      </c>
      <c r="B263" s="1" t="s">
        <v>16374</v>
      </c>
      <c r="C263" s="3">
        <f>IF(B263="","",SUMIFS('Factory Costs'!$C:$C,'Factory Costs'!$A:$A,"Motor",'Factory Costs'!$B:$B,B263))</f>
        <v>62</v>
      </c>
    </row>
    <row r="264" spans="1:3" x14ac:dyDescent="0.25">
      <c r="A264" s="1" t="s">
        <v>7344</v>
      </c>
      <c r="B264" s="1" t="s">
        <v>16375</v>
      </c>
      <c r="C264" s="3">
        <f>IF(B264="","",SUMIFS('Factory Costs'!$C:$C,'Factory Costs'!$A:$A,"Motor",'Factory Costs'!$B:$B,B264))</f>
        <v>72</v>
      </c>
    </row>
    <row r="265" spans="1:3" x14ac:dyDescent="0.25">
      <c r="A265" s="1" t="s">
        <v>7347</v>
      </c>
      <c r="B265" s="1" t="s">
        <v>16375</v>
      </c>
      <c r="C265" s="3">
        <f>IF(B265="","",SUMIFS('Factory Costs'!$C:$C,'Factory Costs'!$A:$A,"Motor",'Factory Costs'!$B:$B,B265))</f>
        <v>72</v>
      </c>
    </row>
    <row r="266" spans="1:3" x14ac:dyDescent="0.25">
      <c r="A266" s="1" t="s">
        <v>7350</v>
      </c>
      <c r="B266" s="1" t="s">
        <v>16374</v>
      </c>
      <c r="C266" s="3">
        <f>IF(B266="","",SUMIFS('Factory Costs'!$C:$C,'Factory Costs'!$A:$A,"Motor",'Factory Costs'!$B:$B,B266))</f>
        <v>62</v>
      </c>
    </row>
    <row r="267" spans="1:3" x14ac:dyDescent="0.25">
      <c r="A267" s="1" t="s">
        <v>7353</v>
      </c>
      <c r="B267" s="1" t="s">
        <v>16374</v>
      </c>
      <c r="C267" s="3">
        <f>IF(B267="","",SUMIFS('Factory Costs'!$C:$C,'Factory Costs'!$A:$A,"Motor",'Factory Costs'!$B:$B,B267))</f>
        <v>62</v>
      </c>
    </row>
    <row r="268" spans="1:3" x14ac:dyDescent="0.25">
      <c r="A268" s="1" t="s">
        <v>7356</v>
      </c>
      <c r="B268" s="1" t="s">
        <v>16375</v>
      </c>
      <c r="C268" s="3">
        <f>IF(B268="","",SUMIFS('Factory Costs'!$C:$C,'Factory Costs'!$A:$A,"Motor",'Factory Costs'!$B:$B,B268))</f>
        <v>72</v>
      </c>
    </row>
    <row r="269" spans="1:3" x14ac:dyDescent="0.25">
      <c r="A269" s="1" t="s">
        <v>7359</v>
      </c>
      <c r="B269" s="1" t="s">
        <v>16374</v>
      </c>
      <c r="C269" s="3">
        <f>IF(B269="","",SUMIFS('Factory Costs'!$C:$C,'Factory Costs'!$A:$A,"Motor",'Factory Costs'!$B:$B,B269))</f>
        <v>62</v>
      </c>
    </row>
    <row r="270" spans="1:3" x14ac:dyDescent="0.25">
      <c r="A270" s="1" t="s">
        <v>7362</v>
      </c>
      <c r="B270" s="1" t="s">
        <v>16374</v>
      </c>
      <c r="C270" s="3">
        <f>IF(B270="","",SUMIFS('Factory Costs'!$C:$C,'Factory Costs'!$A:$A,"Motor",'Factory Costs'!$B:$B,B270))</f>
        <v>62</v>
      </c>
    </row>
    <row r="271" spans="1:3" x14ac:dyDescent="0.25">
      <c r="A271" s="1" t="s">
        <v>7365</v>
      </c>
      <c r="B271" s="1" t="s">
        <v>16374</v>
      </c>
      <c r="C271" s="3">
        <f>IF(B271="","",SUMIFS('Factory Costs'!$C:$C,'Factory Costs'!$A:$A,"Motor",'Factory Costs'!$B:$B,B271))</f>
        <v>62</v>
      </c>
    </row>
    <row r="272" spans="1:3" x14ac:dyDescent="0.25">
      <c r="A272" s="1" t="s">
        <v>7368</v>
      </c>
      <c r="B272" s="1" t="s">
        <v>16374</v>
      </c>
      <c r="C272" s="3">
        <f>IF(B272="","",SUMIFS('Factory Costs'!$C:$C,'Factory Costs'!$A:$A,"Motor",'Factory Costs'!$B:$B,B272))</f>
        <v>62</v>
      </c>
    </row>
    <row r="273" spans="1:3" x14ac:dyDescent="0.25">
      <c r="A273" s="1" t="s">
        <v>7371</v>
      </c>
      <c r="B273" s="1" t="s">
        <v>16375</v>
      </c>
      <c r="C273" s="3">
        <f>IF(B273="","",SUMIFS('Factory Costs'!$C:$C,'Factory Costs'!$A:$A,"Motor",'Factory Costs'!$B:$B,B273))</f>
        <v>72</v>
      </c>
    </row>
    <row r="274" spans="1:3" x14ac:dyDescent="0.25">
      <c r="A274" s="1" t="s">
        <v>7374</v>
      </c>
      <c r="B274" s="1" t="s">
        <v>16374</v>
      </c>
      <c r="C274" s="3">
        <f>IF(B274="","",SUMIFS('Factory Costs'!$C:$C,'Factory Costs'!$A:$A,"Motor",'Factory Costs'!$B:$B,B274))</f>
        <v>62</v>
      </c>
    </row>
    <row r="275" spans="1:3" x14ac:dyDescent="0.25">
      <c r="A275" s="1" t="s">
        <v>7377</v>
      </c>
      <c r="B275" s="1" t="s">
        <v>16374</v>
      </c>
      <c r="C275" s="3">
        <f>IF(B275="","",SUMIFS('Factory Costs'!$C:$C,'Factory Costs'!$A:$A,"Motor",'Factory Costs'!$B:$B,B275))</f>
        <v>62</v>
      </c>
    </row>
    <row r="276" spans="1:3" x14ac:dyDescent="0.25">
      <c r="A276" s="1" t="s">
        <v>7380</v>
      </c>
      <c r="B276" s="1" t="s">
        <v>16374</v>
      </c>
      <c r="C276" s="3">
        <f>IF(B276="","",SUMIFS('Factory Costs'!$C:$C,'Factory Costs'!$A:$A,"Motor",'Factory Costs'!$B:$B,B276))</f>
        <v>62</v>
      </c>
    </row>
    <row r="277" spans="1:3" x14ac:dyDescent="0.25">
      <c r="A277" s="1" t="s">
        <v>7383</v>
      </c>
      <c r="B277" s="1" t="s">
        <v>16374</v>
      </c>
      <c r="C277" s="3">
        <f>IF(B277="","",SUMIFS('Factory Costs'!$C:$C,'Factory Costs'!$A:$A,"Motor",'Factory Costs'!$B:$B,B277))</f>
        <v>62</v>
      </c>
    </row>
    <row r="278" spans="1:3" x14ac:dyDescent="0.25">
      <c r="A278" s="1" t="s">
        <v>7386</v>
      </c>
      <c r="B278" s="1" t="s">
        <v>16374</v>
      </c>
      <c r="C278" s="3">
        <f>IF(B278="","",SUMIFS('Factory Costs'!$C:$C,'Factory Costs'!$A:$A,"Motor",'Factory Costs'!$B:$B,B278))</f>
        <v>62</v>
      </c>
    </row>
    <row r="279" spans="1:3" x14ac:dyDescent="0.25">
      <c r="A279" s="1" t="s">
        <v>7389</v>
      </c>
      <c r="B279" s="1" t="s">
        <v>16374</v>
      </c>
      <c r="C279" s="3">
        <f>IF(B279="","",SUMIFS('Factory Costs'!$C:$C,'Factory Costs'!$A:$A,"Motor",'Factory Costs'!$B:$B,B279))</f>
        <v>62</v>
      </c>
    </row>
    <row r="280" spans="1:3" x14ac:dyDescent="0.25">
      <c r="A280" s="1" t="s">
        <v>7392</v>
      </c>
      <c r="B280" s="1" t="s">
        <v>16374</v>
      </c>
      <c r="C280" s="3">
        <f>IF(B280="","",SUMIFS('Factory Costs'!$C:$C,'Factory Costs'!$A:$A,"Motor",'Factory Costs'!$B:$B,B280))</f>
        <v>62</v>
      </c>
    </row>
    <row r="281" spans="1:3" x14ac:dyDescent="0.25">
      <c r="A281" s="1" t="s">
        <v>7395</v>
      </c>
      <c r="B281" s="1" t="s">
        <v>16375</v>
      </c>
      <c r="C281" s="3">
        <f>IF(B281="","",SUMIFS('Factory Costs'!$C:$C,'Factory Costs'!$A:$A,"Motor",'Factory Costs'!$B:$B,B281))</f>
        <v>72</v>
      </c>
    </row>
    <row r="282" spans="1:3" x14ac:dyDescent="0.25">
      <c r="A282" s="1" t="s">
        <v>7398</v>
      </c>
      <c r="B282" s="1" t="s">
        <v>16375</v>
      </c>
      <c r="C282" s="3">
        <f>IF(B282="","",SUMIFS('Factory Costs'!$C:$C,'Factory Costs'!$A:$A,"Motor",'Factory Costs'!$B:$B,B282))</f>
        <v>72</v>
      </c>
    </row>
    <row r="283" spans="1:3" x14ac:dyDescent="0.25">
      <c r="A283" s="1" t="s">
        <v>7401</v>
      </c>
      <c r="B283" s="1" t="s">
        <v>16374</v>
      </c>
      <c r="C283" s="3">
        <f>IF(B283="","",SUMIFS('Factory Costs'!$C:$C,'Factory Costs'!$A:$A,"Motor",'Factory Costs'!$B:$B,B283))</f>
        <v>62</v>
      </c>
    </row>
    <row r="284" spans="1:3" x14ac:dyDescent="0.25">
      <c r="A284" s="1" t="s">
        <v>7404</v>
      </c>
      <c r="B284" s="1" t="s">
        <v>16374</v>
      </c>
      <c r="C284" s="3">
        <f>IF(B284="","",SUMIFS('Factory Costs'!$C:$C,'Factory Costs'!$A:$A,"Motor",'Factory Costs'!$B:$B,B284))</f>
        <v>62</v>
      </c>
    </row>
    <row r="285" spans="1:3" x14ac:dyDescent="0.25">
      <c r="A285" s="1" t="s">
        <v>7407</v>
      </c>
      <c r="B285" s="1" t="s">
        <v>16375</v>
      </c>
      <c r="C285" s="3">
        <f>IF(B285="","",SUMIFS('Factory Costs'!$C:$C,'Factory Costs'!$A:$A,"Motor",'Factory Costs'!$B:$B,B285))</f>
        <v>72</v>
      </c>
    </row>
    <row r="286" spans="1:3" x14ac:dyDescent="0.25">
      <c r="A286" s="1" t="s">
        <v>7410</v>
      </c>
      <c r="B286" s="1" t="s">
        <v>16374</v>
      </c>
      <c r="C286" s="3">
        <f>IF(B286="","",SUMIFS('Factory Costs'!$C:$C,'Factory Costs'!$A:$A,"Motor",'Factory Costs'!$B:$B,B286))</f>
        <v>62</v>
      </c>
    </row>
    <row r="287" spans="1:3" x14ac:dyDescent="0.25">
      <c r="A287" s="1" t="s">
        <v>7413</v>
      </c>
      <c r="B287" s="1" t="s">
        <v>16374</v>
      </c>
      <c r="C287" s="3">
        <f>IF(B287="","",SUMIFS('Factory Costs'!$C:$C,'Factory Costs'!$A:$A,"Motor",'Factory Costs'!$B:$B,B287))</f>
        <v>62</v>
      </c>
    </row>
    <row r="288" spans="1:3" x14ac:dyDescent="0.25">
      <c r="A288" s="1" t="s">
        <v>7416</v>
      </c>
      <c r="B288" s="1" t="s">
        <v>16374</v>
      </c>
      <c r="C288" s="3">
        <f>IF(B288="","",SUMIFS('Factory Costs'!$C:$C,'Factory Costs'!$A:$A,"Motor",'Factory Costs'!$B:$B,B288))</f>
        <v>62</v>
      </c>
    </row>
    <row r="289" spans="1:3" x14ac:dyDescent="0.25">
      <c r="A289" s="1" t="s">
        <v>7419</v>
      </c>
      <c r="B289" s="1" t="s">
        <v>16375</v>
      </c>
      <c r="C289" s="3">
        <f>IF(B289="","",SUMIFS('Factory Costs'!$C:$C,'Factory Costs'!$A:$A,"Motor",'Factory Costs'!$B:$B,B289))</f>
        <v>72</v>
      </c>
    </row>
    <row r="290" spans="1:3" x14ac:dyDescent="0.25">
      <c r="A290" s="1" t="s">
        <v>7422</v>
      </c>
      <c r="B290" s="1" t="s">
        <v>16375</v>
      </c>
      <c r="C290" s="3">
        <f>IF(B290="","",SUMIFS('Factory Costs'!$C:$C,'Factory Costs'!$A:$A,"Motor",'Factory Costs'!$B:$B,B290))</f>
        <v>72</v>
      </c>
    </row>
    <row r="291" spans="1:3" x14ac:dyDescent="0.25">
      <c r="A291" s="1" t="s">
        <v>7425</v>
      </c>
      <c r="B291" s="1" t="s">
        <v>16374</v>
      </c>
      <c r="C291" s="3">
        <f>IF(B291="","",SUMIFS('Factory Costs'!$C:$C,'Factory Costs'!$A:$A,"Motor",'Factory Costs'!$B:$B,B291))</f>
        <v>62</v>
      </c>
    </row>
    <row r="292" spans="1:3" x14ac:dyDescent="0.25">
      <c r="A292" s="1" t="s">
        <v>7428</v>
      </c>
      <c r="B292" s="1" t="s">
        <v>16374</v>
      </c>
      <c r="C292" s="3">
        <f>IF(B292="","",SUMIFS('Factory Costs'!$C:$C,'Factory Costs'!$A:$A,"Motor",'Factory Costs'!$B:$B,B292))</f>
        <v>62</v>
      </c>
    </row>
    <row r="293" spans="1:3" x14ac:dyDescent="0.25">
      <c r="A293" s="1" t="s">
        <v>7431</v>
      </c>
      <c r="B293" s="1" t="s">
        <v>16374</v>
      </c>
      <c r="C293" s="3">
        <f>IF(B293="","",SUMIFS('Factory Costs'!$C:$C,'Factory Costs'!$A:$A,"Motor",'Factory Costs'!$B:$B,B293))</f>
        <v>62</v>
      </c>
    </row>
    <row r="294" spans="1:3" x14ac:dyDescent="0.25">
      <c r="A294" s="1" t="s">
        <v>7434</v>
      </c>
      <c r="B294" s="1" t="s">
        <v>16374</v>
      </c>
      <c r="C294" s="3">
        <f>IF(B294="","",SUMIFS('Factory Costs'!$C:$C,'Factory Costs'!$A:$A,"Motor",'Factory Costs'!$B:$B,B294))</f>
        <v>62</v>
      </c>
    </row>
    <row r="295" spans="1:3" x14ac:dyDescent="0.25">
      <c r="A295" s="1" t="s">
        <v>7437</v>
      </c>
      <c r="B295" s="1" t="s">
        <v>16375</v>
      </c>
      <c r="C295" s="3">
        <f>IF(B295="","",SUMIFS('Factory Costs'!$C:$C,'Factory Costs'!$A:$A,"Motor",'Factory Costs'!$B:$B,B295))</f>
        <v>72</v>
      </c>
    </row>
    <row r="296" spans="1:3" x14ac:dyDescent="0.25">
      <c r="A296" s="1" t="s">
        <v>7440</v>
      </c>
      <c r="B296" s="1" t="s">
        <v>16374</v>
      </c>
      <c r="C296" s="3">
        <f>IF(B296="","",SUMIFS('Factory Costs'!$C:$C,'Factory Costs'!$A:$A,"Motor",'Factory Costs'!$B:$B,B296))</f>
        <v>62</v>
      </c>
    </row>
    <row r="297" spans="1:3" x14ac:dyDescent="0.25">
      <c r="A297" s="1" t="s">
        <v>7443</v>
      </c>
      <c r="B297" s="1" t="s">
        <v>16374</v>
      </c>
      <c r="C297" s="3">
        <f>IF(B297="","",SUMIFS('Factory Costs'!$C:$C,'Factory Costs'!$A:$A,"Motor",'Factory Costs'!$B:$B,B297))</f>
        <v>62</v>
      </c>
    </row>
    <row r="298" spans="1:3" x14ac:dyDescent="0.25">
      <c r="A298" s="1" t="s">
        <v>7446</v>
      </c>
      <c r="B298" s="1" t="s">
        <v>16374</v>
      </c>
      <c r="C298" s="3">
        <f>IF(B298="","",SUMIFS('Factory Costs'!$C:$C,'Factory Costs'!$A:$A,"Motor",'Factory Costs'!$B:$B,B298))</f>
        <v>62</v>
      </c>
    </row>
    <row r="299" spans="1:3" x14ac:dyDescent="0.25">
      <c r="A299" s="1" t="s">
        <v>7449</v>
      </c>
      <c r="B299" s="1" t="s">
        <v>16374</v>
      </c>
      <c r="C299" s="3">
        <f>IF(B299="","",SUMIFS('Factory Costs'!$C:$C,'Factory Costs'!$A:$A,"Motor",'Factory Costs'!$B:$B,B299))</f>
        <v>62</v>
      </c>
    </row>
    <row r="300" spans="1:3" x14ac:dyDescent="0.25">
      <c r="A300" s="1" t="s">
        <v>7452</v>
      </c>
      <c r="B300" s="1" t="s">
        <v>16375</v>
      </c>
      <c r="C300" s="3">
        <f>IF(B300="","",SUMIFS('Factory Costs'!$C:$C,'Factory Costs'!$A:$A,"Motor",'Factory Costs'!$B:$B,B300))</f>
        <v>72</v>
      </c>
    </row>
    <row r="301" spans="1:3" x14ac:dyDescent="0.25">
      <c r="A301" s="1" t="s">
        <v>7455</v>
      </c>
      <c r="B301" s="1" t="s">
        <v>16374</v>
      </c>
      <c r="C301" s="3">
        <f>IF(B301="","",SUMIFS('Factory Costs'!$C:$C,'Factory Costs'!$A:$A,"Motor",'Factory Costs'!$B:$B,B301))</f>
        <v>62</v>
      </c>
    </row>
    <row r="302" spans="1:3" x14ac:dyDescent="0.25">
      <c r="A302" s="1" t="s">
        <v>7458</v>
      </c>
      <c r="B302" s="1" t="s">
        <v>16374</v>
      </c>
      <c r="C302" s="3">
        <f>IF(B302="","",SUMIFS('Factory Costs'!$C:$C,'Factory Costs'!$A:$A,"Motor",'Factory Costs'!$B:$B,B302))</f>
        <v>62</v>
      </c>
    </row>
    <row r="303" spans="1:3" x14ac:dyDescent="0.25">
      <c r="A303" s="1" t="s">
        <v>7461</v>
      </c>
      <c r="B303" s="1" t="s">
        <v>16374</v>
      </c>
      <c r="C303" s="3">
        <f>IF(B303="","",SUMIFS('Factory Costs'!$C:$C,'Factory Costs'!$A:$A,"Motor",'Factory Costs'!$B:$B,B303))</f>
        <v>62</v>
      </c>
    </row>
    <row r="304" spans="1:3" x14ac:dyDescent="0.25">
      <c r="A304" s="1" t="s">
        <v>7464</v>
      </c>
      <c r="B304" s="1" t="s">
        <v>16374</v>
      </c>
      <c r="C304" s="3">
        <f>IF(B304="","",SUMIFS('Factory Costs'!$C:$C,'Factory Costs'!$A:$A,"Motor",'Factory Costs'!$B:$B,B304))</f>
        <v>62</v>
      </c>
    </row>
    <row r="305" spans="1:3" x14ac:dyDescent="0.25">
      <c r="A305" s="1" t="s">
        <v>7467</v>
      </c>
      <c r="B305" s="1" t="s">
        <v>16375</v>
      </c>
      <c r="C305" s="3">
        <f>IF(B305="","",SUMIFS('Factory Costs'!$C:$C,'Factory Costs'!$A:$A,"Motor",'Factory Costs'!$B:$B,B305))</f>
        <v>72</v>
      </c>
    </row>
    <row r="306" spans="1:3" x14ac:dyDescent="0.25">
      <c r="A306" s="1" t="s">
        <v>7470</v>
      </c>
      <c r="B306" s="1" t="s">
        <v>16375</v>
      </c>
      <c r="C306" s="3">
        <f>IF(B306="","",SUMIFS('Factory Costs'!$C:$C,'Factory Costs'!$A:$A,"Motor",'Factory Costs'!$B:$B,B306))</f>
        <v>72</v>
      </c>
    </row>
    <row r="307" spans="1:3" x14ac:dyDescent="0.25">
      <c r="A307" s="1" t="s">
        <v>7473</v>
      </c>
      <c r="B307" s="1" t="s">
        <v>16374</v>
      </c>
      <c r="C307" s="3">
        <f>IF(B307="","",SUMIFS('Factory Costs'!$C:$C,'Factory Costs'!$A:$A,"Motor",'Factory Costs'!$B:$B,B307))</f>
        <v>62</v>
      </c>
    </row>
    <row r="308" spans="1:3" x14ac:dyDescent="0.25">
      <c r="A308" s="1" t="s">
        <v>7476</v>
      </c>
      <c r="B308" s="1" t="s">
        <v>16375</v>
      </c>
      <c r="C308" s="3">
        <f>IF(B308="","",SUMIFS('Factory Costs'!$C:$C,'Factory Costs'!$A:$A,"Motor",'Factory Costs'!$B:$B,B308))</f>
        <v>72</v>
      </c>
    </row>
    <row r="309" spans="1:3" x14ac:dyDescent="0.25">
      <c r="A309" s="1" t="s">
        <v>7479</v>
      </c>
      <c r="B309" s="1" t="s">
        <v>16375</v>
      </c>
      <c r="C309" s="3">
        <f>IF(B309="","",SUMIFS('Factory Costs'!$C:$C,'Factory Costs'!$A:$A,"Motor",'Factory Costs'!$B:$B,B309))</f>
        <v>72</v>
      </c>
    </row>
    <row r="310" spans="1:3" x14ac:dyDescent="0.25">
      <c r="A310" s="1" t="s">
        <v>7482</v>
      </c>
      <c r="B310" s="1" t="s">
        <v>16374</v>
      </c>
      <c r="C310" s="3">
        <f>IF(B310="","",SUMIFS('Factory Costs'!$C:$C,'Factory Costs'!$A:$A,"Motor",'Factory Costs'!$B:$B,B310))</f>
        <v>62</v>
      </c>
    </row>
    <row r="311" spans="1:3" x14ac:dyDescent="0.25">
      <c r="A311" s="1" t="s">
        <v>7485</v>
      </c>
      <c r="B311" s="1" t="s">
        <v>16374</v>
      </c>
      <c r="C311" s="3">
        <f>IF(B311="","",SUMIFS('Factory Costs'!$C:$C,'Factory Costs'!$A:$A,"Motor",'Factory Costs'!$B:$B,B311))</f>
        <v>62</v>
      </c>
    </row>
    <row r="312" spans="1:3" x14ac:dyDescent="0.25">
      <c r="A312" s="1" t="s">
        <v>7488</v>
      </c>
      <c r="B312" s="1" t="s">
        <v>16374</v>
      </c>
      <c r="C312" s="3">
        <f>IF(B312="","",SUMIFS('Factory Costs'!$C:$C,'Factory Costs'!$A:$A,"Motor",'Factory Costs'!$B:$B,B312))</f>
        <v>62</v>
      </c>
    </row>
    <row r="313" spans="1:3" x14ac:dyDescent="0.25">
      <c r="A313" s="1" t="s">
        <v>7491</v>
      </c>
      <c r="B313" s="1" t="s">
        <v>16374</v>
      </c>
      <c r="C313" s="3">
        <f>IF(B313="","",SUMIFS('Factory Costs'!$C:$C,'Factory Costs'!$A:$A,"Motor",'Factory Costs'!$B:$B,B313))</f>
        <v>62</v>
      </c>
    </row>
    <row r="314" spans="1:3" x14ac:dyDescent="0.25">
      <c r="A314" s="1" t="s">
        <v>7494</v>
      </c>
      <c r="B314" s="1" t="s">
        <v>16374</v>
      </c>
      <c r="C314" s="3">
        <f>IF(B314="","",SUMIFS('Factory Costs'!$C:$C,'Factory Costs'!$A:$A,"Motor",'Factory Costs'!$B:$B,B314))</f>
        <v>62</v>
      </c>
    </row>
    <row r="315" spans="1:3" x14ac:dyDescent="0.25">
      <c r="A315" s="1" t="s">
        <v>7497</v>
      </c>
      <c r="B315" s="1" t="s">
        <v>16375</v>
      </c>
      <c r="C315" s="3">
        <f>IF(B315="","",SUMIFS('Factory Costs'!$C:$C,'Factory Costs'!$A:$A,"Motor",'Factory Costs'!$B:$B,B315))</f>
        <v>72</v>
      </c>
    </row>
    <row r="316" spans="1:3" x14ac:dyDescent="0.25">
      <c r="A316" s="1" t="s">
        <v>7500</v>
      </c>
      <c r="B316" s="1" t="s">
        <v>16375</v>
      </c>
      <c r="C316" s="3">
        <f>IF(B316="","",SUMIFS('Factory Costs'!$C:$C,'Factory Costs'!$A:$A,"Motor",'Factory Costs'!$B:$B,B316))</f>
        <v>72</v>
      </c>
    </row>
    <row r="317" spans="1:3" x14ac:dyDescent="0.25">
      <c r="A317" s="1" t="s">
        <v>7503</v>
      </c>
      <c r="B317" s="1" t="s">
        <v>16374</v>
      </c>
      <c r="C317" s="3">
        <f>IF(B317="","",SUMIFS('Factory Costs'!$C:$C,'Factory Costs'!$A:$A,"Motor",'Factory Costs'!$B:$B,B317))</f>
        <v>62</v>
      </c>
    </row>
    <row r="318" spans="1:3" x14ac:dyDescent="0.25">
      <c r="A318" s="1" t="s">
        <v>7506</v>
      </c>
      <c r="B318" s="1" t="s">
        <v>16374</v>
      </c>
      <c r="C318" s="3">
        <f>IF(B318="","",SUMIFS('Factory Costs'!$C:$C,'Factory Costs'!$A:$A,"Motor",'Factory Costs'!$B:$B,B318))</f>
        <v>62</v>
      </c>
    </row>
    <row r="319" spans="1:3" x14ac:dyDescent="0.25">
      <c r="A319" s="1" t="s">
        <v>7509</v>
      </c>
      <c r="B319" s="1" t="s">
        <v>16374</v>
      </c>
      <c r="C319" s="3">
        <f>IF(B319="","",SUMIFS('Factory Costs'!$C:$C,'Factory Costs'!$A:$A,"Motor",'Factory Costs'!$B:$B,B319))</f>
        <v>62</v>
      </c>
    </row>
    <row r="320" spans="1:3" x14ac:dyDescent="0.25">
      <c r="A320" s="1" t="s">
        <v>7512</v>
      </c>
      <c r="B320" s="1" t="s">
        <v>16374</v>
      </c>
      <c r="C320" s="3">
        <f>IF(B320="","",SUMIFS('Factory Costs'!$C:$C,'Factory Costs'!$A:$A,"Motor",'Factory Costs'!$B:$B,B320))</f>
        <v>62</v>
      </c>
    </row>
    <row r="321" spans="1:3" x14ac:dyDescent="0.25">
      <c r="A321" s="1" t="s">
        <v>7515</v>
      </c>
      <c r="B321" s="1" t="s">
        <v>16374</v>
      </c>
      <c r="C321" s="3">
        <f>IF(B321="","",SUMIFS('Factory Costs'!$C:$C,'Factory Costs'!$A:$A,"Motor",'Factory Costs'!$B:$B,B321))</f>
        <v>62</v>
      </c>
    </row>
    <row r="322" spans="1:3" x14ac:dyDescent="0.25">
      <c r="A322" s="1" t="s">
        <v>7518</v>
      </c>
      <c r="B322" s="1" t="s">
        <v>16375</v>
      </c>
      <c r="C322" s="3">
        <f>IF(B322="","",SUMIFS('Factory Costs'!$C:$C,'Factory Costs'!$A:$A,"Motor",'Factory Costs'!$B:$B,B322))</f>
        <v>72</v>
      </c>
    </row>
    <row r="323" spans="1:3" x14ac:dyDescent="0.25">
      <c r="A323" s="1" t="s">
        <v>7521</v>
      </c>
      <c r="B323" s="1" t="s">
        <v>16374</v>
      </c>
      <c r="C323" s="3">
        <f>IF(B323="","",SUMIFS('Factory Costs'!$C:$C,'Factory Costs'!$A:$A,"Motor",'Factory Costs'!$B:$B,B323))</f>
        <v>62</v>
      </c>
    </row>
    <row r="324" spans="1:3" x14ac:dyDescent="0.25">
      <c r="A324" s="1" t="s">
        <v>7524</v>
      </c>
      <c r="B324" s="1" t="s">
        <v>16374</v>
      </c>
      <c r="C324" s="3">
        <f>IF(B324="","",SUMIFS('Factory Costs'!$C:$C,'Factory Costs'!$A:$A,"Motor",'Factory Costs'!$B:$B,B324))</f>
        <v>62</v>
      </c>
    </row>
    <row r="325" spans="1:3" x14ac:dyDescent="0.25">
      <c r="A325" s="1" t="s">
        <v>7527</v>
      </c>
      <c r="B325" s="1" t="s">
        <v>16374</v>
      </c>
      <c r="C325" s="3">
        <f>IF(B325="","",SUMIFS('Factory Costs'!$C:$C,'Factory Costs'!$A:$A,"Motor",'Factory Costs'!$B:$B,B325))</f>
        <v>62</v>
      </c>
    </row>
    <row r="326" spans="1:3" x14ac:dyDescent="0.25">
      <c r="A326" s="1" t="s">
        <v>7530</v>
      </c>
      <c r="B326" s="1" t="s">
        <v>16374</v>
      </c>
      <c r="C326" s="3">
        <f>IF(B326="","",SUMIFS('Factory Costs'!$C:$C,'Factory Costs'!$A:$A,"Motor",'Factory Costs'!$B:$B,B326))</f>
        <v>62</v>
      </c>
    </row>
    <row r="327" spans="1:3" x14ac:dyDescent="0.25">
      <c r="A327" s="1" t="s">
        <v>7533</v>
      </c>
      <c r="B327" s="1" t="s">
        <v>16374</v>
      </c>
      <c r="C327" s="3">
        <f>IF(B327="","",SUMIFS('Factory Costs'!$C:$C,'Factory Costs'!$A:$A,"Motor",'Factory Costs'!$B:$B,B327))</f>
        <v>62</v>
      </c>
    </row>
    <row r="328" spans="1:3" x14ac:dyDescent="0.25">
      <c r="A328" s="1" t="s">
        <v>7536</v>
      </c>
      <c r="B328" s="1" t="s">
        <v>16374</v>
      </c>
      <c r="C328" s="3">
        <f>IF(B328="","",SUMIFS('Factory Costs'!$C:$C,'Factory Costs'!$A:$A,"Motor",'Factory Costs'!$B:$B,B328))</f>
        <v>62</v>
      </c>
    </row>
    <row r="329" spans="1:3" x14ac:dyDescent="0.25">
      <c r="A329" s="1" t="s">
        <v>7539</v>
      </c>
      <c r="B329" s="1" t="s">
        <v>16374</v>
      </c>
      <c r="C329" s="3">
        <f>IF(B329="","",SUMIFS('Factory Costs'!$C:$C,'Factory Costs'!$A:$A,"Motor",'Factory Costs'!$B:$B,B329))</f>
        <v>62</v>
      </c>
    </row>
    <row r="330" spans="1:3" x14ac:dyDescent="0.25">
      <c r="A330" s="1" t="s">
        <v>7542</v>
      </c>
      <c r="B330" s="1" t="s">
        <v>16374</v>
      </c>
      <c r="C330" s="3">
        <f>IF(B330="","",SUMIFS('Factory Costs'!$C:$C,'Factory Costs'!$A:$A,"Motor",'Factory Costs'!$B:$B,B330))</f>
        <v>62</v>
      </c>
    </row>
    <row r="331" spans="1:3" x14ac:dyDescent="0.25">
      <c r="A331" s="1" t="s">
        <v>7545</v>
      </c>
      <c r="B331" s="1" t="s">
        <v>16374</v>
      </c>
      <c r="C331" s="3">
        <f>IF(B331="","",SUMIFS('Factory Costs'!$C:$C,'Factory Costs'!$A:$A,"Motor",'Factory Costs'!$B:$B,B331))</f>
        <v>62</v>
      </c>
    </row>
    <row r="332" spans="1:3" x14ac:dyDescent="0.25">
      <c r="A332" s="1" t="s">
        <v>7548</v>
      </c>
      <c r="B332" s="1" t="s">
        <v>16374</v>
      </c>
      <c r="C332" s="3">
        <f>IF(B332="","",SUMIFS('Factory Costs'!$C:$C,'Factory Costs'!$A:$A,"Motor",'Factory Costs'!$B:$B,B332))</f>
        <v>62</v>
      </c>
    </row>
    <row r="333" spans="1:3" x14ac:dyDescent="0.25">
      <c r="A333" s="1" t="s">
        <v>7551</v>
      </c>
      <c r="B333" s="1" t="s">
        <v>16374</v>
      </c>
      <c r="C333" s="3">
        <f>IF(B333="","",SUMIFS('Factory Costs'!$C:$C,'Factory Costs'!$A:$A,"Motor",'Factory Costs'!$B:$B,B333))</f>
        <v>62</v>
      </c>
    </row>
    <row r="334" spans="1:3" x14ac:dyDescent="0.25">
      <c r="A334" s="1" t="s">
        <v>7554</v>
      </c>
      <c r="B334" s="1" t="s">
        <v>16375</v>
      </c>
      <c r="C334" s="3">
        <f>IF(B334="","",SUMIFS('Factory Costs'!$C:$C,'Factory Costs'!$A:$A,"Motor",'Factory Costs'!$B:$B,B334))</f>
        <v>72</v>
      </c>
    </row>
    <row r="335" spans="1:3" x14ac:dyDescent="0.25">
      <c r="A335" s="1" t="s">
        <v>7557</v>
      </c>
      <c r="B335" s="1" t="s">
        <v>16374</v>
      </c>
      <c r="C335" s="3">
        <f>IF(B335="","",SUMIFS('Factory Costs'!$C:$C,'Factory Costs'!$A:$A,"Motor",'Factory Costs'!$B:$B,B335))</f>
        <v>62</v>
      </c>
    </row>
    <row r="336" spans="1:3" x14ac:dyDescent="0.25">
      <c r="A336" s="1" t="s">
        <v>7560</v>
      </c>
      <c r="B336" s="1" t="s">
        <v>16374</v>
      </c>
      <c r="C336" s="3">
        <f>IF(B336="","",SUMIFS('Factory Costs'!$C:$C,'Factory Costs'!$A:$A,"Motor",'Factory Costs'!$B:$B,B336))</f>
        <v>62</v>
      </c>
    </row>
    <row r="337" spans="1:3" x14ac:dyDescent="0.25">
      <c r="A337" s="1" t="s">
        <v>7563</v>
      </c>
      <c r="B337" s="1" t="s">
        <v>16375</v>
      </c>
      <c r="C337" s="3">
        <f>IF(B337="","",SUMIFS('Factory Costs'!$C:$C,'Factory Costs'!$A:$A,"Motor",'Factory Costs'!$B:$B,B337))</f>
        <v>72</v>
      </c>
    </row>
    <row r="338" spans="1:3" x14ac:dyDescent="0.25">
      <c r="A338" s="1" t="s">
        <v>7566</v>
      </c>
      <c r="B338" s="1" t="s">
        <v>16374</v>
      </c>
      <c r="C338" s="3">
        <f>IF(B338="","",SUMIFS('Factory Costs'!$C:$C,'Factory Costs'!$A:$A,"Motor",'Factory Costs'!$B:$B,B338))</f>
        <v>62</v>
      </c>
    </row>
    <row r="339" spans="1:3" x14ac:dyDescent="0.25">
      <c r="A339" s="1" t="s">
        <v>7569</v>
      </c>
      <c r="B339" s="1" t="s">
        <v>16374</v>
      </c>
      <c r="C339" s="3">
        <f>IF(B339="","",SUMIFS('Factory Costs'!$C:$C,'Factory Costs'!$A:$A,"Motor",'Factory Costs'!$B:$B,B339))</f>
        <v>62</v>
      </c>
    </row>
    <row r="340" spans="1:3" x14ac:dyDescent="0.25">
      <c r="A340" s="1" t="s">
        <v>7572</v>
      </c>
      <c r="B340" s="1" t="s">
        <v>16375</v>
      </c>
      <c r="C340" s="3">
        <f>IF(B340="","",SUMIFS('Factory Costs'!$C:$C,'Factory Costs'!$A:$A,"Motor",'Factory Costs'!$B:$B,B340))</f>
        <v>72</v>
      </c>
    </row>
    <row r="341" spans="1:3" x14ac:dyDescent="0.25">
      <c r="A341" s="1" t="s">
        <v>7575</v>
      </c>
      <c r="B341" s="1" t="s">
        <v>16374</v>
      </c>
      <c r="C341" s="3">
        <f>IF(B341="","",SUMIFS('Factory Costs'!$C:$C,'Factory Costs'!$A:$A,"Motor",'Factory Costs'!$B:$B,B341))</f>
        <v>62</v>
      </c>
    </row>
    <row r="342" spans="1:3" x14ac:dyDescent="0.25">
      <c r="A342" s="1" t="s">
        <v>7578</v>
      </c>
      <c r="B342" s="1" t="s">
        <v>16374</v>
      </c>
      <c r="C342" s="3">
        <f>IF(B342="","",SUMIFS('Factory Costs'!$C:$C,'Factory Costs'!$A:$A,"Motor",'Factory Costs'!$B:$B,B342))</f>
        <v>62</v>
      </c>
    </row>
    <row r="343" spans="1:3" x14ac:dyDescent="0.25">
      <c r="A343" s="1" t="s">
        <v>7581</v>
      </c>
      <c r="B343" s="1" t="s">
        <v>16375</v>
      </c>
      <c r="C343" s="3">
        <f>IF(B343="","",SUMIFS('Factory Costs'!$C:$C,'Factory Costs'!$A:$A,"Motor",'Factory Costs'!$B:$B,B343))</f>
        <v>72</v>
      </c>
    </row>
    <row r="344" spans="1:3" x14ac:dyDescent="0.25">
      <c r="A344" s="1" t="s">
        <v>7584</v>
      </c>
      <c r="B344" s="1" t="s">
        <v>16374</v>
      </c>
      <c r="C344" s="3">
        <f>IF(B344="","",SUMIFS('Factory Costs'!$C:$C,'Factory Costs'!$A:$A,"Motor",'Factory Costs'!$B:$B,B344))</f>
        <v>62</v>
      </c>
    </row>
    <row r="345" spans="1:3" x14ac:dyDescent="0.25">
      <c r="A345" s="1" t="s">
        <v>7587</v>
      </c>
      <c r="B345" s="1" t="s">
        <v>16375</v>
      </c>
      <c r="C345" s="3">
        <f>IF(B345="","",SUMIFS('Factory Costs'!$C:$C,'Factory Costs'!$A:$A,"Motor",'Factory Costs'!$B:$B,B345))</f>
        <v>72</v>
      </c>
    </row>
    <row r="346" spans="1:3" x14ac:dyDescent="0.25">
      <c r="A346" s="1" t="s">
        <v>7590</v>
      </c>
      <c r="B346" s="1" t="s">
        <v>16375</v>
      </c>
      <c r="C346" s="3">
        <f>IF(B346="","",SUMIFS('Factory Costs'!$C:$C,'Factory Costs'!$A:$A,"Motor",'Factory Costs'!$B:$B,B346))</f>
        <v>72</v>
      </c>
    </row>
    <row r="347" spans="1:3" x14ac:dyDescent="0.25">
      <c r="A347" s="1" t="s">
        <v>7593</v>
      </c>
      <c r="B347" s="1" t="s">
        <v>16375</v>
      </c>
      <c r="C347" s="3">
        <f>IF(B347="","",SUMIFS('Factory Costs'!$C:$C,'Factory Costs'!$A:$A,"Motor",'Factory Costs'!$B:$B,B347))</f>
        <v>72</v>
      </c>
    </row>
    <row r="348" spans="1:3" x14ac:dyDescent="0.25">
      <c r="A348" s="1" t="s">
        <v>7596</v>
      </c>
      <c r="B348" s="1" t="s">
        <v>16374</v>
      </c>
      <c r="C348" s="3">
        <f>IF(B348="","",SUMIFS('Factory Costs'!$C:$C,'Factory Costs'!$A:$A,"Motor",'Factory Costs'!$B:$B,B348))</f>
        <v>62</v>
      </c>
    </row>
    <row r="349" spans="1:3" x14ac:dyDescent="0.25">
      <c r="A349" s="1" t="s">
        <v>7599</v>
      </c>
      <c r="B349" s="1" t="s">
        <v>16375</v>
      </c>
      <c r="C349" s="3">
        <f>IF(B349="","",SUMIFS('Factory Costs'!$C:$C,'Factory Costs'!$A:$A,"Motor",'Factory Costs'!$B:$B,B349))</f>
        <v>72</v>
      </c>
    </row>
    <row r="350" spans="1:3" x14ac:dyDescent="0.25">
      <c r="A350" s="1" t="s">
        <v>7602</v>
      </c>
      <c r="B350" s="1" t="s">
        <v>16375</v>
      </c>
      <c r="C350" s="3">
        <f>IF(B350="","",SUMIFS('Factory Costs'!$C:$C,'Factory Costs'!$A:$A,"Motor",'Factory Costs'!$B:$B,B350))</f>
        <v>72</v>
      </c>
    </row>
    <row r="351" spans="1:3" x14ac:dyDescent="0.25">
      <c r="A351" s="1" t="s">
        <v>7605</v>
      </c>
      <c r="B351" s="1" t="s">
        <v>16375</v>
      </c>
      <c r="C351" s="3">
        <f>IF(B351="","",SUMIFS('Factory Costs'!$C:$C,'Factory Costs'!$A:$A,"Motor",'Factory Costs'!$B:$B,B351))</f>
        <v>72</v>
      </c>
    </row>
    <row r="352" spans="1:3" x14ac:dyDescent="0.25">
      <c r="A352" s="1" t="s">
        <v>7608</v>
      </c>
      <c r="B352" s="1" t="s">
        <v>16375</v>
      </c>
      <c r="C352" s="3">
        <f>IF(B352="","",SUMIFS('Factory Costs'!$C:$C,'Factory Costs'!$A:$A,"Motor",'Factory Costs'!$B:$B,B352))</f>
        <v>72</v>
      </c>
    </row>
    <row r="353" spans="1:3" x14ac:dyDescent="0.25">
      <c r="A353" s="1" t="s">
        <v>7611</v>
      </c>
      <c r="B353" s="1" t="s">
        <v>16375</v>
      </c>
      <c r="C353" s="3">
        <f>IF(B353="","",SUMIFS('Factory Costs'!$C:$C,'Factory Costs'!$A:$A,"Motor",'Factory Costs'!$B:$B,B353))</f>
        <v>72</v>
      </c>
    </row>
    <row r="354" spans="1:3" x14ac:dyDescent="0.25">
      <c r="A354" s="1" t="s">
        <v>7614</v>
      </c>
      <c r="B354" s="1" t="s">
        <v>16374</v>
      </c>
      <c r="C354" s="3">
        <f>IF(B354="","",SUMIFS('Factory Costs'!$C:$C,'Factory Costs'!$A:$A,"Motor",'Factory Costs'!$B:$B,B354))</f>
        <v>62</v>
      </c>
    </row>
    <row r="355" spans="1:3" x14ac:dyDescent="0.25">
      <c r="A355" s="1" t="s">
        <v>7617</v>
      </c>
      <c r="B355" s="1" t="s">
        <v>16374</v>
      </c>
      <c r="C355" s="3">
        <f>IF(B355="","",SUMIFS('Factory Costs'!$C:$C,'Factory Costs'!$A:$A,"Motor",'Factory Costs'!$B:$B,B355))</f>
        <v>62</v>
      </c>
    </row>
    <row r="356" spans="1:3" x14ac:dyDescent="0.25">
      <c r="A356" s="1" t="s">
        <v>7620</v>
      </c>
      <c r="B356" s="1" t="s">
        <v>16375</v>
      </c>
      <c r="C356" s="3">
        <f>IF(B356="","",SUMIFS('Factory Costs'!$C:$C,'Factory Costs'!$A:$A,"Motor",'Factory Costs'!$B:$B,B356))</f>
        <v>72</v>
      </c>
    </row>
    <row r="357" spans="1:3" x14ac:dyDescent="0.25">
      <c r="A357" s="1" t="s">
        <v>7623</v>
      </c>
      <c r="B357" s="1" t="s">
        <v>16375</v>
      </c>
      <c r="C357" s="3">
        <f>IF(B357="","",SUMIFS('Factory Costs'!$C:$C,'Factory Costs'!$A:$A,"Motor",'Factory Costs'!$B:$B,B357))</f>
        <v>72</v>
      </c>
    </row>
    <row r="358" spans="1:3" x14ac:dyDescent="0.25">
      <c r="A358" s="1" t="s">
        <v>7626</v>
      </c>
      <c r="B358" s="1" t="s">
        <v>16375</v>
      </c>
      <c r="C358" s="3">
        <f>IF(B358="","",SUMIFS('Factory Costs'!$C:$C,'Factory Costs'!$A:$A,"Motor",'Factory Costs'!$B:$B,B358))</f>
        <v>72</v>
      </c>
    </row>
    <row r="359" spans="1:3" x14ac:dyDescent="0.25">
      <c r="A359" s="1" t="s">
        <v>7629</v>
      </c>
      <c r="B359" s="1" t="s">
        <v>16375</v>
      </c>
      <c r="C359" s="3">
        <f>IF(B359="","",SUMIFS('Factory Costs'!$C:$C,'Factory Costs'!$A:$A,"Motor",'Factory Costs'!$B:$B,B359))</f>
        <v>72</v>
      </c>
    </row>
    <row r="360" spans="1:3" x14ac:dyDescent="0.25">
      <c r="A360" s="1" t="s">
        <v>7632</v>
      </c>
      <c r="B360" s="1" t="s">
        <v>16375</v>
      </c>
      <c r="C360" s="3">
        <f>IF(B360="","",SUMIFS('Factory Costs'!$C:$C,'Factory Costs'!$A:$A,"Motor",'Factory Costs'!$B:$B,B360))</f>
        <v>72</v>
      </c>
    </row>
    <row r="361" spans="1:3" x14ac:dyDescent="0.25">
      <c r="A361" s="1" t="s">
        <v>7635</v>
      </c>
      <c r="B361" s="1" t="s">
        <v>16374</v>
      </c>
      <c r="C361" s="3">
        <f>IF(B361="","",SUMIFS('Factory Costs'!$C:$C,'Factory Costs'!$A:$A,"Motor",'Factory Costs'!$B:$B,B361))</f>
        <v>62</v>
      </c>
    </row>
    <row r="362" spans="1:3" x14ac:dyDescent="0.25">
      <c r="A362" s="1" t="s">
        <v>7638</v>
      </c>
      <c r="B362" s="1" t="s">
        <v>16374</v>
      </c>
      <c r="C362" s="3">
        <f>IF(B362="","",SUMIFS('Factory Costs'!$C:$C,'Factory Costs'!$A:$A,"Motor",'Factory Costs'!$B:$B,B362))</f>
        <v>62</v>
      </c>
    </row>
    <row r="363" spans="1:3" x14ac:dyDescent="0.25">
      <c r="A363" s="1" t="s">
        <v>7641</v>
      </c>
      <c r="B363" s="1" t="s">
        <v>16374</v>
      </c>
      <c r="C363" s="3">
        <f>IF(B363="","",SUMIFS('Factory Costs'!$C:$C,'Factory Costs'!$A:$A,"Motor",'Factory Costs'!$B:$B,B363))</f>
        <v>62</v>
      </c>
    </row>
    <row r="364" spans="1:3" x14ac:dyDescent="0.25">
      <c r="A364" s="1" t="s">
        <v>7644</v>
      </c>
      <c r="B364" s="1" t="s">
        <v>16374</v>
      </c>
      <c r="C364" s="3">
        <f>IF(B364="","",SUMIFS('Factory Costs'!$C:$C,'Factory Costs'!$A:$A,"Motor",'Factory Costs'!$B:$B,B364))</f>
        <v>62</v>
      </c>
    </row>
    <row r="365" spans="1:3" x14ac:dyDescent="0.25">
      <c r="A365" s="1" t="s">
        <v>7647</v>
      </c>
      <c r="B365" s="1" t="s">
        <v>16374</v>
      </c>
      <c r="C365" s="3">
        <f>IF(B365="","",SUMIFS('Factory Costs'!$C:$C,'Factory Costs'!$A:$A,"Motor",'Factory Costs'!$B:$B,B365))</f>
        <v>62</v>
      </c>
    </row>
    <row r="366" spans="1:3" x14ac:dyDescent="0.25">
      <c r="A366" s="1" t="s">
        <v>7650</v>
      </c>
      <c r="B366" s="1" t="s">
        <v>16375</v>
      </c>
      <c r="C366" s="3">
        <f>IF(B366="","",SUMIFS('Factory Costs'!$C:$C,'Factory Costs'!$A:$A,"Motor",'Factory Costs'!$B:$B,B366))</f>
        <v>72</v>
      </c>
    </row>
    <row r="367" spans="1:3" x14ac:dyDescent="0.25">
      <c r="A367" s="1" t="s">
        <v>7653</v>
      </c>
      <c r="B367" s="1" t="s">
        <v>16374</v>
      </c>
      <c r="C367" s="3">
        <f>IF(B367="","",SUMIFS('Factory Costs'!$C:$C,'Factory Costs'!$A:$A,"Motor",'Factory Costs'!$B:$B,B367))</f>
        <v>62</v>
      </c>
    </row>
    <row r="368" spans="1:3" x14ac:dyDescent="0.25">
      <c r="A368" s="1" t="s">
        <v>7656</v>
      </c>
      <c r="B368" s="1" t="s">
        <v>16374</v>
      </c>
      <c r="C368" s="3">
        <f>IF(B368="","",SUMIFS('Factory Costs'!$C:$C,'Factory Costs'!$A:$A,"Motor",'Factory Costs'!$B:$B,B368))</f>
        <v>62</v>
      </c>
    </row>
    <row r="369" spans="1:3" x14ac:dyDescent="0.25">
      <c r="A369" s="1" t="s">
        <v>7659</v>
      </c>
      <c r="B369" s="1" t="s">
        <v>16374</v>
      </c>
      <c r="C369" s="3">
        <f>IF(B369="","",SUMIFS('Factory Costs'!$C:$C,'Factory Costs'!$A:$A,"Motor",'Factory Costs'!$B:$B,B369))</f>
        <v>62</v>
      </c>
    </row>
    <row r="370" spans="1:3" x14ac:dyDescent="0.25">
      <c r="A370" s="1" t="s">
        <v>7662</v>
      </c>
      <c r="B370" s="1" t="s">
        <v>16374</v>
      </c>
      <c r="C370" s="3">
        <f>IF(B370="","",SUMIFS('Factory Costs'!$C:$C,'Factory Costs'!$A:$A,"Motor",'Factory Costs'!$B:$B,B370))</f>
        <v>62</v>
      </c>
    </row>
    <row r="371" spans="1:3" x14ac:dyDescent="0.25">
      <c r="A371" s="1" t="s">
        <v>7665</v>
      </c>
      <c r="B371" s="1" t="s">
        <v>16374</v>
      </c>
      <c r="C371" s="3">
        <f>IF(B371="","",SUMIFS('Factory Costs'!$C:$C,'Factory Costs'!$A:$A,"Motor",'Factory Costs'!$B:$B,B371))</f>
        <v>62</v>
      </c>
    </row>
    <row r="372" spans="1:3" x14ac:dyDescent="0.25">
      <c r="A372" s="1" t="s">
        <v>7668</v>
      </c>
      <c r="B372" s="1" t="s">
        <v>16375</v>
      </c>
      <c r="C372" s="3">
        <f>IF(B372="","",SUMIFS('Factory Costs'!$C:$C,'Factory Costs'!$A:$A,"Motor",'Factory Costs'!$B:$B,B372))</f>
        <v>72</v>
      </c>
    </row>
    <row r="373" spans="1:3" x14ac:dyDescent="0.25">
      <c r="A373" s="1" t="s">
        <v>7671</v>
      </c>
      <c r="B373" s="1" t="s">
        <v>16374</v>
      </c>
      <c r="C373" s="3">
        <f>IF(B373="","",SUMIFS('Factory Costs'!$C:$C,'Factory Costs'!$A:$A,"Motor",'Factory Costs'!$B:$B,B373))</f>
        <v>62</v>
      </c>
    </row>
    <row r="374" spans="1:3" x14ac:dyDescent="0.25">
      <c r="A374" s="1" t="s">
        <v>7674</v>
      </c>
      <c r="B374" s="1" t="s">
        <v>16375</v>
      </c>
      <c r="C374" s="3">
        <f>IF(B374="","",SUMIFS('Factory Costs'!$C:$C,'Factory Costs'!$A:$A,"Motor",'Factory Costs'!$B:$B,B374))</f>
        <v>72</v>
      </c>
    </row>
    <row r="375" spans="1:3" x14ac:dyDescent="0.25">
      <c r="A375" s="1" t="s">
        <v>7677</v>
      </c>
      <c r="B375" s="1" t="s">
        <v>16374</v>
      </c>
      <c r="C375" s="3">
        <f>IF(B375="","",SUMIFS('Factory Costs'!$C:$C,'Factory Costs'!$A:$A,"Motor",'Factory Costs'!$B:$B,B375))</f>
        <v>62</v>
      </c>
    </row>
    <row r="376" spans="1:3" x14ac:dyDescent="0.25">
      <c r="A376" s="1" t="s">
        <v>7680</v>
      </c>
      <c r="B376" s="1" t="s">
        <v>16374</v>
      </c>
      <c r="C376" s="3">
        <f>IF(B376="","",SUMIFS('Factory Costs'!$C:$C,'Factory Costs'!$A:$A,"Motor",'Factory Costs'!$B:$B,B376))</f>
        <v>62</v>
      </c>
    </row>
    <row r="377" spans="1:3" x14ac:dyDescent="0.25">
      <c r="A377" s="1" t="s">
        <v>7683</v>
      </c>
      <c r="B377" s="1" t="s">
        <v>16375</v>
      </c>
      <c r="C377" s="3">
        <f>IF(B377="","",SUMIFS('Factory Costs'!$C:$C,'Factory Costs'!$A:$A,"Motor",'Factory Costs'!$B:$B,B377))</f>
        <v>72</v>
      </c>
    </row>
    <row r="378" spans="1:3" x14ac:dyDescent="0.25">
      <c r="A378" s="1" t="s">
        <v>7686</v>
      </c>
      <c r="B378" s="1" t="s">
        <v>16375</v>
      </c>
      <c r="C378" s="3">
        <f>IF(B378="","",SUMIFS('Factory Costs'!$C:$C,'Factory Costs'!$A:$A,"Motor",'Factory Costs'!$B:$B,B378))</f>
        <v>72</v>
      </c>
    </row>
    <row r="379" spans="1:3" x14ac:dyDescent="0.25">
      <c r="A379" s="1" t="s">
        <v>7689</v>
      </c>
      <c r="B379" s="1" t="s">
        <v>16374</v>
      </c>
      <c r="C379" s="3">
        <f>IF(B379="","",SUMIFS('Factory Costs'!$C:$C,'Factory Costs'!$A:$A,"Motor",'Factory Costs'!$B:$B,B379))</f>
        <v>62</v>
      </c>
    </row>
    <row r="380" spans="1:3" x14ac:dyDescent="0.25">
      <c r="A380" s="1" t="s">
        <v>7692</v>
      </c>
      <c r="B380" s="1" t="s">
        <v>16374</v>
      </c>
      <c r="C380" s="3">
        <f>IF(B380="","",SUMIFS('Factory Costs'!$C:$C,'Factory Costs'!$A:$A,"Motor",'Factory Costs'!$B:$B,B380))</f>
        <v>62</v>
      </c>
    </row>
    <row r="381" spans="1:3" x14ac:dyDescent="0.25">
      <c r="A381" s="1" t="s">
        <v>7695</v>
      </c>
      <c r="B381" s="1" t="s">
        <v>16374</v>
      </c>
      <c r="C381" s="3">
        <f>IF(B381="","",SUMIFS('Factory Costs'!$C:$C,'Factory Costs'!$A:$A,"Motor",'Factory Costs'!$B:$B,B381))</f>
        <v>62</v>
      </c>
    </row>
    <row r="382" spans="1:3" x14ac:dyDescent="0.25">
      <c r="A382" s="1" t="s">
        <v>7698</v>
      </c>
      <c r="B382" s="1" t="s">
        <v>16375</v>
      </c>
      <c r="C382" s="3">
        <f>IF(B382="","",SUMIFS('Factory Costs'!$C:$C,'Factory Costs'!$A:$A,"Motor",'Factory Costs'!$B:$B,B382))</f>
        <v>72</v>
      </c>
    </row>
    <row r="383" spans="1:3" x14ac:dyDescent="0.25">
      <c r="A383" s="1" t="s">
        <v>7701</v>
      </c>
      <c r="B383" s="1" t="s">
        <v>16374</v>
      </c>
      <c r="C383" s="3">
        <f>IF(B383="","",SUMIFS('Factory Costs'!$C:$C,'Factory Costs'!$A:$A,"Motor",'Factory Costs'!$B:$B,B383))</f>
        <v>62</v>
      </c>
    </row>
    <row r="384" spans="1:3" x14ac:dyDescent="0.25">
      <c r="A384" s="1" t="s">
        <v>7704</v>
      </c>
      <c r="B384" s="1" t="s">
        <v>16374</v>
      </c>
      <c r="C384" s="3">
        <f>IF(B384="","",SUMIFS('Factory Costs'!$C:$C,'Factory Costs'!$A:$A,"Motor",'Factory Costs'!$B:$B,B384))</f>
        <v>62</v>
      </c>
    </row>
    <row r="385" spans="1:3" x14ac:dyDescent="0.25">
      <c r="A385" s="1" t="s">
        <v>7707</v>
      </c>
      <c r="B385" s="1" t="s">
        <v>16374</v>
      </c>
      <c r="C385" s="3">
        <f>IF(B385="","",SUMIFS('Factory Costs'!$C:$C,'Factory Costs'!$A:$A,"Motor",'Factory Costs'!$B:$B,B385))</f>
        <v>62</v>
      </c>
    </row>
    <row r="386" spans="1:3" x14ac:dyDescent="0.25">
      <c r="A386" s="1" t="s">
        <v>7710</v>
      </c>
      <c r="B386" s="1" t="s">
        <v>16374</v>
      </c>
      <c r="C386" s="3">
        <f>IF(B386="","",SUMIFS('Factory Costs'!$C:$C,'Factory Costs'!$A:$A,"Motor",'Factory Costs'!$B:$B,B386))</f>
        <v>62</v>
      </c>
    </row>
    <row r="387" spans="1:3" x14ac:dyDescent="0.25">
      <c r="A387" s="1" t="s">
        <v>7713</v>
      </c>
      <c r="B387" s="1" t="s">
        <v>16374</v>
      </c>
      <c r="C387" s="3">
        <f>IF(B387="","",SUMIFS('Factory Costs'!$C:$C,'Factory Costs'!$A:$A,"Motor",'Factory Costs'!$B:$B,B387))</f>
        <v>62</v>
      </c>
    </row>
    <row r="388" spans="1:3" x14ac:dyDescent="0.25">
      <c r="A388" s="1" t="s">
        <v>7716</v>
      </c>
      <c r="B388" s="1" t="s">
        <v>16374</v>
      </c>
      <c r="C388" s="3">
        <f>IF(B388="","",SUMIFS('Factory Costs'!$C:$C,'Factory Costs'!$A:$A,"Motor",'Factory Costs'!$B:$B,B388))</f>
        <v>62</v>
      </c>
    </row>
    <row r="389" spans="1:3" x14ac:dyDescent="0.25">
      <c r="A389" s="1" t="s">
        <v>7719</v>
      </c>
      <c r="B389" s="1" t="s">
        <v>16374</v>
      </c>
      <c r="C389" s="3">
        <f>IF(B389="","",SUMIFS('Factory Costs'!$C:$C,'Factory Costs'!$A:$A,"Motor",'Factory Costs'!$B:$B,B389))</f>
        <v>62</v>
      </c>
    </row>
    <row r="390" spans="1:3" x14ac:dyDescent="0.25">
      <c r="A390" s="1" t="s">
        <v>7722</v>
      </c>
      <c r="B390" s="1" t="s">
        <v>16375</v>
      </c>
      <c r="C390" s="3">
        <f>IF(B390="","",SUMIFS('Factory Costs'!$C:$C,'Factory Costs'!$A:$A,"Motor",'Factory Costs'!$B:$B,B390))</f>
        <v>72</v>
      </c>
    </row>
    <row r="391" spans="1:3" x14ac:dyDescent="0.25">
      <c r="A391" s="1" t="s">
        <v>7725</v>
      </c>
      <c r="B391" s="1" t="s">
        <v>16375</v>
      </c>
      <c r="C391" s="3">
        <f>IF(B391="","",SUMIFS('Factory Costs'!$C:$C,'Factory Costs'!$A:$A,"Motor",'Factory Costs'!$B:$B,B391))</f>
        <v>72</v>
      </c>
    </row>
    <row r="392" spans="1:3" x14ac:dyDescent="0.25">
      <c r="A392" s="1" t="s">
        <v>7728</v>
      </c>
      <c r="B392" s="1" t="s">
        <v>16374</v>
      </c>
      <c r="C392" s="3">
        <f>IF(B392="","",SUMIFS('Factory Costs'!$C:$C,'Factory Costs'!$A:$A,"Motor",'Factory Costs'!$B:$B,B392))</f>
        <v>62</v>
      </c>
    </row>
    <row r="393" spans="1:3" x14ac:dyDescent="0.25">
      <c r="A393" s="1" t="s">
        <v>7731</v>
      </c>
      <c r="B393" s="1" t="s">
        <v>16375</v>
      </c>
      <c r="C393" s="3">
        <f>IF(B393="","",SUMIFS('Factory Costs'!$C:$C,'Factory Costs'!$A:$A,"Motor",'Factory Costs'!$B:$B,B393))</f>
        <v>72</v>
      </c>
    </row>
    <row r="394" spans="1:3" x14ac:dyDescent="0.25">
      <c r="A394" s="1" t="s">
        <v>7734</v>
      </c>
      <c r="B394" s="1" t="s">
        <v>16375</v>
      </c>
      <c r="C394" s="3">
        <f>IF(B394="","",SUMIFS('Factory Costs'!$C:$C,'Factory Costs'!$A:$A,"Motor",'Factory Costs'!$B:$B,B394))</f>
        <v>72</v>
      </c>
    </row>
    <row r="395" spans="1:3" x14ac:dyDescent="0.25">
      <c r="A395" s="1" t="s">
        <v>7737</v>
      </c>
      <c r="B395" s="1" t="s">
        <v>16375</v>
      </c>
      <c r="C395" s="3">
        <f>IF(B395="","",SUMIFS('Factory Costs'!$C:$C,'Factory Costs'!$A:$A,"Motor",'Factory Costs'!$B:$B,B395))</f>
        <v>72</v>
      </c>
    </row>
    <row r="396" spans="1:3" x14ac:dyDescent="0.25">
      <c r="A396" s="1" t="s">
        <v>7740</v>
      </c>
      <c r="B396" s="1" t="s">
        <v>16374</v>
      </c>
      <c r="C396" s="3">
        <f>IF(B396="","",SUMIFS('Factory Costs'!$C:$C,'Factory Costs'!$A:$A,"Motor",'Factory Costs'!$B:$B,B396))</f>
        <v>62</v>
      </c>
    </row>
    <row r="397" spans="1:3" x14ac:dyDescent="0.25">
      <c r="A397" s="1" t="s">
        <v>7743</v>
      </c>
      <c r="B397" s="1" t="s">
        <v>16375</v>
      </c>
      <c r="C397" s="3">
        <f>IF(B397="","",SUMIFS('Factory Costs'!$C:$C,'Factory Costs'!$A:$A,"Motor",'Factory Costs'!$B:$B,B397))</f>
        <v>72</v>
      </c>
    </row>
    <row r="398" spans="1:3" x14ac:dyDescent="0.25">
      <c r="A398" s="1" t="s">
        <v>7746</v>
      </c>
      <c r="B398" s="1" t="s">
        <v>16374</v>
      </c>
      <c r="C398" s="3">
        <f>IF(B398="","",SUMIFS('Factory Costs'!$C:$C,'Factory Costs'!$A:$A,"Motor",'Factory Costs'!$B:$B,B398))</f>
        <v>62</v>
      </c>
    </row>
    <row r="399" spans="1:3" x14ac:dyDescent="0.25">
      <c r="A399" s="1" t="s">
        <v>7749</v>
      </c>
      <c r="B399" s="1" t="s">
        <v>16375</v>
      </c>
      <c r="C399" s="3">
        <f>IF(B399="","",SUMIFS('Factory Costs'!$C:$C,'Factory Costs'!$A:$A,"Motor",'Factory Costs'!$B:$B,B399))</f>
        <v>72</v>
      </c>
    </row>
    <row r="400" spans="1:3" x14ac:dyDescent="0.25">
      <c r="A400" s="1" t="s">
        <v>7752</v>
      </c>
      <c r="B400" s="1" t="s">
        <v>16374</v>
      </c>
      <c r="C400" s="3">
        <f>IF(B400="","",SUMIFS('Factory Costs'!$C:$C,'Factory Costs'!$A:$A,"Motor",'Factory Costs'!$B:$B,B400))</f>
        <v>62</v>
      </c>
    </row>
    <row r="401" spans="1:3" x14ac:dyDescent="0.25">
      <c r="A401" s="1" t="s">
        <v>7755</v>
      </c>
      <c r="B401" s="1" t="s">
        <v>16375</v>
      </c>
      <c r="C401" s="3">
        <f>IF(B401="","",SUMIFS('Factory Costs'!$C:$C,'Factory Costs'!$A:$A,"Motor",'Factory Costs'!$B:$B,B401))</f>
        <v>72</v>
      </c>
    </row>
    <row r="402" spans="1:3" x14ac:dyDescent="0.25">
      <c r="A402" s="1" t="s">
        <v>7758</v>
      </c>
      <c r="B402" s="1" t="s">
        <v>16375</v>
      </c>
      <c r="C402" s="3">
        <f>IF(B402="","",SUMIFS('Factory Costs'!$C:$C,'Factory Costs'!$A:$A,"Motor",'Factory Costs'!$B:$B,B402))</f>
        <v>72</v>
      </c>
    </row>
    <row r="403" spans="1:3" x14ac:dyDescent="0.25">
      <c r="A403" s="1" t="s">
        <v>7761</v>
      </c>
      <c r="B403" s="1" t="s">
        <v>16374</v>
      </c>
      <c r="C403" s="3">
        <f>IF(B403="","",SUMIFS('Factory Costs'!$C:$C,'Factory Costs'!$A:$A,"Motor",'Factory Costs'!$B:$B,B403))</f>
        <v>62</v>
      </c>
    </row>
    <row r="404" spans="1:3" x14ac:dyDescent="0.25">
      <c r="A404" s="1" t="s">
        <v>7764</v>
      </c>
      <c r="B404" s="1" t="s">
        <v>16374</v>
      </c>
      <c r="C404" s="3">
        <f>IF(B404="","",SUMIFS('Factory Costs'!$C:$C,'Factory Costs'!$A:$A,"Motor",'Factory Costs'!$B:$B,B404))</f>
        <v>62</v>
      </c>
    </row>
    <row r="405" spans="1:3" x14ac:dyDescent="0.25">
      <c r="A405" s="1" t="s">
        <v>7767</v>
      </c>
      <c r="B405" s="1" t="s">
        <v>16374</v>
      </c>
      <c r="C405" s="3">
        <f>IF(B405="","",SUMIFS('Factory Costs'!$C:$C,'Factory Costs'!$A:$A,"Motor",'Factory Costs'!$B:$B,B405))</f>
        <v>62</v>
      </c>
    </row>
    <row r="406" spans="1:3" x14ac:dyDescent="0.25">
      <c r="A406" s="1" t="s">
        <v>7770</v>
      </c>
      <c r="B406" s="1" t="s">
        <v>16375</v>
      </c>
      <c r="C406" s="3">
        <f>IF(B406="","",SUMIFS('Factory Costs'!$C:$C,'Factory Costs'!$A:$A,"Motor",'Factory Costs'!$B:$B,B406))</f>
        <v>72</v>
      </c>
    </row>
    <row r="407" spans="1:3" x14ac:dyDescent="0.25">
      <c r="A407" s="1" t="s">
        <v>7773</v>
      </c>
      <c r="B407" s="1" t="s">
        <v>16374</v>
      </c>
      <c r="C407" s="3">
        <f>IF(B407="","",SUMIFS('Factory Costs'!$C:$C,'Factory Costs'!$A:$A,"Motor",'Factory Costs'!$B:$B,B407))</f>
        <v>62</v>
      </c>
    </row>
    <row r="408" spans="1:3" x14ac:dyDescent="0.25">
      <c r="A408" s="1" t="s">
        <v>7776</v>
      </c>
      <c r="B408" s="1" t="s">
        <v>16374</v>
      </c>
      <c r="C408" s="3">
        <f>IF(B408="","",SUMIFS('Factory Costs'!$C:$C,'Factory Costs'!$A:$A,"Motor",'Factory Costs'!$B:$B,B408))</f>
        <v>62</v>
      </c>
    </row>
    <row r="409" spans="1:3" x14ac:dyDescent="0.25">
      <c r="A409" s="1" t="s">
        <v>7779</v>
      </c>
      <c r="B409" s="1" t="s">
        <v>16374</v>
      </c>
      <c r="C409" s="3">
        <f>IF(B409="","",SUMIFS('Factory Costs'!$C:$C,'Factory Costs'!$A:$A,"Motor",'Factory Costs'!$B:$B,B409))</f>
        <v>62</v>
      </c>
    </row>
    <row r="410" spans="1:3" x14ac:dyDescent="0.25">
      <c r="A410" s="1" t="s">
        <v>7782</v>
      </c>
      <c r="B410" s="1" t="s">
        <v>16375</v>
      </c>
      <c r="C410" s="3">
        <f>IF(B410="","",SUMIFS('Factory Costs'!$C:$C,'Factory Costs'!$A:$A,"Motor",'Factory Costs'!$B:$B,B410))</f>
        <v>72</v>
      </c>
    </row>
    <row r="411" spans="1:3" x14ac:dyDescent="0.25">
      <c r="A411" s="1" t="s">
        <v>7785</v>
      </c>
      <c r="B411" s="1" t="s">
        <v>16374</v>
      </c>
      <c r="C411" s="3">
        <f>IF(B411="","",SUMIFS('Factory Costs'!$C:$C,'Factory Costs'!$A:$A,"Motor",'Factory Costs'!$B:$B,B411))</f>
        <v>62</v>
      </c>
    </row>
    <row r="412" spans="1:3" x14ac:dyDescent="0.25">
      <c r="A412" s="1" t="s">
        <v>7788</v>
      </c>
      <c r="B412" s="1" t="s">
        <v>16375</v>
      </c>
      <c r="C412" s="3">
        <f>IF(B412="","",SUMIFS('Factory Costs'!$C:$C,'Factory Costs'!$A:$A,"Motor",'Factory Costs'!$B:$B,B412))</f>
        <v>72</v>
      </c>
    </row>
    <row r="413" spans="1:3" x14ac:dyDescent="0.25">
      <c r="A413" s="1" t="s">
        <v>7791</v>
      </c>
      <c r="B413" s="1" t="s">
        <v>16374</v>
      </c>
      <c r="C413" s="3">
        <f>IF(B413="","",SUMIFS('Factory Costs'!$C:$C,'Factory Costs'!$A:$A,"Motor",'Factory Costs'!$B:$B,B413))</f>
        <v>62</v>
      </c>
    </row>
    <row r="414" spans="1:3" x14ac:dyDescent="0.25">
      <c r="A414" s="1" t="s">
        <v>7794</v>
      </c>
      <c r="B414" s="1" t="s">
        <v>16374</v>
      </c>
      <c r="C414" s="3">
        <f>IF(B414="","",SUMIFS('Factory Costs'!$C:$C,'Factory Costs'!$A:$A,"Motor",'Factory Costs'!$B:$B,B414))</f>
        <v>62</v>
      </c>
    </row>
    <row r="415" spans="1:3" x14ac:dyDescent="0.25">
      <c r="A415" s="1" t="s">
        <v>7797</v>
      </c>
      <c r="B415" s="1" t="s">
        <v>16375</v>
      </c>
      <c r="C415" s="3">
        <f>IF(B415="","",SUMIFS('Factory Costs'!$C:$C,'Factory Costs'!$A:$A,"Motor",'Factory Costs'!$B:$B,B415))</f>
        <v>72</v>
      </c>
    </row>
    <row r="416" spans="1:3" x14ac:dyDescent="0.25">
      <c r="A416" s="1" t="s">
        <v>7800</v>
      </c>
      <c r="B416" s="1" t="s">
        <v>16374</v>
      </c>
      <c r="C416" s="3">
        <f>IF(B416="","",SUMIFS('Factory Costs'!$C:$C,'Factory Costs'!$A:$A,"Motor",'Factory Costs'!$B:$B,B416))</f>
        <v>62</v>
      </c>
    </row>
    <row r="417" spans="1:3" x14ac:dyDescent="0.25">
      <c r="A417" s="1" t="s">
        <v>7803</v>
      </c>
      <c r="B417" s="1" t="s">
        <v>16375</v>
      </c>
      <c r="C417" s="3">
        <f>IF(B417="","",SUMIFS('Factory Costs'!$C:$C,'Factory Costs'!$A:$A,"Motor",'Factory Costs'!$B:$B,B417))</f>
        <v>72</v>
      </c>
    </row>
    <row r="418" spans="1:3" x14ac:dyDescent="0.25">
      <c r="A418" s="1" t="s">
        <v>7806</v>
      </c>
      <c r="B418" s="1" t="s">
        <v>16374</v>
      </c>
      <c r="C418" s="3">
        <f>IF(B418="","",SUMIFS('Factory Costs'!$C:$C,'Factory Costs'!$A:$A,"Motor",'Factory Costs'!$B:$B,B418))</f>
        <v>62</v>
      </c>
    </row>
    <row r="419" spans="1:3" x14ac:dyDescent="0.25">
      <c r="A419" s="1" t="s">
        <v>7809</v>
      </c>
      <c r="B419" s="1" t="s">
        <v>16375</v>
      </c>
      <c r="C419" s="3">
        <f>IF(B419="","",SUMIFS('Factory Costs'!$C:$C,'Factory Costs'!$A:$A,"Motor",'Factory Costs'!$B:$B,B419))</f>
        <v>72</v>
      </c>
    </row>
    <row r="420" spans="1:3" x14ac:dyDescent="0.25">
      <c r="A420" s="1" t="s">
        <v>7812</v>
      </c>
      <c r="B420" s="1" t="s">
        <v>16374</v>
      </c>
      <c r="C420" s="3">
        <f>IF(B420="","",SUMIFS('Factory Costs'!$C:$C,'Factory Costs'!$A:$A,"Motor",'Factory Costs'!$B:$B,B420))</f>
        <v>62</v>
      </c>
    </row>
    <row r="421" spans="1:3" x14ac:dyDescent="0.25">
      <c r="A421" s="1" t="s">
        <v>7815</v>
      </c>
      <c r="B421" s="1" t="s">
        <v>16374</v>
      </c>
      <c r="C421" s="3">
        <f>IF(B421="","",SUMIFS('Factory Costs'!$C:$C,'Factory Costs'!$A:$A,"Motor",'Factory Costs'!$B:$B,B421))</f>
        <v>62</v>
      </c>
    </row>
    <row r="422" spans="1:3" x14ac:dyDescent="0.25">
      <c r="A422" s="1" t="s">
        <v>7818</v>
      </c>
      <c r="B422" s="1" t="s">
        <v>16374</v>
      </c>
      <c r="C422" s="3">
        <f>IF(B422="","",SUMIFS('Factory Costs'!$C:$C,'Factory Costs'!$A:$A,"Motor",'Factory Costs'!$B:$B,B422))</f>
        <v>62</v>
      </c>
    </row>
    <row r="423" spans="1:3" x14ac:dyDescent="0.25">
      <c r="A423" s="1" t="s">
        <v>7821</v>
      </c>
      <c r="B423" s="1" t="s">
        <v>16374</v>
      </c>
      <c r="C423" s="3">
        <f>IF(B423="","",SUMIFS('Factory Costs'!$C:$C,'Factory Costs'!$A:$A,"Motor",'Factory Costs'!$B:$B,B423))</f>
        <v>62</v>
      </c>
    </row>
    <row r="424" spans="1:3" x14ac:dyDescent="0.25">
      <c r="A424" s="1" t="s">
        <v>7824</v>
      </c>
      <c r="B424" s="1" t="s">
        <v>16374</v>
      </c>
      <c r="C424" s="3">
        <f>IF(B424="","",SUMIFS('Factory Costs'!$C:$C,'Factory Costs'!$A:$A,"Motor",'Factory Costs'!$B:$B,B424))</f>
        <v>62</v>
      </c>
    </row>
    <row r="425" spans="1:3" x14ac:dyDescent="0.25">
      <c r="A425" s="1" t="s">
        <v>7827</v>
      </c>
      <c r="B425" s="1" t="s">
        <v>16375</v>
      </c>
      <c r="C425" s="3">
        <f>IF(B425="","",SUMIFS('Factory Costs'!$C:$C,'Factory Costs'!$A:$A,"Motor",'Factory Costs'!$B:$B,B425))</f>
        <v>72</v>
      </c>
    </row>
    <row r="426" spans="1:3" x14ac:dyDescent="0.25">
      <c r="A426" s="1" t="s">
        <v>7830</v>
      </c>
      <c r="B426" s="1" t="s">
        <v>16374</v>
      </c>
      <c r="C426" s="3">
        <f>IF(B426="","",SUMIFS('Factory Costs'!$C:$C,'Factory Costs'!$A:$A,"Motor",'Factory Costs'!$B:$B,B426))</f>
        <v>62</v>
      </c>
    </row>
    <row r="427" spans="1:3" x14ac:dyDescent="0.25">
      <c r="A427" s="1" t="s">
        <v>7833</v>
      </c>
      <c r="B427" s="1" t="s">
        <v>16375</v>
      </c>
      <c r="C427" s="3">
        <f>IF(B427="","",SUMIFS('Factory Costs'!$C:$C,'Factory Costs'!$A:$A,"Motor",'Factory Costs'!$B:$B,B427))</f>
        <v>72</v>
      </c>
    </row>
    <row r="428" spans="1:3" x14ac:dyDescent="0.25">
      <c r="A428" s="1" t="s">
        <v>7836</v>
      </c>
      <c r="B428" s="1" t="s">
        <v>16374</v>
      </c>
      <c r="C428" s="3">
        <f>IF(B428="","",SUMIFS('Factory Costs'!$C:$C,'Factory Costs'!$A:$A,"Motor",'Factory Costs'!$B:$B,B428))</f>
        <v>62</v>
      </c>
    </row>
    <row r="429" spans="1:3" x14ac:dyDescent="0.25">
      <c r="A429" s="1" t="s">
        <v>7839</v>
      </c>
      <c r="B429" s="1" t="s">
        <v>16375</v>
      </c>
      <c r="C429" s="3">
        <f>IF(B429="","",SUMIFS('Factory Costs'!$C:$C,'Factory Costs'!$A:$A,"Motor",'Factory Costs'!$B:$B,B429))</f>
        <v>72</v>
      </c>
    </row>
    <row r="430" spans="1:3" x14ac:dyDescent="0.25">
      <c r="A430" s="1" t="s">
        <v>7842</v>
      </c>
      <c r="B430" s="1" t="s">
        <v>16374</v>
      </c>
      <c r="C430" s="3">
        <f>IF(B430="","",SUMIFS('Factory Costs'!$C:$C,'Factory Costs'!$A:$A,"Motor",'Factory Costs'!$B:$B,B430))</f>
        <v>62</v>
      </c>
    </row>
    <row r="431" spans="1:3" x14ac:dyDescent="0.25">
      <c r="A431" s="1" t="s">
        <v>7845</v>
      </c>
      <c r="B431" s="1" t="s">
        <v>16374</v>
      </c>
      <c r="C431" s="3">
        <f>IF(B431="","",SUMIFS('Factory Costs'!$C:$C,'Factory Costs'!$A:$A,"Motor",'Factory Costs'!$B:$B,B431))</f>
        <v>62</v>
      </c>
    </row>
    <row r="432" spans="1:3" x14ac:dyDescent="0.25">
      <c r="A432" s="1" t="s">
        <v>7848</v>
      </c>
      <c r="B432" s="1" t="s">
        <v>16374</v>
      </c>
      <c r="C432" s="3">
        <f>IF(B432="","",SUMIFS('Factory Costs'!$C:$C,'Factory Costs'!$A:$A,"Motor",'Factory Costs'!$B:$B,B432))</f>
        <v>62</v>
      </c>
    </row>
    <row r="433" spans="1:3" x14ac:dyDescent="0.25">
      <c r="A433" s="1" t="s">
        <v>7851</v>
      </c>
      <c r="B433" s="1" t="s">
        <v>16374</v>
      </c>
      <c r="C433" s="3">
        <f>IF(B433="","",SUMIFS('Factory Costs'!$C:$C,'Factory Costs'!$A:$A,"Motor",'Factory Costs'!$B:$B,B433))</f>
        <v>62</v>
      </c>
    </row>
    <row r="434" spans="1:3" x14ac:dyDescent="0.25">
      <c r="A434" s="1" t="s">
        <v>7854</v>
      </c>
      <c r="B434" s="1" t="s">
        <v>16374</v>
      </c>
      <c r="C434" s="3">
        <f>IF(B434="","",SUMIFS('Factory Costs'!$C:$C,'Factory Costs'!$A:$A,"Motor",'Factory Costs'!$B:$B,B434))</f>
        <v>62</v>
      </c>
    </row>
    <row r="435" spans="1:3" x14ac:dyDescent="0.25">
      <c r="A435" s="1" t="s">
        <v>7857</v>
      </c>
      <c r="B435" s="1" t="s">
        <v>16375</v>
      </c>
      <c r="C435" s="3">
        <f>IF(B435="","",SUMIFS('Factory Costs'!$C:$C,'Factory Costs'!$A:$A,"Motor",'Factory Costs'!$B:$B,B435))</f>
        <v>72</v>
      </c>
    </row>
    <row r="436" spans="1:3" x14ac:dyDescent="0.25">
      <c r="A436" s="1" t="s">
        <v>7860</v>
      </c>
      <c r="B436" s="1" t="s">
        <v>16374</v>
      </c>
      <c r="C436" s="3">
        <f>IF(B436="","",SUMIFS('Factory Costs'!$C:$C,'Factory Costs'!$A:$A,"Motor",'Factory Costs'!$B:$B,B436))</f>
        <v>62</v>
      </c>
    </row>
    <row r="437" spans="1:3" x14ac:dyDescent="0.25">
      <c r="A437" s="1" t="s">
        <v>7863</v>
      </c>
      <c r="B437" s="1" t="s">
        <v>16374</v>
      </c>
      <c r="C437" s="3">
        <f>IF(B437="","",SUMIFS('Factory Costs'!$C:$C,'Factory Costs'!$A:$A,"Motor",'Factory Costs'!$B:$B,B437))</f>
        <v>62</v>
      </c>
    </row>
    <row r="438" spans="1:3" x14ac:dyDescent="0.25">
      <c r="A438" s="1" t="s">
        <v>7866</v>
      </c>
      <c r="B438" s="1" t="s">
        <v>16375</v>
      </c>
      <c r="C438" s="3">
        <f>IF(B438="","",SUMIFS('Factory Costs'!$C:$C,'Factory Costs'!$A:$A,"Motor",'Factory Costs'!$B:$B,B438))</f>
        <v>72</v>
      </c>
    </row>
    <row r="439" spans="1:3" x14ac:dyDescent="0.25">
      <c r="A439" s="1" t="s">
        <v>7869</v>
      </c>
      <c r="B439" s="1" t="s">
        <v>16374</v>
      </c>
      <c r="C439" s="3">
        <f>IF(B439="","",SUMIFS('Factory Costs'!$C:$C,'Factory Costs'!$A:$A,"Motor",'Factory Costs'!$B:$B,B439))</f>
        <v>62</v>
      </c>
    </row>
    <row r="440" spans="1:3" x14ac:dyDescent="0.25">
      <c r="A440" s="1" t="s">
        <v>7872</v>
      </c>
      <c r="B440" s="1" t="s">
        <v>16375</v>
      </c>
      <c r="C440" s="3">
        <f>IF(B440="","",SUMIFS('Factory Costs'!$C:$C,'Factory Costs'!$A:$A,"Motor",'Factory Costs'!$B:$B,B440))</f>
        <v>72</v>
      </c>
    </row>
    <row r="441" spans="1:3" x14ac:dyDescent="0.25">
      <c r="A441" s="1" t="s">
        <v>7875</v>
      </c>
      <c r="B441" s="1" t="s">
        <v>16374</v>
      </c>
      <c r="C441" s="3">
        <f>IF(B441="","",SUMIFS('Factory Costs'!$C:$C,'Factory Costs'!$A:$A,"Motor",'Factory Costs'!$B:$B,B441))</f>
        <v>62</v>
      </c>
    </row>
    <row r="442" spans="1:3" x14ac:dyDescent="0.25">
      <c r="A442" s="1" t="s">
        <v>7878</v>
      </c>
      <c r="B442" s="1" t="s">
        <v>16374</v>
      </c>
      <c r="C442" s="3">
        <f>IF(B442="","",SUMIFS('Factory Costs'!$C:$C,'Factory Costs'!$A:$A,"Motor",'Factory Costs'!$B:$B,B442))</f>
        <v>62</v>
      </c>
    </row>
    <row r="443" spans="1:3" x14ac:dyDescent="0.25">
      <c r="A443" s="1" t="s">
        <v>7881</v>
      </c>
      <c r="B443" s="1" t="s">
        <v>16375</v>
      </c>
      <c r="C443" s="3">
        <f>IF(B443="","",SUMIFS('Factory Costs'!$C:$C,'Factory Costs'!$A:$A,"Motor",'Factory Costs'!$B:$B,B443))</f>
        <v>72</v>
      </c>
    </row>
    <row r="444" spans="1:3" x14ac:dyDescent="0.25">
      <c r="A444" s="1" t="s">
        <v>7884</v>
      </c>
      <c r="B444" s="1" t="s">
        <v>16375</v>
      </c>
      <c r="C444" s="3">
        <f>IF(B444="","",SUMIFS('Factory Costs'!$C:$C,'Factory Costs'!$A:$A,"Motor",'Factory Costs'!$B:$B,B444))</f>
        <v>72</v>
      </c>
    </row>
    <row r="445" spans="1:3" x14ac:dyDescent="0.25">
      <c r="A445" s="1" t="s">
        <v>7887</v>
      </c>
      <c r="B445" s="1" t="s">
        <v>16375</v>
      </c>
      <c r="C445" s="3">
        <f>IF(B445="","",SUMIFS('Factory Costs'!$C:$C,'Factory Costs'!$A:$A,"Motor",'Factory Costs'!$B:$B,B445))</f>
        <v>72</v>
      </c>
    </row>
    <row r="446" spans="1:3" x14ac:dyDescent="0.25">
      <c r="A446" s="1" t="s">
        <v>7890</v>
      </c>
      <c r="B446" s="1" t="s">
        <v>16374</v>
      </c>
      <c r="C446" s="3">
        <f>IF(B446="","",SUMIFS('Factory Costs'!$C:$C,'Factory Costs'!$A:$A,"Motor",'Factory Costs'!$B:$B,B446))</f>
        <v>62</v>
      </c>
    </row>
    <row r="447" spans="1:3" x14ac:dyDescent="0.25">
      <c r="A447" s="1" t="s">
        <v>7893</v>
      </c>
      <c r="B447" s="1" t="s">
        <v>16374</v>
      </c>
      <c r="C447" s="3">
        <f>IF(B447="","",SUMIFS('Factory Costs'!$C:$C,'Factory Costs'!$A:$A,"Motor",'Factory Costs'!$B:$B,B447))</f>
        <v>62</v>
      </c>
    </row>
    <row r="448" spans="1:3" x14ac:dyDescent="0.25">
      <c r="A448" s="1" t="s">
        <v>7896</v>
      </c>
      <c r="B448" s="1" t="s">
        <v>16374</v>
      </c>
      <c r="C448" s="3">
        <f>IF(B448="","",SUMIFS('Factory Costs'!$C:$C,'Factory Costs'!$A:$A,"Motor",'Factory Costs'!$B:$B,B448))</f>
        <v>62</v>
      </c>
    </row>
    <row r="449" spans="1:3" x14ac:dyDescent="0.25">
      <c r="A449" s="1" t="s">
        <v>7899</v>
      </c>
      <c r="B449" s="1" t="s">
        <v>16374</v>
      </c>
      <c r="C449" s="3">
        <f>IF(B449="","",SUMIFS('Factory Costs'!$C:$C,'Factory Costs'!$A:$A,"Motor",'Factory Costs'!$B:$B,B449))</f>
        <v>62</v>
      </c>
    </row>
    <row r="450" spans="1:3" x14ac:dyDescent="0.25">
      <c r="A450" s="1" t="s">
        <v>7902</v>
      </c>
      <c r="B450" s="1" t="s">
        <v>16375</v>
      </c>
      <c r="C450" s="3">
        <f>IF(B450="","",SUMIFS('Factory Costs'!$C:$C,'Factory Costs'!$A:$A,"Motor",'Factory Costs'!$B:$B,B450))</f>
        <v>72</v>
      </c>
    </row>
    <row r="451" spans="1:3" x14ac:dyDescent="0.25">
      <c r="A451" s="1" t="s">
        <v>7905</v>
      </c>
      <c r="B451" s="1" t="s">
        <v>16374</v>
      </c>
      <c r="C451" s="3">
        <f>IF(B451="","",SUMIFS('Factory Costs'!$C:$C,'Factory Costs'!$A:$A,"Motor",'Factory Costs'!$B:$B,B451))</f>
        <v>62</v>
      </c>
    </row>
    <row r="452" spans="1:3" x14ac:dyDescent="0.25">
      <c r="A452" s="1" t="s">
        <v>7908</v>
      </c>
      <c r="B452" s="1" t="s">
        <v>16374</v>
      </c>
      <c r="C452" s="3">
        <f>IF(B452="","",SUMIFS('Factory Costs'!$C:$C,'Factory Costs'!$A:$A,"Motor",'Factory Costs'!$B:$B,B452))</f>
        <v>62</v>
      </c>
    </row>
    <row r="453" spans="1:3" x14ac:dyDescent="0.25">
      <c r="A453" s="1" t="s">
        <v>7911</v>
      </c>
      <c r="B453" s="1" t="s">
        <v>16374</v>
      </c>
      <c r="C453" s="3">
        <f>IF(B453="","",SUMIFS('Factory Costs'!$C:$C,'Factory Costs'!$A:$A,"Motor",'Factory Costs'!$B:$B,B453))</f>
        <v>62</v>
      </c>
    </row>
    <row r="454" spans="1:3" x14ac:dyDescent="0.25">
      <c r="A454" s="1" t="s">
        <v>7914</v>
      </c>
      <c r="B454" s="1" t="s">
        <v>16374</v>
      </c>
      <c r="C454" s="3">
        <f>IF(B454="","",SUMIFS('Factory Costs'!$C:$C,'Factory Costs'!$A:$A,"Motor",'Factory Costs'!$B:$B,B454))</f>
        <v>62</v>
      </c>
    </row>
    <row r="455" spans="1:3" x14ac:dyDescent="0.25">
      <c r="A455" s="1" t="s">
        <v>7917</v>
      </c>
      <c r="B455" s="1" t="s">
        <v>16375</v>
      </c>
      <c r="C455" s="3">
        <f>IF(B455="","",SUMIFS('Factory Costs'!$C:$C,'Factory Costs'!$A:$A,"Motor",'Factory Costs'!$B:$B,B455))</f>
        <v>72</v>
      </c>
    </row>
    <row r="456" spans="1:3" x14ac:dyDescent="0.25">
      <c r="A456" s="1" t="s">
        <v>7920</v>
      </c>
      <c r="B456" s="1" t="s">
        <v>16375</v>
      </c>
      <c r="C456" s="3">
        <f>IF(B456="","",SUMIFS('Factory Costs'!$C:$C,'Factory Costs'!$A:$A,"Motor",'Factory Costs'!$B:$B,B456))</f>
        <v>72</v>
      </c>
    </row>
    <row r="457" spans="1:3" x14ac:dyDescent="0.25">
      <c r="A457" s="1" t="s">
        <v>7923</v>
      </c>
      <c r="B457" s="1" t="s">
        <v>16375</v>
      </c>
      <c r="C457" s="3">
        <f>IF(B457="","",SUMIFS('Factory Costs'!$C:$C,'Factory Costs'!$A:$A,"Motor",'Factory Costs'!$B:$B,B457))</f>
        <v>72</v>
      </c>
    </row>
    <row r="458" spans="1:3" x14ac:dyDescent="0.25">
      <c r="A458" s="1" t="s">
        <v>7926</v>
      </c>
      <c r="B458" s="1" t="s">
        <v>16374</v>
      </c>
      <c r="C458" s="3">
        <f>IF(B458="","",SUMIFS('Factory Costs'!$C:$C,'Factory Costs'!$A:$A,"Motor",'Factory Costs'!$B:$B,B458))</f>
        <v>62</v>
      </c>
    </row>
    <row r="459" spans="1:3" x14ac:dyDescent="0.25">
      <c r="A459" s="1" t="s">
        <v>7929</v>
      </c>
      <c r="B459" s="1" t="s">
        <v>16375</v>
      </c>
      <c r="C459" s="3">
        <f>IF(B459="","",SUMIFS('Factory Costs'!$C:$C,'Factory Costs'!$A:$A,"Motor",'Factory Costs'!$B:$B,B459))</f>
        <v>72</v>
      </c>
    </row>
    <row r="460" spans="1:3" x14ac:dyDescent="0.25">
      <c r="A460" s="1" t="s">
        <v>7932</v>
      </c>
      <c r="B460" s="1" t="s">
        <v>16374</v>
      </c>
      <c r="C460" s="3">
        <f>IF(B460="","",SUMIFS('Factory Costs'!$C:$C,'Factory Costs'!$A:$A,"Motor",'Factory Costs'!$B:$B,B460))</f>
        <v>62</v>
      </c>
    </row>
    <row r="461" spans="1:3" x14ac:dyDescent="0.25">
      <c r="A461" s="1" t="s">
        <v>7935</v>
      </c>
      <c r="B461" s="1" t="s">
        <v>16374</v>
      </c>
      <c r="C461" s="3">
        <f>IF(B461="","",SUMIFS('Factory Costs'!$C:$C,'Factory Costs'!$A:$A,"Motor",'Factory Costs'!$B:$B,B461))</f>
        <v>62</v>
      </c>
    </row>
    <row r="462" spans="1:3" x14ac:dyDescent="0.25">
      <c r="A462" s="1" t="s">
        <v>7938</v>
      </c>
      <c r="B462" s="1" t="s">
        <v>16374</v>
      </c>
      <c r="C462" s="3">
        <f>IF(B462="","",SUMIFS('Factory Costs'!$C:$C,'Factory Costs'!$A:$A,"Motor",'Factory Costs'!$B:$B,B462))</f>
        <v>62</v>
      </c>
    </row>
    <row r="463" spans="1:3" x14ac:dyDescent="0.25">
      <c r="A463" s="1" t="s">
        <v>7941</v>
      </c>
      <c r="B463" s="1" t="s">
        <v>16374</v>
      </c>
      <c r="C463" s="3">
        <f>IF(B463="","",SUMIFS('Factory Costs'!$C:$C,'Factory Costs'!$A:$A,"Motor",'Factory Costs'!$B:$B,B463))</f>
        <v>62</v>
      </c>
    </row>
    <row r="464" spans="1:3" x14ac:dyDescent="0.25">
      <c r="A464" s="1" t="s">
        <v>7944</v>
      </c>
      <c r="B464" s="1" t="s">
        <v>16374</v>
      </c>
      <c r="C464" s="3">
        <f>IF(B464="","",SUMIFS('Factory Costs'!$C:$C,'Factory Costs'!$A:$A,"Motor",'Factory Costs'!$B:$B,B464))</f>
        <v>62</v>
      </c>
    </row>
    <row r="465" spans="1:3" x14ac:dyDescent="0.25">
      <c r="A465" s="1" t="s">
        <v>7947</v>
      </c>
      <c r="B465" s="1" t="s">
        <v>16374</v>
      </c>
      <c r="C465" s="3">
        <f>IF(B465="","",SUMIFS('Factory Costs'!$C:$C,'Factory Costs'!$A:$A,"Motor",'Factory Costs'!$B:$B,B465))</f>
        <v>62</v>
      </c>
    </row>
    <row r="466" spans="1:3" x14ac:dyDescent="0.25">
      <c r="A466" s="1" t="s">
        <v>7950</v>
      </c>
      <c r="B466" s="1" t="s">
        <v>16374</v>
      </c>
      <c r="C466" s="3">
        <f>IF(B466="","",SUMIFS('Factory Costs'!$C:$C,'Factory Costs'!$A:$A,"Motor",'Factory Costs'!$B:$B,B466))</f>
        <v>62</v>
      </c>
    </row>
    <row r="467" spans="1:3" x14ac:dyDescent="0.25">
      <c r="A467" s="1" t="s">
        <v>7953</v>
      </c>
      <c r="B467" s="1" t="s">
        <v>16375</v>
      </c>
      <c r="C467" s="3">
        <f>IF(B467="","",SUMIFS('Factory Costs'!$C:$C,'Factory Costs'!$A:$A,"Motor",'Factory Costs'!$B:$B,B467))</f>
        <v>72</v>
      </c>
    </row>
    <row r="468" spans="1:3" x14ac:dyDescent="0.25">
      <c r="A468" s="1" t="s">
        <v>7956</v>
      </c>
      <c r="B468" s="1" t="s">
        <v>16374</v>
      </c>
      <c r="C468" s="3">
        <f>IF(B468="","",SUMIFS('Factory Costs'!$C:$C,'Factory Costs'!$A:$A,"Motor",'Factory Costs'!$B:$B,B468))</f>
        <v>62</v>
      </c>
    </row>
    <row r="469" spans="1:3" x14ac:dyDescent="0.25">
      <c r="A469" s="1" t="s">
        <v>7959</v>
      </c>
      <c r="B469" s="1" t="s">
        <v>16374</v>
      </c>
      <c r="C469" s="3">
        <f>IF(B469="","",SUMIFS('Factory Costs'!$C:$C,'Factory Costs'!$A:$A,"Motor",'Factory Costs'!$B:$B,B469))</f>
        <v>62</v>
      </c>
    </row>
    <row r="470" spans="1:3" x14ac:dyDescent="0.25">
      <c r="A470" s="1" t="s">
        <v>7962</v>
      </c>
      <c r="B470" s="1" t="s">
        <v>16374</v>
      </c>
      <c r="C470" s="3">
        <f>IF(B470="","",SUMIFS('Factory Costs'!$C:$C,'Factory Costs'!$A:$A,"Motor",'Factory Costs'!$B:$B,B470))</f>
        <v>62</v>
      </c>
    </row>
    <row r="471" spans="1:3" x14ac:dyDescent="0.25">
      <c r="A471" s="1" t="s">
        <v>7965</v>
      </c>
      <c r="B471" s="1" t="s">
        <v>16374</v>
      </c>
      <c r="C471" s="3">
        <f>IF(B471="","",SUMIFS('Factory Costs'!$C:$C,'Factory Costs'!$A:$A,"Motor",'Factory Costs'!$B:$B,B471))</f>
        <v>62</v>
      </c>
    </row>
    <row r="472" spans="1:3" x14ac:dyDescent="0.25">
      <c r="A472" s="1" t="s">
        <v>7968</v>
      </c>
      <c r="B472" s="1" t="s">
        <v>16375</v>
      </c>
      <c r="C472" s="3">
        <f>IF(B472="","",SUMIFS('Factory Costs'!$C:$C,'Factory Costs'!$A:$A,"Motor",'Factory Costs'!$B:$B,B472))</f>
        <v>72</v>
      </c>
    </row>
    <row r="473" spans="1:3" x14ac:dyDescent="0.25">
      <c r="A473" s="1" t="s">
        <v>7971</v>
      </c>
      <c r="B473" s="1" t="s">
        <v>16374</v>
      </c>
      <c r="C473" s="3">
        <f>IF(B473="","",SUMIFS('Factory Costs'!$C:$C,'Factory Costs'!$A:$A,"Motor",'Factory Costs'!$B:$B,B473))</f>
        <v>62</v>
      </c>
    </row>
    <row r="474" spans="1:3" x14ac:dyDescent="0.25">
      <c r="A474" s="1" t="s">
        <v>7974</v>
      </c>
      <c r="B474" s="1" t="s">
        <v>16374</v>
      </c>
      <c r="C474" s="3">
        <f>IF(B474="","",SUMIFS('Factory Costs'!$C:$C,'Factory Costs'!$A:$A,"Motor",'Factory Costs'!$B:$B,B474))</f>
        <v>62</v>
      </c>
    </row>
    <row r="475" spans="1:3" x14ac:dyDescent="0.25">
      <c r="A475" s="1" t="s">
        <v>7977</v>
      </c>
      <c r="B475" s="1" t="s">
        <v>16374</v>
      </c>
      <c r="C475" s="3">
        <f>IF(B475="","",SUMIFS('Factory Costs'!$C:$C,'Factory Costs'!$A:$A,"Motor",'Factory Costs'!$B:$B,B475))</f>
        <v>62</v>
      </c>
    </row>
    <row r="476" spans="1:3" x14ac:dyDescent="0.25">
      <c r="A476" s="1" t="s">
        <v>7980</v>
      </c>
      <c r="B476" s="1" t="s">
        <v>16374</v>
      </c>
      <c r="C476" s="3">
        <f>IF(B476="","",SUMIFS('Factory Costs'!$C:$C,'Factory Costs'!$A:$A,"Motor",'Factory Costs'!$B:$B,B476))</f>
        <v>62</v>
      </c>
    </row>
    <row r="477" spans="1:3" x14ac:dyDescent="0.25">
      <c r="A477" s="1" t="s">
        <v>7983</v>
      </c>
      <c r="B477" s="1" t="s">
        <v>16374</v>
      </c>
      <c r="C477" s="3">
        <f>IF(B477="","",SUMIFS('Factory Costs'!$C:$C,'Factory Costs'!$A:$A,"Motor",'Factory Costs'!$B:$B,B477))</f>
        <v>62</v>
      </c>
    </row>
    <row r="478" spans="1:3" x14ac:dyDescent="0.25">
      <c r="A478" s="1" t="s">
        <v>7986</v>
      </c>
      <c r="B478" s="1" t="s">
        <v>16375</v>
      </c>
      <c r="C478" s="3">
        <f>IF(B478="","",SUMIFS('Factory Costs'!$C:$C,'Factory Costs'!$A:$A,"Motor",'Factory Costs'!$B:$B,B478))</f>
        <v>72</v>
      </c>
    </row>
    <row r="479" spans="1:3" x14ac:dyDescent="0.25">
      <c r="A479" s="1" t="s">
        <v>7989</v>
      </c>
      <c r="B479" s="1" t="s">
        <v>16374</v>
      </c>
      <c r="C479" s="3">
        <f>IF(B479="","",SUMIFS('Factory Costs'!$C:$C,'Factory Costs'!$A:$A,"Motor",'Factory Costs'!$B:$B,B479))</f>
        <v>62</v>
      </c>
    </row>
    <row r="480" spans="1:3" x14ac:dyDescent="0.25">
      <c r="A480" s="1" t="s">
        <v>7992</v>
      </c>
      <c r="B480" s="1" t="s">
        <v>16375</v>
      </c>
      <c r="C480" s="3">
        <f>IF(B480="","",SUMIFS('Factory Costs'!$C:$C,'Factory Costs'!$A:$A,"Motor",'Factory Costs'!$B:$B,B480))</f>
        <v>72</v>
      </c>
    </row>
    <row r="481" spans="1:3" x14ac:dyDescent="0.25">
      <c r="A481" s="1" t="s">
        <v>7995</v>
      </c>
      <c r="B481" s="1" t="s">
        <v>16374</v>
      </c>
      <c r="C481" s="3">
        <f>IF(B481="","",SUMIFS('Factory Costs'!$C:$C,'Factory Costs'!$A:$A,"Motor",'Factory Costs'!$B:$B,B481))</f>
        <v>62</v>
      </c>
    </row>
    <row r="482" spans="1:3" x14ac:dyDescent="0.25">
      <c r="A482" s="1" t="s">
        <v>7998</v>
      </c>
      <c r="B482" s="1" t="s">
        <v>16375</v>
      </c>
      <c r="C482" s="3">
        <f>IF(B482="","",SUMIFS('Factory Costs'!$C:$C,'Factory Costs'!$A:$A,"Motor",'Factory Costs'!$B:$B,B482))</f>
        <v>72</v>
      </c>
    </row>
    <row r="483" spans="1:3" x14ac:dyDescent="0.25">
      <c r="A483" s="1" t="s">
        <v>8001</v>
      </c>
      <c r="B483" s="1" t="s">
        <v>16374</v>
      </c>
      <c r="C483" s="3">
        <f>IF(B483="","",SUMIFS('Factory Costs'!$C:$C,'Factory Costs'!$A:$A,"Motor",'Factory Costs'!$B:$B,B483))</f>
        <v>62</v>
      </c>
    </row>
    <row r="484" spans="1:3" x14ac:dyDescent="0.25">
      <c r="A484" s="1" t="s">
        <v>8004</v>
      </c>
      <c r="B484" s="1" t="s">
        <v>16374</v>
      </c>
      <c r="C484" s="3">
        <f>IF(B484="","",SUMIFS('Factory Costs'!$C:$C,'Factory Costs'!$A:$A,"Motor",'Factory Costs'!$B:$B,B484))</f>
        <v>62</v>
      </c>
    </row>
    <row r="485" spans="1:3" x14ac:dyDescent="0.25">
      <c r="A485" s="1" t="s">
        <v>8007</v>
      </c>
      <c r="B485" s="1" t="s">
        <v>16374</v>
      </c>
      <c r="C485" s="3">
        <f>IF(B485="","",SUMIFS('Factory Costs'!$C:$C,'Factory Costs'!$A:$A,"Motor",'Factory Costs'!$B:$B,B485))</f>
        <v>62</v>
      </c>
    </row>
    <row r="486" spans="1:3" x14ac:dyDescent="0.25">
      <c r="A486" s="1" t="s">
        <v>8010</v>
      </c>
      <c r="B486" s="1" t="s">
        <v>16374</v>
      </c>
      <c r="C486" s="3">
        <f>IF(B486="","",SUMIFS('Factory Costs'!$C:$C,'Factory Costs'!$A:$A,"Motor",'Factory Costs'!$B:$B,B486))</f>
        <v>62</v>
      </c>
    </row>
    <row r="487" spans="1:3" x14ac:dyDescent="0.25">
      <c r="A487" s="1" t="s">
        <v>8013</v>
      </c>
      <c r="B487" s="1" t="s">
        <v>16374</v>
      </c>
      <c r="C487" s="3">
        <f>IF(B487="","",SUMIFS('Factory Costs'!$C:$C,'Factory Costs'!$A:$A,"Motor",'Factory Costs'!$B:$B,B487))</f>
        <v>62</v>
      </c>
    </row>
    <row r="488" spans="1:3" x14ac:dyDescent="0.25">
      <c r="A488" s="1" t="s">
        <v>8016</v>
      </c>
      <c r="B488" s="1" t="s">
        <v>16374</v>
      </c>
      <c r="C488" s="3">
        <f>IF(B488="","",SUMIFS('Factory Costs'!$C:$C,'Factory Costs'!$A:$A,"Motor",'Factory Costs'!$B:$B,B488))</f>
        <v>62</v>
      </c>
    </row>
    <row r="489" spans="1:3" x14ac:dyDescent="0.25">
      <c r="A489" s="1" t="s">
        <v>8019</v>
      </c>
      <c r="B489" s="1" t="s">
        <v>16374</v>
      </c>
      <c r="C489" s="3">
        <f>IF(B489="","",SUMIFS('Factory Costs'!$C:$C,'Factory Costs'!$A:$A,"Motor",'Factory Costs'!$B:$B,B489))</f>
        <v>62</v>
      </c>
    </row>
    <row r="490" spans="1:3" x14ac:dyDescent="0.25">
      <c r="A490" s="1" t="s">
        <v>8022</v>
      </c>
      <c r="B490" s="1" t="s">
        <v>16374</v>
      </c>
      <c r="C490" s="3">
        <f>IF(B490="","",SUMIFS('Factory Costs'!$C:$C,'Factory Costs'!$A:$A,"Motor",'Factory Costs'!$B:$B,B490))</f>
        <v>62</v>
      </c>
    </row>
    <row r="491" spans="1:3" x14ac:dyDescent="0.25">
      <c r="A491" s="1" t="s">
        <v>8025</v>
      </c>
      <c r="B491" s="1" t="s">
        <v>16374</v>
      </c>
      <c r="C491" s="3">
        <f>IF(B491="","",SUMIFS('Factory Costs'!$C:$C,'Factory Costs'!$A:$A,"Motor",'Factory Costs'!$B:$B,B491))</f>
        <v>62</v>
      </c>
    </row>
    <row r="492" spans="1:3" x14ac:dyDescent="0.25">
      <c r="A492" s="1" t="s">
        <v>8028</v>
      </c>
      <c r="B492" s="1" t="s">
        <v>16374</v>
      </c>
      <c r="C492" s="3">
        <f>IF(B492="","",SUMIFS('Factory Costs'!$C:$C,'Factory Costs'!$A:$A,"Motor",'Factory Costs'!$B:$B,B492))</f>
        <v>62</v>
      </c>
    </row>
    <row r="493" spans="1:3" x14ac:dyDescent="0.25">
      <c r="A493" s="1" t="s">
        <v>8031</v>
      </c>
      <c r="B493" s="1" t="s">
        <v>16374</v>
      </c>
      <c r="C493" s="3">
        <f>IF(B493="","",SUMIFS('Factory Costs'!$C:$C,'Factory Costs'!$A:$A,"Motor",'Factory Costs'!$B:$B,B493))</f>
        <v>62</v>
      </c>
    </row>
    <row r="494" spans="1:3" x14ac:dyDescent="0.25">
      <c r="A494" s="1" t="s">
        <v>8034</v>
      </c>
      <c r="B494" s="1" t="s">
        <v>16375</v>
      </c>
      <c r="C494" s="3">
        <f>IF(B494="","",SUMIFS('Factory Costs'!$C:$C,'Factory Costs'!$A:$A,"Motor",'Factory Costs'!$B:$B,B494))</f>
        <v>72</v>
      </c>
    </row>
    <row r="495" spans="1:3" x14ac:dyDescent="0.25">
      <c r="A495" s="1" t="s">
        <v>8037</v>
      </c>
      <c r="B495" s="1" t="s">
        <v>16374</v>
      </c>
      <c r="C495" s="3">
        <f>IF(B495="","",SUMIFS('Factory Costs'!$C:$C,'Factory Costs'!$A:$A,"Motor",'Factory Costs'!$B:$B,B495))</f>
        <v>62</v>
      </c>
    </row>
    <row r="496" spans="1:3" x14ac:dyDescent="0.25">
      <c r="A496" s="1" t="s">
        <v>8040</v>
      </c>
      <c r="B496" s="1" t="s">
        <v>16374</v>
      </c>
      <c r="C496" s="3">
        <f>IF(B496="","",SUMIFS('Factory Costs'!$C:$C,'Factory Costs'!$A:$A,"Motor",'Factory Costs'!$B:$B,B496))</f>
        <v>62</v>
      </c>
    </row>
    <row r="497" spans="1:3" x14ac:dyDescent="0.25">
      <c r="A497" s="1" t="s">
        <v>8043</v>
      </c>
      <c r="B497" s="1" t="s">
        <v>16374</v>
      </c>
      <c r="C497" s="3">
        <f>IF(B497="","",SUMIFS('Factory Costs'!$C:$C,'Factory Costs'!$A:$A,"Motor",'Factory Costs'!$B:$B,B497))</f>
        <v>62</v>
      </c>
    </row>
    <row r="498" spans="1:3" x14ac:dyDescent="0.25">
      <c r="A498" s="1" t="s">
        <v>8046</v>
      </c>
      <c r="B498" s="1" t="s">
        <v>16375</v>
      </c>
      <c r="C498" s="3">
        <f>IF(B498="","",SUMIFS('Factory Costs'!$C:$C,'Factory Costs'!$A:$A,"Motor",'Factory Costs'!$B:$B,B498))</f>
        <v>72</v>
      </c>
    </row>
    <row r="499" spans="1:3" x14ac:dyDescent="0.25">
      <c r="A499" s="1" t="s">
        <v>8049</v>
      </c>
      <c r="B499" s="1" t="s">
        <v>16375</v>
      </c>
      <c r="C499" s="3">
        <f>IF(B499="","",SUMIFS('Factory Costs'!$C:$C,'Factory Costs'!$A:$A,"Motor",'Factory Costs'!$B:$B,B499))</f>
        <v>72</v>
      </c>
    </row>
    <row r="500" spans="1:3" x14ac:dyDescent="0.25">
      <c r="A500" s="1" t="s">
        <v>8052</v>
      </c>
      <c r="B500" s="1" t="s">
        <v>16374</v>
      </c>
      <c r="C500" s="3">
        <f>IF(B500="","",SUMIFS('Factory Costs'!$C:$C,'Factory Costs'!$A:$A,"Motor",'Factory Costs'!$B:$B,B500))</f>
        <v>62</v>
      </c>
    </row>
    <row r="501" spans="1:3" x14ac:dyDescent="0.25">
      <c r="A501" s="1" t="s">
        <v>8055</v>
      </c>
      <c r="B501" s="1" t="s">
        <v>16374</v>
      </c>
      <c r="C501" s="3">
        <f>IF(B501="","",SUMIFS('Factory Costs'!$C:$C,'Factory Costs'!$A:$A,"Motor",'Factory Costs'!$B:$B,B501))</f>
        <v>62</v>
      </c>
    </row>
    <row r="502" spans="1:3" x14ac:dyDescent="0.25">
      <c r="A502" s="1" t="s">
        <v>8058</v>
      </c>
      <c r="B502" s="1" t="s">
        <v>16374</v>
      </c>
      <c r="C502" s="3">
        <f>IF(B502="","",SUMIFS('Factory Costs'!$C:$C,'Factory Costs'!$A:$A,"Motor",'Factory Costs'!$B:$B,B502))</f>
        <v>62</v>
      </c>
    </row>
    <row r="503" spans="1:3" x14ac:dyDescent="0.25">
      <c r="A503" s="1" t="s">
        <v>8061</v>
      </c>
      <c r="B503" s="1" t="s">
        <v>16375</v>
      </c>
      <c r="C503" s="3">
        <f>IF(B503="","",SUMIFS('Factory Costs'!$C:$C,'Factory Costs'!$A:$A,"Motor",'Factory Costs'!$B:$B,B503))</f>
        <v>72</v>
      </c>
    </row>
    <row r="504" spans="1:3" x14ac:dyDescent="0.25">
      <c r="A504" s="1" t="s">
        <v>8064</v>
      </c>
      <c r="B504" s="1" t="s">
        <v>16374</v>
      </c>
      <c r="C504" s="3">
        <f>IF(B504="","",SUMIFS('Factory Costs'!$C:$C,'Factory Costs'!$A:$A,"Motor",'Factory Costs'!$B:$B,B504))</f>
        <v>62</v>
      </c>
    </row>
    <row r="505" spans="1:3" x14ac:dyDescent="0.25">
      <c r="A505" s="1" t="s">
        <v>8067</v>
      </c>
      <c r="B505" s="1" t="s">
        <v>16375</v>
      </c>
      <c r="C505" s="3">
        <f>IF(B505="","",SUMIFS('Factory Costs'!$C:$C,'Factory Costs'!$A:$A,"Motor",'Factory Costs'!$B:$B,B505))</f>
        <v>72</v>
      </c>
    </row>
    <row r="506" spans="1:3" x14ac:dyDescent="0.25">
      <c r="A506" s="1" t="s">
        <v>8070</v>
      </c>
      <c r="B506" s="1" t="s">
        <v>16374</v>
      </c>
      <c r="C506" s="3">
        <f>IF(B506="","",SUMIFS('Factory Costs'!$C:$C,'Factory Costs'!$A:$A,"Motor",'Factory Costs'!$B:$B,B506))</f>
        <v>62</v>
      </c>
    </row>
    <row r="507" spans="1:3" x14ac:dyDescent="0.25">
      <c r="A507" s="1" t="s">
        <v>8073</v>
      </c>
      <c r="B507" s="1" t="s">
        <v>16375</v>
      </c>
      <c r="C507" s="3">
        <f>IF(B507="","",SUMIFS('Factory Costs'!$C:$C,'Factory Costs'!$A:$A,"Motor",'Factory Costs'!$B:$B,B507))</f>
        <v>72</v>
      </c>
    </row>
    <row r="508" spans="1:3" x14ac:dyDescent="0.25">
      <c r="A508" s="1" t="s">
        <v>8076</v>
      </c>
      <c r="B508" s="1" t="s">
        <v>16374</v>
      </c>
      <c r="C508" s="3">
        <f>IF(B508="","",SUMIFS('Factory Costs'!$C:$C,'Factory Costs'!$A:$A,"Motor",'Factory Costs'!$B:$B,B508))</f>
        <v>62</v>
      </c>
    </row>
    <row r="509" spans="1:3" x14ac:dyDescent="0.25">
      <c r="A509" s="1" t="s">
        <v>8079</v>
      </c>
      <c r="B509" s="1" t="s">
        <v>16374</v>
      </c>
      <c r="C509" s="3">
        <f>IF(B509="","",SUMIFS('Factory Costs'!$C:$C,'Factory Costs'!$A:$A,"Motor",'Factory Costs'!$B:$B,B509))</f>
        <v>62</v>
      </c>
    </row>
    <row r="510" spans="1:3" x14ac:dyDescent="0.25">
      <c r="A510" s="1" t="s">
        <v>8082</v>
      </c>
      <c r="B510" s="1" t="s">
        <v>16374</v>
      </c>
      <c r="C510" s="3">
        <f>IF(B510="","",SUMIFS('Factory Costs'!$C:$C,'Factory Costs'!$A:$A,"Motor",'Factory Costs'!$B:$B,B510))</f>
        <v>62</v>
      </c>
    </row>
    <row r="511" spans="1:3" x14ac:dyDescent="0.25">
      <c r="A511" s="1" t="s">
        <v>8085</v>
      </c>
      <c r="B511" s="1" t="s">
        <v>16374</v>
      </c>
      <c r="C511" s="3">
        <f>IF(B511="","",SUMIFS('Factory Costs'!$C:$C,'Factory Costs'!$A:$A,"Motor",'Factory Costs'!$B:$B,B511))</f>
        <v>62</v>
      </c>
    </row>
    <row r="512" spans="1:3" x14ac:dyDescent="0.25">
      <c r="A512" s="1" t="s">
        <v>8088</v>
      </c>
      <c r="B512" s="1" t="s">
        <v>16374</v>
      </c>
      <c r="C512" s="3">
        <f>IF(B512="","",SUMIFS('Factory Costs'!$C:$C,'Factory Costs'!$A:$A,"Motor",'Factory Costs'!$B:$B,B512))</f>
        <v>62</v>
      </c>
    </row>
    <row r="513" spans="1:3" x14ac:dyDescent="0.25">
      <c r="A513" s="1" t="s">
        <v>8091</v>
      </c>
      <c r="B513" s="1" t="s">
        <v>16374</v>
      </c>
      <c r="C513" s="3">
        <f>IF(B513="","",SUMIFS('Factory Costs'!$C:$C,'Factory Costs'!$A:$A,"Motor",'Factory Costs'!$B:$B,B513))</f>
        <v>62</v>
      </c>
    </row>
    <row r="514" spans="1:3" x14ac:dyDescent="0.25">
      <c r="A514" s="1" t="s">
        <v>8094</v>
      </c>
      <c r="B514" s="1" t="s">
        <v>16374</v>
      </c>
      <c r="C514" s="3">
        <f>IF(B514="","",SUMIFS('Factory Costs'!$C:$C,'Factory Costs'!$A:$A,"Motor",'Factory Costs'!$B:$B,B514))</f>
        <v>62</v>
      </c>
    </row>
    <row r="515" spans="1:3" x14ac:dyDescent="0.25">
      <c r="A515" s="1" t="s">
        <v>8097</v>
      </c>
      <c r="B515" s="1" t="s">
        <v>16374</v>
      </c>
      <c r="C515" s="3">
        <f>IF(B515="","",SUMIFS('Factory Costs'!$C:$C,'Factory Costs'!$A:$A,"Motor",'Factory Costs'!$B:$B,B515))</f>
        <v>62</v>
      </c>
    </row>
    <row r="516" spans="1:3" x14ac:dyDescent="0.25">
      <c r="A516" s="1" t="s">
        <v>8100</v>
      </c>
      <c r="B516" s="1" t="s">
        <v>16375</v>
      </c>
      <c r="C516" s="3">
        <f>IF(B516="","",SUMIFS('Factory Costs'!$C:$C,'Factory Costs'!$A:$A,"Motor",'Factory Costs'!$B:$B,B516))</f>
        <v>72</v>
      </c>
    </row>
    <row r="517" spans="1:3" x14ac:dyDescent="0.25">
      <c r="A517" s="1" t="s">
        <v>8103</v>
      </c>
      <c r="B517" s="1" t="s">
        <v>16375</v>
      </c>
      <c r="C517" s="3">
        <f>IF(B517="","",SUMIFS('Factory Costs'!$C:$C,'Factory Costs'!$A:$A,"Motor",'Factory Costs'!$B:$B,B517))</f>
        <v>72</v>
      </c>
    </row>
    <row r="518" spans="1:3" x14ac:dyDescent="0.25">
      <c r="A518" s="1" t="s">
        <v>8106</v>
      </c>
      <c r="B518" s="1" t="s">
        <v>16375</v>
      </c>
      <c r="C518" s="3">
        <f>IF(B518="","",SUMIFS('Factory Costs'!$C:$C,'Factory Costs'!$A:$A,"Motor",'Factory Costs'!$B:$B,B518))</f>
        <v>72</v>
      </c>
    </row>
    <row r="519" spans="1:3" x14ac:dyDescent="0.25">
      <c r="A519" s="1" t="s">
        <v>8109</v>
      </c>
      <c r="B519" s="1" t="s">
        <v>16374</v>
      </c>
      <c r="C519" s="3">
        <f>IF(B519="","",SUMIFS('Factory Costs'!$C:$C,'Factory Costs'!$A:$A,"Motor",'Factory Costs'!$B:$B,B519))</f>
        <v>62</v>
      </c>
    </row>
    <row r="520" spans="1:3" x14ac:dyDescent="0.25">
      <c r="A520" s="1" t="s">
        <v>8112</v>
      </c>
      <c r="B520" s="1" t="s">
        <v>16374</v>
      </c>
      <c r="C520" s="3">
        <f>IF(B520="","",SUMIFS('Factory Costs'!$C:$C,'Factory Costs'!$A:$A,"Motor",'Factory Costs'!$B:$B,B520))</f>
        <v>62</v>
      </c>
    </row>
    <row r="521" spans="1:3" x14ac:dyDescent="0.25">
      <c r="A521" s="1" t="s">
        <v>8115</v>
      </c>
      <c r="B521" s="1" t="s">
        <v>16374</v>
      </c>
      <c r="C521" s="3">
        <f>IF(B521="","",SUMIFS('Factory Costs'!$C:$C,'Factory Costs'!$A:$A,"Motor",'Factory Costs'!$B:$B,B521))</f>
        <v>62</v>
      </c>
    </row>
    <row r="522" spans="1:3" x14ac:dyDescent="0.25">
      <c r="A522" s="1" t="s">
        <v>8118</v>
      </c>
      <c r="B522" s="1" t="s">
        <v>16375</v>
      </c>
      <c r="C522" s="3">
        <f>IF(B522="","",SUMIFS('Factory Costs'!$C:$C,'Factory Costs'!$A:$A,"Motor",'Factory Costs'!$B:$B,B522))</f>
        <v>72</v>
      </c>
    </row>
    <row r="523" spans="1:3" x14ac:dyDescent="0.25">
      <c r="A523" s="1" t="s">
        <v>8121</v>
      </c>
      <c r="B523" s="1" t="s">
        <v>16374</v>
      </c>
      <c r="C523" s="3">
        <f>IF(B523="","",SUMIFS('Factory Costs'!$C:$C,'Factory Costs'!$A:$A,"Motor",'Factory Costs'!$B:$B,B523))</f>
        <v>62</v>
      </c>
    </row>
    <row r="524" spans="1:3" x14ac:dyDescent="0.25">
      <c r="A524" s="1" t="s">
        <v>8124</v>
      </c>
      <c r="B524" s="1" t="s">
        <v>16374</v>
      </c>
      <c r="C524" s="3">
        <f>IF(B524="","",SUMIFS('Factory Costs'!$C:$C,'Factory Costs'!$A:$A,"Motor",'Factory Costs'!$B:$B,B524))</f>
        <v>62</v>
      </c>
    </row>
    <row r="525" spans="1:3" x14ac:dyDescent="0.25">
      <c r="A525" s="1" t="s">
        <v>8127</v>
      </c>
      <c r="B525" s="1" t="s">
        <v>16375</v>
      </c>
      <c r="C525" s="3">
        <f>IF(B525="","",SUMIFS('Factory Costs'!$C:$C,'Factory Costs'!$A:$A,"Motor",'Factory Costs'!$B:$B,B525))</f>
        <v>72</v>
      </c>
    </row>
    <row r="526" spans="1:3" x14ac:dyDescent="0.25">
      <c r="A526" s="1" t="s">
        <v>8130</v>
      </c>
      <c r="B526" s="1" t="s">
        <v>16375</v>
      </c>
      <c r="C526" s="3">
        <f>IF(B526="","",SUMIFS('Factory Costs'!$C:$C,'Factory Costs'!$A:$A,"Motor",'Factory Costs'!$B:$B,B526))</f>
        <v>72</v>
      </c>
    </row>
    <row r="527" spans="1:3" x14ac:dyDescent="0.25">
      <c r="A527" s="1" t="s">
        <v>8133</v>
      </c>
      <c r="B527" s="1" t="s">
        <v>16375</v>
      </c>
      <c r="C527" s="3">
        <f>IF(B527="","",SUMIFS('Factory Costs'!$C:$C,'Factory Costs'!$A:$A,"Motor",'Factory Costs'!$B:$B,B527))</f>
        <v>72</v>
      </c>
    </row>
    <row r="528" spans="1:3" x14ac:dyDescent="0.25">
      <c r="A528" s="1" t="s">
        <v>8136</v>
      </c>
      <c r="B528" s="1" t="s">
        <v>16374</v>
      </c>
      <c r="C528" s="3">
        <f>IF(B528="","",SUMIFS('Factory Costs'!$C:$C,'Factory Costs'!$A:$A,"Motor",'Factory Costs'!$B:$B,B528))</f>
        <v>62</v>
      </c>
    </row>
    <row r="529" spans="1:3" x14ac:dyDescent="0.25">
      <c r="A529" s="1" t="s">
        <v>8139</v>
      </c>
      <c r="B529" s="1" t="s">
        <v>16374</v>
      </c>
      <c r="C529" s="3">
        <f>IF(B529="","",SUMIFS('Factory Costs'!$C:$C,'Factory Costs'!$A:$A,"Motor",'Factory Costs'!$B:$B,B529))</f>
        <v>62</v>
      </c>
    </row>
    <row r="530" spans="1:3" x14ac:dyDescent="0.25">
      <c r="A530" s="1" t="s">
        <v>8142</v>
      </c>
      <c r="B530" s="1" t="s">
        <v>16375</v>
      </c>
      <c r="C530" s="3">
        <f>IF(B530="","",SUMIFS('Factory Costs'!$C:$C,'Factory Costs'!$A:$A,"Motor",'Factory Costs'!$B:$B,B530))</f>
        <v>72</v>
      </c>
    </row>
    <row r="531" spans="1:3" x14ac:dyDescent="0.25">
      <c r="A531" s="1" t="s">
        <v>8145</v>
      </c>
      <c r="B531" s="1" t="s">
        <v>16374</v>
      </c>
      <c r="C531" s="3">
        <f>IF(B531="","",SUMIFS('Factory Costs'!$C:$C,'Factory Costs'!$A:$A,"Motor",'Factory Costs'!$B:$B,B531))</f>
        <v>62</v>
      </c>
    </row>
    <row r="532" spans="1:3" x14ac:dyDescent="0.25">
      <c r="A532" s="1" t="s">
        <v>8148</v>
      </c>
      <c r="B532" s="1" t="s">
        <v>16374</v>
      </c>
      <c r="C532" s="3">
        <f>IF(B532="","",SUMIFS('Factory Costs'!$C:$C,'Factory Costs'!$A:$A,"Motor",'Factory Costs'!$B:$B,B532))</f>
        <v>62</v>
      </c>
    </row>
    <row r="533" spans="1:3" x14ac:dyDescent="0.25">
      <c r="A533" s="1" t="s">
        <v>8151</v>
      </c>
      <c r="B533" s="1" t="s">
        <v>16375</v>
      </c>
      <c r="C533" s="3">
        <f>IF(B533="","",SUMIFS('Factory Costs'!$C:$C,'Factory Costs'!$A:$A,"Motor",'Factory Costs'!$B:$B,B533))</f>
        <v>72</v>
      </c>
    </row>
    <row r="534" spans="1:3" x14ac:dyDescent="0.25">
      <c r="A534" s="1" t="s">
        <v>8154</v>
      </c>
      <c r="B534" s="1" t="s">
        <v>16374</v>
      </c>
      <c r="C534" s="3">
        <f>IF(B534="","",SUMIFS('Factory Costs'!$C:$C,'Factory Costs'!$A:$A,"Motor",'Factory Costs'!$B:$B,B534))</f>
        <v>62</v>
      </c>
    </row>
    <row r="535" spans="1:3" x14ac:dyDescent="0.25">
      <c r="A535" s="1" t="s">
        <v>8157</v>
      </c>
      <c r="B535" s="1" t="s">
        <v>16374</v>
      </c>
      <c r="C535" s="3">
        <f>IF(B535="","",SUMIFS('Factory Costs'!$C:$C,'Factory Costs'!$A:$A,"Motor",'Factory Costs'!$B:$B,B535))</f>
        <v>62</v>
      </c>
    </row>
    <row r="536" spans="1:3" x14ac:dyDescent="0.25">
      <c r="A536" s="1" t="s">
        <v>8160</v>
      </c>
      <c r="B536" s="1" t="s">
        <v>16375</v>
      </c>
      <c r="C536" s="3">
        <f>IF(B536="","",SUMIFS('Factory Costs'!$C:$C,'Factory Costs'!$A:$A,"Motor",'Factory Costs'!$B:$B,B536))</f>
        <v>72</v>
      </c>
    </row>
    <row r="537" spans="1:3" x14ac:dyDescent="0.25">
      <c r="A537" s="1" t="s">
        <v>8163</v>
      </c>
      <c r="B537" s="1" t="s">
        <v>16375</v>
      </c>
      <c r="C537" s="3">
        <f>IF(B537="","",SUMIFS('Factory Costs'!$C:$C,'Factory Costs'!$A:$A,"Motor",'Factory Costs'!$B:$B,B537))</f>
        <v>72</v>
      </c>
    </row>
    <row r="538" spans="1:3" x14ac:dyDescent="0.25">
      <c r="A538" s="1" t="s">
        <v>8166</v>
      </c>
      <c r="B538" s="1" t="s">
        <v>16374</v>
      </c>
      <c r="C538" s="3">
        <f>IF(B538="","",SUMIFS('Factory Costs'!$C:$C,'Factory Costs'!$A:$A,"Motor",'Factory Costs'!$B:$B,B538))</f>
        <v>62</v>
      </c>
    </row>
    <row r="539" spans="1:3" x14ac:dyDescent="0.25">
      <c r="A539" s="1" t="s">
        <v>8169</v>
      </c>
      <c r="B539" s="1" t="s">
        <v>16375</v>
      </c>
      <c r="C539" s="3">
        <f>IF(B539="","",SUMIFS('Factory Costs'!$C:$C,'Factory Costs'!$A:$A,"Motor",'Factory Costs'!$B:$B,B539))</f>
        <v>72</v>
      </c>
    </row>
    <row r="540" spans="1:3" x14ac:dyDescent="0.25">
      <c r="A540" s="1" t="s">
        <v>8172</v>
      </c>
      <c r="B540" s="1" t="s">
        <v>16375</v>
      </c>
      <c r="C540" s="3">
        <f>IF(B540="","",SUMIFS('Factory Costs'!$C:$C,'Factory Costs'!$A:$A,"Motor",'Factory Costs'!$B:$B,B540))</f>
        <v>72</v>
      </c>
    </row>
    <row r="541" spans="1:3" x14ac:dyDescent="0.25">
      <c r="A541" s="1" t="s">
        <v>8175</v>
      </c>
      <c r="B541" s="1" t="s">
        <v>16374</v>
      </c>
      <c r="C541" s="3">
        <f>IF(B541="","",SUMIFS('Factory Costs'!$C:$C,'Factory Costs'!$A:$A,"Motor",'Factory Costs'!$B:$B,B541))</f>
        <v>62</v>
      </c>
    </row>
    <row r="542" spans="1:3" x14ac:dyDescent="0.25">
      <c r="A542" s="1" t="s">
        <v>8178</v>
      </c>
      <c r="B542" s="1" t="s">
        <v>16374</v>
      </c>
      <c r="C542" s="3">
        <f>IF(B542="","",SUMIFS('Factory Costs'!$C:$C,'Factory Costs'!$A:$A,"Motor",'Factory Costs'!$B:$B,B542))</f>
        <v>62</v>
      </c>
    </row>
    <row r="543" spans="1:3" x14ac:dyDescent="0.25">
      <c r="A543" s="1" t="s">
        <v>8181</v>
      </c>
      <c r="B543" s="1" t="s">
        <v>16374</v>
      </c>
      <c r="C543" s="3">
        <f>IF(B543="","",SUMIFS('Factory Costs'!$C:$C,'Factory Costs'!$A:$A,"Motor",'Factory Costs'!$B:$B,B543))</f>
        <v>62</v>
      </c>
    </row>
    <row r="544" spans="1:3" x14ac:dyDescent="0.25">
      <c r="A544" s="1" t="s">
        <v>8184</v>
      </c>
      <c r="B544" s="1" t="s">
        <v>16374</v>
      </c>
      <c r="C544" s="3">
        <f>IF(B544="","",SUMIFS('Factory Costs'!$C:$C,'Factory Costs'!$A:$A,"Motor",'Factory Costs'!$B:$B,B544))</f>
        <v>62</v>
      </c>
    </row>
    <row r="545" spans="1:3" x14ac:dyDescent="0.25">
      <c r="A545" s="1" t="s">
        <v>8187</v>
      </c>
      <c r="B545" s="1" t="s">
        <v>16375</v>
      </c>
      <c r="C545" s="3">
        <f>IF(B545="","",SUMIFS('Factory Costs'!$C:$C,'Factory Costs'!$A:$A,"Motor",'Factory Costs'!$B:$B,B545))</f>
        <v>72</v>
      </c>
    </row>
    <row r="546" spans="1:3" x14ac:dyDescent="0.25">
      <c r="A546" s="1" t="s">
        <v>8190</v>
      </c>
      <c r="B546" s="1" t="s">
        <v>16374</v>
      </c>
      <c r="C546" s="3">
        <f>IF(B546="","",SUMIFS('Factory Costs'!$C:$C,'Factory Costs'!$A:$A,"Motor",'Factory Costs'!$B:$B,B546))</f>
        <v>62</v>
      </c>
    </row>
    <row r="547" spans="1:3" x14ac:dyDescent="0.25">
      <c r="A547" s="1" t="s">
        <v>8193</v>
      </c>
      <c r="B547" s="1" t="s">
        <v>16374</v>
      </c>
      <c r="C547" s="3">
        <f>IF(B547="","",SUMIFS('Factory Costs'!$C:$C,'Factory Costs'!$A:$A,"Motor",'Factory Costs'!$B:$B,B547))</f>
        <v>62</v>
      </c>
    </row>
    <row r="548" spans="1:3" x14ac:dyDescent="0.25">
      <c r="A548" s="1" t="s">
        <v>8196</v>
      </c>
      <c r="B548" s="1" t="s">
        <v>16375</v>
      </c>
      <c r="C548" s="3">
        <f>IF(B548="","",SUMIFS('Factory Costs'!$C:$C,'Factory Costs'!$A:$A,"Motor",'Factory Costs'!$B:$B,B548))</f>
        <v>72</v>
      </c>
    </row>
    <row r="549" spans="1:3" x14ac:dyDescent="0.25">
      <c r="A549" s="1" t="s">
        <v>8199</v>
      </c>
      <c r="B549" s="1" t="s">
        <v>16375</v>
      </c>
      <c r="C549" s="3">
        <f>IF(B549="","",SUMIFS('Factory Costs'!$C:$C,'Factory Costs'!$A:$A,"Motor",'Factory Costs'!$B:$B,B549))</f>
        <v>72</v>
      </c>
    </row>
    <row r="550" spans="1:3" x14ac:dyDescent="0.25">
      <c r="A550" s="1" t="s">
        <v>8202</v>
      </c>
      <c r="B550" s="1" t="s">
        <v>16374</v>
      </c>
      <c r="C550" s="3">
        <f>IF(B550="","",SUMIFS('Factory Costs'!$C:$C,'Factory Costs'!$A:$A,"Motor",'Factory Costs'!$B:$B,B550))</f>
        <v>62</v>
      </c>
    </row>
    <row r="551" spans="1:3" x14ac:dyDescent="0.25">
      <c r="A551" s="1" t="s">
        <v>8205</v>
      </c>
      <c r="B551" s="1" t="s">
        <v>16374</v>
      </c>
      <c r="C551" s="3">
        <f>IF(B551="","",SUMIFS('Factory Costs'!$C:$C,'Factory Costs'!$A:$A,"Motor",'Factory Costs'!$B:$B,B551))</f>
        <v>62</v>
      </c>
    </row>
    <row r="552" spans="1:3" x14ac:dyDescent="0.25">
      <c r="A552" s="1" t="s">
        <v>8208</v>
      </c>
      <c r="B552" s="1" t="s">
        <v>16374</v>
      </c>
      <c r="C552" s="3">
        <f>IF(B552="","",SUMIFS('Factory Costs'!$C:$C,'Factory Costs'!$A:$A,"Motor",'Factory Costs'!$B:$B,B552))</f>
        <v>62</v>
      </c>
    </row>
    <row r="553" spans="1:3" x14ac:dyDescent="0.25">
      <c r="A553" s="1" t="s">
        <v>8211</v>
      </c>
      <c r="B553" s="1" t="s">
        <v>16374</v>
      </c>
      <c r="C553" s="3">
        <f>IF(B553="","",SUMIFS('Factory Costs'!$C:$C,'Factory Costs'!$A:$A,"Motor",'Factory Costs'!$B:$B,B553))</f>
        <v>62</v>
      </c>
    </row>
    <row r="554" spans="1:3" x14ac:dyDescent="0.25">
      <c r="A554" s="1" t="s">
        <v>8214</v>
      </c>
      <c r="B554" s="1" t="s">
        <v>16374</v>
      </c>
      <c r="C554" s="3">
        <f>IF(B554="","",SUMIFS('Factory Costs'!$C:$C,'Factory Costs'!$A:$A,"Motor",'Factory Costs'!$B:$B,B554))</f>
        <v>62</v>
      </c>
    </row>
    <row r="555" spans="1:3" x14ac:dyDescent="0.25">
      <c r="A555" s="1" t="s">
        <v>8217</v>
      </c>
      <c r="B555" s="1" t="s">
        <v>16374</v>
      </c>
      <c r="C555" s="3">
        <f>IF(B555="","",SUMIFS('Factory Costs'!$C:$C,'Factory Costs'!$A:$A,"Motor",'Factory Costs'!$B:$B,B555))</f>
        <v>62</v>
      </c>
    </row>
    <row r="556" spans="1:3" x14ac:dyDescent="0.25">
      <c r="A556" s="1" t="s">
        <v>8220</v>
      </c>
      <c r="B556" s="1" t="s">
        <v>16375</v>
      </c>
      <c r="C556" s="3">
        <f>IF(B556="","",SUMIFS('Factory Costs'!$C:$C,'Factory Costs'!$A:$A,"Motor",'Factory Costs'!$B:$B,B556))</f>
        <v>72</v>
      </c>
    </row>
    <row r="557" spans="1:3" x14ac:dyDescent="0.25">
      <c r="A557" s="1" t="s">
        <v>8223</v>
      </c>
      <c r="B557" s="1" t="s">
        <v>16374</v>
      </c>
      <c r="C557" s="3">
        <f>IF(B557="","",SUMIFS('Factory Costs'!$C:$C,'Factory Costs'!$A:$A,"Motor",'Factory Costs'!$B:$B,B557))</f>
        <v>62</v>
      </c>
    </row>
    <row r="558" spans="1:3" x14ac:dyDescent="0.25">
      <c r="A558" s="1" t="s">
        <v>8226</v>
      </c>
      <c r="B558" s="1" t="s">
        <v>16374</v>
      </c>
      <c r="C558" s="3">
        <f>IF(B558="","",SUMIFS('Factory Costs'!$C:$C,'Factory Costs'!$A:$A,"Motor",'Factory Costs'!$B:$B,B558))</f>
        <v>62</v>
      </c>
    </row>
    <row r="559" spans="1:3" x14ac:dyDescent="0.25">
      <c r="A559" s="1" t="s">
        <v>8229</v>
      </c>
      <c r="B559" s="1" t="s">
        <v>16375</v>
      </c>
      <c r="C559" s="3">
        <f>IF(B559="","",SUMIFS('Factory Costs'!$C:$C,'Factory Costs'!$A:$A,"Motor",'Factory Costs'!$B:$B,B559))</f>
        <v>72</v>
      </c>
    </row>
    <row r="560" spans="1:3" x14ac:dyDescent="0.25">
      <c r="A560" s="1" t="s">
        <v>8232</v>
      </c>
      <c r="B560" s="1" t="s">
        <v>16375</v>
      </c>
      <c r="C560" s="3">
        <f>IF(B560="","",SUMIFS('Factory Costs'!$C:$C,'Factory Costs'!$A:$A,"Motor",'Factory Costs'!$B:$B,B560))</f>
        <v>72</v>
      </c>
    </row>
    <row r="561" spans="1:3" x14ac:dyDescent="0.25">
      <c r="A561" s="1" t="s">
        <v>8235</v>
      </c>
      <c r="B561" s="1" t="s">
        <v>16374</v>
      </c>
      <c r="C561" s="3">
        <f>IF(B561="","",SUMIFS('Factory Costs'!$C:$C,'Factory Costs'!$A:$A,"Motor",'Factory Costs'!$B:$B,B561))</f>
        <v>62</v>
      </c>
    </row>
    <row r="562" spans="1:3" x14ac:dyDescent="0.25">
      <c r="A562" s="1" t="s">
        <v>8238</v>
      </c>
      <c r="B562" s="1" t="s">
        <v>16374</v>
      </c>
      <c r="C562" s="3">
        <f>IF(B562="","",SUMIFS('Factory Costs'!$C:$C,'Factory Costs'!$A:$A,"Motor",'Factory Costs'!$B:$B,B562))</f>
        <v>62</v>
      </c>
    </row>
    <row r="563" spans="1:3" x14ac:dyDescent="0.25">
      <c r="A563" s="1" t="s">
        <v>8241</v>
      </c>
      <c r="B563" s="1" t="s">
        <v>16375</v>
      </c>
      <c r="C563" s="3">
        <f>IF(B563="","",SUMIFS('Factory Costs'!$C:$C,'Factory Costs'!$A:$A,"Motor",'Factory Costs'!$B:$B,B563))</f>
        <v>72</v>
      </c>
    </row>
    <row r="564" spans="1:3" x14ac:dyDescent="0.25">
      <c r="A564" s="1" t="s">
        <v>8244</v>
      </c>
      <c r="B564" s="1" t="s">
        <v>16374</v>
      </c>
      <c r="C564" s="3">
        <f>IF(B564="","",SUMIFS('Factory Costs'!$C:$C,'Factory Costs'!$A:$A,"Motor",'Factory Costs'!$B:$B,B564))</f>
        <v>62</v>
      </c>
    </row>
    <row r="565" spans="1:3" x14ac:dyDescent="0.25">
      <c r="A565" s="1" t="s">
        <v>8247</v>
      </c>
      <c r="B565" s="1" t="s">
        <v>16374</v>
      </c>
      <c r="C565" s="3">
        <f>IF(B565="","",SUMIFS('Factory Costs'!$C:$C,'Factory Costs'!$A:$A,"Motor",'Factory Costs'!$B:$B,B565))</f>
        <v>62</v>
      </c>
    </row>
    <row r="566" spans="1:3" x14ac:dyDescent="0.25">
      <c r="A566" s="1" t="s">
        <v>8250</v>
      </c>
      <c r="B566" s="1" t="s">
        <v>16374</v>
      </c>
      <c r="C566" s="3">
        <f>IF(B566="","",SUMIFS('Factory Costs'!$C:$C,'Factory Costs'!$A:$A,"Motor",'Factory Costs'!$B:$B,B566))</f>
        <v>62</v>
      </c>
    </row>
    <row r="567" spans="1:3" x14ac:dyDescent="0.25">
      <c r="A567" s="1" t="s">
        <v>8253</v>
      </c>
      <c r="B567" s="1" t="s">
        <v>16374</v>
      </c>
      <c r="C567" s="3">
        <f>IF(B567="","",SUMIFS('Factory Costs'!$C:$C,'Factory Costs'!$A:$A,"Motor",'Factory Costs'!$B:$B,B567))</f>
        <v>62</v>
      </c>
    </row>
    <row r="568" spans="1:3" x14ac:dyDescent="0.25">
      <c r="A568" s="1" t="s">
        <v>8256</v>
      </c>
      <c r="B568" s="1" t="s">
        <v>16374</v>
      </c>
      <c r="C568" s="3">
        <f>IF(B568="","",SUMIFS('Factory Costs'!$C:$C,'Factory Costs'!$A:$A,"Motor",'Factory Costs'!$B:$B,B568))</f>
        <v>62</v>
      </c>
    </row>
    <row r="569" spans="1:3" x14ac:dyDescent="0.25">
      <c r="A569" s="1" t="s">
        <v>8259</v>
      </c>
      <c r="B569" s="1" t="s">
        <v>16374</v>
      </c>
      <c r="C569" s="3">
        <f>IF(B569="","",SUMIFS('Factory Costs'!$C:$C,'Factory Costs'!$A:$A,"Motor",'Factory Costs'!$B:$B,B569))</f>
        <v>62</v>
      </c>
    </row>
    <row r="570" spans="1:3" x14ac:dyDescent="0.25">
      <c r="A570" s="1" t="s">
        <v>8262</v>
      </c>
      <c r="B570" s="1" t="s">
        <v>16374</v>
      </c>
      <c r="C570" s="3">
        <f>IF(B570="","",SUMIFS('Factory Costs'!$C:$C,'Factory Costs'!$A:$A,"Motor",'Factory Costs'!$B:$B,B570))</f>
        <v>62</v>
      </c>
    </row>
    <row r="571" spans="1:3" x14ac:dyDescent="0.25">
      <c r="A571" s="1" t="s">
        <v>8265</v>
      </c>
      <c r="B571" s="1" t="s">
        <v>16375</v>
      </c>
      <c r="C571" s="3">
        <f>IF(B571="","",SUMIFS('Factory Costs'!$C:$C,'Factory Costs'!$A:$A,"Motor",'Factory Costs'!$B:$B,B571))</f>
        <v>72</v>
      </c>
    </row>
    <row r="572" spans="1:3" x14ac:dyDescent="0.25">
      <c r="A572" s="1" t="s">
        <v>8268</v>
      </c>
      <c r="B572" s="1" t="s">
        <v>16374</v>
      </c>
      <c r="C572" s="3">
        <f>IF(B572="","",SUMIFS('Factory Costs'!$C:$C,'Factory Costs'!$A:$A,"Motor",'Factory Costs'!$B:$B,B572))</f>
        <v>62</v>
      </c>
    </row>
    <row r="573" spans="1:3" x14ac:dyDescent="0.25">
      <c r="A573" s="1" t="s">
        <v>8271</v>
      </c>
      <c r="B573" s="1" t="s">
        <v>16374</v>
      </c>
      <c r="C573" s="3">
        <f>IF(B573="","",SUMIFS('Factory Costs'!$C:$C,'Factory Costs'!$A:$A,"Motor",'Factory Costs'!$B:$B,B573))</f>
        <v>62</v>
      </c>
    </row>
    <row r="574" spans="1:3" x14ac:dyDescent="0.25">
      <c r="A574" s="1" t="s">
        <v>8274</v>
      </c>
      <c r="B574" s="1" t="s">
        <v>16374</v>
      </c>
      <c r="C574" s="3">
        <f>IF(B574="","",SUMIFS('Factory Costs'!$C:$C,'Factory Costs'!$A:$A,"Motor",'Factory Costs'!$B:$B,B574))</f>
        <v>62</v>
      </c>
    </row>
    <row r="575" spans="1:3" x14ac:dyDescent="0.25">
      <c r="A575" s="1" t="s">
        <v>8277</v>
      </c>
      <c r="B575" s="1" t="s">
        <v>16374</v>
      </c>
      <c r="C575" s="3">
        <f>IF(B575="","",SUMIFS('Factory Costs'!$C:$C,'Factory Costs'!$A:$A,"Motor",'Factory Costs'!$B:$B,B575))</f>
        <v>62</v>
      </c>
    </row>
    <row r="576" spans="1:3" x14ac:dyDescent="0.25">
      <c r="A576" s="1" t="s">
        <v>8280</v>
      </c>
      <c r="B576" s="1" t="s">
        <v>16374</v>
      </c>
      <c r="C576" s="3">
        <f>IF(B576="","",SUMIFS('Factory Costs'!$C:$C,'Factory Costs'!$A:$A,"Motor",'Factory Costs'!$B:$B,B576))</f>
        <v>62</v>
      </c>
    </row>
    <row r="577" spans="1:3" x14ac:dyDescent="0.25">
      <c r="A577" s="1" t="s">
        <v>8283</v>
      </c>
      <c r="B577" s="1" t="s">
        <v>16374</v>
      </c>
      <c r="C577" s="3">
        <f>IF(B577="","",SUMIFS('Factory Costs'!$C:$C,'Factory Costs'!$A:$A,"Motor",'Factory Costs'!$B:$B,B577))</f>
        <v>62</v>
      </c>
    </row>
    <row r="578" spans="1:3" x14ac:dyDescent="0.25">
      <c r="A578" s="1" t="s">
        <v>8286</v>
      </c>
      <c r="B578" s="1" t="s">
        <v>16374</v>
      </c>
      <c r="C578" s="3">
        <f>IF(B578="","",SUMIFS('Factory Costs'!$C:$C,'Factory Costs'!$A:$A,"Motor",'Factory Costs'!$B:$B,B578))</f>
        <v>62</v>
      </c>
    </row>
    <row r="579" spans="1:3" x14ac:dyDescent="0.25">
      <c r="A579" s="1" t="s">
        <v>8289</v>
      </c>
      <c r="B579" s="1" t="s">
        <v>16374</v>
      </c>
      <c r="C579" s="3">
        <f>IF(B579="","",SUMIFS('Factory Costs'!$C:$C,'Factory Costs'!$A:$A,"Motor",'Factory Costs'!$B:$B,B579))</f>
        <v>62</v>
      </c>
    </row>
    <row r="580" spans="1:3" x14ac:dyDescent="0.25">
      <c r="A580" s="1" t="s">
        <v>8292</v>
      </c>
      <c r="B580" s="1" t="s">
        <v>16375</v>
      </c>
      <c r="C580" s="3">
        <f>IF(B580="","",SUMIFS('Factory Costs'!$C:$C,'Factory Costs'!$A:$A,"Motor",'Factory Costs'!$B:$B,B580))</f>
        <v>72</v>
      </c>
    </row>
    <row r="581" spans="1:3" x14ac:dyDescent="0.25">
      <c r="A581" s="1" t="s">
        <v>8295</v>
      </c>
      <c r="B581" s="1" t="s">
        <v>16374</v>
      </c>
      <c r="C581" s="3">
        <f>IF(B581="","",SUMIFS('Factory Costs'!$C:$C,'Factory Costs'!$A:$A,"Motor",'Factory Costs'!$B:$B,B581))</f>
        <v>62</v>
      </c>
    </row>
    <row r="582" spans="1:3" x14ac:dyDescent="0.25">
      <c r="A582" s="1" t="s">
        <v>8298</v>
      </c>
      <c r="B582" s="1" t="s">
        <v>16374</v>
      </c>
      <c r="C582" s="3">
        <f>IF(B582="","",SUMIFS('Factory Costs'!$C:$C,'Factory Costs'!$A:$A,"Motor",'Factory Costs'!$B:$B,B582))</f>
        <v>62</v>
      </c>
    </row>
    <row r="583" spans="1:3" x14ac:dyDescent="0.25">
      <c r="A583" s="1" t="s">
        <v>8301</v>
      </c>
      <c r="B583" s="1" t="s">
        <v>16374</v>
      </c>
      <c r="C583" s="3">
        <f>IF(B583="","",SUMIFS('Factory Costs'!$C:$C,'Factory Costs'!$A:$A,"Motor",'Factory Costs'!$B:$B,B583))</f>
        <v>62</v>
      </c>
    </row>
    <row r="584" spans="1:3" x14ac:dyDescent="0.25">
      <c r="A584" s="1" t="s">
        <v>8304</v>
      </c>
      <c r="B584" s="1" t="s">
        <v>16374</v>
      </c>
      <c r="C584" s="3">
        <f>IF(B584="","",SUMIFS('Factory Costs'!$C:$C,'Factory Costs'!$A:$A,"Motor",'Factory Costs'!$B:$B,B584))</f>
        <v>62</v>
      </c>
    </row>
    <row r="585" spans="1:3" x14ac:dyDescent="0.25">
      <c r="A585" s="1" t="s">
        <v>8307</v>
      </c>
      <c r="B585" s="1" t="s">
        <v>16374</v>
      </c>
      <c r="C585" s="3">
        <f>IF(B585="","",SUMIFS('Factory Costs'!$C:$C,'Factory Costs'!$A:$A,"Motor",'Factory Costs'!$B:$B,B585))</f>
        <v>62</v>
      </c>
    </row>
    <row r="586" spans="1:3" x14ac:dyDescent="0.25">
      <c r="A586" s="1" t="s">
        <v>8310</v>
      </c>
      <c r="B586" s="1" t="s">
        <v>16375</v>
      </c>
      <c r="C586" s="3">
        <f>IF(B586="","",SUMIFS('Factory Costs'!$C:$C,'Factory Costs'!$A:$A,"Motor",'Factory Costs'!$B:$B,B586))</f>
        <v>72</v>
      </c>
    </row>
    <row r="587" spans="1:3" x14ac:dyDescent="0.25">
      <c r="A587" s="1" t="s">
        <v>8313</v>
      </c>
      <c r="B587" s="1" t="s">
        <v>16374</v>
      </c>
      <c r="C587" s="3">
        <f>IF(B587="","",SUMIFS('Factory Costs'!$C:$C,'Factory Costs'!$A:$A,"Motor",'Factory Costs'!$B:$B,B587))</f>
        <v>62</v>
      </c>
    </row>
    <row r="588" spans="1:3" x14ac:dyDescent="0.25">
      <c r="A588" s="1" t="s">
        <v>8316</v>
      </c>
      <c r="B588" s="1" t="s">
        <v>16374</v>
      </c>
      <c r="C588" s="3">
        <f>IF(B588="","",SUMIFS('Factory Costs'!$C:$C,'Factory Costs'!$A:$A,"Motor",'Factory Costs'!$B:$B,B588))</f>
        <v>62</v>
      </c>
    </row>
    <row r="589" spans="1:3" x14ac:dyDescent="0.25">
      <c r="A589" s="1" t="s">
        <v>8319</v>
      </c>
      <c r="B589" s="1" t="s">
        <v>16374</v>
      </c>
      <c r="C589" s="3">
        <f>IF(B589="","",SUMIFS('Factory Costs'!$C:$C,'Factory Costs'!$A:$A,"Motor",'Factory Costs'!$B:$B,B589))</f>
        <v>62</v>
      </c>
    </row>
    <row r="590" spans="1:3" x14ac:dyDescent="0.25">
      <c r="A590" s="1" t="s">
        <v>8322</v>
      </c>
      <c r="B590" s="1" t="s">
        <v>16375</v>
      </c>
      <c r="C590" s="3">
        <f>IF(B590="","",SUMIFS('Factory Costs'!$C:$C,'Factory Costs'!$A:$A,"Motor",'Factory Costs'!$B:$B,B590))</f>
        <v>72</v>
      </c>
    </row>
    <row r="591" spans="1:3" x14ac:dyDescent="0.25">
      <c r="A591" s="1" t="s">
        <v>8325</v>
      </c>
      <c r="B591" s="1" t="s">
        <v>16375</v>
      </c>
      <c r="C591" s="3">
        <f>IF(B591="","",SUMIFS('Factory Costs'!$C:$C,'Factory Costs'!$A:$A,"Motor",'Factory Costs'!$B:$B,B591))</f>
        <v>72</v>
      </c>
    </row>
    <row r="592" spans="1:3" x14ac:dyDescent="0.25">
      <c r="A592" s="1" t="s">
        <v>8328</v>
      </c>
      <c r="B592" s="1" t="s">
        <v>16374</v>
      </c>
      <c r="C592" s="3">
        <f>IF(B592="","",SUMIFS('Factory Costs'!$C:$C,'Factory Costs'!$A:$A,"Motor",'Factory Costs'!$B:$B,B592))</f>
        <v>62</v>
      </c>
    </row>
    <row r="593" spans="1:3" x14ac:dyDescent="0.25">
      <c r="A593" s="1" t="s">
        <v>8331</v>
      </c>
      <c r="B593" s="1" t="s">
        <v>16374</v>
      </c>
      <c r="C593" s="3">
        <f>IF(B593="","",SUMIFS('Factory Costs'!$C:$C,'Factory Costs'!$A:$A,"Motor",'Factory Costs'!$B:$B,B593))</f>
        <v>62</v>
      </c>
    </row>
    <row r="594" spans="1:3" x14ac:dyDescent="0.25">
      <c r="A594" s="1" t="s">
        <v>8334</v>
      </c>
      <c r="B594" s="1" t="s">
        <v>16374</v>
      </c>
      <c r="C594" s="3">
        <f>IF(B594="","",SUMIFS('Factory Costs'!$C:$C,'Factory Costs'!$A:$A,"Motor",'Factory Costs'!$B:$B,B594))</f>
        <v>62</v>
      </c>
    </row>
    <row r="595" spans="1:3" x14ac:dyDescent="0.25">
      <c r="A595" s="1" t="s">
        <v>8337</v>
      </c>
      <c r="B595" s="1" t="s">
        <v>16375</v>
      </c>
      <c r="C595" s="3">
        <f>IF(B595="","",SUMIFS('Factory Costs'!$C:$C,'Factory Costs'!$A:$A,"Motor",'Factory Costs'!$B:$B,B595))</f>
        <v>72</v>
      </c>
    </row>
    <row r="596" spans="1:3" x14ac:dyDescent="0.25">
      <c r="A596" s="1" t="s">
        <v>8340</v>
      </c>
      <c r="B596" s="1" t="s">
        <v>16375</v>
      </c>
      <c r="C596" s="3">
        <f>IF(B596="","",SUMIFS('Factory Costs'!$C:$C,'Factory Costs'!$A:$A,"Motor",'Factory Costs'!$B:$B,B596))</f>
        <v>72</v>
      </c>
    </row>
    <row r="597" spans="1:3" x14ac:dyDescent="0.25">
      <c r="A597" s="1" t="s">
        <v>8343</v>
      </c>
      <c r="B597" s="1" t="s">
        <v>16374</v>
      </c>
      <c r="C597" s="3">
        <f>IF(B597="","",SUMIFS('Factory Costs'!$C:$C,'Factory Costs'!$A:$A,"Motor",'Factory Costs'!$B:$B,B597))</f>
        <v>62</v>
      </c>
    </row>
    <row r="598" spans="1:3" x14ac:dyDescent="0.25">
      <c r="A598" s="1" t="s">
        <v>8346</v>
      </c>
      <c r="B598" s="1" t="s">
        <v>16375</v>
      </c>
      <c r="C598" s="3">
        <f>IF(B598="","",SUMIFS('Factory Costs'!$C:$C,'Factory Costs'!$A:$A,"Motor",'Factory Costs'!$B:$B,B598))</f>
        <v>72</v>
      </c>
    </row>
    <row r="599" spans="1:3" x14ac:dyDescent="0.25">
      <c r="A599" s="1" t="s">
        <v>8349</v>
      </c>
      <c r="B599" s="1" t="s">
        <v>16375</v>
      </c>
      <c r="C599" s="3">
        <f>IF(B599="","",SUMIFS('Factory Costs'!$C:$C,'Factory Costs'!$A:$A,"Motor",'Factory Costs'!$B:$B,B599))</f>
        <v>72</v>
      </c>
    </row>
    <row r="600" spans="1:3" x14ac:dyDescent="0.25">
      <c r="A600" s="1" t="s">
        <v>8352</v>
      </c>
      <c r="B600" s="1" t="s">
        <v>16375</v>
      </c>
      <c r="C600" s="3">
        <f>IF(B600="","",SUMIFS('Factory Costs'!$C:$C,'Factory Costs'!$A:$A,"Motor",'Factory Costs'!$B:$B,B600))</f>
        <v>72</v>
      </c>
    </row>
    <row r="601" spans="1:3" x14ac:dyDescent="0.25">
      <c r="A601" s="1" t="s">
        <v>8355</v>
      </c>
      <c r="B601" s="1" t="s">
        <v>16375</v>
      </c>
      <c r="C601" s="3">
        <f>IF(B601="","",SUMIFS('Factory Costs'!$C:$C,'Factory Costs'!$A:$A,"Motor",'Factory Costs'!$B:$B,B601))</f>
        <v>72</v>
      </c>
    </row>
    <row r="602" spans="1:3" x14ac:dyDescent="0.25">
      <c r="A602" s="1" t="s">
        <v>8358</v>
      </c>
      <c r="B602" s="1" t="s">
        <v>16374</v>
      </c>
      <c r="C602" s="3">
        <f>IF(B602="","",SUMIFS('Factory Costs'!$C:$C,'Factory Costs'!$A:$A,"Motor",'Factory Costs'!$B:$B,B602))</f>
        <v>62</v>
      </c>
    </row>
    <row r="603" spans="1:3" x14ac:dyDescent="0.25">
      <c r="A603" s="1" t="s">
        <v>8361</v>
      </c>
      <c r="B603" s="1" t="s">
        <v>16374</v>
      </c>
      <c r="C603" s="3">
        <f>IF(B603="","",SUMIFS('Factory Costs'!$C:$C,'Factory Costs'!$A:$A,"Motor",'Factory Costs'!$B:$B,B603))</f>
        <v>62</v>
      </c>
    </row>
    <row r="604" spans="1:3" x14ac:dyDescent="0.25">
      <c r="A604" s="1" t="s">
        <v>8364</v>
      </c>
      <c r="B604" s="1" t="s">
        <v>16375</v>
      </c>
      <c r="C604" s="3">
        <f>IF(B604="","",SUMIFS('Factory Costs'!$C:$C,'Factory Costs'!$A:$A,"Motor",'Factory Costs'!$B:$B,B604))</f>
        <v>72</v>
      </c>
    </row>
    <row r="605" spans="1:3" x14ac:dyDescent="0.25">
      <c r="A605" s="1" t="s">
        <v>8367</v>
      </c>
      <c r="B605" s="1" t="s">
        <v>16374</v>
      </c>
      <c r="C605" s="3">
        <f>IF(B605="","",SUMIFS('Factory Costs'!$C:$C,'Factory Costs'!$A:$A,"Motor",'Factory Costs'!$B:$B,B605))</f>
        <v>62</v>
      </c>
    </row>
    <row r="606" spans="1:3" x14ac:dyDescent="0.25">
      <c r="A606" s="1" t="s">
        <v>8370</v>
      </c>
      <c r="B606" s="1" t="s">
        <v>16374</v>
      </c>
      <c r="C606" s="3">
        <f>IF(B606="","",SUMIFS('Factory Costs'!$C:$C,'Factory Costs'!$A:$A,"Motor",'Factory Costs'!$B:$B,B606))</f>
        <v>62</v>
      </c>
    </row>
    <row r="607" spans="1:3" x14ac:dyDescent="0.25">
      <c r="A607" s="1" t="s">
        <v>8373</v>
      </c>
      <c r="B607" s="1" t="s">
        <v>16375</v>
      </c>
      <c r="C607" s="3">
        <f>IF(B607="","",SUMIFS('Factory Costs'!$C:$C,'Factory Costs'!$A:$A,"Motor",'Factory Costs'!$B:$B,B607))</f>
        <v>72</v>
      </c>
    </row>
    <row r="608" spans="1:3" x14ac:dyDescent="0.25">
      <c r="A608" s="1" t="s">
        <v>8376</v>
      </c>
      <c r="B608" s="1" t="s">
        <v>16374</v>
      </c>
      <c r="C608" s="3">
        <f>IF(B608="","",SUMIFS('Factory Costs'!$C:$C,'Factory Costs'!$A:$A,"Motor",'Factory Costs'!$B:$B,B608))</f>
        <v>62</v>
      </c>
    </row>
    <row r="609" spans="1:3" x14ac:dyDescent="0.25">
      <c r="A609" s="1" t="s">
        <v>8379</v>
      </c>
      <c r="B609" s="1" t="s">
        <v>16374</v>
      </c>
      <c r="C609" s="3">
        <f>IF(B609="","",SUMIFS('Factory Costs'!$C:$C,'Factory Costs'!$A:$A,"Motor",'Factory Costs'!$B:$B,B609))</f>
        <v>62</v>
      </c>
    </row>
    <row r="610" spans="1:3" x14ac:dyDescent="0.25">
      <c r="A610" s="1" t="s">
        <v>8382</v>
      </c>
      <c r="B610" s="1" t="s">
        <v>16375</v>
      </c>
      <c r="C610" s="3">
        <f>IF(B610="","",SUMIFS('Factory Costs'!$C:$C,'Factory Costs'!$A:$A,"Motor",'Factory Costs'!$B:$B,B610))</f>
        <v>72</v>
      </c>
    </row>
    <row r="611" spans="1:3" x14ac:dyDescent="0.25">
      <c r="A611" s="1" t="s">
        <v>8385</v>
      </c>
      <c r="B611" s="1" t="s">
        <v>16374</v>
      </c>
      <c r="C611" s="3">
        <f>IF(B611="","",SUMIFS('Factory Costs'!$C:$C,'Factory Costs'!$A:$A,"Motor",'Factory Costs'!$B:$B,B611))</f>
        <v>62</v>
      </c>
    </row>
    <row r="612" spans="1:3" x14ac:dyDescent="0.25">
      <c r="A612" s="1" t="s">
        <v>8388</v>
      </c>
      <c r="B612" s="1" t="s">
        <v>16375</v>
      </c>
      <c r="C612" s="3">
        <f>IF(B612="","",SUMIFS('Factory Costs'!$C:$C,'Factory Costs'!$A:$A,"Motor",'Factory Costs'!$B:$B,B612))</f>
        <v>72</v>
      </c>
    </row>
    <row r="613" spans="1:3" x14ac:dyDescent="0.25">
      <c r="A613" s="1" t="s">
        <v>8391</v>
      </c>
      <c r="B613" s="1" t="s">
        <v>16375</v>
      </c>
      <c r="C613" s="3">
        <f>IF(B613="","",SUMIFS('Factory Costs'!$C:$C,'Factory Costs'!$A:$A,"Motor",'Factory Costs'!$B:$B,B613))</f>
        <v>72</v>
      </c>
    </row>
    <row r="614" spans="1:3" x14ac:dyDescent="0.25">
      <c r="A614" s="1" t="s">
        <v>8394</v>
      </c>
      <c r="B614" s="1" t="s">
        <v>16375</v>
      </c>
      <c r="C614" s="3">
        <f>IF(B614="","",SUMIFS('Factory Costs'!$C:$C,'Factory Costs'!$A:$A,"Motor",'Factory Costs'!$B:$B,B614))</f>
        <v>72</v>
      </c>
    </row>
    <row r="615" spans="1:3" x14ac:dyDescent="0.25">
      <c r="A615" s="1" t="s">
        <v>8397</v>
      </c>
      <c r="B615" s="1" t="s">
        <v>16374</v>
      </c>
      <c r="C615" s="3">
        <f>IF(B615="","",SUMIFS('Factory Costs'!$C:$C,'Factory Costs'!$A:$A,"Motor",'Factory Costs'!$B:$B,B615))</f>
        <v>62</v>
      </c>
    </row>
    <row r="616" spans="1:3" x14ac:dyDescent="0.25">
      <c r="A616" s="1" t="s">
        <v>8400</v>
      </c>
      <c r="B616" s="1" t="s">
        <v>16375</v>
      </c>
      <c r="C616" s="3">
        <f>IF(B616="","",SUMIFS('Factory Costs'!$C:$C,'Factory Costs'!$A:$A,"Motor",'Factory Costs'!$B:$B,B616))</f>
        <v>72</v>
      </c>
    </row>
    <row r="617" spans="1:3" x14ac:dyDescent="0.25">
      <c r="A617" s="1" t="s">
        <v>8403</v>
      </c>
      <c r="B617" s="1" t="s">
        <v>16375</v>
      </c>
      <c r="C617" s="3">
        <f>IF(B617="","",SUMIFS('Factory Costs'!$C:$C,'Factory Costs'!$A:$A,"Motor",'Factory Costs'!$B:$B,B617))</f>
        <v>72</v>
      </c>
    </row>
    <row r="618" spans="1:3" x14ac:dyDescent="0.25">
      <c r="A618" s="1" t="s">
        <v>8406</v>
      </c>
      <c r="B618" s="1" t="s">
        <v>16375</v>
      </c>
      <c r="C618" s="3">
        <f>IF(B618="","",SUMIFS('Factory Costs'!$C:$C,'Factory Costs'!$A:$A,"Motor",'Factory Costs'!$B:$B,B618))</f>
        <v>72</v>
      </c>
    </row>
    <row r="619" spans="1:3" x14ac:dyDescent="0.25">
      <c r="A619" s="1" t="s">
        <v>8409</v>
      </c>
      <c r="B619" s="1" t="s">
        <v>16375</v>
      </c>
      <c r="C619" s="3">
        <f>IF(B619="","",SUMIFS('Factory Costs'!$C:$C,'Factory Costs'!$A:$A,"Motor",'Factory Costs'!$B:$B,B619))</f>
        <v>72</v>
      </c>
    </row>
    <row r="620" spans="1:3" x14ac:dyDescent="0.25">
      <c r="A620" s="1" t="s">
        <v>8412</v>
      </c>
      <c r="B620" s="1" t="s">
        <v>16374</v>
      </c>
      <c r="C620" s="3">
        <f>IF(B620="","",SUMIFS('Factory Costs'!$C:$C,'Factory Costs'!$A:$A,"Motor",'Factory Costs'!$B:$B,B620))</f>
        <v>62</v>
      </c>
    </row>
    <row r="621" spans="1:3" x14ac:dyDescent="0.25">
      <c r="A621" s="1" t="s">
        <v>8415</v>
      </c>
      <c r="B621" s="1" t="s">
        <v>16375</v>
      </c>
      <c r="C621" s="3">
        <f>IF(B621="","",SUMIFS('Factory Costs'!$C:$C,'Factory Costs'!$A:$A,"Motor",'Factory Costs'!$B:$B,B621))</f>
        <v>72</v>
      </c>
    </row>
    <row r="622" spans="1:3" x14ac:dyDescent="0.25">
      <c r="A622" s="1" t="s">
        <v>8418</v>
      </c>
      <c r="B622" s="1" t="s">
        <v>16374</v>
      </c>
      <c r="C622" s="3">
        <f>IF(B622="","",SUMIFS('Factory Costs'!$C:$C,'Factory Costs'!$A:$A,"Motor",'Factory Costs'!$B:$B,B622))</f>
        <v>62</v>
      </c>
    </row>
    <row r="623" spans="1:3" x14ac:dyDescent="0.25">
      <c r="A623" s="1" t="s">
        <v>8421</v>
      </c>
      <c r="B623" s="1" t="s">
        <v>16375</v>
      </c>
      <c r="C623" s="3">
        <f>IF(B623="","",SUMIFS('Factory Costs'!$C:$C,'Factory Costs'!$A:$A,"Motor",'Factory Costs'!$B:$B,B623))</f>
        <v>72</v>
      </c>
    </row>
    <row r="624" spans="1:3" x14ac:dyDescent="0.25">
      <c r="A624" s="1" t="s">
        <v>8424</v>
      </c>
      <c r="B624" s="1" t="s">
        <v>16375</v>
      </c>
      <c r="C624" s="3">
        <f>IF(B624="","",SUMIFS('Factory Costs'!$C:$C,'Factory Costs'!$A:$A,"Motor",'Factory Costs'!$B:$B,B624))</f>
        <v>72</v>
      </c>
    </row>
    <row r="625" spans="1:3" x14ac:dyDescent="0.25">
      <c r="A625" s="1" t="s">
        <v>8427</v>
      </c>
      <c r="B625" s="1" t="s">
        <v>16374</v>
      </c>
      <c r="C625" s="3">
        <f>IF(B625="","",SUMIFS('Factory Costs'!$C:$C,'Factory Costs'!$A:$A,"Motor",'Factory Costs'!$B:$B,B625))</f>
        <v>62</v>
      </c>
    </row>
    <row r="626" spans="1:3" x14ac:dyDescent="0.25">
      <c r="A626" s="1" t="s">
        <v>8430</v>
      </c>
      <c r="B626" s="1" t="s">
        <v>16375</v>
      </c>
      <c r="C626" s="3">
        <f>IF(B626="","",SUMIFS('Factory Costs'!$C:$C,'Factory Costs'!$A:$A,"Motor",'Factory Costs'!$B:$B,B626))</f>
        <v>72</v>
      </c>
    </row>
    <row r="627" spans="1:3" x14ac:dyDescent="0.25">
      <c r="A627" s="1" t="s">
        <v>8433</v>
      </c>
      <c r="B627" s="1" t="s">
        <v>16374</v>
      </c>
      <c r="C627" s="3">
        <f>IF(B627="","",SUMIFS('Factory Costs'!$C:$C,'Factory Costs'!$A:$A,"Motor",'Factory Costs'!$B:$B,B627))</f>
        <v>62</v>
      </c>
    </row>
    <row r="628" spans="1:3" x14ac:dyDescent="0.25">
      <c r="A628" s="1" t="s">
        <v>8436</v>
      </c>
      <c r="B628" s="1" t="s">
        <v>16374</v>
      </c>
      <c r="C628" s="3">
        <f>IF(B628="","",SUMIFS('Factory Costs'!$C:$C,'Factory Costs'!$A:$A,"Motor",'Factory Costs'!$B:$B,B628))</f>
        <v>62</v>
      </c>
    </row>
    <row r="629" spans="1:3" x14ac:dyDescent="0.25">
      <c r="A629" s="1" t="s">
        <v>8439</v>
      </c>
      <c r="B629" s="1" t="s">
        <v>16374</v>
      </c>
      <c r="C629" s="3">
        <f>IF(B629="","",SUMIFS('Factory Costs'!$C:$C,'Factory Costs'!$A:$A,"Motor",'Factory Costs'!$B:$B,B629))</f>
        <v>62</v>
      </c>
    </row>
    <row r="630" spans="1:3" x14ac:dyDescent="0.25">
      <c r="A630" s="1" t="s">
        <v>8442</v>
      </c>
      <c r="B630" s="1" t="s">
        <v>16374</v>
      </c>
      <c r="C630" s="3">
        <f>IF(B630="","",SUMIFS('Factory Costs'!$C:$C,'Factory Costs'!$A:$A,"Motor",'Factory Costs'!$B:$B,B630))</f>
        <v>62</v>
      </c>
    </row>
    <row r="631" spans="1:3" x14ac:dyDescent="0.25">
      <c r="A631" s="1" t="s">
        <v>8445</v>
      </c>
      <c r="B631" s="1" t="s">
        <v>16374</v>
      </c>
      <c r="C631" s="3">
        <f>IF(B631="","",SUMIFS('Factory Costs'!$C:$C,'Factory Costs'!$A:$A,"Motor",'Factory Costs'!$B:$B,B631))</f>
        <v>62</v>
      </c>
    </row>
    <row r="632" spans="1:3" x14ac:dyDescent="0.25">
      <c r="A632" s="1" t="s">
        <v>8448</v>
      </c>
      <c r="B632" s="1" t="s">
        <v>16374</v>
      </c>
      <c r="C632" s="3">
        <f>IF(B632="","",SUMIFS('Factory Costs'!$C:$C,'Factory Costs'!$A:$A,"Motor",'Factory Costs'!$B:$B,B632))</f>
        <v>62</v>
      </c>
    </row>
    <row r="633" spans="1:3" x14ac:dyDescent="0.25">
      <c r="A633" s="1" t="s">
        <v>8451</v>
      </c>
      <c r="B633" s="1" t="s">
        <v>16374</v>
      </c>
      <c r="C633" s="3">
        <f>IF(B633="","",SUMIFS('Factory Costs'!$C:$C,'Factory Costs'!$A:$A,"Motor",'Factory Costs'!$B:$B,B633))</f>
        <v>62</v>
      </c>
    </row>
    <row r="634" spans="1:3" x14ac:dyDescent="0.25">
      <c r="A634" s="1" t="s">
        <v>8454</v>
      </c>
      <c r="B634" s="1" t="s">
        <v>16374</v>
      </c>
      <c r="C634" s="3">
        <f>IF(B634="","",SUMIFS('Factory Costs'!$C:$C,'Factory Costs'!$A:$A,"Motor",'Factory Costs'!$B:$B,B634))</f>
        <v>62</v>
      </c>
    </row>
    <row r="635" spans="1:3" x14ac:dyDescent="0.25">
      <c r="A635" s="1" t="s">
        <v>8457</v>
      </c>
      <c r="B635" s="1" t="s">
        <v>16374</v>
      </c>
      <c r="C635" s="3">
        <f>IF(B635="","",SUMIFS('Factory Costs'!$C:$C,'Factory Costs'!$A:$A,"Motor",'Factory Costs'!$B:$B,B635))</f>
        <v>62</v>
      </c>
    </row>
    <row r="636" spans="1:3" x14ac:dyDescent="0.25">
      <c r="A636" s="1" t="s">
        <v>8460</v>
      </c>
      <c r="B636" s="1" t="s">
        <v>16374</v>
      </c>
      <c r="C636" s="3">
        <f>IF(B636="","",SUMIFS('Factory Costs'!$C:$C,'Factory Costs'!$A:$A,"Motor",'Factory Costs'!$B:$B,B636))</f>
        <v>62</v>
      </c>
    </row>
    <row r="637" spans="1:3" x14ac:dyDescent="0.25">
      <c r="A637" s="1" t="s">
        <v>8463</v>
      </c>
      <c r="B637" s="1" t="s">
        <v>16375</v>
      </c>
      <c r="C637" s="3">
        <f>IF(B637="","",SUMIFS('Factory Costs'!$C:$C,'Factory Costs'!$A:$A,"Motor",'Factory Costs'!$B:$B,B637))</f>
        <v>72</v>
      </c>
    </row>
    <row r="638" spans="1:3" x14ac:dyDescent="0.25">
      <c r="A638" s="1" t="s">
        <v>8466</v>
      </c>
      <c r="B638" s="1" t="s">
        <v>16375</v>
      </c>
      <c r="C638" s="3">
        <f>IF(B638="","",SUMIFS('Factory Costs'!$C:$C,'Factory Costs'!$A:$A,"Motor",'Factory Costs'!$B:$B,B638))</f>
        <v>72</v>
      </c>
    </row>
    <row r="639" spans="1:3" x14ac:dyDescent="0.25">
      <c r="A639" s="1" t="s">
        <v>8469</v>
      </c>
      <c r="B639" s="1" t="s">
        <v>16374</v>
      </c>
      <c r="C639" s="3">
        <f>IF(B639="","",SUMIFS('Factory Costs'!$C:$C,'Factory Costs'!$A:$A,"Motor",'Factory Costs'!$B:$B,B639))</f>
        <v>62</v>
      </c>
    </row>
    <row r="640" spans="1:3" x14ac:dyDescent="0.25">
      <c r="A640" s="1" t="s">
        <v>8472</v>
      </c>
      <c r="B640" s="1" t="s">
        <v>16375</v>
      </c>
      <c r="C640" s="3">
        <f>IF(B640="","",SUMIFS('Factory Costs'!$C:$C,'Factory Costs'!$A:$A,"Motor",'Factory Costs'!$B:$B,B640))</f>
        <v>72</v>
      </c>
    </row>
    <row r="641" spans="1:3" x14ac:dyDescent="0.25">
      <c r="A641" s="1" t="s">
        <v>8475</v>
      </c>
      <c r="B641" s="1" t="s">
        <v>16374</v>
      </c>
      <c r="C641" s="3">
        <f>IF(B641="","",SUMIFS('Factory Costs'!$C:$C,'Factory Costs'!$A:$A,"Motor",'Factory Costs'!$B:$B,B641))</f>
        <v>62</v>
      </c>
    </row>
    <row r="642" spans="1:3" x14ac:dyDescent="0.25">
      <c r="A642" s="1" t="s">
        <v>8478</v>
      </c>
      <c r="B642" s="1" t="s">
        <v>16375</v>
      </c>
      <c r="C642" s="3">
        <f>IF(B642="","",SUMIFS('Factory Costs'!$C:$C,'Factory Costs'!$A:$A,"Motor",'Factory Costs'!$B:$B,B642))</f>
        <v>72</v>
      </c>
    </row>
    <row r="643" spans="1:3" x14ac:dyDescent="0.25">
      <c r="A643" s="1" t="s">
        <v>8481</v>
      </c>
      <c r="B643" s="1" t="s">
        <v>16375</v>
      </c>
      <c r="C643" s="3">
        <f>IF(B643="","",SUMIFS('Factory Costs'!$C:$C,'Factory Costs'!$A:$A,"Motor",'Factory Costs'!$B:$B,B643))</f>
        <v>72</v>
      </c>
    </row>
    <row r="644" spans="1:3" x14ac:dyDescent="0.25">
      <c r="A644" s="1" t="s">
        <v>8484</v>
      </c>
      <c r="B644" s="1" t="s">
        <v>16375</v>
      </c>
      <c r="C644" s="3">
        <f>IF(B644="","",SUMIFS('Factory Costs'!$C:$C,'Factory Costs'!$A:$A,"Motor",'Factory Costs'!$B:$B,B644))</f>
        <v>72</v>
      </c>
    </row>
    <row r="645" spans="1:3" x14ac:dyDescent="0.25">
      <c r="A645" s="1" t="s">
        <v>8487</v>
      </c>
      <c r="B645" s="1" t="s">
        <v>16375</v>
      </c>
      <c r="C645" s="3">
        <f>IF(B645="","",SUMIFS('Factory Costs'!$C:$C,'Factory Costs'!$A:$A,"Motor",'Factory Costs'!$B:$B,B645))</f>
        <v>72</v>
      </c>
    </row>
    <row r="646" spans="1:3" x14ac:dyDescent="0.25">
      <c r="A646" s="1" t="s">
        <v>8490</v>
      </c>
      <c r="B646" s="1" t="s">
        <v>16375</v>
      </c>
      <c r="C646" s="3">
        <f>IF(B646="","",SUMIFS('Factory Costs'!$C:$C,'Factory Costs'!$A:$A,"Motor",'Factory Costs'!$B:$B,B646))</f>
        <v>72</v>
      </c>
    </row>
    <row r="647" spans="1:3" x14ac:dyDescent="0.25">
      <c r="A647" s="1" t="s">
        <v>8493</v>
      </c>
      <c r="B647" s="1" t="s">
        <v>16374</v>
      </c>
      <c r="C647" s="3">
        <f>IF(B647="","",SUMIFS('Factory Costs'!$C:$C,'Factory Costs'!$A:$A,"Motor",'Factory Costs'!$B:$B,B647))</f>
        <v>62</v>
      </c>
    </row>
    <row r="648" spans="1:3" x14ac:dyDescent="0.25">
      <c r="A648" s="1" t="s">
        <v>8496</v>
      </c>
      <c r="B648" s="1" t="s">
        <v>16375</v>
      </c>
      <c r="C648" s="3">
        <f>IF(B648="","",SUMIFS('Factory Costs'!$C:$C,'Factory Costs'!$A:$A,"Motor",'Factory Costs'!$B:$B,B648))</f>
        <v>72</v>
      </c>
    </row>
    <row r="649" spans="1:3" x14ac:dyDescent="0.25">
      <c r="A649" s="1" t="s">
        <v>8499</v>
      </c>
      <c r="B649" s="1" t="s">
        <v>16374</v>
      </c>
      <c r="C649" s="3">
        <f>IF(B649="","",SUMIFS('Factory Costs'!$C:$C,'Factory Costs'!$A:$A,"Motor",'Factory Costs'!$B:$B,B649))</f>
        <v>62</v>
      </c>
    </row>
    <row r="650" spans="1:3" x14ac:dyDescent="0.25">
      <c r="A650" s="1" t="s">
        <v>8502</v>
      </c>
      <c r="B650" s="1" t="s">
        <v>16374</v>
      </c>
      <c r="C650" s="3">
        <f>IF(B650="","",SUMIFS('Factory Costs'!$C:$C,'Factory Costs'!$A:$A,"Motor",'Factory Costs'!$B:$B,B650))</f>
        <v>62</v>
      </c>
    </row>
    <row r="651" spans="1:3" x14ac:dyDescent="0.25">
      <c r="A651" s="1" t="s">
        <v>8505</v>
      </c>
      <c r="B651" s="1" t="s">
        <v>16374</v>
      </c>
      <c r="C651" s="3">
        <f>IF(B651="","",SUMIFS('Factory Costs'!$C:$C,'Factory Costs'!$A:$A,"Motor",'Factory Costs'!$B:$B,B651))</f>
        <v>62</v>
      </c>
    </row>
    <row r="652" spans="1:3" x14ac:dyDescent="0.25">
      <c r="A652" s="1" t="s">
        <v>8508</v>
      </c>
      <c r="B652" s="1" t="s">
        <v>16375</v>
      </c>
      <c r="C652" s="3">
        <f>IF(B652="","",SUMIFS('Factory Costs'!$C:$C,'Factory Costs'!$A:$A,"Motor",'Factory Costs'!$B:$B,B652))</f>
        <v>72</v>
      </c>
    </row>
    <row r="653" spans="1:3" x14ac:dyDescent="0.25">
      <c r="A653" s="1" t="s">
        <v>8511</v>
      </c>
      <c r="B653" s="1" t="s">
        <v>16374</v>
      </c>
      <c r="C653" s="3">
        <f>IF(B653="","",SUMIFS('Factory Costs'!$C:$C,'Factory Costs'!$A:$A,"Motor",'Factory Costs'!$B:$B,B653))</f>
        <v>62</v>
      </c>
    </row>
    <row r="654" spans="1:3" x14ac:dyDescent="0.25">
      <c r="A654" s="1" t="s">
        <v>8514</v>
      </c>
      <c r="B654" s="1" t="s">
        <v>16374</v>
      </c>
      <c r="C654" s="3">
        <f>IF(B654="","",SUMIFS('Factory Costs'!$C:$C,'Factory Costs'!$A:$A,"Motor",'Factory Costs'!$B:$B,B654))</f>
        <v>62</v>
      </c>
    </row>
    <row r="655" spans="1:3" x14ac:dyDescent="0.25">
      <c r="A655" s="1" t="s">
        <v>8517</v>
      </c>
      <c r="B655" s="1" t="s">
        <v>16374</v>
      </c>
      <c r="C655" s="3">
        <f>IF(B655="","",SUMIFS('Factory Costs'!$C:$C,'Factory Costs'!$A:$A,"Motor",'Factory Costs'!$B:$B,B655))</f>
        <v>62</v>
      </c>
    </row>
    <row r="656" spans="1:3" x14ac:dyDescent="0.25">
      <c r="A656" s="1" t="s">
        <v>8520</v>
      </c>
      <c r="B656" s="1" t="s">
        <v>16374</v>
      </c>
      <c r="C656" s="3">
        <f>IF(B656="","",SUMIFS('Factory Costs'!$C:$C,'Factory Costs'!$A:$A,"Motor",'Factory Costs'!$B:$B,B656))</f>
        <v>62</v>
      </c>
    </row>
    <row r="657" spans="1:3" x14ac:dyDescent="0.25">
      <c r="A657" s="1" t="s">
        <v>8523</v>
      </c>
      <c r="B657" s="1" t="s">
        <v>16374</v>
      </c>
      <c r="C657" s="3">
        <f>IF(B657="","",SUMIFS('Factory Costs'!$C:$C,'Factory Costs'!$A:$A,"Motor",'Factory Costs'!$B:$B,B657))</f>
        <v>62</v>
      </c>
    </row>
    <row r="658" spans="1:3" x14ac:dyDescent="0.25">
      <c r="A658" s="1" t="s">
        <v>8526</v>
      </c>
      <c r="B658" s="1" t="s">
        <v>16375</v>
      </c>
      <c r="C658" s="3">
        <f>IF(B658="","",SUMIFS('Factory Costs'!$C:$C,'Factory Costs'!$A:$A,"Motor",'Factory Costs'!$B:$B,B658))</f>
        <v>72</v>
      </c>
    </row>
    <row r="659" spans="1:3" x14ac:dyDescent="0.25">
      <c r="A659" s="1" t="s">
        <v>8529</v>
      </c>
      <c r="B659" s="1" t="s">
        <v>16374</v>
      </c>
      <c r="C659" s="3">
        <f>IF(B659="","",SUMIFS('Factory Costs'!$C:$C,'Factory Costs'!$A:$A,"Motor",'Factory Costs'!$B:$B,B659))</f>
        <v>62</v>
      </c>
    </row>
    <row r="660" spans="1:3" x14ac:dyDescent="0.25">
      <c r="A660" s="1" t="s">
        <v>8532</v>
      </c>
      <c r="B660" s="1" t="s">
        <v>16374</v>
      </c>
      <c r="C660" s="3">
        <f>IF(B660="","",SUMIFS('Factory Costs'!$C:$C,'Factory Costs'!$A:$A,"Motor",'Factory Costs'!$B:$B,B660))</f>
        <v>62</v>
      </c>
    </row>
    <row r="661" spans="1:3" x14ac:dyDescent="0.25">
      <c r="A661" s="1" t="s">
        <v>8535</v>
      </c>
      <c r="B661" s="1" t="s">
        <v>16374</v>
      </c>
      <c r="C661" s="3">
        <f>IF(B661="","",SUMIFS('Factory Costs'!$C:$C,'Factory Costs'!$A:$A,"Motor",'Factory Costs'!$B:$B,B661))</f>
        <v>62</v>
      </c>
    </row>
    <row r="662" spans="1:3" x14ac:dyDescent="0.25">
      <c r="A662" s="1" t="s">
        <v>8538</v>
      </c>
      <c r="B662" s="1" t="s">
        <v>16374</v>
      </c>
      <c r="C662" s="3">
        <f>IF(B662="","",SUMIFS('Factory Costs'!$C:$C,'Factory Costs'!$A:$A,"Motor",'Factory Costs'!$B:$B,B662))</f>
        <v>62</v>
      </c>
    </row>
    <row r="663" spans="1:3" x14ac:dyDescent="0.25">
      <c r="A663" s="1" t="s">
        <v>8541</v>
      </c>
      <c r="B663" s="1" t="s">
        <v>16375</v>
      </c>
      <c r="C663" s="3">
        <f>IF(B663="","",SUMIFS('Factory Costs'!$C:$C,'Factory Costs'!$A:$A,"Motor",'Factory Costs'!$B:$B,B663))</f>
        <v>72</v>
      </c>
    </row>
    <row r="664" spans="1:3" x14ac:dyDescent="0.25">
      <c r="A664" s="1" t="s">
        <v>8544</v>
      </c>
      <c r="B664" s="1" t="s">
        <v>16374</v>
      </c>
      <c r="C664" s="3">
        <f>IF(B664="","",SUMIFS('Factory Costs'!$C:$C,'Factory Costs'!$A:$A,"Motor",'Factory Costs'!$B:$B,B664))</f>
        <v>62</v>
      </c>
    </row>
    <row r="665" spans="1:3" x14ac:dyDescent="0.25">
      <c r="A665" s="1" t="s">
        <v>8547</v>
      </c>
      <c r="B665" s="1" t="s">
        <v>16374</v>
      </c>
      <c r="C665" s="3">
        <f>IF(B665="","",SUMIFS('Factory Costs'!$C:$C,'Factory Costs'!$A:$A,"Motor",'Factory Costs'!$B:$B,B665))</f>
        <v>62</v>
      </c>
    </row>
    <row r="666" spans="1:3" x14ac:dyDescent="0.25">
      <c r="A666" s="1" t="s">
        <v>8550</v>
      </c>
      <c r="B666" s="1" t="s">
        <v>16374</v>
      </c>
      <c r="C666" s="3">
        <f>IF(B666="","",SUMIFS('Factory Costs'!$C:$C,'Factory Costs'!$A:$A,"Motor",'Factory Costs'!$B:$B,B666))</f>
        <v>62</v>
      </c>
    </row>
    <row r="667" spans="1:3" x14ac:dyDescent="0.25">
      <c r="A667" s="1" t="s">
        <v>8553</v>
      </c>
      <c r="B667" s="1" t="s">
        <v>16375</v>
      </c>
      <c r="C667" s="3">
        <f>IF(B667="","",SUMIFS('Factory Costs'!$C:$C,'Factory Costs'!$A:$A,"Motor",'Factory Costs'!$B:$B,B667))</f>
        <v>72</v>
      </c>
    </row>
    <row r="668" spans="1:3" x14ac:dyDescent="0.25">
      <c r="A668" s="1" t="s">
        <v>8556</v>
      </c>
      <c r="B668" s="1" t="s">
        <v>16374</v>
      </c>
      <c r="C668" s="3">
        <f>IF(B668="","",SUMIFS('Factory Costs'!$C:$C,'Factory Costs'!$A:$A,"Motor",'Factory Costs'!$B:$B,B668))</f>
        <v>62</v>
      </c>
    </row>
    <row r="669" spans="1:3" x14ac:dyDescent="0.25">
      <c r="A669" s="1" t="s">
        <v>8559</v>
      </c>
      <c r="B669" s="1" t="s">
        <v>16375</v>
      </c>
      <c r="C669" s="3">
        <f>IF(B669="","",SUMIFS('Factory Costs'!$C:$C,'Factory Costs'!$A:$A,"Motor",'Factory Costs'!$B:$B,B669))</f>
        <v>72</v>
      </c>
    </row>
    <row r="670" spans="1:3" x14ac:dyDescent="0.25">
      <c r="A670" s="1" t="s">
        <v>8562</v>
      </c>
      <c r="B670" s="1" t="s">
        <v>16374</v>
      </c>
      <c r="C670" s="3">
        <f>IF(B670="","",SUMIFS('Factory Costs'!$C:$C,'Factory Costs'!$A:$A,"Motor",'Factory Costs'!$B:$B,B670))</f>
        <v>62</v>
      </c>
    </row>
    <row r="671" spans="1:3" x14ac:dyDescent="0.25">
      <c r="A671" s="1" t="s">
        <v>8565</v>
      </c>
      <c r="B671" s="1" t="s">
        <v>16374</v>
      </c>
      <c r="C671" s="3">
        <f>IF(B671="","",SUMIFS('Factory Costs'!$C:$C,'Factory Costs'!$A:$A,"Motor",'Factory Costs'!$B:$B,B671))</f>
        <v>62</v>
      </c>
    </row>
    <row r="672" spans="1:3" x14ac:dyDescent="0.25">
      <c r="A672" s="1" t="s">
        <v>8568</v>
      </c>
      <c r="B672" s="1" t="s">
        <v>16375</v>
      </c>
      <c r="C672" s="3">
        <f>IF(B672="","",SUMIFS('Factory Costs'!$C:$C,'Factory Costs'!$A:$A,"Motor",'Factory Costs'!$B:$B,B672))</f>
        <v>72</v>
      </c>
    </row>
    <row r="673" spans="1:3" x14ac:dyDescent="0.25">
      <c r="A673" s="1" t="s">
        <v>8571</v>
      </c>
      <c r="B673" s="1" t="s">
        <v>16375</v>
      </c>
      <c r="C673" s="3">
        <f>IF(B673="","",SUMIFS('Factory Costs'!$C:$C,'Factory Costs'!$A:$A,"Motor",'Factory Costs'!$B:$B,B673))</f>
        <v>72</v>
      </c>
    </row>
    <row r="674" spans="1:3" x14ac:dyDescent="0.25">
      <c r="A674" s="1" t="s">
        <v>8574</v>
      </c>
      <c r="B674" s="1" t="s">
        <v>16374</v>
      </c>
      <c r="C674" s="3">
        <f>IF(B674="","",SUMIFS('Factory Costs'!$C:$C,'Factory Costs'!$A:$A,"Motor",'Factory Costs'!$B:$B,B674))</f>
        <v>62</v>
      </c>
    </row>
    <row r="675" spans="1:3" x14ac:dyDescent="0.25">
      <c r="A675" s="1" t="s">
        <v>8577</v>
      </c>
      <c r="B675" s="1" t="s">
        <v>16374</v>
      </c>
      <c r="C675" s="3">
        <f>IF(B675="","",SUMIFS('Factory Costs'!$C:$C,'Factory Costs'!$A:$A,"Motor",'Factory Costs'!$B:$B,B675))</f>
        <v>62</v>
      </c>
    </row>
    <row r="676" spans="1:3" x14ac:dyDescent="0.25">
      <c r="A676" s="1" t="s">
        <v>8580</v>
      </c>
      <c r="B676" s="1" t="s">
        <v>16374</v>
      </c>
      <c r="C676" s="3">
        <f>IF(B676="","",SUMIFS('Factory Costs'!$C:$C,'Factory Costs'!$A:$A,"Motor",'Factory Costs'!$B:$B,B676))</f>
        <v>62</v>
      </c>
    </row>
    <row r="677" spans="1:3" x14ac:dyDescent="0.25">
      <c r="A677" s="1" t="s">
        <v>8583</v>
      </c>
      <c r="B677" s="1" t="s">
        <v>16375</v>
      </c>
      <c r="C677" s="3">
        <f>IF(B677="","",SUMIFS('Factory Costs'!$C:$C,'Factory Costs'!$A:$A,"Motor",'Factory Costs'!$B:$B,B677))</f>
        <v>72</v>
      </c>
    </row>
    <row r="678" spans="1:3" x14ac:dyDescent="0.25">
      <c r="A678" s="1" t="s">
        <v>8586</v>
      </c>
      <c r="B678" s="1" t="s">
        <v>16375</v>
      </c>
      <c r="C678" s="3">
        <f>IF(B678="","",SUMIFS('Factory Costs'!$C:$C,'Factory Costs'!$A:$A,"Motor",'Factory Costs'!$B:$B,B678))</f>
        <v>72</v>
      </c>
    </row>
    <row r="679" spans="1:3" x14ac:dyDescent="0.25">
      <c r="A679" s="1" t="s">
        <v>8589</v>
      </c>
      <c r="B679" s="1" t="s">
        <v>16374</v>
      </c>
      <c r="C679" s="3">
        <f>IF(B679="","",SUMIFS('Factory Costs'!$C:$C,'Factory Costs'!$A:$A,"Motor",'Factory Costs'!$B:$B,B679))</f>
        <v>62</v>
      </c>
    </row>
    <row r="680" spans="1:3" x14ac:dyDescent="0.25">
      <c r="A680" s="1" t="s">
        <v>8592</v>
      </c>
      <c r="B680" s="1" t="s">
        <v>16375</v>
      </c>
      <c r="C680" s="3">
        <f>IF(B680="","",SUMIFS('Factory Costs'!$C:$C,'Factory Costs'!$A:$A,"Motor",'Factory Costs'!$B:$B,B680))</f>
        <v>72</v>
      </c>
    </row>
    <row r="681" spans="1:3" x14ac:dyDescent="0.25">
      <c r="A681" s="1" t="s">
        <v>8595</v>
      </c>
      <c r="B681" s="1" t="s">
        <v>16374</v>
      </c>
      <c r="C681" s="3">
        <f>IF(B681="","",SUMIFS('Factory Costs'!$C:$C,'Factory Costs'!$A:$A,"Motor",'Factory Costs'!$B:$B,B681))</f>
        <v>62</v>
      </c>
    </row>
    <row r="682" spans="1:3" x14ac:dyDescent="0.25">
      <c r="A682" s="1" t="s">
        <v>8598</v>
      </c>
      <c r="B682" s="1" t="s">
        <v>16374</v>
      </c>
      <c r="C682" s="3">
        <f>IF(B682="","",SUMIFS('Factory Costs'!$C:$C,'Factory Costs'!$A:$A,"Motor",'Factory Costs'!$B:$B,B682))</f>
        <v>62</v>
      </c>
    </row>
    <row r="683" spans="1:3" x14ac:dyDescent="0.25">
      <c r="A683" s="1" t="s">
        <v>8601</v>
      </c>
      <c r="B683" s="1" t="s">
        <v>16374</v>
      </c>
      <c r="C683" s="3">
        <f>IF(B683="","",SUMIFS('Factory Costs'!$C:$C,'Factory Costs'!$A:$A,"Motor",'Factory Costs'!$B:$B,B683))</f>
        <v>62</v>
      </c>
    </row>
    <row r="684" spans="1:3" x14ac:dyDescent="0.25">
      <c r="A684" s="1" t="s">
        <v>8604</v>
      </c>
      <c r="B684" s="1" t="s">
        <v>16374</v>
      </c>
      <c r="C684" s="3">
        <f>IF(B684="","",SUMIFS('Factory Costs'!$C:$C,'Factory Costs'!$A:$A,"Motor",'Factory Costs'!$B:$B,B684))</f>
        <v>62</v>
      </c>
    </row>
    <row r="685" spans="1:3" x14ac:dyDescent="0.25">
      <c r="A685" s="1" t="s">
        <v>8607</v>
      </c>
      <c r="B685" s="1" t="s">
        <v>16374</v>
      </c>
      <c r="C685" s="3">
        <f>IF(B685="","",SUMIFS('Factory Costs'!$C:$C,'Factory Costs'!$A:$A,"Motor",'Factory Costs'!$B:$B,B685))</f>
        <v>62</v>
      </c>
    </row>
    <row r="686" spans="1:3" x14ac:dyDescent="0.25">
      <c r="A686" s="1" t="s">
        <v>8610</v>
      </c>
      <c r="B686" s="1" t="s">
        <v>16374</v>
      </c>
      <c r="C686" s="3">
        <f>IF(B686="","",SUMIFS('Factory Costs'!$C:$C,'Factory Costs'!$A:$A,"Motor",'Factory Costs'!$B:$B,B686))</f>
        <v>62</v>
      </c>
    </row>
    <row r="687" spans="1:3" x14ac:dyDescent="0.25">
      <c r="A687" s="1" t="s">
        <v>8613</v>
      </c>
      <c r="B687" s="1" t="s">
        <v>16374</v>
      </c>
      <c r="C687" s="3">
        <f>IF(B687="","",SUMIFS('Factory Costs'!$C:$C,'Factory Costs'!$A:$A,"Motor",'Factory Costs'!$B:$B,B687))</f>
        <v>62</v>
      </c>
    </row>
    <row r="688" spans="1:3" x14ac:dyDescent="0.25">
      <c r="A688" s="1" t="s">
        <v>8616</v>
      </c>
      <c r="B688" s="1" t="s">
        <v>16375</v>
      </c>
      <c r="C688" s="3">
        <f>IF(B688="","",SUMIFS('Factory Costs'!$C:$C,'Factory Costs'!$A:$A,"Motor",'Factory Costs'!$B:$B,B688))</f>
        <v>72</v>
      </c>
    </row>
    <row r="689" spans="1:3" x14ac:dyDescent="0.25">
      <c r="A689" s="1" t="s">
        <v>8619</v>
      </c>
      <c r="B689" s="1" t="s">
        <v>16375</v>
      </c>
      <c r="C689" s="3">
        <f>IF(B689="","",SUMIFS('Factory Costs'!$C:$C,'Factory Costs'!$A:$A,"Motor",'Factory Costs'!$B:$B,B689))</f>
        <v>72</v>
      </c>
    </row>
    <row r="690" spans="1:3" x14ac:dyDescent="0.25">
      <c r="A690" s="1" t="s">
        <v>8622</v>
      </c>
      <c r="B690" s="1" t="s">
        <v>16375</v>
      </c>
      <c r="C690" s="3">
        <f>IF(B690="","",SUMIFS('Factory Costs'!$C:$C,'Factory Costs'!$A:$A,"Motor",'Factory Costs'!$B:$B,B690))</f>
        <v>72</v>
      </c>
    </row>
    <row r="691" spans="1:3" x14ac:dyDescent="0.25">
      <c r="A691" s="1" t="s">
        <v>8625</v>
      </c>
      <c r="B691" s="1" t="s">
        <v>16374</v>
      </c>
      <c r="C691" s="3">
        <f>IF(B691="","",SUMIFS('Factory Costs'!$C:$C,'Factory Costs'!$A:$A,"Motor",'Factory Costs'!$B:$B,B691))</f>
        <v>62</v>
      </c>
    </row>
    <row r="692" spans="1:3" x14ac:dyDescent="0.25">
      <c r="A692" s="1" t="s">
        <v>8628</v>
      </c>
      <c r="B692" s="1" t="s">
        <v>16375</v>
      </c>
      <c r="C692" s="3">
        <f>IF(B692="","",SUMIFS('Factory Costs'!$C:$C,'Factory Costs'!$A:$A,"Motor",'Factory Costs'!$B:$B,B692))</f>
        <v>72</v>
      </c>
    </row>
    <row r="693" spans="1:3" x14ac:dyDescent="0.25">
      <c r="A693" s="1" t="s">
        <v>8631</v>
      </c>
      <c r="B693" s="1" t="s">
        <v>16374</v>
      </c>
      <c r="C693" s="3">
        <f>IF(B693="","",SUMIFS('Factory Costs'!$C:$C,'Factory Costs'!$A:$A,"Motor",'Factory Costs'!$B:$B,B693))</f>
        <v>62</v>
      </c>
    </row>
    <row r="694" spans="1:3" x14ac:dyDescent="0.25">
      <c r="A694" s="1" t="s">
        <v>8634</v>
      </c>
      <c r="B694" s="1" t="s">
        <v>16374</v>
      </c>
      <c r="C694" s="3">
        <f>IF(B694="","",SUMIFS('Factory Costs'!$C:$C,'Factory Costs'!$A:$A,"Motor",'Factory Costs'!$B:$B,B694))</f>
        <v>62</v>
      </c>
    </row>
    <row r="695" spans="1:3" x14ac:dyDescent="0.25">
      <c r="A695" s="1" t="s">
        <v>8637</v>
      </c>
      <c r="B695" s="1" t="s">
        <v>16375</v>
      </c>
      <c r="C695" s="3">
        <f>IF(B695="","",SUMIFS('Factory Costs'!$C:$C,'Factory Costs'!$A:$A,"Motor",'Factory Costs'!$B:$B,B695))</f>
        <v>72</v>
      </c>
    </row>
    <row r="696" spans="1:3" x14ac:dyDescent="0.25">
      <c r="A696" s="1" t="s">
        <v>8640</v>
      </c>
      <c r="B696" s="1" t="s">
        <v>16375</v>
      </c>
      <c r="C696" s="3">
        <f>IF(B696="","",SUMIFS('Factory Costs'!$C:$C,'Factory Costs'!$A:$A,"Motor",'Factory Costs'!$B:$B,B696))</f>
        <v>72</v>
      </c>
    </row>
    <row r="697" spans="1:3" x14ac:dyDescent="0.25">
      <c r="A697" s="1" t="s">
        <v>8643</v>
      </c>
      <c r="B697" s="1" t="s">
        <v>16375</v>
      </c>
      <c r="C697" s="3">
        <f>IF(B697="","",SUMIFS('Factory Costs'!$C:$C,'Factory Costs'!$A:$A,"Motor",'Factory Costs'!$B:$B,B697))</f>
        <v>72</v>
      </c>
    </row>
    <row r="698" spans="1:3" x14ac:dyDescent="0.25">
      <c r="A698" s="1" t="s">
        <v>8646</v>
      </c>
      <c r="B698" s="1" t="s">
        <v>16375</v>
      </c>
      <c r="C698" s="3">
        <f>IF(B698="","",SUMIFS('Factory Costs'!$C:$C,'Factory Costs'!$A:$A,"Motor",'Factory Costs'!$B:$B,B698))</f>
        <v>72</v>
      </c>
    </row>
    <row r="699" spans="1:3" x14ac:dyDescent="0.25">
      <c r="A699" s="1" t="s">
        <v>8649</v>
      </c>
      <c r="B699" s="1" t="s">
        <v>16375</v>
      </c>
      <c r="C699" s="3">
        <f>IF(B699="","",SUMIFS('Factory Costs'!$C:$C,'Factory Costs'!$A:$A,"Motor",'Factory Costs'!$B:$B,B699))</f>
        <v>72</v>
      </c>
    </row>
    <row r="700" spans="1:3" x14ac:dyDescent="0.25">
      <c r="A700" s="1" t="s">
        <v>8652</v>
      </c>
      <c r="B700" s="1" t="s">
        <v>16374</v>
      </c>
      <c r="C700" s="3">
        <f>IF(B700="","",SUMIFS('Factory Costs'!$C:$C,'Factory Costs'!$A:$A,"Motor",'Factory Costs'!$B:$B,B700))</f>
        <v>62</v>
      </c>
    </row>
    <row r="701" spans="1:3" x14ac:dyDescent="0.25">
      <c r="A701" s="1" t="s">
        <v>8655</v>
      </c>
      <c r="B701" s="1" t="s">
        <v>16374</v>
      </c>
      <c r="C701" s="3">
        <f>IF(B701="","",SUMIFS('Factory Costs'!$C:$C,'Factory Costs'!$A:$A,"Motor",'Factory Costs'!$B:$B,B701))</f>
        <v>62</v>
      </c>
    </row>
    <row r="702" spans="1:3" x14ac:dyDescent="0.25">
      <c r="A702" s="1" t="s">
        <v>8658</v>
      </c>
      <c r="B702" s="1" t="s">
        <v>16375</v>
      </c>
      <c r="C702" s="3">
        <f>IF(B702="","",SUMIFS('Factory Costs'!$C:$C,'Factory Costs'!$A:$A,"Motor",'Factory Costs'!$B:$B,B702))</f>
        <v>72</v>
      </c>
    </row>
    <row r="703" spans="1:3" x14ac:dyDescent="0.25">
      <c r="A703" s="1" t="s">
        <v>8661</v>
      </c>
      <c r="B703" s="1" t="s">
        <v>16374</v>
      </c>
      <c r="C703" s="3">
        <f>IF(B703="","",SUMIFS('Factory Costs'!$C:$C,'Factory Costs'!$A:$A,"Motor",'Factory Costs'!$B:$B,B703))</f>
        <v>62</v>
      </c>
    </row>
    <row r="704" spans="1:3" x14ac:dyDescent="0.25">
      <c r="A704" s="1" t="s">
        <v>8664</v>
      </c>
      <c r="B704" s="1" t="s">
        <v>16374</v>
      </c>
      <c r="C704" s="3">
        <f>IF(B704="","",SUMIFS('Factory Costs'!$C:$C,'Factory Costs'!$A:$A,"Motor",'Factory Costs'!$B:$B,B704))</f>
        <v>62</v>
      </c>
    </row>
    <row r="705" spans="1:3" x14ac:dyDescent="0.25">
      <c r="A705" s="1" t="s">
        <v>8667</v>
      </c>
      <c r="B705" s="1" t="s">
        <v>16375</v>
      </c>
      <c r="C705" s="3">
        <f>IF(B705="","",SUMIFS('Factory Costs'!$C:$C,'Factory Costs'!$A:$A,"Motor",'Factory Costs'!$B:$B,B705))</f>
        <v>72</v>
      </c>
    </row>
    <row r="706" spans="1:3" x14ac:dyDescent="0.25">
      <c r="A706" s="1" t="s">
        <v>8670</v>
      </c>
      <c r="B706" s="1" t="s">
        <v>16374</v>
      </c>
      <c r="C706" s="3">
        <f>IF(B706="","",SUMIFS('Factory Costs'!$C:$C,'Factory Costs'!$A:$A,"Motor",'Factory Costs'!$B:$B,B706))</f>
        <v>62</v>
      </c>
    </row>
    <row r="707" spans="1:3" x14ac:dyDescent="0.25">
      <c r="A707" s="1" t="s">
        <v>8673</v>
      </c>
      <c r="B707" s="1" t="s">
        <v>16374</v>
      </c>
      <c r="C707" s="3">
        <f>IF(B707="","",SUMIFS('Factory Costs'!$C:$C,'Factory Costs'!$A:$A,"Motor",'Factory Costs'!$B:$B,B707))</f>
        <v>62</v>
      </c>
    </row>
    <row r="708" spans="1:3" x14ac:dyDescent="0.25">
      <c r="A708" s="1" t="s">
        <v>8676</v>
      </c>
      <c r="B708" s="1" t="s">
        <v>16374</v>
      </c>
      <c r="C708" s="3">
        <f>IF(B708="","",SUMIFS('Factory Costs'!$C:$C,'Factory Costs'!$A:$A,"Motor",'Factory Costs'!$B:$B,B708))</f>
        <v>62</v>
      </c>
    </row>
    <row r="709" spans="1:3" x14ac:dyDescent="0.25">
      <c r="A709" s="1" t="s">
        <v>8679</v>
      </c>
      <c r="B709" s="1" t="s">
        <v>16374</v>
      </c>
      <c r="C709" s="3">
        <f>IF(B709="","",SUMIFS('Factory Costs'!$C:$C,'Factory Costs'!$A:$A,"Motor",'Factory Costs'!$B:$B,B709))</f>
        <v>62</v>
      </c>
    </row>
    <row r="710" spans="1:3" x14ac:dyDescent="0.25">
      <c r="A710" s="1" t="s">
        <v>8682</v>
      </c>
      <c r="B710" s="1" t="s">
        <v>16374</v>
      </c>
      <c r="C710" s="3">
        <f>IF(B710="","",SUMIFS('Factory Costs'!$C:$C,'Factory Costs'!$A:$A,"Motor",'Factory Costs'!$B:$B,B710))</f>
        <v>62</v>
      </c>
    </row>
    <row r="711" spans="1:3" x14ac:dyDescent="0.25">
      <c r="A711" s="1" t="s">
        <v>8685</v>
      </c>
      <c r="B711" s="1" t="s">
        <v>16374</v>
      </c>
      <c r="C711" s="3">
        <f>IF(B711="","",SUMIFS('Factory Costs'!$C:$C,'Factory Costs'!$A:$A,"Motor",'Factory Costs'!$B:$B,B711))</f>
        <v>62</v>
      </c>
    </row>
    <row r="712" spans="1:3" x14ac:dyDescent="0.25">
      <c r="A712" s="1" t="s">
        <v>8688</v>
      </c>
      <c r="B712" s="1" t="s">
        <v>16375</v>
      </c>
      <c r="C712" s="3">
        <f>IF(B712="","",SUMIFS('Factory Costs'!$C:$C,'Factory Costs'!$A:$A,"Motor",'Factory Costs'!$B:$B,B712))</f>
        <v>72</v>
      </c>
    </row>
    <row r="713" spans="1:3" x14ac:dyDescent="0.25">
      <c r="A713" s="1" t="s">
        <v>8691</v>
      </c>
      <c r="B713" s="1" t="s">
        <v>16374</v>
      </c>
      <c r="C713" s="3">
        <f>IF(B713="","",SUMIFS('Factory Costs'!$C:$C,'Factory Costs'!$A:$A,"Motor",'Factory Costs'!$B:$B,B713))</f>
        <v>62</v>
      </c>
    </row>
    <row r="714" spans="1:3" x14ac:dyDescent="0.25">
      <c r="A714" s="1" t="s">
        <v>8694</v>
      </c>
      <c r="B714" s="1" t="s">
        <v>16375</v>
      </c>
      <c r="C714" s="3">
        <f>IF(B714="","",SUMIFS('Factory Costs'!$C:$C,'Factory Costs'!$A:$A,"Motor",'Factory Costs'!$B:$B,B714))</f>
        <v>72</v>
      </c>
    </row>
    <row r="715" spans="1:3" x14ac:dyDescent="0.25">
      <c r="A715" s="1" t="s">
        <v>8697</v>
      </c>
      <c r="B715" s="1" t="s">
        <v>16374</v>
      </c>
      <c r="C715" s="3">
        <f>IF(B715="","",SUMIFS('Factory Costs'!$C:$C,'Factory Costs'!$A:$A,"Motor",'Factory Costs'!$B:$B,B715))</f>
        <v>62</v>
      </c>
    </row>
    <row r="716" spans="1:3" x14ac:dyDescent="0.25">
      <c r="A716" s="1" t="s">
        <v>8700</v>
      </c>
      <c r="B716" s="1" t="s">
        <v>16374</v>
      </c>
      <c r="C716" s="3">
        <f>IF(B716="","",SUMIFS('Factory Costs'!$C:$C,'Factory Costs'!$A:$A,"Motor",'Factory Costs'!$B:$B,B716))</f>
        <v>62</v>
      </c>
    </row>
    <row r="717" spans="1:3" x14ac:dyDescent="0.25">
      <c r="A717" s="1" t="s">
        <v>8703</v>
      </c>
      <c r="B717" s="1" t="s">
        <v>16374</v>
      </c>
      <c r="C717" s="3">
        <f>IF(B717="","",SUMIFS('Factory Costs'!$C:$C,'Factory Costs'!$A:$A,"Motor",'Factory Costs'!$B:$B,B717))</f>
        <v>62</v>
      </c>
    </row>
    <row r="718" spans="1:3" x14ac:dyDescent="0.25">
      <c r="A718" s="1" t="s">
        <v>8706</v>
      </c>
      <c r="B718" s="1" t="s">
        <v>16374</v>
      </c>
      <c r="C718" s="3">
        <f>IF(B718="","",SUMIFS('Factory Costs'!$C:$C,'Factory Costs'!$A:$A,"Motor",'Factory Costs'!$B:$B,B718))</f>
        <v>62</v>
      </c>
    </row>
    <row r="719" spans="1:3" x14ac:dyDescent="0.25">
      <c r="A719" s="1" t="s">
        <v>8709</v>
      </c>
      <c r="B719" s="1" t="s">
        <v>16374</v>
      </c>
      <c r="C719" s="3">
        <f>IF(B719="","",SUMIFS('Factory Costs'!$C:$C,'Factory Costs'!$A:$A,"Motor",'Factory Costs'!$B:$B,B719))</f>
        <v>62</v>
      </c>
    </row>
    <row r="720" spans="1:3" x14ac:dyDescent="0.25">
      <c r="A720" s="1" t="s">
        <v>8712</v>
      </c>
      <c r="B720" s="1" t="s">
        <v>16374</v>
      </c>
      <c r="C720" s="3">
        <f>IF(B720="","",SUMIFS('Factory Costs'!$C:$C,'Factory Costs'!$A:$A,"Motor",'Factory Costs'!$B:$B,B720))</f>
        <v>62</v>
      </c>
    </row>
    <row r="721" spans="1:3" x14ac:dyDescent="0.25">
      <c r="A721" s="1" t="s">
        <v>8715</v>
      </c>
      <c r="B721" s="1" t="s">
        <v>16374</v>
      </c>
      <c r="C721" s="3">
        <f>IF(B721="","",SUMIFS('Factory Costs'!$C:$C,'Factory Costs'!$A:$A,"Motor",'Factory Costs'!$B:$B,B721))</f>
        <v>62</v>
      </c>
    </row>
    <row r="722" spans="1:3" x14ac:dyDescent="0.25">
      <c r="A722" s="1" t="s">
        <v>8718</v>
      </c>
      <c r="B722" s="1" t="s">
        <v>16375</v>
      </c>
      <c r="C722" s="3">
        <f>IF(B722="","",SUMIFS('Factory Costs'!$C:$C,'Factory Costs'!$A:$A,"Motor",'Factory Costs'!$B:$B,B722))</f>
        <v>72</v>
      </c>
    </row>
    <row r="723" spans="1:3" x14ac:dyDescent="0.25">
      <c r="A723" s="1" t="s">
        <v>8721</v>
      </c>
      <c r="B723" s="1" t="s">
        <v>16374</v>
      </c>
      <c r="C723" s="3">
        <f>IF(B723="","",SUMIFS('Factory Costs'!$C:$C,'Factory Costs'!$A:$A,"Motor",'Factory Costs'!$B:$B,B723))</f>
        <v>62</v>
      </c>
    </row>
    <row r="724" spans="1:3" x14ac:dyDescent="0.25">
      <c r="A724" s="1" t="s">
        <v>8724</v>
      </c>
      <c r="B724" s="1" t="s">
        <v>16374</v>
      </c>
      <c r="C724" s="3">
        <f>IF(B724="","",SUMIFS('Factory Costs'!$C:$C,'Factory Costs'!$A:$A,"Motor",'Factory Costs'!$B:$B,B724))</f>
        <v>62</v>
      </c>
    </row>
    <row r="725" spans="1:3" x14ac:dyDescent="0.25">
      <c r="A725" s="1" t="s">
        <v>8727</v>
      </c>
      <c r="B725" s="1" t="s">
        <v>16374</v>
      </c>
      <c r="C725" s="3">
        <f>IF(B725="","",SUMIFS('Factory Costs'!$C:$C,'Factory Costs'!$A:$A,"Motor",'Factory Costs'!$B:$B,B725))</f>
        <v>62</v>
      </c>
    </row>
    <row r="726" spans="1:3" x14ac:dyDescent="0.25">
      <c r="A726" s="1" t="s">
        <v>8730</v>
      </c>
      <c r="B726" s="1" t="s">
        <v>16374</v>
      </c>
      <c r="C726" s="3">
        <f>IF(B726="","",SUMIFS('Factory Costs'!$C:$C,'Factory Costs'!$A:$A,"Motor",'Factory Costs'!$B:$B,B726))</f>
        <v>62</v>
      </c>
    </row>
    <row r="727" spans="1:3" x14ac:dyDescent="0.25">
      <c r="A727" s="1" t="s">
        <v>8733</v>
      </c>
      <c r="B727" s="1" t="s">
        <v>16375</v>
      </c>
      <c r="C727" s="3">
        <f>IF(B727="","",SUMIFS('Factory Costs'!$C:$C,'Factory Costs'!$A:$A,"Motor",'Factory Costs'!$B:$B,B727))</f>
        <v>72</v>
      </c>
    </row>
    <row r="728" spans="1:3" x14ac:dyDescent="0.25">
      <c r="A728" s="1" t="s">
        <v>8736</v>
      </c>
      <c r="B728" s="1" t="s">
        <v>16374</v>
      </c>
      <c r="C728" s="3">
        <f>IF(B728="","",SUMIFS('Factory Costs'!$C:$C,'Factory Costs'!$A:$A,"Motor",'Factory Costs'!$B:$B,B728))</f>
        <v>62</v>
      </c>
    </row>
    <row r="729" spans="1:3" x14ac:dyDescent="0.25">
      <c r="A729" s="1" t="s">
        <v>8739</v>
      </c>
      <c r="B729" s="1" t="s">
        <v>16375</v>
      </c>
      <c r="C729" s="3">
        <f>IF(B729="","",SUMIFS('Factory Costs'!$C:$C,'Factory Costs'!$A:$A,"Motor",'Factory Costs'!$B:$B,B729))</f>
        <v>72</v>
      </c>
    </row>
    <row r="730" spans="1:3" x14ac:dyDescent="0.25">
      <c r="A730" s="1" t="s">
        <v>8742</v>
      </c>
      <c r="B730" s="1" t="s">
        <v>16374</v>
      </c>
      <c r="C730" s="3">
        <f>IF(B730="","",SUMIFS('Factory Costs'!$C:$C,'Factory Costs'!$A:$A,"Motor",'Factory Costs'!$B:$B,B730))</f>
        <v>62</v>
      </c>
    </row>
    <row r="731" spans="1:3" x14ac:dyDescent="0.25">
      <c r="A731" s="1" t="s">
        <v>8745</v>
      </c>
      <c r="B731" s="1" t="s">
        <v>16374</v>
      </c>
      <c r="C731" s="3">
        <f>IF(B731="","",SUMIFS('Factory Costs'!$C:$C,'Factory Costs'!$A:$A,"Motor",'Factory Costs'!$B:$B,B731))</f>
        <v>62</v>
      </c>
    </row>
    <row r="732" spans="1:3" x14ac:dyDescent="0.25">
      <c r="A732" s="1" t="s">
        <v>8748</v>
      </c>
      <c r="B732" s="1" t="s">
        <v>16375</v>
      </c>
      <c r="C732" s="3">
        <f>IF(B732="","",SUMIFS('Factory Costs'!$C:$C,'Factory Costs'!$A:$A,"Motor",'Factory Costs'!$B:$B,B732))</f>
        <v>72</v>
      </c>
    </row>
    <row r="733" spans="1:3" x14ac:dyDescent="0.25">
      <c r="A733" s="1" t="s">
        <v>8751</v>
      </c>
      <c r="B733" s="1" t="s">
        <v>16374</v>
      </c>
      <c r="C733" s="3">
        <f>IF(B733="","",SUMIFS('Factory Costs'!$C:$C,'Factory Costs'!$A:$A,"Motor",'Factory Costs'!$B:$B,B733))</f>
        <v>62</v>
      </c>
    </row>
    <row r="734" spans="1:3" x14ac:dyDescent="0.25">
      <c r="A734" s="1" t="s">
        <v>8754</v>
      </c>
      <c r="B734" s="1" t="s">
        <v>16374</v>
      </c>
      <c r="C734" s="3">
        <f>IF(B734="","",SUMIFS('Factory Costs'!$C:$C,'Factory Costs'!$A:$A,"Motor",'Factory Costs'!$B:$B,B734))</f>
        <v>62</v>
      </c>
    </row>
    <row r="735" spans="1:3" x14ac:dyDescent="0.25">
      <c r="A735" s="1" t="s">
        <v>8757</v>
      </c>
      <c r="B735" s="1" t="s">
        <v>16374</v>
      </c>
      <c r="C735" s="3">
        <f>IF(B735="","",SUMIFS('Factory Costs'!$C:$C,'Factory Costs'!$A:$A,"Motor",'Factory Costs'!$B:$B,B735))</f>
        <v>62</v>
      </c>
    </row>
    <row r="736" spans="1:3" x14ac:dyDescent="0.25">
      <c r="A736" s="1" t="s">
        <v>8760</v>
      </c>
      <c r="B736" s="1" t="s">
        <v>16374</v>
      </c>
      <c r="C736" s="3">
        <f>IF(B736="","",SUMIFS('Factory Costs'!$C:$C,'Factory Costs'!$A:$A,"Motor",'Factory Costs'!$B:$B,B736))</f>
        <v>62</v>
      </c>
    </row>
    <row r="737" spans="1:3" x14ac:dyDescent="0.25">
      <c r="A737" s="1" t="s">
        <v>8763</v>
      </c>
      <c r="B737" s="1" t="s">
        <v>16375</v>
      </c>
      <c r="C737" s="3">
        <f>IF(B737="","",SUMIFS('Factory Costs'!$C:$C,'Factory Costs'!$A:$A,"Motor",'Factory Costs'!$B:$B,B737))</f>
        <v>72</v>
      </c>
    </row>
    <row r="738" spans="1:3" x14ac:dyDescent="0.25">
      <c r="A738" s="1" t="s">
        <v>8766</v>
      </c>
      <c r="B738" s="1" t="s">
        <v>16374</v>
      </c>
      <c r="C738" s="3">
        <f>IF(B738="","",SUMIFS('Factory Costs'!$C:$C,'Factory Costs'!$A:$A,"Motor",'Factory Costs'!$B:$B,B738))</f>
        <v>62</v>
      </c>
    </row>
    <row r="739" spans="1:3" x14ac:dyDescent="0.25">
      <c r="A739" s="1" t="s">
        <v>8769</v>
      </c>
      <c r="B739" s="1" t="s">
        <v>16375</v>
      </c>
      <c r="C739" s="3">
        <f>IF(B739="","",SUMIFS('Factory Costs'!$C:$C,'Factory Costs'!$A:$A,"Motor",'Factory Costs'!$B:$B,B739))</f>
        <v>72</v>
      </c>
    </row>
    <row r="740" spans="1:3" x14ac:dyDescent="0.25">
      <c r="A740" s="1" t="s">
        <v>8772</v>
      </c>
      <c r="B740" s="1" t="s">
        <v>16374</v>
      </c>
      <c r="C740" s="3">
        <f>IF(B740="","",SUMIFS('Factory Costs'!$C:$C,'Factory Costs'!$A:$A,"Motor",'Factory Costs'!$B:$B,B740))</f>
        <v>62</v>
      </c>
    </row>
    <row r="741" spans="1:3" x14ac:dyDescent="0.25">
      <c r="A741" s="1" t="s">
        <v>8775</v>
      </c>
      <c r="B741" s="1" t="s">
        <v>16374</v>
      </c>
      <c r="C741" s="3">
        <f>IF(B741="","",SUMIFS('Factory Costs'!$C:$C,'Factory Costs'!$A:$A,"Motor",'Factory Costs'!$B:$B,B741))</f>
        <v>62</v>
      </c>
    </row>
    <row r="742" spans="1:3" x14ac:dyDescent="0.25">
      <c r="A742" s="1" t="s">
        <v>8778</v>
      </c>
      <c r="B742" s="1" t="s">
        <v>16375</v>
      </c>
      <c r="C742" s="3">
        <f>IF(B742="","",SUMIFS('Factory Costs'!$C:$C,'Factory Costs'!$A:$A,"Motor",'Factory Costs'!$B:$B,B742))</f>
        <v>72</v>
      </c>
    </row>
    <row r="743" spans="1:3" x14ac:dyDescent="0.25">
      <c r="A743" s="1" t="s">
        <v>8781</v>
      </c>
      <c r="B743" s="1" t="s">
        <v>16374</v>
      </c>
      <c r="C743" s="3">
        <f>IF(B743="","",SUMIFS('Factory Costs'!$C:$C,'Factory Costs'!$A:$A,"Motor",'Factory Costs'!$B:$B,B743))</f>
        <v>62</v>
      </c>
    </row>
    <row r="744" spans="1:3" x14ac:dyDescent="0.25">
      <c r="A744" s="1" t="s">
        <v>8784</v>
      </c>
      <c r="B744" s="1" t="s">
        <v>16374</v>
      </c>
      <c r="C744" s="3">
        <f>IF(B744="","",SUMIFS('Factory Costs'!$C:$C,'Factory Costs'!$A:$A,"Motor",'Factory Costs'!$B:$B,B744))</f>
        <v>62</v>
      </c>
    </row>
    <row r="745" spans="1:3" x14ac:dyDescent="0.25">
      <c r="A745" s="1" t="s">
        <v>8787</v>
      </c>
      <c r="B745" s="1" t="s">
        <v>16374</v>
      </c>
      <c r="C745" s="3">
        <f>IF(B745="","",SUMIFS('Factory Costs'!$C:$C,'Factory Costs'!$A:$A,"Motor",'Factory Costs'!$B:$B,B745))</f>
        <v>62</v>
      </c>
    </row>
    <row r="746" spans="1:3" x14ac:dyDescent="0.25">
      <c r="A746" s="1" t="s">
        <v>8790</v>
      </c>
      <c r="B746" s="1" t="s">
        <v>16374</v>
      </c>
      <c r="C746" s="3">
        <f>IF(B746="","",SUMIFS('Factory Costs'!$C:$C,'Factory Costs'!$A:$A,"Motor",'Factory Costs'!$B:$B,B746))</f>
        <v>62</v>
      </c>
    </row>
    <row r="747" spans="1:3" x14ac:dyDescent="0.25">
      <c r="A747" s="1" t="s">
        <v>8793</v>
      </c>
      <c r="B747" s="1" t="s">
        <v>16375</v>
      </c>
      <c r="C747" s="3">
        <f>IF(B747="","",SUMIFS('Factory Costs'!$C:$C,'Factory Costs'!$A:$A,"Motor",'Factory Costs'!$B:$B,B747))</f>
        <v>72</v>
      </c>
    </row>
    <row r="748" spans="1:3" x14ac:dyDescent="0.25">
      <c r="A748" s="1" t="s">
        <v>8796</v>
      </c>
      <c r="B748" s="1" t="s">
        <v>16374</v>
      </c>
      <c r="C748" s="3">
        <f>IF(B748="","",SUMIFS('Factory Costs'!$C:$C,'Factory Costs'!$A:$A,"Motor",'Factory Costs'!$B:$B,B748))</f>
        <v>62</v>
      </c>
    </row>
    <row r="749" spans="1:3" x14ac:dyDescent="0.25">
      <c r="A749" s="1" t="s">
        <v>8799</v>
      </c>
      <c r="B749" s="1" t="s">
        <v>16375</v>
      </c>
      <c r="C749" s="3">
        <f>IF(B749="","",SUMIFS('Factory Costs'!$C:$C,'Factory Costs'!$A:$A,"Motor",'Factory Costs'!$B:$B,B749))</f>
        <v>72</v>
      </c>
    </row>
    <row r="750" spans="1:3" x14ac:dyDescent="0.25">
      <c r="A750" s="1" t="s">
        <v>8802</v>
      </c>
      <c r="B750" s="1" t="s">
        <v>16375</v>
      </c>
      <c r="C750" s="3">
        <f>IF(B750="","",SUMIFS('Factory Costs'!$C:$C,'Factory Costs'!$A:$A,"Motor",'Factory Costs'!$B:$B,B750))</f>
        <v>72</v>
      </c>
    </row>
    <row r="751" spans="1:3" x14ac:dyDescent="0.25">
      <c r="A751" s="1" t="s">
        <v>8805</v>
      </c>
      <c r="B751" s="1" t="s">
        <v>16374</v>
      </c>
      <c r="C751" s="3">
        <f>IF(B751="","",SUMIFS('Factory Costs'!$C:$C,'Factory Costs'!$A:$A,"Motor",'Factory Costs'!$B:$B,B751))</f>
        <v>62</v>
      </c>
    </row>
    <row r="752" spans="1:3" x14ac:dyDescent="0.25">
      <c r="A752" s="1" t="s">
        <v>8808</v>
      </c>
      <c r="B752" s="1" t="s">
        <v>16375</v>
      </c>
      <c r="C752" s="3">
        <f>IF(B752="","",SUMIFS('Factory Costs'!$C:$C,'Factory Costs'!$A:$A,"Motor",'Factory Costs'!$B:$B,B752))</f>
        <v>72</v>
      </c>
    </row>
    <row r="753" spans="1:3" x14ac:dyDescent="0.25">
      <c r="A753" s="1" t="s">
        <v>8811</v>
      </c>
      <c r="B753" s="1" t="s">
        <v>16374</v>
      </c>
      <c r="C753" s="3">
        <f>IF(B753="","",SUMIFS('Factory Costs'!$C:$C,'Factory Costs'!$A:$A,"Motor",'Factory Costs'!$B:$B,B753))</f>
        <v>62</v>
      </c>
    </row>
    <row r="754" spans="1:3" x14ac:dyDescent="0.25">
      <c r="A754" s="1" t="s">
        <v>8814</v>
      </c>
      <c r="B754" s="1" t="s">
        <v>16374</v>
      </c>
      <c r="C754" s="3">
        <f>IF(B754="","",SUMIFS('Factory Costs'!$C:$C,'Factory Costs'!$A:$A,"Motor",'Factory Costs'!$B:$B,B754))</f>
        <v>62</v>
      </c>
    </row>
    <row r="755" spans="1:3" x14ac:dyDescent="0.25">
      <c r="A755" s="1" t="s">
        <v>8817</v>
      </c>
      <c r="B755" s="1" t="s">
        <v>16374</v>
      </c>
      <c r="C755" s="3">
        <f>IF(B755="","",SUMIFS('Factory Costs'!$C:$C,'Factory Costs'!$A:$A,"Motor",'Factory Costs'!$B:$B,B755))</f>
        <v>62</v>
      </c>
    </row>
    <row r="756" spans="1:3" x14ac:dyDescent="0.25">
      <c r="A756" s="1" t="s">
        <v>8820</v>
      </c>
      <c r="B756" s="1" t="s">
        <v>16375</v>
      </c>
      <c r="C756" s="3">
        <f>IF(B756="","",SUMIFS('Factory Costs'!$C:$C,'Factory Costs'!$A:$A,"Motor",'Factory Costs'!$B:$B,B756))</f>
        <v>72</v>
      </c>
    </row>
    <row r="757" spans="1:3" x14ac:dyDescent="0.25">
      <c r="A757" s="1" t="s">
        <v>8823</v>
      </c>
      <c r="B757" s="1" t="s">
        <v>16374</v>
      </c>
      <c r="C757" s="3">
        <f>IF(B757="","",SUMIFS('Factory Costs'!$C:$C,'Factory Costs'!$A:$A,"Motor",'Factory Costs'!$B:$B,B757))</f>
        <v>62</v>
      </c>
    </row>
    <row r="758" spans="1:3" x14ac:dyDescent="0.25">
      <c r="A758" s="1" t="s">
        <v>8826</v>
      </c>
      <c r="B758" s="1" t="s">
        <v>16374</v>
      </c>
      <c r="C758" s="3">
        <f>IF(B758="","",SUMIFS('Factory Costs'!$C:$C,'Factory Costs'!$A:$A,"Motor",'Factory Costs'!$B:$B,B758))</f>
        <v>62</v>
      </c>
    </row>
    <row r="759" spans="1:3" x14ac:dyDescent="0.25">
      <c r="A759" s="1" t="s">
        <v>8829</v>
      </c>
      <c r="B759" s="1" t="s">
        <v>16375</v>
      </c>
      <c r="C759" s="3">
        <f>IF(B759="","",SUMIFS('Factory Costs'!$C:$C,'Factory Costs'!$A:$A,"Motor",'Factory Costs'!$B:$B,B759))</f>
        <v>72</v>
      </c>
    </row>
    <row r="760" spans="1:3" x14ac:dyDescent="0.25">
      <c r="A760" s="1" t="s">
        <v>8832</v>
      </c>
      <c r="B760" s="1" t="s">
        <v>16375</v>
      </c>
      <c r="C760" s="3">
        <f>IF(B760="","",SUMIFS('Factory Costs'!$C:$C,'Factory Costs'!$A:$A,"Motor",'Factory Costs'!$B:$B,B760))</f>
        <v>72</v>
      </c>
    </row>
    <row r="761" spans="1:3" x14ac:dyDescent="0.25">
      <c r="A761" s="1" t="s">
        <v>8835</v>
      </c>
      <c r="B761" s="1" t="s">
        <v>16375</v>
      </c>
      <c r="C761" s="3">
        <f>IF(B761="","",SUMIFS('Factory Costs'!$C:$C,'Factory Costs'!$A:$A,"Motor",'Factory Costs'!$B:$B,B761))</f>
        <v>72</v>
      </c>
    </row>
    <row r="762" spans="1:3" x14ac:dyDescent="0.25">
      <c r="A762" s="1" t="s">
        <v>8838</v>
      </c>
      <c r="B762" s="1" t="s">
        <v>16374</v>
      </c>
      <c r="C762" s="3">
        <f>IF(B762="","",SUMIFS('Factory Costs'!$C:$C,'Factory Costs'!$A:$A,"Motor",'Factory Costs'!$B:$B,B762))</f>
        <v>62</v>
      </c>
    </row>
    <row r="763" spans="1:3" x14ac:dyDescent="0.25">
      <c r="A763" s="1" t="s">
        <v>8841</v>
      </c>
      <c r="B763" s="1" t="s">
        <v>16374</v>
      </c>
      <c r="C763" s="3">
        <f>IF(B763="","",SUMIFS('Factory Costs'!$C:$C,'Factory Costs'!$A:$A,"Motor",'Factory Costs'!$B:$B,B763))</f>
        <v>62</v>
      </c>
    </row>
    <row r="764" spans="1:3" x14ac:dyDescent="0.25">
      <c r="A764" s="1" t="s">
        <v>8844</v>
      </c>
      <c r="B764" s="1" t="s">
        <v>16374</v>
      </c>
      <c r="C764" s="3">
        <f>IF(B764="","",SUMIFS('Factory Costs'!$C:$C,'Factory Costs'!$A:$A,"Motor",'Factory Costs'!$B:$B,B764))</f>
        <v>62</v>
      </c>
    </row>
    <row r="765" spans="1:3" x14ac:dyDescent="0.25">
      <c r="A765" s="1" t="s">
        <v>8847</v>
      </c>
      <c r="B765" s="1" t="s">
        <v>16374</v>
      </c>
      <c r="C765" s="3">
        <f>IF(B765="","",SUMIFS('Factory Costs'!$C:$C,'Factory Costs'!$A:$A,"Motor",'Factory Costs'!$B:$B,B765))</f>
        <v>62</v>
      </c>
    </row>
    <row r="766" spans="1:3" x14ac:dyDescent="0.25">
      <c r="A766" s="1" t="s">
        <v>8850</v>
      </c>
      <c r="B766" s="1" t="s">
        <v>16375</v>
      </c>
      <c r="C766" s="3">
        <f>IF(B766="","",SUMIFS('Factory Costs'!$C:$C,'Factory Costs'!$A:$A,"Motor",'Factory Costs'!$B:$B,B766))</f>
        <v>72</v>
      </c>
    </row>
    <row r="767" spans="1:3" x14ac:dyDescent="0.25">
      <c r="A767" s="1" t="s">
        <v>8853</v>
      </c>
      <c r="B767" s="1" t="s">
        <v>16374</v>
      </c>
      <c r="C767" s="3">
        <f>IF(B767="","",SUMIFS('Factory Costs'!$C:$C,'Factory Costs'!$A:$A,"Motor",'Factory Costs'!$B:$B,B767))</f>
        <v>62</v>
      </c>
    </row>
    <row r="768" spans="1:3" x14ac:dyDescent="0.25">
      <c r="A768" s="1" t="s">
        <v>8856</v>
      </c>
      <c r="B768" s="1" t="s">
        <v>16374</v>
      </c>
      <c r="C768" s="3">
        <f>IF(B768="","",SUMIFS('Factory Costs'!$C:$C,'Factory Costs'!$A:$A,"Motor",'Factory Costs'!$B:$B,B768))</f>
        <v>62</v>
      </c>
    </row>
    <row r="769" spans="1:3" x14ac:dyDescent="0.25">
      <c r="A769" s="1" t="s">
        <v>8859</v>
      </c>
      <c r="B769" s="1" t="s">
        <v>16375</v>
      </c>
      <c r="C769" s="3">
        <f>IF(B769="","",SUMIFS('Factory Costs'!$C:$C,'Factory Costs'!$A:$A,"Motor",'Factory Costs'!$B:$B,B769))</f>
        <v>72</v>
      </c>
    </row>
    <row r="770" spans="1:3" x14ac:dyDescent="0.25">
      <c r="A770" s="1" t="s">
        <v>8862</v>
      </c>
      <c r="B770" s="1" t="s">
        <v>16375</v>
      </c>
      <c r="C770" s="3">
        <f>IF(B770="","",SUMIFS('Factory Costs'!$C:$C,'Factory Costs'!$A:$A,"Motor",'Factory Costs'!$B:$B,B770))</f>
        <v>72</v>
      </c>
    </row>
    <row r="771" spans="1:3" x14ac:dyDescent="0.25">
      <c r="A771" s="1" t="s">
        <v>8865</v>
      </c>
      <c r="B771" s="1" t="s">
        <v>16374</v>
      </c>
      <c r="C771" s="3">
        <f>IF(B771="","",SUMIFS('Factory Costs'!$C:$C,'Factory Costs'!$A:$A,"Motor",'Factory Costs'!$B:$B,B771))</f>
        <v>62</v>
      </c>
    </row>
    <row r="772" spans="1:3" x14ac:dyDescent="0.25">
      <c r="A772" s="1" t="s">
        <v>8868</v>
      </c>
      <c r="B772" s="1" t="s">
        <v>16374</v>
      </c>
      <c r="C772" s="3">
        <f>IF(B772="","",SUMIFS('Factory Costs'!$C:$C,'Factory Costs'!$A:$A,"Motor",'Factory Costs'!$B:$B,B772))</f>
        <v>62</v>
      </c>
    </row>
    <row r="773" spans="1:3" x14ac:dyDescent="0.25">
      <c r="A773" s="1" t="s">
        <v>8871</v>
      </c>
      <c r="B773" s="1" t="s">
        <v>16375</v>
      </c>
      <c r="C773" s="3">
        <f>IF(B773="","",SUMIFS('Factory Costs'!$C:$C,'Factory Costs'!$A:$A,"Motor",'Factory Costs'!$B:$B,B773))</f>
        <v>72</v>
      </c>
    </row>
    <row r="774" spans="1:3" x14ac:dyDescent="0.25">
      <c r="A774" s="1" t="s">
        <v>8874</v>
      </c>
      <c r="B774" s="1" t="s">
        <v>16375</v>
      </c>
      <c r="C774" s="3">
        <f>IF(B774="","",SUMIFS('Factory Costs'!$C:$C,'Factory Costs'!$A:$A,"Motor",'Factory Costs'!$B:$B,B774))</f>
        <v>72</v>
      </c>
    </row>
    <row r="775" spans="1:3" x14ac:dyDescent="0.25">
      <c r="A775" s="1" t="s">
        <v>8877</v>
      </c>
      <c r="B775" s="1" t="s">
        <v>16374</v>
      </c>
      <c r="C775" s="3">
        <f>IF(B775="","",SUMIFS('Factory Costs'!$C:$C,'Factory Costs'!$A:$A,"Motor",'Factory Costs'!$B:$B,B775))</f>
        <v>62</v>
      </c>
    </row>
    <row r="776" spans="1:3" x14ac:dyDescent="0.25">
      <c r="A776" s="1" t="s">
        <v>8880</v>
      </c>
      <c r="B776" s="1" t="s">
        <v>16375</v>
      </c>
      <c r="C776" s="3">
        <f>IF(B776="","",SUMIFS('Factory Costs'!$C:$C,'Factory Costs'!$A:$A,"Motor",'Factory Costs'!$B:$B,B776))</f>
        <v>72</v>
      </c>
    </row>
    <row r="777" spans="1:3" x14ac:dyDescent="0.25">
      <c r="A777" s="1" t="s">
        <v>8883</v>
      </c>
      <c r="B777" s="1" t="s">
        <v>16375</v>
      </c>
      <c r="C777" s="3">
        <f>IF(B777="","",SUMIFS('Factory Costs'!$C:$C,'Factory Costs'!$A:$A,"Motor",'Factory Costs'!$B:$B,B777))</f>
        <v>72</v>
      </c>
    </row>
    <row r="778" spans="1:3" x14ac:dyDescent="0.25">
      <c r="A778" s="1" t="s">
        <v>8886</v>
      </c>
      <c r="B778" s="1" t="s">
        <v>16374</v>
      </c>
      <c r="C778" s="3">
        <f>IF(B778="","",SUMIFS('Factory Costs'!$C:$C,'Factory Costs'!$A:$A,"Motor",'Factory Costs'!$B:$B,B778))</f>
        <v>62</v>
      </c>
    </row>
    <row r="779" spans="1:3" x14ac:dyDescent="0.25">
      <c r="A779" s="1" t="s">
        <v>8889</v>
      </c>
      <c r="B779" s="1" t="s">
        <v>16375</v>
      </c>
      <c r="C779" s="3">
        <f>IF(B779="","",SUMIFS('Factory Costs'!$C:$C,'Factory Costs'!$A:$A,"Motor",'Factory Costs'!$B:$B,B779))</f>
        <v>72</v>
      </c>
    </row>
    <row r="780" spans="1:3" x14ac:dyDescent="0.25">
      <c r="A780" s="1" t="s">
        <v>8892</v>
      </c>
      <c r="B780" s="1" t="s">
        <v>16375</v>
      </c>
      <c r="C780" s="3">
        <f>IF(B780="","",SUMIFS('Factory Costs'!$C:$C,'Factory Costs'!$A:$A,"Motor",'Factory Costs'!$B:$B,B780))</f>
        <v>72</v>
      </c>
    </row>
    <row r="781" spans="1:3" x14ac:dyDescent="0.25">
      <c r="A781" s="1" t="s">
        <v>8895</v>
      </c>
      <c r="B781" s="1" t="s">
        <v>16375</v>
      </c>
      <c r="C781" s="3">
        <f>IF(B781="","",SUMIFS('Factory Costs'!$C:$C,'Factory Costs'!$A:$A,"Motor",'Factory Costs'!$B:$B,B781))</f>
        <v>72</v>
      </c>
    </row>
    <row r="782" spans="1:3" x14ac:dyDescent="0.25">
      <c r="A782" s="1" t="s">
        <v>8898</v>
      </c>
      <c r="B782" s="1" t="s">
        <v>16375</v>
      </c>
      <c r="C782" s="3">
        <f>IF(B782="","",SUMIFS('Factory Costs'!$C:$C,'Factory Costs'!$A:$A,"Motor",'Factory Costs'!$B:$B,B782))</f>
        <v>72</v>
      </c>
    </row>
    <row r="783" spans="1:3" x14ac:dyDescent="0.25">
      <c r="A783" s="1" t="s">
        <v>8901</v>
      </c>
      <c r="B783" s="1" t="s">
        <v>16374</v>
      </c>
      <c r="C783" s="3">
        <f>IF(B783="","",SUMIFS('Factory Costs'!$C:$C,'Factory Costs'!$A:$A,"Motor",'Factory Costs'!$B:$B,B783))</f>
        <v>62</v>
      </c>
    </row>
    <row r="784" spans="1:3" x14ac:dyDescent="0.25">
      <c r="A784" s="1" t="s">
        <v>8904</v>
      </c>
      <c r="B784" s="1" t="s">
        <v>16374</v>
      </c>
      <c r="C784" s="3">
        <f>IF(B784="","",SUMIFS('Factory Costs'!$C:$C,'Factory Costs'!$A:$A,"Motor",'Factory Costs'!$B:$B,B784))</f>
        <v>62</v>
      </c>
    </row>
    <row r="785" spans="1:3" x14ac:dyDescent="0.25">
      <c r="A785" s="1" t="s">
        <v>8907</v>
      </c>
      <c r="B785" s="1" t="s">
        <v>16374</v>
      </c>
      <c r="C785" s="3">
        <f>IF(B785="","",SUMIFS('Factory Costs'!$C:$C,'Factory Costs'!$A:$A,"Motor",'Factory Costs'!$B:$B,B785))</f>
        <v>62</v>
      </c>
    </row>
    <row r="786" spans="1:3" x14ac:dyDescent="0.25">
      <c r="A786" s="1" t="s">
        <v>8910</v>
      </c>
      <c r="B786" s="1" t="s">
        <v>16374</v>
      </c>
      <c r="C786" s="3">
        <f>IF(B786="","",SUMIFS('Factory Costs'!$C:$C,'Factory Costs'!$A:$A,"Motor",'Factory Costs'!$B:$B,B786))</f>
        <v>62</v>
      </c>
    </row>
    <row r="787" spans="1:3" x14ac:dyDescent="0.25">
      <c r="A787" s="1" t="s">
        <v>8913</v>
      </c>
      <c r="B787" s="1" t="s">
        <v>16374</v>
      </c>
      <c r="C787" s="3">
        <f>IF(B787="","",SUMIFS('Factory Costs'!$C:$C,'Factory Costs'!$A:$A,"Motor",'Factory Costs'!$B:$B,B787))</f>
        <v>62</v>
      </c>
    </row>
    <row r="788" spans="1:3" x14ac:dyDescent="0.25">
      <c r="A788" s="1" t="s">
        <v>8916</v>
      </c>
      <c r="B788" s="1" t="s">
        <v>16375</v>
      </c>
      <c r="C788" s="3">
        <f>IF(B788="","",SUMIFS('Factory Costs'!$C:$C,'Factory Costs'!$A:$A,"Motor",'Factory Costs'!$B:$B,B788))</f>
        <v>72</v>
      </c>
    </row>
    <row r="789" spans="1:3" x14ac:dyDescent="0.25">
      <c r="A789" s="1" t="s">
        <v>8919</v>
      </c>
      <c r="B789" s="1" t="s">
        <v>16375</v>
      </c>
      <c r="C789" s="3">
        <f>IF(B789="","",SUMIFS('Factory Costs'!$C:$C,'Factory Costs'!$A:$A,"Motor",'Factory Costs'!$B:$B,B789))</f>
        <v>72</v>
      </c>
    </row>
    <row r="790" spans="1:3" x14ac:dyDescent="0.25">
      <c r="A790" s="1" t="s">
        <v>8922</v>
      </c>
      <c r="B790" s="1" t="s">
        <v>16375</v>
      </c>
      <c r="C790" s="3">
        <f>IF(B790="","",SUMIFS('Factory Costs'!$C:$C,'Factory Costs'!$A:$A,"Motor",'Factory Costs'!$B:$B,B790))</f>
        <v>72</v>
      </c>
    </row>
    <row r="791" spans="1:3" x14ac:dyDescent="0.25">
      <c r="A791" s="1" t="s">
        <v>8925</v>
      </c>
      <c r="B791" s="1" t="s">
        <v>16374</v>
      </c>
      <c r="C791" s="3">
        <f>IF(B791="","",SUMIFS('Factory Costs'!$C:$C,'Factory Costs'!$A:$A,"Motor",'Factory Costs'!$B:$B,B791))</f>
        <v>62</v>
      </c>
    </row>
    <row r="792" spans="1:3" x14ac:dyDescent="0.25">
      <c r="A792" s="1" t="s">
        <v>8928</v>
      </c>
      <c r="B792" s="1" t="s">
        <v>16375</v>
      </c>
      <c r="C792" s="3">
        <f>IF(B792="","",SUMIFS('Factory Costs'!$C:$C,'Factory Costs'!$A:$A,"Motor",'Factory Costs'!$B:$B,B792))</f>
        <v>72</v>
      </c>
    </row>
    <row r="793" spans="1:3" x14ac:dyDescent="0.25">
      <c r="A793" s="1" t="s">
        <v>8931</v>
      </c>
      <c r="B793" s="1" t="s">
        <v>16374</v>
      </c>
      <c r="C793" s="3">
        <f>IF(B793="","",SUMIFS('Factory Costs'!$C:$C,'Factory Costs'!$A:$A,"Motor",'Factory Costs'!$B:$B,B793))</f>
        <v>62</v>
      </c>
    </row>
    <row r="794" spans="1:3" x14ac:dyDescent="0.25">
      <c r="A794" s="1" t="s">
        <v>8934</v>
      </c>
      <c r="B794" s="1" t="s">
        <v>16374</v>
      </c>
      <c r="C794" s="3">
        <f>IF(B794="","",SUMIFS('Factory Costs'!$C:$C,'Factory Costs'!$A:$A,"Motor",'Factory Costs'!$B:$B,B794))</f>
        <v>62</v>
      </c>
    </row>
    <row r="795" spans="1:3" x14ac:dyDescent="0.25">
      <c r="A795" s="1" t="s">
        <v>8937</v>
      </c>
      <c r="B795" s="1" t="s">
        <v>16375</v>
      </c>
      <c r="C795" s="3">
        <f>IF(B795="","",SUMIFS('Factory Costs'!$C:$C,'Factory Costs'!$A:$A,"Motor",'Factory Costs'!$B:$B,B795))</f>
        <v>72</v>
      </c>
    </row>
    <row r="796" spans="1:3" x14ac:dyDescent="0.25">
      <c r="A796" s="1" t="s">
        <v>8940</v>
      </c>
      <c r="B796" s="1" t="s">
        <v>16374</v>
      </c>
      <c r="C796" s="3">
        <f>IF(B796="","",SUMIFS('Factory Costs'!$C:$C,'Factory Costs'!$A:$A,"Motor",'Factory Costs'!$B:$B,B796))</f>
        <v>62</v>
      </c>
    </row>
    <row r="797" spans="1:3" x14ac:dyDescent="0.25">
      <c r="A797" s="1" t="s">
        <v>8943</v>
      </c>
      <c r="B797" s="1" t="s">
        <v>16374</v>
      </c>
      <c r="C797" s="3">
        <f>IF(B797="","",SUMIFS('Factory Costs'!$C:$C,'Factory Costs'!$A:$A,"Motor",'Factory Costs'!$B:$B,B797))</f>
        <v>62</v>
      </c>
    </row>
    <row r="798" spans="1:3" x14ac:dyDescent="0.25">
      <c r="A798" s="1" t="s">
        <v>8946</v>
      </c>
      <c r="B798" s="1" t="s">
        <v>16374</v>
      </c>
      <c r="C798" s="3">
        <f>IF(B798="","",SUMIFS('Factory Costs'!$C:$C,'Factory Costs'!$A:$A,"Motor",'Factory Costs'!$B:$B,B798))</f>
        <v>62</v>
      </c>
    </row>
    <row r="799" spans="1:3" x14ac:dyDescent="0.25">
      <c r="A799" s="1" t="s">
        <v>8949</v>
      </c>
      <c r="B799" s="1" t="s">
        <v>16374</v>
      </c>
      <c r="C799" s="3">
        <f>IF(B799="","",SUMIFS('Factory Costs'!$C:$C,'Factory Costs'!$A:$A,"Motor",'Factory Costs'!$B:$B,B799))</f>
        <v>62</v>
      </c>
    </row>
    <row r="800" spans="1:3" x14ac:dyDescent="0.25">
      <c r="A800" s="1" t="s">
        <v>8952</v>
      </c>
      <c r="B800" s="1" t="s">
        <v>16375</v>
      </c>
      <c r="C800" s="3">
        <f>IF(B800="","",SUMIFS('Factory Costs'!$C:$C,'Factory Costs'!$A:$A,"Motor",'Factory Costs'!$B:$B,B800))</f>
        <v>72</v>
      </c>
    </row>
    <row r="801" spans="1:3" x14ac:dyDescent="0.25">
      <c r="A801" s="1" t="s">
        <v>8955</v>
      </c>
      <c r="B801" s="1" t="s">
        <v>16374</v>
      </c>
      <c r="C801" s="3">
        <f>IF(B801="","",SUMIFS('Factory Costs'!$C:$C,'Factory Costs'!$A:$A,"Motor",'Factory Costs'!$B:$B,B801))</f>
        <v>62</v>
      </c>
    </row>
    <row r="802" spans="1:3" x14ac:dyDescent="0.25">
      <c r="A802" s="1" t="s">
        <v>8958</v>
      </c>
      <c r="B802" s="1" t="s">
        <v>16374</v>
      </c>
      <c r="C802" s="3">
        <f>IF(B802="","",SUMIFS('Factory Costs'!$C:$C,'Factory Costs'!$A:$A,"Motor",'Factory Costs'!$B:$B,B802))</f>
        <v>62</v>
      </c>
    </row>
    <row r="803" spans="1:3" x14ac:dyDescent="0.25">
      <c r="A803" s="1" t="s">
        <v>8961</v>
      </c>
      <c r="B803" s="1" t="s">
        <v>16374</v>
      </c>
      <c r="C803" s="3">
        <f>IF(B803="","",SUMIFS('Factory Costs'!$C:$C,'Factory Costs'!$A:$A,"Motor",'Factory Costs'!$B:$B,B803))</f>
        <v>62</v>
      </c>
    </row>
    <row r="804" spans="1:3" x14ac:dyDescent="0.25">
      <c r="A804" s="1" t="s">
        <v>8964</v>
      </c>
      <c r="B804" s="1" t="s">
        <v>16374</v>
      </c>
      <c r="C804" s="3">
        <f>IF(B804="","",SUMIFS('Factory Costs'!$C:$C,'Factory Costs'!$A:$A,"Motor",'Factory Costs'!$B:$B,B804))</f>
        <v>62</v>
      </c>
    </row>
    <row r="805" spans="1:3" x14ac:dyDescent="0.25">
      <c r="A805" s="1" t="s">
        <v>8967</v>
      </c>
      <c r="B805" s="1" t="s">
        <v>16375</v>
      </c>
      <c r="C805" s="3">
        <f>IF(B805="","",SUMIFS('Factory Costs'!$C:$C,'Factory Costs'!$A:$A,"Motor",'Factory Costs'!$B:$B,B805))</f>
        <v>72</v>
      </c>
    </row>
    <row r="806" spans="1:3" x14ac:dyDescent="0.25">
      <c r="A806" s="1" t="s">
        <v>8970</v>
      </c>
      <c r="B806" s="1" t="s">
        <v>16374</v>
      </c>
      <c r="C806" s="3">
        <f>IF(B806="","",SUMIFS('Factory Costs'!$C:$C,'Factory Costs'!$A:$A,"Motor",'Factory Costs'!$B:$B,B806))</f>
        <v>62</v>
      </c>
    </row>
    <row r="807" spans="1:3" x14ac:dyDescent="0.25">
      <c r="A807" s="1" t="s">
        <v>8973</v>
      </c>
      <c r="B807" s="1" t="s">
        <v>16374</v>
      </c>
      <c r="C807" s="3">
        <f>IF(B807="","",SUMIFS('Factory Costs'!$C:$C,'Factory Costs'!$A:$A,"Motor",'Factory Costs'!$B:$B,B807))</f>
        <v>62</v>
      </c>
    </row>
    <row r="808" spans="1:3" x14ac:dyDescent="0.25">
      <c r="A808" s="1" t="s">
        <v>8976</v>
      </c>
      <c r="B808" s="1" t="s">
        <v>16374</v>
      </c>
      <c r="C808" s="3">
        <f>IF(B808="","",SUMIFS('Factory Costs'!$C:$C,'Factory Costs'!$A:$A,"Motor",'Factory Costs'!$B:$B,B808))</f>
        <v>62</v>
      </c>
    </row>
    <row r="809" spans="1:3" x14ac:dyDescent="0.25">
      <c r="A809" s="1" t="s">
        <v>8979</v>
      </c>
      <c r="B809" s="1" t="s">
        <v>16374</v>
      </c>
      <c r="C809" s="3">
        <f>IF(B809="","",SUMIFS('Factory Costs'!$C:$C,'Factory Costs'!$A:$A,"Motor",'Factory Costs'!$B:$B,B809))</f>
        <v>62</v>
      </c>
    </row>
    <row r="810" spans="1:3" x14ac:dyDescent="0.25">
      <c r="A810" s="1" t="s">
        <v>8982</v>
      </c>
      <c r="B810" s="1" t="s">
        <v>16374</v>
      </c>
      <c r="C810" s="3">
        <f>IF(B810="","",SUMIFS('Factory Costs'!$C:$C,'Factory Costs'!$A:$A,"Motor",'Factory Costs'!$B:$B,B810))</f>
        <v>62</v>
      </c>
    </row>
    <row r="811" spans="1:3" x14ac:dyDescent="0.25">
      <c r="A811" s="1" t="s">
        <v>8985</v>
      </c>
      <c r="B811" s="1" t="s">
        <v>16374</v>
      </c>
      <c r="C811" s="3">
        <f>IF(B811="","",SUMIFS('Factory Costs'!$C:$C,'Factory Costs'!$A:$A,"Motor",'Factory Costs'!$B:$B,B811))</f>
        <v>62</v>
      </c>
    </row>
    <row r="812" spans="1:3" x14ac:dyDescent="0.25">
      <c r="A812" s="1" t="s">
        <v>8988</v>
      </c>
      <c r="B812" s="1" t="s">
        <v>16374</v>
      </c>
      <c r="C812" s="3">
        <f>IF(B812="","",SUMIFS('Factory Costs'!$C:$C,'Factory Costs'!$A:$A,"Motor",'Factory Costs'!$B:$B,B812))</f>
        <v>62</v>
      </c>
    </row>
    <row r="813" spans="1:3" x14ac:dyDescent="0.25">
      <c r="A813" s="1" t="s">
        <v>8991</v>
      </c>
      <c r="B813" s="1" t="s">
        <v>16374</v>
      </c>
      <c r="C813" s="3">
        <f>IF(B813="","",SUMIFS('Factory Costs'!$C:$C,'Factory Costs'!$A:$A,"Motor",'Factory Costs'!$B:$B,B813))</f>
        <v>62</v>
      </c>
    </row>
    <row r="814" spans="1:3" x14ac:dyDescent="0.25">
      <c r="A814" s="1" t="s">
        <v>8994</v>
      </c>
      <c r="B814" s="1" t="s">
        <v>16374</v>
      </c>
      <c r="C814" s="3">
        <f>IF(B814="","",SUMIFS('Factory Costs'!$C:$C,'Factory Costs'!$A:$A,"Motor",'Factory Costs'!$B:$B,B814))</f>
        <v>62</v>
      </c>
    </row>
    <row r="815" spans="1:3" x14ac:dyDescent="0.25">
      <c r="A815" s="1" t="s">
        <v>8997</v>
      </c>
      <c r="B815" s="1" t="s">
        <v>16375</v>
      </c>
      <c r="C815" s="3">
        <f>IF(B815="","",SUMIFS('Factory Costs'!$C:$C,'Factory Costs'!$A:$A,"Motor",'Factory Costs'!$B:$B,B815))</f>
        <v>72</v>
      </c>
    </row>
    <row r="816" spans="1:3" x14ac:dyDescent="0.25">
      <c r="A816" s="1" t="s">
        <v>9000</v>
      </c>
      <c r="B816" s="1" t="s">
        <v>16374</v>
      </c>
      <c r="C816" s="3">
        <f>IF(B816="","",SUMIFS('Factory Costs'!$C:$C,'Factory Costs'!$A:$A,"Motor",'Factory Costs'!$B:$B,B816))</f>
        <v>62</v>
      </c>
    </row>
    <row r="817" spans="1:3" x14ac:dyDescent="0.25">
      <c r="A817" s="1" t="s">
        <v>9003</v>
      </c>
      <c r="B817" s="1" t="s">
        <v>16375</v>
      </c>
      <c r="C817" s="3">
        <f>IF(B817="","",SUMIFS('Factory Costs'!$C:$C,'Factory Costs'!$A:$A,"Motor",'Factory Costs'!$B:$B,B817))</f>
        <v>72</v>
      </c>
    </row>
    <row r="818" spans="1:3" x14ac:dyDescent="0.25">
      <c r="A818" s="1" t="s">
        <v>9006</v>
      </c>
      <c r="B818" s="1" t="s">
        <v>16374</v>
      </c>
      <c r="C818" s="3">
        <f>IF(B818="","",SUMIFS('Factory Costs'!$C:$C,'Factory Costs'!$A:$A,"Motor",'Factory Costs'!$B:$B,B818))</f>
        <v>62</v>
      </c>
    </row>
    <row r="819" spans="1:3" x14ac:dyDescent="0.25">
      <c r="A819" s="1" t="s">
        <v>9009</v>
      </c>
      <c r="B819" s="1" t="s">
        <v>16374</v>
      </c>
      <c r="C819" s="3">
        <f>IF(B819="","",SUMIFS('Factory Costs'!$C:$C,'Factory Costs'!$A:$A,"Motor",'Factory Costs'!$B:$B,B819))</f>
        <v>62</v>
      </c>
    </row>
    <row r="820" spans="1:3" x14ac:dyDescent="0.25">
      <c r="A820" s="1" t="s">
        <v>9012</v>
      </c>
      <c r="B820" s="1" t="s">
        <v>16374</v>
      </c>
      <c r="C820" s="3">
        <f>IF(B820="","",SUMIFS('Factory Costs'!$C:$C,'Factory Costs'!$A:$A,"Motor",'Factory Costs'!$B:$B,B820))</f>
        <v>62</v>
      </c>
    </row>
    <row r="821" spans="1:3" x14ac:dyDescent="0.25">
      <c r="A821" s="1" t="s">
        <v>9015</v>
      </c>
      <c r="B821" s="1" t="s">
        <v>16374</v>
      </c>
      <c r="C821" s="3">
        <f>IF(B821="","",SUMIFS('Factory Costs'!$C:$C,'Factory Costs'!$A:$A,"Motor",'Factory Costs'!$B:$B,B821))</f>
        <v>62</v>
      </c>
    </row>
    <row r="822" spans="1:3" x14ac:dyDescent="0.25">
      <c r="A822" s="1" t="s">
        <v>9018</v>
      </c>
      <c r="B822" s="1" t="s">
        <v>16374</v>
      </c>
      <c r="C822" s="3">
        <f>IF(B822="","",SUMIFS('Factory Costs'!$C:$C,'Factory Costs'!$A:$A,"Motor",'Factory Costs'!$B:$B,B822))</f>
        <v>62</v>
      </c>
    </row>
    <row r="823" spans="1:3" x14ac:dyDescent="0.25">
      <c r="A823" s="1" t="s">
        <v>9021</v>
      </c>
      <c r="B823" s="1" t="s">
        <v>16374</v>
      </c>
      <c r="C823" s="3">
        <f>IF(B823="","",SUMIFS('Factory Costs'!$C:$C,'Factory Costs'!$A:$A,"Motor",'Factory Costs'!$B:$B,B823))</f>
        <v>62</v>
      </c>
    </row>
    <row r="824" spans="1:3" x14ac:dyDescent="0.25">
      <c r="A824" s="1" t="s">
        <v>9024</v>
      </c>
      <c r="B824" s="1" t="s">
        <v>16375</v>
      </c>
      <c r="C824" s="3">
        <f>IF(B824="","",SUMIFS('Factory Costs'!$C:$C,'Factory Costs'!$A:$A,"Motor",'Factory Costs'!$B:$B,B824))</f>
        <v>72</v>
      </c>
    </row>
    <row r="825" spans="1:3" x14ac:dyDescent="0.25">
      <c r="A825" s="1" t="s">
        <v>9027</v>
      </c>
      <c r="B825" s="1" t="s">
        <v>16374</v>
      </c>
      <c r="C825" s="3">
        <f>IF(B825="","",SUMIFS('Factory Costs'!$C:$C,'Factory Costs'!$A:$A,"Motor",'Factory Costs'!$B:$B,B825))</f>
        <v>62</v>
      </c>
    </row>
    <row r="826" spans="1:3" x14ac:dyDescent="0.25">
      <c r="A826" s="1" t="s">
        <v>9030</v>
      </c>
      <c r="B826" s="1" t="s">
        <v>16374</v>
      </c>
      <c r="C826" s="3">
        <f>IF(B826="","",SUMIFS('Factory Costs'!$C:$C,'Factory Costs'!$A:$A,"Motor",'Factory Costs'!$B:$B,B826))</f>
        <v>62</v>
      </c>
    </row>
    <row r="827" spans="1:3" x14ac:dyDescent="0.25">
      <c r="A827" s="1" t="s">
        <v>9033</v>
      </c>
      <c r="B827" s="1" t="s">
        <v>16375</v>
      </c>
      <c r="C827" s="3">
        <f>IF(B827="","",SUMIFS('Factory Costs'!$C:$C,'Factory Costs'!$A:$A,"Motor",'Factory Costs'!$B:$B,B827))</f>
        <v>72</v>
      </c>
    </row>
    <row r="828" spans="1:3" x14ac:dyDescent="0.25">
      <c r="A828" s="1" t="s">
        <v>9036</v>
      </c>
      <c r="B828" s="1" t="s">
        <v>16374</v>
      </c>
      <c r="C828" s="3">
        <f>IF(B828="","",SUMIFS('Factory Costs'!$C:$C,'Factory Costs'!$A:$A,"Motor",'Factory Costs'!$B:$B,B828))</f>
        <v>62</v>
      </c>
    </row>
    <row r="829" spans="1:3" x14ac:dyDescent="0.25">
      <c r="A829" s="1" t="s">
        <v>9039</v>
      </c>
      <c r="B829" s="1" t="s">
        <v>16375</v>
      </c>
      <c r="C829" s="3">
        <f>IF(B829="","",SUMIFS('Factory Costs'!$C:$C,'Factory Costs'!$A:$A,"Motor",'Factory Costs'!$B:$B,B829))</f>
        <v>72</v>
      </c>
    </row>
    <row r="830" spans="1:3" x14ac:dyDescent="0.25">
      <c r="A830" s="1" t="s">
        <v>9042</v>
      </c>
      <c r="B830" s="1" t="s">
        <v>16375</v>
      </c>
      <c r="C830" s="3">
        <f>IF(B830="","",SUMIFS('Factory Costs'!$C:$C,'Factory Costs'!$A:$A,"Motor",'Factory Costs'!$B:$B,B830))</f>
        <v>72</v>
      </c>
    </row>
    <row r="831" spans="1:3" x14ac:dyDescent="0.25">
      <c r="A831" s="1" t="s">
        <v>9045</v>
      </c>
      <c r="B831" s="1" t="s">
        <v>16374</v>
      </c>
      <c r="C831" s="3">
        <f>IF(B831="","",SUMIFS('Factory Costs'!$C:$C,'Factory Costs'!$A:$A,"Motor",'Factory Costs'!$B:$B,B831))</f>
        <v>62</v>
      </c>
    </row>
    <row r="832" spans="1:3" x14ac:dyDescent="0.25">
      <c r="A832" s="1" t="s">
        <v>9048</v>
      </c>
      <c r="B832" s="1" t="s">
        <v>16374</v>
      </c>
      <c r="C832" s="3">
        <f>IF(B832="","",SUMIFS('Factory Costs'!$C:$C,'Factory Costs'!$A:$A,"Motor",'Factory Costs'!$B:$B,B832))</f>
        <v>62</v>
      </c>
    </row>
    <row r="833" spans="1:3" x14ac:dyDescent="0.25">
      <c r="A833" s="1" t="s">
        <v>9051</v>
      </c>
      <c r="B833" s="1" t="s">
        <v>16374</v>
      </c>
      <c r="C833" s="3">
        <f>IF(B833="","",SUMIFS('Factory Costs'!$C:$C,'Factory Costs'!$A:$A,"Motor",'Factory Costs'!$B:$B,B833))</f>
        <v>62</v>
      </c>
    </row>
    <row r="834" spans="1:3" x14ac:dyDescent="0.25">
      <c r="A834" s="1" t="s">
        <v>9054</v>
      </c>
      <c r="B834" s="1" t="s">
        <v>16374</v>
      </c>
      <c r="C834" s="3">
        <f>IF(B834="","",SUMIFS('Factory Costs'!$C:$C,'Factory Costs'!$A:$A,"Motor",'Factory Costs'!$B:$B,B834))</f>
        <v>62</v>
      </c>
    </row>
    <row r="835" spans="1:3" x14ac:dyDescent="0.25">
      <c r="A835" s="1" t="s">
        <v>9057</v>
      </c>
      <c r="B835" s="1" t="s">
        <v>16374</v>
      </c>
      <c r="C835" s="3">
        <f>IF(B835="","",SUMIFS('Factory Costs'!$C:$C,'Factory Costs'!$A:$A,"Motor",'Factory Costs'!$B:$B,B835))</f>
        <v>62</v>
      </c>
    </row>
    <row r="836" spans="1:3" x14ac:dyDescent="0.25">
      <c r="A836" s="1" t="s">
        <v>9060</v>
      </c>
      <c r="B836" s="1" t="s">
        <v>16375</v>
      </c>
      <c r="C836" s="3">
        <f>IF(B836="","",SUMIFS('Factory Costs'!$C:$C,'Factory Costs'!$A:$A,"Motor",'Factory Costs'!$B:$B,B836))</f>
        <v>72</v>
      </c>
    </row>
    <row r="837" spans="1:3" x14ac:dyDescent="0.25">
      <c r="A837" s="1" t="s">
        <v>9063</v>
      </c>
      <c r="B837" s="1" t="s">
        <v>16375</v>
      </c>
      <c r="C837" s="3">
        <f>IF(B837="","",SUMIFS('Factory Costs'!$C:$C,'Factory Costs'!$A:$A,"Motor",'Factory Costs'!$B:$B,B837))</f>
        <v>72</v>
      </c>
    </row>
    <row r="838" spans="1:3" x14ac:dyDescent="0.25">
      <c r="A838" s="1" t="s">
        <v>9066</v>
      </c>
      <c r="B838" s="1" t="s">
        <v>16375</v>
      </c>
      <c r="C838" s="3">
        <f>IF(B838="","",SUMIFS('Factory Costs'!$C:$C,'Factory Costs'!$A:$A,"Motor",'Factory Costs'!$B:$B,B838))</f>
        <v>72</v>
      </c>
    </row>
    <row r="839" spans="1:3" x14ac:dyDescent="0.25">
      <c r="A839" s="1" t="s">
        <v>9069</v>
      </c>
      <c r="B839" s="1" t="s">
        <v>16375</v>
      </c>
      <c r="C839" s="3">
        <f>IF(B839="","",SUMIFS('Factory Costs'!$C:$C,'Factory Costs'!$A:$A,"Motor",'Factory Costs'!$B:$B,B839))</f>
        <v>72</v>
      </c>
    </row>
    <row r="840" spans="1:3" x14ac:dyDescent="0.25">
      <c r="A840" s="1" t="s">
        <v>9072</v>
      </c>
      <c r="B840" s="1" t="s">
        <v>16375</v>
      </c>
      <c r="C840" s="3">
        <f>IF(B840="","",SUMIFS('Factory Costs'!$C:$C,'Factory Costs'!$A:$A,"Motor",'Factory Costs'!$B:$B,B840))</f>
        <v>72</v>
      </c>
    </row>
    <row r="841" spans="1:3" x14ac:dyDescent="0.25">
      <c r="A841" s="1" t="s">
        <v>9075</v>
      </c>
      <c r="B841" s="1" t="s">
        <v>16374</v>
      </c>
      <c r="C841" s="3">
        <f>IF(B841="","",SUMIFS('Factory Costs'!$C:$C,'Factory Costs'!$A:$A,"Motor",'Factory Costs'!$B:$B,B841))</f>
        <v>62</v>
      </c>
    </row>
    <row r="842" spans="1:3" x14ac:dyDescent="0.25">
      <c r="A842" s="1" t="s">
        <v>9078</v>
      </c>
      <c r="B842" s="1" t="s">
        <v>16374</v>
      </c>
      <c r="C842" s="3">
        <f>IF(B842="","",SUMIFS('Factory Costs'!$C:$C,'Factory Costs'!$A:$A,"Motor",'Factory Costs'!$B:$B,B842))</f>
        <v>62</v>
      </c>
    </row>
    <row r="843" spans="1:3" x14ac:dyDescent="0.25">
      <c r="A843" s="1" t="s">
        <v>9081</v>
      </c>
      <c r="B843" s="1" t="s">
        <v>16375</v>
      </c>
      <c r="C843" s="3">
        <f>IF(B843="","",SUMIFS('Factory Costs'!$C:$C,'Factory Costs'!$A:$A,"Motor",'Factory Costs'!$B:$B,B843))</f>
        <v>72</v>
      </c>
    </row>
    <row r="844" spans="1:3" x14ac:dyDescent="0.25">
      <c r="A844" s="1" t="s">
        <v>9084</v>
      </c>
      <c r="B844" s="1" t="s">
        <v>16374</v>
      </c>
      <c r="C844" s="3">
        <f>IF(B844="","",SUMIFS('Factory Costs'!$C:$C,'Factory Costs'!$A:$A,"Motor",'Factory Costs'!$B:$B,B844))</f>
        <v>62</v>
      </c>
    </row>
    <row r="845" spans="1:3" x14ac:dyDescent="0.25">
      <c r="A845" s="1" t="s">
        <v>9087</v>
      </c>
      <c r="B845" s="1" t="s">
        <v>16374</v>
      </c>
      <c r="C845" s="3">
        <f>IF(B845="","",SUMIFS('Factory Costs'!$C:$C,'Factory Costs'!$A:$A,"Motor",'Factory Costs'!$B:$B,B845))</f>
        <v>62</v>
      </c>
    </row>
    <row r="846" spans="1:3" x14ac:dyDescent="0.25">
      <c r="A846" s="1" t="s">
        <v>9090</v>
      </c>
      <c r="B846" s="1" t="s">
        <v>16375</v>
      </c>
      <c r="C846" s="3">
        <f>IF(B846="","",SUMIFS('Factory Costs'!$C:$C,'Factory Costs'!$A:$A,"Motor",'Factory Costs'!$B:$B,B846))</f>
        <v>72</v>
      </c>
    </row>
    <row r="847" spans="1:3" x14ac:dyDescent="0.25">
      <c r="A847" s="1" t="s">
        <v>9093</v>
      </c>
      <c r="B847" s="1" t="s">
        <v>16375</v>
      </c>
      <c r="C847" s="3">
        <f>IF(B847="","",SUMIFS('Factory Costs'!$C:$C,'Factory Costs'!$A:$A,"Motor",'Factory Costs'!$B:$B,B847))</f>
        <v>72</v>
      </c>
    </row>
    <row r="848" spans="1:3" x14ac:dyDescent="0.25">
      <c r="A848" s="1" t="s">
        <v>9096</v>
      </c>
      <c r="B848" s="1" t="s">
        <v>16374</v>
      </c>
      <c r="C848" s="3">
        <f>IF(B848="","",SUMIFS('Factory Costs'!$C:$C,'Factory Costs'!$A:$A,"Motor",'Factory Costs'!$B:$B,B848))</f>
        <v>62</v>
      </c>
    </row>
    <row r="849" spans="1:3" x14ac:dyDescent="0.25">
      <c r="A849" s="1" t="s">
        <v>9099</v>
      </c>
      <c r="B849" s="1" t="s">
        <v>16374</v>
      </c>
      <c r="C849" s="3">
        <f>IF(B849="","",SUMIFS('Factory Costs'!$C:$C,'Factory Costs'!$A:$A,"Motor",'Factory Costs'!$B:$B,B849))</f>
        <v>62</v>
      </c>
    </row>
    <row r="850" spans="1:3" x14ac:dyDescent="0.25">
      <c r="A850" s="1" t="s">
        <v>9102</v>
      </c>
      <c r="B850" s="1" t="s">
        <v>16374</v>
      </c>
      <c r="C850" s="3">
        <f>IF(B850="","",SUMIFS('Factory Costs'!$C:$C,'Factory Costs'!$A:$A,"Motor",'Factory Costs'!$B:$B,B850))</f>
        <v>62</v>
      </c>
    </row>
    <row r="851" spans="1:3" x14ac:dyDescent="0.25">
      <c r="A851" s="1" t="s">
        <v>9105</v>
      </c>
      <c r="B851" s="1" t="s">
        <v>16374</v>
      </c>
      <c r="C851" s="3">
        <f>IF(B851="","",SUMIFS('Factory Costs'!$C:$C,'Factory Costs'!$A:$A,"Motor",'Factory Costs'!$B:$B,B851))</f>
        <v>62</v>
      </c>
    </row>
    <row r="852" spans="1:3" x14ac:dyDescent="0.25">
      <c r="A852" s="1" t="s">
        <v>9108</v>
      </c>
      <c r="B852" s="1" t="s">
        <v>16374</v>
      </c>
      <c r="C852" s="3">
        <f>IF(B852="","",SUMIFS('Factory Costs'!$C:$C,'Factory Costs'!$A:$A,"Motor",'Factory Costs'!$B:$B,B852))</f>
        <v>62</v>
      </c>
    </row>
    <row r="853" spans="1:3" x14ac:dyDescent="0.25">
      <c r="A853" s="1" t="s">
        <v>9111</v>
      </c>
      <c r="B853" s="1" t="s">
        <v>16374</v>
      </c>
      <c r="C853" s="3">
        <f>IF(B853="","",SUMIFS('Factory Costs'!$C:$C,'Factory Costs'!$A:$A,"Motor",'Factory Costs'!$B:$B,B853))</f>
        <v>62</v>
      </c>
    </row>
    <row r="854" spans="1:3" x14ac:dyDescent="0.25">
      <c r="A854" s="1" t="s">
        <v>9114</v>
      </c>
      <c r="B854" s="1" t="s">
        <v>16374</v>
      </c>
      <c r="C854" s="3">
        <f>IF(B854="","",SUMIFS('Factory Costs'!$C:$C,'Factory Costs'!$A:$A,"Motor",'Factory Costs'!$B:$B,B854))</f>
        <v>62</v>
      </c>
    </row>
    <row r="855" spans="1:3" x14ac:dyDescent="0.25">
      <c r="A855" s="1" t="s">
        <v>9117</v>
      </c>
      <c r="B855" s="1" t="s">
        <v>16374</v>
      </c>
      <c r="C855" s="3">
        <f>IF(B855="","",SUMIFS('Factory Costs'!$C:$C,'Factory Costs'!$A:$A,"Motor",'Factory Costs'!$B:$B,B855))</f>
        <v>62</v>
      </c>
    </row>
    <row r="856" spans="1:3" x14ac:dyDescent="0.25">
      <c r="A856" s="1" t="s">
        <v>9120</v>
      </c>
      <c r="B856" s="1" t="s">
        <v>16375</v>
      </c>
      <c r="C856" s="3">
        <f>IF(B856="","",SUMIFS('Factory Costs'!$C:$C,'Factory Costs'!$A:$A,"Motor",'Factory Costs'!$B:$B,B856))</f>
        <v>72</v>
      </c>
    </row>
    <row r="857" spans="1:3" x14ac:dyDescent="0.25">
      <c r="A857" s="1" t="s">
        <v>9123</v>
      </c>
      <c r="B857" s="1" t="s">
        <v>16374</v>
      </c>
      <c r="C857" s="3">
        <f>IF(B857="","",SUMIFS('Factory Costs'!$C:$C,'Factory Costs'!$A:$A,"Motor",'Factory Costs'!$B:$B,B857))</f>
        <v>62</v>
      </c>
    </row>
    <row r="858" spans="1:3" x14ac:dyDescent="0.25">
      <c r="A858" s="1" t="s">
        <v>9126</v>
      </c>
      <c r="B858" s="1" t="s">
        <v>16374</v>
      </c>
      <c r="C858" s="3">
        <f>IF(B858="","",SUMIFS('Factory Costs'!$C:$C,'Factory Costs'!$A:$A,"Motor",'Factory Costs'!$B:$B,B858))</f>
        <v>62</v>
      </c>
    </row>
    <row r="859" spans="1:3" x14ac:dyDescent="0.25">
      <c r="A859" s="1" t="s">
        <v>9129</v>
      </c>
      <c r="B859" s="1" t="s">
        <v>16374</v>
      </c>
      <c r="C859" s="3">
        <f>IF(B859="","",SUMIFS('Factory Costs'!$C:$C,'Factory Costs'!$A:$A,"Motor",'Factory Costs'!$B:$B,B859))</f>
        <v>62</v>
      </c>
    </row>
    <row r="860" spans="1:3" x14ac:dyDescent="0.25">
      <c r="A860" s="1" t="s">
        <v>9132</v>
      </c>
      <c r="B860" s="1" t="s">
        <v>16374</v>
      </c>
      <c r="C860" s="3">
        <f>IF(B860="","",SUMIFS('Factory Costs'!$C:$C,'Factory Costs'!$A:$A,"Motor",'Factory Costs'!$B:$B,B860))</f>
        <v>62</v>
      </c>
    </row>
    <row r="861" spans="1:3" x14ac:dyDescent="0.25">
      <c r="A861" s="1" t="s">
        <v>9135</v>
      </c>
      <c r="B861" s="1" t="s">
        <v>16374</v>
      </c>
      <c r="C861" s="3">
        <f>IF(B861="","",SUMIFS('Factory Costs'!$C:$C,'Factory Costs'!$A:$A,"Motor",'Factory Costs'!$B:$B,B861))</f>
        <v>62</v>
      </c>
    </row>
    <row r="862" spans="1:3" x14ac:dyDescent="0.25">
      <c r="A862" s="1" t="s">
        <v>9138</v>
      </c>
      <c r="B862" s="1" t="s">
        <v>16374</v>
      </c>
      <c r="C862" s="3">
        <f>IF(B862="","",SUMIFS('Factory Costs'!$C:$C,'Factory Costs'!$A:$A,"Motor",'Factory Costs'!$B:$B,B862))</f>
        <v>62</v>
      </c>
    </row>
    <row r="863" spans="1:3" x14ac:dyDescent="0.25">
      <c r="A863" s="1" t="s">
        <v>9141</v>
      </c>
      <c r="B863" s="1" t="s">
        <v>16375</v>
      </c>
      <c r="C863" s="3">
        <f>IF(B863="","",SUMIFS('Factory Costs'!$C:$C,'Factory Costs'!$A:$A,"Motor",'Factory Costs'!$B:$B,B863))</f>
        <v>72</v>
      </c>
    </row>
    <row r="864" spans="1:3" x14ac:dyDescent="0.25">
      <c r="A864" s="1" t="s">
        <v>9144</v>
      </c>
      <c r="B864" s="1" t="s">
        <v>16374</v>
      </c>
      <c r="C864" s="3">
        <f>IF(B864="","",SUMIFS('Factory Costs'!$C:$C,'Factory Costs'!$A:$A,"Motor",'Factory Costs'!$B:$B,B864))</f>
        <v>62</v>
      </c>
    </row>
    <row r="865" spans="1:3" x14ac:dyDescent="0.25">
      <c r="A865" s="1" t="s">
        <v>9147</v>
      </c>
      <c r="B865" s="1" t="s">
        <v>16374</v>
      </c>
      <c r="C865" s="3">
        <f>IF(B865="","",SUMIFS('Factory Costs'!$C:$C,'Factory Costs'!$A:$A,"Motor",'Factory Costs'!$B:$B,B865))</f>
        <v>62</v>
      </c>
    </row>
    <row r="866" spans="1:3" x14ac:dyDescent="0.25">
      <c r="A866" s="1" t="s">
        <v>9150</v>
      </c>
      <c r="B866" s="1" t="s">
        <v>16374</v>
      </c>
      <c r="C866" s="3">
        <f>IF(B866="","",SUMIFS('Factory Costs'!$C:$C,'Factory Costs'!$A:$A,"Motor",'Factory Costs'!$B:$B,B866))</f>
        <v>62</v>
      </c>
    </row>
    <row r="867" spans="1:3" x14ac:dyDescent="0.25">
      <c r="A867" s="1" t="s">
        <v>9153</v>
      </c>
      <c r="B867" s="1" t="s">
        <v>16374</v>
      </c>
      <c r="C867" s="3">
        <f>IF(B867="","",SUMIFS('Factory Costs'!$C:$C,'Factory Costs'!$A:$A,"Motor",'Factory Costs'!$B:$B,B867))</f>
        <v>62</v>
      </c>
    </row>
    <row r="868" spans="1:3" x14ac:dyDescent="0.25">
      <c r="A868" s="1" t="s">
        <v>9156</v>
      </c>
      <c r="B868" s="1" t="s">
        <v>16375</v>
      </c>
      <c r="C868" s="3">
        <f>IF(B868="","",SUMIFS('Factory Costs'!$C:$C,'Factory Costs'!$A:$A,"Motor",'Factory Costs'!$B:$B,B868))</f>
        <v>72</v>
      </c>
    </row>
    <row r="869" spans="1:3" x14ac:dyDescent="0.25">
      <c r="A869" s="1" t="s">
        <v>9159</v>
      </c>
      <c r="B869" s="1" t="s">
        <v>16374</v>
      </c>
      <c r="C869" s="3">
        <f>IF(B869="","",SUMIFS('Factory Costs'!$C:$C,'Factory Costs'!$A:$A,"Motor",'Factory Costs'!$B:$B,B869))</f>
        <v>62</v>
      </c>
    </row>
    <row r="870" spans="1:3" x14ac:dyDescent="0.25">
      <c r="A870" s="1" t="s">
        <v>9162</v>
      </c>
      <c r="B870" s="1" t="s">
        <v>16375</v>
      </c>
      <c r="C870" s="3">
        <f>IF(B870="","",SUMIFS('Factory Costs'!$C:$C,'Factory Costs'!$A:$A,"Motor",'Factory Costs'!$B:$B,B870))</f>
        <v>72</v>
      </c>
    </row>
    <row r="871" spans="1:3" x14ac:dyDescent="0.25">
      <c r="A871" s="1" t="s">
        <v>9165</v>
      </c>
      <c r="B871" s="1" t="s">
        <v>16375</v>
      </c>
      <c r="C871" s="3">
        <f>IF(B871="","",SUMIFS('Factory Costs'!$C:$C,'Factory Costs'!$A:$A,"Motor",'Factory Costs'!$B:$B,B871))</f>
        <v>72</v>
      </c>
    </row>
    <row r="872" spans="1:3" x14ac:dyDescent="0.25">
      <c r="A872" s="1" t="s">
        <v>9168</v>
      </c>
      <c r="B872" s="1" t="s">
        <v>16374</v>
      </c>
      <c r="C872" s="3">
        <f>IF(B872="","",SUMIFS('Factory Costs'!$C:$C,'Factory Costs'!$A:$A,"Motor",'Factory Costs'!$B:$B,B872))</f>
        <v>62</v>
      </c>
    </row>
    <row r="873" spans="1:3" x14ac:dyDescent="0.25">
      <c r="A873" s="1" t="s">
        <v>9171</v>
      </c>
      <c r="B873" s="1" t="s">
        <v>16375</v>
      </c>
      <c r="C873" s="3">
        <f>IF(B873="","",SUMIFS('Factory Costs'!$C:$C,'Factory Costs'!$A:$A,"Motor",'Factory Costs'!$B:$B,B873))</f>
        <v>72</v>
      </c>
    </row>
    <row r="874" spans="1:3" x14ac:dyDescent="0.25">
      <c r="A874" s="1" t="s">
        <v>9174</v>
      </c>
      <c r="B874" s="1" t="s">
        <v>16374</v>
      </c>
      <c r="C874" s="3">
        <f>IF(B874="","",SUMIFS('Factory Costs'!$C:$C,'Factory Costs'!$A:$A,"Motor",'Factory Costs'!$B:$B,B874))</f>
        <v>62</v>
      </c>
    </row>
    <row r="875" spans="1:3" x14ac:dyDescent="0.25">
      <c r="A875" s="1" t="s">
        <v>9177</v>
      </c>
      <c r="B875" s="1" t="s">
        <v>16374</v>
      </c>
      <c r="C875" s="3">
        <f>IF(B875="","",SUMIFS('Factory Costs'!$C:$C,'Factory Costs'!$A:$A,"Motor",'Factory Costs'!$B:$B,B875))</f>
        <v>62</v>
      </c>
    </row>
    <row r="876" spans="1:3" x14ac:dyDescent="0.25">
      <c r="A876" s="1" t="s">
        <v>9180</v>
      </c>
      <c r="B876" s="1" t="s">
        <v>16374</v>
      </c>
      <c r="C876" s="3">
        <f>IF(B876="","",SUMIFS('Factory Costs'!$C:$C,'Factory Costs'!$A:$A,"Motor",'Factory Costs'!$B:$B,B876))</f>
        <v>62</v>
      </c>
    </row>
    <row r="877" spans="1:3" x14ac:dyDescent="0.25">
      <c r="A877" s="1" t="s">
        <v>9183</v>
      </c>
      <c r="B877" s="1" t="s">
        <v>16375</v>
      </c>
      <c r="C877" s="3">
        <f>IF(B877="","",SUMIFS('Factory Costs'!$C:$C,'Factory Costs'!$A:$A,"Motor",'Factory Costs'!$B:$B,B877))</f>
        <v>72</v>
      </c>
    </row>
    <row r="878" spans="1:3" x14ac:dyDescent="0.25">
      <c r="A878" s="1" t="s">
        <v>9186</v>
      </c>
      <c r="B878" s="1" t="s">
        <v>16374</v>
      </c>
      <c r="C878" s="3">
        <f>IF(B878="","",SUMIFS('Factory Costs'!$C:$C,'Factory Costs'!$A:$A,"Motor",'Factory Costs'!$B:$B,B878))</f>
        <v>62</v>
      </c>
    </row>
    <row r="879" spans="1:3" x14ac:dyDescent="0.25">
      <c r="A879" s="1" t="s">
        <v>9189</v>
      </c>
      <c r="B879" s="1" t="s">
        <v>16374</v>
      </c>
      <c r="C879" s="3">
        <f>IF(B879="","",SUMIFS('Factory Costs'!$C:$C,'Factory Costs'!$A:$A,"Motor",'Factory Costs'!$B:$B,B879))</f>
        <v>62</v>
      </c>
    </row>
    <row r="880" spans="1:3" x14ac:dyDescent="0.25">
      <c r="A880" s="1" t="s">
        <v>9192</v>
      </c>
      <c r="B880" s="1" t="s">
        <v>16375</v>
      </c>
      <c r="C880" s="3">
        <f>IF(B880="","",SUMIFS('Factory Costs'!$C:$C,'Factory Costs'!$A:$A,"Motor",'Factory Costs'!$B:$B,B880))</f>
        <v>72</v>
      </c>
    </row>
    <row r="881" spans="1:3" x14ac:dyDescent="0.25">
      <c r="A881" s="1" t="s">
        <v>9195</v>
      </c>
      <c r="B881" s="1" t="s">
        <v>16374</v>
      </c>
      <c r="C881" s="3">
        <f>IF(B881="","",SUMIFS('Factory Costs'!$C:$C,'Factory Costs'!$A:$A,"Motor",'Factory Costs'!$B:$B,B881))</f>
        <v>62</v>
      </c>
    </row>
    <row r="882" spans="1:3" x14ac:dyDescent="0.25">
      <c r="A882" s="1" t="s">
        <v>9198</v>
      </c>
      <c r="B882" s="1" t="s">
        <v>16375</v>
      </c>
      <c r="C882" s="3">
        <f>IF(B882="","",SUMIFS('Factory Costs'!$C:$C,'Factory Costs'!$A:$A,"Motor",'Factory Costs'!$B:$B,B882))</f>
        <v>72</v>
      </c>
    </row>
    <row r="883" spans="1:3" x14ac:dyDescent="0.25">
      <c r="A883" s="1" t="s">
        <v>9201</v>
      </c>
      <c r="B883" s="1" t="s">
        <v>16374</v>
      </c>
      <c r="C883" s="3">
        <f>IF(B883="","",SUMIFS('Factory Costs'!$C:$C,'Factory Costs'!$A:$A,"Motor",'Factory Costs'!$B:$B,B883))</f>
        <v>62</v>
      </c>
    </row>
    <row r="884" spans="1:3" x14ac:dyDescent="0.25">
      <c r="A884" s="1" t="s">
        <v>9204</v>
      </c>
      <c r="B884" s="1" t="s">
        <v>16374</v>
      </c>
      <c r="C884" s="3">
        <f>IF(B884="","",SUMIFS('Factory Costs'!$C:$C,'Factory Costs'!$A:$A,"Motor",'Factory Costs'!$B:$B,B884))</f>
        <v>62</v>
      </c>
    </row>
    <row r="885" spans="1:3" x14ac:dyDescent="0.25">
      <c r="A885" s="1" t="s">
        <v>9207</v>
      </c>
      <c r="B885" s="1" t="s">
        <v>16375</v>
      </c>
      <c r="C885" s="3">
        <f>IF(B885="","",SUMIFS('Factory Costs'!$C:$C,'Factory Costs'!$A:$A,"Motor",'Factory Costs'!$B:$B,B885))</f>
        <v>72</v>
      </c>
    </row>
    <row r="886" spans="1:3" x14ac:dyDescent="0.25">
      <c r="A886" s="1" t="s">
        <v>9210</v>
      </c>
      <c r="B886" s="1" t="s">
        <v>16374</v>
      </c>
      <c r="C886" s="3">
        <f>IF(B886="","",SUMIFS('Factory Costs'!$C:$C,'Factory Costs'!$A:$A,"Motor",'Factory Costs'!$B:$B,B886))</f>
        <v>62</v>
      </c>
    </row>
    <row r="887" spans="1:3" x14ac:dyDescent="0.25">
      <c r="A887" s="1" t="s">
        <v>9213</v>
      </c>
      <c r="B887" s="1" t="s">
        <v>16374</v>
      </c>
      <c r="C887" s="3">
        <f>IF(B887="","",SUMIFS('Factory Costs'!$C:$C,'Factory Costs'!$A:$A,"Motor",'Factory Costs'!$B:$B,B887))</f>
        <v>62</v>
      </c>
    </row>
    <row r="888" spans="1:3" x14ac:dyDescent="0.25">
      <c r="A888" s="1" t="s">
        <v>9216</v>
      </c>
      <c r="B888" s="1" t="s">
        <v>16374</v>
      </c>
      <c r="C888" s="3">
        <f>IF(B888="","",SUMIFS('Factory Costs'!$C:$C,'Factory Costs'!$A:$A,"Motor",'Factory Costs'!$B:$B,B888))</f>
        <v>62</v>
      </c>
    </row>
    <row r="889" spans="1:3" x14ac:dyDescent="0.25">
      <c r="A889" s="1" t="s">
        <v>9219</v>
      </c>
      <c r="B889" s="1" t="s">
        <v>16375</v>
      </c>
      <c r="C889" s="3">
        <f>IF(B889="","",SUMIFS('Factory Costs'!$C:$C,'Factory Costs'!$A:$A,"Motor",'Factory Costs'!$B:$B,B889))</f>
        <v>72</v>
      </c>
    </row>
    <row r="890" spans="1:3" x14ac:dyDescent="0.25">
      <c r="A890" s="1" t="s">
        <v>9222</v>
      </c>
      <c r="B890" s="1" t="s">
        <v>16375</v>
      </c>
      <c r="C890" s="3">
        <f>IF(B890="","",SUMIFS('Factory Costs'!$C:$C,'Factory Costs'!$A:$A,"Motor",'Factory Costs'!$B:$B,B890))</f>
        <v>72</v>
      </c>
    </row>
    <row r="891" spans="1:3" x14ac:dyDescent="0.25">
      <c r="A891" s="1" t="s">
        <v>9225</v>
      </c>
      <c r="B891" s="1" t="s">
        <v>16374</v>
      </c>
      <c r="C891" s="3">
        <f>IF(B891="","",SUMIFS('Factory Costs'!$C:$C,'Factory Costs'!$A:$A,"Motor",'Factory Costs'!$B:$B,B891))</f>
        <v>62</v>
      </c>
    </row>
    <row r="892" spans="1:3" x14ac:dyDescent="0.25">
      <c r="A892" s="1" t="s">
        <v>9228</v>
      </c>
      <c r="B892" s="1" t="s">
        <v>16375</v>
      </c>
      <c r="C892" s="3">
        <f>IF(B892="","",SUMIFS('Factory Costs'!$C:$C,'Factory Costs'!$A:$A,"Motor",'Factory Costs'!$B:$B,B892))</f>
        <v>72</v>
      </c>
    </row>
    <row r="893" spans="1:3" x14ac:dyDescent="0.25">
      <c r="A893" s="1" t="s">
        <v>9231</v>
      </c>
      <c r="B893" s="1" t="s">
        <v>16374</v>
      </c>
      <c r="C893" s="3">
        <f>IF(B893="","",SUMIFS('Factory Costs'!$C:$C,'Factory Costs'!$A:$A,"Motor",'Factory Costs'!$B:$B,B893))</f>
        <v>62</v>
      </c>
    </row>
    <row r="894" spans="1:3" x14ac:dyDescent="0.25">
      <c r="A894" s="1" t="s">
        <v>9234</v>
      </c>
      <c r="B894" s="1" t="s">
        <v>16374</v>
      </c>
      <c r="C894" s="3">
        <f>IF(B894="","",SUMIFS('Factory Costs'!$C:$C,'Factory Costs'!$A:$A,"Motor",'Factory Costs'!$B:$B,B894))</f>
        <v>62</v>
      </c>
    </row>
    <row r="895" spans="1:3" x14ac:dyDescent="0.25">
      <c r="A895" s="1" t="s">
        <v>9237</v>
      </c>
      <c r="B895" s="1" t="s">
        <v>16374</v>
      </c>
      <c r="C895" s="3">
        <f>IF(B895="","",SUMIFS('Factory Costs'!$C:$C,'Factory Costs'!$A:$A,"Motor",'Factory Costs'!$B:$B,B895))</f>
        <v>62</v>
      </c>
    </row>
    <row r="896" spans="1:3" x14ac:dyDescent="0.25">
      <c r="A896" s="1" t="s">
        <v>9240</v>
      </c>
      <c r="B896" s="1" t="s">
        <v>16375</v>
      </c>
      <c r="C896" s="3">
        <f>IF(B896="","",SUMIFS('Factory Costs'!$C:$C,'Factory Costs'!$A:$A,"Motor",'Factory Costs'!$B:$B,B896))</f>
        <v>72</v>
      </c>
    </row>
    <row r="897" spans="1:3" x14ac:dyDescent="0.25">
      <c r="A897" s="1" t="s">
        <v>9243</v>
      </c>
      <c r="B897" s="1" t="s">
        <v>16374</v>
      </c>
      <c r="C897" s="3">
        <f>IF(B897="","",SUMIFS('Factory Costs'!$C:$C,'Factory Costs'!$A:$A,"Motor",'Factory Costs'!$B:$B,B897))</f>
        <v>62</v>
      </c>
    </row>
    <row r="898" spans="1:3" x14ac:dyDescent="0.25">
      <c r="A898" s="1" t="s">
        <v>9246</v>
      </c>
      <c r="B898" s="1" t="s">
        <v>16375</v>
      </c>
      <c r="C898" s="3">
        <f>IF(B898="","",SUMIFS('Factory Costs'!$C:$C,'Factory Costs'!$A:$A,"Motor",'Factory Costs'!$B:$B,B898))</f>
        <v>72</v>
      </c>
    </row>
    <row r="899" spans="1:3" x14ac:dyDescent="0.25">
      <c r="A899" s="1" t="s">
        <v>9249</v>
      </c>
      <c r="B899" s="1" t="s">
        <v>16374</v>
      </c>
      <c r="C899" s="3">
        <f>IF(B899="","",SUMIFS('Factory Costs'!$C:$C,'Factory Costs'!$A:$A,"Motor",'Factory Costs'!$B:$B,B899))</f>
        <v>62</v>
      </c>
    </row>
    <row r="900" spans="1:3" x14ac:dyDescent="0.25">
      <c r="A900" s="1" t="s">
        <v>9252</v>
      </c>
      <c r="B900" s="1" t="s">
        <v>16374</v>
      </c>
      <c r="C900" s="3">
        <f>IF(B900="","",SUMIFS('Factory Costs'!$C:$C,'Factory Costs'!$A:$A,"Motor",'Factory Costs'!$B:$B,B900))</f>
        <v>62</v>
      </c>
    </row>
    <row r="901" spans="1:3" x14ac:dyDescent="0.25">
      <c r="A901" s="1" t="s">
        <v>9255</v>
      </c>
      <c r="B901" s="1" t="s">
        <v>16374</v>
      </c>
      <c r="C901" s="3">
        <f>IF(B901="","",SUMIFS('Factory Costs'!$C:$C,'Factory Costs'!$A:$A,"Motor",'Factory Costs'!$B:$B,B901))</f>
        <v>62</v>
      </c>
    </row>
    <row r="902" spans="1:3" x14ac:dyDescent="0.25">
      <c r="A902" s="1" t="s">
        <v>9258</v>
      </c>
      <c r="B902" s="1" t="s">
        <v>16374</v>
      </c>
      <c r="C902" s="3">
        <f>IF(B902="","",SUMIFS('Factory Costs'!$C:$C,'Factory Costs'!$A:$A,"Motor",'Factory Costs'!$B:$B,B902))</f>
        <v>62</v>
      </c>
    </row>
    <row r="903" spans="1:3" x14ac:dyDescent="0.25">
      <c r="A903" s="1" t="s">
        <v>9261</v>
      </c>
      <c r="B903" s="1" t="s">
        <v>16375</v>
      </c>
      <c r="C903" s="3">
        <f>IF(B903="","",SUMIFS('Factory Costs'!$C:$C,'Factory Costs'!$A:$A,"Motor",'Factory Costs'!$B:$B,B903))</f>
        <v>72</v>
      </c>
    </row>
    <row r="904" spans="1:3" x14ac:dyDescent="0.25">
      <c r="A904" s="1" t="s">
        <v>9264</v>
      </c>
      <c r="B904" s="1" t="s">
        <v>16374</v>
      </c>
      <c r="C904" s="3">
        <f>IF(B904="","",SUMIFS('Factory Costs'!$C:$C,'Factory Costs'!$A:$A,"Motor",'Factory Costs'!$B:$B,B904))</f>
        <v>62</v>
      </c>
    </row>
    <row r="905" spans="1:3" x14ac:dyDescent="0.25">
      <c r="A905" s="1" t="s">
        <v>9267</v>
      </c>
      <c r="B905" s="1" t="s">
        <v>16374</v>
      </c>
      <c r="C905" s="3">
        <f>IF(B905="","",SUMIFS('Factory Costs'!$C:$C,'Factory Costs'!$A:$A,"Motor",'Factory Costs'!$B:$B,B905))</f>
        <v>62</v>
      </c>
    </row>
    <row r="906" spans="1:3" x14ac:dyDescent="0.25">
      <c r="A906" s="1" t="s">
        <v>9270</v>
      </c>
      <c r="B906" s="1" t="s">
        <v>16374</v>
      </c>
      <c r="C906" s="3">
        <f>IF(B906="","",SUMIFS('Factory Costs'!$C:$C,'Factory Costs'!$A:$A,"Motor",'Factory Costs'!$B:$B,B906))</f>
        <v>62</v>
      </c>
    </row>
    <row r="907" spans="1:3" x14ac:dyDescent="0.25">
      <c r="A907" s="1" t="s">
        <v>9273</v>
      </c>
      <c r="B907" s="1" t="s">
        <v>16374</v>
      </c>
      <c r="C907" s="3">
        <f>IF(B907="","",SUMIFS('Factory Costs'!$C:$C,'Factory Costs'!$A:$A,"Motor",'Factory Costs'!$B:$B,B907))</f>
        <v>62</v>
      </c>
    </row>
    <row r="908" spans="1:3" x14ac:dyDescent="0.25">
      <c r="A908" s="1" t="s">
        <v>9276</v>
      </c>
      <c r="B908" s="1" t="s">
        <v>16374</v>
      </c>
      <c r="C908" s="3">
        <f>IF(B908="","",SUMIFS('Factory Costs'!$C:$C,'Factory Costs'!$A:$A,"Motor",'Factory Costs'!$B:$B,B908))</f>
        <v>62</v>
      </c>
    </row>
    <row r="909" spans="1:3" x14ac:dyDescent="0.25">
      <c r="A909" s="1" t="s">
        <v>9279</v>
      </c>
      <c r="B909" s="1" t="s">
        <v>16374</v>
      </c>
      <c r="C909" s="3">
        <f>IF(B909="","",SUMIFS('Factory Costs'!$C:$C,'Factory Costs'!$A:$A,"Motor",'Factory Costs'!$B:$B,B909))</f>
        <v>62</v>
      </c>
    </row>
    <row r="910" spans="1:3" x14ac:dyDescent="0.25">
      <c r="A910" s="1" t="s">
        <v>9282</v>
      </c>
      <c r="B910" s="1" t="s">
        <v>16375</v>
      </c>
      <c r="C910" s="3">
        <f>IF(B910="","",SUMIFS('Factory Costs'!$C:$C,'Factory Costs'!$A:$A,"Motor",'Factory Costs'!$B:$B,B910))</f>
        <v>72</v>
      </c>
    </row>
    <row r="911" spans="1:3" x14ac:dyDescent="0.25">
      <c r="A911" s="1" t="s">
        <v>9285</v>
      </c>
      <c r="B911" s="1" t="s">
        <v>16374</v>
      </c>
      <c r="C911" s="3">
        <f>IF(B911="","",SUMIFS('Factory Costs'!$C:$C,'Factory Costs'!$A:$A,"Motor",'Factory Costs'!$B:$B,B911))</f>
        <v>62</v>
      </c>
    </row>
    <row r="912" spans="1:3" x14ac:dyDescent="0.25">
      <c r="A912" s="1" t="s">
        <v>9288</v>
      </c>
      <c r="B912" s="1" t="s">
        <v>16375</v>
      </c>
      <c r="C912" s="3">
        <f>IF(B912="","",SUMIFS('Factory Costs'!$C:$C,'Factory Costs'!$A:$A,"Motor",'Factory Costs'!$B:$B,B912))</f>
        <v>72</v>
      </c>
    </row>
    <row r="913" spans="1:3" x14ac:dyDescent="0.25">
      <c r="A913" s="1" t="s">
        <v>9291</v>
      </c>
      <c r="B913" s="1" t="s">
        <v>16374</v>
      </c>
      <c r="C913" s="3">
        <f>IF(B913="","",SUMIFS('Factory Costs'!$C:$C,'Factory Costs'!$A:$A,"Motor",'Factory Costs'!$B:$B,B913))</f>
        <v>62</v>
      </c>
    </row>
    <row r="914" spans="1:3" x14ac:dyDescent="0.25">
      <c r="A914" s="1" t="s">
        <v>9294</v>
      </c>
      <c r="B914" s="1" t="s">
        <v>16374</v>
      </c>
      <c r="C914" s="3">
        <f>IF(B914="","",SUMIFS('Factory Costs'!$C:$C,'Factory Costs'!$A:$A,"Motor",'Factory Costs'!$B:$B,B914))</f>
        <v>62</v>
      </c>
    </row>
    <row r="915" spans="1:3" x14ac:dyDescent="0.25">
      <c r="A915" s="1" t="s">
        <v>9297</v>
      </c>
      <c r="B915" s="1" t="s">
        <v>16374</v>
      </c>
      <c r="C915" s="3">
        <f>IF(B915="","",SUMIFS('Factory Costs'!$C:$C,'Factory Costs'!$A:$A,"Motor",'Factory Costs'!$B:$B,B915))</f>
        <v>62</v>
      </c>
    </row>
    <row r="916" spans="1:3" x14ac:dyDescent="0.25">
      <c r="A916" s="1" t="s">
        <v>9300</v>
      </c>
      <c r="B916" s="1" t="s">
        <v>16375</v>
      </c>
      <c r="C916" s="3">
        <f>IF(B916="","",SUMIFS('Factory Costs'!$C:$C,'Factory Costs'!$A:$A,"Motor",'Factory Costs'!$B:$B,B916))</f>
        <v>72</v>
      </c>
    </row>
    <row r="917" spans="1:3" x14ac:dyDescent="0.25">
      <c r="A917" s="1" t="s">
        <v>9303</v>
      </c>
      <c r="B917" s="1" t="s">
        <v>16375</v>
      </c>
      <c r="C917" s="3">
        <f>IF(B917="","",SUMIFS('Factory Costs'!$C:$C,'Factory Costs'!$A:$A,"Motor",'Factory Costs'!$B:$B,B917))</f>
        <v>72</v>
      </c>
    </row>
    <row r="918" spans="1:3" x14ac:dyDescent="0.25">
      <c r="A918" s="1" t="s">
        <v>9306</v>
      </c>
      <c r="B918" s="1" t="s">
        <v>16374</v>
      </c>
      <c r="C918" s="3">
        <f>IF(B918="","",SUMIFS('Factory Costs'!$C:$C,'Factory Costs'!$A:$A,"Motor",'Factory Costs'!$B:$B,B918))</f>
        <v>62</v>
      </c>
    </row>
    <row r="919" spans="1:3" x14ac:dyDescent="0.25">
      <c r="A919" s="1" t="s">
        <v>9309</v>
      </c>
      <c r="B919" s="1" t="s">
        <v>16374</v>
      </c>
      <c r="C919" s="3">
        <f>IF(B919="","",SUMIFS('Factory Costs'!$C:$C,'Factory Costs'!$A:$A,"Motor",'Factory Costs'!$B:$B,B919))</f>
        <v>62</v>
      </c>
    </row>
    <row r="920" spans="1:3" x14ac:dyDescent="0.25">
      <c r="A920" s="1" t="s">
        <v>9312</v>
      </c>
      <c r="B920" s="1" t="s">
        <v>16374</v>
      </c>
      <c r="C920" s="3">
        <f>IF(B920="","",SUMIFS('Factory Costs'!$C:$C,'Factory Costs'!$A:$A,"Motor",'Factory Costs'!$B:$B,B920))</f>
        <v>62</v>
      </c>
    </row>
    <row r="921" spans="1:3" x14ac:dyDescent="0.25">
      <c r="A921" s="1" t="s">
        <v>9315</v>
      </c>
      <c r="B921" s="1" t="s">
        <v>16374</v>
      </c>
      <c r="C921" s="3">
        <f>IF(B921="","",SUMIFS('Factory Costs'!$C:$C,'Factory Costs'!$A:$A,"Motor",'Factory Costs'!$B:$B,B921))</f>
        <v>62</v>
      </c>
    </row>
    <row r="922" spans="1:3" x14ac:dyDescent="0.25">
      <c r="A922" s="1" t="s">
        <v>9318</v>
      </c>
      <c r="B922" s="1" t="s">
        <v>16374</v>
      </c>
      <c r="C922" s="3">
        <f>IF(B922="","",SUMIFS('Factory Costs'!$C:$C,'Factory Costs'!$A:$A,"Motor",'Factory Costs'!$B:$B,B922))</f>
        <v>62</v>
      </c>
    </row>
    <row r="923" spans="1:3" x14ac:dyDescent="0.25">
      <c r="A923" s="1" t="s">
        <v>9321</v>
      </c>
      <c r="B923" s="1" t="s">
        <v>16374</v>
      </c>
      <c r="C923" s="3">
        <f>IF(B923="","",SUMIFS('Factory Costs'!$C:$C,'Factory Costs'!$A:$A,"Motor",'Factory Costs'!$B:$B,B923))</f>
        <v>62</v>
      </c>
    </row>
    <row r="924" spans="1:3" x14ac:dyDescent="0.25">
      <c r="A924" s="1" t="s">
        <v>9324</v>
      </c>
      <c r="B924" s="1" t="s">
        <v>16374</v>
      </c>
      <c r="C924" s="3">
        <f>IF(B924="","",SUMIFS('Factory Costs'!$C:$C,'Factory Costs'!$A:$A,"Motor",'Factory Costs'!$B:$B,B924))</f>
        <v>62</v>
      </c>
    </row>
    <row r="925" spans="1:3" x14ac:dyDescent="0.25">
      <c r="A925" s="1" t="s">
        <v>9327</v>
      </c>
      <c r="B925" s="1" t="s">
        <v>16375</v>
      </c>
      <c r="C925" s="3">
        <f>IF(B925="","",SUMIFS('Factory Costs'!$C:$C,'Factory Costs'!$A:$A,"Motor",'Factory Costs'!$B:$B,B925))</f>
        <v>72</v>
      </c>
    </row>
    <row r="926" spans="1:3" x14ac:dyDescent="0.25">
      <c r="A926" s="1" t="s">
        <v>9330</v>
      </c>
      <c r="B926" s="1" t="s">
        <v>16374</v>
      </c>
      <c r="C926" s="3">
        <f>IF(B926="","",SUMIFS('Factory Costs'!$C:$C,'Factory Costs'!$A:$A,"Motor",'Factory Costs'!$B:$B,B926))</f>
        <v>62</v>
      </c>
    </row>
    <row r="927" spans="1:3" x14ac:dyDescent="0.25">
      <c r="A927" s="1" t="s">
        <v>9333</v>
      </c>
      <c r="B927" s="1" t="s">
        <v>16374</v>
      </c>
      <c r="C927" s="3">
        <f>IF(B927="","",SUMIFS('Factory Costs'!$C:$C,'Factory Costs'!$A:$A,"Motor",'Factory Costs'!$B:$B,B927))</f>
        <v>62</v>
      </c>
    </row>
    <row r="928" spans="1:3" x14ac:dyDescent="0.25">
      <c r="A928" s="1" t="s">
        <v>9336</v>
      </c>
      <c r="B928" s="1" t="s">
        <v>16375</v>
      </c>
      <c r="C928" s="3">
        <f>IF(B928="","",SUMIFS('Factory Costs'!$C:$C,'Factory Costs'!$A:$A,"Motor",'Factory Costs'!$B:$B,B928))</f>
        <v>72</v>
      </c>
    </row>
    <row r="929" spans="1:3" x14ac:dyDescent="0.25">
      <c r="A929" s="1" t="s">
        <v>9339</v>
      </c>
      <c r="B929" s="1" t="s">
        <v>16375</v>
      </c>
      <c r="C929" s="3">
        <f>IF(B929="","",SUMIFS('Factory Costs'!$C:$C,'Factory Costs'!$A:$A,"Motor",'Factory Costs'!$B:$B,B929))</f>
        <v>72</v>
      </c>
    </row>
    <row r="930" spans="1:3" x14ac:dyDescent="0.25">
      <c r="A930" s="1" t="s">
        <v>9342</v>
      </c>
      <c r="B930" s="1" t="s">
        <v>16375</v>
      </c>
      <c r="C930" s="3">
        <f>IF(B930="","",SUMIFS('Factory Costs'!$C:$C,'Factory Costs'!$A:$A,"Motor",'Factory Costs'!$B:$B,B930))</f>
        <v>72</v>
      </c>
    </row>
    <row r="931" spans="1:3" x14ac:dyDescent="0.25">
      <c r="A931" s="1" t="s">
        <v>9345</v>
      </c>
      <c r="B931" s="1" t="s">
        <v>16374</v>
      </c>
      <c r="C931" s="3">
        <f>IF(B931="","",SUMIFS('Factory Costs'!$C:$C,'Factory Costs'!$A:$A,"Motor",'Factory Costs'!$B:$B,B931))</f>
        <v>62</v>
      </c>
    </row>
    <row r="932" spans="1:3" x14ac:dyDescent="0.25">
      <c r="A932" s="1" t="s">
        <v>9348</v>
      </c>
      <c r="B932" s="1" t="s">
        <v>16374</v>
      </c>
      <c r="C932" s="3">
        <f>IF(B932="","",SUMIFS('Factory Costs'!$C:$C,'Factory Costs'!$A:$A,"Motor",'Factory Costs'!$B:$B,B932))</f>
        <v>62</v>
      </c>
    </row>
    <row r="933" spans="1:3" x14ac:dyDescent="0.25">
      <c r="A933" s="1" t="s">
        <v>9351</v>
      </c>
      <c r="B933" s="1" t="s">
        <v>16374</v>
      </c>
      <c r="C933" s="3">
        <f>IF(B933="","",SUMIFS('Factory Costs'!$C:$C,'Factory Costs'!$A:$A,"Motor",'Factory Costs'!$B:$B,B933))</f>
        <v>62</v>
      </c>
    </row>
    <row r="934" spans="1:3" x14ac:dyDescent="0.25">
      <c r="A934" s="1" t="s">
        <v>9354</v>
      </c>
      <c r="B934" s="1" t="s">
        <v>16374</v>
      </c>
      <c r="C934" s="3">
        <f>IF(B934="","",SUMIFS('Factory Costs'!$C:$C,'Factory Costs'!$A:$A,"Motor",'Factory Costs'!$B:$B,B934))</f>
        <v>62</v>
      </c>
    </row>
    <row r="935" spans="1:3" x14ac:dyDescent="0.25">
      <c r="A935" s="1" t="s">
        <v>9357</v>
      </c>
      <c r="B935" s="1" t="s">
        <v>16374</v>
      </c>
      <c r="C935" s="3">
        <f>IF(B935="","",SUMIFS('Factory Costs'!$C:$C,'Factory Costs'!$A:$A,"Motor",'Factory Costs'!$B:$B,B935))</f>
        <v>62</v>
      </c>
    </row>
    <row r="936" spans="1:3" x14ac:dyDescent="0.25">
      <c r="A936" s="1" t="s">
        <v>9360</v>
      </c>
      <c r="B936" s="1" t="s">
        <v>16374</v>
      </c>
      <c r="C936" s="3">
        <f>IF(B936="","",SUMIFS('Factory Costs'!$C:$C,'Factory Costs'!$A:$A,"Motor",'Factory Costs'!$B:$B,B936))</f>
        <v>62</v>
      </c>
    </row>
    <row r="937" spans="1:3" x14ac:dyDescent="0.25">
      <c r="A937" s="1" t="s">
        <v>9363</v>
      </c>
      <c r="B937" s="1" t="s">
        <v>16374</v>
      </c>
      <c r="C937" s="3">
        <f>IF(B937="","",SUMIFS('Factory Costs'!$C:$C,'Factory Costs'!$A:$A,"Motor",'Factory Costs'!$B:$B,B937))</f>
        <v>62</v>
      </c>
    </row>
    <row r="938" spans="1:3" x14ac:dyDescent="0.25">
      <c r="A938" s="1" t="s">
        <v>9366</v>
      </c>
      <c r="B938" s="1" t="s">
        <v>16375</v>
      </c>
      <c r="C938" s="3">
        <f>IF(B938="","",SUMIFS('Factory Costs'!$C:$C,'Factory Costs'!$A:$A,"Motor",'Factory Costs'!$B:$B,B938))</f>
        <v>72</v>
      </c>
    </row>
    <row r="939" spans="1:3" x14ac:dyDescent="0.25">
      <c r="A939" s="1" t="s">
        <v>9369</v>
      </c>
      <c r="B939" s="1" t="s">
        <v>16374</v>
      </c>
      <c r="C939" s="3">
        <f>IF(B939="","",SUMIFS('Factory Costs'!$C:$C,'Factory Costs'!$A:$A,"Motor",'Factory Costs'!$B:$B,B939))</f>
        <v>62</v>
      </c>
    </row>
    <row r="940" spans="1:3" x14ac:dyDescent="0.25">
      <c r="A940" s="1" t="s">
        <v>9372</v>
      </c>
      <c r="B940" s="1" t="s">
        <v>16374</v>
      </c>
      <c r="C940" s="3">
        <f>IF(B940="","",SUMIFS('Factory Costs'!$C:$C,'Factory Costs'!$A:$A,"Motor",'Factory Costs'!$B:$B,B940))</f>
        <v>62</v>
      </c>
    </row>
    <row r="941" spans="1:3" x14ac:dyDescent="0.25">
      <c r="A941" s="1" t="s">
        <v>9375</v>
      </c>
      <c r="B941" s="1" t="s">
        <v>16374</v>
      </c>
      <c r="C941" s="3">
        <f>IF(B941="","",SUMIFS('Factory Costs'!$C:$C,'Factory Costs'!$A:$A,"Motor",'Factory Costs'!$B:$B,B941))</f>
        <v>62</v>
      </c>
    </row>
    <row r="942" spans="1:3" x14ac:dyDescent="0.25">
      <c r="A942" s="1" t="s">
        <v>9378</v>
      </c>
      <c r="B942" s="1" t="s">
        <v>16374</v>
      </c>
      <c r="C942" s="3">
        <f>IF(B942="","",SUMIFS('Factory Costs'!$C:$C,'Factory Costs'!$A:$A,"Motor",'Factory Costs'!$B:$B,B942))</f>
        <v>62</v>
      </c>
    </row>
    <row r="943" spans="1:3" x14ac:dyDescent="0.25">
      <c r="A943" s="1" t="s">
        <v>9381</v>
      </c>
      <c r="B943" s="1" t="s">
        <v>16374</v>
      </c>
      <c r="C943" s="3">
        <f>IF(B943="","",SUMIFS('Factory Costs'!$C:$C,'Factory Costs'!$A:$A,"Motor",'Factory Costs'!$B:$B,B943))</f>
        <v>62</v>
      </c>
    </row>
    <row r="944" spans="1:3" x14ac:dyDescent="0.25">
      <c r="A944" s="1" t="s">
        <v>9384</v>
      </c>
      <c r="B944" s="1" t="s">
        <v>16375</v>
      </c>
      <c r="C944" s="3">
        <f>IF(B944="","",SUMIFS('Factory Costs'!$C:$C,'Factory Costs'!$A:$A,"Motor",'Factory Costs'!$B:$B,B944))</f>
        <v>72</v>
      </c>
    </row>
    <row r="945" spans="1:3" x14ac:dyDescent="0.25">
      <c r="A945" s="1" t="s">
        <v>9387</v>
      </c>
      <c r="B945" s="1" t="s">
        <v>16374</v>
      </c>
      <c r="C945" s="3">
        <f>IF(B945="","",SUMIFS('Factory Costs'!$C:$C,'Factory Costs'!$A:$A,"Motor",'Factory Costs'!$B:$B,B945))</f>
        <v>62</v>
      </c>
    </row>
    <row r="946" spans="1:3" x14ac:dyDescent="0.25">
      <c r="A946" s="1" t="s">
        <v>9390</v>
      </c>
      <c r="B946" s="1" t="s">
        <v>16374</v>
      </c>
      <c r="C946" s="3">
        <f>IF(B946="","",SUMIFS('Factory Costs'!$C:$C,'Factory Costs'!$A:$A,"Motor",'Factory Costs'!$B:$B,B946))</f>
        <v>62</v>
      </c>
    </row>
    <row r="947" spans="1:3" x14ac:dyDescent="0.25">
      <c r="A947" s="1" t="s">
        <v>9393</v>
      </c>
      <c r="B947" s="1" t="s">
        <v>16375</v>
      </c>
      <c r="C947" s="3">
        <f>IF(B947="","",SUMIFS('Factory Costs'!$C:$C,'Factory Costs'!$A:$A,"Motor",'Factory Costs'!$B:$B,B947))</f>
        <v>72</v>
      </c>
    </row>
    <row r="948" spans="1:3" x14ac:dyDescent="0.25">
      <c r="A948" s="1" t="s">
        <v>9396</v>
      </c>
      <c r="B948" s="1" t="s">
        <v>16374</v>
      </c>
      <c r="C948" s="3">
        <f>IF(B948="","",SUMIFS('Factory Costs'!$C:$C,'Factory Costs'!$A:$A,"Motor",'Factory Costs'!$B:$B,B948))</f>
        <v>62</v>
      </c>
    </row>
    <row r="949" spans="1:3" x14ac:dyDescent="0.25">
      <c r="A949" s="1" t="s">
        <v>9399</v>
      </c>
      <c r="B949" s="1" t="s">
        <v>16375</v>
      </c>
      <c r="C949" s="3">
        <f>IF(B949="","",SUMIFS('Factory Costs'!$C:$C,'Factory Costs'!$A:$A,"Motor",'Factory Costs'!$B:$B,B949))</f>
        <v>72</v>
      </c>
    </row>
    <row r="950" spans="1:3" x14ac:dyDescent="0.25">
      <c r="A950" s="1" t="s">
        <v>9402</v>
      </c>
      <c r="B950" s="1" t="s">
        <v>16374</v>
      </c>
      <c r="C950" s="3">
        <f>IF(B950="","",SUMIFS('Factory Costs'!$C:$C,'Factory Costs'!$A:$A,"Motor",'Factory Costs'!$B:$B,B950))</f>
        <v>62</v>
      </c>
    </row>
    <row r="951" spans="1:3" x14ac:dyDescent="0.25">
      <c r="A951" s="1" t="s">
        <v>9405</v>
      </c>
      <c r="B951" s="1" t="s">
        <v>16375</v>
      </c>
      <c r="C951" s="3">
        <f>IF(B951="","",SUMIFS('Factory Costs'!$C:$C,'Factory Costs'!$A:$A,"Motor",'Factory Costs'!$B:$B,B951))</f>
        <v>72</v>
      </c>
    </row>
    <row r="952" spans="1:3" x14ac:dyDescent="0.25">
      <c r="A952" s="1" t="s">
        <v>9408</v>
      </c>
      <c r="B952" s="1" t="s">
        <v>16374</v>
      </c>
      <c r="C952" s="3">
        <f>IF(B952="","",SUMIFS('Factory Costs'!$C:$C,'Factory Costs'!$A:$A,"Motor",'Factory Costs'!$B:$B,B952))</f>
        <v>62</v>
      </c>
    </row>
    <row r="953" spans="1:3" x14ac:dyDescent="0.25">
      <c r="A953" s="1" t="s">
        <v>9411</v>
      </c>
      <c r="B953" s="1" t="s">
        <v>16374</v>
      </c>
      <c r="C953" s="3">
        <f>IF(B953="","",SUMIFS('Factory Costs'!$C:$C,'Factory Costs'!$A:$A,"Motor",'Factory Costs'!$B:$B,B953))</f>
        <v>62</v>
      </c>
    </row>
    <row r="954" spans="1:3" x14ac:dyDescent="0.25">
      <c r="A954" s="1" t="s">
        <v>9414</v>
      </c>
      <c r="B954" s="1" t="s">
        <v>16375</v>
      </c>
      <c r="C954" s="3">
        <f>IF(B954="","",SUMIFS('Factory Costs'!$C:$C,'Factory Costs'!$A:$A,"Motor",'Factory Costs'!$B:$B,B954))</f>
        <v>72</v>
      </c>
    </row>
    <row r="955" spans="1:3" x14ac:dyDescent="0.25">
      <c r="A955" s="1" t="s">
        <v>9417</v>
      </c>
      <c r="B955" s="1" t="s">
        <v>16375</v>
      </c>
      <c r="C955" s="3">
        <f>IF(B955="","",SUMIFS('Factory Costs'!$C:$C,'Factory Costs'!$A:$A,"Motor",'Factory Costs'!$B:$B,B955))</f>
        <v>72</v>
      </c>
    </row>
    <row r="956" spans="1:3" x14ac:dyDescent="0.25">
      <c r="A956" s="1" t="s">
        <v>9420</v>
      </c>
      <c r="B956" s="1" t="s">
        <v>16375</v>
      </c>
      <c r="C956" s="3">
        <f>IF(B956="","",SUMIFS('Factory Costs'!$C:$C,'Factory Costs'!$A:$A,"Motor",'Factory Costs'!$B:$B,B956))</f>
        <v>72</v>
      </c>
    </row>
    <row r="957" spans="1:3" x14ac:dyDescent="0.25">
      <c r="A957" s="1" t="s">
        <v>9423</v>
      </c>
      <c r="B957" s="1" t="s">
        <v>16374</v>
      </c>
      <c r="C957" s="3">
        <f>IF(B957="","",SUMIFS('Factory Costs'!$C:$C,'Factory Costs'!$A:$A,"Motor",'Factory Costs'!$B:$B,B957))</f>
        <v>62</v>
      </c>
    </row>
    <row r="958" spans="1:3" x14ac:dyDescent="0.25">
      <c r="A958" s="1" t="s">
        <v>9426</v>
      </c>
      <c r="B958" s="1" t="s">
        <v>16375</v>
      </c>
      <c r="C958" s="3">
        <f>IF(B958="","",SUMIFS('Factory Costs'!$C:$C,'Factory Costs'!$A:$A,"Motor",'Factory Costs'!$B:$B,B958))</f>
        <v>72</v>
      </c>
    </row>
    <row r="959" spans="1:3" x14ac:dyDescent="0.25">
      <c r="A959" s="1" t="s">
        <v>9429</v>
      </c>
      <c r="B959" s="1" t="s">
        <v>16375</v>
      </c>
      <c r="C959" s="3">
        <f>IF(B959="","",SUMIFS('Factory Costs'!$C:$C,'Factory Costs'!$A:$A,"Motor",'Factory Costs'!$B:$B,B959))</f>
        <v>72</v>
      </c>
    </row>
    <row r="960" spans="1:3" x14ac:dyDescent="0.25">
      <c r="A960" s="1" t="s">
        <v>9432</v>
      </c>
      <c r="B960" s="1" t="s">
        <v>16375</v>
      </c>
      <c r="C960" s="3">
        <f>IF(B960="","",SUMIFS('Factory Costs'!$C:$C,'Factory Costs'!$A:$A,"Motor",'Factory Costs'!$B:$B,B960))</f>
        <v>72</v>
      </c>
    </row>
    <row r="961" spans="1:3" x14ac:dyDescent="0.25">
      <c r="A961" s="1" t="s">
        <v>9435</v>
      </c>
      <c r="B961" s="1" t="s">
        <v>16374</v>
      </c>
      <c r="C961" s="3">
        <f>IF(B961="","",SUMIFS('Factory Costs'!$C:$C,'Factory Costs'!$A:$A,"Motor",'Factory Costs'!$B:$B,B961))</f>
        <v>62</v>
      </c>
    </row>
    <row r="962" spans="1:3" x14ac:dyDescent="0.25">
      <c r="A962" s="1" t="s">
        <v>9438</v>
      </c>
      <c r="B962" s="1" t="s">
        <v>16375</v>
      </c>
      <c r="C962" s="3">
        <f>IF(B962="","",SUMIFS('Factory Costs'!$C:$C,'Factory Costs'!$A:$A,"Motor",'Factory Costs'!$B:$B,B962))</f>
        <v>72</v>
      </c>
    </row>
    <row r="963" spans="1:3" x14ac:dyDescent="0.25">
      <c r="A963" s="1" t="s">
        <v>9441</v>
      </c>
      <c r="B963" s="1" t="s">
        <v>16375</v>
      </c>
      <c r="C963" s="3">
        <f>IF(B963="","",SUMIFS('Factory Costs'!$C:$C,'Factory Costs'!$A:$A,"Motor",'Factory Costs'!$B:$B,B963))</f>
        <v>72</v>
      </c>
    </row>
    <row r="964" spans="1:3" x14ac:dyDescent="0.25">
      <c r="A964" s="1" t="s">
        <v>9444</v>
      </c>
      <c r="B964" s="1" t="s">
        <v>16374</v>
      </c>
      <c r="C964" s="3">
        <f>IF(B964="","",SUMIFS('Factory Costs'!$C:$C,'Factory Costs'!$A:$A,"Motor",'Factory Costs'!$B:$B,B964))</f>
        <v>62</v>
      </c>
    </row>
    <row r="965" spans="1:3" x14ac:dyDescent="0.25">
      <c r="A965" s="1" t="s">
        <v>9447</v>
      </c>
      <c r="B965" s="1" t="s">
        <v>16374</v>
      </c>
      <c r="C965" s="3">
        <f>IF(B965="","",SUMIFS('Factory Costs'!$C:$C,'Factory Costs'!$A:$A,"Motor",'Factory Costs'!$B:$B,B965))</f>
        <v>62</v>
      </c>
    </row>
    <row r="966" spans="1:3" x14ac:dyDescent="0.25">
      <c r="A966" s="1" t="s">
        <v>9450</v>
      </c>
      <c r="B966" s="1" t="s">
        <v>16375</v>
      </c>
      <c r="C966" s="3">
        <f>IF(B966="","",SUMIFS('Factory Costs'!$C:$C,'Factory Costs'!$A:$A,"Motor",'Factory Costs'!$B:$B,B966))</f>
        <v>72</v>
      </c>
    </row>
    <row r="967" spans="1:3" x14ac:dyDescent="0.25">
      <c r="A967" s="1" t="s">
        <v>9453</v>
      </c>
      <c r="B967" s="1" t="s">
        <v>16374</v>
      </c>
      <c r="C967" s="3">
        <f>IF(B967="","",SUMIFS('Factory Costs'!$C:$C,'Factory Costs'!$A:$A,"Motor",'Factory Costs'!$B:$B,B967))</f>
        <v>62</v>
      </c>
    </row>
    <row r="968" spans="1:3" x14ac:dyDescent="0.25">
      <c r="A968" s="1" t="s">
        <v>9456</v>
      </c>
      <c r="B968" s="1" t="s">
        <v>16374</v>
      </c>
      <c r="C968" s="3">
        <f>IF(B968="","",SUMIFS('Factory Costs'!$C:$C,'Factory Costs'!$A:$A,"Motor",'Factory Costs'!$B:$B,B968))</f>
        <v>62</v>
      </c>
    </row>
    <row r="969" spans="1:3" x14ac:dyDescent="0.25">
      <c r="A969" s="1" t="s">
        <v>9459</v>
      </c>
      <c r="B969" s="1" t="s">
        <v>16374</v>
      </c>
      <c r="C969" s="3">
        <f>IF(B969="","",SUMIFS('Factory Costs'!$C:$C,'Factory Costs'!$A:$A,"Motor",'Factory Costs'!$B:$B,B969))</f>
        <v>62</v>
      </c>
    </row>
    <row r="970" spans="1:3" x14ac:dyDescent="0.25">
      <c r="A970" s="1" t="s">
        <v>9462</v>
      </c>
      <c r="B970" s="1" t="s">
        <v>16375</v>
      </c>
      <c r="C970" s="3">
        <f>IF(B970="","",SUMIFS('Factory Costs'!$C:$C,'Factory Costs'!$A:$A,"Motor",'Factory Costs'!$B:$B,B970))</f>
        <v>72</v>
      </c>
    </row>
    <row r="971" spans="1:3" x14ac:dyDescent="0.25">
      <c r="A971" s="1" t="s">
        <v>9465</v>
      </c>
      <c r="B971" s="1" t="s">
        <v>16374</v>
      </c>
      <c r="C971" s="3">
        <f>IF(B971="","",SUMIFS('Factory Costs'!$C:$C,'Factory Costs'!$A:$A,"Motor",'Factory Costs'!$B:$B,B971))</f>
        <v>62</v>
      </c>
    </row>
    <row r="972" spans="1:3" x14ac:dyDescent="0.25">
      <c r="A972" s="1" t="s">
        <v>9468</v>
      </c>
      <c r="B972" s="1" t="s">
        <v>16374</v>
      </c>
      <c r="C972" s="3">
        <f>IF(B972="","",SUMIFS('Factory Costs'!$C:$C,'Factory Costs'!$A:$A,"Motor",'Factory Costs'!$B:$B,B972))</f>
        <v>62</v>
      </c>
    </row>
    <row r="973" spans="1:3" x14ac:dyDescent="0.25">
      <c r="A973" s="1" t="s">
        <v>9471</v>
      </c>
      <c r="B973" s="1" t="s">
        <v>16374</v>
      </c>
      <c r="C973" s="3">
        <f>IF(B973="","",SUMIFS('Factory Costs'!$C:$C,'Factory Costs'!$A:$A,"Motor",'Factory Costs'!$B:$B,B973))</f>
        <v>62</v>
      </c>
    </row>
    <row r="974" spans="1:3" x14ac:dyDescent="0.25">
      <c r="A974" s="1" t="s">
        <v>9474</v>
      </c>
      <c r="B974" s="1" t="s">
        <v>16374</v>
      </c>
      <c r="C974" s="3">
        <f>IF(B974="","",SUMIFS('Factory Costs'!$C:$C,'Factory Costs'!$A:$A,"Motor",'Factory Costs'!$B:$B,B974))</f>
        <v>62</v>
      </c>
    </row>
    <row r="975" spans="1:3" x14ac:dyDescent="0.25">
      <c r="A975" s="1" t="s">
        <v>9477</v>
      </c>
      <c r="B975" s="1" t="s">
        <v>16374</v>
      </c>
      <c r="C975" s="3">
        <f>IF(B975="","",SUMIFS('Factory Costs'!$C:$C,'Factory Costs'!$A:$A,"Motor",'Factory Costs'!$B:$B,B975))</f>
        <v>62</v>
      </c>
    </row>
    <row r="976" spans="1:3" x14ac:dyDescent="0.25">
      <c r="A976" s="1" t="s">
        <v>9480</v>
      </c>
      <c r="B976" s="1" t="s">
        <v>16374</v>
      </c>
      <c r="C976" s="3">
        <f>IF(B976="","",SUMIFS('Factory Costs'!$C:$C,'Factory Costs'!$A:$A,"Motor",'Factory Costs'!$B:$B,B976))</f>
        <v>62</v>
      </c>
    </row>
    <row r="977" spans="1:3" x14ac:dyDescent="0.25">
      <c r="A977" s="1" t="s">
        <v>9483</v>
      </c>
      <c r="B977" s="1" t="s">
        <v>16375</v>
      </c>
      <c r="C977" s="3">
        <f>IF(B977="","",SUMIFS('Factory Costs'!$C:$C,'Factory Costs'!$A:$A,"Motor",'Factory Costs'!$B:$B,B977))</f>
        <v>72</v>
      </c>
    </row>
    <row r="978" spans="1:3" x14ac:dyDescent="0.25">
      <c r="A978" s="1" t="s">
        <v>9486</v>
      </c>
      <c r="B978" s="1" t="s">
        <v>16374</v>
      </c>
      <c r="C978" s="3">
        <f>IF(B978="","",SUMIFS('Factory Costs'!$C:$C,'Factory Costs'!$A:$A,"Motor",'Factory Costs'!$B:$B,B978))</f>
        <v>62</v>
      </c>
    </row>
    <row r="979" spans="1:3" x14ac:dyDescent="0.25">
      <c r="A979" s="1" t="s">
        <v>9489</v>
      </c>
      <c r="B979" s="1" t="s">
        <v>16374</v>
      </c>
      <c r="C979" s="3">
        <f>IF(B979="","",SUMIFS('Factory Costs'!$C:$C,'Factory Costs'!$A:$A,"Motor",'Factory Costs'!$B:$B,B979))</f>
        <v>62</v>
      </c>
    </row>
    <row r="980" spans="1:3" x14ac:dyDescent="0.25">
      <c r="A980" s="1" t="s">
        <v>9492</v>
      </c>
      <c r="B980" s="1" t="s">
        <v>16374</v>
      </c>
      <c r="C980" s="3">
        <f>IF(B980="","",SUMIFS('Factory Costs'!$C:$C,'Factory Costs'!$A:$A,"Motor",'Factory Costs'!$B:$B,B980))</f>
        <v>62</v>
      </c>
    </row>
    <row r="981" spans="1:3" x14ac:dyDescent="0.25">
      <c r="A981" s="1" t="s">
        <v>9495</v>
      </c>
      <c r="B981" s="1" t="s">
        <v>16374</v>
      </c>
      <c r="C981" s="3">
        <f>IF(B981="","",SUMIFS('Factory Costs'!$C:$C,'Factory Costs'!$A:$A,"Motor",'Factory Costs'!$B:$B,B981))</f>
        <v>62</v>
      </c>
    </row>
    <row r="982" spans="1:3" x14ac:dyDescent="0.25">
      <c r="A982" s="1" t="s">
        <v>9498</v>
      </c>
      <c r="B982" s="1" t="s">
        <v>16374</v>
      </c>
      <c r="C982" s="3">
        <f>IF(B982="","",SUMIFS('Factory Costs'!$C:$C,'Factory Costs'!$A:$A,"Motor",'Factory Costs'!$B:$B,B982))</f>
        <v>62</v>
      </c>
    </row>
    <row r="983" spans="1:3" x14ac:dyDescent="0.25">
      <c r="A983" s="1" t="s">
        <v>9501</v>
      </c>
      <c r="B983" s="1" t="s">
        <v>16374</v>
      </c>
      <c r="C983" s="3">
        <f>IF(B983="","",SUMIFS('Factory Costs'!$C:$C,'Factory Costs'!$A:$A,"Motor",'Factory Costs'!$B:$B,B983))</f>
        <v>62</v>
      </c>
    </row>
    <row r="984" spans="1:3" x14ac:dyDescent="0.25">
      <c r="A984" s="1" t="s">
        <v>9504</v>
      </c>
      <c r="B984" s="1" t="s">
        <v>16375</v>
      </c>
      <c r="C984" s="3">
        <f>IF(B984="","",SUMIFS('Factory Costs'!$C:$C,'Factory Costs'!$A:$A,"Motor",'Factory Costs'!$B:$B,B984))</f>
        <v>72</v>
      </c>
    </row>
    <row r="985" spans="1:3" x14ac:dyDescent="0.25">
      <c r="A985" s="1" t="s">
        <v>9507</v>
      </c>
      <c r="B985" s="1" t="s">
        <v>16374</v>
      </c>
      <c r="C985" s="3">
        <f>IF(B985="","",SUMIFS('Factory Costs'!$C:$C,'Factory Costs'!$A:$A,"Motor",'Factory Costs'!$B:$B,B985))</f>
        <v>62</v>
      </c>
    </row>
    <row r="986" spans="1:3" x14ac:dyDescent="0.25">
      <c r="A986" s="1" t="s">
        <v>9510</v>
      </c>
      <c r="B986" s="1" t="s">
        <v>16374</v>
      </c>
      <c r="C986" s="3">
        <f>IF(B986="","",SUMIFS('Factory Costs'!$C:$C,'Factory Costs'!$A:$A,"Motor",'Factory Costs'!$B:$B,B986))</f>
        <v>62</v>
      </c>
    </row>
    <row r="987" spans="1:3" x14ac:dyDescent="0.25">
      <c r="A987" s="1" t="s">
        <v>9513</v>
      </c>
      <c r="B987" s="1" t="s">
        <v>16375</v>
      </c>
      <c r="C987" s="3">
        <f>IF(B987="","",SUMIFS('Factory Costs'!$C:$C,'Factory Costs'!$A:$A,"Motor",'Factory Costs'!$B:$B,B987))</f>
        <v>72</v>
      </c>
    </row>
    <row r="988" spans="1:3" x14ac:dyDescent="0.25">
      <c r="A988" s="1" t="s">
        <v>9516</v>
      </c>
      <c r="B988" s="1" t="s">
        <v>16374</v>
      </c>
      <c r="C988" s="3">
        <f>IF(B988="","",SUMIFS('Factory Costs'!$C:$C,'Factory Costs'!$A:$A,"Motor",'Factory Costs'!$B:$B,B988))</f>
        <v>62</v>
      </c>
    </row>
    <row r="989" spans="1:3" x14ac:dyDescent="0.25">
      <c r="A989" s="1" t="s">
        <v>9519</v>
      </c>
      <c r="B989" s="1" t="s">
        <v>16374</v>
      </c>
      <c r="C989" s="3">
        <f>IF(B989="","",SUMIFS('Factory Costs'!$C:$C,'Factory Costs'!$A:$A,"Motor",'Factory Costs'!$B:$B,B989))</f>
        <v>62</v>
      </c>
    </row>
    <row r="990" spans="1:3" x14ac:dyDescent="0.25">
      <c r="A990" s="1" t="s">
        <v>9522</v>
      </c>
      <c r="B990" s="1" t="s">
        <v>16374</v>
      </c>
      <c r="C990" s="3">
        <f>IF(B990="","",SUMIFS('Factory Costs'!$C:$C,'Factory Costs'!$A:$A,"Motor",'Factory Costs'!$B:$B,B990))</f>
        <v>62</v>
      </c>
    </row>
    <row r="991" spans="1:3" x14ac:dyDescent="0.25">
      <c r="A991" s="1" t="s">
        <v>9525</v>
      </c>
      <c r="B991" s="1" t="s">
        <v>16374</v>
      </c>
      <c r="C991" s="3">
        <f>IF(B991="","",SUMIFS('Factory Costs'!$C:$C,'Factory Costs'!$A:$A,"Motor",'Factory Costs'!$B:$B,B991))</f>
        <v>62</v>
      </c>
    </row>
    <row r="992" spans="1:3" x14ac:dyDescent="0.25">
      <c r="A992" s="1" t="s">
        <v>9528</v>
      </c>
      <c r="B992" s="1" t="s">
        <v>16374</v>
      </c>
      <c r="C992" s="3">
        <f>IF(B992="","",SUMIFS('Factory Costs'!$C:$C,'Factory Costs'!$A:$A,"Motor",'Factory Costs'!$B:$B,B992))</f>
        <v>62</v>
      </c>
    </row>
    <row r="993" spans="1:3" x14ac:dyDescent="0.25">
      <c r="A993" s="1" t="s">
        <v>9531</v>
      </c>
      <c r="B993" s="1" t="s">
        <v>16374</v>
      </c>
      <c r="C993" s="3">
        <f>IF(B993="","",SUMIFS('Factory Costs'!$C:$C,'Factory Costs'!$A:$A,"Motor",'Factory Costs'!$B:$B,B993))</f>
        <v>62</v>
      </c>
    </row>
    <row r="994" spans="1:3" x14ac:dyDescent="0.25">
      <c r="A994" s="1" t="s">
        <v>9534</v>
      </c>
      <c r="B994" s="1" t="s">
        <v>16374</v>
      </c>
      <c r="C994" s="3">
        <f>IF(B994="","",SUMIFS('Factory Costs'!$C:$C,'Factory Costs'!$A:$A,"Motor",'Factory Costs'!$B:$B,B994))</f>
        <v>62</v>
      </c>
    </row>
    <row r="995" spans="1:3" x14ac:dyDescent="0.25">
      <c r="A995" s="1" t="s">
        <v>9537</v>
      </c>
      <c r="B995" s="1" t="s">
        <v>16374</v>
      </c>
      <c r="C995" s="3">
        <f>IF(B995="","",SUMIFS('Factory Costs'!$C:$C,'Factory Costs'!$A:$A,"Motor",'Factory Costs'!$B:$B,B995))</f>
        <v>62</v>
      </c>
    </row>
    <row r="996" spans="1:3" x14ac:dyDescent="0.25">
      <c r="A996" s="1" t="s">
        <v>9540</v>
      </c>
      <c r="B996" s="1" t="s">
        <v>16375</v>
      </c>
      <c r="C996" s="3">
        <f>IF(B996="","",SUMIFS('Factory Costs'!$C:$C,'Factory Costs'!$A:$A,"Motor",'Factory Costs'!$B:$B,B996))</f>
        <v>72</v>
      </c>
    </row>
    <row r="997" spans="1:3" x14ac:dyDescent="0.25">
      <c r="A997" s="1" t="s">
        <v>9543</v>
      </c>
      <c r="B997" s="1" t="s">
        <v>16374</v>
      </c>
      <c r="C997" s="3">
        <f>IF(B997="","",SUMIFS('Factory Costs'!$C:$C,'Factory Costs'!$A:$A,"Motor",'Factory Costs'!$B:$B,B997))</f>
        <v>62</v>
      </c>
    </row>
    <row r="998" spans="1:3" x14ac:dyDescent="0.25">
      <c r="A998" s="1" t="s">
        <v>9546</v>
      </c>
      <c r="B998" s="1" t="s">
        <v>16375</v>
      </c>
      <c r="C998" s="3">
        <f>IF(B998="","",SUMIFS('Factory Costs'!$C:$C,'Factory Costs'!$A:$A,"Motor",'Factory Costs'!$B:$B,B998))</f>
        <v>72</v>
      </c>
    </row>
    <row r="999" spans="1:3" x14ac:dyDescent="0.25">
      <c r="A999" s="1" t="s">
        <v>9549</v>
      </c>
      <c r="B999" s="1" t="s">
        <v>16374</v>
      </c>
      <c r="C999" s="3">
        <f>IF(B999="","",SUMIFS('Factory Costs'!$C:$C,'Factory Costs'!$A:$A,"Motor",'Factory Costs'!$B:$B,B999))</f>
        <v>62</v>
      </c>
    </row>
    <row r="1000" spans="1:3" x14ac:dyDescent="0.25">
      <c r="A1000" s="1" t="s">
        <v>9552</v>
      </c>
      <c r="B1000" s="1" t="s">
        <v>16374</v>
      </c>
      <c r="C1000" s="3">
        <f>IF(B1000="","",SUMIFS('Factory Costs'!$C:$C,'Factory Costs'!$A:$A,"Motor",'Factory Costs'!$B:$B,B1000))</f>
        <v>62</v>
      </c>
    </row>
    <row r="1001" spans="1:3" x14ac:dyDescent="0.25">
      <c r="A1001" s="1" t="s">
        <v>9555</v>
      </c>
      <c r="B1001" s="1" t="s">
        <v>16375</v>
      </c>
      <c r="C1001" s="3">
        <f>IF(B1001="","",SUMIFS('Factory Costs'!$C:$C,'Factory Costs'!$A:$A,"Motor",'Factory Costs'!$B:$B,B1001))</f>
        <v>72</v>
      </c>
    </row>
    <row r="1002" spans="1:3" x14ac:dyDescent="0.25">
      <c r="A1002" s="1" t="s">
        <v>9558</v>
      </c>
      <c r="B1002" s="1" t="s">
        <v>16374</v>
      </c>
      <c r="C1002" s="3">
        <f>IF(B1002="","",SUMIFS('Factory Costs'!$C:$C,'Factory Costs'!$A:$A,"Motor",'Factory Costs'!$B:$B,B1002))</f>
        <v>62</v>
      </c>
    </row>
    <row r="1003" spans="1:3" x14ac:dyDescent="0.25">
      <c r="A1003" s="1" t="s">
        <v>9561</v>
      </c>
      <c r="B1003" s="1" t="s">
        <v>16374</v>
      </c>
      <c r="C1003" s="3">
        <f>IF(B1003="","",SUMIFS('Factory Costs'!$C:$C,'Factory Costs'!$A:$A,"Motor",'Factory Costs'!$B:$B,B1003))</f>
        <v>62</v>
      </c>
    </row>
    <row r="1004" spans="1:3" x14ac:dyDescent="0.25">
      <c r="A1004" s="1" t="s">
        <v>9564</v>
      </c>
      <c r="B1004" s="1" t="s">
        <v>16374</v>
      </c>
      <c r="C1004" s="3">
        <f>IF(B1004="","",SUMIFS('Factory Costs'!$C:$C,'Factory Costs'!$A:$A,"Motor",'Factory Costs'!$B:$B,B1004))</f>
        <v>62</v>
      </c>
    </row>
    <row r="1005" spans="1:3" x14ac:dyDescent="0.25">
      <c r="A1005" s="1" t="s">
        <v>9567</v>
      </c>
      <c r="B1005" s="1" t="s">
        <v>16375</v>
      </c>
      <c r="C1005" s="3">
        <f>IF(B1005="","",SUMIFS('Factory Costs'!$C:$C,'Factory Costs'!$A:$A,"Motor",'Factory Costs'!$B:$B,B1005))</f>
        <v>72</v>
      </c>
    </row>
    <row r="1006" spans="1:3" x14ac:dyDescent="0.25">
      <c r="A1006" s="1" t="s">
        <v>9570</v>
      </c>
      <c r="B1006" s="1" t="s">
        <v>16374</v>
      </c>
      <c r="C1006" s="3">
        <f>IF(B1006="","",SUMIFS('Factory Costs'!$C:$C,'Factory Costs'!$A:$A,"Motor",'Factory Costs'!$B:$B,B1006))</f>
        <v>62</v>
      </c>
    </row>
    <row r="1007" spans="1:3" x14ac:dyDescent="0.25">
      <c r="A1007" s="1" t="s">
        <v>9573</v>
      </c>
      <c r="B1007" s="1" t="s">
        <v>16375</v>
      </c>
      <c r="C1007" s="3">
        <f>IF(B1007="","",SUMIFS('Factory Costs'!$C:$C,'Factory Costs'!$A:$A,"Motor",'Factory Costs'!$B:$B,B1007))</f>
        <v>72</v>
      </c>
    </row>
    <row r="1008" spans="1:3" x14ac:dyDescent="0.25">
      <c r="A1008" s="1" t="s">
        <v>9576</v>
      </c>
      <c r="B1008" s="1" t="s">
        <v>16375</v>
      </c>
      <c r="C1008" s="3">
        <f>IF(B1008="","",SUMIFS('Factory Costs'!$C:$C,'Factory Costs'!$A:$A,"Motor",'Factory Costs'!$B:$B,B1008))</f>
        <v>72</v>
      </c>
    </row>
    <row r="1009" spans="1:3" x14ac:dyDescent="0.25">
      <c r="A1009" s="1" t="s">
        <v>9579</v>
      </c>
      <c r="B1009" s="1" t="s">
        <v>16375</v>
      </c>
      <c r="C1009" s="3">
        <f>IF(B1009="","",SUMIFS('Factory Costs'!$C:$C,'Factory Costs'!$A:$A,"Motor",'Factory Costs'!$B:$B,B1009))</f>
        <v>72</v>
      </c>
    </row>
    <row r="1010" spans="1:3" x14ac:dyDescent="0.25">
      <c r="A1010" s="1" t="s">
        <v>9582</v>
      </c>
      <c r="B1010" s="1" t="s">
        <v>16375</v>
      </c>
      <c r="C1010" s="3">
        <f>IF(B1010="","",SUMIFS('Factory Costs'!$C:$C,'Factory Costs'!$A:$A,"Motor",'Factory Costs'!$B:$B,B1010))</f>
        <v>72</v>
      </c>
    </row>
    <row r="1011" spans="1:3" x14ac:dyDescent="0.25">
      <c r="A1011" s="1" t="s">
        <v>9585</v>
      </c>
      <c r="B1011" s="1" t="s">
        <v>16374</v>
      </c>
      <c r="C1011" s="3">
        <f>IF(B1011="","",SUMIFS('Factory Costs'!$C:$C,'Factory Costs'!$A:$A,"Motor",'Factory Costs'!$B:$B,B1011))</f>
        <v>62</v>
      </c>
    </row>
    <row r="1012" spans="1:3" x14ac:dyDescent="0.25">
      <c r="A1012" s="1" t="s">
        <v>9588</v>
      </c>
      <c r="B1012" s="1" t="s">
        <v>16375</v>
      </c>
      <c r="C1012" s="3">
        <f>IF(B1012="","",SUMIFS('Factory Costs'!$C:$C,'Factory Costs'!$A:$A,"Motor",'Factory Costs'!$B:$B,B1012))</f>
        <v>72</v>
      </c>
    </row>
    <row r="1013" spans="1:3" x14ac:dyDescent="0.25">
      <c r="A1013" s="1" t="s">
        <v>9591</v>
      </c>
      <c r="B1013" s="1" t="s">
        <v>16375</v>
      </c>
      <c r="C1013" s="3">
        <f>IF(B1013="","",SUMIFS('Factory Costs'!$C:$C,'Factory Costs'!$A:$A,"Motor",'Factory Costs'!$B:$B,B1013))</f>
        <v>72</v>
      </c>
    </row>
    <row r="1014" spans="1:3" x14ac:dyDescent="0.25">
      <c r="A1014" s="1" t="s">
        <v>9594</v>
      </c>
      <c r="B1014" s="1" t="s">
        <v>16375</v>
      </c>
      <c r="C1014" s="3">
        <f>IF(B1014="","",SUMIFS('Factory Costs'!$C:$C,'Factory Costs'!$A:$A,"Motor",'Factory Costs'!$B:$B,B1014))</f>
        <v>72</v>
      </c>
    </row>
    <row r="1015" spans="1:3" x14ac:dyDescent="0.25">
      <c r="A1015" s="1" t="s">
        <v>9597</v>
      </c>
      <c r="B1015" s="1" t="s">
        <v>16374</v>
      </c>
      <c r="C1015" s="3">
        <f>IF(B1015="","",SUMIFS('Factory Costs'!$C:$C,'Factory Costs'!$A:$A,"Motor",'Factory Costs'!$B:$B,B1015))</f>
        <v>62</v>
      </c>
    </row>
    <row r="1016" spans="1:3" x14ac:dyDescent="0.25">
      <c r="A1016" s="1" t="s">
        <v>9600</v>
      </c>
      <c r="B1016" s="1" t="s">
        <v>16375</v>
      </c>
      <c r="C1016" s="3">
        <f>IF(B1016="","",SUMIFS('Factory Costs'!$C:$C,'Factory Costs'!$A:$A,"Motor",'Factory Costs'!$B:$B,B1016))</f>
        <v>72</v>
      </c>
    </row>
    <row r="1017" spans="1:3" x14ac:dyDescent="0.25">
      <c r="A1017" s="1" t="s">
        <v>9603</v>
      </c>
      <c r="B1017" s="1" t="s">
        <v>16374</v>
      </c>
      <c r="C1017" s="3">
        <f>IF(B1017="","",SUMIFS('Factory Costs'!$C:$C,'Factory Costs'!$A:$A,"Motor",'Factory Costs'!$B:$B,B1017))</f>
        <v>62</v>
      </c>
    </row>
    <row r="1018" spans="1:3" x14ac:dyDescent="0.25">
      <c r="A1018" s="1" t="s">
        <v>9606</v>
      </c>
      <c r="B1018" s="1" t="s">
        <v>16374</v>
      </c>
      <c r="C1018" s="3">
        <f>IF(B1018="","",SUMIFS('Factory Costs'!$C:$C,'Factory Costs'!$A:$A,"Motor",'Factory Costs'!$B:$B,B1018))</f>
        <v>62</v>
      </c>
    </row>
    <row r="1019" spans="1:3" x14ac:dyDescent="0.25">
      <c r="A1019" s="1" t="s">
        <v>9609</v>
      </c>
      <c r="B1019" s="1" t="s">
        <v>16375</v>
      </c>
      <c r="C1019" s="3">
        <f>IF(B1019="","",SUMIFS('Factory Costs'!$C:$C,'Factory Costs'!$A:$A,"Motor",'Factory Costs'!$B:$B,B1019))</f>
        <v>72</v>
      </c>
    </row>
    <row r="1020" spans="1:3" x14ac:dyDescent="0.25">
      <c r="A1020" s="1" t="s">
        <v>9612</v>
      </c>
      <c r="B1020" s="1" t="s">
        <v>16374</v>
      </c>
      <c r="C1020" s="3">
        <f>IF(B1020="","",SUMIFS('Factory Costs'!$C:$C,'Factory Costs'!$A:$A,"Motor",'Factory Costs'!$B:$B,B1020))</f>
        <v>62</v>
      </c>
    </row>
    <row r="1021" spans="1:3" x14ac:dyDescent="0.25">
      <c r="A1021" s="1" t="s">
        <v>9615</v>
      </c>
      <c r="B1021" s="1" t="s">
        <v>16374</v>
      </c>
      <c r="C1021" s="3">
        <f>IF(B1021="","",SUMIFS('Factory Costs'!$C:$C,'Factory Costs'!$A:$A,"Motor",'Factory Costs'!$B:$B,B1021))</f>
        <v>62</v>
      </c>
    </row>
    <row r="1022" spans="1:3" x14ac:dyDescent="0.25">
      <c r="A1022" s="1" t="s">
        <v>9618</v>
      </c>
      <c r="B1022" s="1" t="s">
        <v>16374</v>
      </c>
      <c r="C1022" s="3">
        <f>IF(B1022="","",SUMIFS('Factory Costs'!$C:$C,'Factory Costs'!$A:$A,"Motor",'Factory Costs'!$B:$B,B1022))</f>
        <v>62</v>
      </c>
    </row>
    <row r="1023" spans="1:3" x14ac:dyDescent="0.25">
      <c r="A1023" s="1" t="s">
        <v>9621</v>
      </c>
      <c r="B1023" s="1" t="s">
        <v>16375</v>
      </c>
      <c r="C1023" s="3">
        <f>IF(B1023="","",SUMIFS('Factory Costs'!$C:$C,'Factory Costs'!$A:$A,"Motor",'Factory Costs'!$B:$B,B1023))</f>
        <v>72</v>
      </c>
    </row>
    <row r="1024" spans="1:3" x14ac:dyDescent="0.25">
      <c r="A1024" s="1" t="s">
        <v>9624</v>
      </c>
      <c r="B1024" s="1" t="s">
        <v>16374</v>
      </c>
      <c r="C1024" s="3">
        <f>IF(B1024="","",SUMIFS('Factory Costs'!$C:$C,'Factory Costs'!$A:$A,"Motor",'Factory Costs'!$B:$B,B1024))</f>
        <v>62</v>
      </c>
    </row>
    <row r="1025" spans="1:3" x14ac:dyDescent="0.25">
      <c r="A1025" s="1" t="s">
        <v>9627</v>
      </c>
      <c r="B1025" s="1" t="s">
        <v>16375</v>
      </c>
      <c r="C1025" s="3">
        <f>IF(B1025="","",SUMIFS('Factory Costs'!$C:$C,'Factory Costs'!$A:$A,"Motor",'Factory Costs'!$B:$B,B1025))</f>
        <v>72</v>
      </c>
    </row>
    <row r="1026" spans="1:3" x14ac:dyDescent="0.25">
      <c r="A1026" s="1" t="s">
        <v>9630</v>
      </c>
      <c r="B1026" s="1" t="s">
        <v>16375</v>
      </c>
      <c r="C1026" s="3">
        <f>IF(B1026="","",SUMIFS('Factory Costs'!$C:$C,'Factory Costs'!$A:$A,"Motor",'Factory Costs'!$B:$B,B1026))</f>
        <v>72</v>
      </c>
    </row>
    <row r="1027" spans="1:3" x14ac:dyDescent="0.25">
      <c r="A1027" s="1" t="s">
        <v>9633</v>
      </c>
      <c r="B1027" s="1" t="s">
        <v>16375</v>
      </c>
      <c r="C1027" s="3">
        <f>IF(B1027="","",SUMIFS('Factory Costs'!$C:$C,'Factory Costs'!$A:$A,"Motor",'Factory Costs'!$B:$B,B1027))</f>
        <v>72</v>
      </c>
    </row>
    <row r="1028" spans="1:3" x14ac:dyDescent="0.25">
      <c r="A1028" s="1" t="s">
        <v>9636</v>
      </c>
      <c r="B1028" s="1" t="s">
        <v>16375</v>
      </c>
      <c r="C1028" s="3">
        <f>IF(B1028="","",SUMIFS('Factory Costs'!$C:$C,'Factory Costs'!$A:$A,"Motor",'Factory Costs'!$B:$B,B1028))</f>
        <v>72</v>
      </c>
    </row>
    <row r="1029" spans="1:3" x14ac:dyDescent="0.25">
      <c r="A1029" s="1" t="s">
        <v>9639</v>
      </c>
      <c r="B1029" s="1" t="s">
        <v>16374</v>
      </c>
      <c r="C1029" s="3">
        <f>IF(B1029="","",SUMIFS('Factory Costs'!$C:$C,'Factory Costs'!$A:$A,"Motor",'Factory Costs'!$B:$B,B1029))</f>
        <v>62</v>
      </c>
    </row>
    <row r="1030" spans="1:3" x14ac:dyDescent="0.25">
      <c r="A1030" s="1" t="s">
        <v>9642</v>
      </c>
      <c r="B1030" s="1" t="s">
        <v>16375</v>
      </c>
      <c r="C1030" s="3">
        <f>IF(B1030="","",SUMIFS('Factory Costs'!$C:$C,'Factory Costs'!$A:$A,"Motor",'Factory Costs'!$B:$B,B1030))</f>
        <v>72</v>
      </c>
    </row>
    <row r="1031" spans="1:3" x14ac:dyDescent="0.25">
      <c r="A1031" s="1" t="s">
        <v>9645</v>
      </c>
      <c r="B1031" s="1" t="s">
        <v>16374</v>
      </c>
      <c r="C1031" s="3">
        <f>IF(B1031="","",SUMIFS('Factory Costs'!$C:$C,'Factory Costs'!$A:$A,"Motor",'Factory Costs'!$B:$B,B1031))</f>
        <v>62</v>
      </c>
    </row>
    <row r="1032" spans="1:3" x14ac:dyDescent="0.25">
      <c r="A1032" s="1" t="s">
        <v>9648</v>
      </c>
      <c r="B1032" s="1" t="s">
        <v>16374</v>
      </c>
      <c r="C1032" s="3">
        <f>IF(B1032="","",SUMIFS('Factory Costs'!$C:$C,'Factory Costs'!$A:$A,"Motor",'Factory Costs'!$B:$B,B1032))</f>
        <v>62</v>
      </c>
    </row>
    <row r="1033" spans="1:3" x14ac:dyDescent="0.25">
      <c r="A1033" s="1" t="s">
        <v>9651</v>
      </c>
      <c r="B1033" s="1" t="s">
        <v>16375</v>
      </c>
      <c r="C1033" s="3">
        <f>IF(B1033="","",SUMIFS('Factory Costs'!$C:$C,'Factory Costs'!$A:$A,"Motor",'Factory Costs'!$B:$B,B1033))</f>
        <v>72</v>
      </c>
    </row>
    <row r="1034" spans="1:3" x14ac:dyDescent="0.25">
      <c r="A1034" s="1" t="s">
        <v>9654</v>
      </c>
      <c r="B1034" s="1" t="s">
        <v>16374</v>
      </c>
      <c r="C1034" s="3">
        <f>IF(B1034="","",SUMIFS('Factory Costs'!$C:$C,'Factory Costs'!$A:$A,"Motor",'Factory Costs'!$B:$B,B1034))</f>
        <v>62</v>
      </c>
    </row>
    <row r="1035" spans="1:3" x14ac:dyDescent="0.25">
      <c r="A1035" s="1" t="s">
        <v>9657</v>
      </c>
      <c r="B1035" s="1" t="s">
        <v>16374</v>
      </c>
      <c r="C1035" s="3">
        <f>IF(B1035="","",SUMIFS('Factory Costs'!$C:$C,'Factory Costs'!$A:$A,"Motor",'Factory Costs'!$B:$B,B1035))</f>
        <v>62</v>
      </c>
    </row>
    <row r="1036" spans="1:3" x14ac:dyDescent="0.25">
      <c r="A1036" s="1" t="s">
        <v>9660</v>
      </c>
      <c r="B1036" s="1" t="s">
        <v>16374</v>
      </c>
      <c r="C1036" s="3">
        <f>IF(B1036="","",SUMIFS('Factory Costs'!$C:$C,'Factory Costs'!$A:$A,"Motor",'Factory Costs'!$B:$B,B1036))</f>
        <v>62</v>
      </c>
    </row>
    <row r="1037" spans="1:3" x14ac:dyDescent="0.25">
      <c r="A1037" s="1" t="s">
        <v>9663</v>
      </c>
      <c r="B1037" s="1" t="s">
        <v>16374</v>
      </c>
      <c r="C1037" s="3">
        <f>IF(B1037="","",SUMIFS('Factory Costs'!$C:$C,'Factory Costs'!$A:$A,"Motor",'Factory Costs'!$B:$B,B1037))</f>
        <v>62</v>
      </c>
    </row>
    <row r="1038" spans="1:3" x14ac:dyDescent="0.25">
      <c r="A1038" s="1" t="s">
        <v>9666</v>
      </c>
      <c r="B1038" s="1" t="s">
        <v>16375</v>
      </c>
      <c r="C1038" s="3">
        <f>IF(B1038="","",SUMIFS('Factory Costs'!$C:$C,'Factory Costs'!$A:$A,"Motor",'Factory Costs'!$B:$B,B1038))</f>
        <v>72</v>
      </c>
    </row>
    <row r="1039" spans="1:3" x14ac:dyDescent="0.25">
      <c r="A1039" s="1" t="s">
        <v>9669</v>
      </c>
      <c r="B1039" s="1" t="s">
        <v>16374</v>
      </c>
      <c r="C1039" s="3">
        <f>IF(B1039="","",SUMIFS('Factory Costs'!$C:$C,'Factory Costs'!$A:$A,"Motor",'Factory Costs'!$B:$B,B1039))</f>
        <v>62</v>
      </c>
    </row>
    <row r="1040" spans="1:3" x14ac:dyDescent="0.25">
      <c r="A1040" s="1" t="s">
        <v>9672</v>
      </c>
      <c r="B1040" s="1" t="s">
        <v>16374</v>
      </c>
      <c r="C1040" s="3">
        <f>IF(B1040="","",SUMIFS('Factory Costs'!$C:$C,'Factory Costs'!$A:$A,"Motor",'Factory Costs'!$B:$B,B1040))</f>
        <v>62</v>
      </c>
    </row>
    <row r="1041" spans="1:3" x14ac:dyDescent="0.25">
      <c r="A1041" s="1" t="s">
        <v>9675</v>
      </c>
      <c r="B1041" s="1" t="s">
        <v>16375</v>
      </c>
      <c r="C1041" s="3">
        <f>IF(B1041="","",SUMIFS('Factory Costs'!$C:$C,'Factory Costs'!$A:$A,"Motor",'Factory Costs'!$B:$B,B1041))</f>
        <v>72</v>
      </c>
    </row>
    <row r="1042" spans="1:3" x14ac:dyDescent="0.25">
      <c r="A1042" s="1" t="s">
        <v>9678</v>
      </c>
      <c r="B1042" s="1" t="s">
        <v>16375</v>
      </c>
      <c r="C1042" s="3">
        <f>IF(B1042="","",SUMIFS('Factory Costs'!$C:$C,'Factory Costs'!$A:$A,"Motor",'Factory Costs'!$B:$B,B1042))</f>
        <v>72</v>
      </c>
    </row>
    <row r="1043" spans="1:3" x14ac:dyDescent="0.25">
      <c r="A1043" s="1" t="s">
        <v>9681</v>
      </c>
      <c r="B1043" s="1" t="s">
        <v>16375</v>
      </c>
      <c r="C1043" s="3">
        <f>IF(B1043="","",SUMIFS('Factory Costs'!$C:$C,'Factory Costs'!$A:$A,"Motor",'Factory Costs'!$B:$B,B1043))</f>
        <v>72</v>
      </c>
    </row>
    <row r="1044" spans="1:3" x14ac:dyDescent="0.25">
      <c r="A1044" s="1" t="s">
        <v>9684</v>
      </c>
      <c r="B1044" s="1" t="s">
        <v>16375</v>
      </c>
      <c r="C1044" s="3">
        <f>IF(B1044="","",SUMIFS('Factory Costs'!$C:$C,'Factory Costs'!$A:$A,"Motor",'Factory Costs'!$B:$B,B1044))</f>
        <v>72</v>
      </c>
    </row>
    <row r="1045" spans="1:3" x14ac:dyDescent="0.25">
      <c r="A1045" s="1" t="s">
        <v>9687</v>
      </c>
      <c r="B1045" s="1" t="s">
        <v>16374</v>
      </c>
      <c r="C1045" s="3">
        <f>IF(B1045="","",SUMIFS('Factory Costs'!$C:$C,'Factory Costs'!$A:$A,"Motor",'Factory Costs'!$B:$B,B1045))</f>
        <v>62</v>
      </c>
    </row>
    <row r="1046" spans="1:3" x14ac:dyDescent="0.25">
      <c r="A1046" s="1" t="s">
        <v>9690</v>
      </c>
      <c r="B1046" s="1" t="s">
        <v>16375</v>
      </c>
      <c r="C1046" s="3">
        <f>IF(B1046="","",SUMIFS('Factory Costs'!$C:$C,'Factory Costs'!$A:$A,"Motor",'Factory Costs'!$B:$B,B1046))</f>
        <v>72</v>
      </c>
    </row>
    <row r="1047" spans="1:3" x14ac:dyDescent="0.25">
      <c r="A1047" s="1" t="s">
        <v>9693</v>
      </c>
      <c r="B1047" s="1" t="s">
        <v>16375</v>
      </c>
      <c r="C1047" s="3">
        <f>IF(B1047="","",SUMIFS('Factory Costs'!$C:$C,'Factory Costs'!$A:$A,"Motor",'Factory Costs'!$B:$B,B1047))</f>
        <v>72</v>
      </c>
    </row>
    <row r="1048" spans="1:3" x14ac:dyDescent="0.25">
      <c r="A1048" s="1" t="s">
        <v>9696</v>
      </c>
      <c r="B1048" s="1" t="s">
        <v>16374</v>
      </c>
      <c r="C1048" s="3">
        <f>IF(B1048="","",SUMIFS('Factory Costs'!$C:$C,'Factory Costs'!$A:$A,"Motor",'Factory Costs'!$B:$B,B1048))</f>
        <v>62</v>
      </c>
    </row>
    <row r="1049" spans="1:3" x14ac:dyDescent="0.25">
      <c r="A1049" s="1" t="s">
        <v>9699</v>
      </c>
      <c r="B1049" s="1" t="s">
        <v>16375</v>
      </c>
      <c r="C1049" s="3">
        <f>IF(B1049="","",SUMIFS('Factory Costs'!$C:$C,'Factory Costs'!$A:$A,"Motor",'Factory Costs'!$B:$B,B1049))</f>
        <v>72</v>
      </c>
    </row>
    <row r="1050" spans="1:3" x14ac:dyDescent="0.25">
      <c r="A1050" s="1" t="s">
        <v>9702</v>
      </c>
      <c r="B1050" s="1" t="s">
        <v>16375</v>
      </c>
      <c r="C1050" s="3">
        <f>IF(B1050="","",SUMIFS('Factory Costs'!$C:$C,'Factory Costs'!$A:$A,"Motor",'Factory Costs'!$B:$B,B1050))</f>
        <v>72</v>
      </c>
    </row>
    <row r="1051" spans="1:3" x14ac:dyDescent="0.25">
      <c r="A1051" s="1" t="s">
        <v>9705</v>
      </c>
      <c r="B1051" s="1" t="s">
        <v>16374</v>
      </c>
      <c r="C1051" s="3">
        <f>IF(B1051="","",SUMIFS('Factory Costs'!$C:$C,'Factory Costs'!$A:$A,"Motor",'Factory Costs'!$B:$B,B1051))</f>
        <v>62</v>
      </c>
    </row>
    <row r="1052" spans="1:3" x14ac:dyDescent="0.25">
      <c r="A1052" s="1" t="s">
        <v>9708</v>
      </c>
      <c r="B1052" s="1" t="s">
        <v>16375</v>
      </c>
      <c r="C1052" s="3">
        <f>IF(B1052="","",SUMIFS('Factory Costs'!$C:$C,'Factory Costs'!$A:$A,"Motor",'Factory Costs'!$B:$B,B1052))</f>
        <v>72</v>
      </c>
    </row>
    <row r="1053" spans="1:3" x14ac:dyDescent="0.25">
      <c r="A1053" s="1" t="s">
        <v>9711</v>
      </c>
      <c r="B1053" s="1" t="s">
        <v>16375</v>
      </c>
      <c r="C1053" s="3">
        <f>IF(B1053="","",SUMIFS('Factory Costs'!$C:$C,'Factory Costs'!$A:$A,"Motor",'Factory Costs'!$B:$B,B1053))</f>
        <v>72</v>
      </c>
    </row>
    <row r="1054" spans="1:3" x14ac:dyDescent="0.25">
      <c r="A1054" s="1" t="s">
        <v>9714</v>
      </c>
      <c r="B1054" s="1" t="s">
        <v>16375</v>
      </c>
      <c r="C1054" s="3">
        <f>IF(B1054="","",SUMIFS('Factory Costs'!$C:$C,'Factory Costs'!$A:$A,"Motor",'Factory Costs'!$B:$B,B1054))</f>
        <v>72</v>
      </c>
    </row>
    <row r="1055" spans="1:3" x14ac:dyDescent="0.25">
      <c r="A1055" s="1" t="s">
        <v>9717</v>
      </c>
      <c r="B1055" s="1" t="s">
        <v>16375</v>
      </c>
      <c r="C1055" s="3">
        <f>IF(B1055="","",SUMIFS('Factory Costs'!$C:$C,'Factory Costs'!$A:$A,"Motor",'Factory Costs'!$B:$B,B1055))</f>
        <v>72</v>
      </c>
    </row>
    <row r="1056" spans="1:3" x14ac:dyDescent="0.25">
      <c r="A1056" s="1" t="s">
        <v>9720</v>
      </c>
      <c r="B1056" s="1" t="s">
        <v>16375</v>
      </c>
      <c r="C1056" s="3">
        <f>IF(B1056="","",SUMIFS('Factory Costs'!$C:$C,'Factory Costs'!$A:$A,"Motor",'Factory Costs'!$B:$B,B1056))</f>
        <v>72</v>
      </c>
    </row>
    <row r="1057" spans="1:3" x14ac:dyDescent="0.25">
      <c r="A1057" s="1" t="s">
        <v>9723</v>
      </c>
      <c r="B1057" s="1" t="s">
        <v>16375</v>
      </c>
      <c r="C1057" s="3">
        <f>IF(B1057="","",SUMIFS('Factory Costs'!$C:$C,'Factory Costs'!$A:$A,"Motor",'Factory Costs'!$B:$B,B1057))</f>
        <v>72</v>
      </c>
    </row>
    <row r="1058" spans="1:3" x14ac:dyDescent="0.25">
      <c r="A1058" s="1" t="s">
        <v>9726</v>
      </c>
      <c r="B1058" s="1" t="s">
        <v>16374</v>
      </c>
      <c r="C1058" s="3">
        <f>IF(B1058="","",SUMIFS('Factory Costs'!$C:$C,'Factory Costs'!$A:$A,"Motor",'Factory Costs'!$B:$B,B1058))</f>
        <v>62</v>
      </c>
    </row>
    <row r="1059" spans="1:3" x14ac:dyDescent="0.25">
      <c r="A1059" s="1" t="s">
        <v>9729</v>
      </c>
      <c r="B1059" s="1" t="s">
        <v>16374</v>
      </c>
      <c r="C1059" s="3">
        <f>IF(B1059="","",SUMIFS('Factory Costs'!$C:$C,'Factory Costs'!$A:$A,"Motor",'Factory Costs'!$B:$B,B1059))</f>
        <v>62</v>
      </c>
    </row>
    <row r="1060" spans="1:3" x14ac:dyDescent="0.25">
      <c r="A1060" s="1" t="s">
        <v>9732</v>
      </c>
      <c r="B1060" s="1" t="s">
        <v>16374</v>
      </c>
      <c r="C1060" s="3">
        <f>IF(B1060="","",SUMIFS('Factory Costs'!$C:$C,'Factory Costs'!$A:$A,"Motor",'Factory Costs'!$B:$B,B1060))</f>
        <v>62</v>
      </c>
    </row>
    <row r="1061" spans="1:3" x14ac:dyDescent="0.25">
      <c r="A1061" s="1" t="s">
        <v>9735</v>
      </c>
      <c r="B1061" s="1" t="s">
        <v>16375</v>
      </c>
      <c r="C1061" s="3">
        <f>IF(B1061="","",SUMIFS('Factory Costs'!$C:$C,'Factory Costs'!$A:$A,"Motor",'Factory Costs'!$B:$B,B1061))</f>
        <v>72</v>
      </c>
    </row>
    <row r="1062" spans="1:3" x14ac:dyDescent="0.25">
      <c r="A1062" s="1" t="s">
        <v>9738</v>
      </c>
      <c r="B1062" s="1" t="s">
        <v>16374</v>
      </c>
      <c r="C1062" s="3">
        <f>IF(B1062="","",SUMIFS('Factory Costs'!$C:$C,'Factory Costs'!$A:$A,"Motor",'Factory Costs'!$B:$B,B1062))</f>
        <v>62</v>
      </c>
    </row>
    <row r="1063" spans="1:3" x14ac:dyDescent="0.25">
      <c r="A1063" s="1" t="s">
        <v>9741</v>
      </c>
      <c r="B1063" s="1" t="s">
        <v>16375</v>
      </c>
      <c r="C1063" s="3">
        <f>IF(B1063="","",SUMIFS('Factory Costs'!$C:$C,'Factory Costs'!$A:$A,"Motor",'Factory Costs'!$B:$B,B1063))</f>
        <v>72</v>
      </c>
    </row>
    <row r="1064" spans="1:3" x14ac:dyDescent="0.25">
      <c r="A1064" s="1" t="s">
        <v>9744</v>
      </c>
      <c r="B1064" s="1" t="s">
        <v>16374</v>
      </c>
      <c r="C1064" s="3">
        <f>IF(B1064="","",SUMIFS('Factory Costs'!$C:$C,'Factory Costs'!$A:$A,"Motor",'Factory Costs'!$B:$B,B1064))</f>
        <v>62</v>
      </c>
    </row>
    <row r="1065" spans="1:3" x14ac:dyDescent="0.25">
      <c r="A1065" s="1" t="s">
        <v>9747</v>
      </c>
      <c r="B1065" s="1" t="s">
        <v>16374</v>
      </c>
      <c r="C1065" s="3">
        <f>IF(B1065="","",SUMIFS('Factory Costs'!$C:$C,'Factory Costs'!$A:$A,"Motor",'Factory Costs'!$B:$B,B1065))</f>
        <v>62</v>
      </c>
    </row>
    <row r="1066" spans="1:3" x14ac:dyDescent="0.25">
      <c r="A1066" s="1" t="s">
        <v>9750</v>
      </c>
      <c r="B1066" s="1" t="s">
        <v>16374</v>
      </c>
      <c r="C1066" s="3">
        <f>IF(B1066="","",SUMIFS('Factory Costs'!$C:$C,'Factory Costs'!$A:$A,"Motor",'Factory Costs'!$B:$B,B1066))</f>
        <v>62</v>
      </c>
    </row>
    <row r="1067" spans="1:3" x14ac:dyDescent="0.25">
      <c r="A1067" s="1" t="s">
        <v>9753</v>
      </c>
      <c r="B1067" s="1" t="s">
        <v>16374</v>
      </c>
      <c r="C1067" s="3">
        <f>IF(B1067="","",SUMIFS('Factory Costs'!$C:$C,'Factory Costs'!$A:$A,"Motor",'Factory Costs'!$B:$B,B1067))</f>
        <v>62</v>
      </c>
    </row>
    <row r="1068" spans="1:3" x14ac:dyDescent="0.25">
      <c r="A1068" s="1" t="s">
        <v>9756</v>
      </c>
      <c r="B1068" s="1" t="s">
        <v>16374</v>
      </c>
      <c r="C1068" s="3">
        <f>IF(B1068="","",SUMIFS('Factory Costs'!$C:$C,'Factory Costs'!$A:$A,"Motor",'Factory Costs'!$B:$B,B1068))</f>
        <v>62</v>
      </c>
    </row>
    <row r="1069" spans="1:3" x14ac:dyDescent="0.25">
      <c r="A1069" s="1" t="s">
        <v>9759</v>
      </c>
      <c r="B1069" s="1" t="s">
        <v>16374</v>
      </c>
      <c r="C1069" s="3">
        <f>IF(B1069="","",SUMIFS('Factory Costs'!$C:$C,'Factory Costs'!$A:$A,"Motor",'Factory Costs'!$B:$B,B1069))</f>
        <v>62</v>
      </c>
    </row>
    <row r="1070" spans="1:3" x14ac:dyDescent="0.25">
      <c r="A1070" s="1" t="s">
        <v>9762</v>
      </c>
      <c r="B1070" s="1" t="s">
        <v>16375</v>
      </c>
      <c r="C1070" s="3">
        <f>IF(B1070="","",SUMIFS('Factory Costs'!$C:$C,'Factory Costs'!$A:$A,"Motor",'Factory Costs'!$B:$B,B1070))</f>
        <v>72</v>
      </c>
    </row>
    <row r="1071" spans="1:3" x14ac:dyDescent="0.25">
      <c r="A1071" s="1" t="s">
        <v>9765</v>
      </c>
      <c r="B1071" s="1" t="s">
        <v>16375</v>
      </c>
      <c r="C1071" s="3">
        <f>IF(B1071="","",SUMIFS('Factory Costs'!$C:$C,'Factory Costs'!$A:$A,"Motor",'Factory Costs'!$B:$B,B1071))</f>
        <v>72</v>
      </c>
    </row>
    <row r="1072" spans="1:3" x14ac:dyDescent="0.25">
      <c r="A1072" s="1" t="s">
        <v>9768</v>
      </c>
      <c r="B1072" s="1" t="s">
        <v>16374</v>
      </c>
      <c r="C1072" s="3">
        <f>IF(B1072="","",SUMIFS('Factory Costs'!$C:$C,'Factory Costs'!$A:$A,"Motor",'Factory Costs'!$B:$B,B1072))</f>
        <v>62</v>
      </c>
    </row>
    <row r="1073" spans="1:3" x14ac:dyDescent="0.25">
      <c r="A1073" s="1" t="s">
        <v>9771</v>
      </c>
      <c r="B1073" s="1" t="s">
        <v>16374</v>
      </c>
      <c r="C1073" s="3">
        <f>IF(B1073="","",SUMIFS('Factory Costs'!$C:$C,'Factory Costs'!$A:$A,"Motor",'Factory Costs'!$B:$B,B1073))</f>
        <v>62</v>
      </c>
    </row>
    <row r="1074" spans="1:3" x14ac:dyDescent="0.25">
      <c r="A1074" s="1" t="s">
        <v>9774</v>
      </c>
      <c r="B1074" s="1" t="s">
        <v>16374</v>
      </c>
      <c r="C1074" s="3">
        <f>IF(B1074="","",SUMIFS('Factory Costs'!$C:$C,'Factory Costs'!$A:$A,"Motor",'Factory Costs'!$B:$B,B1074))</f>
        <v>62</v>
      </c>
    </row>
    <row r="1075" spans="1:3" x14ac:dyDescent="0.25">
      <c r="A1075" s="1" t="s">
        <v>9777</v>
      </c>
      <c r="B1075" s="1" t="s">
        <v>16374</v>
      </c>
      <c r="C1075" s="3">
        <f>IF(B1075="","",SUMIFS('Factory Costs'!$C:$C,'Factory Costs'!$A:$A,"Motor",'Factory Costs'!$B:$B,B1075))</f>
        <v>62</v>
      </c>
    </row>
    <row r="1076" spans="1:3" x14ac:dyDescent="0.25">
      <c r="A1076" s="1" t="s">
        <v>9780</v>
      </c>
      <c r="B1076" s="1" t="s">
        <v>16374</v>
      </c>
      <c r="C1076" s="3">
        <f>IF(B1076="","",SUMIFS('Factory Costs'!$C:$C,'Factory Costs'!$A:$A,"Motor",'Factory Costs'!$B:$B,B1076))</f>
        <v>62</v>
      </c>
    </row>
    <row r="1077" spans="1:3" x14ac:dyDescent="0.25">
      <c r="A1077" s="1" t="s">
        <v>9783</v>
      </c>
      <c r="B1077" s="1" t="s">
        <v>16374</v>
      </c>
      <c r="C1077" s="3">
        <f>IF(B1077="","",SUMIFS('Factory Costs'!$C:$C,'Factory Costs'!$A:$A,"Motor",'Factory Costs'!$B:$B,B1077))</f>
        <v>62</v>
      </c>
    </row>
    <row r="1078" spans="1:3" x14ac:dyDescent="0.25">
      <c r="A1078" s="1" t="s">
        <v>9786</v>
      </c>
      <c r="B1078" s="1" t="s">
        <v>16375</v>
      </c>
      <c r="C1078" s="3">
        <f>IF(B1078="","",SUMIFS('Factory Costs'!$C:$C,'Factory Costs'!$A:$A,"Motor",'Factory Costs'!$B:$B,B1078))</f>
        <v>72</v>
      </c>
    </row>
    <row r="1079" spans="1:3" x14ac:dyDescent="0.25">
      <c r="A1079" s="1" t="s">
        <v>9789</v>
      </c>
      <c r="B1079" s="1" t="s">
        <v>16375</v>
      </c>
      <c r="C1079" s="3">
        <f>IF(B1079="","",SUMIFS('Factory Costs'!$C:$C,'Factory Costs'!$A:$A,"Motor",'Factory Costs'!$B:$B,B1079))</f>
        <v>72</v>
      </c>
    </row>
    <row r="1080" spans="1:3" x14ac:dyDescent="0.25">
      <c r="A1080" s="1" t="s">
        <v>9792</v>
      </c>
      <c r="B1080" s="1" t="s">
        <v>16375</v>
      </c>
      <c r="C1080" s="3">
        <f>IF(B1080="","",SUMIFS('Factory Costs'!$C:$C,'Factory Costs'!$A:$A,"Motor",'Factory Costs'!$B:$B,B1080))</f>
        <v>72</v>
      </c>
    </row>
    <row r="1081" spans="1:3" x14ac:dyDescent="0.25">
      <c r="A1081" s="1" t="s">
        <v>9795</v>
      </c>
      <c r="B1081" s="1" t="s">
        <v>16374</v>
      </c>
      <c r="C1081" s="3">
        <f>IF(B1081="","",SUMIFS('Factory Costs'!$C:$C,'Factory Costs'!$A:$A,"Motor",'Factory Costs'!$B:$B,B1081))</f>
        <v>62</v>
      </c>
    </row>
    <row r="1082" spans="1:3" x14ac:dyDescent="0.25">
      <c r="A1082" s="1" t="s">
        <v>9798</v>
      </c>
      <c r="B1082" s="1" t="s">
        <v>16375</v>
      </c>
      <c r="C1082" s="3">
        <f>IF(B1082="","",SUMIFS('Factory Costs'!$C:$C,'Factory Costs'!$A:$A,"Motor",'Factory Costs'!$B:$B,B1082))</f>
        <v>72</v>
      </c>
    </row>
    <row r="1083" spans="1:3" x14ac:dyDescent="0.25">
      <c r="A1083" s="1" t="s">
        <v>9801</v>
      </c>
      <c r="B1083" s="1" t="s">
        <v>16374</v>
      </c>
      <c r="C1083" s="3">
        <f>IF(B1083="","",SUMIFS('Factory Costs'!$C:$C,'Factory Costs'!$A:$A,"Motor",'Factory Costs'!$B:$B,B1083))</f>
        <v>62</v>
      </c>
    </row>
    <row r="1084" spans="1:3" x14ac:dyDescent="0.25">
      <c r="A1084" s="1" t="s">
        <v>9804</v>
      </c>
      <c r="B1084" s="1" t="s">
        <v>16374</v>
      </c>
      <c r="C1084" s="3">
        <f>IF(B1084="","",SUMIFS('Factory Costs'!$C:$C,'Factory Costs'!$A:$A,"Motor",'Factory Costs'!$B:$B,B1084))</f>
        <v>62</v>
      </c>
    </row>
    <row r="1085" spans="1:3" x14ac:dyDescent="0.25">
      <c r="A1085" s="1" t="s">
        <v>9807</v>
      </c>
      <c r="B1085" s="1" t="s">
        <v>16375</v>
      </c>
      <c r="C1085" s="3">
        <f>IF(B1085="","",SUMIFS('Factory Costs'!$C:$C,'Factory Costs'!$A:$A,"Motor",'Factory Costs'!$B:$B,B1085))</f>
        <v>72</v>
      </c>
    </row>
    <row r="1086" spans="1:3" x14ac:dyDescent="0.25">
      <c r="A1086" s="1" t="s">
        <v>9810</v>
      </c>
      <c r="B1086" s="1" t="s">
        <v>16374</v>
      </c>
      <c r="C1086" s="3">
        <f>IF(B1086="","",SUMIFS('Factory Costs'!$C:$C,'Factory Costs'!$A:$A,"Motor",'Factory Costs'!$B:$B,B1086))</f>
        <v>62</v>
      </c>
    </row>
    <row r="1087" spans="1:3" x14ac:dyDescent="0.25">
      <c r="A1087" s="1" t="s">
        <v>9813</v>
      </c>
      <c r="B1087" s="1" t="s">
        <v>16374</v>
      </c>
      <c r="C1087" s="3">
        <f>IF(B1087="","",SUMIFS('Factory Costs'!$C:$C,'Factory Costs'!$A:$A,"Motor",'Factory Costs'!$B:$B,B1087))</f>
        <v>62</v>
      </c>
    </row>
    <row r="1088" spans="1:3" x14ac:dyDescent="0.25">
      <c r="A1088" s="1" t="s">
        <v>9816</v>
      </c>
      <c r="B1088" s="1" t="s">
        <v>16374</v>
      </c>
      <c r="C1088" s="3">
        <f>IF(B1088="","",SUMIFS('Factory Costs'!$C:$C,'Factory Costs'!$A:$A,"Motor",'Factory Costs'!$B:$B,B1088))</f>
        <v>62</v>
      </c>
    </row>
    <row r="1089" spans="1:3" x14ac:dyDescent="0.25">
      <c r="A1089" s="1" t="s">
        <v>9819</v>
      </c>
      <c r="B1089" s="1" t="s">
        <v>16375</v>
      </c>
      <c r="C1089" s="3">
        <f>IF(B1089="","",SUMIFS('Factory Costs'!$C:$C,'Factory Costs'!$A:$A,"Motor",'Factory Costs'!$B:$B,B1089))</f>
        <v>72</v>
      </c>
    </row>
    <row r="1090" spans="1:3" x14ac:dyDescent="0.25">
      <c r="A1090" s="1" t="s">
        <v>9822</v>
      </c>
      <c r="B1090" s="1" t="s">
        <v>16374</v>
      </c>
      <c r="C1090" s="3">
        <f>IF(B1090="","",SUMIFS('Factory Costs'!$C:$C,'Factory Costs'!$A:$A,"Motor",'Factory Costs'!$B:$B,B1090))</f>
        <v>62</v>
      </c>
    </row>
    <row r="1091" spans="1:3" x14ac:dyDescent="0.25">
      <c r="A1091" s="1" t="s">
        <v>9825</v>
      </c>
      <c r="B1091" s="1" t="s">
        <v>16375</v>
      </c>
      <c r="C1091" s="3">
        <f>IF(B1091="","",SUMIFS('Factory Costs'!$C:$C,'Factory Costs'!$A:$A,"Motor",'Factory Costs'!$B:$B,B1091))</f>
        <v>72</v>
      </c>
    </row>
    <row r="1092" spans="1:3" x14ac:dyDescent="0.25">
      <c r="A1092" s="1" t="s">
        <v>9828</v>
      </c>
      <c r="B1092" s="1" t="s">
        <v>16375</v>
      </c>
      <c r="C1092" s="3">
        <f>IF(B1092="","",SUMIFS('Factory Costs'!$C:$C,'Factory Costs'!$A:$A,"Motor",'Factory Costs'!$B:$B,B1092))</f>
        <v>72</v>
      </c>
    </row>
    <row r="1093" spans="1:3" x14ac:dyDescent="0.25">
      <c r="A1093" s="1" t="s">
        <v>9831</v>
      </c>
      <c r="B1093" s="1" t="s">
        <v>16375</v>
      </c>
      <c r="C1093" s="3">
        <f>IF(B1093="","",SUMIFS('Factory Costs'!$C:$C,'Factory Costs'!$A:$A,"Motor",'Factory Costs'!$B:$B,B1093))</f>
        <v>72</v>
      </c>
    </row>
    <row r="1094" spans="1:3" x14ac:dyDescent="0.25">
      <c r="A1094" s="1" t="s">
        <v>9834</v>
      </c>
      <c r="B1094" s="1" t="s">
        <v>16374</v>
      </c>
      <c r="C1094" s="3">
        <f>IF(B1094="","",SUMIFS('Factory Costs'!$C:$C,'Factory Costs'!$A:$A,"Motor",'Factory Costs'!$B:$B,B1094))</f>
        <v>62</v>
      </c>
    </row>
    <row r="1095" spans="1:3" x14ac:dyDescent="0.25">
      <c r="A1095" s="1" t="s">
        <v>9837</v>
      </c>
      <c r="B1095" s="1" t="s">
        <v>16374</v>
      </c>
      <c r="C1095" s="3">
        <f>IF(B1095="","",SUMIFS('Factory Costs'!$C:$C,'Factory Costs'!$A:$A,"Motor",'Factory Costs'!$B:$B,B1095))</f>
        <v>62</v>
      </c>
    </row>
    <row r="1096" spans="1:3" x14ac:dyDescent="0.25">
      <c r="A1096" s="1" t="s">
        <v>9840</v>
      </c>
      <c r="B1096" s="1" t="s">
        <v>16374</v>
      </c>
      <c r="C1096" s="3">
        <f>IF(B1096="","",SUMIFS('Factory Costs'!$C:$C,'Factory Costs'!$A:$A,"Motor",'Factory Costs'!$B:$B,B1096))</f>
        <v>62</v>
      </c>
    </row>
    <row r="1097" spans="1:3" x14ac:dyDescent="0.25">
      <c r="A1097" s="1" t="s">
        <v>9843</v>
      </c>
      <c r="B1097" s="1" t="s">
        <v>16374</v>
      </c>
      <c r="C1097" s="3">
        <f>IF(B1097="","",SUMIFS('Factory Costs'!$C:$C,'Factory Costs'!$A:$A,"Motor",'Factory Costs'!$B:$B,B1097))</f>
        <v>62</v>
      </c>
    </row>
    <row r="1098" spans="1:3" x14ac:dyDescent="0.25">
      <c r="A1098" s="1" t="s">
        <v>9846</v>
      </c>
      <c r="B1098" s="1" t="s">
        <v>16374</v>
      </c>
      <c r="C1098" s="3">
        <f>IF(B1098="","",SUMIFS('Factory Costs'!$C:$C,'Factory Costs'!$A:$A,"Motor",'Factory Costs'!$B:$B,B1098))</f>
        <v>62</v>
      </c>
    </row>
    <row r="1099" spans="1:3" x14ac:dyDescent="0.25">
      <c r="A1099" s="1" t="s">
        <v>9849</v>
      </c>
      <c r="B1099" s="1" t="s">
        <v>16375</v>
      </c>
      <c r="C1099" s="3">
        <f>IF(B1099="","",SUMIFS('Factory Costs'!$C:$C,'Factory Costs'!$A:$A,"Motor",'Factory Costs'!$B:$B,B1099))</f>
        <v>72</v>
      </c>
    </row>
    <row r="1100" spans="1:3" x14ac:dyDescent="0.25">
      <c r="A1100" s="1" t="s">
        <v>9852</v>
      </c>
      <c r="B1100" s="1" t="s">
        <v>16374</v>
      </c>
      <c r="C1100" s="3">
        <f>IF(B1100="","",SUMIFS('Factory Costs'!$C:$C,'Factory Costs'!$A:$A,"Motor",'Factory Costs'!$B:$B,B1100))</f>
        <v>62</v>
      </c>
    </row>
    <row r="1101" spans="1:3" x14ac:dyDescent="0.25">
      <c r="A1101" s="1" t="s">
        <v>9855</v>
      </c>
      <c r="B1101" s="1" t="s">
        <v>16375</v>
      </c>
      <c r="C1101" s="3">
        <f>IF(B1101="","",SUMIFS('Factory Costs'!$C:$C,'Factory Costs'!$A:$A,"Motor",'Factory Costs'!$B:$B,B1101))</f>
        <v>72</v>
      </c>
    </row>
    <row r="1102" spans="1:3" x14ac:dyDescent="0.25">
      <c r="A1102" s="1" t="s">
        <v>9858</v>
      </c>
      <c r="B1102" s="1" t="s">
        <v>16375</v>
      </c>
      <c r="C1102" s="3">
        <f>IF(B1102="","",SUMIFS('Factory Costs'!$C:$C,'Factory Costs'!$A:$A,"Motor",'Factory Costs'!$B:$B,B1102))</f>
        <v>72</v>
      </c>
    </row>
    <row r="1103" spans="1:3" x14ac:dyDescent="0.25">
      <c r="A1103" s="1" t="s">
        <v>9861</v>
      </c>
      <c r="B1103" s="1" t="s">
        <v>16374</v>
      </c>
      <c r="C1103" s="3">
        <f>IF(B1103="","",SUMIFS('Factory Costs'!$C:$C,'Factory Costs'!$A:$A,"Motor",'Factory Costs'!$B:$B,B1103))</f>
        <v>62</v>
      </c>
    </row>
    <row r="1104" spans="1:3" x14ac:dyDescent="0.25">
      <c r="A1104" s="1" t="s">
        <v>9864</v>
      </c>
      <c r="B1104" s="1" t="s">
        <v>16374</v>
      </c>
      <c r="C1104" s="3">
        <f>IF(B1104="","",SUMIFS('Factory Costs'!$C:$C,'Factory Costs'!$A:$A,"Motor",'Factory Costs'!$B:$B,B1104))</f>
        <v>62</v>
      </c>
    </row>
    <row r="1105" spans="1:3" x14ac:dyDescent="0.25">
      <c r="A1105" s="1" t="s">
        <v>9867</v>
      </c>
      <c r="B1105" s="1" t="s">
        <v>16374</v>
      </c>
      <c r="C1105" s="3">
        <f>IF(B1105="","",SUMIFS('Factory Costs'!$C:$C,'Factory Costs'!$A:$A,"Motor",'Factory Costs'!$B:$B,B1105))</f>
        <v>62</v>
      </c>
    </row>
    <row r="1106" spans="1:3" x14ac:dyDescent="0.25">
      <c r="A1106" s="1" t="s">
        <v>9870</v>
      </c>
      <c r="B1106" s="1" t="s">
        <v>16374</v>
      </c>
      <c r="C1106" s="3">
        <f>IF(B1106="","",SUMIFS('Factory Costs'!$C:$C,'Factory Costs'!$A:$A,"Motor",'Factory Costs'!$B:$B,B1106))</f>
        <v>62</v>
      </c>
    </row>
    <row r="1107" spans="1:3" x14ac:dyDescent="0.25">
      <c r="A1107" s="1" t="s">
        <v>9873</v>
      </c>
      <c r="B1107" s="1" t="s">
        <v>16375</v>
      </c>
      <c r="C1107" s="3">
        <f>IF(B1107="","",SUMIFS('Factory Costs'!$C:$C,'Factory Costs'!$A:$A,"Motor",'Factory Costs'!$B:$B,B1107))</f>
        <v>72</v>
      </c>
    </row>
    <row r="1108" spans="1:3" x14ac:dyDescent="0.25">
      <c r="A1108" s="1" t="s">
        <v>9876</v>
      </c>
      <c r="B1108" s="1" t="s">
        <v>16375</v>
      </c>
      <c r="C1108" s="3">
        <f>IF(B1108="","",SUMIFS('Factory Costs'!$C:$C,'Factory Costs'!$A:$A,"Motor",'Factory Costs'!$B:$B,B1108))</f>
        <v>72</v>
      </c>
    </row>
    <row r="1109" spans="1:3" x14ac:dyDescent="0.25">
      <c r="A1109" s="1" t="s">
        <v>9879</v>
      </c>
      <c r="B1109" s="1" t="s">
        <v>16374</v>
      </c>
      <c r="C1109" s="3">
        <f>IF(B1109="","",SUMIFS('Factory Costs'!$C:$C,'Factory Costs'!$A:$A,"Motor",'Factory Costs'!$B:$B,B1109))</f>
        <v>62</v>
      </c>
    </row>
    <row r="1110" spans="1:3" x14ac:dyDescent="0.25">
      <c r="A1110" s="1" t="s">
        <v>9882</v>
      </c>
      <c r="B1110" s="1" t="s">
        <v>16374</v>
      </c>
      <c r="C1110" s="3">
        <f>IF(B1110="","",SUMIFS('Factory Costs'!$C:$C,'Factory Costs'!$A:$A,"Motor",'Factory Costs'!$B:$B,B1110))</f>
        <v>62</v>
      </c>
    </row>
    <row r="1111" spans="1:3" x14ac:dyDescent="0.25">
      <c r="A1111" s="1" t="s">
        <v>9885</v>
      </c>
      <c r="B1111" s="1" t="s">
        <v>16374</v>
      </c>
      <c r="C1111" s="3">
        <f>IF(B1111="","",SUMIFS('Factory Costs'!$C:$C,'Factory Costs'!$A:$A,"Motor",'Factory Costs'!$B:$B,B1111))</f>
        <v>62</v>
      </c>
    </row>
    <row r="1112" spans="1:3" x14ac:dyDescent="0.25">
      <c r="A1112" s="1" t="s">
        <v>9888</v>
      </c>
      <c r="B1112" s="1" t="s">
        <v>16374</v>
      </c>
      <c r="C1112" s="3">
        <f>IF(B1112="","",SUMIFS('Factory Costs'!$C:$C,'Factory Costs'!$A:$A,"Motor",'Factory Costs'!$B:$B,B1112))</f>
        <v>62</v>
      </c>
    </row>
    <row r="1113" spans="1:3" x14ac:dyDescent="0.25">
      <c r="A1113" s="1" t="s">
        <v>9891</v>
      </c>
      <c r="B1113" s="1" t="s">
        <v>16374</v>
      </c>
      <c r="C1113" s="3">
        <f>IF(B1113="","",SUMIFS('Factory Costs'!$C:$C,'Factory Costs'!$A:$A,"Motor",'Factory Costs'!$B:$B,B1113))</f>
        <v>62</v>
      </c>
    </row>
    <row r="1114" spans="1:3" x14ac:dyDescent="0.25">
      <c r="A1114" s="1" t="s">
        <v>9894</v>
      </c>
      <c r="B1114" s="1" t="s">
        <v>16374</v>
      </c>
      <c r="C1114" s="3">
        <f>IF(B1114="","",SUMIFS('Factory Costs'!$C:$C,'Factory Costs'!$A:$A,"Motor",'Factory Costs'!$B:$B,B1114))</f>
        <v>62</v>
      </c>
    </row>
    <row r="1115" spans="1:3" x14ac:dyDescent="0.25">
      <c r="A1115" s="1" t="s">
        <v>9897</v>
      </c>
      <c r="B1115" s="1" t="s">
        <v>16374</v>
      </c>
      <c r="C1115" s="3">
        <f>IF(B1115="","",SUMIFS('Factory Costs'!$C:$C,'Factory Costs'!$A:$A,"Motor",'Factory Costs'!$B:$B,B1115))</f>
        <v>62</v>
      </c>
    </row>
    <row r="1116" spans="1:3" x14ac:dyDescent="0.25">
      <c r="A1116" s="1" t="s">
        <v>9900</v>
      </c>
      <c r="B1116" s="1" t="s">
        <v>16375</v>
      </c>
      <c r="C1116" s="3">
        <f>IF(B1116="","",SUMIFS('Factory Costs'!$C:$C,'Factory Costs'!$A:$A,"Motor",'Factory Costs'!$B:$B,B1116))</f>
        <v>72</v>
      </c>
    </row>
    <row r="1117" spans="1:3" x14ac:dyDescent="0.25">
      <c r="A1117" s="1" t="s">
        <v>9903</v>
      </c>
      <c r="B1117" s="1" t="s">
        <v>16374</v>
      </c>
      <c r="C1117" s="3">
        <f>IF(B1117="","",SUMIFS('Factory Costs'!$C:$C,'Factory Costs'!$A:$A,"Motor",'Factory Costs'!$B:$B,B1117))</f>
        <v>62</v>
      </c>
    </row>
    <row r="1118" spans="1:3" x14ac:dyDescent="0.25">
      <c r="A1118" s="1" t="s">
        <v>9906</v>
      </c>
      <c r="B1118" s="1" t="s">
        <v>16375</v>
      </c>
      <c r="C1118" s="3">
        <f>IF(B1118="","",SUMIFS('Factory Costs'!$C:$C,'Factory Costs'!$A:$A,"Motor",'Factory Costs'!$B:$B,B1118))</f>
        <v>72</v>
      </c>
    </row>
    <row r="1119" spans="1:3" x14ac:dyDescent="0.25">
      <c r="A1119" s="1" t="s">
        <v>9909</v>
      </c>
      <c r="B1119" s="1" t="s">
        <v>16374</v>
      </c>
      <c r="C1119" s="3">
        <f>IF(B1119="","",SUMIFS('Factory Costs'!$C:$C,'Factory Costs'!$A:$A,"Motor",'Factory Costs'!$B:$B,B1119))</f>
        <v>62</v>
      </c>
    </row>
    <row r="1120" spans="1:3" x14ac:dyDescent="0.25">
      <c r="A1120" s="1" t="s">
        <v>9912</v>
      </c>
      <c r="B1120" s="1" t="s">
        <v>16374</v>
      </c>
      <c r="C1120" s="3">
        <f>IF(B1120="","",SUMIFS('Factory Costs'!$C:$C,'Factory Costs'!$A:$A,"Motor",'Factory Costs'!$B:$B,B1120))</f>
        <v>62</v>
      </c>
    </row>
    <row r="1121" spans="1:3" x14ac:dyDescent="0.25">
      <c r="A1121" s="1" t="s">
        <v>9915</v>
      </c>
      <c r="B1121" s="1" t="s">
        <v>16375</v>
      </c>
      <c r="C1121" s="3">
        <f>IF(B1121="","",SUMIFS('Factory Costs'!$C:$C,'Factory Costs'!$A:$A,"Motor",'Factory Costs'!$B:$B,B1121))</f>
        <v>72</v>
      </c>
    </row>
    <row r="1122" spans="1:3" x14ac:dyDescent="0.25">
      <c r="A1122" s="1" t="s">
        <v>9918</v>
      </c>
      <c r="B1122" s="1" t="s">
        <v>16375</v>
      </c>
      <c r="C1122" s="3">
        <f>IF(B1122="","",SUMIFS('Factory Costs'!$C:$C,'Factory Costs'!$A:$A,"Motor",'Factory Costs'!$B:$B,B1122))</f>
        <v>72</v>
      </c>
    </row>
    <row r="1123" spans="1:3" x14ac:dyDescent="0.25">
      <c r="A1123" s="1" t="s">
        <v>9921</v>
      </c>
      <c r="B1123" s="1" t="s">
        <v>16375</v>
      </c>
      <c r="C1123" s="3">
        <f>IF(B1123="","",SUMIFS('Factory Costs'!$C:$C,'Factory Costs'!$A:$A,"Motor",'Factory Costs'!$B:$B,B1123))</f>
        <v>72</v>
      </c>
    </row>
    <row r="1124" spans="1:3" x14ac:dyDescent="0.25">
      <c r="A1124" s="1" t="s">
        <v>9924</v>
      </c>
      <c r="B1124" s="1" t="s">
        <v>16374</v>
      </c>
      <c r="C1124" s="3">
        <f>IF(B1124="","",SUMIFS('Factory Costs'!$C:$C,'Factory Costs'!$A:$A,"Motor",'Factory Costs'!$B:$B,B1124))</f>
        <v>62</v>
      </c>
    </row>
    <row r="1125" spans="1:3" x14ac:dyDescent="0.25">
      <c r="A1125" s="1" t="s">
        <v>9927</v>
      </c>
      <c r="B1125" s="1" t="s">
        <v>16374</v>
      </c>
      <c r="C1125" s="3">
        <f>IF(B1125="","",SUMIFS('Factory Costs'!$C:$C,'Factory Costs'!$A:$A,"Motor",'Factory Costs'!$B:$B,B1125))</f>
        <v>62</v>
      </c>
    </row>
    <row r="1126" spans="1:3" x14ac:dyDescent="0.25">
      <c r="A1126" s="1" t="s">
        <v>9930</v>
      </c>
      <c r="B1126" s="1" t="s">
        <v>16375</v>
      </c>
      <c r="C1126" s="3">
        <f>IF(B1126="","",SUMIFS('Factory Costs'!$C:$C,'Factory Costs'!$A:$A,"Motor",'Factory Costs'!$B:$B,B1126))</f>
        <v>72</v>
      </c>
    </row>
    <row r="1127" spans="1:3" x14ac:dyDescent="0.25">
      <c r="A1127" s="1" t="s">
        <v>9933</v>
      </c>
      <c r="B1127" s="1" t="s">
        <v>16374</v>
      </c>
      <c r="C1127" s="3">
        <f>IF(B1127="","",SUMIFS('Factory Costs'!$C:$C,'Factory Costs'!$A:$A,"Motor",'Factory Costs'!$B:$B,B1127))</f>
        <v>62</v>
      </c>
    </row>
    <row r="1128" spans="1:3" x14ac:dyDescent="0.25">
      <c r="A1128" s="1" t="s">
        <v>9936</v>
      </c>
      <c r="B1128" s="1" t="s">
        <v>16375</v>
      </c>
      <c r="C1128" s="3">
        <f>IF(B1128="","",SUMIFS('Factory Costs'!$C:$C,'Factory Costs'!$A:$A,"Motor",'Factory Costs'!$B:$B,B1128))</f>
        <v>72</v>
      </c>
    </row>
    <row r="1129" spans="1:3" x14ac:dyDescent="0.25">
      <c r="A1129" s="1" t="s">
        <v>9939</v>
      </c>
      <c r="B1129" s="1" t="s">
        <v>16374</v>
      </c>
      <c r="C1129" s="3">
        <f>IF(B1129="","",SUMIFS('Factory Costs'!$C:$C,'Factory Costs'!$A:$A,"Motor",'Factory Costs'!$B:$B,B1129))</f>
        <v>62</v>
      </c>
    </row>
    <row r="1130" spans="1:3" x14ac:dyDescent="0.25">
      <c r="A1130" s="1" t="s">
        <v>9942</v>
      </c>
      <c r="B1130" s="1" t="s">
        <v>16374</v>
      </c>
      <c r="C1130" s="3">
        <f>IF(B1130="","",SUMIFS('Factory Costs'!$C:$C,'Factory Costs'!$A:$A,"Motor",'Factory Costs'!$B:$B,B1130))</f>
        <v>62</v>
      </c>
    </row>
    <row r="1131" spans="1:3" x14ac:dyDescent="0.25">
      <c r="A1131" s="1" t="s">
        <v>9945</v>
      </c>
      <c r="B1131" s="1" t="s">
        <v>16374</v>
      </c>
      <c r="C1131" s="3">
        <f>IF(B1131="","",SUMIFS('Factory Costs'!$C:$C,'Factory Costs'!$A:$A,"Motor",'Factory Costs'!$B:$B,B1131))</f>
        <v>62</v>
      </c>
    </row>
    <row r="1132" spans="1:3" x14ac:dyDescent="0.25">
      <c r="A1132" s="1" t="s">
        <v>9948</v>
      </c>
      <c r="B1132" s="1" t="s">
        <v>16374</v>
      </c>
      <c r="C1132" s="3">
        <f>IF(B1132="","",SUMIFS('Factory Costs'!$C:$C,'Factory Costs'!$A:$A,"Motor",'Factory Costs'!$B:$B,B1132))</f>
        <v>62</v>
      </c>
    </row>
    <row r="1133" spans="1:3" x14ac:dyDescent="0.25">
      <c r="A1133" s="1" t="s">
        <v>9951</v>
      </c>
      <c r="B1133" s="1" t="s">
        <v>16375</v>
      </c>
      <c r="C1133" s="3">
        <f>IF(B1133="","",SUMIFS('Factory Costs'!$C:$C,'Factory Costs'!$A:$A,"Motor",'Factory Costs'!$B:$B,B1133))</f>
        <v>72</v>
      </c>
    </row>
    <row r="1134" spans="1:3" x14ac:dyDescent="0.25">
      <c r="A1134" s="1" t="s">
        <v>9954</v>
      </c>
      <c r="B1134" s="1" t="s">
        <v>16375</v>
      </c>
      <c r="C1134" s="3">
        <f>IF(B1134="","",SUMIFS('Factory Costs'!$C:$C,'Factory Costs'!$A:$A,"Motor",'Factory Costs'!$B:$B,B1134))</f>
        <v>72</v>
      </c>
    </row>
    <row r="1135" spans="1:3" x14ac:dyDescent="0.25">
      <c r="A1135" s="1" t="s">
        <v>9957</v>
      </c>
      <c r="B1135" s="1" t="s">
        <v>16374</v>
      </c>
      <c r="C1135" s="3">
        <f>IF(B1135="","",SUMIFS('Factory Costs'!$C:$C,'Factory Costs'!$A:$A,"Motor",'Factory Costs'!$B:$B,B1135))</f>
        <v>62</v>
      </c>
    </row>
    <row r="1136" spans="1:3" x14ac:dyDescent="0.25">
      <c r="A1136" s="1" t="s">
        <v>9960</v>
      </c>
      <c r="B1136" s="1" t="s">
        <v>16374</v>
      </c>
      <c r="C1136" s="3">
        <f>IF(B1136="","",SUMIFS('Factory Costs'!$C:$C,'Factory Costs'!$A:$A,"Motor",'Factory Costs'!$B:$B,B1136))</f>
        <v>62</v>
      </c>
    </row>
    <row r="1137" spans="1:3" x14ac:dyDescent="0.25">
      <c r="A1137" s="1" t="s">
        <v>9963</v>
      </c>
      <c r="B1137" s="1" t="s">
        <v>16375</v>
      </c>
      <c r="C1137" s="3">
        <f>IF(B1137="","",SUMIFS('Factory Costs'!$C:$C,'Factory Costs'!$A:$A,"Motor",'Factory Costs'!$B:$B,B1137))</f>
        <v>72</v>
      </c>
    </row>
    <row r="1138" spans="1:3" x14ac:dyDescent="0.25">
      <c r="A1138" s="1" t="s">
        <v>9966</v>
      </c>
      <c r="B1138" s="1" t="s">
        <v>16374</v>
      </c>
      <c r="C1138" s="3">
        <f>IF(B1138="","",SUMIFS('Factory Costs'!$C:$C,'Factory Costs'!$A:$A,"Motor",'Factory Costs'!$B:$B,B1138))</f>
        <v>62</v>
      </c>
    </row>
    <row r="1139" spans="1:3" x14ac:dyDescent="0.25">
      <c r="A1139" s="1" t="s">
        <v>9969</v>
      </c>
      <c r="B1139" s="1" t="s">
        <v>16374</v>
      </c>
      <c r="C1139" s="3">
        <f>IF(B1139="","",SUMIFS('Factory Costs'!$C:$C,'Factory Costs'!$A:$A,"Motor",'Factory Costs'!$B:$B,B1139))</f>
        <v>62</v>
      </c>
    </row>
    <row r="1140" spans="1:3" x14ac:dyDescent="0.25">
      <c r="A1140" s="1" t="s">
        <v>9972</v>
      </c>
      <c r="B1140" s="1" t="s">
        <v>16375</v>
      </c>
      <c r="C1140" s="3">
        <f>IF(B1140="","",SUMIFS('Factory Costs'!$C:$C,'Factory Costs'!$A:$A,"Motor",'Factory Costs'!$B:$B,B1140))</f>
        <v>72</v>
      </c>
    </row>
    <row r="1141" spans="1:3" x14ac:dyDescent="0.25">
      <c r="A1141" s="1" t="s">
        <v>9975</v>
      </c>
      <c r="B1141" s="1" t="s">
        <v>16375</v>
      </c>
      <c r="C1141" s="3">
        <f>IF(B1141="","",SUMIFS('Factory Costs'!$C:$C,'Factory Costs'!$A:$A,"Motor",'Factory Costs'!$B:$B,B1141))</f>
        <v>72</v>
      </c>
    </row>
    <row r="1142" spans="1:3" x14ac:dyDescent="0.25">
      <c r="A1142" s="1" t="s">
        <v>9978</v>
      </c>
      <c r="B1142" s="1" t="s">
        <v>16374</v>
      </c>
      <c r="C1142" s="3">
        <f>IF(B1142="","",SUMIFS('Factory Costs'!$C:$C,'Factory Costs'!$A:$A,"Motor",'Factory Costs'!$B:$B,B1142))</f>
        <v>62</v>
      </c>
    </row>
    <row r="1143" spans="1:3" x14ac:dyDescent="0.25">
      <c r="A1143" s="1" t="s">
        <v>9981</v>
      </c>
      <c r="B1143" s="1" t="s">
        <v>16374</v>
      </c>
      <c r="C1143" s="3">
        <f>IF(B1143="","",SUMIFS('Factory Costs'!$C:$C,'Factory Costs'!$A:$A,"Motor",'Factory Costs'!$B:$B,B1143))</f>
        <v>62</v>
      </c>
    </row>
    <row r="1144" spans="1:3" x14ac:dyDescent="0.25">
      <c r="A1144" s="1" t="s">
        <v>9984</v>
      </c>
      <c r="B1144" s="1" t="s">
        <v>16374</v>
      </c>
      <c r="C1144" s="3">
        <f>IF(B1144="","",SUMIFS('Factory Costs'!$C:$C,'Factory Costs'!$A:$A,"Motor",'Factory Costs'!$B:$B,B1144))</f>
        <v>62</v>
      </c>
    </row>
    <row r="1145" spans="1:3" x14ac:dyDescent="0.25">
      <c r="A1145" s="1" t="s">
        <v>9987</v>
      </c>
      <c r="B1145" s="1" t="s">
        <v>16374</v>
      </c>
      <c r="C1145" s="3">
        <f>IF(B1145="","",SUMIFS('Factory Costs'!$C:$C,'Factory Costs'!$A:$A,"Motor",'Factory Costs'!$B:$B,B1145))</f>
        <v>62</v>
      </c>
    </row>
    <row r="1146" spans="1:3" x14ac:dyDescent="0.25">
      <c r="A1146" s="1" t="s">
        <v>9990</v>
      </c>
      <c r="B1146" s="1" t="s">
        <v>16375</v>
      </c>
      <c r="C1146" s="3">
        <f>IF(B1146="","",SUMIFS('Factory Costs'!$C:$C,'Factory Costs'!$A:$A,"Motor",'Factory Costs'!$B:$B,B1146))</f>
        <v>72</v>
      </c>
    </row>
    <row r="1147" spans="1:3" x14ac:dyDescent="0.25">
      <c r="A1147" s="1" t="s">
        <v>9993</v>
      </c>
      <c r="B1147" s="1" t="s">
        <v>16374</v>
      </c>
      <c r="C1147" s="3">
        <f>IF(B1147="","",SUMIFS('Factory Costs'!$C:$C,'Factory Costs'!$A:$A,"Motor",'Factory Costs'!$B:$B,B1147))</f>
        <v>62</v>
      </c>
    </row>
    <row r="1148" spans="1:3" x14ac:dyDescent="0.25">
      <c r="A1148" s="1" t="s">
        <v>9996</v>
      </c>
      <c r="B1148" s="1" t="s">
        <v>16375</v>
      </c>
      <c r="C1148" s="3">
        <f>IF(B1148="","",SUMIFS('Factory Costs'!$C:$C,'Factory Costs'!$A:$A,"Motor",'Factory Costs'!$B:$B,B1148))</f>
        <v>72</v>
      </c>
    </row>
    <row r="1149" spans="1:3" x14ac:dyDescent="0.25">
      <c r="A1149" s="1" t="s">
        <v>9999</v>
      </c>
      <c r="B1149" s="1" t="s">
        <v>16374</v>
      </c>
      <c r="C1149" s="3">
        <f>IF(B1149="","",SUMIFS('Factory Costs'!$C:$C,'Factory Costs'!$A:$A,"Motor",'Factory Costs'!$B:$B,B1149))</f>
        <v>62</v>
      </c>
    </row>
    <row r="1150" spans="1:3" x14ac:dyDescent="0.25">
      <c r="A1150" s="1" t="s">
        <v>10002</v>
      </c>
      <c r="B1150" s="1" t="s">
        <v>16374</v>
      </c>
      <c r="C1150" s="3">
        <f>IF(B1150="","",SUMIFS('Factory Costs'!$C:$C,'Factory Costs'!$A:$A,"Motor",'Factory Costs'!$B:$B,B1150))</f>
        <v>62</v>
      </c>
    </row>
    <row r="1151" spans="1:3" x14ac:dyDescent="0.25">
      <c r="A1151" s="1" t="s">
        <v>10005</v>
      </c>
      <c r="B1151" s="1" t="s">
        <v>16375</v>
      </c>
      <c r="C1151" s="3">
        <f>IF(B1151="","",SUMIFS('Factory Costs'!$C:$C,'Factory Costs'!$A:$A,"Motor",'Factory Costs'!$B:$B,B1151))</f>
        <v>72</v>
      </c>
    </row>
    <row r="1152" spans="1:3" x14ac:dyDescent="0.25">
      <c r="A1152" s="1" t="s">
        <v>10008</v>
      </c>
      <c r="B1152" s="1" t="s">
        <v>16375</v>
      </c>
      <c r="C1152" s="3">
        <f>IF(B1152="","",SUMIFS('Factory Costs'!$C:$C,'Factory Costs'!$A:$A,"Motor",'Factory Costs'!$B:$B,B1152))</f>
        <v>72</v>
      </c>
    </row>
    <row r="1153" spans="1:3" x14ac:dyDescent="0.25">
      <c r="A1153" s="1" t="s">
        <v>10011</v>
      </c>
      <c r="B1153" s="1" t="s">
        <v>16374</v>
      </c>
      <c r="C1153" s="3">
        <f>IF(B1153="","",SUMIFS('Factory Costs'!$C:$C,'Factory Costs'!$A:$A,"Motor",'Factory Costs'!$B:$B,B1153))</f>
        <v>62</v>
      </c>
    </row>
    <row r="1154" spans="1:3" x14ac:dyDescent="0.25">
      <c r="A1154" s="1" t="s">
        <v>10014</v>
      </c>
      <c r="B1154" s="1" t="s">
        <v>16374</v>
      </c>
      <c r="C1154" s="3">
        <f>IF(B1154="","",SUMIFS('Factory Costs'!$C:$C,'Factory Costs'!$A:$A,"Motor",'Factory Costs'!$B:$B,B1154))</f>
        <v>62</v>
      </c>
    </row>
    <row r="1155" spans="1:3" x14ac:dyDescent="0.25">
      <c r="A1155" s="1" t="s">
        <v>10017</v>
      </c>
      <c r="B1155" s="1" t="s">
        <v>16374</v>
      </c>
      <c r="C1155" s="3">
        <f>IF(B1155="","",SUMIFS('Factory Costs'!$C:$C,'Factory Costs'!$A:$A,"Motor",'Factory Costs'!$B:$B,B1155))</f>
        <v>62</v>
      </c>
    </row>
    <row r="1156" spans="1:3" x14ac:dyDescent="0.25">
      <c r="A1156" s="1" t="s">
        <v>10020</v>
      </c>
      <c r="B1156" s="1" t="s">
        <v>16375</v>
      </c>
      <c r="C1156" s="3">
        <f>IF(B1156="","",SUMIFS('Factory Costs'!$C:$C,'Factory Costs'!$A:$A,"Motor",'Factory Costs'!$B:$B,B1156))</f>
        <v>72</v>
      </c>
    </row>
    <row r="1157" spans="1:3" x14ac:dyDescent="0.25">
      <c r="A1157" s="1" t="s">
        <v>10023</v>
      </c>
      <c r="B1157" s="1" t="s">
        <v>16374</v>
      </c>
      <c r="C1157" s="3">
        <f>IF(B1157="","",SUMIFS('Factory Costs'!$C:$C,'Factory Costs'!$A:$A,"Motor",'Factory Costs'!$B:$B,B1157))</f>
        <v>62</v>
      </c>
    </row>
    <row r="1158" spans="1:3" x14ac:dyDescent="0.25">
      <c r="A1158" s="1" t="s">
        <v>10026</v>
      </c>
      <c r="B1158" s="1" t="s">
        <v>16375</v>
      </c>
      <c r="C1158" s="3">
        <f>IF(B1158="","",SUMIFS('Factory Costs'!$C:$C,'Factory Costs'!$A:$A,"Motor",'Factory Costs'!$B:$B,B1158))</f>
        <v>72</v>
      </c>
    </row>
    <row r="1159" spans="1:3" x14ac:dyDescent="0.25">
      <c r="A1159" s="1" t="s">
        <v>10029</v>
      </c>
      <c r="B1159" s="1" t="s">
        <v>16374</v>
      </c>
      <c r="C1159" s="3">
        <f>IF(B1159="","",SUMIFS('Factory Costs'!$C:$C,'Factory Costs'!$A:$A,"Motor",'Factory Costs'!$B:$B,B1159))</f>
        <v>62</v>
      </c>
    </row>
    <row r="1160" spans="1:3" x14ac:dyDescent="0.25">
      <c r="A1160" s="1" t="s">
        <v>10032</v>
      </c>
      <c r="B1160" s="1" t="s">
        <v>16374</v>
      </c>
      <c r="C1160" s="3">
        <f>IF(B1160="","",SUMIFS('Factory Costs'!$C:$C,'Factory Costs'!$A:$A,"Motor",'Factory Costs'!$B:$B,B1160))</f>
        <v>62</v>
      </c>
    </row>
    <row r="1161" spans="1:3" x14ac:dyDescent="0.25">
      <c r="A1161" s="1" t="s">
        <v>10035</v>
      </c>
      <c r="B1161" s="1" t="s">
        <v>16374</v>
      </c>
      <c r="C1161" s="3">
        <f>IF(B1161="","",SUMIFS('Factory Costs'!$C:$C,'Factory Costs'!$A:$A,"Motor",'Factory Costs'!$B:$B,B1161))</f>
        <v>62</v>
      </c>
    </row>
    <row r="1162" spans="1:3" x14ac:dyDescent="0.25">
      <c r="A1162" s="1" t="s">
        <v>10038</v>
      </c>
      <c r="B1162" s="1" t="s">
        <v>16374</v>
      </c>
      <c r="C1162" s="3">
        <f>IF(B1162="","",SUMIFS('Factory Costs'!$C:$C,'Factory Costs'!$A:$A,"Motor",'Factory Costs'!$B:$B,B1162))</f>
        <v>62</v>
      </c>
    </row>
    <row r="1163" spans="1:3" x14ac:dyDescent="0.25">
      <c r="A1163" s="1" t="s">
        <v>10041</v>
      </c>
      <c r="B1163" s="1" t="s">
        <v>16374</v>
      </c>
      <c r="C1163" s="3">
        <f>IF(B1163="","",SUMIFS('Factory Costs'!$C:$C,'Factory Costs'!$A:$A,"Motor",'Factory Costs'!$B:$B,B1163))</f>
        <v>62</v>
      </c>
    </row>
    <row r="1164" spans="1:3" x14ac:dyDescent="0.25">
      <c r="A1164" s="1" t="s">
        <v>10044</v>
      </c>
      <c r="B1164" s="1" t="s">
        <v>16374</v>
      </c>
      <c r="C1164" s="3">
        <f>IF(B1164="","",SUMIFS('Factory Costs'!$C:$C,'Factory Costs'!$A:$A,"Motor",'Factory Costs'!$B:$B,B1164))</f>
        <v>62</v>
      </c>
    </row>
    <row r="1165" spans="1:3" x14ac:dyDescent="0.25">
      <c r="A1165" s="1" t="s">
        <v>10047</v>
      </c>
      <c r="B1165" s="1" t="s">
        <v>16374</v>
      </c>
      <c r="C1165" s="3">
        <f>IF(B1165="","",SUMIFS('Factory Costs'!$C:$C,'Factory Costs'!$A:$A,"Motor",'Factory Costs'!$B:$B,B1165))</f>
        <v>62</v>
      </c>
    </row>
    <row r="1166" spans="1:3" x14ac:dyDescent="0.25">
      <c r="A1166" s="1" t="s">
        <v>10050</v>
      </c>
      <c r="B1166" s="1" t="s">
        <v>16374</v>
      </c>
      <c r="C1166" s="3">
        <f>IF(B1166="","",SUMIFS('Factory Costs'!$C:$C,'Factory Costs'!$A:$A,"Motor",'Factory Costs'!$B:$B,B1166))</f>
        <v>62</v>
      </c>
    </row>
    <row r="1167" spans="1:3" x14ac:dyDescent="0.25">
      <c r="A1167" s="1" t="s">
        <v>10053</v>
      </c>
      <c r="B1167" s="1" t="s">
        <v>16374</v>
      </c>
      <c r="C1167" s="3">
        <f>IF(B1167="","",SUMIFS('Factory Costs'!$C:$C,'Factory Costs'!$A:$A,"Motor",'Factory Costs'!$B:$B,B1167))</f>
        <v>62</v>
      </c>
    </row>
    <row r="1168" spans="1:3" x14ac:dyDescent="0.25">
      <c r="A1168" s="1" t="s">
        <v>10056</v>
      </c>
      <c r="B1168" s="1" t="s">
        <v>16375</v>
      </c>
      <c r="C1168" s="3">
        <f>IF(B1168="","",SUMIFS('Factory Costs'!$C:$C,'Factory Costs'!$A:$A,"Motor",'Factory Costs'!$B:$B,B1168))</f>
        <v>72</v>
      </c>
    </row>
    <row r="1169" spans="1:3" x14ac:dyDescent="0.25">
      <c r="A1169" s="1" t="s">
        <v>10059</v>
      </c>
      <c r="B1169" s="1" t="s">
        <v>16374</v>
      </c>
      <c r="C1169" s="3">
        <f>IF(B1169="","",SUMIFS('Factory Costs'!$C:$C,'Factory Costs'!$A:$A,"Motor",'Factory Costs'!$B:$B,B1169))</f>
        <v>62</v>
      </c>
    </row>
    <row r="1170" spans="1:3" x14ac:dyDescent="0.25">
      <c r="A1170" s="1" t="s">
        <v>10062</v>
      </c>
      <c r="B1170" s="1" t="s">
        <v>16374</v>
      </c>
      <c r="C1170" s="3">
        <f>IF(B1170="","",SUMIFS('Factory Costs'!$C:$C,'Factory Costs'!$A:$A,"Motor",'Factory Costs'!$B:$B,B1170))</f>
        <v>62</v>
      </c>
    </row>
    <row r="1171" spans="1:3" x14ac:dyDescent="0.25">
      <c r="A1171" s="1" t="s">
        <v>10065</v>
      </c>
      <c r="B1171" s="1" t="s">
        <v>16374</v>
      </c>
      <c r="C1171" s="3">
        <f>IF(B1171="","",SUMIFS('Factory Costs'!$C:$C,'Factory Costs'!$A:$A,"Motor",'Factory Costs'!$B:$B,B1171))</f>
        <v>62</v>
      </c>
    </row>
    <row r="1172" spans="1:3" x14ac:dyDescent="0.25">
      <c r="A1172" s="1" t="s">
        <v>10068</v>
      </c>
      <c r="B1172" s="1" t="s">
        <v>16374</v>
      </c>
      <c r="C1172" s="3">
        <f>IF(B1172="","",SUMIFS('Factory Costs'!$C:$C,'Factory Costs'!$A:$A,"Motor",'Factory Costs'!$B:$B,B1172))</f>
        <v>62</v>
      </c>
    </row>
    <row r="1173" spans="1:3" x14ac:dyDescent="0.25">
      <c r="A1173" s="1" t="s">
        <v>10071</v>
      </c>
      <c r="B1173" s="1" t="s">
        <v>16375</v>
      </c>
      <c r="C1173" s="3">
        <f>IF(B1173="","",SUMIFS('Factory Costs'!$C:$C,'Factory Costs'!$A:$A,"Motor",'Factory Costs'!$B:$B,B1173))</f>
        <v>72</v>
      </c>
    </row>
    <row r="1174" spans="1:3" x14ac:dyDescent="0.25">
      <c r="A1174" s="1" t="s">
        <v>10074</v>
      </c>
      <c r="B1174" s="1" t="s">
        <v>16374</v>
      </c>
      <c r="C1174" s="3">
        <f>IF(B1174="","",SUMIFS('Factory Costs'!$C:$C,'Factory Costs'!$A:$A,"Motor",'Factory Costs'!$B:$B,B1174))</f>
        <v>62</v>
      </c>
    </row>
    <row r="1175" spans="1:3" x14ac:dyDescent="0.25">
      <c r="A1175" s="1" t="s">
        <v>10077</v>
      </c>
      <c r="B1175" s="1" t="s">
        <v>16374</v>
      </c>
      <c r="C1175" s="3">
        <f>IF(B1175="","",SUMIFS('Factory Costs'!$C:$C,'Factory Costs'!$A:$A,"Motor",'Factory Costs'!$B:$B,B1175))</f>
        <v>62</v>
      </c>
    </row>
    <row r="1176" spans="1:3" x14ac:dyDescent="0.25">
      <c r="A1176" s="1" t="s">
        <v>10080</v>
      </c>
      <c r="B1176" s="1" t="s">
        <v>16375</v>
      </c>
      <c r="C1176" s="3">
        <f>IF(B1176="","",SUMIFS('Factory Costs'!$C:$C,'Factory Costs'!$A:$A,"Motor",'Factory Costs'!$B:$B,B1176))</f>
        <v>72</v>
      </c>
    </row>
    <row r="1177" spans="1:3" x14ac:dyDescent="0.25">
      <c r="A1177" s="1" t="s">
        <v>10083</v>
      </c>
      <c r="B1177" s="1" t="s">
        <v>16374</v>
      </c>
      <c r="C1177" s="3">
        <f>IF(B1177="","",SUMIFS('Factory Costs'!$C:$C,'Factory Costs'!$A:$A,"Motor",'Factory Costs'!$B:$B,B1177))</f>
        <v>62</v>
      </c>
    </row>
    <row r="1178" spans="1:3" x14ac:dyDescent="0.25">
      <c r="A1178" s="1" t="s">
        <v>10086</v>
      </c>
      <c r="B1178" s="1" t="s">
        <v>16374</v>
      </c>
      <c r="C1178" s="3">
        <f>IF(B1178="","",SUMIFS('Factory Costs'!$C:$C,'Factory Costs'!$A:$A,"Motor",'Factory Costs'!$B:$B,B1178))</f>
        <v>62</v>
      </c>
    </row>
    <row r="1179" spans="1:3" x14ac:dyDescent="0.25">
      <c r="A1179" s="1" t="s">
        <v>10089</v>
      </c>
      <c r="B1179" s="1" t="s">
        <v>16374</v>
      </c>
      <c r="C1179" s="3">
        <f>IF(B1179="","",SUMIFS('Factory Costs'!$C:$C,'Factory Costs'!$A:$A,"Motor",'Factory Costs'!$B:$B,B1179))</f>
        <v>62</v>
      </c>
    </row>
    <row r="1180" spans="1:3" x14ac:dyDescent="0.25">
      <c r="A1180" s="1" t="s">
        <v>10092</v>
      </c>
      <c r="B1180" s="1" t="s">
        <v>16375</v>
      </c>
      <c r="C1180" s="3">
        <f>IF(B1180="","",SUMIFS('Factory Costs'!$C:$C,'Factory Costs'!$A:$A,"Motor",'Factory Costs'!$B:$B,B1180))</f>
        <v>72</v>
      </c>
    </row>
    <row r="1181" spans="1:3" x14ac:dyDescent="0.25">
      <c r="A1181" s="1" t="s">
        <v>10095</v>
      </c>
      <c r="B1181" s="1" t="s">
        <v>16374</v>
      </c>
      <c r="C1181" s="3">
        <f>IF(B1181="","",SUMIFS('Factory Costs'!$C:$C,'Factory Costs'!$A:$A,"Motor",'Factory Costs'!$B:$B,B1181))</f>
        <v>62</v>
      </c>
    </row>
    <row r="1182" spans="1:3" x14ac:dyDescent="0.25">
      <c r="A1182" s="1" t="s">
        <v>10098</v>
      </c>
      <c r="B1182" s="1" t="s">
        <v>16375</v>
      </c>
      <c r="C1182" s="3">
        <f>IF(B1182="","",SUMIFS('Factory Costs'!$C:$C,'Factory Costs'!$A:$A,"Motor",'Factory Costs'!$B:$B,B1182))</f>
        <v>72</v>
      </c>
    </row>
    <row r="1183" spans="1:3" x14ac:dyDescent="0.25">
      <c r="A1183" s="1" t="s">
        <v>10101</v>
      </c>
      <c r="B1183" s="1" t="s">
        <v>16374</v>
      </c>
      <c r="C1183" s="3">
        <f>IF(B1183="","",SUMIFS('Factory Costs'!$C:$C,'Factory Costs'!$A:$A,"Motor",'Factory Costs'!$B:$B,B1183))</f>
        <v>62</v>
      </c>
    </row>
    <row r="1184" spans="1:3" x14ac:dyDescent="0.25">
      <c r="A1184" s="1" t="s">
        <v>10104</v>
      </c>
      <c r="B1184" s="1" t="s">
        <v>16375</v>
      </c>
      <c r="C1184" s="3">
        <f>IF(B1184="","",SUMIFS('Factory Costs'!$C:$C,'Factory Costs'!$A:$A,"Motor",'Factory Costs'!$B:$B,B1184))</f>
        <v>72</v>
      </c>
    </row>
    <row r="1185" spans="1:3" x14ac:dyDescent="0.25">
      <c r="A1185" s="1" t="s">
        <v>10107</v>
      </c>
      <c r="B1185" s="1" t="s">
        <v>16375</v>
      </c>
      <c r="C1185" s="3">
        <f>IF(B1185="","",SUMIFS('Factory Costs'!$C:$C,'Factory Costs'!$A:$A,"Motor",'Factory Costs'!$B:$B,B1185))</f>
        <v>72</v>
      </c>
    </row>
    <row r="1186" spans="1:3" x14ac:dyDescent="0.25">
      <c r="A1186" s="1" t="s">
        <v>10110</v>
      </c>
      <c r="B1186" s="1" t="s">
        <v>16374</v>
      </c>
      <c r="C1186" s="3">
        <f>IF(B1186="","",SUMIFS('Factory Costs'!$C:$C,'Factory Costs'!$A:$A,"Motor",'Factory Costs'!$B:$B,B1186))</f>
        <v>62</v>
      </c>
    </row>
    <row r="1187" spans="1:3" x14ac:dyDescent="0.25">
      <c r="A1187" s="1" t="s">
        <v>10113</v>
      </c>
      <c r="B1187" s="1" t="s">
        <v>16374</v>
      </c>
      <c r="C1187" s="3">
        <f>IF(B1187="","",SUMIFS('Factory Costs'!$C:$C,'Factory Costs'!$A:$A,"Motor",'Factory Costs'!$B:$B,B1187))</f>
        <v>62</v>
      </c>
    </row>
    <row r="1188" spans="1:3" x14ac:dyDescent="0.25">
      <c r="A1188" s="1" t="s">
        <v>10116</v>
      </c>
      <c r="B1188" s="1" t="s">
        <v>16374</v>
      </c>
      <c r="C1188" s="3">
        <f>IF(B1188="","",SUMIFS('Factory Costs'!$C:$C,'Factory Costs'!$A:$A,"Motor",'Factory Costs'!$B:$B,B1188))</f>
        <v>62</v>
      </c>
    </row>
    <row r="1189" spans="1:3" x14ac:dyDescent="0.25">
      <c r="A1189" s="1" t="s">
        <v>10119</v>
      </c>
      <c r="B1189" s="1" t="s">
        <v>16374</v>
      </c>
      <c r="C1189" s="3">
        <f>IF(B1189="","",SUMIFS('Factory Costs'!$C:$C,'Factory Costs'!$A:$A,"Motor",'Factory Costs'!$B:$B,B1189))</f>
        <v>62</v>
      </c>
    </row>
    <row r="1190" spans="1:3" x14ac:dyDescent="0.25">
      <c r="A1190" s="1" t="s">
        <v>10122</v>
      </c>
      <c r="B1190" s="1" t="s">
        <v>16375</v>
      </c>
      <c r="C1190" s="3">
        <f>IF(B1190="","",SUMIFS('Factory Costs'!$C:$C,'Factory Costs'!$A:$A,"Motor",'Factory Costs'!$B:$B,B1190))</f>
        <v>72</v>
      </c>
    </row>
    <row r="1191" spans="1:3" x14ac:dyDescent="0.25">
      <c r="A1191" s="1" t="s">
        <v>10125</v>
      </c>
      <c r="B1191" s="1" t="s">
        <v>16374</v>
      </c>
      <c r="C1191" s="3">
        <f>IF(B1191="","",SUMIFS('Factory Costs'!$C:$C,'Factory Costs'!$A:$A,"Motor",'Factory Costs'!$B:$B,B1191))</f>
        <v>62</v>
      </c>
    </row>
    <row r="1192" spans="1:3" x14ac:dyDescent="0.25">
      <c r="A1192" s="1" t="s">
        <v>10128</v>
      </c>
      <c r="B1192" s="1" t="s">
        <v>16374</v>
      </c>
      <c r="C1192" s="3">
        <f>IF(B1192="","",SUMIFS('Factory Costs'!$C:$C,'Factory Costs'!$A:$A,"Motor",'Factory Costs'!$B:$B,B1192))</f>
        <v>62</v>
      </c>
    </row>
    <row r="1193" spans="1:3" x14ac:dyDescent="0.25">
      <c r="A1193" s="1" t="s">
        <v>10131</v>
      </c>
      <c r="B1193" s="1" t="s">
        <v>16374</v>
      </c>
      <c r="C1193" s="3">
        <f>IF(B1193="","",SUMIFS('Factory Costs'!$C:$C,'Factory Costs'!$A:$A,"Motor",'Factory Costs'!$B:$B,B1193))</f>
        <v>62</v>
      </c>
    </row>
    <row r="1194" spans="1:3" x14ac:dyDescent="0.25">
      <c r="A1194" s="1" t="s">
        <v>10134</v>
      </c>
      <c r="B1194" s="1" t="s">
        <v>16375</v>
      </c>
      <c r="C1194" s="3">
        <f>IF(B1194="","",SUMIFS('Factory Costs'!$C:$C,'Factory Costs'!$A:$A,"Motor",'Factory Costs'!$B:$B,B1194))</f>
        <v>72</v>
      </c>
    </row>
    <row r="1195" spans="1:3" x14ac:dyDescent="0.25">
      <c r="A1195" s="1" t="s">
        <v>10137</v>
      </c>
      <c r="B1195" s="1" t="s">
        <v>16374</v>
      </c>
      <c r="C1195" s="3">
        <f>IF(B1195="","",SUMIFS('Factory Costs'!$C:$C,'Factory Costs'!$A:$A,"Motor",'Factory Costs'!$B:$B,B1195))</f>
        <v>62</v>
      </c>
    </row>
    <row r="1196" spans="1:3" x14ac:dyDescent="0.25">
      <c r="A1196" s="1" t="s">
        <v>10140</v>
      </c>
      <c r="B1196" s="1" t="s">
        <v>16374</v>
      </c>
      <c r="C1196" s="3">
        <f>IF(B1196="","",SUMIFS('Factory Costs'!$C:$C,'Factory Costs'!$A:$A,"Motor",'Factory Costs'!$B:$B,B1196))</f>
        <v>62</v>
      </c>
    </row>
    <row r="1197" spans="1:3" x14ac:dyDescent="0.25">
      <c r="A1197" s="1" t="s">
        <v>10143</v>
      </c>
      <c r="B1197" s="1" t="s">
        <v>16374</v>
      </c>
      <c r="C1197" s="3">
        <f>IF(B1197="","",SUMIFS('Factory Costs'!$C:$C,'Factory Costs'!$A:$A,"Motor",'Factory Costs'!$B:$B,B1197))</f>
        <v>62</v>
      </c>
    </row>
    <row r="1198" spans="1:3" x14ac:dyDescent="0.25">
      <c r="A1198" s="1" t="s">
        <v>10146</v>
      </c>
      <c r="B1198" s="1" t="s">
        <v>16375</v>
      </c>
      <c r="C1198" s="3">
        <f>IF(B1198="","",SUMIFS('Factory Costs'!$C:$C,'Factory Costs'!$A:$A,"Motor",'Factory Costs'!$B:$B,B1198))</f>
        <v>72</v>
      </c>
    </row>
    <row r="1199" spans="1:3" x14ac:dyDescent="0.25">
      <c r="A1199" s="1" t="s">
        <v>10149</v>
      </c>
      <c r="B1199" s="1" t="s">
        <v>16374</v>
      </c>
      <c r="C1199" s="3">
        <f>IF(B1199="","",SUMIFS('Factory Costs'!$C:$C,'Factory Costs'!$A:$A,"Motor",'Factory Costs'!$B:$B,B1199))</f>
        <v>62</v>
      </c>
    </row>
    <row r="1200" spans="1:3" x14ac:dyDescent="0.25">
      <c r="A1200" s="1" t="s">
        <v>10152</v>
      </c>
      <c r="B1200" s="1" t="s">
        <v>16374</v>
      </c>
      <c r="C1200" s="3">
        <f>IF(B1200="","",SUMIFS('Factory Costs'!$C:$C,'Factory Costs'!$A:$A,"Motor",'Factory Costs'!$B:$B,B1200))</f>
        <v>62</v>
      </c>
    </row>
    <row r="1201" spans="1:3" x14ac:dyDescent="0.25">
      <c r="A1201" s="1" t="s">
        <v>10155</v>
      </c>
      <c r="B1201" s="1" t="s">
        <v>16374</v>
      </c>
      <c r="C1201" s="3">
        <f>IF(B1201="","",SUMIFS('Factory Costs'!$C:$C,'Factory Costs'!$A:$A,"Motor",'Factory Costs'!$B:$B,B1201))</f>
        <v>62</v>
      </c>
    </row>
    <row r="1202" spans="1:3" x14ac:dyDescent="0.25">
      <c r="A1202" s="1" t="s">
        <v>10158</v>
      </c>
      <c r="B1202" s="1" t="s">
        <v>16374</v>
      </c>
      <c r="C1202" s="3">
        <f>IF(B1202="","",SUMIFS('Factory Costs'!$C:$C,'Factory Costs'!$A:$A,"Motor",'Factory Costs'!$B:$B,B1202))</f>
        <v>62</v>
      </c>
    </row>
    <row r="1203" spans="1:3" x14ac:dyDescent="0.25">
      <c r="A1203" s="1" t="s">
        <v>10161</v>
      </c>
      <c r="B1203" s="1" t="s">
        <v>16374</v>
      </c>
      <c r="C1203" s="3">
        <f>IF(B1203="","",SUMIFS('Factory Costs'!$C:$C,'Factory Costs'!$A:$A,"Motor",'Factory Costs'!$B:$B,B1203))</f>
        <v>62</v>
      </c>
    </row>
    <row r="1204" spans="1:3" x14ac:dyDescent="0.25">
      <c r="A1204" s="1" t="s">
        <v>10164</v>
      </c>
      <c r="B1204" s="1" t="s">
        <v>16374</v>
      </c>
      <c r="C1204" s="3">
        <f>IF(B1204="","",SUMIFS('Factory Costs'!$C:$C,'Factory Costs'!$A:$A,"Motor",'Factory Costs'!$B:$B,B1204))</f>
        <v>62</v>
      </c>
    </row>
    <row r="1205" spans="1:3" x14ac:dyDescent="0.25">
      <c r="A1205" s="1" t="s">
        <v>10167</v>
      </c>
      <c r="B1205" s="1" t="s">
        <v>16374</v>
      </c>
      <c r="C1205" s="3">
        <f>IF(B1205="","",SUMIFS('Factory Costs'!$C:$C,'Factory Costs'!$A:$A,"Motor",'Factory Costs'!$B:$B,B1205))</f>
        <v>62</v>
      </c>
    </row>
    <row r="1206" spans="1:3" x14ac:dyDescent="0.25">
      <c r="A1206" s="1" t="s">
        <v>10170</v>
      </c>
      <c r="B1206" s="1" t="s">
        <v>16375</v>
      </c>
      <c r="C1206" s="3">
        <f>IF(B1206="","",SUMIFS('Factory Costs'!$C:$C,'Factory Costs'!$A:$A,"Motor",'Factory Costs'!$B:$B,B1206))</f>
        <v>72</v>
      </c>
    </row>
    <row r="1207" spans="1:3" x14ac:dyDescent="0.25">
      <c r="A1207" s="1" t="s">
        <v>10173</v>
      </c>
      <c r="B1207" s="1" t="s">
        <v>16374</v>
      </c>
      <c r="C1207" s="3">
        <f>IF(B1207="","",SUMIFS('Factory Costs'!$C:$C,'Factory Costs'!$A:$A,"Motor",'Factory Costs'!$B:$B,B1207))</f>
        <v>62</v>
      </c>
    </row>
    <row r="1208" spans="1:3" x14ac:dyDescent="0.25">
      <c r="A1208" s="1" t="s">
        <v>10176</v>
      </c>
      <c r="B1208" s="1" t="s">
        <v>16374</v>
      </c>
      <c r="C1208" s="3">
        <f>IF(B1208="","",SUMIFS('Factory Costs'!$C:$C,'Factory Costs'!$A:$A,"Motor",'Factory Costs'!$B:$B,B1208))</f>
        <v>62</v>
      </c>
    </row>
    <row r="1209" spans="1:3" x14ac:dyDescent="0.25">
      <c r="A1209" s="1" t="s">
        <v>10179</v>
      </c>
      <c r="B1209" s="1" t="s">
        <v>16374</v>
      </c>
      <c r="C1209" s="3">
        <f>IF(B1209="","",SUMIFS('Factory Costs'!$C:$C,'Factory Costs'!$A:$A,"Motor",'Factory Costs'!$B:$B,B1209))</f>
        <v>62</v>
      </c>
    </row>
    <row r="1210" spans="1:3" x14ac:dyDescent="0.25">
      <c r="A1210" s="1" t="s">
        <v>10182</v>
      </c>
      <c r="B1210" s="1" t="s">
        <v>16374</v>
      </c>
      <c r="C1210" s="3">
        <f>IF(B1210="","",SUMIFS('Factory Costs'!$C:$C,'Factory Costs'!$A:$A,"Motor",'Factory Costs'!$B:$B,B1210))</f>
        <v>62</v>
      </c>
    </row>
    <row r="1211" spans="1:3" x14ac:dyDescent="0.25">
      <c r="A1211" s="1" t="s">
        <v>10185</v>
      </c>
      <c r="B1211" s="1" t="s">
        <v>16375</v>
      </c>
      <c r="C1211" s="3">
        <f>IF(B1211="","",SUMIFS('Factory Costs'!$C:$C,'Factory Costs'!$A:$A,"Motor",'Factory Costs'!$B:$B,B1211))</f>
        <v>72</v>
      </c>
    </row>
    <row r="1212" spans="1:3" x14ac:dyDescent="0.25">
      <c r="A1212" s="1" t="s">
        <v>10188</v>
      </c>
      <c r="B1212" s="1" t="s">
        <v>16375</v>
      </c>
      <c r="C1212" s="3">
        <f>IF(B1212="","",SUMIFS('Factory Costs'!$C:$C,'Factory Costs'!$A:$A,"Motor",'Factory Costs'!$B:$B,B1212))</f>
        <v>72</v>
      </c>
    </row>
    <row r="1213" spans="1:3" x14ac:dyDescent="0.25">
      <c r="A1213" s="1" t="s">
        <v>10191</v>
      </c>
      <c r="B1213" s="1" t="s">
        <v>16374</v>
      </c>
      <c r="C1213" s="3">
        <f>IF(B1213="","",SUMIFS('Factory Costs'!$C:$C,'Factory Costs'!$A:$A,"Motor",'Factory Costs'!$B:$B,B1213))</f>
        <v>62</v>
      </c>
    </row>
    <row r="1214" spans="1:3" x14ac:dyDescent="0.25">
      <c r="A1214" s="1" t="s">
        <v>10194</v>
      </c>
      <c r="B1214" s="1" t="s">
        <v>16374</v>
      </c>
      <c r="C1214" s="3">
        <f>IF(B1214="","",SUMIFS('Factory Costs'!$C:$C,'Factory Costs'!$A:$A,"Motor",'Factory Costs'!$B:$B,B1214))</f>
        <v>62</v>
      </c>
    </row>
    <row r="1215" spans="1:3" x14ac:dyDescent="0.25">
      <c r="A1215" s="1" t="s">
        <v>10197</v>
      </c>
      <c r="B1215" s="1" t="s">
        <v>16374</v>
      </c>
      <c r="C1215" s="3">
        <f>IF(B1215="","",SUMIFS('Factory Costs'!$C:$C,'Factory Costs'!$A:$A,"Motor",'Factory Costs'!$B:$B,B1215))</f>
        <v>62</v>
      </c>
    </row>
    <row r="1216" spans="1:3" x14ac:dyDescent="0.25">
      <c r="A1216" s="1" t="s">
        <v>10200</v>
      </c>
      <c r="B1216" s="1" t="s">
        <v>16374</v>
      </c>
      <c r="C1216" s="3">
        <f>IF(B1216="","",SUMIFS('Factory Costs'!$C:$C,'Factory Costs'!$A:$A,"Motor",'Factory Costs'!$B:$B,B1216))</f>
        <v>62</v>
      </c>
    </row>
    <row r="1217" spans="1:3" x14ac:dyDescent="0.25">
      <c r="A1217" s="1" t="s">
        <v>10203</v>
      </c>
      <c r="B1217" s="1" t="s">
        <v>16374</v>
      </c>
      <c r="C1217" s="3">
        <f>IF(B1217="","",SUMIFS('Factory Costs'!$C:$C,'Factory Costs'!$A:$A,"Motor",'Factory Costs'!$B:$B,B1217))</f>
        <v>62</v>
      </c>
    </row>
    <row r="1218" spans="1:3" x14ac:dyDescent="0.25">
      <c r="A1218" s="1" t="s">
        <v>10206</v>
      </c>
      <c r="B1218" s="1" t="s">
        <v>16374</v>
      </c>
      <c r="C1218" s="3">
        <f>IF(B1218="","",SUMIFS('Factory Costs'!$C:$C,'Factory Costs'!$A:$A,"Motor",'Factory Costs'!$B:$B,B1218))</f>
        <v>62</v>
      </c>
    </row>
    <row r="1219" spans="1:3" x14ac:dyDescent="0.25">
      <c r="A1219" s="1" t="s">
        <v>10209</v>
      </c>
      <c r="B1219" s="1" t="s">
        <v>16374</v>
      </c>
      <c r="C1219" s="3">
        <f>IF(B1219="","",SUMIFS('Factory Costs'!$C:$C,'Factory Costs'!$A:$A,"Motor",'Factory Costs'!$B:$B,B1219))</f>
        <v>62</v>
      </c>
    </row>
    <row r="1220" spans="1:3" x14ac:dyDescent="0.25">
      <c r="A1220" s="1" t="s">
        <v>10212</v>
      </c>
      <c r="B1220" s="1" t="s">
        <v>16374</v>
      </c>
      <c r="C1220" s="3">
        <f>IF(B1220="","",SUMIFS('Factory Costs'!$C:$C,'Factory Costs'!$A:$A,"Motor",'Factory Costs'!$B:$B,B1220))</f>
        <v>62</v>
      </c>
    </row>
    <row r="1221" spans="1:3" x14ac:dyDescent="0.25">
      <c r="A1221" s="1" t="s">
        <v>10215</v>
      </c>
      <c r="B1221" s="1" t="s">
        <v>16374</v>
      </c>
      <c r="C1221" s="3">
        <f>IF(B1221="","",SUMIFS('Factory Costs'!$C:$C,'Factory Costs'!$A:$A,"Motor",'Factory Costs'!$B:$B,B1221))</f>
        <v>62</v>
      </c>
    </row>
    <row r="1222" spans="1:3" x14ac:dyDescent="0.25">
      <c r="A1222" s="1" t="s">
        <v>10218</v>
      </c>
      <c r="B1222" s="1" t="s">
        <v>16375</v>
      </c>
      <c r="C1222" s="3">
        <f>IF(B1222="","",SUMIFS('Factory Costs'!$C:$C,'Factory Costs'!$A:$A,"Motor",'Factory Costs'!$B:$B,B1222))</f>
        <v>72</v>
      </c>
    </row>
    <row r="1223" spans="1:3" x14ac:dyDescent="0.25">
      <c r="A1223" s="1" t="s">
        <v>10221</v>
      </c>
      <c r="B1223" s="1" t="s">
        <v>16374</v>
      </c>
      <c r="C1223" s="3">
        <f>IF(B1223="","",SUMIFS('Factory Costs'!$C:$C,'Factory Costs'!$A:$A,"Motor",'Factory Costs'!$B:$B,B1223))</f>
        <v>62</v>
      </c>
    </row>
    <row r="1224" spans="1:3" x14ac:dyDescent="0.25">
      <c r="A1224" s="1" t="s">
        <v>10224</v>
      </c>
      <c r="B1224" s="1" t="s">
        <v>16374</v>
      </c>
      <c r="C1224" s="3">
        <f>IF(B1224="","",SUMIFS('Factory Costs'!$C:$C,'Factory Costs'!$A:$A,"Motor",'Factory Costs'!$B:$B,B1224))</f>
        <v>62</v>
      </c>
    </row>
    <row r="1225" spans="1:3" x14ac:dyDescent="0.25">
      <c r="A1225" s="1" t="s">
        <v>10227</v>
      </c>
      <c r="B1225" s="1" t="s">
        <v>16375</v>
      </c>
      <c r="C1225" s="3">
        <f>IF(B1225="","",SUMIFS('Factory Costs'!$C:$C,'Factory Costs'!$A:$A,"Motor",'Factory Costs'!$B:$B,B1225))</f>
        <v>72</v>
      </c>
    </row>
    <row r="1226" spans="1:3" x14ac:dyDescent="0.25">
      <c r="A1226" s="1" t="s">
        <v>10230</v>
      </c>
      <c r="B1226" s="1" t="s">
        <v>16374</v>
      </c>
      <c r="C1226" s="3">
        <f>IF(B1226="","",SUMIFS('Factory Costs'!$C:$C,'Factory Costs'!$A:$A,"Motor",'Factory Costs'!$B:$B,B1226))</f>
        <v>62</v>
      </c>
    </row>
    <row r="1227" spans="1:3" x14ac:dyDescent="0.25">
      <c r="A1227" s="1" t="s">
        <v>10233</v>
      </c>
      <c r="B1227" s="1" t="s">
        <v>16375</v>
      </c>
      <c r="C1227" s="3">
        <f>IF(B1227="","",SUMIFS('Factory Costs'!$C:$C,'Factory Costs'!$A:$A,"Motor",'Factory Costs'!$B:$B,B1227))</f>
        <v>72</v>
      </c>
    </row>
    <row r="1228" spans="1:3" x14ac:dyDescent="0.25">
      <c r="A1228" s="1" t="s">
        <v>10236</v>
      </c>
      <c r="B1228" s="1" t="s">
        <v>16375</v>
      </c>
      <c r="C1228" s="3">
        <f>IF(B1228="","",SUMIFS('Factory Costs'!$C:$C,'Factory Costs'!$A:$A,"Motor",'Factory Costs'!$B:$B,B1228))</f>
        <v>72</v>
      </c>
    </row>
    <row r="1229" spans="1:3" x14ac:dyDescent="0.25">
      <c r="A1229" s="1" t="s">
        <v>10239</v>
      </c>
      <c r="B1229" s="1" t="s">
        <v>16375</v>
      </c>
      <c r="C1229" s="3">
        <f>IF(B1229="","",SUMIFS('Factory Costs'!$C:$C,'Factory Costs'!$A:$A,"Motor",'Factory Costs'!$B:$B,B1229))</f>
        <v>72</v>
      </c>
    </row>
    <row r="1230" spans="1:3" x14ac:dyDescent="0.25">
      <c r="A1230" s="1" t="s">
        <v>10242</v>
      </c>
      <c r="B1230" s="1" t="s">
        <v>16375</v>
      </c>
      <c r="C1230" s="3">
        <f>IF(B1230="","",SUMIFS('Factory Costs'!$C:$C,'Factory Costs'!$A:$A,"Motor",'Factory Costs'!$B:$B,B1230))</f>
        <v>72</v>
      </c>
    </row>
    <row r="1231" spans="1:3" x14ac:dyDescent="0.25">
      <c r="A1231" s="1" t="s">
        <v>10245</v>
      </c>
      <c r="B1231" s="1" t="s">
        <v>16374</v>
      </c>
      <c r="C1231" s="3">
        <f>IF(B1231="","",SUMIFS('Factory Costs'!$C:$C,'Factory Costs'!$A:$A,"Motor",'Factory Costs'!$B:$B,B1231))</f>
        <v>62</v>
      </c>
    </row>
    <row r="1232" spans="1:3" x14ac:dyDescent="0.25">
      <c r="A1232" s="1" t="s">
        <v>10248</v>
      </c>
      <c r="B1232" s="1" t="s">
        <v>16375</v>
      </c>
      <c r="C1232" s="3">
        <f>IF(B1232="","",SUMIFS('Factory Costs'!$C:$C,'Factory Costs'!$A:$A,"Motor",'Factory Costs'!$B:$B,B1232))</f>
        <v>72</v>
      </c>
    </row>
    <row r="1233" spans="1:3" x14ac:dyDescent="0.25">
      <c r="A1233" s="1" t="s">
        <v>10251</v>
      </c>
      <c r="B1233" s="1" t="s">
        <v>16375</v>
      </c>
      <c r="C1233" s="3">
        <f>IF(B1233="","",SUMIFS('Factory Costs'!$C:$C,'Factory Costs'!$A:$A,"Motor",'Factory Costs'!$B:$B,B1233))</f>
        <v>72</v>
      </c>
    </row>
    <row r="1234" spans="1:3" x14ac:dyDescent="0.25">
      <c r="A1234" s="1" t="s">
        <v>10254</v>
      </c>
      <c r="B1234" s="1" t="s">
        <v>16374</v>
      </c>
      <c r="C1234" s="3">
        <f>IF(B1234="","",SUMIFS('Factory Costs'!$C:$C,'Factory Costs'!$A:$A,"Motor",'Factory Costs'!$B:$B,B1234))</f>
        <v>62</v>
      </c>
    </row>
    <row r="1235" spans="1:3" x14ac:dyDescent="0.25">
      <c r="A1235" s="1" t="s">
        <v>10257</v>
      </c>
      <c r="B1235" s="1" t="s">
        <v>16374</v>
      </c>
      <c r="C1235" s="3">
        <f>IF(B1235="","",SUMIFS('Factory Costs'!$C:$C,'Factory Costs'!$A:$A,"Motor",'Factory Costs'!$B:$B,B1235))</f>
        <v>62</v>
      </c>
    </row>
    <row r="1236" spans="1:3" x14ac:dyDescent="0.25">
      <c r="A1236" s="1" t="s">
        <v>10260</v>
      </c>
      <c r="B1236" s="1" t="s">
        <v>16375</v>
      </c>
      <c r="C1236" s="3">
        <f>IF(B1236="","",SUMIFS('Factory Costs'!$C:$C,'Factory Costs'!$A:$A,"Motor",'Factory Costs'!$B:$B,B1236))</f>
        <v>72</v>
      </c>
    </row>
    <row r="1237" spans="1:3" x14ac:dyDescent="0.25">
      <c r="A1237" s="1" t="s">
        <v>10263</v>
      </c>
      <c r="B1237" s="1" t="s">
        <v>16374</v>
      </c>
      <c r="C1237" s="3">
        <f>IF(B1237="","",SUMIFS('Factory Costs'!$C:$C,'Factory Costs'!$A:$A,"Motor",'Factory Costs'!$B:$B,B1237))</f>
        <v>62</v>
      </c>
    </row>
    <row r="1238" spans="1:3" x14ac:dyDescent="0.25">
      <c r="A1238" s="1" t="s">
        <v>10266</v>
      </c>
      <c r="B1238" s="1" t="s">
        <v>16375</v>
      </c>
      <c r="C1238" s="3">
        <f>IF(B1238="","",SUMIFS('Factory Costs'!$C:$C,'Factory Costs'!$A:$A,"Motor",'Factory Costs'!$B:$B,B1238))</f>
        <v>72</v>
      </c>
    </row>
    <row r="1239" spans="1:3" x14ac:dyDescent="0.25">
      <c r="A1239" s="1" t="s">
        <v>10269</v>
      </c>
      <c r="B1239" s="1" t="s">
        <v>16374</v>
      </c>
      <c r="C1239" s="3">
        <f>IF(B1239="","",SUMIFS('Factory Costs'!$C:$C,'Factory Costs'!$A:$A,"Motor",'Factory Costs'!$B:$B,B1239))</f>
        <v>62</v>
      </c>
    </row>
    <row r="1240" spans="1:3" x14ac:dyDescent="0.25">
      <c r="A1240" s="1" t="s">
        <v>10272</v>
      </c>
      <c r="B1240" s="1" t="s">
        <v>16374</v>
      </c>
      <c r="C1240" s="3">
        <f>IF(B1240="","",SUMIFS('Factory Costs'!$C:$C,'Factory Costs'!$A:$A,"Motor",'Factory Costs'!$B:$B,B1240))</f>
        <v>62</v>
      </c>
    </row>
    <row r="1241" spans="1:3" x14ac:dyDescent="0.25">
      <c r="A1241" s="1" t="s">
        <v>10275</v>
      </c>
      <c r="B1241" s="1" t="s">
        <v>16375</v>
      </c>
      <c r="C1241" s="3">
        <f>IF(B1241="","",SUMIFS('Factory Costs'!$C:$C,'Factory Costs'!$A:$A,"Motor",'Factory Costs'!$B:$B,B1241))</f>
        <v>72</v>
      </c>
    </row>
    <row r="1242" spans="1:3" x14ac:dyDescent="0.25">
      <c r="A1242" s="1" t="s">
        <v>10278</v>
      </c>
      <c r="B1242" s="1" t="s">
        <v>16374</v>
      </c>
      <c r="C1242" s="3">
        <f>IF(B1242="","",SUMIFS('Factory Costs'!$C:$C,'Factory Costs'!$A:$A,"Motor",'Factory Costs'!$B:$B,B1242))</f>
        <v>62</v>
      </c>
    </row>
    <row r="1243" spans="1:3" x14ac:dyDescent="0.25">
      <c r="A1243" s="1" t="s">
        <v>10281</v>
      </c>
      <c r="B1243" s="1" t="s">
        <v>16375</v>
      </c>
      <c r="C1243" s="3">
        <f>IF(B1243="","",SUMIFS('Factory Costs'!$C:$C,'Factory Costs'!$A:$A,"Motor",'Factory Costs'!$B:$B,B1243))</f>
        <v>72</v>
      </c>
    </row>
    <row r="1244" spans="1:3" x14ac:dyDescent="0.25">
      <c r="A1244" s="1" t="s">
        <v>10284</v>
      </c>
      <c r="B1244" s="1" t="s">
        <v>16374</v>
      </c>
      <c r="C1244" s="3">
        <f>IF(B1244="","",SUMIFS('Factory Costs'!$C:$C,'Factory Costs'!$A:$A,"Motor",'Factory Costs'!$B:$B,B1244))</f>
        <v>62</v>
      </c>
    </row>
    <row r="1245" spans="1:3" x14ac:dyDescent="0.25">
      <c r="A1245" s="1" t="s">
        <v>10287</v>
      </c>
      <c r="B1245" s="1" t="s">
        <v>16374</v>
      </c>
      <c r="C1245" s="3">
        <f>IF(B1245="","",SUMIFS('Factory Costs'!$C:$C,'Factory Costs'!$A:$A,"Motor",'Factory Costs'!$B:$B,B1245))</f>
        <v>62</v>
      </c>
    </row>
    <row r="1246" spans="1:3" x14ac:dyDescent="0.25">
      <c r="A1246" s="1" t="s">
        <v>10290</v>
      </c>
      <c r="B1246" s="1" t="s">
        <v>16375</v>
      </c>
      <c r="C1246" s="3">
        <f>IF(B1246="","",SUMIFS('Factory Costs'!$C:$C,'Factory Costs'!$A:$A,"Motor",'Factory Costs'!$B:$B,B1246))</f>
        <v>72</v>
      </c>
    </row>
    <row r="1247" spans="1:3" x14ac:dyDescent="0.25">
      <c r="A1247" s="1" t="s">
        <v>10293</v>
      </c>
      <c r="B1247" s="1" t="s">
        <v>16375</v>
      </c>
      <c r="C1247" s="3">
        <f>IF(B1247="","",SUMIFS('Factory Costs'!$C:$C,'Factory Costs'!$A:$A,"Motor",'Factory Costs'!$B:$B,B1247))</f>
        <v>72</v>
      </c>
    </row>
    <row r="1248" spans="1:3" x14ac:dyDescent="0.25">
      <c r="A1248" s="1" t="s">
        <v>10296</v>
      </c>
      <c r="B1248" s="1" t="s">
        <v>16375</v>
      </c>
      <c r="C1248" s="3">
        <f>IF(B1248="","",SUMIFS('Factory Costs'!$C:$C,'Factory Costs'!$A:$A,"Motor",'Factory Costs'!$B:$B,B1248))</f>
        <v>72</v>
      </c>
    </row>
    <row r="1249" spans="1:3" x14ac:dyDescent="0.25">
      <c r="A1249" s="1" t="s">
        <v>10299</v>
      </c>
      <c r="B1249" s="1" t="s">
        <v>16374</v>
      </c>
      <c r="C1249" s="3">
        <f>IF(B1249="","",SUMIFS('Factory Costs'!$C:$C,'Factory Costs'!$A:$A,"Motor",'Factory Costs'!$B:$B,B1249))</f>
        <v>62</v>
      </c>
    </row>
    <row r="1250" spans="1:3" x14ac:dyDescent="0.25">
      <c r="A1250" s="1" t="s">
        <v>10302</v>
      </c>
      <c r="B1250" s="1" t="s">
        <v>16374</v>
      </c>
      <c r="C1250" s="3">
        <f>IF(B1250="","",SUMIFS('Factory Costs'!$C:$C,'Factory Costs'!$A:$A,"Motor",'Factory Costs'!$B:$B,B1250))</f>
        <v>62</v>
      </c>
    </row>
    <row r="1251" spans="1:3" x14ac:dyDescent="0.25">
      <c r="A1251" s="1" t="s">
        <v>10305</v>
      </c>
      <c r="B1251" s="1" t="s">
        <v>16374</v>
      </c>
      <c r="C1251" s="3">
        <f>IF(B1251="","",SUMIFS('Factory Costs'!$C:$C,'Factory Costs'!$A:$A,"Motor",'Factory Costs'!$B:$B,B1251))</f>
        <v>62</v>
      </c>
    </row>
    <row r="1252" spans="1:3" x14ac:dyDescent="0.25">
      <c r="A1252" s="1" t="s">
        <v>10308</v>
      </c>
      <c r="B1252" s="1" t="s">
        <v>16375</v>
      </c>
      <c r="C1252" s="3">
        <f>IF(B1252="","",SUMIFS('Factory Costs'!$C:$C,'Factory Costs'!$A:$A,"Motor",'Factory Costs'!$B:$B,B1252))</f>
        <v>72</v>
      </c>
    </row>
    <row r="1253" spans="1:3" x14ac:dyDescent="0.25">
      <c r="A1253" s="1" t="s">
        <v>10311</v>
      </c>
      <c r="B1253" s="1" t="s">
        <v>16374</v>
      </c>
      <c r="C1253" s="3">
        <f>IF(B1253="","",SUMIFS('Factory Costs'!$C:$C,'Factory Costs'!$A:$A,"Motor",'Factory Costs'!$B:$B,B1253))</f>
        <v>62</v>
      </c>
    </row>
    <row r="1254" spans="1:3" x14ac:dyDescent="0.25">
      <c r="A1254" s="1" t="s">
        <v>10314</v>
      </c>
      <c r="B1254" s="1" t="s">
        <v>16375</v>
      </c>
      <c r="C1254" s="3">
        <f>IF(B1254="","",SUMIFS('Factory Costs'!$C:$C,'Factory Costs'!$A:$A,"Motor",'Factory Costs'!$B:$B,B1254))</f>
        <v>72</v>
      </c>
    </row>
    <row r="1255" spans="1:3" x14ac:dyDescent="0.25">
      <c r="A1255" s="1" t="s">
        <v>10317</v>
      </c>
      <c r="B1255" s="1" t="s">
        <v>16374</v>
      </c>
      <c r="C1255" s="3">
        <f>IF(B1255="","",SUMIFS('Factory Costs'!$C:$C,'Factory Costs'!$A:$A,"Motor",'Factory Costs'!$B:$B,B1255))</f>
        <v>62</v>
      </c>
    </row>
    <row r="1256" spans="1:3" x14ac:dyDescent="0.25">
      <c r="A1256" s="1" t="s">
        <v>10320</v>
      </c>
      <c r="B1256" s="1" t="s">
        <v>16375</v>
      </c>
      <c r="C1256" s="3">
        <f>IF(B1256="","",SUMIFS('Factory Costs'!$C:$C,'Factory Costs'!$A:$A,"Motor",'Factory Costs'!$B:$B,B1256))</f>
        <v>72</v>
      </c>
    </row>
    <row r="1257" spans="1:3" x14ac:dyDescent="0.25">
      <c r="A1257" s="1" t="s">
        <v>10323</v>
      </c>
      <c r="B1257" s="1" t="s">
        <v>16375</v>
      </c>
      <c r="C1257" s="3">
        <f>IF(B1257="","",SUMIFS('Factory Costs'!$C:$C,'Factory Costs'!$A:$A,"Motor",'Factory Costs'!$B:$B,B1257))</f>
        <v>72</v>
      </c>
    </row>
    <row r="1258" spans="1:3" x14ac:dyDescent="0.25">
      <c r="A1258" s="1" t="s">
        <v>10326</v>
      </c>
      <c r="B1258" s="1" t="s">
        <v>16374</v>
      </c>
      <c r="C1258" s="3">
        <f>IF(B1258="","",SUMIFS('Factory Costs'!$C:$C,'Factory Costs'!$A:$A,"Motor",'Factory Costs'!$B:$B,B1258))</f>
        <v>62</v>
      </c>
    </row>
    <row r="1259" spans="1:3" x14ac:dyDescent="0.25">
      <c r="A1259" s="1" t="s">
        <v>10329</v>
      </c>
      <c r="B1259" s="1" t="s">
        <v>16375</v>
      </c>
      <c r="C1259" s="3">
        <f>IF(B1259="","",SUMIFS('Factory Costs'!$C:$C,'Factory Costs'!$A:$A,"Motor",'Factory Costs'!$B:$B,B1259))</f>
        <v>72</v>
      </c>
    </row>
    <row r="1260" spans="1:3" x14ac:dyDescent="0.25">
      <c r="A1260" s="1" t="s">
        <v>10332</v>
      </c>
      <c r="B1260" s="1" t="s">
        <v>16375</v>
      </c>
      <c r="C1260" s="3">
        <f>IF(B1260="","",SUMIFS('Factory Costs'!$C:$C,'Factory Costs'!$A:$A,"Motor",'Factory Costs'!$B:$B,B1260))</f>
        <v>72</v>
      </c>
    </row>
    <row r="1261" spans="1:3" x14ac:dyDescent="0.25">
      <c r="A1261" s="1" t="s">
        <v>10335</v>
      </c>
      <c r="B1261" s="1" t="s">
        <v>16374</v>
      </c>
      <c r="C1261" s="3">
        <f>IF(B1261="","",SUMIFS('Factory Costs'!$C:$C,'Factory Costs'!$A:$A,"Motor",'Factory Costs'!$B:$B,B1261))</f>
        <v>62</v>
      </c>
    </row>
    <row r="1262" spans="1:3" x14ac:dyDescent="0.25">
      <c r="A1262" s="1" t="s">
        <v>10338</v>
      </c>
      <c r="B1262" s="1" t="s">
        <v>16375</v>
      </c>
      <c r="C1262" s="3">
        <f>IF(B1262="","",SUMIFS('Factory Costs'!$C:$C,'Factory Costs'!$A:$A,"Motor",'Factory Costs'!$B:$B,B1262))</f>
        <v>72</v>
      </c>
    </row>
    <row r="1263" spans="1:3" x14ac:dyDescent="0.25">
      <c r="A1263" s="1" t="s">
        <v>10341</v>
      </c>
      <c r="B1263" s="1" t="s">
        <v>16374</v>
      </c>
      <c r="C1263" s="3">
        <f>IF(B1263="","",SUMIFS('Factory Costs'!$C:$C,'Factory Costs'!$A:$A,"Motor",'Factory Costs'!$B:$B,B1263))</f>
        <v>62</v>
      </c>
    </row>
    <row r="1264" spans="1:3" x14ac:dyDescent="0.25">
      <c r="A1264" s="1" t="s">
        <v>10344</v>
      </c>
      <c r="B1264" s="1" t="s">
        <v>16375</v>
      </c>
      <c r="C1264" s="3">
        <f>IF(B1264="","",SUMIFS('Factory Costs'!$C:$C,'Factory Costs'!$A:$A,"Motor",'Factory Costs'!$B:$B,B1264))</f>
        <v>72</v>
      </c>
    </row>
    <row r="1265" spans="1:3" x14ac:dyDescent="0.25">
      <c r="A1265" s="1" t="s">
        <v>10347</v>
      </c>
      <c r="B1265" s="1" t="s">
        <v>16374</v>
      </c>
      <c r="C1265" s="3">
        <f>IF(B1265="","",SUMIFS('Factory Costs'!$C:$C,'Factory Costs'!$A:$A,"Motor",'Factory Costs'!$B:$B,B1265))</f>
        <v>62</v>
      </c>
    </row>
    <row r="1266" spans="1:3" x14ac:dyDescent="0.25">
      <c r="A1266" s="1" t="s">
        <v>10350</v>
      </c>
      <c r="B1266" s="1" t="s">
        <v>16374</v>
      </c>
      <c r="C1266" s="3">
        <f>IF(B1266="","",SUMIFS('Factory Costs'!$C:$C,'Factory Costs'!$A:$A,"Motor",'Factory Costs'!$B:$B,B1266))</f>
        <v>62</v>
      </c>
    </row>
    <row r="1267" spans="1:3" x14ac:dyDescent="0.25">
      <c r="A1267" s="1" t="s">
        <v>10353</v>
      </c>
      <c r="B1267" s="1" t="s">
        <v>16374</v>
      </c>
      <c r="C1267" s="3">
        <f>IF(B1267="","",SUMIFS('Factory Costs'!$C:$C,'Factory Costs'!$A:$A,"Motor",'Factory Costs'!$B:$B,B1267))</f>
        <v>62</v>
      </c>
    </row>
    <row r="1268" spans="1:3" x14ac:dyDescent="0.25">
      <c r="A1268" s="1" t="s">
        <v>10356</v>
      </c>
      <c r="B1268" s="1" t="s">
        <v>16374</v>
      </c>
      <c r="C1268" s="3">
        <f>IF(B1268="","",SUMIFS('Factory Costs'!$C:$C,'Factory Costs'!$A:$A,"Motor",'Factory Costs'!$B:$B,B1268))</f>
        <v>62</v>
      </c>
    </row>
    <row r="1269" spans="1:3" x14ac:dyDescent="0.25">
      <c r="A1269" s="1" t="s">
        <v>10359</v>
      </c>
      <c r="B1269" s="1" t="s">
        <v>16374</v>
      </c>
      <c r="C1269" s="3">
        <f>IF(B1269="","",SUMIFS('Factory Costs'!$C:$C,'Factory Costs'!$A:$A,"Motor",'Factory Costs'!$B:$B,B1269))</f>
        <v>62</v>
      </c>
    </row>
    <row r="1270" spans="1:3" x14ac:dyDescent="0.25">
      <c r="A1270" s="1" t="s">
        <v>10362</v>
      </c>
      <c r="B1270" s="1" t="s">
        <v>16374</v>
      </c>
      <c r="C1270" s="3">
        <f>IF(B1270="","",SUMIFS('Factory Costs'!$C:$C,'Factory Costs'!$A:$A,"Motor",'Factory Costs'!$B:$B,B1270))</f>
        <v>62</v>
      </c>
    </row>
    <row r="1271" spans="1:3" x14ac:dyDescent="0.25">
      <c r="A1271" s="1" t="s">
        <v>10365</v>
      </c>
      <c r="B1271" s="1" t="s">
        <v>16375</v>
      </c>
      <c r="C1271" s="3">
        <f>IF(B1271="","",SUMIFS('Factory Costs'!$C:$C,'Factory Costs'!$A:$A,"Motor",'Factory Costs'!$B:$B,B1271))</f>
        <v>72</v>
      </c>
    </row>
    <row r="1272" spans="1:3" x14ac:dyDescent="0.25">
      <c r="A1272" s="1" t="s">
        <v>10368</v>
      </c>
      <c r="B1272" s="1" t="s">
        <v>16375</v>
      </c>
      <c r="C1272" s="3">
        <f>IF(B1272="","",SUMIFS('Factory Costs'!$C:$C,'Factory Costs'!$A:$A,"Motor",'Factory Costs'!$B:$B,B1272))</f>
        <v>72</v>
      </c>
    </row>
    <row r="1273" spans="1:3" x14ac:dyDescent="0.25">
      <c r="A1273" s="1" t="s">
        <v>10371</v>
      </c>
      <c r="B1273" s="1" t="s">
        <v>16375</v>
      </c>
      <c r="C1273" s="3">
        <f>IF(B1273="","",SUMIFS('Factory Costs'!$C:$C,'Factory Costs'!$A:$A,"Motor",'Factory Costs'!$B:$B,B1273))</f>
        <v>72</v>
      </c>
    </row>
    <row r="1274" spans="1:3" x14ac:dyDescent="0.25">
      <c r="A1274" s="1" t="s">
        <v>10374</v>
      </c>
      <c r="B1274" s="1" t="s">
        <v>16375</v>
      </c>
      <c r="C1274" s="3">
        <f>IF(B1274="","",SUMIFS('Factory Costs'!$C:$C,'Factory Costs'!$A:$A,"Motor",'Factory Costs'!$B:$B,B1274))</f>
        <v>72</v>
      </c>
    </row>
    <row r="1275" spans="1:3" x14ac:dyDescent="0.25">
      <c r="A1275" s="1" t="s">
        <v>10377</v>
      </c>
      <c r="B1275" s="1" t="s">
        <v>16374</v>
      </c>
      <c r="C1275" s="3">
        <f>IF(B1275="","",SUMIFS('Factory Costs'!$C:$C,'Factory Costs'!$A:$A,"Motor",'Factory Costs'!$B:$B,B1275))</f>
        <v>62</v>
      </c>
    </row>
    <row r="1276" spans="1:3" x14ac:dyDescent="0.25">
      <c r="A1276" s="1" t="s">
        <v>10380</v>
      </c>
      <c r="B1276" s="1" t="s">
        <v>16374</v>
      </c>
      <c r="C1276" s="3">
        <f>IF(B1276="","",SUMIFS('Factory Costs'!$C:$C,'Factory Costs'!$A:$A,"Motor",'Factory Costs'!$B:$B,B1276))</f>
        <v>62</v>
      </c>
    </row>
    <row r="1277" spans="1:3" x14ac:dyDescent="0.25">
      <c r="A1277" s="1" t="s">
        <v>10383</v>
      </c>
      <c r="B1277" s="1" t="s">
        <v>16375</v>
      </c>
      <c r="C1277" s="3">
        <f>IF(B1277="","",SUMIFS('Factory Costs'!$C:$C,'Factory Costs'!$A:$A,"Motor",'Factory Costs'!$B:$B,B1277))</f>
        <v>72</v>
      </c>
    </row>
    <row r="1278" spans="1:3" x14ac:dyDescent="0.25">
      <c r="A1278" s="1" t="s">
        <v>10386</v>
      </c>
      <c r="B1278" s="1" t="s">
        <v>16374</v>
      </c>
      <c r="C1278" s="3">
        <f>IF(B1278="","",SUMIFS('Factory Costs'!$C:$C,'Factory Costs'!$A:$A,"Motor",'Factory Costs'!$B:$B,B1278))</f>
        <v>62</v>
      </c>
    </row>
    <row r="1279" spans="1:3" x14ac:dyDescent="0.25">
      <c r="A1279" s="1" t="s">
        <v>10389</v>
      </c>
      <c r="B1279" s="1" t="s">
        <v>16375</v>
      </c>
      <c r="C1279" s="3">
        <f>IF(B1279="","",SUMIFS('Factory Costs'!$C:$C,'Factory Costs'!$A:$A,"Motor",'Factory Costs'!$B:$B,B1279))</f>
        <v>72</v>
      </c>
    </row>
    <row r="1280" spans="1:3" x14ac:dyDescent="0.25">
      <c r="A1280" s="1" t="s">
        <v>10392</v>
      </c>
      <c r="B1280" s="1" t="s">
        <v>16375</v>
      </c>
      <c r="C1280" s="3">
        <f>IF(B1280="","",SUMIFS('Factory Costs'!$C:$C,'Factory Costs'!$A:$A,"Motor",'Factory Costs'!$B:$B,B1280))</f>
        <v>72</v>
      </c>
    </row>
    <row r="1281" spans="1:3" x14ac:dyDescent="0.25">
      <c r="A1281" s="1" t="s">
        <v>10395</v>
      </c>
      <c r="B1281" s="1" t="s">
        <v>16375</v>
      </c>
      <c r="C1281" s="3">
        <f>IF(B1281="","",SUMIFS('Factory Costs'!$C:$C,'Factory Costs'!$A:$A,"Motor",'Factory Costs'!$B:$B,B1281))</f>
        <v>72</v>
      </c>
    </row>
    <row r="1282" spans="1:3" x14ac:dyDescent="0.25">
      <c r="A1282" s="1" t="s">
        <v>10398</v>
      </c>
      <c r="B1282" s="1" t="s">
        <v>16374</v>
      </c>
      <c r="C1282" s="3">
        <f>IF(B1282="","",SUMIFS('Factory Costs'!$C:$C,'Factory Costs'!$A:$A,"Motor",'Factory Costs'!$B:$B,B1282))</f>
        <v>62</v>
      </c>
    </row>
    <row r="1283" spans="1:3" x14ac:dyDescent="0.25">
      <c r="A1283" s="1" t="s">
        <v>10401</v>
      </c>
      <c r="B1283" s="1" t="s">
        <v>16374</v>
      </c>
      <c r="C1283" s="3">
        <f>IF(B1283="","",SUMIFS('Factory Costs'!$C:$C,'Factory Costs'!$A:$A,"Motor",'Factory Costs'!$B:$B,B1283))</f>
        <v>62</v>
      </c>
    </row>
    <row r="1284" spans="1:3" x14ac:dyDescent="0.25">
      <c r="A1284" s="1" t="s">
        <v>10404</v>
      </c>
      <c r="B1284" s="1" t="s">
        <v>16375</v>
      </c>
      <c r="C1284" s="3">
        <f>IF(B1284="","",SUMIFS('Factory Costs'!$C:$C,'Factory Costs'!$A:$A,"Motor",'Factory Costs'!$B:$B,B1284))</f>
        <v>72</v>
      </c>
    </row>
    <row r="1285" spans="1:3" x14ac:dyDescent="0.25">
      <c r="A1285" s="1" t="s">
        <v>10407</v>
      </c>
      <c r="B1285" s="1" t="s">
        <v>16375</v>
      </c>
      <c r="C1285" s="3">
        <f>IF(B1285="","",SUMIFS('Factory Costs'!$C:$C,'Factory Costs'!$A:$A,"Motor",'Factory Costs'!$B:$B,B1285))</f>
        <v>72</v>
      </c>
    </row>
    <row r="1286" spans="1:3" x14ac:dyDescent="0.25">
      <c r="A1286" s="1" t="s">
        <v>10410</v>
      </c>
      <c r="B1286" s="1" t="s">
        <v>16374</v>
      </c>
      <c r="C1286" s="3">
        <f>IF(B1286="","",SUMIFS('Factory Costs'!$C:$C,'Factory Costs'!$A:$A,"Motor",'Factory Costs'!$B:$B,B1286))</f>
        <v>62</v>
      </c>
    </row>
    <row r="1287" spans="1:3" x14ac:dyDescent="0.25">
      <c r="A1287" s="1" t="s">
        <v>10413</v>
      </c>
      <c r="B1287" s="1" t="s">
        <v>16374</v>
      </c>
      <c r="C1287" s="3">
        <f>IF(B1287="","",SUMIFS('Factory Costs'!$C:$C,'Factory Costs'!$A:$A,"Motor",'Factory Costs'!$B:$B,B1287))</f>
        <v>62</v>
      </c>
    </row>
    <row r="1288" spans="1:3" x14ac:dyDescent="0.25">
      <c r="A1288" s="1" t="s">
        <v>10416</v>
      </c>
      <c r="B1288" s="1" t="s">
        <v>16375</v>
      </c>
      <c r="C1288" s="3">
        <f>IF(B1288="","",SUMIFS('Factory Costs'!$C:$C,'Factory Costs'!$A:$A,"Motor",'Factory Costs'!$B:$B,B1288))</f>
        <v>72</v>
      </c>
    </row>
    <row r="1289" spans="1:3" x14ac:dyDescent="0.25">
      <c r="A1289" s="1" t="s">
        <v>10419</v>
      </c>
      <c r="B1289" s="1" t="s">
        <v>16375</v>
      </c>
      <c r="C1289" s="3">
        <f>IF(B1289="","",SUMIFS('Factory Costs'!$C:$C,'Factory Costs'!$A:$A,"Motor",'Factory Costs'!$B:$B,B1289))</f>
        <v>72</v>
      </c>
    </row>
    <row r="1290" spans="1:3" x14ac:dyDescent="0.25">
      <c r="A1290" s="1" t="s">
        <v>10422</v>
      </c>
      <c r="B1290" s="1" t="s">
        <v>16374</v>
      </c>
      <c r="C1290" s="3">
        <f>IF(B1290="","",SUMIFS('Factory Costs'!$C:$C,'Factory Costs'!$A:$A,"Motor",'Factory Costs'!$B:$B,B1290))</f>
        <v>62</v>
      </c>
    </row>
    <row r="1291" spans="1:3" x14ac:dyDescent="0.25">
      <c r="A1291" s="1" t="s">
        <v>10425</v>
      </c>
      <c r="B1291" s="1" t="s">
        <v>16374</v>
      </c>
      <c r="C1291" s="3">
        <f>IF(B1291="","",SUMIFS('Factory Costs'!$C:$C,'Factory Costs'!$A:$A,"Motor",'Factory Costs'!$B:$B,B1291))</f>
        <v>62</v>
      </c>
    </row>
    <row r="1292" spans="1:3" x14ac:dyDescent="0.25">
      <c r="A1292" s="1" t="s">
        <v>10428</v>
      </c>
      <c r="B1292" s="1" t="s">
        <v>16374</v>
      </c>
      <c r="C1292" s="3">
        <f>IF(B1292="","",SUMIFS('Factory Costs'!$C:$C,'Factory Costs'!$A:$A,"Motor",'Factory Costs'!$B:$B,B1292))</f>
        <v>62</v>
      </c>
    </row>
    <row r="1293" spans="1:3" x14ac:dyDescent="0.25">
      <c r="A1293" s="1" t="s">
        <v>10431</v>
      </c>
      <c r="B1293" s="1" t="s">
        <v>16374</v>
      </c>
      <c r="C1293" s="3">
        <f>IF(B1293="","",SUMIFS('Factory Costs'!$C:$C,'Factory Costs'!$A:$A,"Motor",'Factory Costs'!$B:$B,B1293))</f>
        <v>62</v>
      </c>
    </row>
    <row r="1294" spans="1:3" x14ac:dyDescent="0.25">
      <c r="A1294" s="1" t="s">
        <v>10434</v>
      </c>
      <c r="B1294" s="1" t="s">
        <v>16374</v>
      </c>
      <c r="C1294" s="3">
        <f>IF(B1294="","",SUMIFS('Factory Costs'!$C:$C,'Factory Costs'!$A:$A,"Motor",'Factory Costs'!$B:$B,B1294))</f>
        <v>62</v>
      </c>
    </row>
    <row r="1295" spans="1:3" x14ac:dyDescent="0.25">
      <c r="A1295" s="1" t="s">
        <v>10437</v>
      </c>
      <c r="B1295" s="1" t="s">
        <v>16375</v>
      </c>
      <c r="C1295" s="3">
        <f>IF(B1295="","",SUMIFS('Factory Costs'!$C:$C,'Factory Costs'!$A:$A,"Motor",'Factory Costs'!$B:$B,B1295))</f>
        <v>72</v>
      </c>
    </row>
    <row r="1296" spans="1:3" x14ac:dyDescent="0.25">
      <c r="A1296" s="1" t="s">
        <v>10440</v>
      </c>
      <c r="B1296" s="1" t="s">
        <v>16374</v>
      </c>
      <c r="C1296" s="3">
        <f>IF(B1296="","",SUMIFS('Factory Costs'!$C:$C,'Factory Costs'!$A:$A,"Motor",'Factory Costs'!$B:$B,B1296))</f>
        <v>62</v>
      </c>
    </row>
    <row r="1297" spans="1:3" x14ac:dyDescent="0.25">
      <c r="A1297" s="1" t="s">
        <v>10443</v>
      </c>
      <c r="B1297" s="1" t="s">
        <v>16375</v>
      </c>
      <c r="C1297" s="3">
        <f>IF(B1297="","",SUMIFS('Factory Costs'!$C:$C,'Factory Costs'!$A:$A,"Motor",'Factory Costs'!$B:$B,B1297))</f>
        <v>72</v>
      </c>
    </row>
    <row r="1298" spans="1:3" x14ac:dyDescent="0.25">
      <c r="A1298" s="1" t="s">
        <v>10446</v>
      </c>
      <c r="B1298" s="1" t="s">
        <v>16374</v>
      </c>
      <c r="C1298" s="3">
        <f>IF(B1298="","",SUMIFS('Factory Costs'!$C:$C,'Factory Costs'!$A:$A,"Motor",'Factory Costs'!$B:$B,B1298))</f>
        <v>62</v>
      </c>
    </row>
    <row r="1299" spans="1:3" x14ac:dyDescent="0.25">
      <c r="A1299" s="1" t="s">
        <v>10449</v>
      </c>
      <c r="B1299" s="1" t="s">
        <v>16374</v>
      </c>
      <c r="C1299" s="3">
        <f>IF(B1299="","",SUMIFS('Factory Costs'!$C:$C,'Factory Costs'!$A:$A,"Motor",'Factory Costs'!$B:$B,B1299))</f>
        <v>62</v>
      </c>
    </row>
    <row r="1300" spans="1:3" x14ac:dyDescent="0.25">
      <c r="A1300" s="1" t="s">
        <v>10452</v>
      </c>
      <c r="B1300" s="1" t="s">
        <v>16374</v>
      </c>
      <c r="C1300" s="3">
        <f>IF(B1300="","",SUMIFS('Factory Costs'!$C:$C,'Factory Costs'!$A:$A,"Motor",'Factory Costs'!$B:$B,B1300))</f>
        <v>62</v>
      </c>
    </row>
    <row r="1301" spans="1:3" x14ac:dyDescent="0.25">
      <c r="A1301" s="1" t="s">
        <v>10455</v>
      </c>
      <c r="B1301" s="1" t="s">
        <v>16374</v>
      </c>
      <c r="C1301" s="3">
        <f>IF(B1301="","",SUMIFS('Factory Costs'!$C:$C,'Factory Costs'!$A:$A,"Motor",'Factory Costs'!$B:$B,B1301))</f>
        <v>62</v>
      </c>
    </row>
    <row r="1302" spans="1:3" x14ac:dyDescent="0.25">
      <c r="A1302" s="1" t="s">
        <v>10458</v>
      </c>
      <c r="B1302" s="1" t="s">
        <v>16375</v>
      </c>
      <c r="C1302" s="3">
        <f>IF(B1302="","",SUMIFS('Factory Costs'!$C:$C,'Factory Costs'!$A:$A,"Motor",'Factory Costs'!$B:$B,B1302))</f>
        <v>72</v>
      </c>
    </row>
    <row r="1303" spans="1:3" x14ac:dyDescent="0.25">
      <c r="A1303" s="1" t="s">
        <v>10461</v>
      </c>
      <c r="B1303" s="1" t="s">
        <v>16374</v>
      </c>
      <c r="C1303" s="3">
        <f>IF(B1303="","",SUMIFS('Factory Costs'!$C:$C,'Factory Costs'!$A:$A,"Motor",'Factory Costs'!$B:$B,B1303))</f>
        <v>62</v>
      </c>
    </row>
    <row r="1304" spans="1:3" x14ac:dyDescent="0.25">
      <c r="A1304" s="1" t="s">
        <v>10464</v>
      </c>
      <c r="B1304" s="1" t="s">
        <v>16375</v>
      </c>
      <c r="C1304" s="3">
        <f>IF(B1304="","",SUMIFS('Factory Costs'!$C:$C,'Factory Costs'!$A:$A,"Motor",'Factory Costs'!$B:$B,B1304))</f>
        <v>72</v>
      </c>
    </row>
    <row r="1305" spans="1:3" x14ac:dyDescent="0.25">
      <c r="A1305" s="1" t="s">
        <v>10467</v>
      </c>
      <c r="B1305" s="1" t="s">
        <v>16375</v>
      </c>
      <c r="C1305" s="3">
        <f>IF(B1305="","",SUMIFS('Factory Costs'!$C:$C,'Factory Costs'!$A:$A,"Motor",'Factory Costs'!$B:$B,B1305))</f>
        <v>72</v>
      </c>
    </row>
    <row r="1306" spans="1:3" x14ac:dyDescent="0.25">
      <c r="A1306" s="1" t="s">
        <v>10470</v>
      </c>
      <c r="B1306" s="1" t="s">
        <v>16374</v>
      </c>
      <c r="C1306" s="3">
        <f>IF(B1306="","",SUMIFS('Factory Costs'!$C:$C,'Factory Costs'!$A:$A,"Motor",'Factory Costs'!$B:$B,B1306))</f>
        <v>62</v>
      </c>
    </row>
    <row r="1307" spans="1:3" x14ac:dyDescent="0.25">
      <c r="A1307" s="1" t="s">
        <v>10473</v>
      </c>
      <c r="B1307" s="1" t="s">
        <v>16375</v>
      </c>
      <c r="C1307" s="3">
        <f>IF(B1307="","",SUMIFS('Factory Costs'!$C:$C,'Factory Costs'!$A:$A,"Motor",'Factory Costs'!$B:$B,B1307))</f>
        <v>72</v>
      </c>
    </row>
    <row r="1308" spans="1:3" x14ac:dyDescent="0.25">
      <c r="A1308" s="1" t="s">
        <v>10476</v>
      </c>
      <c r="B1308" s="1" t="s">
        <v>16374</v>
      </c>
      <c r="C1308" s="3">
        <f>IF(B1308="","",SUMIFS('Factory Costs'!$C:$C,'Factory Costs'!$A:$A,"Motor",'Factory Costs'!$B:$B,B1308))</f>
        <v>62</v>
      </c>
    </row>
    <row r="1309" spans="1:3" x14ac:dyDescent="0.25">
      <c r="A1309" s="1" t="s">
        <v>10479</v>
      </c>
      <c r="B1309" s="1" t="s">
        <v>16375</v>
      </c>
      <c r="C1309" s="3">
        <f>IF(B1309="","",SUMIFS('Factory Costs'!$C:$C,'Factory Costs'!$A:$A,"Motor",'Factory Costs'!$B:$B,B1309))</f>
        <v>72</v>
      </c>
    </row>
    <row r="1310" spans="1:3" x14ac:dyDescent="0.25">
      <c r="A1310" s="1" t="s">
        <v>10482</v>
      </c>
      <c r="B1310" s="1" t="s">
        <v>16374</v>
      </c>
      <c r="C1310" s="3">
        <f>IF(B1310="","",SUMIFS('Factory Costs'!$C:$C,'Factory Costs'!$A:$A,"Motor",'Factory Costs'!$B:$B,B1310))</f>
        <v>62</v>
      </c>
    </row>
    <row r="1311" spans="1:3" x14ac:dyDescent="0.25">
      <c r="A1311" s="1" t="s">
        <v>10485</v>
      </c>
      <c r="B1311" s="1" t="s">
        <v>16374</v>
      </c>
      <c r="C1311" s="3">
        <f>IF(B1311="","",SUMIFS('Factory Costs'!$C:$C,'Factory Costs'!$A:$A,"Motor",'Factory Costs'!$B:$B,B1311))</f>
        <v>62</v>
      </c>
    </row>
    <row r="1312" spans="1:3" x14ac:dyDescent="0.25">
      <c r="A1312" s="1" t="s">
        <v>10488</v>
      </c>
      <c r="B1312" s="1" t="s">
        <v>16374</v>
      </c>
      <c r="C1312" s="3">
        <f>IF(B1312="","",SUMIFS('Factory Costs'!$C:$C,'Factory Costs'!$A:$A,"Motor",'Factory Costs'!$B:$B,B1312))</f>
        <v>62</v>
      </c>
    </row>
    <row r="1313" spans="1:3" x14ac:dyDescent="0.25">
      <c r="A1313" s="1" t="s">
        <v>10491</v>
      </c>
      <c r="B1313" s="1" t="s">
        <v>16374</v>
      </c>
      <c r="C1313" s="3">
        <f>IF(B1313="","",SUMIFS('Factory Costs'!$C:$C,'Factory Costs'!$A:$A,"Motor",'Factory Costs'!$B:$B,B1313))</f>
        <v>62</v>
      </c>
    </row>
    <row r="1314" spans="1:3" x14ac:dyDescent="0.25">
      <c r="A1314" s="1" t="s">
        <v>10494</v>
      </c>
      <c r="B1314" s="1" t="s">
        <v>16374</v>
      </c>
      <c r="C1314" s="3">
        <f>IF(B1314="","",SUMIFS('Factory Costs'!$C:$C,'Factory Costs'!$A:$A,"Motor",'Factory Costs'!$B:$B,B1314))</f>
        <v>62</v>
      </c>
    </row>
    <row r="1315" spans="1:3" x14ac:dyDescent="0.25">
      <c r="A1315" s="1" t="s">
        <v>10497</v>
      </c>
      <c r="B1315" s="1" t="s">
        <v>16374</v>
      </c>
      <c r="C1315" s="3">
        <f>IF(B1315="","",SUMIFS('Factory Costs'!$C:$C,'Factory Costs'!$A:$A,"Motor",'Factory Costs'!$B:$B,B1315))</f>
        <v>62</v>
      </c>
    </row>
    <row r="1316" spans="1:3" x14ac:dyDescent="0.25">
      <c r="A1316" s="1" t="s">
        <v>10500</v>
      </c>
      <c r="B1316" s="1" t="s">
        <v>16374</v>
      </c>
      <c r="C1316" s="3">
        <f>IF(B1316="","",SUMIFS('Factory Costs'!$C:$C,'Factory Costs'!$A:$A,"Motor",'Factory Costs'!$B:$B,B1316))</f>
        <v>62</v>
      </c>
    </row>
    <row r="1317" spans="1:3" x14ac:dyDescent="0.25">
      <c r="A1317" s="1" t="s">
        <v>10503</v>
      </c>
      <c r="B1317" s="1" t="s">
        <v>16374</v>
      </c>
      <c r="C1317" s="3">
        <f>IF(B1317="","",SUMIFS('Factory Costs'!$C:$C,'Factory Costs'!$A:$A,"Motor",'Factory Costs'!$B:$B,B1317))</f>
        <v>62</v>
      </c>
    </row>
    <row r="1318" spans="1:3" x14ac:dyDescent="0.25">
      <c r="A1318" s="1" t="s">
        <v>10506</v>
      </c>
      <c r="B1318" s="1" t="s">
        <v>16374</v>
      </c>
      <c r="C1318" s="3">
        <f>IF(B1318="","",SUMIFS('Factory Costs'!$C:$C,'Factory Costs'!$A:$A,"Motor",'Factory Costs'!$B:$B,B1318))</f>
        <v>62</v>
      </c>
    </row>
    <row r="1319" spans="1:3" x14ac:dyDescent="0.25">
      <c r="A1319" s="1" t="s">
        <v>10509</v>
      </c>
      <c r="B1319" s="1" t="s">
        <v>16375</v>
      </c>
      <c r="C1319" s="3">
        <f>IF(B1319="","",SUMIFS('Factory Costs'!$C:$C,'Factory Costs'!$A:$A,"Motor",'Factory Costs'!$B:$B,B1319))</f>
        <v>72</v>
      </c>
    </row>
    <row r="1320" spans="1:3" x14ac:dyDescent="0.25">
      <c r="A1320" s="1" t="s">
        <v>10512</v>
      </c>
      <c r="B1320" s="1" t="s">
        <v>16374</v>
      </c>
      <c r="C1320" s="3">
        <f>IF(B1320="","",SUMIFS('Factory Costs'!$C:$C,'Factory Costs'!$A:$A,"Motor",'Factory Costs'!$B:$B,B1320))</f>
        <v>62</v>
      </c>
    </row>
    <row r="1321" spans="1:3" x14ac:dyDescent="0.25">
      <c r="A1321" s="1" t="s">
        <v>10515</v>
      </c>
      <c r="B1321" s="1" t="s">
        <v>16374</v>
      </c>
      <c r="C1321" s="3">
        <f>IF(B1321="","",SUMIFS('Factory Costs'!$C:$C,'Factory Costs'!$A:$A,"Motor",'Factory Costs'!$B:$B,B1321))</f>
        <v>62</v>
      </c>
    </row>
    <row r="1322" spans="1:3" x14ac:dyDescent="0.25">
      <c r="A1322" s="1" t="s">
        <v>10518</v>
      </c>
      <c r="B1322" s="1" t="s">
        <v>16375</v>
      </c>
      <c r="C1322" s="3">
        <f>IF(B1322="","",SUMIFS('Factory Costs'!$C:$C,'Factory Costs'!$A:$A,"Motor",'Factory Costs'!$B:$B,B1322))</f>
        <v>72</v>
      </c>
    </row>
    <row r="1323" spans="1:3" x14ac:dyDescent="0.25">
      <c r="A1323" s="1" t="s">
        <v>10521</v>
      </c>
      <c r="B1323" s="1" t="s">
        <v>16374</v>
      </c>
      <c r="C1323" s="3">
        <f>IF(B1323="","",SUMIFS('Factory Costs'!$C:$C,'Factory Costs'!$A:$A,"Motor",'Factory Costs'!$B:$B,B1323))</f>
        <v>62</v>
      </c>
    </row>
    <row r="1324" spans="1:3" x14ac:dyDescent="0.25">
      <c r="A1324" s="1" t="s">
        <v>10524</v>
      </c>
      <c r="B1324" s="1" t="s">
        <v>16374</v>
      </c>
      <c r="C1324" s="3">
        <f>IF(B1324="","",SUMIFS('Factory Costs'!$C:$C,'Factory Costs'!$A:$A,"Motor",'Factory Costs'!$B:$B,B1324))</f>
        <v>62</v>
      </c>
    </row>
    <row r="1325" spans="1:3" x14ac:dyDescent="0.25">
      <c r="A1325" s="1" t="s">
        <v>10527</v>
      </c>
      <c r="B1325" s="1" t="s">
        <v>16374</v>
      </c>
      <c r="C1325" s="3">
        <f>IF(B1325="","",SUMIFS('Factory Costs'!$C:$C,'Factory Costs'!$A:$A,"Motor",'Factory Costs'!$B:$B,B1325))</f>
        <v>62</v>
      </c>
    </row>
    <row r="1326" spans="1:3" x14ac:dyDescent="0.25">
      <c r="A1326" s="1" t="s">
        <v>10530</v>
      </c>
      <c r="B1326" s="1" t="s">
        <v>16374</v>
      </c>
      <c r="C1326" s="3">
        <f>IF(B1326="","",SUMIFS('Factory Costs'!$C:$C,'Factory Costs'!$A:$A,"Motor",'Factory Costs'!$B:$B,B1326))</f>
        <v>62</v>
      </c>
    </row>
    <row r="1327" spans="1:3" x14ac:dyDescent="0.25">
      <c r="A1327" s="1" t="s">
        <v>10533</v>
      </c>
      <c r="B1327" s="1" t="s">
        <v>16374</v>
      </c>
      <c r="C1327" s="3">
        <f>IF(B1327="","",SUMIFS('Factory Costs'!$C:$C,'Factory Costs'!$A:$A,"Motor",'Factory Costs'!$B:$B,B1327))</f>
        <v>62</v>
      </c>
    </row>
    <row r="1328" spans="1:3" x14ac:dyDescent="0.25">
      <c r="A1328" s="1" t="s">
        <v>10536</v>
      </c>
      <c r="B1328" s="1" t="s">
        <v>16374</v>
      </c>
      <c r="C1328" s="3">
        <f>IF(B1328="","",SUMIFS('Factory Costs'!$C:$C,'Factory Costs'!$A:$A,"Motor",'Factory Costs'!$B:$B,B1328))</f>
        <v>62</v>
      </c>
    </row>
    <row r="1329" spans="1:3" x14ac:dyDescent="0.25">
      <c r="A1329" s="1" t="s">
        <v>10539</v>
      </c>
      <c r="B1329" s="1" t="s">
        <v>16375</v>
      </c>
      <c r="C1329" s="3">
        <f>IF(B1329="","",SUMIFS('Factory Costs'!$C:$C,'Factory Costs'!$A:$A,"Motor",'Factory Costs'!$B:$B,B1329))</f>
        <v>72</v>
      </c>
    </row>
    <row r="1330" spans="1:3" x14ac:dyDescent="0.25">
      <c r="A1330" s="1" t="s">
        <v>10542</v>
      </c>
      <c r="B1330" s="1" t="s">
        <v>16375</v>
      </c>
      <c r="C1330" s="3">
        <f>IF(B1330="","",SUMIFS('Factory Costs'!$C:$C,'Factory Costs'!$A:$A,"Motor",'Factory Costs'!$B:$B,B1330))</f>
        <v>72</v>
      </c>
    </row>
    <row r="1331" spans="1:3" x14ac:dyDescent="0.25">
      <c r="A1331" s="1" t="s">
        <v>10545</v>
      </c>
      <c r="B1331" s="1" t="s">
        <v>16375</v>
      </c>
      <c r="C1331" s="3">
        <f>IF(B1331="","",SUMIFS('Factory Costs'!$C:$C,'Factory Costs'!$A:$A,"Motor",'Factory Costs'!$B:$B,B1331))</f>
        <v>72</v>
      </c>
    </row>
    <row r="1332" spans="1:3" x14ac:dyDescent="0.25">
      <c r="A1332" s="1" t="s">
        <v>10548</v>
      </c>
      <c r="B1332" s="1" t="s">
        <v>16374</v>
      </c>
      <c r="C1332" s="3">
        <f>IF(B1332="","",SUMIFS('Factory Costs'!$C:$C,'Factory Costs'!$A:$A,"Motor",'Factory Costs'!$B:$B,B1332))</f>
        <v>62</v>
      </c>
    </row>
    <row r="1333" spans="1:3" x14ac:dyDescent="0.25">
      <c r="A1333" s="1" t="s">
        <v>10551</v>
      </c>
      <c r="B1333" s="1" t="s">
        <v>16374</v>
      </c>
      <c r="C1333" s="3">
        <f>IF(B1333="","",SUMIFS('Factory Costs'!$C:$C,'Factory Costs'!$A:$A,"Motor",'Factory Costs'!$B:$B,B1333))</f>
        <v>62</v>
      </c>
    </row>
    <row r="1334" spans="1:3" x14ac:dyDescent="0.25">
      <c r="A1334" s="1" t="s">
        <v>10554</v>
      </c>
      <c r="B1334" s="1" t="s">
        <v>16374</v>
      </c>
      <c r="C1334" s="3">
        <f>IF(B1334="","",SUMIFS('Factory Costs'!$C:$C,'Factory Costs'!$A:$A,"Motor",'Factory Costs'!$B:$B,B1334))</f>
        <v>62</v>
      </c>
    </row>
    <row r="1335" spans="1:3" x14ac:dyDescent="0.25">
      <c r="A1335" s="1" t="s">
        <v>10557</v>
      </c>
      <c r="B1335" s="1" t="s">
        <v>16374</v>
      </c>
      <c r="C1335" s="3">
        <f>IF(B1335="","",SUMIFS('Factory Costs'!$C:$C,'Factory Costs'!$A:$A,"Motor",'Factory Costs'!$B:$B,B1335))</f>
        <v>62</v>
      </c>
    </row>
    <row r="1336" spans="1:3" x14ac:dyDescent="0.25">
      <c r="A1336" s="1" t="s">
        <v>10560</v>
      </c>
      <c r="B1336" s="1" t="s">
        <v>16374</v>
      </c>
      <c r="C1336" s="3">
        <f>IF(B1336="","",SUMIFS('Factory Costs'!$C:$C,'Factory Costs'!$A:$A,"Motor",'Factory Costs'!$B:$B,B1336))</f>
        <v>62</v>
      </c>
    </row>
    <row r="1337" spans="1:3" x14ac:dyDescent="0.25">
      <c r="A1337" s="1" t="s">
        <v>10563</v>
      </c>
      <c r="B1337" s="1" t="s">
        <v>16374</v>
      </c>
      <c r="C1337" s="3">
        <f>IF(B1337="","",SUMIFS('Factory Costs'!$C:$C,'Factory Costs'!$A:$A,"Motor",'Factory Costs'!$B:$B,B1337))</f>
        <v>62</v>
      </c>
    </row>
    <row r="1338" spans="1:3" x14ac:dyDescent="0.25">
      <c r="A1338" s="1" t="s">
        <v>10566</v>
      </c>
      <c r="B1338" s="1" t="s">
        <v>16374</v>
      </c>
      <c r="C1338" s="3">
        <f>IF(B1338="","",SUMIFS('Factory Costs'!$C:$C,'Factory Costs'!$A:$A,"Motor",'Factory Costs'!$B:$B,B1338))</f>
        <v>62</v>
      </c>
    </row>
    <row r="1339" spans="1:3" x14ac:dyDescent="0.25">
      <c r="A1339" s="1" t="s">
        <v>10569</v>
      </c>
      <c r="B1339" s="1" t="s">
        <v>16375</v>
      </c>
      <c r="C1339" s="3">
        <f>IF(B1339="","",SUMIFS('Factory Costs'!$C:$C,'Factory Costs'!$A:$A,"Motor",'Factory Costs'!$B:$B,B1339))</f>
        <v>72</v>
      </c>
    </row>
    <row r="1340" spans="1:3" x14ac:dyDescent="0.25">
      <c r="A1340" s="1" t="s">
        <v>10572</v>
      </c>
      <c r="B1340" s="1" t="s">
        <v>16374</v>
      </c>
      <c r="C1340" s="3">
        <f>IF(B1340="","",SUMIFS('Factory Costs'!$C:$C,'Factory Costs'!$A:$A,"Motor",'Factory Costs'!$B:$B,B1340))</f>
        <v>62</v>
      </c>
    </row>
    <row r="1341" spans="1:3" x14ac:dyDescent="0.25">
      <c r="A1341" s="1" t="s">
        <v>10575</v>
      </c>
      <c r="B1341" s="1" t="s">
        <v>16375</v>
      </c>
      <c r="C1341" s="3">
        <f>IF(B1341="","",SUMIFS('Factory Costs'!$C:$C,'Factory Costs'!$A:$A,"Motor",'Factory Costs'!$B:$B,B1341))</f>
        <v>72</v>
      </c>
    </row>
    <row r="1342" spans="1:3" x14ac:dyDescent="0.25">
      <c r="A1342" s="1" t="s">
        <v>10578</v>
      </c>
      <c r="B1342" s="1" t="s">
        <v>16374</v>
      </c>
      <c r="C1342" s="3">
        <f>IF(B1342="","",SUMIFS('Factory Costs'!$C:$C,'Factory Costs'!$A:$A,"Motor",'Factory Costs'!$B:$B,B1342))</f>
        <v>62</v>
      </c>
    </row>
    <row r="1343" spans="1:3" x14ac:dyDescent="0.25">
      <c r="A1343" s="1" t="s">
        <v>10581</v>
      </c>
      <c r="B1343" s="1" t="s">
        <v>16375</v>
      </c>
      <c r="C1343" s="3">
        <f>IF(B1343="","",SUMIFS('Factory Costs'!$C:$C,'Factory Costs'!$A:$A,"Motor",'Factory Costs'!$B:$B,B1343))</f>
        <v>72</v>
      </c>
    </row>
    <row r="1344" spans="1:3" x14ac:dyDescent="0.25">
      <c r="A1344" s="1" t="s">
        <v>10584</v>
      </c>
      <c r="B1344" s="1" t="s">
        <v>16374</v>
      </c>
      <c r="C1344" s="3">
        <f>IF(B1344="","",SUMIFS('Factory Costs'!$C:$C,'Factory Costs'!$A:$A,"Motor",'Factory Costs'!$B:$B,B1344))</f>
        <v>62</v>
      </c>
    </row>
    <row r="1345" spans="1:3" x14ac:dyDescent="0.25">
      <c r="A1345" s="1" t="s">
        <v>10587</v>
      </c>
      <c r="B1345" s="1" t="s">
        <v>16375</v>
      </c>
      <c r="C1345" s="3">
        <f>IF(B1345="","",SUMIFS('Factory Costs'!$C:$C,'Factory Costs'!$A:$A,"Motor",'Factory Costs'!$B:$B,B1345))</f>
        <v>72</v>
      </c>
    </row>
    <row r="1346" spans="1:3" x14ac:dyDescent="0.25">
      <c r="A1346" s="1" t="s">
        <v>10590</v>
      </c>
      <c r="B1346" s="1" t="s">
        <v>16375</v>
      </c>
      <c r="C1346" s="3">
        <f>IF(B1346="","",SUMIFS('Factory Costs'!$C:$C,'Factory Costs'!$A:$A,"Motor",'Factory Costs'!$B:$B,B1346))</f>
        <v>72</v>
      </c>
    </row>
    <row r="1347" spans="1:3" x14ac:dyDescent="0.25">
      <c r="A1347" s="1" t="s">
        <v>10593</v>
      </c>
      <c r="B1347" s="1" t="s">
        <v>16375</v>
      </c>
      <c r="C1347" s="3">
        <f>IF(B1347="","",SUMIFS('Factory Costs'!$C:$C,'Factory Costs'!$A:$A,"Motor",'Factory Costs'!$B:$B,B1347))</f>
        <v>72</v>
      </c>
    </row>
    <row r="1348" spans="1:3" x14ac:dyDescent="0.25">
      <c r="A1348" s="1" t="s">
        <v>10596</v>
      </c>
      <c r="B1348" s="1" t="s">
        <v>16374</v>
      </c>
      <c r="C1348" s="3">
        <f>IF(B1348="","",SUMIFS('Factory Costs'!$C:$C,'Factory Costs'!$A:$A,"Motor",'Factory Costs'!$B:$B,B1348))</f>
        <v>62</v>
      </c>
    </row>
    <row r="1349" spans="1:3" x14ac:dyDescent="0.25">
      <c r="A1349" s="1" t="s">
        <v>10599</v>
      </c>
      <c r="B1349" s="1" t="s">
        <v>16374</v>
      </c>
      <c r="C1349" s="3">
        <f>IF(B1349="","",SUMIFS('Factory Costs'!$C:$C,'Factory Costs'!$A:$A,"Motor",'Factory Costs'!$B:$B,B1349))</f>
        <v>62</v>
      </c>
    </row>
    <row r="1350" spans="1:3" x14ac:dyDescent="0.25">
      <c r="A1350" s="1" t="s">
        <v>10602</v>
      </c>
      <c r="B1350" s="1" t="s">
        <v>16375</v>
      </c>
      <c r="C1350" s="3">
        <f>IF(B1350="","",SUMIFS('Factory Costs'!$C:$C,'Factory Costs'!$A:$A,"Motor",'Factory Costs'!$B:$B,B1350))</f>
        <v>72</v>
      </c>
    </row>
    <row r="1351" spans="1:3" x14ac:dyDescent="0.25">
      <c r="A1351" s="1" t="s">
        <v>10605</v>
      </c>
      <c r="B1351" s="1" t="s">
        <v>16374</v>
      </c>
      <c r="C1351" s="3">
        <f>IF(B1351="","",SUMIFS('Factory Costs'!$C:$C,'Factory Costs'!$A:$A,"Motor",'Factory Costs'!$B:$B,B1351))</f>
        <v>62</v>
      </c>
    </row>
    <row r="1352" spans="1:3" x14ac:dyDescent="0.25">
      <c r="A1352" s="1" t="s">
        <v>10608</v>
      </c>
      <c r="B1352" s="1" t="s">
        <v>16374</v>
      </c>
      <c r="C1352" s="3">
        <f>IF(B1352="","",SUMIFS('Factory Costs'!$C:$C,'Factory Costs'!$A:$A,"Motor",'Factory Costs'!$B:$B,B1352))</f>
        <v>62</v>
      </c>
    </row>
    <row r="1353" spans="1:3" x14ac:dyDescent="0.25">
      <c r="A1353" s="1" t="s">
        <v>10611</v>
      </c>
      <c r="B1353" s="1" t="s">
        <v>16375</v>
      </c>
      <c r="C1353" s="3">
        <f>IF(B1353="","",SUMIFS('Factory Costs'!$C:$C,'Factory Costs'!$A:$A,"Motor",'Factory Costs'!$B:$B,B1353))</f>
        <v>72</v>
      </c>
    </row>
    <row r="1354" spans="1:3" x14ac:dyDescent="0.25">
      <c r="A1354" s="1" t="s">
        <v>10614</v>
      </c>
      <c r="B1354" s="1" t="s">
        <v>16374</v>
      </c>
      <c r="C1354" s="3">
        <f>IF(B1354="","",SUMIFS('Factory Costs'!$C:$C,'Factory Costs'!$A:$A,"Motor",'Factory Costs'!$B:$B,B1354))</f>
        <v>62</v>
      </c>
    </row>
    <row r="1355" spans="1:3" x14ac:dyDescent="0.25">
      <c r="A1355" s="1" t="s">
        <v>10617</v>
      </c>
      <c r="B1355" s="1" t="s">
        <v>16374</v>
      </c>
      <c r="C1355" s="3">
        <f>IF(B1355="","",SUMIFS('Factory Costs'!$C:$C,'Factory Costs'!$A:$A,"Motor",'Factory Costs'!$B:$B,B1355))</f>
        <v>62</v>
      </c>
    </row>
    <row r="1356" spans="1:3" x14ac:dyDescent="0.25">
      <c r="A1356" s="1" t="s">
        <v>10620</v>
      </c>
      <c r="B1356" s="1" t="s">
        <v>16375</v>
      </c>
      <c r="C1356" s="3">
        <f>IF(B1356="","",SUMIFS('Factory Costs'!$C:$C,'Factory Costs'!$A:$A,"Motor",'Factory Costs'!$B:$B,B1356))</f>
        <v>72</v>
      </c>
    </row>
    <row r="1357" spans="1:3" x14ac:dyDescent="0.25">
      <c r="A1357" s="1" t="s">
        <v>10623</v>
      </c>
      <c r="B1357" s="1" t="s">
        <v>16375</v>
      </c>
      <c r="C1357" s="3">
        <f>IF(B1357="","",SUMIFS('Factory Costs'!$C:$C,'Factory Costs'!$A:$A,"Motor",'Factory Costs'!$B:$B,B1357))</f>
        <v>72</v>
      </c>
    </row>
    <row r="1358" spans="1:3" x14ac:dyDescent="0.25">
      <c r="A1358" s="1" t="s">
        <v>10626</v>
      </c>
      <c r="B1358" s="1" t="s">
        <v>16375</v>
      </c>
      <c r="C1358" s="3">
        <f>IF(B1358="","",SUMIFS('Factory Costs'!$C:$C,'Factory Costs'!$A:$A,"Motor",'Factory Costs'!$B:$B,B1358))</f>
        <v>72</v>
      </c>
    </row>
    <row r="1359" spans="1:3" x14ac:dyDescent="0.25">
      <c r="A1359" s="1" t="s">
        <v>10629</v>
      </c>
      <c r="B1359" s="1" t="s">
        <v>16374</v>
      </c>
      <c r="C1359" s="3">
        <f>IF(B1359="","",SUMIFS('Factory Costs'!$C:$C,'Factory Costs'!$A:$A,"Motor",'Factory Costs'!$B:$B,B1359))</f>
        <v>62</v>
      </c>
    </row>
    <row r="1360" spans="1:3" x14ac:dyDescent="0.25">
      <c r="A1360" s="1" t="s">
        <v>10632</v>
      </c>
      <c r="B1360" s="1" t="s">
        <v>16375</v>
      </c>
      <c r="C1360" s="3">
        <f>IF(B1360="","",SUMIFS('Factory Costs'!$C:$C,'Factory Costs'!$A:$A,"Motor",'Factory Costs'!$B:$B,B1360))</f>
        <v>72</v>
      </c>
    </row>
    <row r="1361" spans="1:3" x14ac:dyDescent="0.25">
      <c r="A1361" s="1" t="s">
        <v>10635</v>
      </c>
      <c r="B1361" s="1" t="s">
        <v>16375</v>
      </c>
      <c r="C1361" s="3">
        <f>IF(B1361="","",SUMIFS('Factory Costs'!$C:$C,'Factory Costs'!$A:$A,"Motor",'Factory Costs'!$B:$B,B1361))</f>
        <v>72</v>
      </c>
    </row>
    <row r="1362" spans="1:3" x14ac:dyDescent="0.25">
      <c r="A1362" s="1" t="s">
        <v>10638</v>
      </c>
      <c r="B1362" s="1" t="s">
        <v>16374</v>
      </c>
      <c r="C1362" s="3">
        <f>IF(B1362="","",SUMIFS('Factory Costs'!$C:$C,'Factory Costs'!$A:$A,"Motor",'Factory Costs'!$B:$B,B1362))</f>
        <v>62</v>
      </c>
    </row>
    <row r="1363" spans="1:3" x14ac:dyDescent="0.25">
      <c r="A1363" s="1" t="s">
        <v>10641</v>
      </c>
      <c r="B1363" s="1" t="s">
        <v>16374</v>
      </c>
      <c r="C1363" s="3">
        <f>IF(B1363="","",SUMIFS('Factory Costs'!$C:$C,'Factory Costs'!$A:$A,"Motor",'Factory Costs'!$B:$B,B1363))</f>
        <v>62</v>
      </c>
    </row>
    <row r="1364" spans="1:3" x14ac:dyDescent="0.25">
      <c r="A1364" s="1" t="s">
        <v>10644</v>
      </c>
      <c r="B1364" s="1" t="s">
        <v>16374</v>
      </c>
      <c r="C1364" s="3">
        <f>IF(B1364="","",SUMIFS('Factory Costs'!$C:$C,'Factory Costs'!$A:$A,"Motor",'Factory Costs'!$B:$B,B1364))</f>
        <v>62</v>
      </c>
    </row>
    <row r="1365" spans="1:3" x14ac:dyDescent="0.25">
      <c r="A1365" s="1" t="s">
        <v>10647</v>
      </c>
      <c r="B1365" s="1" t="s">
        <v>16374</v>
      </c>
      <c r="C1365" s="3">
        <f>IF(B1365="","",SUMIFS('Factory Costs'!$C:$C,'Factory Costs'!$A:$A,"Motor",'Factory Costs'!$B:$B,B1365))</f>
        <v>62</v>
      </c>
    </row>
    <row r="1366" spans="1:3" x14ac:dyDescent="0.25">
      <c r="A1366" s="1" t="s">
        <v>10650</v>
      </c>
      <c r="B1366" s="1" t="s">
        <v>16374</v>
      </c>
      <c r="C1366" s="3">
        <f>IF(B1366="","",SUMIFS('Factory Costs'!$C:$C,'Factory Costs'!$A:$A,"Motor",'Factory Costs'!$B:$B,B1366))</f>
        <v>62</v>
      </c>
    </row>
    <row r="1367" spans="1:3" x14ac:dyDescent="0.25">
      <c r="A1367" s="1" t="s">
        <v>10653</v>
      </c>
      <c r="B1367" s="1" t="s">
        <v>16375</v>
      </c>
      <c r="C1367" s="3">
        <f>IF(B1367="","",SUMIFS('Factory Costs'!$C:$C,'Factory Costs'!$A:$A,"Motor",'Factory Costs'!$B:$B,B1367))</f>
        <v>72</v>
      </c>
    </row>
    <row r="1368" spans="1:3" x14ac:dyDescent="0.25">
      <c r="A1368" s="1" t="s">
        <v>10656</v>
      </c>
      <c r="B1368" s="1" t="s">
        <v>16374</v>
      </c>
      <c r="C1368" s="3">
        <f>IF(B1368="","",SUMIFS('Factory Costs'!$C:$C,'Factory Costs'!$A:$A,"Motor",'Factory Costs'!$B:$B,B1368))</f>
        <v>62</v>
      </c>
    </row>
    <row r="1369" spans="1:3" x14ac:dyDescent="0.25">
      <c r="A1369" s="1" t="s">
        <v>10659</v>
      </c>
      <c r="B1369" s="1" t="s">
        <v>16375</v>
      </c>
      <c r="C1369" s="3">
        <f>IF(B1369="","",SUMIFS('Factory Costs'!$C:$C,'Factory Costs'!$A:$A,"Motor",'Factory Costs'!$B:$B,B1369))</f>
        <v>72</v>
      </c>
    </row>
    <row r="1370" spans="1:3" x14ac:dyDescent="0.25">
      <c r="A1370" s="1" t="s">
        <v>10662</v>
      </c>
      <c r="B1370" s="1" t="s">
        <v>16374</v>
      </c>
      <c r="C1370" s="3">
        <f>IF(B1370="","",SUMIFS('Factory Costs'!$C:$C,'Factory Costs'!$A:$A,"Motor",'Factory Costs'!$B:$B,B1370))</f>
        <v>62</v>
      </c>
    </row>
    <row r="1371" spans="1:3" x14ac:dyDescent="0.25">
      <c r="A1371" s="1" t="s">
        <v>10665</v>
      </c>
      <c r="B1371" s="1" t="s">
        <v>16374</v>
      </c>
      <c r="C1371" s="3">
        <f>IF(B1371="","",SUMIFS('Factory Costs'!$C:$C,'Factory Costs'!$A:$A,"Motor",'Factory Costs'!$B:$B,B1371))</f>
        <v>62</v>
      </c>
    </row>
    <row r="1372" spans="1:3" x14ac:dyDescent="0.25">
      <c r="A1372" s="1" t="s">
        <v>10668</v>
      </c>
      <c r="B1372" s="1" t="s">
        <v>16375</v>
      </c>
      <c r="C1372" s="3">
        <f>IF(B1372="","",SUMIFS('Factory Costs'!$C:$C,'Factory Costs'!$A:$A,"Motor",'Factory Costs'!$B:$B,B1372))</f>
        <v>72</v>
      </c>
    </row>
    <row r="1373" spans="1:3" x14ac:dyDescent="0.25">
      <c r="A1373" s="1" t="s">
        <v>10671</v>
      </c>
      <c r="B1373" s="1" t="s">
        <v>16375</v>
      </c>
      <c r="C1373" s="3">
        <f>IF(B1373="","",SUMIFS('Factory Costs'!$C:$C,'Factory Costs'!$A:$A,"Motor",'Factory Costs'!$B:$B,B1373))</f>
        <v>72</v>
      </c>
    </row>
    <row r="1374" spans="1:3" x14ac:dyDescent="0.25">
      <c r="A1374" s="1" t="s">
        <v>10674</v>
      </c>
      <c r="B1374" s="1" t="s">
        <v>16375</v>
      </c>
      <c r="C1374" s="3">
        <f>IF(B1374="","",SUMIFS('Factory Costs'!$C:$C,'Factory Costs'!$A:$A,"Motor",'Factory Costs'!$B:$B,B1374))</f>
        <v>72</v>
      </c>
    </row>
    <row r="1375" spans="1:3" x14ac:dyDescent="0.25">
      <c r="A1375" s="1" t="s">
        <v>10677</v>
      </c>
      <c r="B1375" s="1" t="s">
        <v>16374</v>
      </c>
      <c r="C1375" s="3">
        <f>IF(B1375="","",SUMIFS('Factory Costs'!$C:$C,'Factory Costs'!$A:$A,"Motor",'Factory Costs'!$B:$B,B1375))</f>
        <v>62</v>
      </c>
    </row>
    <row r="1376" spans="1:3" x14ac:dyDescent="0.25">
      <c r="A1376" s="1" t="s">
        <v>10680</v>
      </c>
      <c r="B1376" s="1" t="s">
        <v>16374</v>
      </c>
      <c r="C1376" s="3">
        <f>IF(B1376="","",SUMIFS('Factory Costs'!$C:$C,'Factory Costs'!$A:$A,"Motor",'Factory Costs'!$B:$B,B1376))</f>
        <v>62</v>
      </c>
    </row>
    <row r="1377" spans="1:3" x14ac:dyDescent="0.25">
      <c r="A1377" s="1" t="s">
        <v>10683</v>
      </c>
      <c r="B1377" s="1" t="s">
        <v>16374</v>
      </c>
      <c r="C1377" s="3">
        <f>IF(B1377="","",SUMIFS('Factory Costs'!$C:$C,'Factory Costs'!$A:$A,"Motor",'Factory Costs'!$B:$B,B1377))</f>
        <v>62</v>
      </c>
    </row>
    <row r="1378" spans="1:3" x14ac:dyDescent="0.25">
      <c r="A1378" s="1" t="s">
        <v>10686</v>
      </c>
      <c r="B1378" s="1" t="s">
        <v>16374</v>
      </c>
      <c r="C1378" s="3">
        <f>IF(B1378="","",SUMIFS('Factory Costs'!$C:$C,'Factory Costs'!$A:$A,"Motor",'Factory Costs'!$B:$B,B1378))</f>
        <v>62</v>
      </c>
    </row>
    <row r="1379" spans="1:3" x14ac:dyDescent="0.25">
      <c r="A1379" s="1" t="s">
        <v>10689</v>
      </c>
      <c r="B1379" s="1" t="s">
        <v>16374</v>
      </c>
      <c r="C1379" s="3">
        <f>IF(B1379="","",SUMIFS('Factory Costs'!$C:$C,'Factory Costs'!$A:$A,"Motor",'Factory Costs'!$B:$B,B1379))</f>
        <v>62</v>
      </c>
    </row>
    <row r="1380" spans="1:3" x14ac:dyDescent="0.25">
      <c r="A1380" s="1" t="s">
        <v>10692</v>
      </c>
      <c r="B1380" s="1" t="s">
        <v>16374</v>
      </c>
      <c r="C1380" s="3">
        <f>IF(B1380="","",SUMIFS('Factory Costs'!$C:$C,'Factory Costs'!$A:$A,"Motor",'Factory Costs'!$B:$B,B1380))</f>
        <v>62</v>
      </c>
    </row>
    <row r="1381" spans="1:3" x14ac:dyDescent="0.25">
      <c r="A1381" s="1" t="s">
        <v>10695</v>
      </c>
      <c r="B1381" s="1" t="s">
        <v>16374</v>
      </c>
      <c r="C1381" s="3">
        <f>IF(B1381="","",SUMIFS('Factory Costs'!$C:$C,'Factory Costs'!$A:$A,"Motor",'Factory Costs'!$B:$B,B1381))</f>
        <v>62</v>
      </c>
    </row>
    <row r="1382" spans="1:3" x14ac:dyDescent="0.25">
      <c r="A1382" s="1" t="s">
        <v>10698</v>
      </c>
      <c r="B1382" s="1" t="s">
        <v>16375</v>
      </c>
      <c r="C1382" s="3">
        <f>IF(B1382="","",SUMIFS('Factory Costs'!$C:$C,'Factory Costs'!$A:$A,"Motor",'Factory Costs'!$B:$B,B1382))</f>
        <v>72</v>
      </c>
    </row>
    <row r="1383" spans="1:3" x14ac:dyDescent="0.25">
      <c r="A1383" s="1" t="s">
        <v>10701</v>
      </c>
      <c r="B1383" s="1" t="s">
        <v>16374</v>
      </c>
      <c r="C1383" s="3">
        <f>IF(B1383="","",SUMIFS('Factory Costs'!$C:$C,'Factory Costs'!$A:$A,"Motor",'Factory Costs'!$B:$B,B1383))</f>
        <v>62</v>
      </c>
    </row>
    <row r="1384" spans="1:3" x14ac:dyDescent="0.25">
      <c r="A1384" s="1" t="s">
        <v>10704</v>
      </c>
      <c r="B1384" s="1" t="s">
        <v>16374</v>
      </c>
      <c r="C1384" s="3">
        <f>IF(B1384="","",SUMIFS('Factory Costs'!$C:$C,'Factory Costs'!$A:$A,"Motor",'Factory Costs'!$B:$B,B1384))</f>
        <v>62</v>
      </c>
    </row>
    <row r="1385" spans="1:3" x14ac:dyDescent="0.25">
      <c r="A1385" s="1" t="s">
        <v>10707</v>
      </c>
      <c r="B1385" s="1" t="s">
        <v>16374</v>
      </c>
      <c r="C1385" s="3">
        <f>IF(B1385="","",SUMIFS('Factory Costs'!$C:$C,'Factory Costs'!$A:$A,"Motor",'Factory Costs'!$B:$B,B1385))</f>
        <v>62</v>
      </c>
    </row>
    <row r="1386" spans="1:3" x14ac:dyDescent="0.25">
      <c r="A1386" s="1" t="s">
        <v>10710</v>
      </c>
      <c r="B1386" s="1" t="s">
        <v>16374</v>
      </c>
      <c r="C1386" s="3">
        <f>IF(B1386="","",SUMIFS('Factory Costs'!$C:$C,'Factory Costs'!$A:$A,"Motor",'Factory Costs'!$B:$B,B1386))</f>
        <v>62</v>
      </c>
    </row>
    <row r="1387" spans="1:3" x14ac:dyDescent="0.25">
      <c r="A1387" s="1" t="s">
        <v>10713</v>
      </c>
      <c r="B1387" s="1" t="s">
        <v>16374</v>
      </c>
      <c r="C1387" s="3">
        <f>IF(B1387="","",SUMIFS('Factory Costs'!$C:$C,'Factory Costs'!$A:$A,"Motor",'Factory Costs'!$B:$B,B1387))</f>
        <v>62</v>
      </c>
    </row>
    <row r="1388" spans="1:3" x14ac:dyDescent="0.25">
      <c r="A1388" s="1" t="s">
        <v>10716</v>
      </c>
      <c r="B1388" s="1" t="s">
        <v>16375</v>
      </c>
      <c r="C1388" s="3">
        <f>IF(B1388="","",SUMIFS('Factory Costs'!$C:$C,'Factory Costs'!$A:$A,"Motor",'Factory Costs'!$B:$B,B1388))</f>
        <v>72</v>
      </c>
    </row>
    <row r="1389" spans="1:3" x14ac:dyDescent="0.25">
      <c r="A1389" s="1" t="s">
        <v>10719</v>
      </c>
      <c r="B1389" s="1" t="s">
        <v>16374</v>
      </c>
      <c r="C1389" s="3">
        <f>IF(B1389="","",SUMIFS('Factory Costs'!$C:$C,'Factory Costs'!$A:$A,"Motor",'Factory Costs'!$B:$B,B1389))</f>
        <v>62</v>
      </c>
    </row>
    <row r="1390" spans="1:3" x14ac:dyDescent="0.25">
      <c r="A1390" s="1" t="s">
        <v>10722</v>
      </c>
      <c r="B1390" s="1" t="s">
        <v>16375</v>
      </c>
      <c r="C1390" s="3">
        <f>IF(B1390="","",SUMIFS('Factory Costs'!$C:$C,'Factory Costs'!$A:$A,"Motor",'Factory Costs'!$B:$B,B1390))</f>
        <v>72</v>
      </c>
    </row>
    <row r="1391" spans="1:3" x14ac:dyDescent="0.25">
      <c r="A1391" s="1" t="s">
        <v>10725</v>
      </c>
      <c r="B1391" s="1" t="s">
        <v>16374</v>
      </c>
      <c r="C1391" s="3">
        <f>IF(B1391="","",SUMIFS('Factory Costs'!$C:$C,'Factory Costs'!$A:$A,"Motor",'Factory Costs'!$B:$B,B1391))</f>
        <v>62</v>
      </c>
    </row>
    <row r="1392" spans="1:3" x14ac:dyDescent="0.25">
      <c r="A1392" s="1" t="s">
        <v>10728</v>
      </c>
      <c r="B1392" s="1" t="s">
        <v>16375</v>
      </c>
      <c r="C1392" s="3">
        <f>IF(B1392="","",SUMIFS('Factory Costs'!$C:$C,'Factory Costs'!$A:$A,"Motor",'Factory Costs'!$B:$B,B1392))</f>
        <v>72</v>
      </c>
    </row>
    <row r="1393" spans="1:3" x14ac:dyDescent="0.25">
      <c r="A1393" s="1" t="s">
        <v>10731</v>
      </c>
      <c r="B1393" s="1" t="s">
        <v>16374</v>
      </c>
      <c r="C1393" s="3">
        <f>IF(B1393="","",SUMIFS('Factory Costs'!$C:$C,'Factory Costs'!$A:$A,"Motor",'Factory Costs'!$B:$B,B1393))</f>
        <v>62</v>
      </c>
    </row>
    <row r="1394" spans="1:3" x14ac:dyDescent="0.25">
      <c r="A1394" s="1" t="s">
        <v>10734</v>
      </c>
      <c r="B1394" s="1" t="s">
        <v>16374</v>
      </c>
      <c r="C1394" s="3">
        <f>IF(B1394="","",SUMIFS('Factory Costs'!$C:$C,'Factory Costs'!$A:$A,"Motor",'Factory Costs'!$B:$B,B1394))</f>
        <v>62</v>
      </c>
    </row>
    <row r="1395" spans="1:3" x14ac:dyDescent="0.25">
      <c r="A1395" s="1" t="s">
        <v>10737</v>
      </c>
      <c r="B1395" s="1" t="s">
        <v>16375</v>
      </c>
      <c r="C1395" s="3">
        <f>IF(B1395="","",SUMIFS('Factory Costs'!$C:$C,'Factory Costs'!$A:$A,"Motor",'Factory Costs'!$B:$B,B1395))</f>
        <v>72</v>
      </c>
    </row>
    <row r="1396" spans="1:3" x14ac:dyDescent="0.25">
      <c r="A1396" s="1" t="s">
        <v>10740</v>
      </c>
      <c r="B1396" s="1" t="s">
        <v>16375</v>
      </c>
      <c r="C1396" s="3">
        <f>IF(B1396="","",SUMIFS('Factory Costs'!$C:$C,'Factory Costs'!$A:$A,"Motor",'Factory Costs'!$B:$B,B1396))</f>
        <v>72</v>
      </c>
    </row>
    <row r="1397" spans="1:3" x14ac:dyDescent="0.25">
      <c r="A1397" s="1" t="s">
        <v>10743</v>
      </c>
      <c r="B1397" s="1" t="s">
        <v>16374</v>
      </c>
      <c r="C1397" s="3">
        <f>IF(B1397="","",SUMIFS('Factory Costs'!$C:$C,'Factory Costs'!$A:$A,"Motor",'Factory Costs'!$B:$B,B1397))</f>
        <v>62</v>
      </c>
    </row>
    <row r="1398" spans="1:3" x14ac:dyDescent="0.25">
      <c r="A1398" s="1" t="s">
        <v>10746</v>
      </c>
      <c r="B1398" s="1" t="s">
        <v>16375</v>
      </c>
      <c r="C1398" s="3">
        <f>IF(B1398="","",SUMIFS('Factory Costs'!$C:$C,'Factory Costs'!$A:$A,"Motor",'Factory Costs'!$B:$B,B1398))</f>
        <v>72</v>
      </c>
    </row>
    <row r="1399" spans="1:3" x14ac:dyDescent="0.25">
      <c r="A1399" s="1" t="s">
        <v>10749</v>
      </c>
      <c r="B1399" s="1" t="s">
        <v>16374</v>
      </c>
      <c r="C1399" s="3">
        <f>IF(B1399="","",SUMIFS('Factory Costs'!$C:$C,'Factory Costs'!$A:$A,"Motor",'Factory Costs'!$B:$B,B1399))</f>
        <v>62</v>
      </c>
    </row>
    <row r="1400" spans="1:3" x14ac:dyDescent="0.25">
      <c r="A1400" s="1" t="s">
        <v>10752</v>
      </c>
      <c r="B1400" s="1" t="s">
        <v>16375</v>
      </c>
      <c r="C1400" s="3">
        <f>IF(B1400="","",SUMIFS('Factory Costs'!$C:$C,'Factory Costs'!$A:$A,"Motor",'Factory Costs'!$B:$B,B1400))</f>
        <v>72</v>
      </c>
    </row>
    <row r="1401" spans="1:3" x14ac:dyDescent="0.25">
      <c r="A1401" s="1" t="s">
        <v>10755</v>
      </c>
      <c r="B1401" s="1" t="s">
        <v>16374</v>
      </c>
      <c r="C1401" s="3">
        <f>IF(B1401="","",SUMIFS('Factory Costs'!$C:$C,'Factory Costs'!$A:$A,"Motor",'Factory Costs'!$B:$B,B1401))</f>
        <v>62</v>
      </c>
    </row>
    <row r="1402" spans="1:3" x14ac:dyDescent="0.25">
      <c r="A1402" s="1" t="s">
        <v>10758</v>
      </c>
      <c r="B1402" s="1" t="s">
        <v>16375</v>
      </c>
      <c r="C1402" s="3">
        <f>IF(B1402="","",SUMIFS('Factory Costs'!$C:$C,'Factory Costs'!$A:$A,"Motor",'Factory Costs'!$B:$B,B1402))</f>
        <v>72</v>
      </c>
    </row>
    <row r="1403" spans="1:3" x14ac:dyDescent="0.25">
      <c r="A1403" s="1" t="s">
        <v>10761</v>
      </c>
      <c r="B1403" s="1" t="s">
        <v>16374</v>
      </c>
      <c r="C1403" s="3">
        <f>IF(B1403="","",SUMIFS('Factory Costs'!$C:$C,'Factory Costs'!$A:$A,"Motor",'Factory Costs'!$B:$B,B1403))</f>
        <v>62</v>
      </c>
    </row>
    <row r="1404" spans="1:3" x14ac:dyDescent="0.25">
      <c r="A1404" s="1" t="s">
        <v>10764</v>
      </c>
      <c r="B1404" s="1" t="s">
        <v>16375</v>
      </c>
      <c r="C1404" s="3">
        <f>IF(B1404="","",SUMIFS('Factory Costs'!$C:$C,'Factory Costs'!$A:$A,"Motor",'Factory Costs'!$B:$B,B1404))</f>
        <v>72</v>
      </c>
    </row>
    <row r="1405" spans="1:3" x14ac:dyDescent="0.25">
      <c r="A1405" s="1" t="s">
        <v>10767</v>
      </c>
      <c r="B1405" s="1" t="s">
        <v>16375</v>
      </c>
      <c r="C1405" s="3">
        <f>IF(B1405="","",SUMIFS('Factory Costs'!$C:$C,'Factory Costs'!$A:$A,"Motor",'Factory Costs'!$B:$B,B1405))</f>
        <v>72</v>
      </c>
    </row>
    <row r="1406" spans="1:3" x14ac:dyDescent="0.25">
      <c r="A1406" s="1" t="s">
        <v>10770</v>
      </c>
      <c r="B1406" s="1" t="s">
        <v>16375</v>
      </c>
      <c r="C1406" s="3">
        <f>IF(B1406="","",SUMIFS('Factory Costs'!$C:$C,'Factory Costs'!$A:$A,"Motor",'Factory Costs'!$B:$B,B1406))</f>
        <v>72</v>
      </c>
    </row>
    <row r="1407" spans="1:3" x14ac:dyDescent="0.25">
      <c r="A1407" s="1" t="s">
        <v>10773</v>
      </c>
      <c r="B1407" s="1" t="s">
        <v>16374</v>
      </c>
      <c r="C1407" s="3">
        <f>IF(B1407="","",SUMIFS('Factory Costs'!$C:$C,'Factory Costs'!$A:$A,"Motor",'Factory Costs'!$B:$B,B1407))</f>
        <v>62</v>
      </c>
    </row>
    <row r="1408" spans="1:3" x14ac:dyDescent="0.25">
      <c r="A1408" s="1" t="s">
        <v>10776</v>
      </c>
      <c r="B1408" s="1" t="s">
        <v>16374</v>
      </c>
      <c r="C1408" s="3">
        <f>IF(B1408="","",SUMIFS('Factory Costs'!$C:$C,'Factory Costs'!$A:$A,"Motor",'Factory Costs'!$B:$B,B1408))</f>
        <v>62</v>
      </c>
    </row>
    <row r="1409" spans="1:3" x14ac:dyDescent="0.25">
      <c r="A1409" s="1" t="s">
        <v>10779</v>
      </c>
      <c r="B1409" s="1" t="s">
        <v>16374</v>
      </c>
      <c r="C1409" s="3">
        <f>IF(B1409="","",SUMIFS('Factory Costs'!$C:$C,'Factory Costs'!$A:$A,"Motor",'Factory Costs'!$B:$B,B1409))</f>
        <v>62</v>
      </c>
    </row>
    <row r="1410" spans="1:3" x14ac:dyDescent="0.25">
      <c r="A1410" s="1" t="s">
        <v>10782</v>
      </c>
      <c r="B1410" s="1" t="s">
        <v>16374</v>
      </c>
      <c r="C1410" s="3">
        <f>IF(B1410="","",SUMIFS('Factory Costs'!$C:$C,'Factory Costs'!$A:$A,"Motor",'Factory Costs'!$B:$B,B1410))</f>
        <v>62</v>
      </c>
    </row>
    <row r="1411" spans="1:3" x14ac:dyDescent="0.25">
      <c r="A1411" s="1" t="s">
        <v>10785</v>
      </c>
      <c r="B1411" s="1" t="s">
        <v>16374</v>
      </c>
      <c r="C1411" s="3">
        <f>IF(B1411="","",SUMIFS('Factory Costs'!$C:$C,'Factory Costs'!$A:$A,"Motor",'Factory Costs'!$B:$B,B1411))</f>
        <v>62</v>
      </c>
    </row>
    <row r="1412" spans="1:3" x14ac:dyDescent="0.25">
      <c r="A1412" s="1" t="s">
        <v>10788</v>
      </c>
      <c r="B1412" s="1" t="s">
        <v>16375</v>
      </c>
      <c r="C1412" s="3">
        <f>IF(B1412="","",SUMIFS('Factory Costs'!$C:$C,'Factory Costs'!$A:$A,"Motor",'Factory Costs'!$B:$B,B1412))</f>
        <v>72</v>
      </c>
    </row>
    <row r="1413" spans="1:3" x14ac:dyDescent="0.25">
      <c r="A1413" s="1" t="s">
        <v>10791</v>
      </c>
      <c r="B1413" s="1" t="s">
        <v>16374</v>
      </c>
      <c r="C1413" s="3">
        <f>IF(B1413="","",SUMIFS('Factory Costs'!$C:$C,'Factory Costs'!$A:$A,"Motor",'Factory Costs'!$B:$B,B1413))</f>
        <v>62</v>
      </c>
    </row>
    <row r="1414" spans="1:3" x14ac:dyDescent="0.25">
      <c r="A1414" s="1" t="s">
        <v>10794</v>
      </c>
      <c r="B1414" s="1" t="s">
        <v>16375</v>
      </c>
      <c r="C1414" s="3">
        <f>IF(B1414="","",SUMIFS('Factory Costs'!$C:$C,'Factory Costs'!$A:$A,"Motor",'Factory Costs'!$B:$B,B1414))</f>
        <v>72</v>
      </c>
    </row>
    <row r="1415" spans="1:3" x14ac:dyDescent="0.25">
      <c r="A1415" s="1" t="s">
        <v>10797</v>
      </c>
      <c r="B1415" s="1" t="s">
        <v>16374</v>
      </c>
      <c r="C1415" s="3">
        <f>IF(B1415="","",SUMIFS('Factory Costs'!$C:$C,'Factory Costs'!$A:$A,"Motor",'Factory Costs'!$B:$B,B1415))</f>
        <v>62</v>
      </c>
    </row>
    <row r="1416" spans="1:3" x14ac:dyDescent="0.25">
      <c r="A1416" s="1" t="s">
        <v>10800</v>
      </c>
      <c r="B1416" s="1" t="s">
        <v>16375</v>
      </c>
      <c r="C1416" s="3">
        <f>IF(B1416="","",SUMIFS('Factory Costs'!$C:$C,'Factory Costs'!$A:$A,"Motor",'Factory Costs'!$B:$B,B1416))</f>
        <v>72</v>
      </c>
    </row>
    <row r="1417" spans="1:3" x14ac:dyDescent="0.25">
      <c r="A1417" s="1" t="s">
        <v>10803</v>
      </c>
      <c r="B1417" s="1" t="s">
        <v>16374</v>
      </c>
      <c r="C1417" s="3">
        <f>IF(B1417="","",SUMIFS('Factory Costs'!$C:$C,'Factory Costs'!$A:$A,"Motor",'Factory Costs'!$B:$B,B1417))</f>
        <v>62</v>
      </c>
    </row>
    <row r="1418" spans="1:3" x14ac:dyDescent="0.25">
      <c r="A1418" s="1" t="s">
        <v>10806</v>
      </c>
      <c r="B1418" s="1" t="s">
        <v>16374</v>
      </c>
      <c r="C1418" s="3">
        <f>IF(B1418="","",SUMIFS('Factory Costs'!$C:$C,'Factory Costs'!$A:$A,"Motor",'Factory Costs'!$B:$B,B1418))</f>
        <v>62</v>
      </c>
    </row>
    <row r="1419" spans="1:3" x14ac:dyDescent="0.25">
      <c r="A1419" s="1" t="s">
        <v>10809</v>
      </c>
      <c r="B1419" s="1" t="s">
        <v>16375</v>
      </c>
      <c r="C1419" s="3">
        <f>IF(B1419="","",SUMIFS('Factory Costs'!$C:$C,'Factory Costs'!$A:$A,"Motor",'Factory Costs'!$B:$B,B1419))</f>
        <v>72</v>
      </c>
    </row>
    <row r="1420" spans="1:3" x14ac:dyDescent="0.25">
      <c r="A1420" s="1" t="s">
        <v>10812</v>
      </c>
      <c r="B1420" s="1" t="s">
        <v>16374</v>
      </c>
      <c r="C1420" s="3">
        <f>IF(B1420="","",SUMIFS('Factory Costs'!$C:$C,'Factory Costs'!$A:$A,"Motor",'Factory Costs'!$B:$B,B1420))</f>
        <v>62</v>
      </c>
    </row>
    <row r="1421" spans="1:3" x14ac:dyDescent="0.25">
      <c r="A1421" s="1" t="s">
        <v>10815</v>
      </c>
      <c r="B1421" s="1" t="s">
        <v>16375</v>
      </c>
      <c r="C1421" s="3">
        <f>IF(B1421="","",SUMIFS('Factory Costs'!$C:$C,'Factory Costs'!$A:$A,"Motor",'Factory Costs'!$B:$B,B1421))</f>
        <v>72</v>
      </c>
    </row>
    <row r="1422" spans="1:3" x14ac:dyDescent="0.25">
      <c r="A1422" s="1" t="s">
        <v>10818</v>
      </c>
      <c r="B1422" s="1" t="s">
        <v>16374</v>
      </c>
      <c r="C1422" s="3">
        <f>IF(B1422="","",SUMIFS('Factory Costs'!$C:$C,'Factory Costs'!$A:$A,"Motor",'Factory Costs'!$B:$B,B1422))</f>
        <v>62</v>
      </c>
    </row>
    <row r="1423" spans="1:3" x14ac:dyDescent="0.25">
      <c r="A1423" s="1" t="s">
        <v>10821</v>
      </c>
      <c r="B1423" s="1" t="s">
        <v>16374</v>
      </c>
      <c r="C1423" s="3">
        <f>IF(B1423="","",SUMIFS('Factory Costs'!$C:$C,'Factory Costs'!$A:$A,"Motor",'Factory Costs'!$B:$B,B1423))</f>
        <v>62</v>
      </c>
    </row>
    <row r="1424" spans="1:3" x14ac:dyDescent="0.25">
      <c r="A1424" s="1" t="s">
        <v>10824</v>
      </c>
      <c r="B1424" s="1" t="s">
        <v>16374</v>
      </c>
      <c r="C1424" s="3">
        <f>IF(B1424="","",SUMIFS('Factory Costs'!$C:$C,'Factory Costs'!$A:$A,"Motor",'Factory Costs'!$B:$B,B1424))</f>
        <v>62</v>
      </c>
    </row>
    <row r="1425" spans="1:3" x14ac:dyDescent="0.25">
      <c r="A1425" s="1" t="s">
        <v>10827</v>
      </c>
      <c r="B1425" s="1" t="s">
        <v>16374</v>
      </c>
      <c r="C1425" s="3">
        <f>IF(B1425="","",SUMIFS('Factory Costs'!$C:$C,'Factory Costs'!$A:$A,"Motor",'Factory Costs'!$B:$B,B1425))</f>
        <v>62</v>
      </c>
    </row>
    <row r="1426" spans="1:3" x14ac:dyDescent="0.25">
      <c r="A1426" s="1" t="s">
        <v>10830</v>
      </c>
      <c r="B1426" s="1" t="s">
        <v>16375</v>
      </c>
      <c r="C1426" s="3">
        <f>IF(B1426="","",SUMIFS('Factory Costs'!$C:$C,'Factory Costs'!$A:$A,"Motor",'Factory Costs'!$B:$B,B1426))</f>
        <v>72</v>
      </c>
    </row>
    <row r="1427" spans="1:3" x14ac:dyDescent="0.25">
      <c r="A1427" s="1" t="s">
        <v>10833</v>
      </c>
      <c r="B1427" s="1" t="s">
        <v>16375</v>
      </c>
      <c r="C1427" s="3">
        <f>IF(B1427="","",SUMIFS('Factory Costs'!$C:$C,'Factory Costs'!$A:$A,"Motor",'Factory Costs'!$B:$B,B1427))</f>
        <v>72</v>
      </c>
    </row>
    <row r="1428" spans="1:3" x14ac:dyDescent="0.25">
      <c r="A1428" s="1" t="s">
        <v>10836</v>
      </c>
      <c r="B1428" s="1" t="s">
        <v>16374</v>
      </c>
      <c r="C1428" s="3">
        <f>IF(B1428="","",SUMIFS('Factory Costs'!$C:$C,'Factory Costs'!$A:$A,"Motor",'Factory Costs'!$B:$B,B1428))</f>
        <v>62</v>
      </c>
    </row>
    <row r="1429" spans="1:3" x14ac:dyDescent="0.25">
      <c r="A1429" s="1" t="s">
        <v>10839</v>
      </c>
      <c r="B1429" s="1" t="s">
        <v>16374</v>
      </c>
      <c r="C1429" s="3">
        <f>IF(B1429="","",SUMIFS('Factory Costs'!$C:$C,'Factory Costs'!$A:$A,"Motor",'Factory Costs'!$B:$B,B1429))</f>
        <v>62</v>
      </c>
    </row>
    <row r="1430" spans="1:3" x14ac:dyDescent="0.25">
      <c r="A1430" s="1" t="s">
        <v>10842</v>
      </c>
      <c r="B1430" s="1" t="s">
        <v>16375</v>
      </c>
      <c r="C1430" s="3">
        <f>IF(B1430="","",SUMIFS('Factory Costs'!$C:$C,'Factory Costs'!$A:$A,"Motor",'Factory Costs'!$B:$B,B1430))</f>
        <v>72</v>
      </c>
    </row>
    <row r="1431" spans="1:3" x14ac:dyDescent="0.25">
      <c r="A1431" s="1" t="s">
        <v>10845</v>
      </c>
      <c r="B1431" s="1" t="s">
        <v>16375</v>
      </c>
      <c r="C1431" s="3">
        <f>IF(B1431="","",SUMIFS('Factory Costs'!$C:$C,'Factory Costs'!$A:$A,"Motor",'Factory Costs'!$B:$B,B1431))</f>
        <v>72</v>
      </c>
    </row>
    <row r="1432" spans="1:3" x14ac:dyDescent="0.25">
      <c r="A1432" s="1" t="s">
        <v>10848</v>
      </c>
      <c r="B1432" s="1" t="s">
        <v>16374</v>
      </c>
      <c r="C1432" s="3">
        <f>IF(B1432="","",SUMIFS('Factory Costs'!$C:$C,'Factory Costs'!$A:$A,"Motor",'Factory Costs'!$B:$B,B1432))</f>
        <v>62</v>
      </c>
    </row>
    <row r="1433" spans="1:3" x14ac:dyDescent="0.25">
      <c r="A1433" s="1" t="s">
        <v>10851</v>
      </c>
      <c r="B1433" s="1" t="s">
        <v>16375</v>
      </c>
      <c r="C1433" s="3">
        <f>IF(B1433="","",SUMIFS('Factory Costs'!$C:$C,'Factory Costs'!$A:$A,"Motor",'Factory Costs'!$B:$B,B1433))</f>
        <v>72</v>
      </c>
    </row>
    <row r="1434" spans="1:3" x14ac:dyDescent="0.25">
      <c r="A1434" s="1" t="s">
        <v>10854</v>
      </c>
      <c r="B1434" s="1" t="s">
        <v>16374</v>
      </c>
      <c r="C1434" s="3">
        <f>IF(B1434="","",SUMIFS('Factory Costs'!$C:$C,'Factory Costs'!$A:$A,"Motor",'Factory Costs'!$B:$B,B1434))</f>
        <v>62</v>
      </c>
    </row>
    <row r="1435" spans="1:3" x14ac:dyDescent="0.25">
      <c r="A1435" s="1" t="s">
        <v>10857</v>
      </c>
      <c r="B1435" s="1" t="s">
        <v>16374</v>
      </c>
      <c r="C1435" s="3">
        <f>IF(B1435="","",SUMIFS('Factory Costs'!$C:$C,'Factory Costs'!$A:$A,"Motor",'Factory Costs'!$B:$B,B1435))</f>
        <v>62</v>
      </c>
    </row>
    <row r="1436" spans="1:3" x14ac:dyDescent="0.25">
      <c r="A1436" s="1" t="s">
        <v>10860</v>
      </c>
      <c r="B1436" s="1" t="s">
        <v>16374</v>
      </c>
      <c r="C1436" s="3">
        <f>IF(B1436="","",SUMIFS('Factory Costs'!$C:$C,'Factory Costs'!$A:$A,"Motor",'Factory Costs'!$B:$B,B1436))</f>
        <v>62</v>
      </c>
    </row>
    <row r="1437" spans="1:3" x14ac:dyDescent="0.25">
      <c r="A1437" s="1" t="s">
        <v>10863</v>
      </c>
      <c r="B1437" s="1" t="s">
        <v>16375</v>
      </c>
      <c r="C1437" s="3">
        <f>IF(B1437="","",SUMIFS('Factory Costs'!$C:$C,'Factory Costs'!$A:$A,"Motor",'Factory Costs'!$B:$B,B1437))</f>
        <v>72</v>
      </c>
    </row>
    <row r="1438" spans="1:3" x14ac:dyDescent="0.25">
      <c r="A1438" s="1" t="s">
        <v>10866</v>
      </c>
      <c r="B1438" s="1" t="s">
        <v>16374</v>
      </c>
      <c r="C1438" s="3">
        <f>IF(B1438="","",SUMIFS('Factory Costs'!$C:$C,'Factory Costs'!$A:$A,"Motor",'Factory Costs'!$B:$B,B1438))</f>
        <v>62</v>
      </c>
    </row>
    <row r="1439" spans="1:3" x14ac:dyDescent="0.25">
      <c r="A1439" s="1" t="s">
        <v>10869</v>
      </c>
      <c r="B1439" s="1" t="s">
        <v>16374</v>
      </c>
      <c r="C1439" s="3">
        <f>IF(B1439="","",SUMIFS('Factory Costs'!$C:$C,'Factory Costs'!$A:$A,"Motor",'Factory Costs'!$B:$B,B1439))</f>
        <v>62</v>
      </c>
    </row>
    <row r="1440" spans="1:3" x14ac:dyDescent="0.25">
      <c r="A1440" s="1" t="s">
        <v>10872</v>
      </c>
      <c r="B1440" s="1" t="s">
        <v>16374</v>
      </c>
      <c r="C1440" s="3">
        <f>IF(B1440="","",SUMIFS('Factory Costs'!$C:$C,'Factory Costs'!$A:$A,"Motor",'Factory Costs'!$B:$B,B1440))</f>
        <v>62</v>
      </c>
    </row>
    <row r="1441" spans="1:3" x14ac:dyDescent="0.25">
      <c r="A1441" s="1" t="s">
        <v>10875</v>
      </c>
      <c r="B1441" s="1" t="s">
        <v>16374</v>
      </c>
      <c r="C1441" s="3">
        <f>IF(B1441="","",SUMIFS('Factory Costs'!$C:$C,'Factory Costs'!$A:$A,"Motor",'Factory Costs'!$B:$B,B1441))</f>
        <v>62</v>
      </c>
    </row>
    <row r="1442" spans="1:3" x14ac:dyDescent="0.25">
      <c r="A1442" s="1" t="s">
        <v>10878</v>
      </c>
      <c r="B1442" s="1" t="s">
        <v>16374</v>
      </c>
      <c r="C1442" s="3">
        <f>IF(B1442="","",SUMIFS('Factory Costs'!$C:$C,'Factory Costs'!$A:$A,"Motor",'Factory Costs'!$B:$B,B1442))</f>
        <v>62</v>
      </c>
    </row>
    <row r="1443" spans="1:3" x14ac:dyDescent="0.25">
      <c r="A1443" s="1" t="s">
        <v>10881</v>
      </c>
      <c r="B1443" s="1" t="s">
        <v>16374</v>
      </c>
      <c r="C1443" s="3">
        <f>IF(B1443="","",SUMIFS('Factory Costs'!$C:$C,'Factory Costs'!$A:$A,"Motor",'Factory Costs'!$B:$B,B1443))</f>
        <v>62</v>
      </c>
    </row>
    <row r="1444" spans="1:3" x14ac:dyDescent="0.25">
      <c r="A1444" s="1" t="s">
        <v>10884</v>
      </c>
      <c r="B1444" s="1" t="s">
        <v>16375</v>
      </c>
      <c r="C1444" s="3">
        <f>IF(B1444="","",SUMIFS('Factory Costs'!$C:$C,'Factory Costs'!$A:$A,"Motor",'Factory Costs'!$B:$B,B1444))</f>
        <v>72</v>
      </c>
    </row>
    <row r="1445" spans="1:3" x14ac:dyDescent="0.25">
      <c r="A1445" s="1" t="s">
        <v>10887</v>
      </c>
      <c r="B1445" s="1" t="s">
        <v>16374</v>
      </c>
      <c r="C1445" s="3">
        <f>IF(B1445="","",SUMIFS('Factory Costs'!$C:$C,'Factory Costs'!$A:$A,"Motor",'Factory Costs'!$B:$B,B1445))</f>
        <v>62</v>
      </c>
    </row>
    <row r="1446" spans="1:3" x14ac:dyDescent="0.25">
      <c r="A1446" s="1" t="s">
        <v>10890</v>
      </c>
      <c r="B1446" s="1" t="s">
        <v>16375</v>
      </c>
      <c r="C1446" s="3">
        <f>IF(B1446="","",SUMIFS('Factory Costs'!$C:$C,'Factory Costs'!$A:$A,"Motor",'Factory Costs'!$B:$B,B1446))</f>
        <v>72</v>
      </c>
    </row>
    <row r="1447" spans="1:3" x14ac:dyDescent="0.25">
      <c r="A1447" s="1" t="s">
        <v>10893</v>
      </c>
      <c r="B1447" s="1" t="s">
        <v>16375</v>
      </c>
      <c r="C1447" s="3">
        <f>IF(B1447="","",SUMIFS('Factory Costs'!$C:$C,'Factory Costs'!$A:$A,"Motor",'Factory Costs'!$B:$B,B1447))</f>
        <v>72</v>
      </c>
    </row>
    <row r="1448" spans="1:3" x14ac:dyDescent="0.25">
      <c r="A1448" s="1" t="s">
        <v>10896</v>
      </c>
      <c r="B1448" s="1" t="s">
        <v>16374</v>
      </c>
      <c r="C1448" s="3">
        <f>IF(B1448="","",SUMIFS('Factory Costs'!$C:$C,'Factory Costs'!$A:$A,"Motor",'Factory Costs'!$B:$B,B1448))</f>
        <v>62</v>
      </c>
    </row>
    <row r="1449" spans="1:3" x14ac:dyDescent="0.25">
      <c r="A1449" s="1" t="s">
        <v>10899</v>
      </c>
      <c r="B1449" s="1" t="s">
        <v>16374</v>
      </c>
      <c r="C1449" s="3">
        <f>IF(B1449="","",SUMIFS('Factory Costs'!$C:$C,'Factory Costs'!$A:$A,"Motor",'Factory Costs'!$B:$B,B1449))</f>
        <v>62</v>
      </c>
    </row>
    <row r="1450" spans="1:3" x14ac:dyDescent="0.25">
      <c r="A1450" s="1" t="s">
        <v>10902</v>
      </c>
      <c r="B1450" s="1" t="s">
        <v>16374</v>
      </c>
      <c r="C1450" s="3">
        <f>IF(B1450="","",SUMIFS('Factory Costs'!$C:$C,'Factory Costs'!$A:$A,"Motor",'Factory Costs'!$B:$B,B1450))</f>
        <v>62</v>
      </c>
    </row>
    <row r="1451" spans="1:3" x14ac:dyDescent="0.25">
      <c r="A1451" s="1" t="s">
        <v>10905</v>
      </c>
      <c r="B1451" s="1" t="s">
        <v>16374</v>
      </c>
      <c r="C1451" s="3">
        <f>IF(B1451="","",SUMIFS('Factory Costs'!$C:$C,'Factory Costs'!$A:$A,"Motor",'Factory Costs'!$B:$B,B1451))</f>
        <v>62</v>
      </c>
    </row>
    <row r="1452" spans="1:3" x14ac:dyDescent="0.25">
      <c r="A1452" s="1" t="s">
        <v>10908</v>
      </c>
      <c r="B1452" s="1" t="s">
        <v>16375</v>
      </c>
      <c r="C1452" s="3">
        <f>IF(B1452="","",SUMIFS('Factory Costs'!$C:$C,'Factory Costs'!$A:$A,"Motor",'Factory Costs'!$B:$B,B1452))</f>
        <v>72</v>
      </c>
    </row>
    <row r="1453" spans="1:3" x14ac:dyDescent="0.25">
      <c r="A1453" s="1" t="s">
        <v>10911</v>
      </c>
      <c r="B1453" s="1" t="s">
        <v>16374</v>
      </c>
      <c r="C1453" s="3">
        <f>IF(B1453="","",SUMIFS('Factory Costs'!$C:$C,'Factory Costs'!$A:$A,"Motor",'Factory Costs'!$B:$B,B1453))</f>
        <v>62</v>
      </c>
    </row>
    <row r="1454" spans="1:3" x14ac:dyDescent="0.25">
      <c r="A1454" s="1" t="s">
        <v>10914</v>
      </c>
      <c r="B1454" s="1" t="s">
        <v>16375</v>
      </c>
      <c r="C1454" s="3">
        <f>IF(B1454="","",SUMIFS('Factory Costs'!$C:$C,'Factory Costs'!$A:$A,"Motor",'Factory Costs'!$B:$B,B1454))</f>
        <v>72</v>
      </c>
    </row>
    <row r="1455" spans="1:3" x14ac:dyDescent="0.25">
      <c r="A1455" s="1" t="s">
        <v>10917</v>
      </c>
      <c r="B1455" s="1" t="s">
        <v>16374</v>
      </c>
      <c r="C1455" s="3">
        <f>IF(B1455="","",SUMIFS('Factory Costs'!$C:$C,'Factory Costs'!$A:$A,"Motor",'Factory Costs'!$B:$B,B1455))</f>
        <v>62</v>
      </c>
    </row>
    <row r="1456" spans="1:3" x14ac:dyDescent="0.25">
      <c r="A1456" s="1" t="s">
        <v>10920</v>
      </c>
      <c r="B1456" s="1" t="s">
        <v>16375</v>
      </c>
      <c r="C1456" s="3">
        <f>IF(B1456="","",SUMIFS('Factory Costs'!$C:$C,'Factory Costs'!$A:$A,"Motor",'Factory Costs'!$B:$B,B1456))</f>
        <v>72</v>
      </c>
    </row>
    <row r="1457" spans="1:3" x14ac:dyDescent="0.25">
      <c r="A1457" s="1" t="s">
        <v>10923</v>
      </c>
      <c r="B1457" s="1" t="s">
        <v>16375</v>
      </c>
      <c r="C1457" s="3">
        <f>IF(B1457="","",SUMIFS('Factory Costs'!$C:$C,'Factory Costs'!$A:$A,"Motor",'Factory Costs'!$B:$B,B1457))</f>
        <v>72</v>
      </c>
    </row>
    <row r="1458" spans="1:3" x14ac:dyDescent="0.25">
      <c r="A1458" s="1" t="s">
        <v>10926</v>
      </c>
      <c r="B1458" s="1" t="s">
        <v>16374</v>
      </c>
      <c r="C1458" s="3">
        <f>IF(B1458="","",SUMIFS('Factory Costs'!$C:$C,'Factory Costs'!$A:$A,"Motor",'Factory Costs'!$B:$B,B1458))</f>
        <v>62</v>
      </c>
    </row>
    <row r="1459" spans="1:3" x14ac:dyDescent="0.25">
      <c r="A1459" s="1" t="s">
        <v>10929</v>
      </c>
      <c r="B1459" s="1" t="s">
        <v>16375</v>
      </c>
      <c r="C1459" s="3">
        <f>IF(B1459="","",SUMIFS('Factory Costs'!$C:$C,'Factory Costs'!$A:$A,"Motor",'Factory Costs'!$B:$B,B1459))</f>
        <v>72</v>
      </c>
    </row>
    <row r="1460" spans="1:3" x14ac:dyDescent="0.25">
      <c r="A1460" s="1" t="s">
        <v>10932</v>
      </c>
      <c r="B1460" s="1" t="s">
        <v>16375</v>
      </c>
      <c r="C1460" s="3">
        <f>IF(B1460="","",SUMIFS('Factory Costs'!$C:$C,'Factory Costs'!$A:$A,"Motor",'Factory Costs'!$B:$B,B1460))</f>
        <v>72</v>
      </c>
    </row>
    <row r="1461" spans="1:3" x14ac:dyDescent="0.25">
      <c r="A1461" s="1" t="s">
        <v>10935</v>
      </c>
      <c r="B1461" s="1" t="s">
        <v>16374</v>
      </c>
      <c r="C1461" s="3">
        <f>IF(B1461="","",SUMIFS('Factory Costs'!$C:$C,'Factory Costs'!$A:$A,"Motor",'Factory Costs'!$B:$B,B1461))</f>
        <v>62</v>
      </c>
    </row>
    <row r="1462" spans="1:3" x14ac:dyDescent="0.25">
      <c r="A1462" s="1" t="s">
        <v>10938</v>
      </c>
      <c r="B1462" s="1" t="s">
        <v>16374</v>
      </c>
      <c r="C1462" s="3">
        <f>IF(B1462="","",SUMIFS('Factory Costs'!$C:$C,'Factory Costs'!$A:$A,"Motor",'Factory Costs'!$B:$B,B1462))</f>
        <v>62</v>
      </c>
    </row>
    <row r="1463" spans="1:3" x14ac:dyDescent="0.25">
      <c r="A1463" s="1" t="s">
        <v>10941</v>
      </c>
      <c r="B1463" s="1" t="s">
        <v>16375</v>
      </c>
      <c r="C1463" s="3">
        <f>IF(B1463="","",SUMIFS('Factory Costs'!$C:$C,'Factory Costs'!$A:$A,"Motor",'Factory Costs'!$B:$B,B1463))</f>
        <v>72</v>
      </c>
    </row>
    <row r="1464" spans="1:3" x14ac:dyDescent="0.25">
      <c r="A1464" s="1" t="s">
        <v>10944</v>
      </c>
      <c r="B1464" s="1" t="s">
        <v>16374</v>
      </c>
      <c r="C1464" s="3">
        <f>IF(B1464="","",SUMIFS('Factory Costs'!$C:$C,'Factory Costs'!$A:$A,"Motor",'Factory Costs'!$B:$B,B1464))</f>
        <v>62</v>
      </c>
    </row>
    <row r="1465" spans="1:3" x14ac:dyDescent="0.25">
      <c r="A1465" s="1" t="s">
        <v>10947</v>
      </c>
      <c r="B1465" s="1" t="s">
        <v>16374</v>
      </c>
      <c r="C1465" s="3">
        <f>IF(B1465="","",SUMIFS('Factory Costs'!$C:$C,'Factory Costs'!$A:$A,"Motor",'Factory Costs'!$B:$B,B1465))</f>
        <v>62</v>
      </c>
    </row>
    <row r="1466" spans="1:3" x14ac:dyDescent="0.25">
      <c r="A1466" s="1" t="s">
        <v>10950</v>
      </c>
      <c r="B1466" s="1" t="s">
        <v>16374</v>
      </c>
      <c r="C1466" s="3">
        <f>IF(B1466="","",SUMIFS('Factory Costs'!$C:$C,'Factory Costs'!$A:$A,"Motor",'Factory Costs'!$B:$B,B1466))</f>
        <v>62</v>
      </c>
    </row>
    <row r="1467" spans="1:3" x14ac:dyDescent="0.25">
      <c r="A1467" s="1" t="s">
        <v>10953</v>
      </c>
      <c r="B1467" s="1" t="s">
        <v>16375</v>
      </c>
      <c r="C1467" s="3">
        <f>IF(B1467="","",SUMIFS('Factory Costs'!$C:$C,'Factory Costs'!$A:$A,"Motor",'Factory Costs'!$B:$B,B1467))</f>
        <v>72</v>
      </c>
    </row>
    <row r="1468" spans="1:3" x14ac:dyDescent="0.25">
      <c r="A1468" s="1" t="s">
        <v>10956</v>
      </c>
      <c r="B1468" s="1" t="s">
        <v>16374</v>
      </c>
      <c r="C1468" s="3">
        <f>IF(B1468="","",SUMIFS('Factory Costs'!$C:$C,'Factory Costs'!$A:$A,"Motor",'Factory Costs'!$B:$B,B1468))</f>
        <v>62</v>
      </c>
    </row>
    <row r="1469" spans="1:3" x14ac:dyDescent="0.25">
      <c r="A1469" s="1" t="s">
        <v>10959</v>
      </c>
      <c r="B1469" s="1" t="s">
        <v>16374</v>
      </c>
      <c r="C1469" s="3">
        <f>IF(B1469="","",SUMIFS('Factory Costs'!$C:$C,'Factory Costs'!$A:$A,"Motor",'Factory Costs'!$B:$B,B1469))</f>
        <v>62</v>
      </c>
    </row>
    <row r="1470" spans="1:3" x14ac:dyDescent="0.25">
      <c r="A1470" s="1" t="s">
        <v>10962</v>
      </c>
      <c r="B1470" s="1" t="s">
        <v>16374</v>
      </c>
      <c r="C1470" s="3">
        <f>IF(B1470="","",SUMIFS('Factory Costs'!$C:$C,'Factory Costs'!$A:$A,"Motor",'Factory Costs'!$B:$B,B1470))</f>
        <v>62</v>
      </c>
    </row>
    <row r="1471" spans="1:3" x14ac:dyDescent="0.25">
      <c r="A1471" s="1" t="s">
        <v>10965</v>
      </c>
      <c r="B1471" s="1" t="s">
        <v>16374</v>
      </c>
      <c r="C1471" s="3">
        <f>IF(B1471="","",SUMIFS('Factory Costs'!$C:$C,'Factory Costs'!$A:$A,"Motor",'Factory Costs'!$B:$B,B1471))</f>
        <v>62</v>
      </c>
    </row>
    <row r="1472" spans="1:3" x14ac:dyDescent="0.25">
      <c r="A1472" s="1" t="s">
        <v>10968</v>
      </c>
      <c r="B1472" s="1" t="s">
        <v>16375</v>
      </c>
      <c r="C1472" s="3">
        <f>IF(B1472="","",SUMIFS('Factory Costs'!$C:$C,'Factory Costs'!$A:$A,"Motor",'Factory Costs'!$B:$B,B1472))</f>
        <v>72</v>
      </c>
    </row>
    <row r="1473" spans="1:3" x14ac:dyDescent="0.25">
      <c r="A1473" s="1" t="s">
        <v>10971</v>
      </c>
      <c r="B1473" s="1" t="s">
        <v>16374</v>
      </c>
      <c r="C1473" s="3">
        <f>IF(B1473="","",SUMIFS('Factory Costs'!$C:$C,'Factory Costs'!$A:$A,"Motor",'Factory Costs'!$B:$B,B1473))</f>
        <v>62</v>
      </c>
    </row>
    <row r="1474" spans="1:3" x14ac:dyDescent="0.25">
      <c r="A1474" s="1" t="s">
        <v>10974</v>
      </c>
      <c r="B1474" s="1" t="s">
        <v>16374</v>
      </c>
      <c r="C1474" s="3">
        <f>IF(B1474="","",SUMIFS('Factory Costs'!$C:$C,'Factory Costs'!$A:$A,"Motor",'Factory Costs'!$B:$B,B1474))</f>
        <v>62</v>
      </c>
    </row>
    <row r="1475" spans="1:3" x14ac:dyDescent="0.25">
      <c r="A1475" s="1" t="s">
        <v>10977</v>
      </c>
      <c r="B1475" s="1" t="s">
        <v>16374</v>
      </c>
      <c r="C1475" s="3">
        <f>IF(B1475="","",SUMIFS('Factory Costs'!$C:$C,'Factory Costs'!$A:$A,"Motor",'Factory Costs'!$B:$B,B1475))</f>
        <v>62</v>
      </c>
    </row>
    <row r="1476" spans="1:3" x14ac:dyDescent="0.25">
      <c r="A1476" s="1" t="s">
        <v>10980</v>
      </c>
      <c r="B1476" s="1" t="s">
        <v>16375</v>
      </c>
      <c r="C1476" s="3">
        <f>IF(B1476="","",SUMIFS('Factory Costs'!$C:$C,'Factory Costs'!$A:$A,"Motor",'Factory Costs'!$B:$B,B1476))</f>
        <v>72</v>
      </c>
    </row>
    <row r="1477" spans="1:3" x14ac:dyDescent="0.25">
      <c r="A1477" s="1" t="s">
        <v>10983</v>
      </c>
      <c r="B1477" s="1" t="s">
        <v>16375</v>
      </c>
      <c r="C1477" s="3">
        <f>IF(B1477="","",SUMIFS('Factory Costs'!$C:$C,'Factory Costs'!$A:$A,"Motor",'Factory Costs'!$B:$B,B1477))</f>
        <v>72</v>
      </c>
    </row>
    <row r="1478" spans="1:3" x14ac:dyDescent="0.25">
      <c r="A1478" s="1" t="s">
        <v>10986</v>
      </c>
      <c r="B1478" s="1" t="s">
        <v>16375</v>
      </c>
      <c r="C1478" s="3">
        <f>IF(B1478="","",SUMIFS('Factory Costs'!$C:$C,'Factory Costs'!$A:$A,"Motor",'Factory Costs'!$B:$B,B1478))</f>
        <v>72</v>
      </c>
    </row>
    <row r="1479" spans="1:3" x14ac:dyDescent="0.25">
      <c r="A1479" s="1" t="s">
        <v>10989</v>
      </c>
      <c r="B1479" s="1" t="s">
        <v>16374</v>
      </c>
      <c r="C1479" s="3">
        <f>IF(B1479="","",SUMIFS('Factory Costs'!$C:$C,'Factory Costs'!$A:$A,"Motor",'Factory Costs'!$B:$B,B1479))</f>
        <v>62</v>
      </c>
    </row>
    <row r="1480" spans="1:3" x14ac:dyDescent="0.25">
      <c r="A1480" s="1" t="s">
        <v>10992</v>
      </c>
      <c r="B1480" s="1" t="s">
        <v>16374</v>
      </c>
      <c r="C1480" s="3">
        <f>IF(B1480="","",SUMIFS('Factory Costs'!$C:$C,'Factory Costs'!$A:$A,"Motor",'Factory Costs'!$B:$B,B1480))</f>
        <v>62</v>
      </c>
    </row>
    <row r="1481" spans="1:3" x14ac:dyDescent="0.25">
      <c r="A1481" s="1" t="s">
        <v>10995</v>
      </c>
      <c r="B1481" s="1" t="s">
        <v>16375</v>
      </c>
      <c r="C1481" s="3">
        <f>IF(B1481="","",SUMIFS('Factory Costs'!$C:$C,'Factory Costs'!$A:$A,"Motor",'Factory Costs'!$B:$B,B1481))</f>
        <v>72</v>
      </c>
    </row>
    <row r="1482" spans="1:3" x14ac:dyDescent="0.25">
      <c r="A1482" s="1" t="s">
        <v>10998</v>
      </c>
      <c r="B1482" s="1" t="s">
        <v>16374</v>
      </c>
      <c r="C1482" s="3">
        <f>IF(B1482="","",SUMIFS('Factory Costs'!$C:$C,'Factory Costs'!$A:$A,"Motor",'Factory Costs'!$B:$B,B1482))</f>
        <v>62</v>
      </c>
    </row>
    <row r="1483" spans="1:3" x14ac:dyDescent="0.25">
      <c r="A1483" s="1" t="s">
        <v>11001</v>
      </c>
      <c r="B1483" s="1" t="s">
        <v>16375</v>
      </c>
      <c r="C1483" s="3">
        <f>IF(B1483="","",SUMIFS('Factory Costs'!$C:$C,'Factory Costs'!$A:$A,"Motor",'Factory Costs'!$B:$B,B1483))</f>
        <v>72</v>
      </c>
    </row>
    <row r="1484" spans="1:3" x14ac:dyDescent="0.25">
      <c r="A1484" s="1" t="s">
        <v>11004</v>
      </c>
      <c r="B1484" s="1" t="s">
        <v>16374</v>
      </c>
      <c r="C1484" s="3">
        <f>IF(B1484="","",SUMIFS('Factory Costs'!$C:$C,'Factory Costs'!$A:$A,"Motor",'Factory Costs'!$B:$B,B1484))</f>
        <v>62</v>
      </c>
    </row>
    <row r="1485" spans="1:3" x14ac:dyDescent="0.25">
      <c r="A1485" s="1" t="s">
        <v>11007</v>
      </c>
      <c r="B1485" s="1" t="s">
        <v>16374</v>
      </c>
      <c r="C1485" s="3">
        <f>IF(B1485="","",SUMIFS('Factory Costs'!$C:$C,'Factory Costs'!$A:$A,"Motor",'Factory Costs'!$B:$B,B1485))</f>
        <v>62</v>
      </c>
    </row>
    <row r="1486" spans="1:3" x14ac:dyDescent="0.25">
      <c r="A1486" s="1" t="s">
        <v>11010</v>
      </c>
      <c r="B1486" s="1" t="s">
        <v>16374</v>
      </c>
      <c r="C1486" s="3">
        <f>IF(B1486="","",SUMIFS('Factory Costs'!$C:$C,'Factory Costs'!$A:$A,"Motor",'Factory Costs'!$B:$B,B1486))</f>
        <v>62</v>
      </c>
    </row>
    <row r="1487" spans="1:3" x14ac:dyDescent="0.25">
      <c r="A1487" s="1" t="s">
        <v>11013</v>
      </c>
      <c r="B1487" s="1" t="s">
        <v>16375</v>
      </c>
      <c r="C1487" s="3">
        <f>IF(B1487="","",SUMIFS('Factory Costs'!$C:$C,'Factory Costs'!$A:$A,"Motor",'Factory Costs'!$B:$B,B1487))</f>
        <v>72</v>
      </c>
    </row>
    <row r="1488" spans="1:3" x14ac:dyDescent="0.25">
      <c r="A1488" s="1" t="s">
        <v>11016</v>
      </c>
      <c r="B1488" s="1" t="s">
        <v>16374</v>
      </c>
      <c r="C1488" s="3">
        <f>IF(B1488="","",SUMIFS('Factory Costs'!$C:$C,'Factory Costs'!$A:$A,"Motor",'Factory Costs'!$B:$B,B1488))</f>
        <v>62</v>
      </c>
    </row>
    <row r="1489" spans="1:3" x14ac:dyDescent="0.25">
      <c r="A1489" s="1" t="s">
        <v>11019</v>
      </c>
      <c r="B1489" s="1" t="s">
        <v>16375</v>
      </c>
      <c r="C1489" s="3">
        <f>IF(B1489="","",SUMIFS('Factory Costs'!$C:$C,'Factory Costs'!$A:$A,"Motor",'Factory Costs'!$B:$B,B1489))</f>
        <v>72</v>
      </c>
    </row>
    <row r="1490" spans="1:3" x14ac:dyDescent="0.25">
      <c r="A1490" s="1" t="s">
        <v>11022</v>
      </c>
      <c r="B1490" s="1" t="s">
        <v>16374</v>
      </c>
      <c r="C1490" s="3">
        <f>IF(B1490="","",SUMIFS('Factory Costs'!$C:$C,'Factory Costs'!$A:$A,"Motor",'Factory Costs'!$B:$B,B1490))</f>
        <v>62</v>
      </c>
    </row>
    <row r="1491" spans="1:3" x14ac:dyDescent="0.25">
      <c r="A1491" s="1" t="s">
        <v>11025</v>
      </c>
      <c r="B1491" s="1" t="s">
        <v>16374</v>
      </c>
      <c r="C1491" s="3">
        <f>IF(B1491="","",SUMIFS('Factory Costs'!$C:$C,'Factory Costs'!$A:$A,"Motor",'Factory Costs'!$B:$B,B1491))</f>
        <v>62</v>
      </c>
    </row>
    <row r="1492" spans="1:3" x14ac:dyDescent="0.25">
      <c r="A1492" s="1" t="s">
        <v>11028</v>
      </c>
      <c r="B1492" s="1" t="s">
        <v>16374</v>
      </c>
      <c r="C1492" s="3">
        <f>IF(B1492="","",SUMIFS('Factory Costs'!$C:$C,'Factory Costs'!$A:$A,"Motor",'Factory Costs'!$B:$B,B1492))</f>
        <v>62</v>
      </c>
    </row>
    <row r="1493" spans="1:3" x14ac:dyDescent="0.25">
      <c r="A1493" s="1" t="s">
        <v>11031</v>
      </c>
      <c r="B1493" s="1" t="s">
        <v>16374</v>
      </c>
      <c r="C1493" s="3">
        <f>IF(B1493="","",SUMIFS('Factory Costs'!$C:$C,'Factory Costs'!$A:$A,"Motor",'Factory Costs'!$B:$B,B1493))</f>
        <v>62</v>
      </c>
    </row>
    <row r="1494" spans="1:3" x14ac:dyDescent="0.25">
      <c r="A1494" s="1" t="s">
        <v>11034</v>
      </c>
      <c r="B1494" s="1" t="s">
        <v>16374</v>
      </c>
      <c r="C1494" s="3">
        <f>IF(B1494="","",SUMIFS('Factory Costs'!$C:$C,'Factory Costs'!$A:$A,"Motor",'Factory Costs'!$B:$B,B1494))</f>
        <v>62</v>
      </c>
    </row>
    <row r="1495" spans="1:3" x14ac:dyDescent="0.25">
      <c r="A1495" s="1" t="s">
        <v>11037</v>
      </c>
      <c r="B1495" s="1" t="s">
        <v>16374</v>
      </c>
      <c r="C1495" s="3">
        <f>IF(B1495="","",SUMIFS('Factory Costs'!$C:$C,'Factory Costs'!$A:$A,"Motor",'Factory Costs'!$B:$B,B1495))</f>
        <v>62</v>
      </c>
    </row>
    <row r="1496" spans="1:3" x14ac:dyDescent="0.25">
      <c r="A1496" s="1" t="s">
        <v>11040</v>
      </c>
      <c r="B1496" s="1" t="s">
        <v>16374</v>
      </c>
      <c r="C1496" s="3">
        <f>IF(B1496="","",SUMIFS('Factory Costs'!$C:$C,'Factory Costs'!$A:$A,"Motor",'Factory Costs'!$B:$B,B1496))</f>
        <v>62</v>
      </c>
    </row>
    <row r="1497" spans="1:3" x14ac:dyDescent="0.25">
      <c r="A1497" s="1" t="s">
        <v>11043</v>
      </c>
      <c r="B1497" s="1" t="s">
        <v>16375</v>
      </c>
      <c r="C1497" s="3">
        <f>IF(B1497="","",SUMIFS('Factory Costs'!$C:$C,'Factory Costs'!$A:$A,"Motor",'Factory Costs'!$B:$B,B1497))</f>
        <v>72</v>
      </c>
    </row>
    <row r="1498" spans="1:3" x14ac:dyDescent="0.25">
      <c r="A1498" s="1" t="s">
        <v>11046</v>
      </c>
      <c r="B1498" s="1" t="s">
        <v>16375</v>
      </c>
      <c r="C1498" s="3">
        <f>IF(B1498="","",SUMIFS('Factory Costs'!$C:$C,'Factory Costs'!$A:$A,"Motor",'Factory Costs'!$B:$B,B1498))</f>
        <v>72</v>
      </c>
    </row>
    <row r="1499" spans="1:3" x14ac:dyDescent="0.25">
      <c r="A1499" s="1" t="s">
        <v>11049</v>
      </c>
      <c r="B1499" s="1" t="s">
        <v>16375</v>
      </c>
      <c r="C1499" s="3">
        <f>IF(B1499="","",SUMIFS('Factory Costs'!$C:$C,'Factory Costs'!$A:$A,"Motor",'Factory Costs'!$B:$B,B1499))</f>
        <v>72</v>
      </c>
    </row>
    <row r="1500" spans="1:3" x14ac:dyDescent="0.25">
      <c r="A1500" s="1" t="s">
        <v>11052</v>
      </c>
      <c r="B1500" s="1" t="s">
        <v>16374</v>
      </c>
      <c r="C1500" s="3">
        <f>IF(B1500="","",SUMIFS('Factory Costs'!$C:$C,'Factory Costs'!$A:$A,"Motor",'Factory Costs'!$B:$B,B1500))</f>
        <v>62</v>
      </c>
    </row>
    <row r="1501" spans="1:3" x14ac:dyDescent="0.25">
      <c r="A1501" s="1" t="s">
        <v>11055</v>
      </c>
      <c r="B1501" s="1" t="s">
        <v>16374</v>
      </c>
      <c r="C1501" s="3">
        <f>IF(B1501="","",SUMIFS('Factory Costs'!$C:$C,'Factory Costs'!$A:$A,"Motor",'Factory Costs'!$B:$B,B1501))</f>
        <v>62</v>
      </c>
    </row>
    <row r="1502" spans="1:3" x14ac:dyDescent="0.25">
      <c r="A1502" s="1" t="s">
        <v>11058</v>
      </c>
      <c r="B1502" s="1" t="s">
        <v>16374</v>
      </c>
      <c r="C1502" s="3">
        <f>IF(B1502="","",SUMIFS('Factory Costs'!$C:$C,'Factory Costs'!$A:$A,"Motor",'Factory Costs'!$B:$B,B1502))</f>
        <v>62</v>
      </c>
    </row>
    <row r="1503" spans="1:3" x14ac:dyDescent="0.25">
      <c r="A1503" s="1" t="s">
        <v>11061</v>
      </c>
      <c r="B1503" s="1" t="s">
        <v>16374</v>
      </c>
      <c r="C1503" s="3">
        <f>IF(B1503="","",SUMIFS('Factory Costs'!$C:$C,'Factory Costs'!$A:$A,"Motor",'Factory Costs'!$B:$B,B1503))</f>
        <v>62</v>
      </c>
    </row>
    <row r="1504" spans="1:3" x14ac:dyDescent="0.25">
      <c r="A1504" s="1" t="s">
        <v>11064</v>
      </c>
      <c r="B1504" s="1" t="s">
        <v>16374</v>
      </c>
      <c r="C1504" s="3">
        <f>IF(B1504="","",SUMIFS('Factory Costs'!$C:$C,'Factory Costs'!$A:$A,"Motor",'Factory Costs'!$B:$B,B1504))</f>
        <v>62</v>
      </c>
    </row>
    <row r="1505" spans="1:3" x14ac:dyDescent="0.25">
      <c r="A1505" s="1" t="s">
        <v>11067</v>
      </c>
      <c r="B1505" s="1" t="s">
        <v>16374</v>
      </c>
      <c r="C1505" s="3">
        <f>IF(B1505="","",SUMIFS('Factory Costs'!$C:$C,'Factory Costs'!$A:$A,"Motor",'Factory Costs'!$B:$B,B1505))</f>
        <v>62</v>
      </c>
    </row>
    <row r="1506" spans="1:3" x14ac:dyDescent="0.25">
      <c r="A1506" s="1" t="s">
        <v>11070</v>
      </c>
      <c r="B1506" s="1" t="s">
        <v>16375</v>
      </c>
      <c r="C1506" s="3">
        <f>IF(B1506="","",SUMIFS('Factory Costs'!$C:$C,'Factory Costs'!$A:$A,"Motor",'Factory Costs'!$B:$B,B1506))</f>
        <v>72</v>
      </c>
    </row>
    <row r="1507" spans="1:3" x14ac:dyDescent="0.25">
      <c r="A1507" s="1" t="s">
        <v>11073</v>
      </c>
      <c r="B1507" s="1" t="s">
        <v>16374</v>
      </c>
      <c r="C1507" s="3">
        <f>IF(B1507="","",SUMIFS('Factory Costs'!$C:$C,'Factory Costs'!$A:$A,"Motor",'Factory Costs'!$B:$B,B1507))</f>
        <v>62</v>
      </c>
    </row>
    <row r="1508" spans="1:3" x14ac:dyDescent="0.25">
      <c r="A1508" s="1" t="s">
        <v>11076</v>
      </c>
      <c r="B1508" s="1" t="s">
        <v>16375</v>
      </c>
      <c r="C1508" s="3">
        <f>IF(B1508="","",SUMIFS('Factory Costs'!$C:$C,'Factory Costs'!$A:$A,"Motor",'Factory Costs'!$B:$B,B1508))</f>
        <v>72</v>
      </c>
    </row>
    <row r="1509" spans="1:3" x14ac:dyDescent="0.25">
      <c r="A1509" s="1" t="s">
        <v>11079</v>
      </c>
      <c r="B1509" s="1" t="s">
        <v>16374</v>
      </c>
      <c r="C1509" s="3">
        <f>IF(B1509="","",SUMIFS('Factory Costs'!$C:$C,'Factory Costs'!$A:$A,"Motor",'Factory Costs'!$B:$B,B1509))</f>
        <v>62</v>
      </c>
    </row>
    <row r="1510" spans="1:3" x14ac:dyDescent="0.25">
      <c r="A1510" s="1" t="s">
        <v>11082</v>
      </c>
      <c r="B1510" s="1" t="s">
        <v>16374</v>
      </c>
      <c r="C1510" s="3">
        <f>IF(B1510="","",SUMIFS('Factory Costs'!$C:$C,'Factory Costs'!$A:$A,"Motor",'Factory Costs'!$B:$B,B1510))</f>
        <v>62</v>
      </c>
    </row>
    <row r="1511" spans="1:3" x14ac:dyDescent="0.25">
      <c r="A1511" s="1" t="s">
        <v>11085</v>
      </c>
      <c r="B1511" s="1" t="s">
        <v>16374</v>
      </c>
      <c r="C1511" s="3">
        <f>IF(B1511="","",SUMIFS('Factory Costs'!$C:$C,'Factory Costs'!$A:$A,"Motor",'Factory Costs'!$B:$B,B1511))</f>
        <v>62</v>
      </c>
    </row>
    <row r="1512" spans="1:3" x14ac:dyDescent="0.25">
      <c r="A1512" s="1" t="s">
        <v>11088</v>
      </c>
      <c r="B1512" s="1" t="s">
        <v>16374</v>
      </c>
      <c r="C1512" s="3">
        <f>IF(B1512="","",SUMIFS('Factory Costs'!$C:$C,'Factory Costs'!$A:$A,"Motor",'Factory Costs'!$B:$B,B1512))</f>
        <v>62</v>
      </c>
    </row>
    <row r="1513" spans="1:3" x14ac:dyDescent="0.25">
      <c r="A1513" s="1" t="s">
        <v>11091</v>
      </c>
      <c r="B1513" s="1" t="s">
        <v>16374</v>
      </c>
      <c r="C1513" s="3">
        <f>IF(B1513="","",SUMIFS('Factory Costs'!$C:$C,'Factory Costs'!$A:$A,"Motor",'Factory Costs'!$B:$B,B1513))</f>
        <v>62</v>
      </c>
    </row>
    <row r="1514" spans="1:3" x14ac:dyDescent="0.25">
      <c r="A1514" s="1" t="s">
        <v>11094</v>
      </c>
      <c r="B1514" s="1" t="s">
        <v>16375</v>
      </c>
      <c r="C1514" s="3">
        <f>IF(B1514="","",SUMIFS('Factory Costs'!$C:$C,'Factory Costs'!$A:$A,"Motor",'Factory Costs'!$B:$B,B1514))</f>
        <v>72</v>
      </c>
    </row>
    <row r="1515" spans="1:3" x14ac:dyDescent="0.25">
      <c r="A1515" s="1" t="s">
        <v>11097</v>
      </c>
      <c r="B1515" s="1" t="s">
        <v>16374</v>
      </c>
      <c r="C1515" s="3">
        <f>IF(B1515="","",SUMIFS('Factory Costs'!$C:$C,'Factory Costs'!$A:$A,"Motor",'Factory Costs'!$B:$B,B1515))</f>
        <v>62</v>
      </c>
    </row>
    <row r="1516" spans="1:3" x14ac:dyDescent="0.25">
      <c r="A1516" s="1" t="s">
        <v>11100</v>
      </c>
      <c r="B1516" s="1" t="s">
        <v>16374</v>
      </c>
      <c r="C1516" s="3">
        <f>IF(B1516="","",SUMIFS('Factory Costs'!$C:$C,'Factory Costs'!$A:$A,"Motor",'Factory Costs'!$B:$B,B1516))</f>
        <v>62</v>
      </c>
    </row>
    <row r="1517" spans="1:3" x14ac:dyDescent="0.25">
      <c r="A1517" s="1" t="s">
        <v>11103</v>
      </c>
      <c r="B1517" s="1" t="s">
        <v>16374</v>
      </c>
      <c r="C1517" s="3">
        <f>IF(B1517="","",SUMIFS('Factory Costs'!$C:$C,'Factory Costs'!$A:$A,"Motor",'Factory Costs'!$B:$B,B1517))</f>
        <v>62</v>
      </c>
    </row>
    <row r="1518" spans="1:3" x14ac:dyDescent="0.25">
      <c r="A1518" s="1" t="s">
        <v>11106</v>
      </c>
      <c r="B1518" s="1" t="s">
        <v>16374</v>
      </c>
      <c r="C1518" s="3">
        <f>IF(B1518="","",SUMIFS('Factory Costs'!$C:$C,'Factory Costs'!$A:$A,"Motor",'Factory Costs'!$B:$B,B1518))</f>
        <v>62</v>
      </c>
    </row>
    <row r="1519" spans="1:3" x14ac:dyDescent="0.25">
      <c r="A1519" s="1" t="s">
        <v>11109</v>
      </c>
      <c r="B1519" s="1" t="s">
        <v>16374</v>
      </c>
      <c r="C1519" s="3">
        <f>IF(B1519="","",SUMIFS('Factory Costs'!$C:$C,'Factory Costs'!$A:$A,"Motor",'Factory Costs'!$B:$B,B1519))</f>
        <v>62</v>
      </c>
    </row>
    <row r="1520" spans="1:3" x14ac:dyDescent="0.25">
      <c r="A1520" s="1" t="s">
        <v>11112</v>
      </c>
      <c r="B1520" s="1" t="s">
        <v>16375</v>
      </c>
      <c r="C1520" s="3">
        <f>IF(B1520="","",SUMIFS('Factory Costs'!$C:$C,'Factory Costs'!$A:$A,"Motor",'Factory Costs'!$B:$B,B1520))</f>
        <v>72</v>
      </c>
    </row>
    <row r="1521" spans="1:3" x14ac:dyDescent="0.25">
      <c r="A1521" s="1" t="s">
        <v>11115</v>
      </c>
      <c r="B1521" s="1" t="s">
        <v>16374</v>
      </c>
      <c r="C1521" s="3">
        <f>IF(B1521="","",SUMIFS('Factory Costs'!$C:$C,'Factory Costs'!$A:$A,"Motor",'Factory Costs'!$B:$B,B1521))</f>
        <v>62</v>
      </c>
    </row>
    <row r="1522" spans="1:3" x14ac:dyDescent="0.25">
      <c r="A1522" s="1" t="s">
        <v>11118</v>
      </c>
      <c r="B1522" s="1" t="s">
        <v>16374</v>
      </c>
      <c r="C1522" s="3">
        <f>IF(B1522="","",SUMIFS('Factory Costs'!$C:$C,'Factory Costs'!$A:$A,"Motor",'Factory Costs'!$B:$B,B1522))</f>
        <v>62</v>
      </c>
    </row>
    <row r="1523" spans="1:3" x14ac:dyDescent="0.25">
      <c r="A1523" s="1" t="s">
        <v>11121</v>
      </c>
      <c r="B1523" s="1" t="s">
        <v>16374</v>
      </c>
      <c r="C1523" s="3">
        <f>IF(B1523="","",SUMIFS('Factory Costs'!$C:$C,'Factory Costs'!$A:$A,"Motor",'Factory Costs'!$B:$B,B1523))</f>
        <v>62</v>
      </c>
    </row>
    <row r="1524" spans="1:3" x14ac:dyDescent="0.25">
      <c r="A1524" s="1" t="s">
        <v>11124</v>
      </c>
      <c r="B1524" s="1" t="s">
        <v>16374</v>
      </c>
      <c r="C1524" s="3">
        <f>IF(B1524="","",SUMIFS('Factory Costs'!$C:$C,'Factory Costs'!$A:$A,"Motor",'Factory Costs'!$B:$B,B1524))</f>
        <v>62</v>
      </c>
    </row>
    <row r="1525" spans="1:3" x14ac:dyDescent="0.25">
      <c r="A1525" s="1" t="s">
        <v>11127</v>
      </c>
      <c r="B1525" s="1" t="s">
        <v>16374</v>
      </c>
      <c r="C1525" s="3">
        <f>IF(B1525="","",SUMIFS('Factory Costs'!$C:$C,'Factory Costs'!$A:$A,"Motor",'Factory Costs'!$B:$B,B1525))</f>
        <v>62</v>
      </c>
    </row>
    <row r="1526" spans="1:3" x14ac:dyDescent="0.25">
      <c r="A1526" s="1" t="s">
        <v>11130</v>
      </c>
      <c r="B1526" s="1" t="s">
        <v>16374</v>
      </c>
      <c r="C1526" s="3">
        <f>IF(B1526="","",SUMIFS('Factory Costs'!$C:$C,'Factory Costs'!$A:$A,"Motor",'Factory Costs'!$B:$B,B1526))</f>
        <v>62</v>
      </c>
    </row>
    <row r="1527" spans="1:3" x14ac:dyDescent="0.25">
      <c r="A1527" s="1" t="s">
        <v>11133</v>
      </c>
      <c r="B1527" s="1" t="s">
        <v>16374</v>
      </c>
      <c r="C1527" s="3">
        <f>IF(B1527="","",SUMIFS('Factory Costs'!$C:$C,'Factory Costs'!$A:$A,"Motor",'Factory Costs'!$B:$B,B1527))</f>
        <v>62</v>
      </c>
    </row>
    <row r="1528" spans="1:3" x14ac:dyDescent="0.25">
      <c r="A1528" s="1" t="s">
        <v>11136</v>
      </c>
      <c r="B1528" s="1" t="s">
        <v>16374</v>
      </c>
      <c r="C1528" s="3">
        <f>IF(B1528="","",SUMIFS('Factory Costs'!$C:$C,'Factory Costs'!$A:$A,"Motor",'Factory Costs'!$B:$B,B1528))</f>
        <v>62</v>
      </c>
    </row>
    <row r="1529" spans="1:3" x14ac:dyDescent="0.25">
      <c r="A1529" s="1" t="s">
        <v>11139</v>
      </c>
      <c r="B1529" s="1" t="s">
        <v>16374</v>
      </c>
      <c r="C1529" s="3">
        <f>IF(B1529="","",SUMIFS('Factory Costs'!$C:$C,'Factory Costs'!$A:$A,"Motor",'Factory Costs'!$B:$B,B1529))</f>
        <v>62</v>
      </c>
    </row>
    <row r="1530" spans="1:3" x14ac:dyDescent="0.25">
      <c r="A1530" s="1" t="s">
        <v>11142</v>
      </c>
      <c r="B1530" s="1" t="s">
        <v>16374</v>
      </c>
      <c r="C1530" s="3">
        <f>IF(B1530="","",SUMIFS('Factory Costs'!$C:$C,'Factory Costs'!$A:$A,"Motor",'Factory Costs'!$B:$B,B1530))</f>
        <v>62</v>
      </c>
    </row>
    <row r="1531" spans="1:3" x14ac:dyDescent="0.25">
      <c r="A1531" s="1" t="s">
        <v>11145</v>
      </c>
      <c r="B1531" s="1" t="s">
        <v>16375</v>
      </c>
      <c r="C1531" s="3">
        <f>IF(B1531="","",SUMIFS('Factory Costs'!$C:$C,'Factory Costs'!$A:$A,"Motor",'Factory Costs'!$B:$B,B1531))</f>
        <v>72</v>
      </c>
    </row>
    <row r="1532" spans="1:3" x14ac:dyDescent="0.25">
      <c r="A1532" s="1" t="s">
        <v>11148</v>
      </c>
      <c r="B1532" s="1" t="s">
        <v>16374</v>
      </c>
      <c r="C1532" s="3">
        <f>IF(B1532="","",SUMIFS('Factory Costs'!$C:$C,'Factory Costs'!$A:$A,"Motor",'Factory Costs'!$B:$B,B1532))</f>
        <v>62</v>
      </c>
    </row>
    <row r="1533" spans="1:3" x14ac:dyDescent="0.25">
      <c r="A1533" s="1" t="s">
        <v>11151</v>
      </c>
      <c r="B1533" s="1" t="s">
        <v>16374</v>
      </c>
      <c r="C1533" s="3">
        <f>IF(B1533="","",SUMIFS('Factory Costs'!$C:$C,'Factory Costs'!$A:$A,"Motor",'Factory Costs'!$B:$B,B1533))</f>
        <v>62</v>
      </c>
    </row>
    <row r="1534" spans="1:3" x14ac:dyDescent="0.25">
      <c r="A1534" s="1" t="s">
        <v>11154</v>
      </c>
      <c r="B1534" s="1" t="s">
        <v>16375</v>
      </c>
      <c r="C1534" s="3">
        <f>IF(B1534="","",SUMIFS('Factory Costs'!$C:$C,'Factory Costs'!$A:$A,"Motor",'Factory Costs'!$B:$B,B1534))</f>
        <v>72</v>
      </c>
    </row>
    <row r="1535" spans="1:3" x14ac:dyDescent="0.25">
      <c r="A1535" s="1" t="s">
        <v>11157</v>
      </c>
      <c r="B1535" s="1" t="s">
        <v>16374</v>
      </c>
      <c r="C1535" s="3">
        <f>IF(B1535="","",SUMIFS('Factory Costs'!$C:$C,'Factory Costs'!$A:$A,"Motor",'Factory Costs'!$B:$B,B1535))</f>
        <v>62</v>
      </c>
    </row>
    <row r="1536" spans="1:3" x14ac:dyDescent="0.25">
      <c r="A1536" s="1" t="s">
        <v>11160</v>
      </c>
      <c r="B1536" s="1" t="s">
        <v>16374</v>
      </c>
      <c r="C1536" s="3">
        <f>IF(B1536="","",SUMIFS('Factory Costs'!$C:$C,'Factory Costs'!$A:$A,"Motor",'Factory Costs'!$B:$B,B1536))</f>
        <v>62</v>
      </c>
    </row>
    <row r="1537" spans="1:3" x14ac:dyDescent="0.25">
      <c r="A1537" s="1" t="s">
        <v>11163</v>
      </c>
      <c r="B1537" s="1" t="s">
        <v>16374</v>
      </c>
      <c r="C1537" s="3">
        <f>IF(B1537="","",SUMIFS('Factory Costs'!$C:$C,'Factory Costs'!$A:$A,"Motor",'Factory Costs'!$B:$B,B1537))</f>
        <v>62</v>
      </c>
    </row>
    <row r="1538" spans="1:3" x14ac:dyDescent="0.25">
      <c r="A1538" s="1" t="s">
        <v>11166</v>
      </c>
      <c r="B1538" s="1" t="s">
        <v>16374</v>
      </c>
      <c r="C1538" s="3">
        <f>IF(B1538="","",SUMIFS('Factory Costs'!$C:$C,'Factory Costs'!$A:$A,"Motor",'Factory Costs'!$B:$B,B1538))</f>
        <v>62</v>
      </c>
    </row>
    <row r="1539" spans="1:3" x14ac:dyDescent="0.25">
      <c r="A1539" s="1" t="s">
        <v>11169</v>
      </c>
      <c r="B1539" s="1" t="s">
        <v>16374</v>
      </c>
      <c r="C1539" s="3">
        <f>IF(B1539="","",SUMIFS('Factory Costs'!$C:$C,'Factory Costs'!$A:$A,"Motor",'Factory Costs'!$B:$B,B1539))</f>
        <v>62</v>
      </c>
    </row>
    <row r="1540" spans="1:3" x14ac:dyDescent="0.25">
      <c r="A1540" s="1" t="s">
        <v>11172</v>
      </c>
      <c r="B1540" s="1" t="s">
        <v>16374</v>
      </c>
      <c r="C1540" s="3">
        <f>IF(B1540="","",SUMIFS('Factory Costs'!$C:$C,'Factory Costs'!$A:$A,"Motor",'Factory Costs'!$B:$B,B1540))</f>
        <v>62</v>
      </c>
    </row>
    <row r="1541" spans="1:3" x14ac:dyDescent="0.25">
      <c r="A1541" s="1" t="s">
        <v>11175</v>
      </c>
      <c r="B1541" s="1" t="s">
        <v>16375</v>
      </c>
      <c r="C1541" s="3">
        <f>IF(B1541="","",SUMIFS('Factory Costs'!$C:$C,'Factory Costs'!$A:$A,"Motor",'Factory Costs'!$B:$B,B1541))</f>
        <v>72</v>
      </c>
    </row>
    <row r="1542" spans="1:3" x14ac:dyDescent="0.25">
      <c r="A1542" s="1" t="s">
        <v>11178</v>
      </c>
      <c r="B1542" s="1" t="s">
        <v>16375</v>
      </c>
      <c r="C1542" s="3">
        <f>IF(B1542="","",SUMIFS('Factory Costs'!$C:$C,'Factory Costs'!$A:$A,"Motor",'Factory Costs'!$B:$B,B1542))</f>
        <v>72</v>
      </c>
    </row>
    <row r="1543" spans="1:3" x14ac:dyDescent="0.25">
      <c r="A1543" s="1" t="s">
        <v>11181</v>
      </c>
      <c r="B1543" s="1" t="s">
        <v>16375</v>
      </c>
      <c r="C1543" s="3">
        <f>IF(B1543="","",SUMIFS('Factory Costs'!$C:$C,'Factory Costs'!$A:$A,"Motor",'Factory Costs'!$B:$B,B1543))</f>
        <v>72</v>
      </c>
    </row>
    <row r="1544" spans="1:3" x14ac:dyDescent="0.25">
      <c r="A1544" s="1" t="s">
        <v>11184</v>
      </c>
      <c r="B1544" s="1" t="s">
        <v>16374</v>
      </c>
      <c r="C1544" s="3">
        <f>IF(B1544="","",SUMIFS('Factory Costs'!$C:$C,'Factory Costs'!$A:$A,"Motor",'Factory Costs'!$B:$B,B1544))</f>
        <v>62</v>
      </c>
    </row>
    <row r="1545" spans="1:3" x14ac:dyDescent="0.25">
      <c r="A1545" s="1" t="s">
        <v>11187</v>
      </c>
      <c r="B1545" s="1" t="s">
        <v>16375</v>
      </c>
      <c r="C1545" s="3">
        <f>IF(B1545="","",SUMIFS('Factory Costs'!$C:$C,'Factory Costs'!$A:$A,"Motor",'Factory Costs'!$B:$B,B1545))</f>
        <v>72</v>
      </c>
    </row>
    <row r="1546" spans="1:3" x14ac:dyDescent="0.25">
      <c r="A1546" s="1" t="s">
        <v>11190</v>
      </c>
      <c r="B1546" s="1" t="s">
        <v>16374</v>
      </c>
      <c r="C1546" s="3">
        <f>IF(B1546="","",SUMIFS('Factory Costs'!$C:$C,'Factory Costs'!$A:$A,"Motor",'Factory Costs'!$B:$B,B1546))</f>
        <v>62</v>
      </c>
    </row>
    <row r="1547" spans="1:3" x14ac:dyDescent="0.25">
      <c r="A1547" s="1" t="s">
        <v>11193</v>
      </c>
      <c r="B1547" s="1" t="s">
        <v>16374</v>
      </c>
      <c r="C1547" s="3">
        <f>IF(B1547="","",SUMIFS('Factory Costs'!$C:$C,'Factory Costs'!$A:$A,"Motor",'Factory Costs'!$B:$B,B1547))</f>
        <v>62</v>
      </c>
    </row>
    <row r="1548" spans="1:3" x14ac:dyDescent="0.25">
      <c r="A1548" s="1" t="s">
        <v>11196</v>
      </c>
      <c r="B1548" s="1" t="s">
        <v>16374</v>
      </c>
      <c r="C1548" s="3">
        <f>IF(B1548="","",SUMIFS('Factory Costs'!$C:$C,'Factory Costs'!$A:$A,"Motor",'Factory Costs'!$B:$B,B1548))</f>
        <v>62</v>
      </c>
    </row>
    <row r="1549" spans="1:3" x14ac:dyDescent="0.25">
      <c r="A1549" s="1" t="s">
        <v>11199</v>
      </c>
      <c r="B1549" s="1" t="s">
        <v>16375</v>
      </c>
      <c r="C1549" s="3">
        <f>IF(B1549="","",SUMIFS('Factory Costs'!$C:$C,'Factory Costs'!$A:$A,"Motor",'Factory Costs'!$B:$B,B1549))</f>
        <v>72</v>
      </c>
    </row>
    <row r="1550" spans="1:3" x14ac:dyDescent="0.25">
      <c r="A1550" s="1" t="s">
        <v>11202</v>
      </c>
      <c r="B1550" s="1" t="s">
        <v>16375</v>
      </c>
      <c r="C1550" s="3">
        <f>IF(B1550="","",SUMIFS('Factory Costs'!$C:$C,'Factory Costs'!$A:$A,"Motor",'Factory Costs'!$B:$B,B1550))</f>
        <v>72</v>
      </c>
    </row>
    <row r="1551" spans="1:3" x14ac:dyDescent="0.25">
      <c r="A1551" s="1" t="s">
        <v>11205</v>
      </c>
      <c r="B1551" s="1" t="s">
        <v>16375</v>
      </c>
      <c r="C1551" s="3">
        <f>IF(B1551="","",SUMIFS('Factory Costs'!$C:$C,'Factory Costs'!$A:$A,"Motor",'Factory Costs'!$B:$B,B1551))</f>
        <v>72</v>
      </c>
    </row>
    <row r="1552" spans="1:3" x14ac:dyDescent="0.25">
      <c r="A1552" s="1" t="s">
        <v>11208</v>
      </c>
      <c r="B1552" s="1" t="s">
        <v>16374</v>
      </c>
      <c r="C1552" s="3">
        <f>IF(B1552="","",SUMIFS('Factory Costs'!$C:$C,'Factory Costs'!$A:$A,"Motor",'Factory Costs'!$B:$B,B1552))</f>
        <v>62</v>
      </c>
    </row>
    <row r="1553" spans="1:3" x14ac:dyDescent="0.25">
      <c r="A1553" s="1" t="s">
        <v>11211</v>
      </c>
      <c r="B1553" s="1" t="s">
        <v>16375</v>
      </c>
      <c r="C1553" s="3">
        <f>IF(B1553="","",SUMIFS('Factory Costs'!$C:$C,'Factory Costs'!$A:$A,"Motor",'Factory Costs'!$B:$B,B1553))</f>
        <v>72</v>
      </c>
    </row>
    <row r="1554" spans="1:3" x14ac:dyDescent="0.25">
      <c r="A1554" s="1" t="s">
        <v>11214</v>
      </c>
      <c r="B1554" s="1" t="s">
        <v>16374</v>
      </c>
      <c r="C1554" s="3">
        <f>IF(B1554="","",SUMIFS('Factory Costs'!$C:$C,'Factory Costs'!$A:$A,"Motor",'Factory Costs'!$B:$B,B1554))</f>
        <v>62</v>
      </c>
    </row>
    <row r="1555" spans="1:3" x14ac:dyDescent="0.25">
      <c r="A1555" s="1" t="s">
        <v>11217</v>
      </c>
      <c r="B1555" s="1" t="s">
        <v>16374</v>
      </c>
      <c r="C1555" s="3">
        <f>IF(B1555="","",SUMIFS('Factory Costs'!$C:$C,'Factory Costs'!$A:$A,"Motor",'Factory Costs'!$B:$B,B1555))</f>
        <v>62</v>
      </c>
    </row>
    <row r="1556" spans="1:3" x14ac:dyDescent="0.25">
      <c r="A1556" s="1" t="s">
        <v>11220</v>
      </c>
      <c r="B1556" s="1" t="s">
        <v>16374</v>
      </c>
      <c r="C1556" s="3">
        <f>IF(B1556="","",SUMIFS('Factory Costs'!$C:$C,'Factory Costs'!$A:$A,"Motor",'Factory Costs'!$B:$B,B1556))</f>
        <v>62</v>
      </c>
    </row>
    <row r="1557" spans="1:3" x14ac:dyDescent="0.25">
      <c r="A1557" s="1" t="s">
        <v>11223</v>
      </c>
      <c r="B1557" s="1" t="s">
        <v>16375</v>
      </c>
      <c r="C1557" s="3">
        <f>IF(B1557="","",SUMIFS('Factory Costs'!$C:$C,'Factory Costs'!$A:$A,"Motor",'Factory Costs'!$B:$B,B1557))</f>
        <v>72</v>
      </c>
    </row>
    <row r="1558" spans="1:3" x14ac:dyDescent="0.25">
      <c r="A1558" s="1" t="s">
        <v>11226</v>
      </c>
      <c r="B1558" s="1" t="s">
        <v>16374</v>
      </c>
      <c r="C1558" s="3">
        <f>IF(B1558="","",SUMIFS('Factory Costs'!$C:$C,'Factory Costs'!$A:$A,"Motor",'Factory Costs'!$B:$B,B1558))</f>
        <v>62</v>
      </c>
    </row>
    <row r="1559" spans="1:3" x14ac:dyDescent="0.25">
      <c r="A1559" s="1" t="s">
        <v>11229</v>
      </c>
      <c r="B1559" s="1" t="s">
        <v>16375</v>
      </c>
      <c r="C1559" s="3">
        <f>IF(B1559="","",SUMIFS('Factory Costs'!$C:$C,'Factory Costs'!$A:$A,"Motor",'Factory Costs'!$B:$B,B1559))</f>
        <v>72</v>
      </c>
    </row>
    <row r="1560" spans="1:3" x14ac:dyDescent="0.25">
      <c r="A1560" s="1" t="s">
        <v>11232</v>
      </c>
      <c r="B1560" s="1" t="s">
        <v>16374</v>
      </c>
      <c r="C1560" s="3">
        <f>IF(B1560="","",SUMIFS('Factory Costs'!$C:$C,'Factory Costs'!$A:$A,"Motor",'Factory Costs'!$B:$B,B1560))</f>
        <v>62</v>
      </c>
    </row>
    <row r="1561" spans="1:3" x14ac:dyDescent="0.25">
      <c r="A1561" s="1" t="s">
        <v>11235</v>
      </c>
      <c r="B1561" s="1" t="s">
        <v>16375</v>
      </c>
      <c r="C1561" s="3">
        <f>IF(B1561="","",SUMIFS('Factory Costs'!$C:$C,'Factory Costs'!$A:$A,"Motor",'Factory Costs'!$B:$B,B1561))</f>
        <v>72</v>
      </c>
    </row>
    <row r="1562" spans="1:3" x14ac:dyDescent="0.25">
      <c r="A1562" s="1" t="s">
        <v>11238</v>
      </c>
      <c r="B1562" s="1" t="s">
        <v>16375</v>
      </c>
      <c r="C1562" s="3">
        <f>IF(B1562="","",SUMIFS('Factory Costs'!$C:$C,'Factory Costs'!$A:$A,"Motor",'Factory Costs'!$B:$B,B1562))</f>
        <v>72</v>
      </c>
    </row>
    <row r="1563" spans="1:3" x14ac:dyDescent="0.25">
      <c r="A1563" s="1" t="s">
        <v>11241</v>
      </c>
      <c r="B1563" s="1" t="s">
        <v>16374</v>
      </c>
      <c r="C1563" s="3">
        <f>IF(B1563="","",SUMIFS('Factory Costs'!$C:$C,'Factory Costs'!$A:$A,"Motor",'Factory Costs'!$B:$B,B1563))</f>
        <v>62</v>
      </c>
    </row>
    <row r="1564" spans="1:3" x14ac:dyDescent="0.25">
      <c r="A1564" s="1" t="s">
        <v>11244</v>
      </c>
      <c r="B1564" s="1" t="s">
        <v>16374</v>
      </c>
      <c r="C1564" s="3">
        <f>IF(B1564="","",SUMIFS('Factory Costs'!$C:$C,'Factory Costs'!$A:$A,"Motor",'Factory Costs'!$B:$B,B1564))</f>
        <v>62</v>
      </c>
    </row>
    <row r="1565" spans="1:3" x14ac:dyDescent="0.25">
      <c r="A1565" s="1" t="s">
        <v>11247</v>
      </c>
      <c r="B1565" s="1" t="s">
        <v>16374</v>
      </c>
      <c r="C1565" s="3">
        <f>IF(B1565="","",SUMIFS('Factory Costs'!$C:$C,'Factory Costs'!$A:$A,"Motor",'Factory Costs'!$B:$B,B1565))</f>
        <v>62</v>
      </c>
    </row>
    <row r="1566" spans="1:3" x14ac:dyDescent="0.25">
      <c r="A1566" s="1" t="s">
        <v>11250</v>
      </c>
      <c r="B1566" s="1" t="s">
        <v>16374</v>
      </c>
      <c r="C1566" s="3">
        <f>IF(B1566="","",SUMIFS('Factory Costs'!$C:$C,'Factory Costs'!$A:$A,"Motor",'Factory Costs'!$B:$B,B1566))</f>
        <v>62</v>
      </c>
    </row>
    <row r="1567" spans="1:3" x14ac:dyDescent="0.25">
      <c r="A1567" s="1" t="s">
        <v>11253</v>
      </c>
      <c r="B1567" s="1" t="s">
        <v>16375</v>
      </c>
      <c r="C1567" s="3">
        <f>IF(B1567="","",SUMIFS('Factory Costs'!$C:$C,'Factory Costs'!$A:$A,"Motor",'Factory Costs'!$B:$B,B1567))</f>
        <v>72</v>
      </c>
    </row>
    <row r="1568" spans="1:3" x14ac:dyDescent="0.25">
      <c r="A1568" s="1" t="s">
        <v>11256</v>
      </c>
      <c r="B1568" s="1" t="s">
        <v>16375</v>
      </c>
      <c r="C1568" s="3">
        <f>IF(B1568="","",SUMIFS('Factory Costs'!$C:$C,'Factory Costs'!$A:$A,"Motor",'Factory Costs'!$B:$B,B1568))</f>
        <v>72</v>
      </c>
    </row>
    <row r="1569" spans="1:3" x14ac:dyDescent="0.25">
      <c r="A1569" s="1" t="s">
        <v>11259</v>
      </c>
      <c r="B1569" s="1" t="s">
        <v>16374</v>
      </c>
      <c r="C1569" s="3">
        <f>IF(B1569="","",SUMIFS('Factory Costs'!$C:$C,'Factory Costs'!$A:$A,"Motor",'Factory Costs'!$B:$B,B1569))</f>
        <v>62</v>
      </c>
    </row>
    <row r="1570" spans="1:3" x14ac:dyDescent="0.25">
      <c r="A1570" s="1" t="s">
        <v>11262</v>
      </c>
      <c r="B1570" s="1" t="s">
        <v>16374</v>
      </c>
      <c r="C1570" s="3">
        <f>IF(B1570="","",SUMIFS('Factory Costs'!$C:$C,'Factory Costs'!$A:$A,"Motor",'Factory Costs'!$B:$B,B1570))</f>
        <v>62</v>
      </c>
    </row>
    <row r="1571" spans="1:3" x14ac:dyDescent="0.25">
      <c r="A1571" s="1" t="s">
        <v>11265</v>
      </c>
      <c r="B1571" s="1" t="s">
        <v>16374</v>
      </c>
      <c r="C1571" s="3">
        <f>IF(B1571="","",SUMIFS('Factory Costs'!$C:$C,'Factory Costs'!$A:$A,"Motor",'Factory Costs'!$B:$B,B1571))</f>
        <v>62</v>
      </c>
    </row>
    <row r="1572" spans="1:3" x14ac:dyDescent="0.25">
      <c r="A1572" s="1" t="s">
        <v>11268</v>
      </c>
      <c r="B1572" s="1" t="s">
        <v>16375</v>
      </c>
      <c r="C1572" s="3">
        <f>IF(B1572="","",SUMIFS('Factory Costs'!$C:$C,'Factory Costs'!$A:$A,"Motor",'Factory Costs'!$B:$B,B1572))</f>
        <v>72</v>
      </c>
    </row>
    <row r="1573" spans="1:3" x14ac:dyDescent="0.25">
      <c r="A1573" s="1" t="s">
        <v>11271</v>
      </c>
      <c r="B1573" s="1" t="s">
        <v>16374</v>
      </c>
      <c r="C1573" s="3">
        <f>IF(B1573="","",SUMIFS('Factory Costs'!$C:$C,'Factory Costs'!$A:$A,"Motor",'Factory Costs'!$B:$B,B1573))</f>
        <v>62</v>
      </c>
    </row>
    <row r="1574" spans="1:3" x14ac:dyDescent="0.25">
      <c r="A1574" s="1" t="s">
        <v>11274</v>
      </c>
      <c r="B1574" s="1" t="s">
        <v>16375</v>
      </c>
      <c r="C1574" s="3">
        <f>IF(B1574="","",SUMIFS('Factory Costs'!$C:$C,'Factory Costs'!$A:$A,"Motor",'Factory Costs'!$B:$B,B1574))</f>
        <v>72</v>
      </c>
    </row>
    <row r="1575" spans="1:3" x14ac:dyDescent="0.25">
      <c r="A1575" s="1" t="s">
        <v>11277</v>
      </c>
      <c r="B1575" s="1" t="s">
        <v>16375</v>
      </c>
      <c r="C1575" s="3">
        <f>IF(B1575="","",SUMIFS('Factory Costs'!$C:$C,'Factory Costs'!$A:$A,"Motor",'Factory Costs'!$B:$B,B1575))</f>
        <v>72</v>
      </c>
    </row>
    <row r="1576" spans="1:3" x14ac:dyDescent="0.25">
      <c r="A1576" s="1" t="s">
        <v>11280</v>
      </c>
      <c r="B1576" s="1" t="s">
        <v>16375</v>
      </c>
      <c r="C1576" s="3">
        <f>IF(B1576="","",SUMIFS('Factory Costs'!$C:$C,'Factory Costs'!$A:$A,"Motor",'Factory Costs'!$B:$B,B1576))</f>
        <v>72</v>
      </c>
    </row>
    <row r="1577" spans="1:3" x14ac:dyDescent="0.25">
      <c r="A1577" s="1" t="s">
        <v>11283</v>
      </c>
      <c r="B1577" s="1" t="s">
        <v>16374</v>
      </c>
      <c r="C1577" s="3">
        <f>IF(B1577="","",SUMIFS('Factory Costs'!$C:$C,'Factory Costs'!$A:$A,"Motor",'Factory Costs'!$B:$B,B1577))</f>
        <v>62</v>
      </c>
    </row>
    <row r="1578" spans="1:3" x14ac:dyDescent="0.25">
      <c r="A1578" s="1" t="s">
        <v>11286</v>
      </c>
      <c r="B1578" s="1" t="s">
        <v>16374</v>
      </c>
      <c r="C1578" s="3">
        <f>IF(B1578="","",SUMIFS('Factory Costs'!$C:$C,'Factory Costs'!$A:$A,"Motor",'Factory Costs'!$B:$B,B1578))</f>
        <v>62</v>
      </c>
    </row>
    <row r="1579" spans="1:3" x14ac:dyDescent="0.25">
      <c r="A1579" s="1" t="s">
        <v>11289</v>
      </c>
      <c r="B1579" s="1" t="s">
        <v>16374</v>
      </c>
      <c r="C1579" s="3">
        <f>IF(B1579="","",SUMIFS('Factory Costs'!$C:$C,'Factory Costs'!$A:$A,"Motor",'Factory Costs'!$B:$B,B1579))</f>
        <v>62</v>
      </c>
    </row>
    <row r="1580" spans="1:3" x14ac:dyDescent="0.25">
      <c r="A1580" s="1" t="s">
        <v>11292</v>
      </c>
      <c r="B1580" s="1" t="s">
        <v>16375</v>
      </c>
      <c r="C1580" s="3">
        <f>IF(B1580="","",SUMIFS('Factory Costs'!$C:$C,'Factory Costs'!$A:$A,"Motor",'Factory Costs'!$B:$B,B1580))</f>
        <v>72</v>
      </c>
    </row>
    <row r="1581" spans="1:3" x14ac:dyDescent="0.25">
      <c r="A1581" s="1" t="s">
        <v>11295</v>
      </c>
      <c r="B1581" s="1" t="s">
        <v>16375</v>
      </c>
      <c r="C1581" s="3">
        <f>IF(B1581="","",SUMIFS('Factory Costs'!$C:$C,'Factory Costs'!$A:$A,"Motor",'Factory Costs'!$B:$B,B1581))</f>
        <v>72</v>
      </c>
    </row>
    <row r="1582" spans="1:3" x14ac:dyDescent="0.25">
      <c r="A1582" s="1" t="s">
        <v>11298</v>
      </c>
      <c r="B1582" s="1" t="s">
        <v>16374</v>
      </c>
      <c r="C1582" s="3">
        <f>IF(B1582="","",SUMIFS('Factory Costs'!$C:$C,'Factory Costs'!$A:$A,"Motor",'Factory Costs'!$B:$B,B1582))</f>
        <v>62</v>
      </c>
    </row>
    <row r="1583" spans="1:3" x14ac:dyDescent="0.25">
      <c r="A1583" s="1" t="s">
        <v>11301</v>
      </c>
      <c r="B1583" s="1" t="s">
        <v>16374</v>
      </c>
      <c r="C1583" s="3">
        <f>IF(B1583="","",SUMIFS('Factory Costs'!$C:$C,'Factory Costs'!$A:$A,"Motor",'Factory Costs'!$B:$B,B1583))</f>
        <v>62</v>
      </c>
    </row>
    <row r="1584" spans="1:3" x14ac:dyDescent="0.25">
      <c r="A1584" s="1" t="s">
        <v>11304</v>
      </c>
      <c r="B1584" s="1" t="s">
        <v>16374</v>
      </c>
      <c r="C1584" s="3">
        <f>IF(B1584="","",SUMIFS('Factory Costs'!$C:$C,'Factory Costs'!$A:$A,"Motor",'Factory Costs'!$B:$B,B1584))</f>
        <v>62</v>
      </c>
    </row>
    <row r="1585" spans="1:3" x14ac:dyDescent="0.25">
      <c r="A1585" s="1" t="s">
        <v>11307</v>
      </c>
      <c r="B1585" s="1" t="s">
        <v>16374</v>
      </c>
      <c r="C1585" s="3">
        <f>IF(B1585="","",SUMIFS('Factory Costs'!$C:$C,'Factory Costs'!$A:$A,"Motor",'Factory Costs'!$B:$B,B1585))</f>
        <v>62</v>
      </c>
    </row>
    <row r="1586" spans="1:3" x14ac:dyDescent="0.25">
      <c r="A1586" s="1" t="s">
        <v>11310</v>
      </c>
      <c r="B1586" s="1" t="s">
        <v>16375</v>
      </c>
      <c r="C1586" s="3">
        <f>IF(B1586="","",SUMIFS('Factory Costs'!$C:$C,'Factory Costs'!$A:$A,"Motor",'Factory Costs'!$B:$B,B1586))</f>
        <v>72</v>
      </c>
    </row>
    <row r="1587" spans="1:3" x14ac:dyDescent="0.25">
      <c r="A1587" s="1" t="s">
        <v>11313</v>
      </c>
      <c r="B1587" s="1" t="s">
        <v>16374</v>
      </c>
      <c r="C1587" s="3">
        <f>IF(B1587="","",SUMIFS('Factory Costs'!$C:$C,'Factory Costs'!$A:$A,"Motor",'Factory Costs'!$B:$B,B1587))</f>
        <v>62</v>
      </c>
    </row>
    <row r="1588" spans="1:3" x14ac:dyDescent="0.25">
      <c r="A1588" s="1" t="s">
        <v>11316</v>
      </c>
      <c r="B1588" s="1" t="s">
        <v>16374</v>
      </c>
      <c r="C1588" s="3">
        <f>IF(B1588="","",SUMIFS('Factory Costs'!$C:$C,'Factory Costs'!$A:$A,"Motor",'Factory Costs'!$B:$B,B1588))</f>
        <v>62</v>
      </c>
    </row>
    <row r="1589" spans="1:3" x14ac:dyDescent="0.25">
      <c r="A1589" s="1" t="s">
        <v>11319</v>
      </c>
      <c r="B1589" s="1" t="s">
        <v>16374</v>
      </c>
      <c r="C1589" s="3">
        <f>IF(B1589="","",SUMIFS('Factory Costs'!$C:$C,'Factory Costs'!$A:$A,"Motor",'Factory Costs'!$B:$B,B1589))</f>
        <v>62</v>
      </c>
    </row>
    <row r="1590" spans="1:3" x14ac:dyDescent="0.25">
      <c r="A1590" s="1" t="s">
        <v>11322</v>
      </c>
      <c r="B1590" s="1" t="s">
        <v>16374</v>
      </c>
      <c r="C1590" s="3">
        <f>IF(B1590="","",SUMIFS('Factory Costs'!$C:$C,'Factory Costs'!$A:$A,"Motor",'Factory Costs'!$B:$B,B1590))</f>
        <v>62</v>
      </c>
    </row>
    <row r="1591" spans="1:3" x14ac:dyDescent="0.25">
      <c r="A1591" s="1" t="s">
        <v>11325</v>
      </c>
      <c r="B1591" s="1" t="s">
        <v>16374</v>
      </c>
      <c r="C1591" s="3">
        <f>IF(B1591="","",SUMIFS('Factory Costs'!$C:$C,'Factory Costs'!$A:$A,"Motor",'Factory Costs'!$B:$B,B1591))</f>
        <v>62</v>
      </c>
    </row>
    <row r="1592" spans="1:3" x14ac:dyDescent="0.25">
      <c r="A1592" s="1" t="s">
        <v>11328</v>
      </c>
      <c r="B1592" s="1" t="s">
        <v>16374</v>
      </c>
      <c r="C1592" s="3">
        <f>IF(B1592="","",SUMIFS('Factory Costs'!$C:$C,'Factory Costs'!$A:$A,"Motor",'Factory Costs'!$B:$B,B1592))</f>
        <v>62</v>
      </c>
    </row>
    <row r="1593" spans="1:3" x14ac:dyDescent="0.25">
      <c r="A1593" s="1" t="s">
        <v>11331</v>
      </c>
      <c r="B1593" s="1" t="s">
        <v>16375</v>
      </c>
      <c r="C1593" s="3">
        <f>IF(B1593="","",SUMIFS('Factory Costs'!$C:$C,'Factory Costs'!$A:$A,"Motor",'Factory Costs'!$B:$B,B1593))</f>
        <v>72</v>
      </c>
    </row>
    <row r="1594" spans="1:3" x14ac:dyDescent="0.25">
      <c r="A1594" s="1" t="s">
        <v>11334</v>
      </c>
      <c r="B1594" s="1" t="s">
        <v>16375</v>
      </c>
      <c r="C1594" s="3">
        <f>IF(B1594="","",SUMIFS('Factory Costs'!$C:$C,'Factory Costs'!$A:$A,"Motor",'Factory Costs'!$B:$B,B1594))</f>
        <v>72</v>
      </c>
    </row>
    <row r="1595" spans="1:3" x14ac:dyDescent="0.25">
      <c r="A1595" s="1" t="s">
        <v>11337</v>
      </c>
      <c r="B1595" s="1" t="s">
        <v>16374</v>
      </c>
      <c r="C1595" s="3">
        <f>IF(B1595="","",SUMIFS('Factory Costs'!$C:$C,'Factory Costs'!$A:$A,"Motor",'Factory Costs'!$B:$B,B1595))</f>
        <v>62</v>
      </c>
    </row>
    <row r="1596" spans="1:3" x14ac:dyDescent="0.25">
      <c r="A1596" s="1" t="s">
        <v>11340</v>
      </c>
      <c r="B1596" s="1" t="s">
        <v>16375</v>
      </c>
      <c r="C1596" s="3">
        <f>IF(B1596="","",SUMIFS('Factory Costs'!$C:$C,'Factory Costs'!$A:$A,"Motor",'Factory Costs'!$B:$B,B1596))</f>
        <v>72</v>
      </c>
    </row>
    <row r="1597" spans="1:3" x14ac:dyDescent="0.25">
      <c r="A1597" s="1" t="s">
        <v>11343</v>
      </c>
      <c r="B1597" s="1" t="s">
        <v>16375</v>
      </c>
      <c r="C1597" s="3">
        <f>IF(B1597="","",SUMIFS('Factory Costs'!$C:$C,'Factory Costs'!$A:$A,"Motor",'Factory Costs'!$B:$B,B1597))</f>
        <v>72</v>
      </c>
    </row>
    <row r="1598" spans="1:3" x14ac:dyDescent="0.25">
      <c r="A1598" s="1" t="s">
        <v>11346</v>
      </c>
      <c r="B1598" s="1" t="s">
        <v>16374</v>
      </c>
      <c r="C1598" s="3">
        <f>IF(B1598="","",SUMIFS('Factory Costs'!$C:$C,'Factory Costs'!$A:$A,"Motor",'Factory Costs'!$B:$B,B1598))</f>
        <v>62</v>
      </c>
    </row>
    <row r="1599" spans="1:3" x14ac:dyDescent="0.25">
      <c r="A1599" s="1" t="s">
        <v>11349</v>
      </c>
      <c r="B1599" s="1" t="s">
        <v>16375</v>
      </c>
      <c r="C1599" s="3">
        <f>IF(B1599="","",SUMIFS('Factory Costs'!$C:$C,'Factory Costs'!$A:$A,"Motor",'Factory Costs'!$B:$B,B1599))</f>
        <v>72</v>
      </c>
    </row>
    <row r="1600" spans="1:3" x14ac:dyDescent="0.25">
      <c r="A1600" s="1" t="s">
        <v>11352</v>
      </c>
      <c r="B1600" s="1" t="s">
        <v>16374</v>
      </c>
      <c r="C1600" s="3">
        <f>IF(B1600="","",SUMIFS('Factory Costs'!$C:$C,'Factory Costs'!$A:$A,"Motor",'Factory Costs'!$B:$B,B1600))</f>
        <v>62</v>
      </c>
    </row>
    <row r="1601" spans="1:3" x14ac:dyDescent="0.25">
      <c r="A1601" s="1" t="s">
        <v>11355</v>
      </c>
      <c r="B1601" s="1" t="s">
        <v>16374</v>
      </c>
      <c r="C1601" s="3">
        <f>IF(B1601="","",SUMIFS('Factory Costs'!$C:$C,'Factory Costs'!$A:$A,"Motor",'Factory Costs'!$B:$B,B1601))</f>
        <v>62</v>
      </c>
    </row>
    <row r="1602" spans="1:3" x14ac:dyDescent="0.25">
      <c r="A1602" s="1" t="s">
        <v>11358</v>
      </c>
      <c r="B1602" s="1" t="s">
        <v>16374</v>
      </c>
      <c r="C1602" s="3">
        <f>IF(B1602="","",SUMIFS('Factory Costs'!$C:$C,'Factory Costs'!$A:$A,"Motor",'Factory Costs'!$B:$B,B1602))</f>
        <v>62</v>
      </c>
    </row>
    <row r="1603" spans="1:3" x14ac:dyDescent="0.25">
      <c r="A1603" s="1" t="s">
        <v>11361</v>
      </c>
      <c r="B1603" s="1" t="s">
        <v>16375</v>
      </c>
      <c r="C1603" s="3">
        <f>IF(B1603="","",SUMIFS('Factory Costs'!$C:$C,'Factory Costs'!$A:$A,"Motor",'Factory Costs'!$B:$B,B1603))</f>
        <v>72</v>
      </c>
    </row>
    <row r="1604" spans="1:3" x14ac:dyDescent="0.25">
      <c r="A1604" s="1" t="s">
        <v>11364</v>
      </c>
      <c r="B1604" s="1" t="s">
        <v>16374</v>
      </c>
      <c r="C1604" s="3">
        <f>IF(B1604="","",SUMIFS('Factory Costs'!$C:$C,'Factory Costs'!$A:$A,"Motor",'Factory Costs'!$B:$B,B1604))</f>
        <v>62</v>
      </c>
    </row>
    <row r="1605" spans="1:3" x14ac:dyDescent="0.25">
      <c r="A1605" s="1" t="s">
        <v>11367</v>
      </c>
      <c r="B1605" s="1" t="s">
        <v>16375</v>
      </c>
      <c r="C1605" s="3">
        <f>IF(B1605="","",SUMIFS('Factory Costs'!$C:$C,'Factory Costs'!$A:$A,"Motor",'Factory Costs'!$B:$B,B1605))</f>
        <v>72</v>
      </c>
    </row>
    <row r="1606" spans="1:3" x14ac:dyDescent="0.25">
      <c r="A1606" s="1" t="s">
        <v>11370</v>
      </c>
      <c r="B1606" s="1" t="s">
        <v>16374</v>
      </c>
      <c r="C1606" s="3">
        <f>IF(B1606="","",SUMIFS('Factory Costs'!$C:$C,'Factory Costs'!$A:$A,"Motor",'Factory Costs'!$B:$B,B1606))</f>
        <v>62</v>
      </c>
    </row>
    <row r="1607" spans="1:3" x14ac:dyDescent="0.25">
      <c r="A1607" s="1" t="s">
        <v>11373</v>
      </c>
      <c r="B1607" s="1" t="s">
        <v>16374</v>
      </c>
      <c r="C1607" s="3">
        <f>IF(B1607="","",SUMIFS('Factory Costs'!$C:$C,'Factory Costs'!$A:$A,"Motor",'Factory Costs'!$B:$B,B1607))</f>
        <v>62</v>
      </c>
    </row>
    <row r="1608" spans="1:3" x14ac:dyDescent="0.25">
      <c r="A1608" s="1" t="s">
        <v>11376</v>
      </c>
      <c r="B1608" s="1" t="s">
        <v>16375</v>
      </c>
      <c r="C1608" s="3">
        <f>IF(B1608="","",SUMIFS('Factory Costs'!$C:$C,'Factory Costs'!$A:$A,"Motor",'Factory Costs'!$B:$B,B1608))</f>
        <v>72</v>
      </c>
    </row>
    <row r="1609" spans="1:3" x14ac:dyDescent="0.25">
      <c r="A1609" s="1" t="s">
        <v>11379</v>
      </c>
      <c r="B1609" s="1" t="s">
        <v>16374</v>
      </c>
      <c r="C1609" s="3">
        <f>IF(B1609="","",SUMIFS('Factory Costs'!$C:$C,'Factory Costs'!$A:$A,"Motor",'Factory Costs'!$B:$B,B1609))</f>
        <v>62</v>
      </c>
    </row>
    <row r="1610" spans="1:3" x14ac:dyDescent="0.25">
      <c r="A1610" s="1" t="s">
        <v>11382</v>
      </c>
      <c r="B1610" s="1" t="s">
        <v>16374</v>
      </c>
      <c r="C1610" s="3">
        <f>IF(B1610="","",SUMIFS('Factory Costs'!$C:$C,'Factory Costs'!$A:$A,"Motor",'Factory Costs'!$B:$B,B1610))</f>
        <v>62</v>
      </c>
    </row>
    <row r="1611" spans="1:3" x14ac:dyDescent="0.25">
      <c r="A1611" s="1" t="s">
        <v>11385</v>
      </c>
      <c r="B1611" s="1" t="s">
        <v>16374</v>
      </c>
      <c r="C1611" s="3">
        <f>IF(B1611="","",SUMIFS('Factory Costs'!$C:$C,'Factory Costs'!$A:$A,"Motor",'Factory Costs'!$B:$B,B1611))</f>
        <v>62</v>
      </c>
    </row>
    <row r="1612" spans="1:3" x14ac:dyDescent="0.25">
      <c r="A1612" s="1" t="s">
        <v>11388</v>
      </c>
      <c r="B1612" s="1" t="s">
        <v>16374</v>
      </c>
      <c r="C1612" s="3">
        <f>IF(B1612="","",SUMIFS('Factory Costs'!$C:$C,'Factory Costs'!$A:$A,"Motor",'Factory Costs'!$B:$B,B1612))</f>
        <v>62</v>
      </c>
    </row>
    <row r="1613" spans="1:3" x14ac:dyDescent="0.25">
      <c r="A1613" s="1" t="s">
        <v>11391</v>
      </c>
      <c r="B1613" s="1" t="s">
        <v>16374</v>
      </c>
      <c r="C1613" s="3">
        <f>IF(B1613="","",SUMIFS('Factory Costs'!$C:$C,'Factory Costs'!$A:$A,"Motor",'Factory Costs'!$B:$B,B1613))</f>
        <v>62</v>
      </c>
    </row>
    <row r="1614" spans="1:3" x14ac:dyDescent="0.25">
      <c r="A1614" s="1" t="s">
        <v>11394</v>
      </c>
      <c r="B1614" s="1" t="s">
        <v>16374</v>
      </c>
      <c r="C1614" s="3">
        <f>IF(B1614="","",SUMIFS('Factory Costs'!$C:$C,'Factory Costs'!$A:$A,"Motor",'Factory Costs'!$B:$B,B1614))</f>
        <v>62</v>
      </c>
    </row>
    <row r="1615" spans="1:3" x14ac:dyDescent="0.25">
      <c r="A1615" s="1" t="s">
        <v>11397</v>
      </c>
      <c r="B1615" s="1" t="s">
        <v>16375</v>
      </c>
      <c r="C1615" s="3">
        <f>IF(B1615="","",SUMIFS('Factory Costs'!$C:$C,'Factory Costs'!$A:$A,"Motor",'Factory Costs'!$B:$B,B1615))</f>
        <v>72</v>
      </c>
    </row>
    <row r="1616" spans="1:3" x14ac:dyDescent="0.25">
      <c r="A1616" s="1" t="s">
        <v>11400</v>
      </c>
      <c r="B1616" s="1" t="s">
        <v>16374</v>
      </c>
      <c r="C1616" s="3">
        <f>IF(B1616="","",SUMIFS('Factory Costs'!$C:$C,'Factory Costs'!$A:$A,"Motor",'Factory Costs'!$B:$B,B1616))</f>
        <v>62</v>
      </c>
    </row>
    <row r="1617" spans="1:3" x14ac:dyDescent="0.25">
      <c r="A1617" s="1" t="s">
        <v>11403</v>
      </c>
      <c r="B1617" s="1" t="s">
        <v>16375</v>
      </c>
      <c r="C1617" s="3">
        <f>IF(B1617="","",SUMIFS('Factory Costs'!$C:$C,'Factory Costs'!$A:$A,"Motor",'Factory Costs'!$B:$B,B1617))</f>
        <v>72</v>
      </c>
    </row>
    <row r="1618" spans="1:3" x14ac:dyDescent="0.25">
      <c r="A1618" s="1" t="s">
        <v>11406</v>
      </c>
      <c r="B1618" s="1" t="s">
        <v>16374</v>
      </c>
      <c r="C1618" s="3">
        <f>IF(B1618="","",SUMIFS('Factory Costs'!$C:$C,'Factory Costs'!$A:$A,"Motor",'Factory Costs'!$B:$B,B1618))</f>
        <v>62</v>
      </c>
    </row>
    <row r="1619" spans="1:3" x14ac:dyDescent="0.25">
      <c r="A1619" s="1" t="s">
        <v>11409</v>
      </c>
      <c r="B1619" s="1" t="s">
        <v>16374</v>
      </c>
      <c r="C1619" s="3">
        <f>IF(B1619="","",SUMIFS('Factory Costs'!$C:$C,'Factory Costs'!$A:$A,"Motor",'Factory Costs'!$B:$B,B1619))</f>
        <v>62</v>
      </c>
    </row>
    <row r="1620" spans="1:3" x14ac:dyDescent="0.25">
      <c r="A1620" s="1" t="s">
        <v>11412</v>
      </c>
      <c r="B1620" s="1" t="s">
        <v>16374</v>
      </c>
      <c r="C1620" s="3">
        <f>IF(B1620="","",SUMIFS('Factory Costs'!$C:$C,'Factory Costs'!$A:$A,"Motor",'Factory Costs'!$B:$B,B1620))</f>
        <v>62</v>
      </c>
    </row>
    <row r="1621" spans="1:3" x14ac:dyDescent="0.25">
      <c r="A1621" s="1" t="s">
        <v>11415</v>
      </c>
      <c r="B1621" s="1" t="s">
        <v>16374</v>
      </c>
      <c r="C1621" s="3">
        <f>IF(B1621="","",SUMIFS('Factory Costs'!$C:$C,'Factory Costs'!$A:$A,"Motor",'Factory Costs'!$B:$B,B1621))</f>
        <v>62</v>
      </c>
    </row>
    <row r="1622" spans="1:3" x14ac:dyDescent="0.25">
      <c r="A1622" s="1" t="s">
        <v>11418</v>
      </c>
      <c r="B1622" s="1" t="s">
        <v>16374</v>
      </c>
      <c r="C1622" s="3">
        <f>IF(B1622="","",SUMIFS('Factory Costs'!$C:$C,'Factory Costs'!$A:$A,"Motor",'Factory Costs'!$B:$B,B1622))</f>
        <v>62</v>
      </c>
    </row>
    <row r="1623" spans="1:3" x14ac:dyDescent="0.25">
      <c r="A1623" s="1" t="s">
        <v>11421</v>
      </c>
      <c r="B1623" s="1" t="s">
        <v>16375</v>
      </c>
      <c r="C1623" s="3">
        <f>IF(B1623="","",SUMIFS('Factory Costs'!$C:$C,'Factory Costs'!$A:$A,"Motor",'Factory Costs'!$B:$B,B1623))</f>
        <v>72</v>
      </c>
    </row>
    <row r="1624" spans="1:3" x14ac:dyDescent="0.25">
      <c r="A1624" s="1" t="s">
        <v>11424</v>
      </c>
      <c r="B1624" s="1" t="s">
        <v>16374</v>
      </c>
      <c r="C1624" s="3">
        <f>IF(B1624="","",SUMIFS('Factory Costs'!$C:$C,'Factory Costs'!$A:$A,"Motor",'Factory Costs'!$B:$B,B1624))</f>
        <v>62</v>
      </c>
    </row>
    <row r="1625" spans="1:3" x14ac:dyDescent="0.25">
      <c r="A1625" s="1" t="s">
        <v>11427</v>
      </c>
      <c r="B1625" s="1" t="s">
        <v>16374</v>
      </c>
      <c r="C1625" s="3">
        <f>IF(B1625="","",SUMIFS('Factory Costs'!$C:$C,'Factory Costs'!$A:$A,"Motor",'Factory Costs'!$B:$B,B1625))</f>
        <v>62</v>
      </c>
    </row>
    <row r="1626" spans="1:3" x14ac:dyDescent="0.25">
      <c r="A1626" s="1" t="s">
        <v>11430</v>
      </c>
      <c r="B1626" s="1" t="s">
        <v>16374</v>
      </c>
      <c r="C1626" s="3">
        <f>IF(B1626="","",SUMIFS('Factory Costs'!$C:$C,'Factory Costs'!$A:$A,"Motor",'Factory Costs'!$B:$B,B1626))</f>
        <v>62</v>
      </c>
    </row>
    <row r="1627" spans="1:3" x14ac:dyDescent="0.25">
      <c r="A1627" s="1" t="s">
        <v>11433</v>
      </c>
      <c r="B1627" s="1" t="s">
        <v>16375</v>
      </c>
      <c r="C1627" s="3">
        <f>IF(B1627="","",SUMIFS('Factory Costs'!$C:$C,'Factory Costs'!$A:$A,"Motor",'Factory Costs'!$B:$B,B1627))</f>
        <v>72</v>
      </c>
    </row>
    <row r="1628" spans="1:3" x14ac:dyDescent="0.25">
      <c r="A1628" s="1" t="s">
        <v>11436</v>
      </c>
      <c r="B1628" s="1" t="s">
        <v>16374</v>
      </c>
      <c r="C1628" s="3">
        <f>IF(B1628="","",SUMIFS('Factory Costs'!$C:$C,'Factory Costs'!$A:$A,"Motor",'Factory Costs'!$B:$B,B1628))</f>
        <v>62</v>
      </c>
    </row>
    <row r="1629" spans="1:3" x14ac:dyDescent="0.25">
      <c r="A1629" s="1" t="s">
        <v>11439</v>
      </c>
      <c r="B1629" s="1" t="s">
        <v>16375</v>
      </c>
      <c r="C1629" s="3">
        <f>IF(B1629="","",SUMIFS('Factory Costs'!$C:$C,'Factory Costs'!$A:$A,"Motor",'Factory Costs'!$B:$B,B1629))</f>
        <v>72</v>
      </c>
    </row>
    <row r="1630" spans="1:3" x14ac:dyDescent="0.25">
      <c r="A1630" s="1" t="s">
        <v>11442</v>
      </c>
      <c r="B1630" s="1" t="s">
        <v>16374</v>
      </c>
      <c r="C1630" s="3">
        <f>IF(B1630="","",SUMIFS('Factory Costs'!$C:$C,'Factory Costs'!$A:$A,"Motor",'Factory Costs'!$B:$B,B1630))</f>
        <v>62</v>
      </c>
    </row>
    <row r="1631" spans="1:3" x14ac:dyDescent="0.25">
      <c r="A1631" s="1" t="s">
        <v>11445</v>
      </c>
      <c r="B1631" s="1" t="s">
        <v>16375</v>
      </c>
      <c r="C1631" s="3">
        <f>IF(B1631="","",SUMIFS('Factory Costs'!$C:$C,'Factory Costs'!$A:$A,"Motor",'Factory Costs'!$B:$B,B1631))</f>
        <v>72</v>
      </c>
    </row>
    <row r="1632" spans="1:3" x14ac:dyDescent="0.25">
      <c r="A1632" s="1" t="s">
        <v>11448</v>
      </c>
      <c r="B1632" s="1" t="s">
        <v>16374</v>
      </c>
      <c r="C1632" s="3">
        <f>IF(B1632="","",SUMIFS('Factory Costs'!$C:$C,'Factory Costs'!$A:$A,"Motor",'Factory Costs'!$B:$B,B1632))</f>
        <v>62</v>
      </c>
    </row>
    <row r="1633" spans="1:3" x14ac:dyDescent="0.25">
      <c r="A1633" s="1" t="s">
        <v>11451</v>
      </c>
      <c r="B1633" s="1" t="s">
        <v>16375</v>
      </c>
      <c r="C1633" s="3">
        <f>IF(B1633="","",SUMIFS('Factory Costs'!$C:$C,'Factory Costs'!$A:$A,"Motor",'Factory Costs'!$B:$B,B1633))</f>
        <v>72</v>
      </c>
    </row>
    <row r="1634" spans="1:3" x14ac:dyDescent="0.25">
      <c r="A1634" s="1" t="s">
        <v>11454</v>
      </c>
      <c r="B1634" s="1" t="s">
        <v>16374</v>
      </c>
      <c r="C1634" s="3">
        <f>IF(B1634="","",SUMIFS('Factory Costs'!$C:$C,'Factory Costs'!$A:$A,"Motor",'Factory Costs'!$B:$B,B1634))</f>
        <v>62</v>
      </c>
    </row>
    <row r="1635" spans="1:3" x14ac:dyDescent="0.25">
      <c r="A1635" s="1" t="s">
        <v>11457</v>
      </c>
      <c r="B1635" s="1" t="s">
        <v>16374</v>
      </c>
      <c r="C1635" s="3">
        <f>IF(B1635="","",SUMIFS('Factory Costs'!$C:$C,'Factory Costs'!$A:$A,"Motor",'Factory Costs'!$B:$B,B1635))</f>
        <v>62</v>
      </c>
    </row>
    <row r="1636" spans="1:3" x14ac:dyDescent="0.25">
      <c r="A1636" s="1" t="s">
        <v>11460</v>
      </c>
      <c r="B1636" s="1" t="s">
        <v>16374</v>
      </c>
      <c r="C1636" s="3">
        <f>IF(B1636="","",SUMIFS('Factory Costs'!$C:$C,'Factory Costs'!$A:$A,"Motor",'Factory Costs'!$B:$B,B1636))</f>
        <v>62</v>
      </c>
    </row>
    <row r="1637" spans="1:3" x14ac:dyDescent="0.25">
      <c r="A1637" s="1" t="s">
        <v>11463</v>
      </c>
      <c r="B1637" s="1" t="s">
        <v>16375</v>
      </c>
      <c r="C1637" s="3">
        <f>IF(B1637="","",SUMIFS('Factory Costs'!$C:$C,'Factory Costs'!$A:$A,"Motor",'Factory Costs'!$B:$B,B1637))</f>
        <v>72</v>
      </c>
    </row>
    <row r="1638" spans="1:3" x14ac:dyDescent="0.25">
      <c r="A1638" s="1" t="s">
        <v>11466</v>
      </c>
      <c r="B1638" s="1" t="s">
        <v>16374</v>
      </c>
      <c r="C1638" s="3">
        <f>IF(B1638="","",SUMIFS('Factory Costs'!$C:$C,'Factory Costs'!$A:$A,"Motor",'Factory Costs'!$B:$B,B1638))</f>
        <v>62</v>
      </c>
    </row>
    <row r="1639" spans="1:3" x14ac:dyDescent="0.25">
      <c r="A1639" s="1" t="s">
        <v>11469</v>
      </c>
      <c r="B1639" s="1" t="s">
        <v>16374</v>
      </c>
      <c r="C1639" s="3">
        <f>IF(B1639="","",SUMIFS('Factory Costs'!$C:$C,'Factory Costs'!$A:$A,"Motor",'Factory Costs'!$B:$B,B1639))</f>
        <v>62</v>
      </c>
    </row>
    <row r="1640" spans="1:3" x14ac:dyDescent="0.25">
      <c r="A1640" s="1" t="s">
        <v>11472</v>
      </c>
      <c r="B1640" s="1" t="s">
        <v>16374</v>
      </c>
      <c r="C1640" s="3">
        <f>IF(B1640="","",SUMIFS('Factory Costs'!$C:$C,'Factory Costs'!$A:$A,"Motor",'Factory Costs'!$B:$B,B1640))</f>
        <v>62</v>
      </c>
    </row>
    <row r="1641" spans="1:3" x14ac:dyDescent="0.25">
      <c r="A1641" s="1" t="s">
        <v>11475</v>
      </c>
      <c r="B1641" s="1" t="s">
        <v>16375</v>
      </c>
      <c r="C1641" s="3">
        <f>IF(B1641="","",SUMIFS('Factory Costs'!$C:$C,'Factory Costs'!$A:$A,"Motor",'Factory Costs'!$B:$B,B1641))</f>
        <v>72</v>
      </c>
    </row>
    <row r="1642" spans="1:3" x14ac:dyDescent="0.25">
      <c r="A1642" s="1" t="s">
        <v>11478</v>
      </c>
      <c r="B1642" s="1" t="s">
        <v>16374</v>
      </c>
      <c r="C1642" s="3">
        <f>IF(B1642="","",SUMIFS('Factory Costs'!$C:$C,'Factory Costs'!$A:$A,"Motor",'Factory Costs'!$B:$B,B1642))</f>
        <v>62</v>
      </c>
    </row>
    <row r="1643" spans="1:3" x14ac:dyDescent="0.25">
      <c r="A1643" s="1" t="s">
        <v>11481</v>
      </c>
      <c r="B1643" s="1" t="s">
        <v>16374</v>
      </c>
      <c r="C1643" s="3">
        <f>IF(B1643="","",SUMIFS('Factory Costs'!$C:$C,'Factory Costs'!$A:$A,"Motor",'Factory Costs'!$B:$B,B1643))</f>
        <v>62</v>
      </c>
    </row>
    <row r="1644" spans="1:3" x14ac:dyDescent="0.25">
      <c r="A1644" s="1" t="s">
        <v>11484</v>
      </c>
      <c r="B1644" s="1" t="s">
        <v>16374</v>
      </c>
      <c r="C1644" s="3">
        <f>IF(B1644="","",SUMIFS('Factory Costs'!$C:$C,'Factory Costs'!$A:$A,"Motor",'Factory Costs'!$B:$B,B1644))</f>
        <v>62</v>
      </c>
    </row>
    <row r="1645" spans="1:3" x14ac:dyDescent="0.25">
      <c r="A1645" s="1" t="s">
        <v>11487</v>
      </c>
      <c r="B1645" s="1" t="s">
        <v>16374</v>
      </c>
      <c r="C1645" s="3">
        <f>IF(B1645="","",SUMIFS('Factory Costs'!$C:$C,'Factory Costs'!$A:$A,"Motor",'Factory Costs'!$B:$B,B1645))</f>
        <v>62</v>
      </c>
    </row>
    <row r="1646" spans="1:3" x14ac:dyDescent="0.25">
      <c r="A1646" s="1" t="s">
        <v>11490</v>
      </c>
      <c r="B1646" s="1" t="s">
        <v>16375</v>
      </c>
      <c r="C1646" s="3">
        <f>IF(B1646="","",SUMIFS('Factory Costs'!$C:$C,'Factory Costs'!$A:$A,"Motor",'Factory Costs'!$B:$B,B1646))</f>
        <v>72</v>
      </c>
    </row>
    <row r="1647" spans="1:3" x14ac:dyDescent="0.25">
      <c r="A1647" s="1" t="s">
        <v>11493</v>
      </c>
      <c r="B1647" s="1" t="s">
        <v>16374</v>
      </c>
      <c r="C1647" s="3">
        <f>IF(B1647="","",SUMIFS('Factory Costs'!$C:$C,'Factory Costs'!$A:$A,"Motor",'Factory Costs'!$B:$B,B1647))</f>
        <v>62</v>
      </c>
    </row>
    <row r="1648" spans="1:3" x14ac:dyDescent="0.25">
      <c r="A1648" s="1" t="s">
        <v>11496</v>
      </c>
      <c r="B1648" s="1" t="s">
        <v>16374</v>
      </c>
      <c r="C1648" s="3">
        <f>IF(B1648="","",SUMIFS('Factory Costs'!$C:$C,'Factory Costs'!$A:$A,"Motor",'Factory Costs'!$B:$B,B1648))</f>
        <v>62</v>
      </c>
    </row>
    <row r="1649" spans="1:3" x14ac:dyDescent="0.25">
      <c r="A1649" s="1" t="s">
        <v>11499</v>
      </c>
      <c r="B1649" s="1" t="s">
        <v>16374</v>
      </c>
      <c r="C1649" s="3">
        <f>IF(B1649="","",SUMIFS('Factory Costs'!$C:$C,'Factory Costs'!$A:$A,"Motor",'Factory Costs'!$B:$B,B1649))</f>
        <v>62</v>
      </c>
    </row>
    <row r="1650" spans="1:3" x14ac:dyDescent="0.25">
      <c r="A1650" s="1" t="s">
        <v>11502</v>
      </c>
      <c r="B1650" s="1" t="s">
        <v>16374</v>
      </c>
      <c r="C1650" s="3">
        <f>IF(B1650="","",SUMIFS('Factory Costs'!$C:$C,'Factory Costs'!$A:$A,"Motor",'Factory Costs'!$B:$B,B1650))</f>
        <v>62</v>
      </c>
    </row>
    <row r="1651" spans="1:3" x14ac:dyDescent="0.25">
      <c r="A1651" s="1" t="s">
        <v>11505</v>
      </c>
      <c r="B1651" s="1" t="s">
        <v>16374</v>
      </c>
      <c r="C1651" s="3">
        <f>IF(B1651="","",SUMIFS('Factory Costs'!$C:$C,'Factory Costs'!$A:$A,"Motor",'Factory Costs'!$B:$B,B1651))</f>
        <v>62</v>
      </c>
    </row>
    <row r="1652" spans="1:3" x14ac:dyDescent="0.25">
      <c r="A1652" s="1" t="s">
        <v>11508</v>
      </c>
      <c r="B1652" s="1" t="s">
        <v>16375</v>
      </c>
      <c r="C1652" s="3">
        <f>IF(B1652="","",SUMIFS('Factory Costs'!$C:$C,'Factory Costs'!$A:$A,"Motor",'Factory Costs'!$B:$B,B1652))</f>
        <v>72</v>
      </c>
    </row>
    <row r="1653" spans="1:3" x14ac:dyDescent="0.25">
      <c r="A1653" s="1" t="s">
        <v>11511</v>
      </c>
      <c r="B1653" s="1" t="s">
        <v>16375</v>
      </c>
      <c r="C1653" s="3">
        <f>IF(B1653="","",SUMIFS('Factory Costs'!$C:$C,'Factory Costs'!$A:$A,"Motor",'Factory Costs'!$B:$B,B1653))</f>
        <v>72</v>
      </c>
    </row>
    <row r="1654" spans="1:3" x14ac:dyDescent="0.25">
      <c r="A1654" s="1" t="s">
        <v>11514</v>
      </c>
      <c r="B1654" s="1" t="s">
        <v>16375</v>
      </c>
      <c r="C1654" s="3">
        <f>IF(B1654="","",SUMIFS('Factory Costs'!$C:$C,'Factory Costs'!$A:$A,"Motor",'Factory Costs'!$B:$B,B1654))</f>
        <v>72</v>
      </c>
    </row>
    <row r="1655" spans="1:3" x14ac:dyDescent="0.25">
      <c r="A1655" s="1" t="s">
        <v>11517</v>
      </c>
      <c r="B1655" s="1" t="s">
        <v>16375</v>
      </c>
      <c r="C1655" s="3">
        <f>IF(B1655="","",SUMIFS('Factory Costs'!$C:$C,'Factory Costs'!$A:$A,"Motor",'Factory Costs'!$B:$B,B1655))</f>
        <v>72</v>
      </c>
    </row>
    <row r="1656" spans="1:3" x14ac:dyDescent="0.25">
      <c r="A1656" s="1" t="s">
        <v>11520</v>
      </c>
      <c r="B1656" s="1" t="s">
        <v>16374</v>
      </c>
      <c r="C1656" s="3">
        <f>IF(B1656="","",SUMIFS('Factory Costs'!$C:$C,'Factory Costs'!$A:$A,"Motor",'Factory Costs'!$B:$B,B1656))</f>
        <v>62</v>
      </c>
    </row>
    <row r="1657" spans="1:3" x14ac:dyDescent="0.25">
      <c r="A1657" s="1" t="s">
        <v>11523</v>
      </c>
      <c r="B1657" s="1" t="s">
        <v>16374</v>
      </c>
      <c r="C1657" s="3">
        <f>IF(B1657="","",SUMIFS('Factory Costs'!$C:$C,'Factory Costs'!$A:$A,"Motor",'Factory Costs'!$B:$B,B1657))</f>
        <v>62</v>
      </c>
    </row>
    <row r="1658" spans="1:3" x14ac:dyDescent="0.25">
      <c r="A1658" s="1" t="s">
        <v>11526</v>
      </c>
      <c r="B1658" s="1" t="s">
        <v>16375</v>
      </c>
      <c r="C1658" s="3">
        <f>IF(B1658="","",SUMIFS('Factory Costs'!$C:$C,'Factory Costs'!$A:$A,"Motor",'Factory Costs'!$B:$B,B1658))</f>
        <v>72</v>
      </c>
    </row>
    <row r="1659" spans="1:3" x14ac:dyDescent="0.25">
      <c r="A1659" s="1" t="s">
        <v>11529</v>
      </c>
      <c r="B1659" s="1" t="s">
        <v>16374</v>
      </c>
      <c r="C1659" s="3">
        <f>IF(B1659="","",SUMIFS('Factory Costs'!$C:$C,'Factory Costs'!$A:$A,"Motor",'Factory Costs'!$B:$B,B1659))</f>
        <v>62</v>
      </c>
    </row>
    <row r="1660" spans="1:3" x14ac:dyDescent="0.25">
      <c r="A1660" s="1" t="s">
        <v>11532</v>
      </c>
      <c r="B1660" s="1" t="s">
        <v>16374</v>
      </c>
      <c r="C1660" s="3">
        <f>IF(B1660="","",SUMIFS('Factory Costs'!$C:$C,'Factory Costs'!$A:$A,"Motor",'Factory Costs'!$B:$B,B1660))</f>
        <v>62</v>
      </c>
    </row>
    <row r="1661" spans="1:3" x14ac:dyDescent="0.25">
      <c r="A1661" s="1" t="s">
        <v>11535</v>
      </c>
      <c r="B1661" s="1" t="s">
        <v>16375</v>
      </c>
      <c r="C1661" s="3">
        <f>IF(B1661="","",SUMIFS('Factory Costs'!$C:$C,'Factory Costs'!$A:$A,"Motor",'Factory Costs'!$B:$B,B1661))</f>
        <v>72</v>
      </c>
    </row>
    <row r="1662" spans="1:3" x14ac:dyDescent="0.25">
      <c r="A1662" s="1" t="s">
        <v>11538</v>
      </c>
      <c r="B1662" s="1" t="s">
        <v>16375</v>
      </c>
      <c r="C1662" s="3">
        <f>IF(B1662="","",SUMIFS('Factory Costs'!$C:$C,'Factory Costs'!$A:$A,"Motor",'Factory Costs'!$B:$B,B1662))</f>
        <v>72</v>
      </c>
    </row>
    <row r="1663" spans="1:3" x14ac:dyDescent="0.25">
      <c r="A1663" s="1" t="s">
        <v>11541</v>
      </c>
      <c r="B1663" s="1" t="s">
        <v>16374</v>
      </c>
      <c r="C1663" s="3">
        <f>IF(B1663="","",SUMIFS('Factory Costs'!$C:$C,'Factory Costs'!$A:$A,"Motor",'Factory Costs'!$B:$B,B1663))</f>
        <v>62</v>
      </c>
    </row>
    <row r="1664" spans="1:3" x14ac:dyDescent="0.25">
      <c r="A1664" s="1" t="s">
        <v>11544</v>
      </c>
      <c r="B1664" s="1" t="s">
        <v>16375</v>
      </c>
      <c r="C1664" s="3">
        <f>IF(B1664="","",SUMIFS('Factory Costs'!$C:$C,'Factory Costs'!$A:$A,"Motor",'Factory Costs'!$B:$B,B1664))</f>
        <v>72</v>
      </c>
    </row>
    <row r="1665" spans="1:3" x14ac:dyDescent="0.25">
      <c r="A1665" s="1" t="s">
        <v>11547</v>
      </c>
      <c r="B1665" s="1" t="s">
        <v>16374</v>
      </c>
      <c r="C1665" s="3">
        <f>IF(B1665="","",SUMIFS('Factory Costs'!$C:$C,'Factory Costs'!$A:$A,"Motor",'Factory Costs'!$B:$B,B1665))</f>
        <v>62</v>
      </c>
    </row>
    <row r="1666" spans="1:3" x14ac:dyDescent="0.25">
      <c r="A1666" s="1" t="s">
        <v>11550</v>
      </c>
      <c r="B1666" s="1" t="s">
        <v>16374</v>
      </c>
      <c r="C1666" s="3">
        <f>IF(B1666="","",SUMIFS('Factory Costs'!$C:$C,'Factory Costs'!$A:$A,"Motor",'Factory Costs'!$B:$B,B1666))</f>
        <v>62</v>
      </c>
    </row>
    <row r="1667" spans="1:3" x14ac:dyDescent="0.25">
      <c r="A1667" s="1" t="s">
        <v>11553</v>
      </c>
      <c r="B1667" s="1" t="s">
        <v>16375</v>
      </c>
      <c r="C1667" s="3">
        <f>IF(B1667="","",SUMIFS('Factory Costs'!$C:$C,'Factory Costs'!$A:$A,"Motor",'Factory Costs'!$B:$B,B1667))</f>
        <v>72</v>
      </c>
    </row>
    <row r="1668" spans="1:3" x14ac:dyDescent="0.25">
      <c r="A1668" s="1" t="s">
        <v>11556</v>
      </c>
      <c r="B1668" s="1" t="s">
        <v>16375</v>
      </c>
      <c r="C1668" s="3">
        <f>IF(B1668="","",SUMIFS('Factory Costs'!$C:$C,'Factory Costs'!$A:$A,"Motor",'Factory Costs'!$B:$B,B1668))</f>
        <v>72</v>
      </c>
    </row>
    <row r="1669" spans="1:3" x14ac:dyDescent="0.25">
      <c r="A1669" s="1" t="s">
        <v>11559</v>
      </c>
      <c r="B1669" s="1" t="s">
        <v>16375</v>
      </c>
      <c r="C1669" s="3">
        <f>IF(B1669="","",SUMIFS('Factory Costs'!$C:$C,'Factory Costs'!$A:$A,"Motor",'Factory Costs'!$B:$B,B1669))</f>
        <v>72</v>
      </c>
    </row>
    <row r="1670" spans="1:3" x14ac:dyDescent="0.25">
      <c r="A1670" s="1" t="s">
        <v>11562</v>
      </c>
      <c r="B1670" s="1" t="s">
        <v>16374</v>
      </c>
      <c r="C1670" s="3">
        <f>IF(B1670="","",SUMIFS('Factory Costs'!$C:$C,'Factory Costs'!$A:$A,"Motor",'Factory Costs'!$B:$B,B1670))</f>
        <v>62</v>
      </c>
    </row>
    <row r="1671" spans="1:3" x14ac:dyDescent="0.25">
      <c r="A1671" s="1" t="s">
        <v>11565</v>
      </c>
      <c r="B1671" s="1" t="s">
        <v>16375</v>
      </c>
      <c r="C1671" s="3">
        <f>IF(B1671="","",SUMIFS('Factory Costs'!$C:$C,'Factory Costs'!$A:$A,"Motor",'Factory Costs'!$B:$B,B1671))</f>
        <v>72</v>
      </c>
    </row>
    <row r="1672" spans="1:3" x14ac:dyDescent="0.25">
      <c r="A1672" s="1" t="s">
        <v>11568</v>
      </c>
      <c r="B1672" s="1" t="s">
        <v>16374</v>
      </c>
      <c r="C1672" s="3">
        <f>IF(B1672="","",SUMIFS('Factory Costs'!$C:$C,'Factory Costs'!$A:$A,"Motor",'Factory Costs'!$B:$B,B1672))</f>
        <v>62</v>
      </c>
    </row>
    <row r="1673" spans="1:3" x14ac:dyDescent="0.25">
      <c r="A1673" s="1" t="s">
        <v>11571</v>
      </c>
      <c r="B1673" s="1" t="s">
        <v>16375</v>
      </c>
      <c r="C1673" s="3">
        <f>IF(B1673="","",SUMIFS('Factory Costs'!$C:$C,'Factory Costs'!$A:$A,"Motor",'Factory Costs'!$B:$B,B1673))</f>
        <v>72</v>
      </c>
    </row>
    <row r="1674" spans="1:3" x14ac:dyDescent="0.25">
      <c r="A1674" s="1" t="s">
        <v>11574</v>
      </c>
      <c r="B1674" s="1" t="s">
        <v>16374</v>
      </c>
      <c r="C1674" s="3">
        <f>IF(B1674="","",SUMIFS('Factory Costs'!$C:$C,'Factory Costs'!$A:$A,"Motor",'Factory Costs'!$B:$B,B1674))</f>
        <v>62</v>
      </c>
    </row>
    <row r="1675" spans="1:3" x14ac:dyDescent="0.25">
      <c r="A1675" s="1" t="s">
        <v>11577</v>
      </c>
      <c r="B1675" s="1" t="s">
        <v>16374</v>
      </c>
      <c r="C1675" s="3">
        <f>IF(B1675="","",SUMIFS('Factory Costs'!$C:$C,'Factory Costs'!$A:$A,"Motor",'Factory Costs'!$B:$B,B1675))</f>
        <v>62</v>
      </c>
    </row>
    <row r="1676" spans="1:3" x14ac:dyDescent="0.25">
      <c r="A1676" s="1" t="s">
        <v>11580</v>
      </c>
      <c r="B1676" s="1" t="s">
        <v>16374</v>
      </c>
      <c r="C1676" s="3">
        <f>IF(B1676="","",SUMIFS('Factory Costs'!$C:$C,'Factory Costs'!$A:$A,"Motor",'Factory Costs'!$B:$B,B1676))</f>
        <v>62</v>
      </c>
    </row>
    <row r="1677" spans="1:3" x14ac:dyDescent="0.25">
      <c r="A1677" s="1" t="s">
        <v>11583</v>
      </c>
      <c r="B1677" s="1" t="s">
        <v>16374</v>
      </c>
      <c r="C1677" s="3">
        <f>IF(B1677="","",SUMIFS('Factory Costs'!$C:$C,'Factory Costs'!$A:$A,"Motor",'Factory Costs'!$B:$B,B1677))</f>
        <v>62</v>
      </c>
    </row>
    <row r="1678" spans="1:3" x14ac:dyDescent="0.25">
      <c r="A1678" s="1" t="s">
        <v>11586</v>
      </c>
      <c r="B1678" s="1" t="s">
        <v>16374</v>
      </c>
      <c r="C1678" s="3">
        <f>IF(B1678="","",SUMIFS('Factory Costs'!$C:$C,'Factory Costs'!$A:$A,"Motor",'Factory Costs'!$B:$B,B1678))</f>
        <v>62</v>
      </c>
    </row>
    <row r="1679" spans="1:3" x14ac:dyDescent="0.25">
      <c r="A1679" s="1" t="s">
        <v>11589</v>
      </c>
      <c r="B1679" s="1" t="s">
        <v>16374</v>
      </c>
      <c r="C1679" s="3">
        <f>IF(B1679="","",SUMIFS('Factory Costs'!$C:$C,'Factory Costs'!$A:$A,"Motor",'Factory Costs'!$B:$B,B1679))</f>
        <v>62</v>
      </c>
    </row>
    <row r="1680" spans="1:3" x14ac:dyDescent="0.25">
      <c r="A1680" s="1" t="s">
        <v>11592</v>
      </c>
      <c r="B1680" s="1" t="s">
        <v>16374</v>
      </c>
      <c r="C1680" s="3">
        <f>IF(B1680="","",SUMIFS('Factory Costs'!$C:$C,'Factory Costs'!$A:$A,"Motor",'Factory Costs'!$B:$B,B1680))</f>
        <v>62</v>
      </c>
    </row>
    <row r="1681" spans="1:3" x14ac:dyDescent="0.25">
      <c r="A1681" s="1" t="s">
        <v>11595</v>
      </c>
      <c r="B1681" s="1" t="s">
        <v>16375</v>
      </c>
      <c r="C1681" s="3">
        <f>IF(B1681="","",SUMIFS('Factory Costs'!$C:$C,'Factory Costs'!$A:$A,"Motor",'Factory Costs'!$B:$B,B1681))</f>
        <v>72</v>
      </c>
    </row>
    <row r="1682" spans="1:3" x14ac:dyDescent="0.25">
      <c r="A1682" s="1" t="s">
        <v>11598</v>
      </c>
      <c r="B1682" s="1" t="s">
        <v>16374</v>
      </c>
      <c r="C1682" s="3">
        <f>IF(B1682="","",SUMIFS('Factory Costs'!$C:$C,'Factory Costs'!$A:$A,"Motor",'Factory Costs'!$B:$B,B1682))</f>
        <v>62</v>
      </c>
    </row>
    <row r="1683" spans="1:3" x14ac:dyDescent="0.25">
      <c r="A1683" s="1" t="s">
        <v>11601</v>
      </c>
      <c r="B1683" s="1" t="s">
        <v>16375</v>
      </c>
      <c r="C1683" s="3">
        <f>IF(B1683="","",SUMIFS('Factory Costs'!$C:$C,'Factory Costs'!$A:$A,"Motor",'Factory Costs'!$B:$B,B1683))</f>
        <v>72</v>
      </c>
    </row>
    <row r="1684" spans="1:3" x14ac:dyDescent="0.25">
      <c r="A1684" s="1" t="s">
        <v>11604</v>
      </c>
      <c r="B1684" s="1" t="s">
        <v>16374</v>
      </c>
      <c r="C1684" s="3">
        <f>IF(B1684="","",SUMIFS('Factory Costs'!$C:$C,'Factory Costs'!$A:$A,"Motor",'Factory Costs'!$B:$B,B1684))</f>
        <v>62</v>
      </c>
    </row>
    <row r="1685" spans="1:3" x14ac:dyDescent="0.25">
      <c r="A1685" s="1" t="s">
        <v>11607</v>
      </c>
      <c r="B1685" s="1" t="s">
        <v>16375</v>
      </c>
      <c r="C1685" s="3">
        <f>IF(B1685="","",SUMIFS('Factory Costs'!$C:$C,'Factory Costs'!$A:$A,"Motor",'Factory Costs'!$B:$B,B1685))</f>
        <v>72</v>
      </c>
    </row>
    <row r="1686" spans="1:3" x14ac:dyDescent="0.25">
      <c r="A1686" s="1" t="s">
        <v>11610</v>
      </c>
      <c r="B1686" s="1" t="s">
        <v>16375</v>
      </c>
      <c r="C1686" s="3">
        <f>IF(B1686="","",SUMIFS('Factory Costs'!$C:$C,'Factory Costs'!$A:$A,"Motor",'Factory Costs'!$B:$B,B1686))</f>
        <v>72</v>
      </c>
    </row>
    <row r="1687" spans="1:3" x14ac:dyDescent="0.25">
      <c r="A1687" s="1" t="s">
        <v>11613</v>
      </c>
      <c r="B1687" s="1" t="s">
        <v>16375</v>
      </c>
      <c r="C1687" s="3">
        <f>IF(B1687="","",SUMIFS('Factory Costs'!$C:$C,'Factory Costs'!$A:$A,"Motor",'Factory Costs'!$B:$B,B1687))</f>
        <v>72</v>
      </c>
    </row>
    <row r="1688" spans="1:3" x14ac:dyDescent="0.25">
      <c r="A1688" s="1" t="s">
        <v>11616</v>
      </c>
      <c r="B1688" s="1" t="s">
        <v>16374</v>
      </c>
      <c r="C1688" s="3">
        <f>IF(B1688="","",SUMIFS('Factory Costs'!$C:$C,'Factory Costs'!$A:$A,"Motor",'Factory Costs'!$B:$B,B1688))</f>
        <v>62</v>
      </c>
    </row>
    <row r="1689" spans="1:3" x14ac:dyDescent="0.25">
      <c r="A1689" s="1" t="s">
        <v>11619</v>
      </c>
      <c r="B1689" s="1" t="s">
        <v>16375</v>
      </c>
      <c r="C1689" s="3">
        <f>IF(B1689="","",SUMIFS('Factory Costs'!$C:$C,'Factory Costs'!$A:$A,"Motor",'Factory Costs'!$B:$B,B1689))</f>
        <v>72</v>
      </c>
    </row>
    <row r="1690" spans="1:3" x14ac:dyDescent="0.25">
      <c r="A1690" s="1" t="s">
        <v>11622</v>
      </c>
      <c r="B1690" s="1" t="s">
        <v>16374</v>
      </c>
      <c r="C1690" s="3">
        <f>IF(B1690="","",SUMIFS('Factory Costs'!$C:$C,'Factory Costs'!$A:$A,"Motor",'Factory Costs'!$B:$B,B1690))</f>
        <v>62</v>
      </c>
    </row>
    <row r="1691" spans="1:3" x14ac:dyDescent="0.25">
      <c r="A1691" s="1" t="s">
        <v>11625</v>
      </c>
      <c r="B1691" s="1" t="s">
        <v>16375</v>
      </c>
      <c r="C1691" s="3">
        <f>IF(B1691="","",SUMIFS('Factory Costs'!$C:$C,'Factory Costs'!$A:$A,"Motor",'Factory Costs'!$B:$B,B1691))</f>
        <v>72</v>
      </c>
    </row>
    <row r="1692" spans="1:3" x14ac:dyDescent="0.25">
      <c r="A1692" s="1" t="s">
        <v>11628</v>
      </c>
      <c r="B1692" s="1" t="s">
        <v>16375</v>
      </c>
      <c r="C1692" s="3">
        <f>IF(B1692="","",SUMIFS('Factory Costs'!$C:$C,'Factory Costs'!$A:$A,"Motor",'Factory Costs'!$B:$B,B1692))</f>
        <v>72</v>
      </c>
    </row>
    <row r="1693" spans="1:3" x14ac:dyDescent="0.25">
      <c r="A1693" s="1" t="s">
        <v>11631</v>
      </c>
      <c r="B1693" s="1" t="s">
        <v>16374</v>
      </c>
      <c r="C1693" s="3">
        <f>IF(B1693="","",SUMIFS('Factory Costs'!$C:$C,'Factory Costs'!$A:$A,"Motor",'Factory Costs'!$B:$B,B1693))</f>
        <v>62</v>
      </c>
    </row>
    <row r="1694" spans="1:3" x14ac:dyDescent="0.25">
      <c r="A1694" s="1" t="s">
        <v>11634</v>
      </c>
      <c r="B1694" s="1" t="s">
        <v>16375</v>
      </c>
      <c r="C1694" s="3">
        <f>IF(B1694="","",SUMIFS('Factory Costs'!$C:$C,'Factory Costs'!$A:$A,"Motor",'Factory Costs'!$B:$B,B1694))</f>
        <v>72</v>
      </c>
    </row>
    <row r="1695" spans="1:3" x14ac:dyDescent="0.25">
      <c r="A1695" s="1" t="s">
        <v>11637</v>
      </c>
      <c r="B1695" s="1" t="s">
        <v>16374</v>
      </c>
      <c r="C1695" s="3">
        <f>IF(B1695="","",SUMIFS('Factory Costs'!$C:$C,'Factory Costs'!$A:$A,"Motor",'Factory Costs'!$B:$B,B1695))</f>
        <v>62</v>
      </c>
    </row>
    <row r="1696" spans="1:3" x14ac:dyDescent="0.25">
      <c r="A1696" s="1" t="s">
        <v>11640</v>
      </c>
      <c r="B1696" s="1" t="s">
        <v>16375</v>
      </c>
      <c r="C1696" s="3">
        <f>IF(B1696="","",SUMIFS('Factory Costs'!$C:$C,'Factory Costs'!$A:$A,"Motor",'Factory Costs'!$B:$B,B1696))</f>
        <v>72</v>
      </c>
    </row>
    <row r="1697" spans="1:3" x14ac:dyDescent="0.25">
      <c r="A1697" s="1" t="s">
        <v>11643</v>
      </c>
      <c r="B1697" s="1" t="s">
        <v>16375</v>
      </c>
      <c r="C1697" s="3">
        <f>IF(B1697="","",SUMIFS('Factory Costs'!$C:$C,'Factory Costs'!$A:$A,"Motor",'Factory Costs'!$B:$B,B1697))</f>
        <v>72</v>
      </c>
    </row>
    <row r="1698" spans="1:3" x14ac:dyDescent="0.25">
      <c r="A1698" s="1" t="s">
        <v>11646</v>
      </c>
      <c r="B1698" s="1" t="s">
        <v>16375</v>
      </c>
      <c r="C1698" s="3">
        <f>IF(B1698="","",SUMIFS('Factory Costs'!$C:$C,'Factory Costs'!$A:$A,"Motor",'Factory Costs'!$B:$B,B1698))</f>
        <v>72</v>
      </c>
    </row>
    <row r="1699" spans="1:3" x14ac:dyDescent="0.25">
      <c r="A1699" s="1" t="s">
        <v>11649</v>
      </c>
      <c r="B1699" s="1" t="s">
        <v>16374</v>
      </c>
      <c r="C1699" s="3">
        <f>IF(B1699="","",SUMIFS('Factory Costs'!$C:$C,'Factory Costs'!$A:$A,"Motor",'Factory Costs'!$B:$B,B1699))</f>
        <v>62</v>
      </c>
    </row>
    <row r="1700" spans="1:3" x14ac:dyDescent="0.25">
      <c r="A1700" s="1" t="s">
        <v>11652</v>
      </c>
      <c r="B1700" s="1" t="s">
        <v>16374</v>
      </c>
      <c r="C1700" s="3">
        <f>IF(B1700="","",SUMIFS('Factory Costs'!$C:$C,'Factory Costs'!$A:$A,"Motor",'Factory Costs'!$B:$B,B1700))</f>
        <v>62</v>
      </c>
    </row>
    <row r="1701" spans="1:3" x14ac:dyDescent="0.25">
      <c r="A1701" s="1" t="s">
        <v>11655</v>
      </c>
      <c r="B1701" s="1" t="s">
        <v>16375</v>
      </c>
      <c r="C1701" s="3">
        <f>IF(B1701="","",SUMIFS('Factory Costs'!$C:$C,'Factory Costs'!$A:$A,"Motor",'Factory Costs'!$B:$B,B1701))</f>
        <v>72</v>
      </c>
    </row>
    <row r="1702" spans="1:3" x14ac:dyDescent="0.25">
      <c r="A1702" s="1" t="s">
        <v>11658</v>
      </c>
      <c r="B1702" s="1" t="s">
        <v>16374</v>
      </c>
      <c r="C1702" s="3">
        <f>IF(B1702="","",SUMIFS('Factory Costs'!$C:$C,'Factory Costs'!$A:$A,"Motor",'Factory Costs'!$B:$B,B1702))</f>
        <v>62</v>
      </c>
    </row>
    <row r="1703" spans="1:3" x14ac:dyDescent="0.25">
      <c r="A1703" s="1" t="s">
        <v>11661</v>
      </c>
      <c r="B1703" s="1" t="s">
        <v>16375</v>
      </c>
      <c r="C1703" s="3">
        <f>IF(B1703="","",SUMIFS('Factory Costs'!$C:$C,'Factory Costs'!$A:$A,"Motor",'Factory Costs'!$B:$B,B1703))</f>
        <v>72</v>
      </c>
    </row>
    <row r="1704" spans="1:3" x14ac:dyDescent="0.25">
      <c r="A1704" s="1" t="s">
        <v>11664</v>
      </c>
      <c r="B1704" s="1" t="s">
        <v>16375</v>
      </c>
      <c r="C1704" s="3">
        <f>IF(B1704="","",SUMIFS('Factory Costs'!$C:$C,'Factory Costs'!$A:$A,"Motor",'Factory Costs'!$B:$B,B1704))</f>
        <v>72</v>
      </c>
    </row>
    <row r="1705" spans="1:3" x14ac:dyDescent="0.25">
      <c r="A1705" s="1" t="s">
        <v>11667</v>
      </c>
      <c r="B1705" s="1" t="s">
        <v>16375</v>
      </c>
      <c r="C1705" s="3">
        <f>IF(B1705="","",SUMIFS('Factory Costs'!$C:$C,'Factory Costs'!$A:$A,"Motor",'Factory Costs'!$B:$B,B1705))</f>
        <v>72</v>
      </c>
    </row>
    <row r="1706" spans="1:3" x14ac:dyDescent="0.25">
      <c r="A1706" s="1" t="s">
        <v>11670</v>
      </c>
      <c r="B1706" s="1" t="s">
        <v>16374</v>
      </c>
      <c r="C1706" s="3">
        <f>IF(B1706="","",SUMIFS('Factory Costs'!$C:$C,'Factory Costs'!$A:$A,"Motor",'Factory Costs'!$B:$B,B1706))</f>
        <v>62</v>
      </c>
    </row>
    <row r="1707" spans="1:3" x14ac:dyDescent="0.25">
      <c r="A1707" s="1" t="s">
        <v>11673</v>
      </c>
      <c r="B1707" s="1" t="s">
        <v>16374</v>
      </c>
      <c r="C1707" s="3">
        <f>IF(B1707="","",SUMIFS('Factory Costs'!$C:$C,'Factory Costs'!$A:$A,"Motor",'Factory Costs'!$B:$B,B1707))</f>
        <v>62</v>
      </c>
    </row>
    <row r="1708" spans="1:3" x14ac:dyDescent="0.25">
      <c r="A1708" s="1" t="s">
        <v>11676</v>
      </c>
      <c r="B1708" s="1" t="s">
        <v>16374</v>
      </c>
      <c r="C1708" s="3">
        <f>IF(B1708="","",SUMIFS('Factory Costs'!$C:$C,'Factory Costs'!$A:$A,"Motor",'Factory Costs'!$B:$B,B1708))</f>
        <v>62</v>
      </c>
    </row>
    <row r="1709" spans="1:3" x14ac:dyDescent="0.25">
      <c r="A1709" s="1" t="s">
        <v>11679</v>
      </c>
      <c r="B1709" s="1" t="s">
        <v>16374</v>
      </c>
      <c r="C1709" s="3">
        <f>IF(B1709="","",SUMIFS('Factory Costs'!$C:$C,'Factory Costs'!$A:$A,"Motor",'Factory Costs'!$B:$B,B1709))</f>
        <v>62</v>
      </c>
    </row>
    <row r="1710" spans="1:3" x14ac:dyDescent="0.25">
      <c r="A1710" s="1" t="s">
        <v>11682</v>
      </c>
      <c r="B1710" s="1" t="s">
        <v>16375</v>
      </c>
      <c r="C1710" s="3">
        <f>IF(B1710="","",SUMIFS('Factory Costs'!$C:$C,'Factory Costs'!$A:$A,"Motor",'Factory Costs'!$B:$B,B1710))</f>
        <v>72</v>
      </c>
    </row>
    <row r="1711" spans="1:3" x14ac:dyDescent="0.25">
      <c r="A1711" s="1" t="s">
        <v>11685</v>
      </c>
      <c r="B1711" s="1" t="s">
        <v>16374</v>
      </c>
      <c r="C1711" s="3">
        <f>IF(B1711="","",SUMIFS('Factory Costs'!$C:$C,'Factory Costs'!$A:$A,"Motor",'Factory Costs'!$B:$B,B1711))</f>
        <v>62</v>
      </c>
    </row>
    <row r="1712" spans="1:3" x14ac:dyDescent="0.25">
      <c r="A1712" s="1" t="s">
        <v>11688</v>
      </c>
      <c r="B1712" s="1" t="s">
        <v>16375</v>
      </c>
      <c r="C1712" s="3">
        <f>IF(B1712="","",SUMIFS('Factory Costs'!$C:$C,'Factory Costs'!$A:$A,"Motor",'Factory Costs'!$B:$B,B1712))</f>
        <v>72</v>
      </c>
    </row>
    <row r="1713" spans="1:3" x14ac:dyDescent="0.25">
      <c r="A1713" s="1" t="s">
        <v>11691</v>
      </c>
      <c r="B1713" s="1" t="s">
        <v>16375</v>
      </c>
      <c r="C1713" s="3">
        <f>IF(B1713="","",SUMIFS('Factory Costs'!$C:$C,'Factory Costs'!$A:$A,"Motor",'Factory Costs'!$B:$B,B1713))</f>
        <v>72</v>
      </c>
    </row>
    <row r="1714" spans="1:3" x14ac:dyDescent="0.25">
      <c r="A1714" s="1" t="s">
        <v>11694</v>
      </c>
      <c r="B1714" s="1" t="s">
        <v>16374</v>
      </c>
      <c r="C1714" s="3">
        <f>IF(B1714="","",SUMIFS('Factory Costs'!$C:$C,'Factory Costs'!$A:$A,"Motor",'Factory Costs'!$B:$B,B1714))</f>
        <v>62</v>
      </c>
    </row>
    <row r="1715" spans="1:3" x14ac:dyDescent="0.25">
      <c r="A1715" s="1" t="s">
        <v>11697</v>
      </c>
      <c r="B1715" s="1" t="s">
        <v>16374</v>
      </c>
      <c r="C1715" s="3">
        <f>IF(B1715="","",SUMIFS('Factory Costs'!$C:$C,'Factory Costs'!$A:$A,"Motor",'Factory Costs'!$B:$B,B1715))</f>
        <v>62</v>
      </c>
    </row>
    <row r="1716" spans="1:3" x14ac:dyDescent="0.25">
      <c r="A1716" s="1" t="s">
        <v>11700</v>
      </c>
      <c r="B1716" s="1" t="s">
        <v>16374</v>
      </c>
      <c r="C1716" s="3">
        <f>IF(B1716="","",SUMIFS('Factory Costs'!$C:$C,'Factory Costs'!$A:$A,"Motor",'Factory Costs'!$B:$B,B1716))</f>
        <v>62</v>
      </c>
    </row>
    <row r="1717" spans="1:3" x14ac:dyDescent="0.25">
      <c r="A1717" s="1" t="s">
        <v>11703</v>
      </c>
      <c r="B1717" s="1" t="s">
        <v>16374</v>
      </c>
      <c r="C1717" s="3">
        <f>IF(B1717="","",SUMIFS('Factory Costs'!$C:$C,'Factory Costs'!$A:$A,"Motor",'Factory Costs'!$B:$B,B1717))</f>
        <v>62</v>
      </c>
    </row>
    <row r="1718" spans="1:3" x14ac:dyDescent="0.25">
      <c r="A1718" s="1" t="s">
        <v>11706</v>
      </c>
      <c r="B1718" s="1" t="s">
        <v>16374</v>
      </c>
      <c r="C1718" s="3">
        <f>IF(B1718="","",SUMIFS('Factory Costs'!$C:$C,'Factory Costs'!$A:$A,"Motor",'Factory Costs'!$B:$B,B1718))</f>
        <v>62</v>
      </c>
    </row>
    <row r="1719" spans="1:3" x14ac:dyDescent="0.25">
      <c r="A1719" s="1" t="s">
        <v>11709</v>
      </c>
      <c r="B1719" s="1" t="s">
        <v>16375</v>
      </c>
      <c r="C1719" s="3">
        <f>IF(B1719="","",SUMIFS('Factory Costs'!$C:$C,'Factory Costs'!$A:$A,"Motor",'Factory Costs'!$B:$B,B1719))</f>
        <v>72</v>
      </c>
    </row>
    <row r="1720" spans="1:3" x14ac:dyDescent="0.25">
      <c r="A1720" s="1" t="s">
        <v>11712</v>
      </c>
      <c r="B1720" s="1" t="s">
        <v>16375</v>
      </c>
      <c r="C1720" s="3">
        <f>IF(B1720="","",SUMIFS('Factory Costs'!$C:$C,'Factory Costs'!$A:$A,"Motor",'Factory Costs'!$B:$B,B1720))</f>
        <v>72</v>
      </c>
    </row>
    <row r="1721" spans="1:3" x14ac:dyDescent="0.25">
      <c r="A1721" s="1" t="s">
        <v>11715</v>
      </c>
      <c r="B1721" s="1" t="s">
        <v>16374</v>
      </c>
      <c r="C1721" s="3">
        <f>IF(B1721="","",SUMIFS('Factory Costs'!$C:$C,'Factory Costs'!$A:$A,"Motor",'Factory Costs'!$B:$B,B1721))</f>
        <v>62</v>
      </c>
    </row>
    <row r="1722" spans="1:3" x14ac:dyDescent="0.25">
      <c r="A1722" s="1" t="s">
        <v>11718</v>
      </c>
      <c r="B1722" s="1" t="s">
        <v>16375</v>
      </c>
      <c r="C1722" s="3">
        <f>IF(B1722="","",SUMIFS('Factory Costs'!$C:$C,'Factory Costs'!$A:$A,"Motor",'Factory Costs'!$B:$B,B1722))</f>
        <v>72</v>
      </c>
    </row>
    <row r="1723" spans="1:3" x14ac:dyDescent="0.25">
      <c r="A1723" s="1" t="s">
        <v>11721</v>
      </c>
      <c r="B1723" s="1" t="s">
        <v>16375</v>
      </c>
      <c r="C1723" s="3">
        <f>IF(B1723="","",SUMIFS('Factory Costs'!$C:$C,'Factory Costs'!$A:$A,"Motor",'Factory Costs'!$B:$B,B1723))</f>
        <v>72</v>
      </c>
    </row>
    <row r="1724" spans="1:3" x14ac:dyDescent="0.25">
      <c r="A1724" s="1" t="s">
        <v>11724</v>
      </c>
      <c r="B1724" s="1" t="s">
        <v>16374</v>
      </c>
      <c r="C1724" s="3">
        <f>IF(B1724="","",SUMIFS('Factory Costs'!$C:$C,'Factory Costs'!$A:$A,"Motor",'Factory Costs'!$B:$B,B1724))</f>
        <v>62</v>
      </c>
    </row>
    <row r="1725" spans="1:3" x14ac:dyDescent="0.25">
      <c r="A1725" s="1" t="s">
        <v>11727</v>
      </c>
      <c r="B1725" s="1" t="s">
        <v>16374</v>
      </c>
      <c r="C1725" s="3">
        <f>IF(B1725="","",SUMIFS('Factory Costs'!$C:$C,'Factory Costs'!$A:$A,"Motor",'Factory Costs'!$B:$B,B1725))</f>
        <v>62</v>
      </c>
    </row>
    <row r="1726" spans="1:3" x14ac:dyDescent="0.25">
      <c r="A1726" s="1" t="s">
        <v>11730</v>
      </c>
      <c r="B1726" s="1" t="s">
        <v>16374</v>
      </c>
      <c r="C1726" s="3">
        <f>IF(B1726="","",SUMIFS('Factory Costs'!$C:$C,'Factory Costs'!$A:$A,"Motor",'Factory Costs'!$B:$B,B1726))</f>
        <v>62</v>
      </c>
    </row>
    <row r="1727" spans="1:3" x14ac:dyDescent="0.25">
      <c r="A1727" s="1" t="s">
        <v>11733</v>
      </c>
      <c r="B1727" s="1" t="s">
        <v>16375</v>
      </c>
      <c r="C1727" s="3">
        <f>IF(B1727="","",SUMIFS('Factory Costs'!$C:$C,'Factory Costs'!$A:$A,"Motor",'Factory Costs'!$B:$B,B1727))</f>
        <v>72</v>
      </c>
    </row>
    <row r="1728" spans="1:3" x14ac:dyDescent="0.25">
      <c r="A1728" s="1" t="s">
        <v>11736</v>
      </c>
      <c r="B1728" s="1" t="s">
        <v>16375</v>
      </c>
      <c r="C1728" s="3">
        <f>IF(B1728="","",SUMIFS('Factory Costs'!$C:$C,'Factory Costs'!$A:$A,"Motor",'Factory Costs'!$B:$B,B1728))</f>
        <v>72</v>
      </c>
    </row>
    <row r="1729" spans="1:3" x14ac:dyDescent="0.25">
      <c r="A1729" s="1" t="s">
        <v>11739</v>
      </c>
      <c r="B1729" s="1" t="s">
        <v>16374</v>
      </c>
      <c r="C1729" s="3">
        <f>IF(B1729="","",SUMIFS('Factory Costs'!$C:$C,'Factory Costs'!$A:$A,"Motor",'Factory Costs'!$B:$B,B1729))</f>
        <v>62</v>
      </c>
    </row>
    <row r="1730" spans="1:3" x14ac:dyDescent="0.25">
      <c r="A1730" s="1" t="s">
        <v>11742</v>
      </c>
      <c r="B1730" s="1" t="s">
        <v>16374</v>
      </c>
      <c r="C1730" s="3">
        <f>IF(B1730="","",SUMIFS('Factory Costs'!$C:$C,'Factory Costs'!$A:$A,"Motor",'Factory Costs'!$B:$B,B1730))</f>
        <v>62</v>
      </c>
    </row>
    <row r="1731" spans="1:3" x14ac:dyDescent="0.25">
      <c r="A1731" s="1" t="s">
        <v>11745</v>
      </c>
      <c r="B1731" s="1" t="s">
        <v>16374</v>
      </c>
      <c r="C1731" s="3">
        <f>IF(B1731="","",SUMIFS('Factory Costs'!$C:$C,'Factory Costs'!$A:$A,"Motor",'Factory Costs'!$B:$B,B1731))</f>
        <v>62</v>
      </c>
    </row>
    <row r="1732" spans="1:3" x14ac:dyDescent="0.25">
      <c r="A1732" s="1" t="s">
        <v>11748</v>
      </c>
      <c r="B1732" s="1" t="s">
        <v>16375</v>
      </c>
      <c r="C1732" s="3">
        <f>IF(B1732="","",SUMIFS('Factory Costs'!$C:$C,'Factory Costs'!$A:$A,"Motor",'Factory Costs'!$B:$B,B1732))</f>
        <v>72</v>
      </c>
    </row>
    <row r="1733" spans="1:3" x14ac:dyDescent="0.25">
      <c r="A1733" s="1" t="s">
        <v>11751</v>
      </c>
      <c r="B1733" s="1" t="s">
        <v>16374</v>
      </c>
      <c r="C1733" s="3">
        <f>IF(B1733="","",SUMIFS('Factory Costs'!$C:$C,'Factory Costs'!$A:$A,"Motor",'Factory Costs'!$B:$B,B1733))</f>
        <v>62</v>
      </c>
    </row>
    <row r="1734" spans="1:3" x14ac:dyDescent="0.25">
      <c r="A1734" s="1" t="s">
        <v>11754</v>
      </c>
      <c r="B1734" s="1" t="s">
        <v>16374</v>
      </c>
      <c r="C1734" s="3">
        <f>IF(B1734="","",SUMIFS('Factory Costs'!$C:$C,'Factory Costs'!$A:$A,"Motor",'Factory Costs'!$B:$B,B1734))</f>
        <v>62</v>
      </c>
    </row>
    <row r="1735" spans="1:3" x14ac:dyDescent="0.25">
      <c r="A1735" s="1" t="s">
        <v>11757</v>
      </c>
      <c r="B1735" s="1" t="s">
        <v>16375</v>
      </c>
      <c r="C1735" s="3">
        <f>IF(B1735="","",SUMIFS('Factory Costs'!$C:$C,'Factory Costs'!$A:$A,"Motor",'Factory Costs'!$B:$B,B1735))</f>
        <v>72</v>
      </c>
    </row>
    <row r="1736" spans="1:3" x14ac:dyDescent="0.25">
      <c r="A1736" s="1" t="s">
        <v>11760</v>
      </c>
      <c r="B1736" s="1" t="s">
        <v>16375</v>
      </c>
      <c r="C1736" s="3">
        <f>IF(B1736="","",SUMIFS('Factory Costs'!$C:$C,'Factory Costs'!$A:$A,"Motor",'Factory Costs'!$B:$B,B1736))</f>
        <v>72</v>
      </c>
    </row>
    <row r="1737" spans="1:3" x14ac:dyDescent="0.25">
      <c r="A1737" s="1" t="s">
        <v>11763</v>
      </c>
      <c r="B1737" s="1" t="s">
        <v>16374</v>
      </c>
      <c r="C1737" s="3">
        <f>IF(B1737="","",SUMIFS('Factory Costs'!$C:$C,'Factory Costs'!$A:$A,"Motor",'Factory Costs'!$B:$B,B1737))</f>
        <v>62</v>
      </c>
    </row>
    <row r="1738" spans="1:3" x14ac:dyDescent="0.25">
      <c r="A1738" s="1" t="s">
        <v>11766</v>
      </c>
      <c r="B1738" s="1" t="s">
        <v>16375</v>
      </c>
      <c r="C1738" s="3">
        <f>IF(B1738="","",SUMIFS('Factory Costs'!$C:$C,'Factory Costs'!$A:$A,"Motor",'Factory Costs'!$B:$B,B1738))</f>
        <v>72</v>
      </c>
    </row>
    <row r="1739" spans="1:3" x14ac:dyDescent="0.25">
      <c r="A1739" s="1" t="s">
        <v>11769</v>
      </c>
      <c r="B1739" s="1" t="s">
        <v>16375</v>
      </c>
      <c r="C1739" s="3">
        <f>IF(B1739="","",SUMIFS('Factory Costs'!$C:$C,'Factory Costs'!$A:$A,"Motor",'Factory Costs'!$B:$B,B1739))</f>
        <v>72</v>
      </c>
    </row>
    <row r="1740" spans="1:3" x14ac:dyDescent="0.25">
      <c r="A1740" s="1" t="s">
        <v>11772</v>
      </c>
      <c r="B1740" s="1" t="s">
        <v>16374</v>
      </c>
      <c r="C1740" s="3">
        <f>IF(B1740="","",SUMIFS('Factory Costs'!$C:$C,'Factory Costs'!$A:$A,"Motor",'Factory Costs'!$B:$B,B1740))</f>
        <v>62</v>
      </c>
    </row>
    <row r="1741" spans="1:3" x14ac:dyDescent="0.25">
      <c r="A1741" s="1" t="s">
        <v>11775</v>
      </c>
      <c r="B1741" s="1" t="s">
        <v>16375</v>
      </c>
      <c r="C1741" s="3">
        <f>IF(B1741="","",SUMIFS('Factory Costs'!$C:$C,'Factory Costs'!$A:$A,"Motor",'Factory Costs'!$B:$B,B1741))</f>
        <v>72</v>
      </c>
    </row>
    <row r="1742" spans="1:3" x14ac:dyDescent="0.25">
      <c r="A1742" s="1" t="s">
        <v>11778</v>
      </c>
      <c r="B1742" s="1" t="s">
        <v>16374</v>
      </c>
      <c r="C1742" s="3">
        <f>IF(B1742="","",SUMIFS('Factory Costs'!$C:$C,'Factory Costs'!$A:$A,"Motor",'Factory Costs'!$B:$B,B1742))</f>
        <v>62</v>
      </c>
    </row>
    <row r="1743" spans="1:3" x14ac:dyDescent="0.25">
      <c r="A1743" s="1" t="s">
        <v>11781</v>
      </c>
      <c r="B1743" s="1" t="s">
        <v>16374</v>
      </c>
      <c r="C1743" s="3">
        <f>IF(B1743="","",SUMIFS('Factory Costs'!$C:$C,'Factory Costs'!$A:$A,"Motor",'Factory Costs'!$B:$B,B1743))</f>
        <v>62</v>
      </c>
    </row>
    <row r="1744" spans="1:3" x14ac:dyDescent="0.25">
      <c r="A1744" s="1" t="s">
        <v>11784</v>
      </c>
      <c r="B1744" s="1" t="s">
        <v>16375</v>
      </c>
      <c r="C1744" s="3">
        <f>IF(B1744="","",SUMIFS('Factory Costs'!$C:$C,'Factory Costs'!$A:$A,"Motor",'Factory Costs'!$B:$B,B1744))</f>
        <v>72</v>
      </c>
    </row>
    <row r="1745" spans="1:3" x14ac:dyDescent="0.25">
      <c r="A1745" s="1" t="s">
        <v>11787</v>
      </c>
      <c r="B1745" s="1" t="s">
        <v>16374</v>
      </c>
      <c r="C1745" s="3">
        <f>IF(B1745="","",SUMIFS('Factory Costs'!$C:$C,'Factory Costs'!$A:$A,"Motor",'Factory Costs'!$B:$B,B1745))</f>
        <v>62</v>
      </c>
    </row>
    <row r="1746" spans="1:3" x14ac:dyDescent="0.25">
      <c r="A1746" s="1" t="s">
        <v>11790</v>
      </c>
      <c r="B1746" s="1" t="s">
        <v>16375</v>
      </c>
      <c r="C1746" s="3">
        <f>IF(B1746="","",SUMIFS('Factory Costs'!$C:$C,'Factory Costs'!$A:$A,"Motor",'Factory Costs'!$B:$B,B1746))</f>
        <v>72</v>
      </c>
    </row>
    <row r="1747" spans="1:3" x14ac:dyDescent="0.25">
      <c r="A1747" s="1" t="s">
        <v>11793</v>
      </c>
      <c r="B1747" s="1" t="s">
        <v>16374</v>
      </c>
      <c r="C1747" s="3">
        <f>IF(B1747="","",SUMIFS('Factory Costs'!$C:$C,'Factory Costs'!$A:$A,"Motor",'Factory Costs'!$B:$B,B1747))</f>
        <v>62</v>
      </c>
    </row>
    <row r="1748" spans="1:3" x14ac:dyDescent="0.25">
      <c r="A1748" s="1" t="s">
        <v>11796</v>
      </c>
      <c r="B1748" s="1" t="s">
        <v>16375</v>
      </c>
      <c r="C1748" s="3">
        <f>IF(B1748="","",SUMIFS('Factory Costs'!$C:$C,'Factory Costs'!$A:$A,"Motor",'Factory Costs'!$B:$B,B1748))</f>
        <v>72</v>
      </c>
    </row>
    <row r="1749" spans="1:3" x14ac:dyDescent="0.25">
      <c r="A1749" s="1" t="s">
        <v>11799</v>
      </c>
      <c r="B1749" s="1" t="s">
        <v>16375</v>
      </c>
      <c r="C1749" s="3">
        <f>IF(B1749="","",SUMIFS('Factory Costs'!$C:$C,'Factory Costs'!$A:$A,"Motor",'Factory Costs'!$B:$B,B1749))</f>
        <v>72</v>
      </c>
    </row>
    <row r="1750" spans="1:3" x14ac:dyDescent="0.25">
      <c r="A1750" s="1" t="s">
        <v>11802</v>
      </c>
      <c r="B1750" s="1" t="s">
        <v>16375</v>
      </c>
      <c r="C1750" s="3">
        <f>IF(B1750="","",SUMIFS('Factory Costs'!$C:$C,'Factory Costs'!$A:$A,"Motor",'Factory Costs'!$B:$B,B1750))</f>
        <v>72</v>
      </c>
    </row>
    <row r="1751" spans="1:3" x14ac:dyDescent="0.25">
      <c r="A1751" s="1" t="s">
        <v>11805</v>
      </c>
      <c r="B1751" s="1" t="s">
        <v>16374</v>
      </c>
      <c r="C1751" s="3">
        <f>IF(B1751="","",SUMIFS('Factory Costs'!$C:$C,'Factory Costs'!$A:$A,"Motor",'Factory Costs'!$B:$B,B1751))</f>
        <v>62</v>
      </c>
    </row>
    <row r="1752" spans="1:3" x14ac:dyDescent="0.25">
      <c r="A1752" s="1" t="s">
        <v>11808</v>
      </c>
      <c r="B1752" s="1" t="s">
        <v>16374</v>
      </c>
      <c r="C1752" s="3">
        <f>IF(B1752="","",SUMIFS('Factory Costs'!$C:$C,'Factory Costs'!$A:$A,"Motor",'Factory Costs'!$B:$B,B1752))</f>
        <v>62</v>
      </c>
    </row>
    <row r="1753" spans="1:3" x14ac:dyDescent="0.25">
      <c r="A1753" s="1" t="s">
        <v>11811</v>
      </c>
      <c r="B1753" s="1" t="s">
        <v>16374</v>
      </c>
      <c r="C1753" s="3">
        <f>IF(B1753="","",SUMIFS('Factory Costs'!$C:$C,'Factory Costs'!$A:$A,"Motor",'Factory Costs'!$B:$B,B1753))</f>
        <v>62</v>
      </c>
    </row>
    <row r="1754" spans="1:3" x14ac:dyDescent="0.25">
      <c r="A1754" s="1" t="s">
        <v>11814</v>
      </c>
      <c r="B1754" s="1" t="s">
        <v>16374</v>
      </c>
      <c r="C1754" s="3">
        <f>IF(B1754="","",SUMIFS('Factory Costs'!$C:$C,'Factory Costs'!$A:$A,"Motor",'Factory Costs'!$B:$B,B1754))</f>
        <v>62</v>
      </c>
    </row>
    <row r="1755" spans="1:3" x14ac:dyDescent="0.25">
      <c r="A1755" s="1" t="s">
        <v>11817</v>
      </c>
      <c r="B1755" s="1" t="s">
        <v>16375</v>
      </c>
      <c r="C1755" s="3">
        <f>IF(B1755="","",SUMIFS('Factory Costs'!$C:$C,'Factory Costs'!$A:$A,"Motor",'Factory Costs'!$B:$B,B1755))</f>
        <v>72</v>
      </c>
    </row>
    <row r="1756" spans="1:3" x14ac:dyDescent="0.25">
      <c r="A1756" s="1" t="s">
        <v>11820</v>
      </c>
      <c r="B1756" s="1" t="s">
        <v>16375</v>
      </c>
      <c r="C1756" s="3">
        <f>IF(B1756="","",SUMIFS('Factory Costs'!$C:$C,'Factory Costs'!$A:$A,"Motor",'Factory Costs'!$B:$B,B1756))</f>
        <v>72</v>
      </c>
    </row>
    <row r="1757" spans="1:3" x14ac:dyDescent="0.25">
      <c r="A1757" s="1" t="s">
        <v>11823</v>
      </c>
      <c r="B1757" s="1" t="s">
        <v>16375</v>
      </c>
      <c r="C1757" s="3">
        <f>IF(B1757="","",SUMIFS('Factory Costs'!$C:$C,'Factory Costs'!$A:$A,"Motor",'Factory Costs'!$B:$B,B1757))</f>
        <v>72</v>
      </c>
    </row>
    <row r="1758" spans="1:3" x14ac:dyDescent="0.25">
      <c r="A1758" s="1" t="s">
        <v>11826</v>
      </c>
      <c r="B1758" s="1" t="s">
        <v>16374</v>
      </c>
      <c r="C1758" s="3">
        <f>IF(B1758="","",SUMIFS('Factory Costs'!$C:$C,'Factory Costs'!$A:$A,"Motor",'Factory Costs'!$B:$B,B1758))</f>
        <v>62</v>
      </c>
    </row>
    <row r="1759" spans="1:3" x14ac:dyDescent="0.25">
      <c r="A1759" s="1" t="s">
        <v>11829</v>
      </c>
      <c r="B1759" s="1" t="s">
        <v>16374</v>
      </c>
      <c r="C1759" s="3">
        <f>IF(B1759="","",SUMIFS('Factory Costs'!$C:$C,'Factory Costs'!$A:$A,"Motor",'Factory Costs'!$B:$B,B1759))</f>
        <v>62</v>
      </c>
    </row>
    <row r="1760" spans="1:3" x14ac:dyDescent="0.25">
      <c r="A1760" s="1" t="s">
        <v>11832</v>
      </c>
      <c r="B1760" s="1" t="s">
        <v>16374</v>
      </c>
      <c r="C1760" s="3">
        <f>IF(B1760="","",SUMIFS('Factory Costs'!$C:$C,'Factory Costs'!$A:$A,"Motor",'Factory Costs'!$B:$B,B1760))</f>
        <v>62</v>
      </c>
    </row>
    <row r="1761" spans="1:3" x14ac:dyDescent="0.25">
      <c r="A1761" s="1" t="s">
        <v>11835</v>
      </c>
      <c r="B1761" s="1" t="s">
        <v>16374</v>
      </c>
      <c r="C1761" s="3">
        <f>IF(B1761="","",SUMIFS('Factory Costs'!$C:$C,'Factory Costs'!$A:$A,"Motor",'Factory Costs'!$B:$B,B1761))</f>
        <v>62</v>
      </c>
    </row>
    <row r="1762" spans="1:3" x14ac:dyDescent="0.25">
      <c r="A1762" s="1" t="s">
        <v>11838</v>
      </c>
      <c r="B1762" s="1" t="s">
        <v>16374</v>
      </c>
      <c r="C1762" s="3">
        <f>IF(B1762="","",SUMIFS('Factory Costs'!$C:$C,'Factory Costs'!$A:$A,"Motor",'Factory Costs'!$B:$B,B1762))</f>
        <v>62</v>
      </c>
    </row>
    <row r="1763" spans="1:3" x14ac:dyDescent="0.25">
      <c r="A1763" s="1" t="s">
        <v>11841</v>
      </c>
      <c r="B1763" s="1" t="s">
        <v>16375</v>
      </c>
      <c r="C1763" s="3">
        <f>IF(B1763="","",SUMIFS('Factory Costs'!$C:$C,'Factory Costs'!$A:$A,"Motor",'Factory Costs'!$B:$B,B1763))</f>
        <v>72</v>
      </c>
    </row>
    <row r="1764" spans="1:3" x14ac:dyDescent="0.25">
      <c r="A1764" s="1" t="s">
        <v>11844</v>
      </c>
      <c r="B1764" s="1" t="s">
        <v>16375</v>
      </c>
      <c r="C1764" s="3">
        <f>IF(B1764="","",SUMIFS('Factory Costs'!$C:$C,'Factory Costs'!$A:$A,"Motor",'Factory Costs'!$B:$B,B1764))</f>
        <v>72</v>
      </c>
    </row>
    <row r="1765" spans="1:3" x14ac:dyDescent="0.25">
      <c r="A1765" s="1" t="s">
        <v>11847</v>
      </c>
      <c r="B1765" s="1" t="s">
        <v>16374</v>
      </c>
      <c r="C1765" s="3">
        <f>IF(B1765="","",SUMIFS('Factory Costs'!$C:$C,'Factory Costs'!$A:$A,"Motor",'Factory Costs'!$B:$B,B1765))</f>
        <v>62</v>
      </c>
    </row>
    <row r="1766" spans="1:3" x14ac:dyDescent="0.25">
      <c r="A1766" s="1" t="s">
        <v>11850</v>
      </c>
      <c r="B1766" s="1" t="s">
        <v>16374</v>
      </c>
      <c r="C1766" s="3">
        <f>IF(B1766="","",SUMIFS('Factory Costs'!$C:$C,'Factory Costs'!$A:$A,"Motor",'Factory Costs'!$B:$B,B1766))</f>
        <v>62</v>
      </c>
    </row>
    <row r="1767" spans="1:3" x14ac:dyDescent="0.25">
      <c r="A1767" s="1" t="s">
        <v>11853</v>
      </c>
      <c r="B1767" s="1" t="s">
        <v>16374</v>
      </c>
      <c r="C1767" s="3">
        <f>IF(B1767="","",SUMIFS('Factory Costs'!$C:$C,'Factory Costs'!$A:$A,"Motor",'Factory Costs'!$B:$B,B1767))</f>
        <v>62</v>
      </c>
    </row>
    <row r="1768" spans="1:3" x14ac:dyDescent="0.25">
      <c r="A1768" s="1" t="s">
        <v>11856</v>
      </c>
      <c r="B1768" s="1" t="s">
        <v>16375</v>
      </c>
      <c r="C1768" s="3">
        <f>IF(B1768="","",SUMIFS('Factory Costs'!$C:$C,'Factory Costs'!$A:$A,"Motor",'Factory Costs'!$B:$B,B1768))</f>
        <v>72</v>
      </c>
    </row>
    <row r="1769" spans="1:3" x14ac:dyDescent="0.25">
      <c r="A1769" s="1" t="s">
        <v>11859</v>
      </c>
      <c r="B1769" s="1" t="s">
        <v>16375</v>
      </c>
      <c r="C1769" s="3">
        <f>IF(B1769="","",SUMIFS('Factory Costs'!$C:$C,'Factory Costs'!$A:$A,"Motor",'Factory Costs'!$B:$B,B1769))</f>
        <v>72</v>
      </c>
    </row>
    <row r="1770" spans="1:3" x14ac:dyDescent="0.25">
      <c r="A1770" s="1" t="s">
        <v>11862</v>
      </c>
      <c r="B1770" s="1" t="s">
        <v>16374</v>
      </c>
      <c r="C1770" s="3">
        <f>IF(B1770="","",SUMIFS('Factory Costs'!$C:$C,'Factory Costs'!$A:$A,"Motor",'Factory Costs'!$B:$B,B1770))</f>
        <v>62</v>
      </c>
    </row>
    <row r="1771" spans="1:3" x14ac:dyDescent="0.25">
      <c r="A1771" s="1" t="s">
        <v>11865</v>
      </c>
      <c r="B1771" s="1" t="s">
        <v>16374</v>
      </c>
      <c r="C1771" s="3">
        <f>IF(B1771="","",SUMIFS('Factory Costs'!$C:$C,'Factory Costs'!$A:$A,"Motor",'Factory Costs'!$B:$B,B1771))</f>
        <v>62</v>
      </c>
    </row>
    <row r="1772" spans="1:3" x14ac:dyDescent="0.25">
      <c r="A1772" s="1" t="s">
        <v>11868</v>
      </c>
      <c r="B1772" s="1" t="s">
        <v>16374</v>
      </c>
      <c r="C1772" s="3">
        <f>IF(B1772="","",SUMIFS('Factory Costs'!$C:$C,'Factory Costs'!$A:$A,"Motor",'Factory Costs'!$B:$B,B1772))</f>
        <v>62</v>
      </c>
    </row>
    <row r="1773" spans="1:3" x14ac:dyDescent="0.25">
      <c r="A1773" s="1" t="s">
        <v>11871</v>
      </c>
      <c r="B1773" s="1" t="s">
        <v>16375</v>
      </c>
      <c r="C1773" s="3">
        <f>IF(B1773="","",SUMIFS('Factory Costs'!$C:$C,'Factory Costs'!$A:$A,"Motor",'Factory Costs'!$B:$B,B1773))</f>
        <v>72</v>
      </c>
    </row>
    <row r="1774" spans="1:3" x14ac:dyDescent="0.25">
      <c r="A1774" s="1" t="s">
        <v>11874</v>
      </c>
      <c r="B1774" s="1" t="s">
        <v>16374</v>
      </c>
      <c r="C1774" s="3">
        <f>IF(B1774="","",SUMIFS('Factory Costs'!$C:$C,'Factory Costs'!$A:$A,"Motor",'Factory Costs'!$B:$B,B1774))</f>
        <v>62</v>
      </c>
    </row>
    <row r="1775" spans="1:3" x14ac:dyDescent="0.25">
      <c r="A1775" s="1" t="s">
        <v>11877</v>
      </c>
      <c r="B1775" s="1" t="s">
        <v>16374</v>
      </c>
      <c r="C1775" s="3">
        <f>IF(B1775="","",SUMIFS('Factory Costs'!$C:$C,'Factory Costs'!$A:$A,"Motor",'Factory Costs'!$B:$B,B1775))</f>
        <v>62</v>
      </c>
    </row>
    <row r="1776" spans="1:3" x14ac:dyDescent="0.25">
      <c r="A1776" s="1" t="s">
        <v>11880</v>
      </c>
      <c r="B1776" s="1" t="s">
        <v>16374</v>
      </c>
      <c r="C1776" s="3">
        <f>IF(B1776="","",SUMIFS('Factory Costs'!$C:$C,'Factory Costs'!$A:$A,"Motor",'Factory Costs'!$B:$B,B1776))</f>
        <v>62</v>
      </c>
    </row>
    <row r="1777" spans="1:3" x14ac:dyDescent="0.25">
      <c r="A1777" s="1" t="s">
        <v>11883</v>
      </c>
      <c r="B1777" s="1" t="s">
        <v>16375</v>
      </c>
      <c r="C1777" s="3">
        <f>IF(B1777="","",SUMIFS('Factory Costs'!$C:$C,'Factory Costs'!$A:$A,"Motor",'Factory Costs'!$B:$B,B1777))</f>
        <v>72</v>
      </c>
    </row>
    <row r="1778" spans="1:3" x14ac:dyDescent="0.25">
      <c r="A1778" s="1" t="s">
        <v>11886</v>
      </c>
      <c r="B1778" s="1" t="s">
        <v>16375</v>
      </c>
      <c r="C1778" s="3">
        <f>IF(B1778="","",SUMIFS('Factory Costs'!$C:$C,'Factory Costs'!$A:$A,"Motor",'Factory Costs'!$B:$B,B1778))</f>
        <v>72</v>
      </c>
    </row>
    <row r="1779" spans="1:3" x14ac:dyDescent="0.25">
      <c r="A1779" s="1" t="s">
        <v>11889</v>
      </c>
      <c r="B1779" s="1" t="s">
        <v>16374</v>
      </c>
      <c r="C1779" s="3">
        <f>IF(B1779="","",SUMIFS('Factory Costs'!$C:$C,'Factory Costs'!$A:$A,"Motor",'Factory Costs'!$B:$B,B1779))</f>
        <v>62</v>
      </c>
    </row>
    <row r="1780" spans="1:3" x14ac:dyDescent="0.25">
      <c r="A1780" s="1" t="s">
        <v>11892</v>
      </c>
      <c r="B1780" s="1" t="s">
        <v>16375</v>
      </c>
      <c r="C1780" s="3">
        <f>IF(B1780="","",SUMIFS('Factory Costs'!$C:$C,'Factory Costs'!$A:$A,"Motor",'Factory Costs'!$B:$B,B1780))</f>
        <v>72</v>
      </c>
    </row>
    <row r="1781" spans="1:3" x14ac:dyDescent="0.25">
      <c r="A1781" s="1" t="s">
        <v>11895</v>
      </c>
      <c r="B1781" s="1" t="s">
        <v>16374</v>
      </c>
      <c r="C1781" s="3">
        <f>IF(B1781="","",SUMIFS('Factory Costs'!$C:$C,'Factory Costs'!$A:$A,"Motor",'Factory Costs'!$B:$B,B1781))</f>
        <v>62</v>
      </c>
    </row>
    <row r="1782" spans="1:3" x14ac:dyDescent="0.25">
      <c r="A1782" s="1" t="s">
        <v>11898</v>
      </c>
      <c r="B1782" s="1" t="s">
        <v>16374</v>
      </c>
      <c r="C1782" s="3">
        <f>IF(B1782="","",SUMIFS('Factory Costs'!$C:$C,'Factory Costs'!$A:$A,"Motor",'Factory Costs'!$B:$B,B1782))</f>
        <v>62</v>
      </c>
    </row>
    <row r="1783" spans="1:3" x14ac:dyDescent="0.25">
      <c r="A1783" s="1" t="s">
        <v>11901</v>
      </c>
      <c r="B1783" s="1" t="s">
        <v>16374</v>
      </c>
      <c r="C1783" s="3">
        <f>IF(B1783="","",SUMIFS('Factory Costs'!$C:$C,'Factory Costs'!$A:$A,"Motor",'Factory Costs'!$B:$B,B1783))</f>
        <v>62</v>
      </c>
    </row>
    <row r="1784" spans="1:3" x14ac:dyDescent="0.25">
      <c r="A1784" s="1" t="s">
        <v>11904</v>
      </c>
      <c r="B1784" s="1" t="s">
        <v>16374</v>
      </c>
      <c r="C1784" s="3">
        <f>IF(B1784="","",SUMIFS('Factory Costs'!$C:$C,'Factory Costs'!$A:$A,"Motor",'Factory Costs'!$B:$B,B1784))</f>
        <v>62</v>
      </c>
    </row>
    <row r="1785" spans="1:3" x14ac:dyDescent="0.25">
      <c r="A1785" s="1" t="s">
        <v>11907</v>
      </c>
      <c r="B1785" s="1" t="s">
        <v>16374</v>
      </c>
      <c r="C1785" s="3">
        <f>IF(B1785="","",SUMIFS('Factory Costs'!$C:$C,'Factory Costs'!$A:$A,"Motor",'Factory Costs'!$B:$B,B1785))</f>
        <v>62</v>
      </c>
    </row>
    <row r="1786" spans="1:3" x14ac:dyDescent="0.25">
      <c r="A1786" s="1" t="s">
        <v>11910</v>
      </c>
      <c r="B1786" s="1" t="s">
        <v>16374</v>
      </c>
      <c r="C1786" s="3">
        <f>IF(B1786="","",SUMIFS('Factory Costs'!$C:$C,'Factory Costs'!$A:$A,"Motor",'Factory Costs'!$B:$B,B1786))</f>
        <v>62</v>
      </c>
    </row>
    <row r="1787" spans="1:3" x14ac:dyDescent="0.25">
      <c r="A1787" s="1" t="s">
        <v>11913</v>
      </c>
      <c r="B1787" s="1" t="s">
        <v>16374</v>
      </c>
      <c r="C1787" s="3">
        <f>IF(B1787="","",SUMIFS('Factory Costs'!$C:$C,'Factory Costs'!$A:$A,"Motor",'Factory Costs'!$B:$B,B1787))</f>
        <v>62</v>
      </c>
    </row>
    <row r="1788" spans="1:3" x14ac:dyDescent="0.25">
      <c r="A1788" s="1" t="s">
        <v>11916</v>
      </c>
      <c r="B1788" s="1" t="s">
        <v>16374</v>
      </c>
      <c r="C1788" s="3">
        <f>IF(B1788="","",SUMIFS('Factory Costs'!$C:$C,'Factory Costs'!$A:$A,"Motor",'Factory Costs'!$B:$B,B1788))</f>
        <v>62</v>
      </c>
    </row>
    <row r="1789" spans="1:3" x14ac:dyDescent="0.25">
      <c r="A1789" s="1" t="s">
        <v>11919</v>
      </c>
      <c r="B1789" s="1" t="s">
        <v>16374</v>
      </c>
      <c r="C1789" s="3">
        <f>IF(B1789="","",SUMIFS('Factory Costs'!$C:$C,'Factory Costs'!$A:$A,"Motor",'Factory Costs'!$B:$B,B1789))</f>
        <v>62</v>
      </c>
    </row>
    <row r="1790" spans="1:3" x14ac:dyDescent="0.25">
      <c r="A1790" s="1" t="s">
        <v>11922</v>
      </c>
      <c r="B1790" s="1" t="s">
        <v>16374</v>
      </c>
      <c r="C1790" s="3">
        <f>IF(B1790="","",SUMIFS('Factory Costs'!$C:$C,'Factory Costs'!$A:$A,"Motor",'Factory Costs'!$B:$B,B1790))</f>
        <v>62</v>
      </c>
    </row>
    <row r="1791" spans="1:3" x14ac:dyDescent="0.25">
      <c r="A1791" s="1" t="s">
        <v>11925</v>
      </c>
      <c r="B1791" s="1" t="s">
        <v>16375</v>
      </c>
      <c r="C1791" s="3">
        <f>IF(B1791="","",SUMIFS('Factory Costs'!$C:$C,'Factory Costs'!$A:$A,"Motor",'Factory Costs'!$B:$B,B1791))</f>
        <v>72</v>
      </c>
    </row>
    <row r="1792" spans="1:3" x14ac:dyDescent="0.25">
      <c r="A1792" s="1" t="s">
        <v>11928</v>
      </c>
      <c r="B1792" s="1" t="s">
        <v>16374</v>
      </c>
      <c r="C1792" s="3">
        <f>IF(B1792="","",SUMIFS('Factory Costs'!$C:$C,'Factory Costs'!$A:$A,"Motor",'Factory Costs'!$B:$B,B1792))</f>
        <v>62</v>
      </c>
    </row>
    <row r="1793" spans="1:3" x14ac:dyDescent="0.25">
      <c r="A1793" s="1" t="s">
        <v>11931</v>
      </c>
      <c r="B1793" s="1" t="s">
        <v>16374</v>
      </c>
      <c r="C1793" s="3">
        <f>IF(B1793="","",SUMIFS('Factory Costs'!$C:$C,'Factory Costs'!$A:$A,"Motor",'Factory Costs'!$B:$B,B1793))</f>
        <v>62</v>
      </c>
    </row>
    <row r="1794" spans="1:3" x14ac:dyDescent="0.25">
      <c r="A1794" s="1" t="s">
        <v>11934</v>
      </c>
      <c r="B1794" s="1" t="s">
        <v>16374</v>
      </c>
      <c r="C1794" s="3">
        <f>IF(B1794="","",SUMIFS('Factory Costs'!$C:$C,'Factory Costs'!$A:$A,"Motor",'Factory Costs'!$B:$B,B1794))</f>
        <v>62</v>
      </c>
    </row>
    <row r="1795" spans="1:3" x14ac:dyDescent="0.25">
      <c r="A1795" s="1" t="s">
        <v>11937</v>
      </c>
      <c r="B1795" s="1" t="s">
        <v>16374</v>
      </c>
      <c r="C1795" s="3">
        <f>IF(B1795="","",SUMIFS('Factory Costs'!$C:$C,'Factory Costs'!$A:$A,"Motor",'Factory Costs'!$B:$B,B1795))</f>
        <v>62</v>
      </c>
    </row>
    <row r="1796" spans="1:3" x14ac:dyDescent="0.25">
      <c r="A1796" s="1" t="s">
        <v>11940</v>
      </c>
      <c r="B1796" s="1" t="s">
        <v>16375</v>
      </c>
      <c r="C1796" s="3">
        <f>IF(B1796="","",SUMIFS('Factory Costs'!$C:$C,'Factory Costs'!$A:$A,"Motor",'Factory Costs'!$B:$B,B1796))</f>
        <v>72</v>
      </c>
    </row>
    <row r="1797" spans="1:3" x14ac:dyDescent="0.25">
      <c r="A1797" s="1" t="s">
        <v>11943</v>
      </c>
      <c r="B1797" s="1" t="s">
        <v>16374</v>
      </c>
      <c r="C1797" s="3">
        <f>IF(B1797="","",SUMIFS('Factory Costs'!$C:$C,'Factory Costs'!$A:$A,"Motor",'Factory Costs'!$B:$B,B1797))</f>
        <v>62</v>
      </c>
    </row>
    <row r="1798" spans="1:3" x14ac:dyDescent="0.25">
      <c r="A1798" s="1" t="s">
        <v>11946</v>
      </c>
      <c r="B1798" s="1" t="s">
        <v>16374</v>
      </c>
      <c r="C1798" s="3">
        <f>IF(B1798="","",SUMIFS('Factory Costs'!$C:$C,'Factory Costs'!$A:$A,"Motor",'Factory Costs'!$B:$B,B1798))</f>
        <v>62</v>
      </c>
    </row>
    <row r="1799" spans="1:3" x14ac:dyDescent="0.25">
      <c r="A1799" s="1" t="s">
        <v>11949</v>
      </c>
      <c r="B1799" s="1" t="s">
        <v>16375</v>
      </c>
      <c r="C1799" s="3">
        <f>IF(B1799="","",SUMIFS('Factory Costs'!$C:$C,'Factory Costs'!$A:$A,"Motor",'Factory Costs'!$B:$B,B1799))</f>
        <v>72</v>
      </c>
    </row>
    <row r="1800" spans="1:3" x14ac:dyDescent="0.25">
      <c r="A1800" s="1" t="s">
        <v>11952</v>
      </c>
      <c r="B1800" s="1" t="s">
        <v>16374</v>
      </c>
      <c r="C1800" s="3">
        <f>IF(B1800="","",SUMIFS('Factory Costs'!$C:$C,'Factory Costs'!$A:$A,"Motor",'Factory Costs'!$B:$B,B1800))</f>
        <v>62</v>
      </c>
    </row>
    <row r="1801" spans="1:3" x14ac:dyDescent="0.25">
      <c r="A1801" s="1" t="s">
        <v>11955</v>
      </c>
      <c r="B1801" s="1" t="s">
        <v>16374</v>
      </c>
      <c r="C1801" s="3">
        <f>IF(B1801="","",SUMIFS('Factory Costs'!$C:$C,'Factory Costs'!$A:$A,"Motor",'Factory Costs'!$B:$B,B1801))</f>
        <v>62</v>
      </c>
    </row>
    <row r="1802" spans="1:3" x14ac:dyDescent="0.25">
      <c r="A1802" s="1" t="s">
        <v>11958</v>
      </c>
      <c r="B1802" s="1" t="s">
        <v>16374</v>
      </c>
      <c r="C1802" s="3">
        <f>IF(B1802="","",SUMIFS('Factory Costs'!$C:$C,'Factory Costs'!$A:$A,"Motor",'Factory Costs'!$B:$B,B1802))</f>
        <v>62</v>
      </c>
    </row>
    <row r="1803" spans="1:3" x14ac:dyDescent="0.25">
      <c r="A1803" s="1" t="s">
        <v>11961</v>
      </c>
      <c r="B1803" s="1" t="s">
        <v>16375</v>
      </c>
      <c r="C1803" s="3">
        <f>IF(B1803="","",SUMIFS('Factory Costs'!$C:$C,'Factory Costs'!$A:$A,"Motor",'Factory Costs'!$B:$B,B1803))</f>
        <v>72</v>
      </c>
    </row>
    <row r="1804" spans="1:3" x14ac:dyDescent="0.25">
      <c r="A1804" s="1" t="s">
        <v>11964</v>
      </c>
      <c r="B1804" s="1" t="s">
        <v>16374</v>
      </c>
      <c r="C1804" s="3">
        <f>IF(B1804="","",SUMIFS('Factory Costs'!$C:$C,'Factory Costs'!$A:$A,"Motor",'Factory Costs'!$B:$B,B1804))</f>
        <v>62</v>
      </c>
    </row>
    <row r="1805" spans="1:3" x14ac:dyDescent="0.25">
      <c r="A1805" s="1" t="s">
        <v>11967</v>
      </c>
      <c r="B1805" s="1" t="s">
        <v>16374</v>
      </c>
      <c r="C1805" s="3">
        <f>IF(B1805="","",SUMIFS('Factory Costs'!$C:$C,'Factory Costs'!$A:$A,"Motor",'Factory Costs'!$B:$B,B1805))</f>
        <v>62</v>
      </c>
    </row>
    <row r="1806" spans="1:3" x14ac:dyDescent="0.25">
      <c r="A1806" s="1" t="s">
        <v>11970</v>
      </c>
      <c r="B1806" s="1" t="s">
        <v>16374</v>
      </c>
      <c r="C1806" s="3">
        <f>IF(B1806="","",SUMIFS('Factory Costs'!$C:$C,'Factory Costs'!$A:$A,"Motor",'Factory Costs'!$B:$B,B1806))</f>
        <v>62</v>
      </c>
    </row>
    <row r="1807" spans="1:3" x14ac:dyDescent="0.25">
      <c r="A1807" s="1" t="s">
        <v>11973</v>
      </c>
      <c r="B1807" s="1" t="s">
        <v>16374</v>
      </c>
      <c r="C1807" s="3">
        <f>IF(B1807="","",SUMIFS('Factory Costs'!$C:$C,'Factory Costs'!$A:$A,"Motor",'Factory Costs'!$B:$B,B1807))</f>
        <v>62</v>
      </c>
    </row>
    <row r="1808" spans="1:3" x14ac:dyDescent="0.25">
      <c r="A1808" s="1" t="s">
        <v>11976</v>
      </c>
      <c r="B1808" s="1" t="s">
        <v>16374</v>
      </c>
      <c r="C1808" s="3">
        <f>IF(B1808="","",SUMIFS('Factory Costs'!$C:$C,'Factory Costs'!$A:$A,"Motor",'Factory Costs'!$B:$B,B1808))</f>
        <v>62</v>
      </c>
    </row>
    <row r="1809" spans="1:3" x14ac:dyDescent="0.25">
      <c r="A1809" s="1" t="s">
        <v>11979</v>
      </c>
      <c r="B1809" s="1" t="s">
        <v>16375</v>
      </c>
      <c r="C1809" s="3">
        <f>IF(B1809="","",SUMIFS('Factory Costs'!$C:$C,'Factory Costs'!$A:$A,"Motor",'Factory Costs'!$B:$B,B1809))</f>
        <v>72</v>
      </c>
    </row>
    <row r="1810" spans="1:3" x14ac:dyDescent="0.25">
      <c r="A1810" s="1" t="s">
        <v>11982</v>
      </c>
      <c r="B1810" s="1" t="s">
        <v>16374</v>
      </c>
      <c r="C1810" s="3">
        <f>IF(B1810="","",SUMIFS('Factory Costs'!$C:$C,'Factory Costs'!$A:$A,"Motor",'Factory Costs'!$B:$B,B1810))</f>
        <v>62</v>
      </c>
    </row>
    <row r="1811" spans="1:3" x14ac:dyDescent="0.25">
      <c r="A1811" s="1" t="s">
        <v>11985</v>
      </c>
      <c r="B1811" s="1" t="s">
        <v>16374</v>
      </c>
      <c r="C1811" s="3">
        <f>IF(B1811="","",SUMIFS('Factory Costs'!$C:$C,'Factory Costs'!$A:$A,"Motor",'Factory Costs'!$B:$B,B1811))</f>
        <v>62</v>
      </c>
    </row>
    <row r="1812" spans="1:3" x14ac:dyDescent="0.25">
      <c r="A1812" s="1" t="s">
        <v>11988</v>
      </c>
      <c r="B1812" s="1" t="s">
        <v>16375</v>
      </c>
      <c r="C1812" s="3">
        <f>IF(B1812="","",SUMIFS('Factory Costs'!$C:$C,'Factory Costs'!$A:$A,"Motor",'Factory Costs'!$B:$B,B1812))</f>
        <v>72</v>
      </c>
    </row>
    <row r="1813" spans="1:3" x14ac:dyDescent="0.25">
      <c r="A1813" s="1" t="s">
        <v>11991</v>
      </c>
      <c r="B1813" s="1" t="s">
        <v>16374</v>
      </c>
      <c r="C1813" s="3">
        <f>IF(B1813="","",SUMIFS('Factory Costs'!$C:$C,'Factory Costs'!$A:$A,"Motor",'Factory Costs'!$B:$B,B1813))</f>
        <v>62</v>
      </c>
    </row>
    <row r="1814" spans="1:3" x14ac:dyDescent="0.25">
      <c r="A1814" s="1" t="s">
        <v>11994</v>
      </c>
      <c r="B1814" s="1" t="s">
        <v>16374</v>
      </c>
      <c r="C1814" s="3">
        <f>IF(B1814="","",SUMIFS('Factory Costs'!$C:$C,'Factory Costs'!$A:$A,"Motor",'Factory Costs'!$B:$B,B1814))</f>
        <v>62</v>
      </c>
    </row>
    <row r="1815" spans="1:3" x14ac:dyDescent="0.25">
      <c r="A1815" s="1" t="s">
        <v>11997</v>
      </c>
      <c r="B1815" s="1" t="s">
        <v>16374</v>
      </c>
      <c r="C1815" s="3">
        <f>IF(B1815="","",SUMIFS('Factory Costs'!$C:$C,'Factory Costs'!$A:$A,"Motor",'Factory Costs'!$B:$B,B1815))</f>
        <v>62</v>
      </c>
    </row>
    <row r="1816" spans="1:3" x14ac:dyDescent="0.25">
      <c r="A1816" s="1" t="s">
        <v>12000</v>
      </c>
      <c r="B1816" s="1" t="s">
        <v>16374</v>
      </c>
      <c r="C1816" s="3">
        <f>IF(B1816="","",SUMIFS('Factory Costs'!$C:$C,'Factory Costs'!$A:$A,"Motor",'Factory Costs'!$B:$B,B1816))</f>
        <v>62</v>
      </c>
    </row>
    <row r="1817" spans="1:3" x14ac:dyDescent="0.25">
      <c r="A1817" s="1" t="s">
        <v>12003</v>
      </c>
      <c r="B1817" s="1" t="s">
        <v>16374</v>
      </c>
      <c r="C1817" s="3">
        <f>IF(B1817="","",SUMIFS('Factory Costs'!$C:$C,'Factory Costs'!$A:$A,"Motor",'Factory Costs'!$B:$B,B1817))</f>
        <v>62</v>
      </c>
    </row>
    <row r="1818" spans="1:3" x14ac:dyDescent="0.25">
      <c r="A1818" s="1" t="s">
        <v>12006</v>
      </c>
      <c r="B1818" s="1" t="s">
        <v>16375</v>
      </c>
      <c r="C1818" s="3">
        <f>IF(B1818="","",SUMIFS('Factory Costs'!$C:$C,'Factory Costs'!$A:$A,"Motor",'Factory Costs'!$B:$B,B1818))</f>
        <v>72</v>
      </c>
    </row>
    <row r="1819" spans="1:3" x14ac:dyDescent="0.25">
      <c r="A1819" s="1" t="s">
        <v>12009</v>
      </c>
      <c r="B1819" s="1" t="s">
        <v>16374</v>
      </c>
      <c r="C1819" s="3">
        <f>IF(B1819="","",SUMIFS('Factory Costs'!$C:$C,'Factory Costs'!$A:$A,"Motor",'Factory Costs'!$B:$B,B1819))</f>
        <v>62</v>
      </c>
    </row>
    <row r="1820" spans="1:3" x14ac:dyDescent="0.25">
      <c r="A1820" s="1" t="s">
        <v>12012</v>
      </c>
      <c r="B1820" s="1" t="s">
        <v>16374</v>
      </c>
      <c r="C1820" s="3">
        <f>IF(B1820="","",SUMIFS('Factory Costs'!$C:$C,'Factory Costs'!$A:$A,"Motor",'Factory Costs'!$B:$B,B1820))</f>
        <v>62</v>
      </c>
    </row>
    <row r="1821" spans="1:3" x14ac:dyDescent="0.25">
      <c r="A1821" s="1" t="s">
        <v>12015</v>
      </c>
      <c r="B1821" s="1" t="s">
        <v>16375</v>
      </c>
      <c r="C1821" s="3">
        <f>IF(B1821="","",SUMIFS('Factory Costs'!$C:$C,'Factory Costs'!$A:$A,"Motor",'Factory Costs'!$B:$B,B1821))</f>
        <v>72</v>
      </c>
    </row>
    <row r="1822" spans="1:3" x14ac:dyDescent="0.25">
      <c r="A1822" s="1" t="s">
        <v>12018</v>
      </c>
      <c r="B1822" s="1" t="s">
        <v>16375</v>
      </c>
      <c r="C1822" s="3">
        <f>IF(B1822="","",SUMIFS('Factory Costs'!$C:$C,'Factory Costs'!$A:$A,"Motor",'Factory Costs'!$B:$B,B1822))</f>
        <v>72</v>
      </c>
    </row>
    <row r="1823" spans="1:3" x14ac:dyDescent="0.25">
      <c r="A1823" s="1" t="s">
        <v>12021</v>
      </c>
      <c r="B1823" s="1" t="s">
        <v>16375</v>
      </c>
      <c r="C1823" s="3">
        <f>IF(B1823="","",SUMIFS('Factory Costs'!$C:$C,'Factory Costs'!$A:$A,"Motor",'Factory Costs'!$B:$B,B1823))</f>
        <v>72</v>
      </c>
    </row>
    <row r="1824" spans="1:3" x14ac:dyDescent="0.25">
      <c r="A1824" s="1" t="s">
        <v>12024</v>
      </c>
      <c r="B1824" s="1" t="s">
        <v>16374</v>
      </c>
      <c r="C1824" s="3">
        <f>IF(B1824="","",SUMIFS('Factory Costs'!$C:$C,'Factory Costs'!$A:$A,"Motor",'Factory Costs'!$B:$B,B1824))</f>
        <v>62</v>
      </c>
    </row>
    <row r="1825" spans="1:3" x14ac:dyDescent="0.25">
      <c r="A1825" s="1" t="s">
        <v>12027</v>
      </c>
      <c r="B1825" s="1" t="s">
        <v>16374</v>
      </c>
      <c r="C1825" s="3">
        <f>IF(B1825="","",SUMIFS('Factory Costs'!$C:$C,'Factory Costs'!$A:$A,"Motor",'Factory Costs'!$B:$B,B1825))</f>
        <v>62</v>
      </c>
    </row>
    <row r="1826" spans="1:3" x14ac:dyDescent="0.25">
      <c r="A1826" s="1" t="s">
        <v>12030</v>
      </c>
      <c r="B1826" s="1" t="s">
        <v>16374</v>
      </c>
      <c r="C1826" s="3">
        <f>IF(B1826="","",SUMIFS('Factory Costs'!$C:$C,'Factory Costs'!$A:$A,"Motor",'Factory Costs'!$B:$B,B1826))</f>
        <v>62</v>
      </c>
    </row>
    <row r="1827" spans="1:3" x14ac:dyDescent="0.25">
      <c r="A1827" s="1" t="s">
        <v>12033</v>
      </c>
      <c r="B1827" s="1" t="s">
        <v>16374</v>
      </c>
      <c r="C1827" s="3">
        <f>IF(B1827="","",SUMIFS('Factory Costs'!$C:$C,'Factory Costs'!$A:$A,"Motor",'Factory Costs'!$B:$B,B1827))</f>
        <v>62</v>
      </c>
    </row>
    <row r="1828" spans="1:3" x14ac:dyDescent="0.25">
      <c r="A1828" s="1" t="s">
        <v>12036</v>
      </c>
      <c r="B1828" s="1" t="s">
        <v>16375</v>
      </c>
      <c r="C1828" s="3">
        <f>IF(B1828="","",SUMIFS('Factory Costs'!$C:$C,'Factory Costs'!$A:$A,"Motor",'Factory Costs'!$B:$B,B1828))</f>
        <v>72</v>
      </c>
    </row>
    <row r="1829" spans="1:3" x14ac:dyDescent="0.25">
      <c r="A1829" s="1" t="s">
        <v>12039</v>
      </c>
      <c r="B1829" s="1" t="s">
        <v>16374</v>
      </c>
      <c r="C1829" s="3">
        <f>IF(B1829="","",SUMIFS('Factory Costs'!$C:$C,'Factory Costs'!$A:$A,"Motor",'Factory Costs'!$B:$B,B1829))</f>
        <v>62</v>
      </c>
    </row>
    <row r="1830" spans="1:3" x14ac:dyDescent="0.25">
      <c r="A1830" s="1" t="s">
        <v>12042</v>
      </c>
      <c r="B1830" s="1" t="s">
        <v>16374</v>
      </c>
      <c r="C1830" s="3">
        <f>IF(B1830="","",SUMIFS('Factory Costs'!$C:$C,'Factory Costs'!$A:$A,"Motor",'Factory Costs'!$B:$B,B1830))</f>
        <v>62</v>
      </c>
    </row>
    <row r="1831" spans="1:3" x14ac:dyDescent="0.25">
      <c r="A1831" s="1" t="s">
        <v>12045</v>
      </c>
      <c r="B1831" s="1" t="s">
        <v>16374</v>
      </c>
      <c r="C1831" s="3">
        <f>IF(B1831="","",SUMIFS('Factory Costs'!$C:$C,'Factory Costs'!$A:$A,"Motor",'Factory Costs'!$B:$B,B1831))</f>
        <v>62</v>
      </c>
    </row>
    <row r="1832" spans="1:3" x14ac:dyDescent="0.25">
      <c r="A1832" s="1" t="s">
        <v>12048</v>
      </c>
      <c r="B1832" s="1" t="s">
        <v>16374</v>
      </c>
      <c r="C1832" s="3">
        <f>IF(B1832="","",SUMIFS('Factory Costs'!$C:$C,'Factory Costs'!$A:$A,"Motor",'Factory Costs'!$B:$B,B1832))</f>
        <v>62</v>
      </c>
    </row>
    <row r="1833" spans="1:3" x14ac:dyDescent="0.25">
      <c r="A1833" s="1" t="s">
        <v>12051</v>
      </c>
      <c r="B1833" s="1" t="s">
        <v>16374</v>
      </c>
      <c r="C1833" s="3">
        <f>IF(B1833="","",SUMIFS('Factory Costs'!$C:$C,'Factory Costs'!$A:$A,"Motor",'Factory Costs'!$B:$B,B1833))</f>
        <v>62</v>
      </c>
    </row>
    <row r="1834" spans="1:3" x14ac:dyDescent="0.25">
      <c r="A1834" s="1" t="s">
        <v>12054</v>
      </c>
      <c r="B1834" s="1" t="s">
        <v>16375</v>
      </c>
      <c r="C1834" s="3">
        <f>IF(B1834="","",SUMIFS('Factory Costs'!$C:$C,'Factory Costs'!$A:$A,"Motor",'Factory Costs'!$B:$B,B1834))</f>
        <v>72</v>
      </c>
    </row>
    <row r="1835" spans="1:3" x14ac:dyDescent="0.25">
      <c r="A1835" s="1" t="s">
        <v>12057</v>
      </c>
      <c r="B1835" s="1" t="s">
        <v>16374</v>
      </c>
      <c r="C1835" s="3">
        <f>IF(B1835="","",SUMIFS('Factory Costs'!$C:$C,'Factory Costs'!$A:$A,"Motor",'Factory Costs'!$B:$B,B1835))</f>
        <v>62</v>
      </c>
    </row>
    <row r="1836" spans="1:3" x14ac:dyDescent="0.25">
      <c r="A1836" s="1" t="s">
        <v>12060</v>
      </c>
      <c r="B1836" s="1" t="s">
        <v>16374</v>
      </c>
      <c r="C1836" s="3">
        <f>IF(B1836="","",SUMIFS('Factory Costs'!$C:$C,'Factory Costs'!$A:$A,"Motor",'Factory Costs'!$B:$B,B1836))</f>
        <v>62</v>
      </c>
    </row>
    <row r="1837" spans="1:3" x14ac:dyDescent="0.25">
      <c r="A1837" s="1" t="s">
        <v>12063</v>
      </c>
      <c r="B1837" s="1" t="s">
        <v>16374</v>
      </c>
      <c r="C1837" s="3">
        <f>IF(B1837="","",SUMIFS('Factory Costs'!$C:$C,'Factory Costs'!$A:$A,"Motor",'Factory Costs'!$B:$B,B1837))</f>
        <v>62</v>
      </c>
    </row>
    <row r="1838" spans="1:3" x14ac:dyDescent="0.25">
      <c r="A1838" s="1" t="s">
        <v>12066</v>
      </c>
      <c r="B1838" s="1" t="s">
        <v>16374</v>
      </c>
      <c r="C1838" s="3">
        <f>IF(B1838="","",SUMIFS('Factory Costs'!$C:$C,'Factory Costs'!$A:$A,"Motor",'Factory Costs'!$B:$B,B1838))</f>
        <v>62</v>
      </c>
    </row>
    <row r="1839" spans="1:3" x14ac:dyDescent="0.25">
      <c r="A1839" s="1" t="s">
        <v>12069</v>
      </c>
      <c r="B1839" s="1" t="s">
        <v>16375</v>
      </c>
      <c r="C1839" s="3">
        <f>IF(B1839="","",SUMIFS('Factory Costs'!$C:$C,'Factory Costs'!$A:$A,"Motor",'Factory Costs'!$B:$B,B1839))</f>
        <v>72</v>
      </c>
    </row>
    <row r="1840" spans="1:3" x14ac:dyDescent="0.25">
      <c r="A1840" s="1" t="s">
        <v>12072</v>
      </c>
      <c r="B1840" s="1" t="s">
        <v>16374</v>
      </c>
      <c r="C1840" s="3">
        <f>IF(B1840="","",SUMIFS('Factory Costs'!$C:$C,'Factory Costs'!$A:$A,"Motor",'Factory Costs'!$B:$B,B1840))</f>
        <v>62</v>
      </c>
    </row>
    <row r="1841" spans="1:3" x14ac:dyDescent="0.25">
      <c r="A1841" s="1" t="s">
        <v>12075</v>
      </c>
      <c r="B1841" s="1" t="s">
        <v>16375</v>
      </c>
      <c r="C1841" s="3">
        <f>IF(B1841="","",SUMIFS('Factory Costs'!$C:$C,'Factory Costs'!$A:$A,"Motor",'Factory Costs'!$B:$B,B1841))</f>
        <v>72</v>
      </c>
    </row>
    <row r="1842" spans="1:3" x14ac:dyDescent="0.25">
      <c r="A1842" s="1" t="s">
        <v>12078</v>
      </c>
      <c r="B1842" s="1" t="s">
        <v>16374</v>
      </c>
      <c r="C1842" s="3">
        <f>IF(B1842="","",SUMIFS('Factory Costs'!$C:$C,'Factory Costs'!$A:$A,"Motor",'Factory Costs'!$B:$B,B1842))</f>
        <v>62</v>
      </c>
    </row>
    <row r="1843" spans="1:3" x14ac:dyDescent="0.25">
      <c r="A1843" s="1" t="s">
        <v>12081</v>
      </c>
      <c r="B1843" s="1" t="s">
        <v>16375</v>
      </c>
      <c r="C1843" s="3">
        <f>IF(B1843="","",SUMIFS('Factory Costs'!$C:$C,'Factory Costs'!$A:$A,"Motor",'Factory Costs'!$B:$B,B1843))</f>
        <v>72</v>
      </c>
    </row>
    <row r="1844" spans="1:3" x14ac:dyDescent="0.25">
      <c r="A1844" s="1" t="s">
        <v>12084</v>
      </c>
      <c r="B1844" s="1" t="s">
        <v>16375</v>
      </c>
      <c r="C1844" s="3">
        <f>IF(B1844="","",SUMIFS('Factory Costs'!$C:$C,'Factory Costs'!$A:$A,"Motor",'Factory Costs'!$B:$B,B1844))</f>
        <v>72</v>
      </c>
    </row>
    <row r="1845" spans="1:3" x14ac:dyDescent="0.25">
      <c r="A1845" s="1" t="s">
        <v>12087</v>
      </c>
      <c r="B1845" s="1" t="s">
        <v>16374</v>
      </c>
      <c r="C1845" s="3">
        <f>IF(B1845="","",SUMIFS('Factory Costs'!$C:$C,'Factory Costs'!$A:$A,"Motor",'Factory Costs'!$B:$B,B1845))</f>
        <v>62</v>
      </c>
    </row>
    <row r="1846" spans="1:3" x14ac:dyDescent="0.25">
      <c r="A1846" s="1" t="s">
        <v>12090</v>
      </c>
      <c r="B1846" s="1" t="s">
        <v>16374</v>
      </c>
      <c r="C1846" s="3">
        <f>IF(B1846="","",SUMIFS('Factory Costs'!$C:$C,'Factory Costs'!$A:$A,"Motor",'Factory Costs'!$B:$B,B1846))</f>
        <v>62</v>
      </c>
    </row>
    <row r="1847" spans="1:3" x14ac:dyDescent="0.25">
      <c r="A1847" s="1" t="s">
        <v>12093</v>
      </c>
      <c r="B1847" s="1" t="s">
        <v>16375</v>
      </c>
      <c r="C1847" s="3">
        <f>IF(B1847="","",SUMIFS('Factory Costs'!$C:$C,'Factory Costs'!$A:$A,"Motor",'Factory Costs'!$B:$B,B1847))</f>
        <v>72</v>
      </c>
    </row>
    <row r="1848" spans="1:3" x14ac:dyDescent="0.25">
      <c r="A1848" s="1" t="s">
        <v>12096</v>
      </c>
      <c r="B1848" s="1" t="s">
        <v>16374</v>
      </c>
      <c r="C1848" s="3">
        <f>IF(B1848="","",SUMIFS('Factory Costs'!$C:$C,'Factory Costs'!$A:$A,"Motor",'Factory Costs'!$B:$B,B1848))</f>
        <v>62</v>
      </c>
    </row>
    <row r="1849" spans="1:3" x14ac:dyDescent="0.25">
      <c r="A1849" s="1" t="s">
        <v>12099</v>
      </c>
      <c r="B1849" s="1" t="s">
        <v>16375</v>
      </c>
      <c r="C1849" s="3">
        <f>IF(B1849="","",SUMIFS('Factory Costs'!$C:$C,'Factory Costs'!$A:$A,"Motor",'Factory Costs'!$B:$B,B1849))</f>
        <v>72</v>
      </c>
    </row>
    <row r="1850" spans="1:3" x14ac:dyDescent="0.25">
      <c r="A1850" s="1" t="s">
        <v>12102</v>
      </c>
      <c r="B1850" s="1" t="s">
        <v>16375</v>
      </c>
      <c r="C1850" s="3">
        <f>IF(B1850="","",SUMIFS('Factory Costs'!$C:$C,'Factory Costs'!$A:$A,"Motor",'Factory Costs'!$B:$B,B1850))</f>
        <v>72</v>
      </c>
    </row>
    <row r="1851" spans="1:3" x14ac:dyDescent="0.25">
      <c r="A1851" s="1" t="s">
        <v>12105</v>
      </c>
      <c r="B1851" s="1" t="s">
        <v>16374</v>
      </c>
      <c r="C1851" s="3">
        <f>IF(B1851="","",SUMIFS('Factory Costs'!$C:$C,'Factory Costs'!$A:$A,"Motor",'Factory Costs'!$B:$B,B1851))</f>
        <v>62</v>
      </c>
    </row>
    <row r="1852" spans="1:3" x14ac:dyDescent="0.25">
      <c r="A1852" s="1" t="s">
        <v>12108</v>
      </c>
      <c r="B1852" s="1" t="s">
        <v>16374</v>
      </c>
      <c r="C1852" s="3">
        <f>IF(B1852="","",SUMIFS('Factory Costs'!$C:$C,'Factory Costs'!$A:$A,"Motor",'Factory Costs'!$B:$B,B1852))</f>
        <v>62</v>
      </c>
    </row>
    <row r="1853" spans="1:3" x14ac:dyDescent="0.25">
      <c r="A1853" s="1" t="s">
        <v>12111</v>
      </c>
      <c r="B1853" s="1" t="s">
        <v>16374</v>
      </c>
      <c r="C1853" s="3">
        <f>IF(B1853="","",SUMIFS('Factory Costs'!$C:$C,'Factory Costs'!$A:$A,"Motor",'Factory Costs'!$B:$B,B1853))</f>
        <v>62</v>
      </c>
    </row>
    <row r="1854" spans="1:3" x14ac:dyDescent="0.25">
      <c r="A1854" s="1" t="s">
        <v>12114</v>
      </c>
      <c r="B1854" s="1" t="s">
        <v>16374</v>
      </c>
      <c r="C1854" s="3">
        <f>IF(B1854="","",SUMIFS('Factory Costs'!$C:$C,'Factory Costs'!$A:$A,"Motor",'Factory Costs'!$B:$B,B1854))</f>
        <v>62</v>
      </c>
    </row>
    <row r="1855" spans="1:3" x14ac:dyDescent="0.25">
      <c r="A1855" s="1" t="s">
        <v>12117</v>
      </c>
      <c r="B1855" s="1" t="s">
        <v>16374</v>
      </c>
      <c r="C1855" s="3">
        <f>IF(B1855="","",SUMIFS('Factory Costs'!$C:$C,'Factory Costs'!$A:$A,"Motor",'Factory Costs'!$B:$B,B1855))</f>
        <v>62</v>
      </c>
    </row>
    <row r="1856" spans="1:3" x14ac:dyDescent="0.25">
      <c r="A1856" s="1" t="s">
        <v>12120</v>
      </c>
      <c r="B1856" s="1" t="s">
        <v>16374</v>
      </c>
      <c r="C1856" s="3">
        <f>IF(B1856="","",SUMIFS('Factory Costs'!$C:$C,'Factory Costs'!$A:$A,"Motor",'Factory Costs'!$B:$B,B1856))</f>
        <v>62</v>
      </c>
    </row>
    <row r="1857" spans="1:3" x14ac:dyDescent="0.25">
      <c r="A1857" s="1" t="s">
        <v>12123</v>
      </c>
      <c r="B1857" s="1" t="s">
        <v>16375</v>
      </c>
      <c r="C1857" s="3">
        <f>IF(B1857="","",SUMIFS('Factory Costs'!$C:$C,'Factory Costs'!$A:$A,"Motor",'Factory Costs'!$B:$B,B1857))</f>
        <v>72</v>
      </c>
    </row>
    <row r="1858" spans="1:3" x14ac:dyDescent="0.25">
      <c r="A1858" s="1" t="s">
        <v>12126</v>
      </c>
      <c r="B1858" s="1" t="s">
        <v>16375</v>
      </c>
      <c r="C1858" s="3">
        <f>IF(B1858="","",SUMIFS('Factory Costs'!$C:$C,'Factory Costs'!$A:$A,"Motor",'Factory Costs'!$B:$B,B1858))</f>
        <v>72</v>
      </c>
    </row>
    <row r="1859" spans="1:3" x14ac:dyDescent="0.25">
      <c r="A1859" s="1" t="s">
        <v>12129</v>
      </c>
      <c r="B1859" s="1" t="s">
        <v>16374</v>
      </c>
      <c r="C1859" s="3">
        <f>IF(B1859="","",SUMIFS('Factory Costs'!$C:$C,'Factory Costs'!$A:$A,"Motor",'Factory Costs'!$B:$B,B1859))</f>
        <v>62</v>
      </c>
    </row>
    <row r="1860" spans="1:3" x14ac:dyDescent="0.25">
      <c r="A1860" s="1" t="s">
        <v>12132</v>
      </c>
      <c r="B1860" s="1" t="s">
        <v>16374</v>
      </c>
      <c r="C1860" s="3">
        <f>IF(B1860="","",SUMIFS('Factory Costs'!$C:$C,'Factory Costs'!$A:$A,"Motor",'Factory Costs'!$B:$B,B1860))</f>
        <v>62</v>
      </c>
    </row>
    <row r="1861" spans="1:3" x14ac:dyDescent="0.25">
      <c r="A1861" s="1" t="s">
        <v>12135</v>
      </c>
      <c r="B1861" s="1" t="s">
        <v>16374</v>
      </c>
      <c r="C1861" s="3">
        <f>IF(B1861="","",SUMIFS('Factory Costs'!$C:$C,'Factory Costs'!$A:$A,"Motor",'Factory Costs'!$B:$B,B1861))</f>
        <v>62</v>
      </c>
    </row>
    <row r="1862" spans="1:3" x14ac:dyDescent="0.25">
      <c r="A1862" s="1" t="s">
        <v>12138</v>
      </c>
      <c r="B1862" s="1" t="s">
        <v>16374</v>
      </c>
      <c r="C1862" s="3">
        <f>IF(B1862="","",SUMIFS('Factory Costs'!$C:$C,'Factory Costs'!$A:$A,"Motor",'Factory Costs'!$B:$B,B1862))</f>
        <v>62</v>
      </c>
    </row>
    <row r="1863" spans="1:3" x14ac:dyDescent="0.25">
      <c r="A1863" s="1" t="s">
        <v>12141</v>
      </c>
      <c r="B1863" s="1" t="s">
        <v>16375</v>
      </c>
      <c r="C1863" s="3">
        <f>IF(B1863="","",SUMIFS('Factory Costs'!$C:$C,'Factory Costs'!$A:$A,"Motor",'Factory Costs'!$B:$B,B1863))</f>
        <v>72</v>
      </c>
    </row>
    <row r="1864" spans="1:3" x14ac:dyDescent="0.25">
      <c r="A1864" s="1" t="s">
        <v>12144</v>
      </c>
      <c r="B1864" s="1" t="s">
        <v>16375</v>
      </c>
      <c r="C1864" s="3">
        <f>IF(B1864="","",SUMIFS('Factory Costs'!$C:$C,'Factory Costs'!$A:$A,"Motor",'Factory Costs'!$B:$B,B1864))</f>
        <v>72</v>
      </c>
    </row>
    <row r="1865" spans="1:3" x14ac:dyDescent="0.25">
      <c r="A1865" s="1" t="s">
        <v>12147</v>
      </c>
      <c r="B1865" s="1" t="s">
        <v>16374</v>
      </c>
      <c r="C1865" s="3">
        <f>IF(B1865="","",SUMIFS('Factory Costs'!$C:$C,'Factory Costs'!$A:$A,"Motor",'Factory Costs'!$B:$B,B1865))</f>
        <v>62</v>
      </c>
    </row>
    <row r="1866" spans="1:3" x14ac:dyDescent="0.25">
      <c r="A1866" s="1" t="s">
        <v>12150</v>
      </c>
      <c r="B1866" s="1" t="s">
        <v>16374</v>
      </c>
      <c r="C1866" s="3">
        <f>IF(B1866="","",SUMIFS('Factory Costs'!$C:$C,'Factory Costs'!$A:$A,"Motor",'Factory Costs'!$B:$B,B1866))</f>
        <v>62</v>
      </c>
    </row>
    <row r="1867" spans="1:3" x14ac:dyDescent="0.25">
      <c r="A1867" s="1" t="s">
        <v>12153</v>
      </c>
      <c r="B1867" s="1" t="s">
        <v>16374</v>
      </c>
      <c r="C1867" s="3">
        <f>IF(B1867="","",SUMIFS('Factory Costs'!$C:$C,'Factory Costs'!$A:$A,"Motor",'Factory Costs'!$B:$B,B1867))</f>
        <v>62</v>
      </c>
    </row>
    <row r="1868" spans="1:3" x14ac:dyDescent="0.25">
      <c r="A1868" s="1" t="s">
        <v>12156</v>
      </c>
      <c r="B1868" s="1" t="s">
        <v>16375</v>
      </c>
      <c r="C1868" s="3">
        <f>IF(B1868="","",SUMIFS('Factory Costs'!$C:$C,'Factory Costs'!$A:$A,"Motor",'Factory Costs'!$B:$B,B1868))</f>
        <v>72</v>
      </c>
    </row>
    <row r="1869" spans="1:3" x14ac:dyDescent="0.25">
      <c r="A1869" s="1" t="s">
        <v>12159</v>
      </c>
      <c r="B1869" s="1" t="s">
        <v>16374</v>
      </c>
      <c r="C1869" s="3">
        <f>IF(B1869="","",SUMIFS('Factory Costs'!$C:$C,'Factory Costs'!$A:$A,"Motor",'Factory Costs'!$B:$B,B1869))</f>
        <v>62</v>
      </c>
    </row>
    <row r="1870" spans="1:3" x14ac:dyDescent="0.25">
      <c r="A1870" s="1" t="s">
        <v>12162</v>
      </c>
      <c r="B1870" s="1" t="s">
        <v>16375</v>
      </c>
      <c r="C1870" s="3">
        <f>IF(B1870="","",SUMIFS('Factory Costs'!$C:$C,'Factory Costs'!$A:$A,"Motor",'Factory Costs'!$B:$B,B1870))</f>
        <v>72</v>
      </c>
    </row>
    <row r="1871" spans="1:3" x14ac:dyDescent="0.25">
      <c r="A1871" s="1" t="s">
        <v>12165</v>
      </c>
      <c r="B1871" s="1" t="s">
        <v>16374</v>
      </c>
      <c r="C1871" s="3">
        <f>IF(B1871="","",SUMIFS('Factory Costs'!$C:$C,'Factory Costs'!$A:$A,"Motor",'Factory Costs'!$B:$B,B1871))</f>
        <v>62</v>
      </c>
    </row>
    <row r="1872" spans="1:3" x14ac:dyDescent="0.25">
      <c r="A1872" s="1" t="s">
        <v>12168</v>
      </c>
      <c r="B1872" s="1" t="s">
        <v>16374</v>
      </c>
      <c r="C1872" s="3">
        <f>IF(B1872="","",SUMIFS('Factory Costs'!$C:$C,'Factory Costs'!$A:$A,"Motor",'Factory Costs'!$B:$B,B1872))</f>
        <v>62</v>
      </c>
    </row>
    <row r="1873" spans="1:3" x14ac:dyDescent="0.25">
      <c r="A1873" s="1" t="s">
        <v>12171</v>
      </c>
      <c r="B1873" s="1" t="s">
        <v>16375</v>
      </c>
      <c r="C1873" s="3">
        <f>IF(B1873="","",SUMIFS('Factory Costs'!$C:$C,'Factory Costs'!$A:$A,"Motor",'Factory Costs'!$B:$B,B1873))</f>
        <v>72</v>
      </c>
    </row>
    <row r="1874" spans="1:3" x14ac:dyDescent="0.25">
      <c r="A1874" s="1" t="s">
        <v>12174</v>
      </c>
      <c r="B1874" s="1" t="s">
        <v>16374</v>
      </c>
      <c r="C1874" s="3">
        <f>IF(B1874="","",SUMIFS('Factory Costs'!$C:$C,'Factory Costs'!$A:$A,"Motor",'Factory Costs'!$B:$B,B1874))</f>
        <v>62</v>
      </c>
    </row>
    <row r="1875" spans="1:3" x14ac:dyDescent="0.25">
      <c r="A1875" s="1" t="s">
        <v>12177</v>
      </c>
      <c r="B1875" s="1" t="s">
        <v>16374</v>
      </c>
      <c r="C1875" s="3">
        <f>IF(B1875="","",SUMIFS('Factory Costs'!$C:$C,'Factory Costs'!$A:$A,"Motor",'Factory Costs'!$B:$B,B1875))</f>
        <v>62</v>
      </c>
    </row>
    <row r="1876" spans="1:3" x14ac:dyDescent="0.25">
      <c r="A1876" s="1" t="s">
        <v>12180</v>
      </c>
      <c r="B1876" s="1" t="s">
        <v>16374</v>
      </c>
      <c r="C1876" s="3">
        <f>IF(B1876="","",SUMIFS('Factory Costs'!$C:$C,'Factory Costs'!$A:$A,"Motor",'Factory Costs'!$B:$B,B1876))</f>
        <v>62</v>
      </c>
    </row>
    <row r="1877" spans="1:3" x14ac:dyDescent="0.25">
      <c r="A1877" s="1" t="s">
        <v>12183</v>
      </c>
      <c r="B1877" s="1" t="s">
        <v>16374</v>
      </c>
      <c r="C1877" s="3">
        <f>IF(B1877="","",SUMIFS('Factory Costs'!$C:$C,'Factory Costs'!$A:$A,"Motor",'Factory Costs'!$B:$B,B1877))</f>
        <v>62</v>
      </c>
    </row>
    <row r="1878" spans="1:3" x14ac:dyDescent="0.25">
      <c r="A1878" s="1" t="s">
        <v>12186</v>
      </c>
      <c r="B1878" s="1" t="s">
        <v>16374</v>
      </c>
      <c r="C1878" s="3">
        <f>IF(B1878="","",SUMIFS('Factory Costs'!$C:$C,'Factory Costs'!$A:$A,"Motor",'Factory Costs'!$B:$B,B1878))</f>
        <v>62</v>
      </c>
    </row>
    <row r="1879" spans="1:3" x14ac:dyDescent="0.25">
      <c r="A1879" s="1" t="s">
        <v>12189</v>
      </c>
      <c r="B1879" s="1" t="s">
        <v>16374</v>
      </c>
      <c r="C1879" s="3">
        <f>IF(B1879="","",SUMIFS('Factory Costs'!$C:$C,'Factory Costs'!$A:$A,"Motor",'Factory Costs'!$B:$B,B1879))</f>
        <v>62</v>
      </c>
    </row>
    <row r="1880" spans="1:3" x14ac:dyDescent="0.25">
      <c r="A1880" s="1" t="s">
        <v>12192</v>
      </c>
      <c r="B1880" s="1" t="s">
        <v>16374</v>
      </c>
      <c r="C1880" s="3">
        <f>IF(B1880="","",SUMIFS('Factory Costs'!$C:$C,'Factory Costs'!$A:$A,"Motor",'Factory Costs'!$B:$B,B1880))</f>
        <v>62</v>
      </c>
    </row>
    <row r="1881" spans="1:3" x14ac:dyDescent="0.25">
      <c r="A1881" s="1" t="s">
        <v>12195</v>
      </c>
      <c r="B1881" s="1" t="s">
        <v>16374</v>
      </c>
      <c r="C1881" s="3">
        <f>IF(B1881="","",SUMIFS('Factory Costs'!$C:$C,'Factory Costs'!$A:$A,"Motor",'Factory Costs'!$B:$B,B1881))</f>
        <v>62</v>
      </c>
    </row>
    <row r="1882" spans="1:3" x14ac:dyDescent="0.25">
      <c r="A1882" s="1" t="s">
        <v>12198</v>
      </c>
      <c r="B1882" s="1" t="s">
        <v>16374</v>
      </c>
      <c r="C1882" s="3">
        <f>IF(B1882="","",SUMIFS('Factory Costs'!$C:$C,'Factory Costs'!$A:$A,"Motor",'Factory Costs'!$B:$B,B1882))</f>
        <v>62</v>
      </c>
    </row>
    <row r="1883" spans="1:3" x14ac:dyDescent="0.25">
      <c r="A1883" s="1" t="s">
        <v>12201</v>
      </c>
      <c r="B1883" s="1" t="s">
        <v>16374</v>
      </c>
      <c r="C1883" s="3">
        <f>IF(B1883="","",SUMIFS('Factory Costs'!$C:$C,'Factory Costs'!$A:$A,"Motor",'Factory Costs'!$B:$B,B1883))</f>
        <v>62</v>
      </c>
    </row>
    <row r="1884" spans="1:3" x14ac:dyDescent="0.25">
      <c r="A1884" s="1" t="s">
        <v>12204</v>
      </c>
      <c r="B1884" s="1" t="s">
        <v>16374</v>
      </c>
      <c r="C1884" s="3">
        <f>IF(B1884="","",SUMIFS('Factory Costs'!$C:$C,'Factory Costs'!$A:$A,"Motor",'Factory Costs'!$B:$B,B1884))</f>
        <v>62</v>
      </c>
    </row>
    <row r="1885" spans="1:3" x14ac:dyDescent="0.25">
      <c r="A1885" s="1" t="s">
        <v>12207</v>
      </c>
      <c r="B1885" s="1" t="s">
        <v>16374</v>
      </c>
      <c r="C1885" s="3">
        <f>IF(B1885="","",SUMIFS('Factory Costs'!$C:$C,'Factory Costs'!$A:$A,"Motor",'Factory Costs'!$B:$B,B1885))</f>
        <v>62</v>
      </c>
    </row>
    <row r="1886" spans="1:3" x14ac:dyDescent="0.25">
      <c r="A1886" s="1" t="s">
        <v>12210</v>
      </c>
      <c r="B1886" s="1" t="s">
        <v>16375</v>
      </c>
      <c r="C1886" s="3">
        <f>IF(B1886="","",SUMIFS('Factory Costs'!$C:$C,'Factory Costs'!$A:$A,"Motor",'Factory Costs'!$B:$B,B1886))</f>
        <v>72</v>
      </c>
    </row>
    <row r="1887" spans="1:3" x14ac:dyDescent="0.25">
      <c r="A1887" s="1" t="s">
        <v>12213</v>
      </c>
      <c r="B1887" s="1" t="s">
        <v>16374</v>
      </c>
      <c r="C1887" s="3">
        <f>IF(B1887="","",SUMIFS('Factory Costs'!$C:$C,'Factory Costs'!$A:$A,"Motor",'Factory Costs'!$B:$B,B1887))</f>
        <v>62</v>
      </c>
    </row>
    <row r="1888" spans="1:3" x14ac:dyDescent="0.25">
      <c r="A1888" s="1" t="s">
        <v>12216</v>
      </c>
      <c r="B1888" s="1" t="s">
        <v>16374</v>
      </c>
      <c r="C1888" s="3">
        <f>IF(B1888="","",SUMIFS('Factory Costs'!$C:$C,'Factory Costs'!$A:$A,"Motor",'Factory Costs'!$B:$B,B1888))</f>
        <v>62</v>
      </c>
    </row>
    <row r="1889" spans="1:3" x14ac:dyDescent="0.25">
      <c r="A1889" s="1" t="s">
        <v>12219</v>
      </c>
      <c r="B1889" s="1" t="s">
        <v>16375</v>
      </c>
      <c r="C1889" s="3">
        <f>IF(B1889="","",SUMIFS('Factory Costs'!$C:$C,'Factory Costs'!$A:$A,"Motor",'Factory Costs'!$B:$B,B1889))</f>
        <v>72</v>
      </c>
    </row>
    <row r="1890" spans="1:3" x14ac:dyDescent="0.25">
      <c r="A1890" s="1" t="s">
        <v>12222</v>
      </c>
      <c r="B1890" s="1" t="s">
        <v>16375</v>
      </c>
      <c r="C1890" s="3">
        <f>IF(B1890="","",SUMIFS('Factory Costs'!$C:$C,'Factory Costs'!$A:$A,"Motor",'Factory Costs'!$B:$B,B1890))</f>
        <v>72</v>
      </c>
    </row>
    <row r="1891" spans="1:3" x14ac:dyDescent="0.25">
      <c r="A1891" s="1" t="s">
        <v>12225</v>
      </c>
      <c r="B1891" s="1" t="s">
        <v>16374</v>
      </c>
      <c r="C1891" s="3">
        <f>IF(B1891="","",SUMIFS('Factory Costs'!$C:$C,'Factory Costs'!$A:$A,"Motor",'Factory Costs'!$B:$B,B1891))</f>
        <v>62</v>
      </c>
    </row>
    <row r="1892" spans="1:3" x14ac:dyDescent="0.25">
      <c r="A1892" s="1" t="s">
        <v>12228</v>
      </c>
      <c r="B1892" s="1" t="s">
        <v>16374</v>
      </c>
      <c r="C1892" s="3">
        <f>IF(B1892="","",SUMIFS('Factory Costs'!$C:$C,'Factory Costs'!$A:$A,"Motor",'Factory Costs'!$B:$B,B1892))</f>
        <v>62</v>
      </c>
    </row>
    <row r="1893" spans="1:3" x14ac:dyDescent="0.25">
      <c r="A1893" s="1" t="s">
        <v>12231</v>
      </c>
      <c r="B1893" s="1" t="s">
        <v>16374</v>
      </c>
      <c r="C1893" s="3">
        <f>IF(B1893="","",SUMIFS('Factory Costs'!$C:$C,'Factory Costs'!$A:$A,"Motor",'Factory Costs'!$B:$B,B1893))</f>
        <v>62</v>
      </c>
    </row>
    <row r="1894" spans="1:3" x14ac:dyDescent="0.25">
      <c r="A1894" s="1" t="s">
        <v>12234</v>
      </c>
      <c r="B1894" s="1" t="s">
        <v>16374</v>
      </c>
      <c r="C1894" s="3">
        <f>IF(B1894="","",SUMIFS('Factory Costs'!$C:$C,'Factory Costs'!$A:$A,"Motor",'Factory Costs'!$B:$B,B1894))</f>
        <v>62</v>
      </c>
    </row>
    <row r="1895" spans="1:3" x14ac:dyDescent="0.25">
      <c r="A1895" s="1" t="s">
        <v>12237</v>
      </c>
      <c r="B1895" s="1" t="s">
        <v>16375</v>
      </c>
      <c r="C1895" s="3">
        <f>IF(B1895="","",SUMIFS('Factory Costs'!$C:$C,'Factory Costs'!$A:$A,"Motor",'Factory Costs'!$B:$B,B1895))</f>
        <v>72</v>
      </c>
    </row>
    <row r="1896" spans="1:3" x14ac:dyDescent="0.25">
      <c r="A1896" s="1" t="s">
        <v>12240</v>
      </c>
      <c r="B1896" s="1" t="s">
        <v>16374</v>
      </c>
      <c r="C1896" s="3">
        <f>IF(B1896="","",SUMIFS('Factory Costs'!$C:$C,'Factory Costs'!$A:$A,"Motor",'Factory Costs'!$B:$B,B1896))</f>
        <v>62</v>
      </c>
    </row>
    <row r="1897" spans="1:3" x14ac:dyDescent="0.25">
      <c r="A1897" s="1" t="s">
        <v>12243</v>
      </c>
      <c r="B1897" s="1" t="s">
        <v>16375</v>
      </c>
      <c r="C1897" s="3">
        <f>IF(B1897="","",SUMIFS('Factory Costs'!$C:$C,'Factory Costs'!$A:$A,"Motor",'Factory Costs'!$B:$B,B1897))</f>
        <v>72</v>
      </c>
    </row>
    <row r="1898" spans="1:3" x14ac:dyDescent="0.25">
      <c r="A1898" s="1" t="s">
        <v>12246</v>
      </c>
      <c r="B1898" s="1" t="s">
        <v>16375</v>
      </c>
      <c r="C1898" s="3">
        <f>IF(B1898="","",SUMIFS('Factory Costs'!$C:$C,'Factory Costs'!$A:$A,"Motor",'Factory Costs'!$B:$B,B1898))</f>
        <v>72</v>
      </c>
    </row>
    <row r="1899" spans="1:3" x14ac:dyDescent="0.25">
      <c r="A1899" s="1" t="s">
        <v>12249</v>
      </c>
      <c r="B1899" s="1" t="s">
        <v>16374</v>
      </c>
      <c r="C1899" s="3">
        <f>IF(B1899="","",SUMIFS('Factory Costs'!$C:$C,'Factory Costs'!$A:$A,"Motor",'Factory Costs'!$B:$B,B1899))</f>
        <v>62</v>
      </c>
    </row>
    <row r="1900" spans="1:3" x14ac:dyDescent="0.25">
      <c r="A1900" s="1" t="s">
        <v>12252</v>
      </c>
      <c r="B1900" s="1" t="s">
        <v>16374</v>
      </c>
      <c r="C1900" s="3">
        <f>IF(B1900="","",SUMIFS('Factory Costs'!$C:$C,'Factory Costs'!$A:$A,"Motor",'Factory Costs'!$B:$B,B1900))</f>
        <v>62</v>
      </c>
    </row>
    <row r="1901" spans="1:3" x14ac:dyDescent="0.25">
      <c r="A1901" s="1" t="s">
        <v>12255</v>
      </c>
      <c r="B1901" s="1" t="s">
        <v>16375</v>
      </c>
      <c r="C1901" s="3">
        <f>IF(B1901="","",SUMIFS('Factory Costs'!$C:$C,'Factory Costs'!$A:$A,"Motor",'Factory Costs'!$B:$B,B1901))</f>
        <v>72</v>
      </c>
    </row>
    <row r="1902" spans="1:3" x14ac:dyDescent="0.25">
      <c r="A1902" s="1" t="s">
        <v>12258</v>
      </c>
      <c r="B1902" s="1" t="s">
        <v>16375</v>
      </c>
      <c r="C1902" s="3">
        <f>IF(B1902="","",SUMIFS('Factory Costs'!$C:$C,'Factory Costs'!$A:$A,"Motor",'Factory Costs'!$B:$B,B1902))</f>
        <v>72</v>
      </c>
    </row>
    <row r="1903" spans="1:3" x14ac:dyDescent="0.25">
      <c r="A1903" s="1" t="s">
        <v>12261</v>
      </c>
      <c r="B1903" s="1" t="s">
        <v>16375</v>
      </c>
      <c r="C1903" s="3">
        <f>IF(B1903="","",SUMIFS('Factory Costs'!$C:$C,'Factory Costs'!$A:$A,"Motor",'Factory Costs'!$B:$B,B1903))</f>
        <v>72</v>
      </c>
    </row>
    <row r="1904" spans="1:3" x14ac:dyDescent="0.25">
      <c r="A1904" s="1" t="s">
        <v>12264</v>
      </c>
      <c r="B1904" s="1" t="s">
        <v>16374</v>
      </c>
      <c r="C1904" s="3">
        <f>IF(B1904="","",SUMIFS('Factory Costs'!$C:$C,'Factory Costs'!$A:$A,"Motor",'Factory Costs'!$B:$B,B1904))</f>
        <v>62</v>
      </c>
    </row>
    <row r="1905" spans="1:3" x14ac:dyDescent="0.25">
      <c r="A1905" s="1" t="s">
        <v>12267</v>
      </c>
      <c r="B1905" s="1" t="s">
        <v>16374</v>
      </c>
      <c r="C1905" s="3">
        <f>IF(B1905="","",SUMIFS('Factory Costs'!$C:$C,'Factory Costs'!$A:$A,"Motor",'Factory Costs'!$B:$B,B1905))</f>
        <v>62</v>
      </c>
    </row>
    <row r="1906" spans="1:3" x14ac:dyDescent="0.25">
      <c r="A1906" s="1" t="s">
        <v>12270</v>
      </c>
      <c r="B1906" s="1" t="s">
        <v>16375</v>
      </c>
      <c r="C1906" s="3">
        <f>IF(B1906="","",SUMIFS('Factory Costs'!$C:$C,'Factory Costs'!$A:$A,"Motor",'Factory Costs'!$B:$B,B1906))</f>
        <v>72</v>
      </c>
    </row>
    <row r="1907" spans="1:3" x14ac:dyDescent="0.25">
      <c r="A1907" s="1" t="s">
        <v>12273</v>
      </c>
      <c r="B1907" s="1" t="s">
        <v>16375</v>
      </c>
      <c r="C1907" s="3">
        <f>IF(B1907="","",SUMIFS('Factory Costs'!$C:$C,'Factory Costs'!$A:$A,"Motor",'Factory Costs'!$B:$B,B1907))</f>
        <v>72</v>
      </c>
    </row>
    <row r="1908" spans="1:3" x14ac:dyDescent="0.25">
      <c r="A1908" s="1" t="s">
        <v>12276</v>
      </c>
      <c r="B1908" s="1" t="s">
        <v>16374</v>
      </c>
      <c r="C1908" s="3">
        <f>IF(B1908="","",SUMIFS('Factory Costs'!$C:$C,'Factory Costs'!$A:$A,"Motor",'Factory Costs'!$B:$B,B1908))</f>
        <v>62</v>
      </c>
    </row>
    <row r="1909" spans="1:3" x14ac:dyDescent="0.25">
      <c r="A1909" s="1" t="s">
        <v>12279</v>
      </c>
      <c r="B1909" s="1" t="s">
        <v>16374</v>
      </c>
      <c r="C1909" s="3">
        <f>IF(B1909="","",SUMIFS('Factory Costs'!$C:$C,'Factory Costs'!$A:$A,"Motor",'Factory Costs'!$B:$B,B1909))</f>
        <v>62</v>
      </c>
    </row>
    <row r="1910" spans="1:3" x14ac:dyDescent="0.25">
      <c r="A1910" s="1" t="s">
        <v>12282</v>
      </c>
      <c r="B1910" s="1" t="s">
        <v>16374</v>
      </c>
      <c r="C1910" s="3">
        <f>IF(B1910="","",SUMIFS('Factory Costs'!$C:$C,'Factory Costs'!$A:$A,"Motor",'Factory Costs'!$B:$B,B1910))</f>
        <v>62</v>
      </c>
    </row>
    <row r="1911" spans="1:3" x14ac:dyDescent="0.25">
      <c r="A1911" s="1" t="s">
        <v>12285</v>
      </c>
      <c r="B1911" s="1" t="s">
        <v>16374</v>
      </c>
      <c r="C1911" s="3">
        <f>IF(B1911="","",SUMIFS('Factory Costs'!$C:$C,'Factory Costs'!$A:$A,"Motor",'Factory Costs'!$B:$B,B1911))</f>
        <v>62</v>
      </c>
    </row>
    <row r="1912" spans="1:3" x14ac:dyDescent="0.25">
      <c r="A1912" s="1" t="s">
        <v>12288</v>
      </c>
      <c r="B1912" s="1" t="s">
        <v>16374</v>
      </c>
      <c r="C1912" s="3">
        <f>IF(B1912="","",SUMIFS('Factory Costs'!$C:$C,'Factory Costs'!$A:$A,"Motor",'Factory Costs'!$B:$B,B1912))</f>
        <v>62</v>
      </c>
    </row>
    <row r="1913" spans="1:3" x14ac:dyDescent="0.25">
      <c r="A1913" s="1" t="s">
        <v>12291</v>
      </c>
      <c r="B1913" s="1" t="s">
        <v>16374</v>
      </c>
      <c r="C1913" s="3">
        <f>IF(B1913="","",SUMIFS('Factory Costs'!$C:$C,'Factory Costs'!$A:$A,"Motor",'Factory Costs'!$B:$B,B1913))</f>
        <v>62</v>
      </c>
    </row>
    <row r="1914" spans="1:3" x14ac:dyDescent="0.25">
      <c r="A1914" s="1" t="s">
        <v>12294</v>
      </c>
      <c r="B1914" s="1" t="s">
        <v>16374</v>
      </c>
      <c r="C1914" s="3">
        <f>IF(B1914="","",SUMIFS('Factory Costs'!$C:$C,'Factory Costs'!$A:$A,"Motor",'Factory Costs'!$B:$B,B1914))</f>
        <v>62</v>
      </c>
    </row>
    <row r="1915" spans="1:3" x14ac:dyDescent="0.25">
      <c r="A1915" s="1" t="s">
        <v>12297</v>
      </c>
      <c r="B1915" s="1" t="s">
        <v>16374</v>
      </c>
      <c r="C1915" s="3">
        <f>IF(B1915="","",SUMIFS('Factory Costs'!$C:$C,'Factory Costs'!$A:$A,"Motor",'Factory Costs'!$B:$B,B1915))</f>
        <v>62</v>
      </c>
    </row>
    <row r="1916" spans="1:3" x14ac:dyDescent="0.25">
      <c r="A1916" s="1" t="s">
        <v>12300</v>
      </c>
      <c r="B1916" s="1" t="s">
        <v>16374</v>
      </c>
      <c r="C1916" s="3">
        <f>IF(B1916="","",SUMIFS('Factory Costs'!$C:$C,'Factory Costs'!$A:$A,"Motor",'Factory Costs'!$B:$B,B1916))</f>
        <v>62</v>
      </c>
    </row>
    <row r="1917" spans="1:3" x14ac:dyDescent="0.25">
      <c r="A1917" s="1" t="s">
        <v>12303</v>
      </c>
      <c r="B1917" s="1" t="s">
        <v>16375</v>
      </c>
      <c r="C1917" s="3">
        <f>IF(B1917="","",SUMIFS('Factory Costs'!$C:$C,'Factory Costs'!$A:$A,"Motor",'Factory Costs'!$B:$B,B1917))</f>
        <v>72</v>
      </c>
    </row>
    <row r="1918" spans="1:3" x14ac:dyDescent="0.25">
      <c r="A1918" s="1" t="s">
        <v>12306</v>
      </c>
      <c r="B1918" s="1" t="s">
        <v>16374</v>
      </c>
      <c r="C1918" s="3">
        <f>IF(B1918="","",SUMIFS('Factory Costs'!$C:$C,'Factory Costs'!$A:$A,"Motor",'Factory Costs'!$B:$B,B1918))</f>
        <v>62</v>
      </c>
    </row>
    <row r="1919" spans="1:3" x14ac:dyDescent="0.25">
      <c r="A1919" s="1" t="s">
        <v>12309</v>
      </c>
      <c r="B1919" s="1" t="s">
        <v>16374</v>
      </c>
      <c r="C1919" s="3">
        <f>IF(B1919="","",SUMIFS('Factory Costs'!$C:$C,'Factory Costs'!$A:$A,"Motor",'Factory Costs'!$B:$B,B1919))</f>
        <v>62</v>
      </c>
    </row>
    <row r="1920" spans="1:3" x14ac:dyDescent="0.25">
      <c r="A1920" s="1" t="s">
        <v>12312</v>
      </c>
      <c r="B1920" s="1" t="s">
        <v>16374</v>
      </c>
      <c r="C1920" s="3">
        <f>IF(B1920="","",SUMIFS('Factory Costs'!$C:$C,'Factory Costs'!$A:$A,"Motor",'Factory Costs'!$B:$B,B1920))</f>
        <v>62</v>
      </c>
    </row>
    <row r="1921" spans="1:3" x14ac:dyDescent="0.25">
      <c r="A1921" s="1" t="s">
        <v>12315</v>
      </c>
      <c r="B1921" s="1" t="s">
        <v>16374</v>
      </c>
      <c r="C1921" s="3">
        <f>IF(B1921="","",SUMIFS('Factory Costs'!$C:$C,'Factory Costs'!$A:$A,"Motor",'Factory Costs'!$B:$B,B1921))</f>
        <v>62</v>
      </c>
    </row>
    <row r="1922" spans="1:3" x14ac:dyDescent="0.25">
      <c r="A1922" s="1" t="s">
        <v>12318</v>
      </c>
      <c r="B1922" s="1" t="s">
        <v>16374</v>
      </c>
      <c r="C1922" s="3">
        <f>IF(B1922="","",SUMIFS('Factory Costs'!$C:$C,'Factory Costs'!$A:$A,"Motor",'Factory Costs'!$B:$B,B1922))</f>
        <v>62</v>
      </c>
    </row>
    <row r="1923" spans="1:3" x14ac:dyDescent="0.25">
      <c r="A1923" s="1" t="s">
        <v>12321</v>
      </c>
      <c r="B1923" s="1" t="s">
        <v>16375</v>
      </c>
      <c r="C1923" s="3">
        <f>IF(B1923="","",SUMIFS('Factory Costs'!$C:$C,'Factory Costs'!$A:$A,"Motor",'Factory Costs'!$B:$B,B1923))</f>
        <v>72</v>
      </c>
    </row>
    <row r="1924" spans="1:3" x14ac:dyDescent="0.25">
      <c r="A1924" s="1" t="s">
        <v>12324</v>
      </c>
      <c r="B1924" s="1" t="s">
        <v>16374</v>
      </c>
      <c r="C1924" s="3">
        <f>IF(B1924="","",SUMIFS('Factory Costs'!$C:$C,'Factory Costs'!$A:$A,"Motor",'Factory Costs'!$B:$B,B1924))</f>
        <v>62</v>
      </c>
    </row>
    <row r="1925" spans="1:3" x14ac:dyDescent="0.25">
      <c r="A1925" s="1" t="s">
        <v>12327</v>
      </c>
      <c r="B1925" s="1" t="s">
        <v>16374</v>
      </c>
      <c r="C1925" s="3">
        <f>IF(B1925="","",SUMIFS('Factory Costs'!$C:$C,'Factory Costs'!$A:$A,"Motor",'Factory Costs'!$B:$B,B1925))</f>
        <v>62</v>
      </c>
    </row>
    <row r="1926" spans="1:3" x14ac:dyDescent="0.25">
      <c r="A1926" s="1" t="s">
        <v>12330</v>
      </c>
      <c r="B1926" s="1" t="s">
        <v>16374</v>
      </c>
      <c r="C1926" s="3">
        <f>IF(B1926="","",SUMIFS('Factory Costs'!$C:$C,'Factory Costs'!$A:$A,"Motor",'Factory Costs'!$B:$B,B1926))</f>
        <v>62</v>
      </c>
    </row>
    <row r="1927" spans="1:3" x14ac:dyDescent="0.25">
      <c r="A1927" s="1" t="s">
        <v>12333</v>
      </c>
      <c r="B1927" s="1" t="s">
        <v>16375</v>
      </c>
      <c r="C1927" s="3">
        <f>IF(B1927="","",SUMIFS('Factory Costs'!$C:$C,'Factory Costs'!$A:$A,"Motor",'Factory Costs'!$B:$B,B1927))</f>
        <v>72</v>
      </c>
    </row>
    <row r="1928" spans="1:3" x14ac:dyDescent="0.25">
      <c r="A1928" s="1" t="s">
        <v>12336</v>
      </c>
      <c r="B1928" s="1" t="s">
        <v>16375</v>
      </c>
      <c r="C1928" s="3">
        <f>IF(B1928="","",SUMIFS('Factory Costs'!$C:$C,'Factory Costs'!$A:$A,"Motor",'Factory Costs'!$B:$B,B1928))</f>
        <v>72</v>
      </c>
    </row>
    <row r="1929" spans="1:3" x14ac:dyDescent="0.25">
      <c r="A1929" s="1" t="s">
        <v>12339</v>
      </c>
      <c r="B1929" s="1" t="s">
        <v>16375</v>
      </c>
      <c r="C1929" s="3">
        <f>IF(B1929="","",SUMIFS('Factory Costs'!$C:$C,'Factory Costs'!$A:$A,"Motor",'Factory Costs'!$B:$B,B1929))</f>
        <v>72</v>
      </c>
    </row>
    <row r="1930" spans="1:3" x14ac:dyDescent="0.25">
      <c r="A1930" s="1" t="s">
        <v>12342</v>
      </c>
      <c r="B1930" s="1" t="s">
        <v>16374</v>
      </c>
      <c r="C1930" s="3">
        <f>IF(B1930="","",SUMIFS('Factory Costs'!$C:$C,'Factory Costs'!$A:$A,"Motor",'Factory Costs'!$B:$B,B1930))</f>
        <v>62</v>
      </c>
    </row>
    <row r="1931" spans="1:3" x14ac:dyDescent="0.25">
      <c r="A1931" s="1" t="s">
        <v>12345</v>
      </c>
      <c r="B1931" s="1" t="s">
        <v>16375</v>
      </c>
      <c r="C1931" s="3">
        <f>IF(B1931="","",SUMIFS('Factory Costs'!$C:$C,'Factory Costs'!$A:$A,"Motor",'Factory Costs'!$B:$B,B1931))</f>
        <v>72</v>
      </c>
    </row>
    <row r="1932" spans="1:3" x14ac:dyDescent="0.25">
      <c r="A1932" s="1" t="s">
        <v>12348</v>
      </c>
      <c r="B1932" s="1" t="s">
        <v>16374</v>
      </c>
      <c r="C1932" s="3">
        <f>IF(B1932="","",SUMIFS('Factory Costs'!$C:$C,'Factory Costs'!$A:$A,"Motor",'Factory Costs'!$B:$B,B1932))</f>
        <v>62</v>
      </c>
    </row>
    <row r="1933" spans="1:3" x14ac:dyDescent="0.25">
      <c r="A1933" s="1" t="s">
        <v>12351</v>
      </c>
      <c r="B1933" s="1" t="s">
        <v>16375</v>
      </c>
      <c r="C1933" s="3">
        <f>IF(B1933="","",SUMIFS('Factory Costs'!$C:$C,'Factory Costs'!$A:$A,"Motor",'Factory Costs'!$B:$B,B1933))</f>
        <v>72</v>
      </c>
    </row>
    <row r="1934" spans="1:3" x14ac:dyDescent="0.25">
      <c r="A1934" s="1" t="s">
        <v>12354</v>
      </c>
      <c r="B1934" s="1" t="s">
        <v>16374</v>
      </c>
      <c r="C1934" s="3">
        <f>IF(B1934="","",SUMIFS('Factory Costs'!$C:$C,'Factory Costs'!$A:$A,"Motor",'Factory Costs'!$B:$B,B1934))</f>
        <v>62</v>
      </c>
    </row>
    <row r="1935" spans="1:3" x14ac:dyDescent="0.25">
      <c r="A1935" s="1" t="s">
        <v>12357</v>
      </c>
      <c r="B1935" s="1" t="s">
        <v>16374</v>
      </c>
      <c r="C1935" s="3">
        <f>IF(B1935="","",SUMIFS('Factory Costs'!$C:$C,'Factory Costs'!$A:$A,"Motor",'Factory Costs'!$B:$B,B1935))</f>
        <v>62</v>
      </c>
    </row>
    <row r="1936" spans="1:3" x14ac:dyDescent="0.25">
      <c r="A1936" s="1" t="s">
        <v>12360</v>
      </c>
      <c r="B1936" s="1" t="s">
        <v>16375</v>
      </c>
      <c r="C1936" s="3">
        <f>IF(B1936="","",SUMIFS('Factory Costs'!$C:$C,'Factory Costs'!$A:$A,"Motor",'Factory Costs'!$B:$B,B1936))</f>
        <v>72</v>
      </c>
    </row>
    <row r="1937" spans="1:3" x14ac:dyDescent="0.25">
      <c r="A1937" s="1" t="s">
        <v>12363</v>
      </c>
      <c r="B1937" s="1" t="s">
        <v>16375</v>
      </c>
      <c r="C1937" s="3">
        <f>IF(B1937="","",SUMIFS('Factory Costs'!$C:$C,'Factory Costs'!$A:$A,"Motor",'Factory Costs'!$B:$B,B1937))</f>
        <v>72</v>
      </c>
    </row>
    <row r="1938" spans="1:3" x14ac:dyDescent="0.25">
      <c r="A1938" s="1" t="s">
        <v>12366</v>
      </c>
      <c r="B1938" s="1" t="s">
        <v>16375</v>
      </c>
      <c r="C1938" s="3">
        <f>IF(B1938="","",SUMIFS('Factory Costs'!$C:$C,'Factory Costs'!$A:$A,"Motor",'Factory Costs'!$B:$B,B1938))</f>
        <v>72</v>
      </c>
    </row>
    <row r="1939" spans="1:3" x14ac:dyDescent="0.25">
      <c r="A1939" s="1" t="s">
        <v>12369</v>
      </c>
      <c r="B1939" s="1" t="s">
        <v>16374</v>
      </c>
      <c r="C1939" s="3">
        <f>IF(B1939="","",SUMIFS('Factory Costs'!$C:$C,'Factory Costs'!$A:$A,"Motor",'Factory Costs'!$B:$B,B1939))</f>
        <v>62</v>
      </c>
    </row>
    <row r="1940" spans="1:3" x14ac:dyDescent="0.25">
      <c r="A1940" s="1" t="s">
        <v>12372</v>
      </c>
      <c r="B1940" s="1" t="s">
        <v>16374</v>
      </c>
      <c r="C1940" s="3">
        <f>IF(B1940="","",SUMIFS('Factory Costs'!$C:$C,'Factory Costs'!$A:$A,"Motor",'Factory Costs'!$B:$B,B1940))</f>
        <v>62</v>
      </c>
    </row>
    <row r="1941" spans="1:3" x14ac:dyDescent="0.25">
      <c r="A1941" s="1" t="s">
        <v>12375</v>
      </c>
      <c r="B1941" s="1" t="s">
        <v>16375</v>
      </c>
      <c r="C1941" s="3">
        <f>IF(B1941="","",SUMIFS('Factory Costs'!$C:$C,'Factory Costs'!$A:$A,"Motor",'Factory Costs'!$B:$B,B1941))</f>
        <v>72</v>
      </c>
    </row>
    <row r="1942" spans="1:3" x14ac:dyDescent="0.25">
      <c r="A1942" s="1" t="s">
        <v>12378</v>
      </c>
      <c r="B1942" s="1" t="s">
        <v>16375</v>
      </c>
      <c r="C1942" s="3">
        <f>IF(B1942="","",SUMIFS('Factory Costs'!$C:$C,'Factory Costs'!$A:$A,"Motor",'Factory Costs'!$B:$B,B1942))</f>
        <v>72</v>
      </c>
    </row>
    <row r="1943" spans="1:3" x14ac:dyDescent="0.25">
      <c r="A1943" s="1" t="s">
        <v>12381</v>
      </c>
      <c r="B1943" s="1" t="s">
        <v>16375</v>
      </c>
      <c r="C1943" s="3">
        <f>IF(B1943="","",SUMIFS('Factory Costs'!$C:$C,'Factory Costs'!$A:$A,"Motor",'Factory Costs'!$B:$B,B1943))</f>
        <v>72</v>
      </c>
    </row>
    <row r="1944" spans="1:3" x14ac:dyDescent="0.25">
      <c r="A1944" s="1" t="s">
        <v>12384</v>
      </c>
      <c r="B1944" s="1" t="s">
        <v>16374</v>
      </c>
      <c r="C1944" s="3">
        <f>IF(B1944="","",SUMIFS('Factory Costs'!$C:$C,'Factory Costs'!$A:$A,"Motor",'Factory Costs'!$B:$B,B1944))</f>
        <v>62</v>
      </c>
    </row>
    <row r="1945" spans="1:3" x14ac:dyDescent="0.25">
      <c r="A1945" s="1" t="s">
        <v>12387</v>
      </c>
      <c r="B1945" s="1" t="s">
        <v>16374</v>
      </c>
      <c r="C1945" s="3">
        <f>IF(B1945="","",SUMIFS('Factory Costs'!$C:$C,'Factory Costs'!$A:$A,"Motor",'Factory Costs'!$B:$B,B1945))</f>
        <v>62</v>
      </c>
    </row>
    <row r="1946" spans="1:3" x14ac:dyDescent="0.25">
      <c r="A1946" s="1" t="s">
        <v>12390</v>
      </c>
      <c r="B1946" s="1" t="s">
        <v>16374</v>
      </c>
      <c r="C1946" s="3">
        <f>IF(B1946="","",SUMIFS('Factory Costs'!$C:$C,'Factory Costs'!$A:$A,"Motor",'Factory Costs'!$B:$B,B1946))</f>
        <v>62</v>
      </c>
    </row>
    <row r="1947" spans="1:3" x14ac:dyDescent="0.25">
      <c r="A1947" s="1" t="s">
        <v>12393</v>
      </c>
      <c r="B1947" s="1" t="s">
        <v>16375</v>
      </c>
      <c r="C1947" s="3">
        <f>IF(B1947="","",SUMIFS('Factory Costs'!$C:$C,'Factory Costs'!$A:$A,"Motor",'Factory Costs'!$B:$B,B1947))</f>
        <v>72</v>
      </c>
    </row>
    <row r="1948" spans="1:3" x14ac:dyDescent="0.25">
      <c r="A1948" s="1" t="s">
        <v>12396</v>
      </c>
      <c r="B1948" s="1" t="s">
        <v>16375</v>
      </c>
      <c r="C1948" s="3">
        <f>IF(B1948="","",SUMIFS('Factory Costs'!$C:$C,'Factory Costs'!$A:$A,"Motor",'Factory Costs'!$B:$B,B1948))</f>
        <v>72</v>
      </c>
    </row>
    <row r="1949" spans="1:3" x14ac:dyDescent="0.25">
      <c r="A1949" s="1" t="s">
        <v>12399</v>
      </c>
      <c r="B1949" s="1" t="s">
        <v>16374</v>
      </c>
      <c r="C1949" s="3">
        <f>IF(B1949="","",SUMIFS('Factory Costs'!$C:$C,'Factory Costs'!$A:$A,"Motor",'Factory Costs'!$B:$B,B1949))</f>
        <v>62</v>
      </c>
    </row>
    <row r="1950" spans="1:3" x14ac:dyDescent="0.25">
      <c r="A1950" s="1" t="s">
        <v>12402</v>
      </c>
      <c r="B1950" s="1" t="s">
        <v>16375</v>
      </c>
      <c r="C1950" s="3">
        <f>IF(B1950="","",SUMIFS('Factory Costs'!$C:$C,'Factory Costs'!$A:$A,"Motor",'Factory Costs'!$B:$B,B1950))</f>
        <v>72</v>
      </c>
    </row>
    <row r="1951" spans="1:3" x14ac:dyDescent="0.25">
      <c r="A1951" s="1" t="s">
        <v>12405</v>
      </c>
      <c r="B1951" s="1" t="s">
        <v>16374</v>
      </c>
      <c r="C1951" s="3">
        <f>IF(B1951="","",SUMIFS('Factory Costs'!$C:$C,'Factory Costs'!$A:$A,"Motor",'Factory Costs'!$B:$B,B1951))</f>
        <v>62</v>
      </c>
    </row>
    <row r="1952" spans="1:3" x14ac:dyDescent="0.25">
      <c r="A1952" s="1" t="s">
        <v>12408</v>
      </c>
      <c r="B1952" s="1" t="s">
        <v>16374</v>
      </c>
      <c r="C1952" s="3">
        <f>IF(B1952="","",SUMIFS('Factory Costs'!$C:$C,'Factory Costs'!$A:$A,"Motor",'Factory Costs'!$B:$B,B1952))</f>
        <v>62</v>
      </c>
    </row>
    <row r="1953" spans="1:3" x14ac:dyDescent="0.25">
      <c r="A1953" s="1" t="s">
        <v>12411</v>
      </c>
      <c r="B1953" s="1" t="s">
        <v>16375</v>
      </c>
      <c r="C1953" s="3">
        <f>IF(B1953="","",SUMIFS('Factory Costs'!$C:$C,'Factory Costs'!$A:$A,"Motor",'Factory Costs'!$B:$B,B1953))</f>
        <v>72</v>
      </c>
    </row>
    <row r="1954" spans="1:3" x14ac:dyDescent="0.25">
      <c r="A1954" s="1" t="s">
        <v>12414</v>
      </c>
      <c r="B1954" s="1" t="s">
        <v>16374</v>
      </c>
      <c r="C1954" s="3">
        <f>IF(B1954="","",SUMIFS('Factory Costs'!$C:$C,'Factory Costs'!$A:$A,"Motor",'Factory Costs'!$B:$B,B1954))</f>
        <v>62</v>
      </c>
    </row>
    <row r="1955" spans="1:3" x14ac:dyDescent="0.25">
      <c r="A1955" s="1" t="s">
        <v>12417</v>
      </c>
      <c r="B1955" s="1" t="s">
        <v>16375</v>
      </c>
      <c r="C1955" s="3">
        <f>IF(B1955="","",SUMIFS('Factory Costs'!$C:$C,'Factory Costs'!$A:$A,"Motor",'Factory Costs'!$B:$B,B1955))</f>
        <v>72</v>
      </c>
    </row>
    <row r="1956" spans="1:3" x14ac:dyDescent="0.25">
      <c r="A1956" s="1" t="s">
        <v>12420</v>
      </c>
      <c r="B1956" s="1" t="s">
        <v>16374</v>
      </c>
      <c r="C1956" s="3">
        <f>IF(B1956="","",SUMIFS('Factory Costs'!$C:$C,'Factory Costs'!$A:$A,"Motor",'Factory Costs'!$B:$B,B1956))</f>
        <v>62</v>
      </c>
    </row>
    <row r="1957" spans="1:3" x14ac:dyDescent="0.25">
      <c r="A1957" s="1" t="s">
        <v>12423</v>
      </c>
      <c r="B1957" s="1" t="s">
        <v>16374</v>
      </c>
      <c r="C1957" s="3">
        <f>IF(B1957="","",SUMIFS('Factory Costs'!$C:$C,'Factory Costs'!$A:$A,"Motor",'Factory Costs'!$B:$B,B1957))</f>
        <v>62</v>
      </c>
    </row>
    <row r="1958" spans="1:3" x14ac:dyDescent="0.25">
      <c r="A1958" s="1" t="s">
        <v>12426</v>
      </c>
      <c r="B1958" s="1" t="s">
        <v>16374</v>
      </c>
      <c r="C1958" s="3">
        <f>IF(B1958="","",SUMIFS('Factory Costs'!$C:$C,'Factory Costs'!$A:$A,"Motor",'Factory Costs'!$B:$B,B1958))</f>
        <v>62</v>
      </c>
    </row>
    <row r="1959" spans="1:3" x14ac:dyDescent="0.25">
      <c r="A1959" s="1" t="s">
        <v>12429</v>
      </c>
      <c r="B1959" s="1" t="s">
        <v>16374</v>
      </c>
      <c r="C1959" s="3">
        <f>IF(B1959="","",SUMIFS('Factory Costs'!$C:$C,'Factory Costs'!$A:$A,"Motor",'Factory Costs'!$B:$B,B1959))</f>
        <v>62</v>
      </c>
    </row>
    <row r="1960" spans="1:3" x14ac:dyDescent="0.25">
      <c r="A1960" s="1" t="s">
        <v>12432</v>
      </c>
      <c r="B1960" s="1" t="s">
        <v>16374</v>
      </c>
      <c r="C1960" s="3">
        <f>IF(B1960="","",SUMIFS('Factory Costs'!$C:$C,'Factory Costs'!$A:$A,"Motor",'Factory Costs'!$B:$B,B1960))</f>
        <v>62</v>
      </c>
    </row>
    <row r="1961" spans="1:3" x14ac:dyDescent="0.25">
      <c r="A1961" s="1" t="s">
        <v>12435</v>
      </c>
      <c r="B1961" s="1" t="s">
        <v>16375</v>
      </c>
      <c r="C1961" s="3">
        <f>IF(B1961="","",SUMIFS('Factory Costs'!$C:$C,'Factory Costs'!$A:$A,"Motor",'Factory Costs'!$B:$B,B1961))</f>
        <v>72</v>
      </c>
    </row>
    <row r="1962" spans="1:3" x14ac:dyDescent="0.25">
      <c r="A1962" s="1" t="s">
        <v>12438</v>
      </c>
      <c r="B1962" s="1" t="s">
        <v>16374</v>
      </c>
      <c r="C1962" s="3">
        <f>IF(B1962="","",SUMIFS('Factory Costs'!$C:$C,'Factory Costs'!$A:$A,"Motor",'Factory Costs'!$B:$B,B1962))</f>
        <v>62</v>
      </c>
    </row>
    <row r="1963" spans="1:3" x14ac:dyDescent="0.25">
      <c r="A1963" s="1" t="s">
        <v>12441</v>
      </c>
      <c r="B1963" s="1" t="s">
        <v>16375</v>
      </c>
      <c r="C1963" s="3">
        <f>IF(B1963="","",SUMIFS('Factory Costs'!$C:$C,'Factory Costs'!$A:$A,"Motor",'Factory Costs'!$B:$B,B1963))</f>
        <v>72</v>
      </c>
    </row>
    <row r="1964" spans="1:3" x14ac:dyDescent="0.25">
      <c r="A1964" s="1" t="s">
        <v>12444</v>
      </c>
      <c r="B1964" s="1" t="s">
        <v>16374</v>
      </c>
      <c r="C1964" s="3">
        <f>IF(B1964="","",SUMIFS('Factory Costs'!$C:$C,'Factory Costs'!$A:$A,"Motor",'Factory Costs'!$B:$B,B1964))</f>
        <v>62</v>
      </c>
    </row>
    <row r="1965" spans="1:3" x14ac:dyDescent="0.25">
      <c r="A1965" s="1" t="s">
        <v>12447</v>
      </c>
      <c r="B1965" s="1" t="s">
        <v>16375</v>
      </c>
      <c r="C1965" s="3">
        <f>IF(B1965="","",SUMIFS('Factory Costs'!$C:$C,'Factory Costs'!$A:$A,"Motor",'Factory Costs'!$B:$B,B1965))</f>
        <v>72</v>
      </c>
    </row>
    <row r="1966" spans="1:3" x14ac:dyDescent="0.25">
      <c r="A1966" s="1" t="s">
        <v>12450</v>
      </c>
      <c r="B1966" s="1" t="s">
        <v>16374</v>
      </c>
      <c r="C1966" s="3">
        <f>IF(B1966="","",SUMIFS('Factory Costs'!$C:$C,'Factory Costs'!$A:$A,"Motor",'Factory Costs'!$B:$B,B1966))</f>
        <v>62</v>
      </c>
    </row>
    <row r="1967" spans="1:3" x14ac:dyDescent="0.25">
      <c r="A1967" s="1" t="s">
        <v>12453</v>
      </c>
      <c r="B1967" s="1" t="s">
        <v>16375</v>
      </c>
      <c r="C1967" s="3">
        <f>IF(B1967="","",SUMIFS('Factory Costs'!$C:$C,'Factory Costs'!$A:$A,"Motor",'Factory Costs'!$B:$B,B1967))</f>
        <v>72</v>
      </c>
    </row>
    <row r="1968" spans="1:3" x14ac:dyDescent="0.25">
      <c r="A1968" s="1" t="s">
        <v>12456</v>
      </c>
      <c r="B1968" s="1" t="s">
        <v>16375</v>
      </c>
      <c r="C1968" s="3">
        <f>IF(B1968="","",SUMIFS('Factory Costs'!$C:$C,'Factory Costs'!$A:$A,"Motor",'Factory Costs'!$B:$B,B1968))</f>
        <v>72</v>
      </c>
    </row>
    <row r="1969" spans="1:3" x14ac:dyDescent="0.25">
      <c r="A1969" s="1" t="s">
        <v>12459</v>
      </c>
      <c r="B1969" s="1" t="s">
        <v>16375</v>
      </c>
      <c r="C1969" s="3">
        <f>IF(B1969="","",SUMIFS('Factory Costs'!$C:$C,'Factory Costs'!$A:$A,"Motor",'Factory Costs'!$B:$B,B1969))</f>
        <v>72</v>
      </c>
    </row>
    <row r="1970" spans="1:3" x14ac:dyDescent="0.25">
      <c r="A1970" s="1" t="s">
        <v>12462</v>
      </c>
      <c r="B1970" s="1" t="s">
        <v>16374</v>
      </c>
      <c r="C1970" s="3">
        <f>IF(B1970="","",SUMIFS('Factory Costs'!$C:$C,'Factory Costs'!$A:$A,"Motor",'Factory Costs'!$B:$B,B1970))</f>
        <v>62</v>
      </c>
    </row>
    <row r="1971" spans="1:3" x14ac:dyDescent="0.25">
      <c r="A1971" s="1" t="s">
        <v>12465</v>
      </c>
      <c r="B1971" s="1" t="s">
        <v>16374</v>
      </c>
      <c r="C1971" s="3">
        <f>IF(B1971="","",SUMIFS('Factory Costs'!$C:$C,'Factory Costs'!$A:$A,"Motor",'Factory Costs'!$B:$B,B1971))</f>
        <v>62</v>
      </c>
    </row>
    <row r="1972" spans="1:3" x14ac:dyDescent="0.25">
      <c r="A1972" s="1" t="s">
        <v>12468</v>
      </c>
      <c r="B1972" s="1" t="s">
        <v>16374</v>
      </c>
      <c r="C1972" s="3">
        <f>IF(B1972="","",SUMIFS('Factory Costs'!$C:$C,'Factory Costs'!$A:$A,"Motor",'Factory Costs'!$B:$B,B1972))</f>
        <v>62</v>
      </c>
    </row>
    <row r="1973" spans="1:3" x14ac:dyDescent="0.25">
      <c r="A1973" s="1" t="s">
        <v>12471</v>
      </c>
      <c r="B1973" s="1" t="s">
        <v>16374</v>
      </c>
      <c r="C1973" s="3">
        <f>IF(B1973="","",SUMIFS('Factory Costs'!$C:$C,'Factory Costs'!$A:$A,"Motor",'Factory Costs'!$B:$B,B1973))</f>
        <v>62</v>
      </c>
    </row>
    <row r="1974" spans="1:3" x14ac:dyDescent="0.25">
      <c r="A1974" s="1" t="s">
        <v>12474</v>
      </c>
      <c r="B1974" s="1" t="s">
        <v>16375</v>
      </c>
      <c r="C1974" s="3">
        <f>IF(B1974="","",SUMIFS('Factory Costs'!$C:$C,'Factory Costs'!$A:$A,"Motor",'Factory Costs'!$B:$B,B1974))</f>
        <v>72</v>
      </c>
    </row>
    <row r="1975" spans="1:3" x14ac:dyDescent="0.25">
      <c r="A1975" s="1" t="s">
        <v>12477</v>
      </c>
      <c r="B1975" s="1" t="s">
        <v>16375</v>
      </c>
      <c r="C1975" s="3">
        <f>IF(B1975="","",SUMIFS('Factory Costs'!$C:$C,'Factory Costs'!$A:$A,"Motor",'Factory Costs'!$B:$B,B1975))</f>
        <v>72</v>
      </c>
    </row>
    <row r="1976" spans="1:3" x14ac:dyDescent="0.25">
      <c r="A1976" s="1" t="s">
        <v>12480</v>
      </c>
      <c r="B1976" s="1" t="s">
        <v>16374</v>
      </c>
      <c r="C1976" s="3">
        <f>IF(B1976="","",SUMIFS('Factory Costs'!$C:$C,'Factory Costs'!$A:$A,"Motor",'Factory Costs'!$B:$B,B1976))</f>
        <v>62</v>
      </c>
    </row>
    <row r="1977" spans="1:3" x14ac:dyDescent="0.25">
      <c r="A1977" s="1" t="s">
        <v>12483</v>
      </c>
      <c r="B1977" s="1" t="s">
        <v>16374</v>
      </c>
      <c r="C1977" s="3">
        <f>IF(B1977="","",SUMIFS('Factory Costs'!$C:$C,'Factory Costs'!$A:$A,"Motor",'Factory Costs'!$B:$B,B1977))</f>
        <v>62</v>
      </c>
    </row>
    <row r="1978" spans="1:3" x14ac:dyDescent="0.25">
      <c r="A1978" s="1" t="s">
        <v>12486</v>
      </c>
      <c r="B1978" s="1" t="s">
        <v>16374</v>
      </c>
      <c r="C1978" s="3">
        <f>IF(B1978="","",SUMIFS('Factory Costs'!$C:$C,'Factory Costs'!$A:$A,"Motor",'Factory Costs'!$B:$B,B1978))</f>
        <v>62</v>
      </c>
    </row>
    <row r="1979" spans="1:3" x14ac:dyDescent="0.25">
      <c r="A1979" s="1" t="s">
        <v>12489</v>
      </c>
      <c r="B1979" s="1" t="s">
        <v>16374</v>
      </c>
      <c r="C1979" s="3">
        <f>IF(B1979="","",SUMIFS('Factory Costs'!$C:$C,'Factory Costs'!$A:$A,"Motor",'Factory Costs'!$B:$B,B1979))</f>
        <v>62</v>
      </c>
    </row>
    <row r="1980" spans="1:3" x14ac:dyDescent="0.25">
      <c r="A1980" s="1" t="s">
        <v>12492</v>
      </c>
      <c r="B1980" s="1" t="s">
        <v>16375</v>
      </c>
      <c r="C1980" s="3">
        <f>IF(B1980="","",SUMIFS('Factory Costs'!$C:$C,'Factory Costs'!$A:$A,"Motor",'Factory Costs'!$B:$B,B1980))</f>
        <v>72</v>
      </c>
    </row>
    <row r="1981" spans="1:3" x14ac:dyDescent="0.25">
      <c r="A1981" s="1" t="s">
        <v>12495</v>
      </c>
      <c r="B1981" s="1" t="s">
        <v>16375</v>
      </c>
      <c r="C1981" s="3">
        <f>IF(B1981="","",SUMIFS('Factory Costs'!$C:$C,'Factory Costs'!$A:$A,"Motor",'Factory Costs'!$B:$B,B1981))</f>
        <v>72</v>
      </c>
    </row>
    <row r="1982" spans="1:3" x14ac:dyDescent="0.25">
      <c r="A1982" s="1" t="s">
        <v>12498</v>
      </c>
      <c r="B1982" s="1" t="s">
        <v>16375</v>
      </c>
      <c r="C1982" s="3">
        <f>IF(B1982="","",SUMIFS('Factory Costs'!$C:$C,'Factory Costs'!$A:$A,"Motor",'Factory Costs'!$B:$B,B1982))</f>
        <v>72</v>
      </c>
    </row>
    <row r="1983" spans="1:3" x14ac:dyDescent="0.25">
      <c r="A1983" s="1" t="s">
        <v>12501</v>
      </c>
      <c r="B1983" s="1" t="s">
        <v>16374</v>
      </c>
      <c r="C1983" s="3">
        <f>IF(B1983="","",SUMIFS('Factory Costs'!$C:$C,'Factory Costs'!$A:$A,"Motor",'Factory Costs'!$B:$B,B1983))</f>
        <v>62</v>
      </c>
    </row>
    <row r="1984" spans="1:3" x14ac:dyDescent="0.25">
      <c r="A1984" s="1" t="s">
        <v>12504</v>
      </c>
      <c r="B1984" s="1" t="s">
        <v>16374</v>
      </c>
      <c r="C1984" s="3">
        <f>IF(B1984="","",SUMIFS('Factory Costs'!$C:$C,'Factory Costs'!$A:$A,"Motor",'Factory Costs'!$B:$B,B1984))</f>
        <v>62</v>
      </c>
    </row>
    <row r="1985" spans="1:3" x14ac:dyDescent="0.25">
      <c r="A1985" s="1" t="s">
        <v>12507</v>
      </c>
      <c r="B1985" s="1" t="s">
        <v>16374</v>
      </c>
      <c r="C1985" s="3">
        <f>IF(B1985="","",SUMIFS('Factory Costs'!$C:$C,'Factory Costs'!$A:$A,"Motor",'Factory Costs'!$B:$B,B1985))</f>
        <v>62</v>
      </c>
    </row>
    <row r="1986" spans="1:3" x14ac:dyDescent="0.25">
      <c r="A1986" s="1" t="s">
        <v>12510</v>
      </c>
      <c r="B1986" s="1" t="s">
        <v>16374</v>
      </c>
      <c r="C1986" s="3">
        <f>IF(B1986="","",SUMIFS('Factory Costs'!$C:$C,'Factory Costs'!$A:$A,"Motor",'Factory Costs'!$B:$B,B1986))</f>
        <v>62</v>
      </c>
    </row>
    <row r="1987" spans="1:3" x14ac:dyDescent="0.25">
      <c r="A1987" s="1" t="s">
        <v>12513</v>
      </c>
      <c r="B1987" s="1" t="s">
        <v>16374</v>
      </c>
      <c r="C1987" s="3">
        <f>IF(B1987="","",SUMIFS('Factory Costs'!$C:$C,'Factory Costs'!$A:$A,"Motor",'Factory Costs'!$B:$B,B1987))</f>
        <v>62</v>
      </c>
    </row>
    <row r="1988" spans="1:3" x14ac:dyDescent="0.25">
      <c r="A1988" s="1" t="s">
        <v>12516</v>
      </c>
      <c r="B1988" s="1" t="s">
        <v>16375</v>
      </c>
      <c r="C1988" s="3">
        <f>IF(B1988="","",SUMIFS('Factory Costs'!$C:$C,'Factory Costs'!$A:$A,"Motor",'Factory Costs'!$B:$B,B1988))</f>
        <v>72</v>
      </c>
    </row>
    <row r="1989" spans="1:3" x14ac:dyDescent="0.25">
      <c r="A1989" s="1" t="s">
        <v>12519</v>
      </c>
      <c r="B1989" s="1" t="s">
        <v>16375</v>
      </c>
      <c r="C1989" s="3">
        <f>IF(B1989="","",SUMIFS('Factory Costs'!$C:$C,'Factory Costs'!$A:$A,"Motor",'Factory Costs'!$B:$B,B1989))</f>
        <v>72</v>
      </c>
    </row>
    <row r="1990" spans="1:3" x14ac:dyDescent="0.25">
      <c r="A1990" s="1" t="s">
        <v>12522</v>
      </c>
      <c r="B1990" s="1" t="s">
        <v>16374</v>
      </c>
      <c r="C1990" s="3">
        <f>IF(B1990="","",SUMIFS('Factory Costs'!$C:$C,'Factory Costs'!$A:$A,"Motor",'Factory Costs'!$B:$B,B1990))</f>
        <v>62</v>
      </c>
    </row>
    <row r="1991" spans="1:3" x14ac:dyDescent="0.25">
      <c r="A1991" s="1" t="s">
        <v>12525</v>
      </c>
      <c r="B1991" s="1" t="s">
        <v>16374</v>
      </c>
      <c r="C1991" s="3">
        <f>IF(B1991="","",SUMIFS('Factory Costs'!$C:$C,'Factory Costs'!$A:$A,"Motor",'Factory Costs'!$B:$B,B1991))</f>
        <v>62</v>
      </c>
    </row>
    <row r="1992" spans="1:3" x14ac:dyDescent="0.25">
      <c r="A1992" s="1" t="s">
        <v>12528</v>
      </c>
      <c r="B1992" s="1" t="s">
        <v>16375</v>
      </c>
      <c r="C1992" s="3">
        <f>IF(B1992="","",SUMIFS('Factory Costs'!$C:$C,'Factory Costs'!$A:$A,"Motor",'Factory Costs'!$B:$B,B1992))</f>
        <v>72</v>
      </c>
    </row>
    <row r="1993" spans="1:3" x14ac:dyDescent="0.25">
      <c r="A1993" s="1" t="s">
        <v>12531</v>
      </c>
      <c r="B1993" s="1" t="s">
        <v>16375</v>
      </c>
      <c r="C1993" s="3">
        <f>IF(B1993="","",SUMIFS('Factory Costs'!$C:$C,'Factory Costs'!$A:$A,"Motor",'Factory Costs'!$B:$B,B1993))</f>
        <v>72</v>
      </c>
    </row>
    <row r="1994" spans="1:3" x14ac:dyDescent="0.25">
      <c r="A1994" s="1" t="s">
        <v>12534</v>
      </c>
      <c r="B1994" s="1" t="s">
        <v>16374</v>
      </c>
      <c r="C1994" s="3">
        <f>IF(B1994="","",SUMIFS('Factory Costs'!$C:$C,'Factory Costs'!$A:$A,"Motor",'Factory Costs'!$B:$B,B1994))</f>
        <v>62</v>
      </c>
    </row>
    <row r="1995" spans="1:3" x14ac:dyDescent="0.25">
      <c r="A1995" s="1" t="s">
        <v>12537</v>
      </c>
      <c r="B1995" s="1" t="s">
        <v>16374</v>
      </c>
      <c r="C1995" s="3">
        <f>IF(B1995="","",SUMIFS('Factory Costs'!$C:$C,'Factory Costs'!$A:$A,"Motor",'Factory Costs'!$B:$B,B1995))</f>
        <v>62</v>
      </c>
    </row>
    <row r="1996" spans="1:3" x14ac:dyDescent="0.25">
      <c r="A1996" s="1" t="s">
        <v>12540</v>
      </c>
      <c r="B1996" s="1" t="s">
        <v>16375</v>
      </c>
      <c r="C1996" s="3">
        <f>IF(B1996="","",SUMIFS('Factory Costs'!$C:$C,'Factory Costs'!$A:$A,"Motor",'Factory Costs'!$B:$B,B1996))</f>
        <v>72</v>
      </c>
    </row>
    <row r="1997" spans="1:3" x14ac:dyDescent="0.25">
      <c r="A1997" s="1" t="s">
        <v>12543</v>
      </c>
      <c r="B1997" s="1" t="s">
        <v>16374</v>
      </c>
      <c r="C1997" s="3">
        <f>IF(B1997="","",SUMIFS('Factory Costs'!$C:$C,'Factory Costs'!$A:$A,"Motor",'Factory Costs'!$B:$B,B1997))</f>
        <v>62</v>
      </c>
    </row>
    <row r="1998" spans="1:3" x14ac:dyDescent="0.25">
      <c r="A1998" s="1" t="s">
        <v>12546</v>
      </c>
      <c r="B1998" s="1" t="s">
        <v>16375</v>
      </c>
      <c r="C1998" s="3">
        <f>IF(B1998="","",SUMIFS('Factory Costs'!$C:$C,'Factory Costs'!$A:$A,"Motor",'Factory Costs'!$B:$B,B1998))</f>
        <v>72</v>
      </c>
    </row>
    <row r="1999" spans="1:3" x14ac:dyDescent="0.25">
      <c r="A1999" s="1" t="s">
        <v>12549</v>
      </c>
      <c r="B1999" s="1" t="s">
        <v>16374</v>
      </c>
      <c r="C1999" s="3">
        <f>IF(B1999="","",SUMIFS('Factory Costs'!$C:$C,'Factory Costs'!$A:$A,"Motor",'Factory Costs'!$B:$B,B1999))</f>
        <v>62</v>
      </c>
    </row>
    <row r="2000" spans="1:3" x14ac:dyDescent="0.25">
      <c r="A2000" s="1" t="s">
        <v>12552</v>
      </c>
      <c r="B2000" s="1" t="s">
        <v>16374</v>
      </c>
      <c r="C2000" s="3">
        <f>IF(B2000="","",SUMIFS('Factory Costs'!$C:$C,'Factory Costs'!$A:$A,"Motor",'Factory Costs'!$B:$B,B2000))</f>
        <v>62</v>
      </c>
    </row>
    <row r="2001" spans="1:3" x14ac:dyDescent="0.25">
      <c r="A2001" s="1" t="s">
        <v>12555</v>
      </c>
      <c r="B2001" s="1" t="s">
        <v>16374</v>
      </c>
      <c r="C2001" s="3">
        <f>IF(B2001="","",SUMIFS('Factory Costs'!$C:$C,'Factory Costs'!$A:$A,"Motor",'Factory Costs'!$B:$B,B2001))</f>
        <v>62</v>
      </c>
    </row>
    <row r="2002" spans="1:3" x14ac:dyDescent="0.25">
      <c r="A2002" s="1" t="s">
        <v>12558</v>
      </c>
      <c r="B2002" s="1" t="s">
        <v>16374</v>
      </c>
      <c r="C2002" s="3">
        <f>IF(B2002="","",SUMIFS('Factory Costs'!$C:$C,'Factory Costs'!$A:$A,"Motor",'Factory Costs'!$B:$B,B2002))</f>
        <v>62</v>
      </c>
    </row>
    <row r="2003" spans="1:3" x14ac:dyDescent="0.25">
      <c r="A2003" s="1" t="s">
        <v>12561</v>
      </c>
      <c r="B2003" s="1" t="s">
        <v>16374</v>
      </c>
      <c r="C2003" s="3">
        <f>IF(B2003="","",SUMIFS('Factory Costs'!$C:$C,'Factory Costs'!$A:$A,"Motor",'Factory Costs'!$B:$B,B2003))</f>
        <v>62</v>
      </c>
    </row>
    <row r="2004" spans="1:3" x14ac:dyDescent="0.25">
      <c r="A2004" s="1" t="s">
        <v>12564</v>
      </c>
      <c r="B2004" s="1" t="s">
        <v>16374</v>
      </c>
      <c r="C2004" s="3">
        <f>IF(B2004="","",SUMIFS('Factory Costs'!$C:$C,'Factory Costs'!$A:$A,"Motor",'Factory Costs'!$B:$B,B2004))</f>
        <v>62</v>
      </c>
    </row>
    <row r="2005" spans="1:3" x14ac:dyDescent="0.25">
      <c r="A2005" s="1" t="s">
        <v>12567</v>
      </c>
      <c r="B2005" s="1" t="s">
        <v>16375</v>
      </c>
      <c r="C2005" s="3">
        <f>IF(B2005="","",SUMIFS('Factory Costs'!$C:$C,'Factory Costs'!$A:$A,"Motor",'Factory Costs'!$B:$B,B2005))</f>
        <v>72</v>
      </c>
    </row>
    <row r="2006" spans="1:3" x14ac:dyDescent="0.25">
      <c r="A2006" s="1" t="s">
        <v>12570</v>
      </c>
      <c r="B2006" s="1" t="s">
        <v>16375</v>
      </c>
      <c r="C2006" s="3">
        <f>IF(B2006="","",SUMIFS('Factory Costs'!$C:$C,'Factory Costs'!$A:$A,"Motor",'Factory Costs'!$B:$B,B2006))</f>
        <v>72</v>
      </c>
    </row>
    <row r="2007" spans="1:3" x14ac:dyDescent="0.25">
      <c r="A2007" s="1" t="s">
        <v>12573</v>
      </c>
      <c r="B2007" s="1" t="s">
        <v>16375</v>
      </c>
      <c r="C2007" s="3">
        <f>IF(B2007="","",SUMIFS('Factory Costs'!$C:$C,'Factory Costs'!$A:$A,"Motor",'Factory Costs'!$B:$B,B2007))</f>
        <v>72</v>
      </c>
    </row>
    <row r="2008" spans="1:3" x14ac:dyDescent="0.25">
      <c r="A2008" s="1" t="s">
        <v>12576</v>
      </c>
      <c r="B2008" s="1" t="s">
        <v>16374</v>
      </c>
      <c r="C2008" s="3">
        <f>IF(B2008="","",SUMIFS('Factory Costs'!$C:$C,'Factory Costs'!$A:$A,"Motor",'Factory Costs'!$B:$B,B2008))</f>
        <v>62</v>
      </c>
    </row>
    <row r="2009" spans="1:3" x14ac:dyDescent="0.25">
      <c r="A2009" s="1" t="s">
        <v>12579</v>
      </c>
      <c r="B2009" s="1" t="s">
        <v>16375</v>
      </c>
      <c r="C2009" s="3">
        <f>IF(B2009="","",SUMIFS('Factory Costs'!$C:$C,'Factory Costs'!$A:$A,"Motor",'Factory Costs'!$B:$B,B2009))</f>
        <v>72</v>
      </c>
    </row>
    <row r="2010" spans="1:3" x14ac:dyDescent="0.25">
      <c r="A2010" s="1" t="s">
        <v>12582</v>
      </c>
      <c r="B2010" s="1" t="s">
        <v>16375</v>
      </c>
      <c r="C2010" s="3">
        <f>IF(B2010="","",SUMIFS('Factory Costs'!$C:$C,'Factory Costs'!$A:$A,"Motor",'Factory Costs'!$B:$B,B2010))</f>
        <v>72</v>
      </c>
    </row>
    <row r="2011" spans="1:3" x14ac:dyDescent="0.25">
      <c r="A2011" s="1" t="s">
        <v>12585</v>
      </c>
      <c r="B2011" s="1" t="s">
        <v>16375</v>
      </c>
      <c r="C2011" s="3">
        <f>IF(B2011="","",SUMIFS('Factory Costs'!$C:$C,'Factory Costs'!$A:$A,"Motor",'Factory Costs'!$B:$B,B2011))</f>
        <v>72</v>
      </c>
    </row>
    <row r="2012" spans="1:3" x14ac:dyDescent="0.25">
      <c r="A2012" s="1" t="s">
        <v>12588</v>
      </c>
      <c r="B2012" s="1" t="s">
        <v>16375</v>
      </c>
      <c r="C2012" s="3">
        <f>IF(B2012="","",SUMIFS('Factory Costs'!$C:$C,'Factory Costs'!$A:$A,"Motor",'Factory Costs'!$B:$B,B2012))</f>
        <v>72</v>
      </c>
    </row>
    <row r="2013" spans="1:3" x14ac:dyDescent="0.25">
      <c r="A2013" s="1" t="s">
        <v>12591</v>
      </c>
      <c r="B2013" s="1" t="s">
        <v>16375</v>
      </c>
      <c r="C2013" s="3">
        <f>IF(B2013="","",SUMIFS('Factory Costs'!$C:$C,'Factory Costs'!$A:$A,"Motor",'Factory Costs'!$B:$B,B2013))</f>
        <v>72</v>
      </c>
    </row>
    <row r="2014" spans="1:3" x14ac:dyDescent="0.25">
      <c r="A2014" s="1" t="s">
        <v>12594</v>
      </c>
      <c r="B2014" s="1" t="s">
        <v>16374</v>
      </c>
      <c r="C2014" s="3">
        <f>IF(B2014="","",SUMIFS('Factory Costs'!$C:$C,'Factory Costs'!$A:$A,"Motor",'Factory Costs'!$B:$B,B2014))</f>
        <v>62</v>
      </c>
    </row>
    <row r="2015" spans="1:3" x14ac:dyDescent="0.25">
      <c r="A2015" s="1" t="s">
        <v>12597</v>
      </c>
      <c r="B2015" s="1" t="s">
        <v>16375</v>
      </c>
      <c r="C2015" s="3">
        <f>IF(B2015="","",SUMIFS('Factory Costs'!$C:$C,'Factory Costs'!$A:$A,"Motor",'Factory Costs'!$B:$B,B2015))</f>
        <v>72</v>
      </c>
    </row>
    <row r="2016" spans="1:3" x14ac:dyDescent="0.25">
      <c r="A2016" s="1" t="s">
        <v>12600</v>
      </c>
      <c r="B2016" s="1" t="s">
        <v>16375</v>
      </c>
      <c r="C2016" s="3">
        <f>IF(B2016="","",SUMIFS('Factory Costs'!$C:$C,'Factory Costs'!$A:$A,"Motor",'Factory Costs'!$B:$B,B2016))</f>
        <v>72</v>
      </c>
    </row>
    <row r="2017" spans="1:3" x14ac:dyDescent="0.25">
      <c r="A2017" s="1" t="s">
        <v>12603</v>
      </c>
      <c r="B2017" s="1" t="s">
        <v>16375</v>
      </c>
      <c r="C2017" s="3">
        <f>IF(B2017="","",SUMIFS('Factory Costs'!$C:$C,'Factory Costs'!$A:$A,"Motor",'Factory Costs'!$B:$B,B2017))</f>
        <v>72</v>
      </c>
    </row>
    <row r="2018" spans="1:3" x14ac:dyDescent="0.25">
      <c r="A2018" s="1" t="s">
        <v>12606</v>
      </c>
      <c r="B2018" s="1" t="s">
        <v>16374</v>
      </c>
      <c r="C2018" s="3">
        <f>IF(B2018="","",SUMIFS('Factory Costs'!$C:$C,'Factory Costs'!$A:$A,"Motor",'Factory Costs'!$B:$B,B2018))</f>
        <v>62</v>
      </c>
    </row>
    <row r="2019" spans="1:3" x14ac:dyDescent="0.25">
      <c r="A2019" s="1" t="s">
        <v>12609</v>
      </c>
      <c r="B2019" s="1" t="s">
        <v>16374</v>
      </c>
      <c r="C2019" s="3">
        <f>IF(B2019="","",SUMIFS('Factory Costs'!$C:$C,'Factory Costs'!$A:$A,"Motor",'Factory Costs'!$B:$B,B2019))</f>
        <v>62</v>
      </c>
    </row>
    <row r="2020" spans="1:3" x14ac:dyDescent="0.25">
      <c r="A2020" s="1" t="s">
        <v>12612</v>
      </c>
      <c r="B2020" s="1" t="s">
        <v>16375</v>
      </c>
      <c r="C2020" s="3">
        <f>IF(B2020="","",SUMIFS('Factory Costs'!$C:$C,'Factory Costs'!$A:$A,"Motor",'Factory Costs'!$B:$B,B2020))</f>
        <v>72</v>
      </c>
    </row>
    <row r="2021" spans="1:3" x14ac:dyDescent="0.25">
      <c r="A2021" s="1" t="s">
        <v>12615</v>
      </c>
      <c r="B2021" s="1" t="s">
        <v>16374</v>
      </c>
      <c r="C2021" s="3">
        <f>IF(B2021="","",SUMIFS('Factory Costs'!$C:$C,'Factory Costs'!$A:$A,"Motor",'Factory Costs'!$B:$B,B2021))</f>
        <v>62</v>
      </c>
    </row>
    <row r="2022" spans="1:3" x14ac:dyDescent="0.25">
      <c r="A2022" s="1" t="s">
        <v>12618</v>
      </c>
      <c r="B2022" s="1" t="s">
        <v>16374</v>
      </c>
      <c r="C2022" s="3">
        <f>IF(B2022="","",SUMIFS('Factory Costs'!$C:$C,'Factory Costs'!$A:$A,"Motor",'Factory Costs'!$B:$B,B2022))</f>
        <v>62</v>
      </c>
    </row>
    <row r="2023" spans="1:3" x14ac:dyDescent="0.25">
      <c r="A2023" s="1" t="s">
        <v>12621</v>
      </c>
      <c r="B2023" s="1" t="s">
        <v>16374</v>
      </c>
      <c r="C2023" s="3">
        <f>IF(B2023="","",SUMIFS('Factory Costs'!$C:$C,'Factory Costs'!$A:$A,"Motor",'Factory Costs'!$B:$B,B2023))</f>
        <v>62</v>
      </c>
    </row>
    <row r="2024" spans="1:3" x14ac:dyDescent="0.25">
      <c r="A2024" s="1" t="s">
        <v>12624</v>
      </c>
      <c r="B2024" s="1" t="s">
        <v>16374</v>
      </c>
      <c r="C2024" s="3">
        <f>IF(B2024="","",SUMIFS('Factory Costs'!$C:$C,'Factory Costs'!$A:$A,"Motor",'Factory Costs'!$B:$B,B2024))</f>
        <v>62</v>
      </c>
    </row>
    <row r="2025" spans="1:3" x14ac:dyDescent="0.25">
      <c r="A2025" s="1" t="s">
        <v>12627</v>
      </c>
      <c r="B2025" s="1" t="s">
        <v>16374</v>
      </c>
      <c r="C2025" s="3">
        <f>IF(B2025="","",SUMIFS('Factory Costs'!$C:$C,'Factory Costs'!$A:$A,"Motor",'Factory Costs'!$B:$B,B2025))</f>
        <v>62</v>
      </c>
    </row>
    <row r="2026" spans="1:3" x14ac:dyDescent="0.25">
      <c r="A2026" s="1" t="s">
        <v>12630</v>
      </c>
      <c r="B2026" s="1" t="s">
        <v>16374</v>
      </c>
      <c r="C2026" s="3">
        <f>IF(B2026="","",SUMIFS('Factory Costs'!$C:$C,'Factory Costs'!$A:$A,"Motor",'Factory Costs'!$B:$B,B2026))</f>
        <v>62</v>
      </c>
    </row>
    <row r="2027" spans="1:3" x14ac:dyDescent="0.25">
      <c r="A2027" s="1" t="s">
        <v>12633</v>
      </c>
      <c r="B2027" s="1" t="s">
        <v>16374</v>
      </c>
      <c r="C2027" s="3">
        <f>IF(B2027="","",SUMIFS('Factory Costs'!$C:$C,'Factory Costs'!$A:$A,"Motor",'Factory Costs'!$B:$B,B2027))</f>
        <v>62</v>
      </c>
    </row>
    <row r="2028" spans="1:3" x14ac:dyDescent="0.25">
      <c r="A2028" s="1" t="s">
        <v>12636</v>
      </c>
      <c r="B2028" s="1" t="s">
        <v>16375</v>
      </c>
      <c r="C2028" s="3">
        <f>IF(B2028="","",SUMIFS('Factory Costs'!$C:$C,'Factory Costs'!$A:$A,"Motor",'Factory Costs'!$B:$B,B2028))</f>
        <v>72</v>
      </c>
    </row>
    <row r="2029" spans="1:3" x14ac:dyDescent="0.25">
      <c r="A2029" s="1" t="s">
        <v>12639</v>
      </c>
      <c r="B2029" s="1" t="s">
        <v>16375</v>
      </c>
      <c r="C2029" s="3">
        <f>IF(B2029="","",SUMIFS('Factory Costs'!$C:$C,'Factory Costs'!$A:$A,"Motor",'Factory Costs'!$B:$B,B2029))</f>
        <v>72</v>
      </c>
    </row>
    <row r="2030" spans="1:3" x14ac:dyDescent="0.25">
      <c r="A2030" s="1" t="s">
        <v>12642</v>
      </c>
      <c r="B2030" s="1" t="s">
        <v>16374</v>
      </c>
      <c r="C2030" s="3">
        <f>IF(B2030="","",SUMIFS('Factory Costs'!$C:$C,'Factory Costs'!$A:$A,"Motor",'Factory Costs'!$B:$B,B2030))</f>
        <v>62</v>
      </c>
    </row>
    <row r="2031" spans="1:3" x14ac:dyDescent="0.25">
      <c r="A2031" s="1" t="s">
        <v>12645</v>
      </c>
      <c r="B2031" s="1" t="s">
        <v>16374</v>
      </c>
      <c r="C2031" s="3">
        <f>IF(B2031="","",SUMIFS('Factory Costs'!$C:$C,'Factory Costs'!$A:$A,"Motor",'Factory Costs'!$B:$B,B2031))</f>
        <v>62</v>
      </c>
    </row>
    <row r="2032" spans="1:3" x14ac:dyDescent="0.25">
      <c r="A2032" s="1" t="s">
        <v>12648</v>
      </c>
      <c r="B2032" s="1" t="s">
        <v>16374</v>
      </c>
      <c r="C2032" s="3">
        <f>IF(B2032="","",SUMIFS('Factory Costs'!$C:$C,'Factory Costs'!$A:$A,"Motor",'Factory Costs'!$B:$B,B2032))</f>
        <v>62</v>
      </c>
    </row>
    <row r="2033" spans="1:3" x14ac:dyDescent="0.25">
      <c r="A2033" s="1" t="s">
        <v>12651</v>
      </c>
      <c r="B2033" s="1" t="s">
        <v>16374</v>
      </c>
      <c r="C2033" s="3">
        <f>IF(B2033="","",SUMIFS('Factory Costs'!$C:$C,'Factory Costs'!$A:$A,"Motor",'Factory Costs'!$B:$B,B2033))</f>
        <v>62</v>
      </c>
    </row>
    <row r="2034" spans="1:3" x14ac:dyDescent="0.25">
      <c r="A2034" s="1" t="s">
        <v>12654</v>
      </c>
      <c r="B2034" s="1" t="s">
        <v>16374</v>
      </c>
      <c r="C2034" s="3">
        <f>IF(B2034="","",SUMIFS('Factory Costs'!$C:$C,'Factory Costs'!$A:$A,"Motor",'Factory Costs'!$B:$B,B2034))</f>
        <v>62</v>
      </c>
    </row>
    <row r="2035" spans="1:3" x14ac:dyDescent="0.25">
      <c r="A2035" s="1" t="s">
        <v>12657</v>
      </c>
      <c r="B2035" s="1" t="s">
        <v>16374</v>
      </c>
      <c r="C2035" s="3">
        <f>IF(B2035="","",SUMIFS('Factory Costs'!$C:$C,'Factory Costs'!$A:$A,"Motor",'Factory Costs'!$B:$B,B2035))</f>
        <v>62</v>
      </c>
    </row>
    <row r="2036" spans="1:3" x14ac:dyDescent="0.25">
      <c r="A2036" s="1" t="s">
        <v>12660</v>
      </c>
      <c r="B2036" s="1" t="s">
        <v>16374</v>
      </c>
      <c r="C2036" s="3">
        <f>IF(B2036="","",SUMIFS('Factory Costs'!$C:$C,'Factory Costs'!$A:$A,"Motor",'Factory Costs'!$B:$B,B2036))</f>
        <v>62</v>
      </c>
    </row>
    <row r="2037" spans="1:3" x14ac:dyDescent="0.25">
      <c r="A2037" s="1" t="s">
        <v>12663</v>
      </c>
      <c r="B2037" s="1" t="s">
        <v>16374</v>
      </c>
      <c r="C2037" s="3">
        <f>IF(B2037="","",SUMIFS('Factory Costs'!$C:$C,'Factory Costs'!$A:$A,"Motor",'Factory Costs'!$B:$B,B2037))</f>
        <v>62</v>
      </c>
    </row>
    <row r="2038" spans="1:3" x14ac:dyDescent="0.25">
      <c r="A2038" s="1" t="s">
        <v>12666</v>
      </c>
      <c r="B2038" s="1" t="s">
        <v>16374</v>
      </c>
      <c r="C2038" s="3">
        <f>IF(B2038="","",SUMIFS('Factory Costs'!$C:$C,'Factory Costs'!$A:$A,"Motor",'Factory Costs'!$B:$B,B2038))</f>
        <v>62</v>
      </c>
    </row>
    <row r="2039" spans="1:3" x14ac:dyDescent="0.25">
      <c r="A2039" s="1" t="s">
        <v>12669</v>
      </c>
      <c r="B2039" s="1" t="s">
        <v>16374</v>
      </c>
      <c r="C2039" s="3">
        <f>IF(B2039="","",SUMIFS('Factory Costs'!$C:$C,'Factory Costs'!$A:$A,"Motor",'Factory Costs'!$B:$B,B2039))</f>
        <v>62</v>
      </c>
    </row>
    <row r="2040" spans="1:3" x14ac:dyDescent="0.25">
      <c r="A2040" s="1" t="s">
        <v>12672</v>
      </c>
      <c r="B2040" s="1" t="s">
        <v>16374</v>
      </c>
      <c r="C2040" s="3">
        <f>IF(B2040="","",SUMIFS('Factory Costs'!$C:$C,'Factory Costs'!$A:$A,"Motor",'Factory Costs'!$B:$B,B2040))</f>
        <v>62</v>
      </c>
    </row>
    <row r="2041" spans="1:3" x14ac:dyDescent="0.25">
      <c r="A2041" s="1" t="s">
        <v>12675</v>
      </c>
      <c r="B2041" s="1" t="s">
        <v>16374</v>
      </c>
      <c r="C2041" s="3">
        <f>IF(B2041="","",SUMIFS('Factory Costs'!$C:$C,'Factory Costs'!$A:$A,"Motor",'Factory Costs'!$B:$B,B2041))</f>
        <v>62</v>
      </c>
    </row>
    <row r="2042" spans="1:3" x14ac:dyDescent="0.25">
      <c r="A2042" s="1" t="s">
        <v>12678</v>
      </c>
      <c r="B2042" s="1" t="s">
        <v>16374</v>
      </c>
      <c r="C2042" s="3">
        <f>IF(B2042="","",SUMIFS('Factory Costs'!$C:$C,'Factory Costs'!$A:$A,"Motor",'Factory Costs'!$B:$B,B2042))</f>
        <v>62</v>
      </c>
    </row>
    <row r="2043" spans="1:3" x14ac:dyDescent="0.25">
      <c r="A2043" s="1" t="s">
        <v>12681</v>
      </c>
      <c r="B2043" s="1" t="s">
        <v>16375</v>
      </c>
      <c r="C2043" s="3">
        <f>IF(B2043="","",SUMIFS('Factory Costs'!$C:$C,'Factory Costs'!$A:$A,"Motor",'Factory Costs'!$B:$B,B2043))</f>
        <v>72</v>
      </c>
    </row>
    <row r="2044" spans="1:3" x14ac:dyDescent="0.25">
      <c r="A2044" s="1" t="s">
        <v>12684</v>
      </c>
      <c r="B2044" s="1" t="s">
        <v>16374</v>
      </c>
      <c r="C2044" s="3">
        <f>IF(B2044="","",SUMIFS('Factory Costs'!$C:$C,'Factory Costs'!$A:$A,"Motor",'Factory Costs'!$B:$B,B2044))</f>
        <v>62</v>
      </c>
    </row>
    <row r="2045" spans="1:3" x14ac:dyDescent="0.25">
      <c r="A2045" s="1" t="s">
        <v>12687</v>
      </c>
      <c r="B2045" s="1" t="s">
        <v>16375</v>
      </c>
      <c r="C2045" s="3">
        <f>IF(B2045="","",SUMIFS('Factory Costs'!$C:$C,'Factory Costs'!$A:$A,"Motor",'Factory Costs'!$B:$B,B2045))</f>
        <v>72</v>
      </c>
    </row>
    <row r="2046" spans="1:3" x14ac:dyDescent="0.25">
      <c r="A2046" s="1" t="s">
        <v>12690</v>
      </c>
      <c r="B2046" s="1" t="s">
        <v>16374</v>
      </c>
      <c r="C2046" s="3">
        <f>IF(B2046="","",SUMIFS('Factory Costs'!$C:$C,'Factory Costs'!$A:$A,"Motor",'Factory Costs'!$B:$B,B2046))</f>
        <v>62</v>
      </c>
    </row>
    <row r="2047" spans="1:3" x14ac:dyDescent="0.25">
      <c r="A2047" s="1" t="s">
        <v>12693</v>
      </c>
      <c r="B2047" s="1" t="s">
        <v>16374</v>
      </c>
      <c r="C2047" s="3">
        <f>IF(B2047="","",SUMIFS('Factory Costs'!$C:$C,'Factory Costs'!$A:$A,"Motor",'Factory Costs'!$B:$B,B2047))</f>
        <v>62</v>
      </c>
    </row>
    <row r="2048" spans="1:3" x14ac:dyDescent="0.25">
      <c r="A2048" s="1" t="s">
        <v>12696</v>
      </c>
      <c r="B2048" s="1" t="s">
        <v>16374</v>
      </c>
      <c r="C2048" s="3">
        <f>IF(B2048="","",SUMIFS('Factory Costs'!$C:$C,'Factory Costs'!$A:$A,"Motor",'Factory Costs'!$B:$B,B2048))</f>
        <v>62</v>
      </c>
    </row>
    <row r="2049" spans="1:3" x14ac:dyDescent="0.25">
      <c r="A2049" s="1" t="s">
        <v>12699</v>
      </c>
      <c r="B2049" s="1" t="s">
        <v>16374</v>
      </c>
      <c r="C2049" s="3">
        <f>IF(B2049="","",SUMIFS('Factory Costs'!$C:$C,'Factory Costs'!$A:$A,"Motor",'Factory Costs'!$B:$B,B2049))</f>
        <v>62</v>
      </c>
    </row>
    <row r="2050" spans="1:3" x14ac:dyDescent="0.25">
      <c r="A2050" s="1" t="s">
        <v>12702</v>
      </c>
      <c r="B2050" s="1" t="s">
        <v>16374</v>
      </c>
      <c r="C2050" s="3">
        <f>IF(B2050="","",SUMIFS('Factory Costs'!$C:$C,'Factory Costs'!$A:$A,"Motor",'Factory Costs'!$B:$B,B2050))</f>
        <v>62</v>
      </c>
    </row>
    <row r="2051" spans="1:3" x14ac:dyDescent="0.25">
      <c r="A2051" s="1" t="s">
        <v>12705</v>
      </c>
      <c r="B2051" s="1" t="s">
        <v>16374</v>
      </c>
      <c r="C2051" s="3">
        <f>IF(B2051="","",SUMIFS('Factory Costs'!$C:$C,'Factory Costs'!$A:$A,"Motor",'Factory Costs'!$B:$B,B2051))</f>
        <v>62</v>
      </c>
    </row>
    <row r="2052" spans="1:3" x14ac:dyDescent="0.25">
      <c r="A2052" s="1" t="s">
        <v>12708</v>
      </c>
      <c r="B2052" s="1" t="s">
        <v>16374</v>
      </c>
      <c r="C2052" s="3">
        <f>IF(B2052="","",SUMIFS('Factory Costs'!$C:$C,'Factory Costs'!$A:$A,"Motor",'Factory Costs'!$B:$B,B2052))</f>
        <v>62</v>
      </c>
    </row>
    <row r="2053" spans="1:3" x14ac:dyDescent="0.25">
      <c r="A2053" s="1" t="s">
        <v>12711</v>
      </c>
      <c r="B2053" s="1" t="s">
        <v>16374</v>
      </c>
      <c r="C2053" s="3">
        <f>IF(B2053="","",SUMIFS('Factory Costs'!$C:$C,'Factory Costs'!$A:$A,"Motor",'Factory Costs'!$B:$B,B2053))</f>
        <v>62</v>
      </c>
    </row>
    <row r="2054" spans="1:3" x14ac:dyDescent="0.25">
      <c r="A2054" s="1" t="s">
        <v>12714</v>
      </c>
      <c r="B2054" s="1" t="s">
        <v>16374</v>
      </c>
      <c r="C2054" s="3">
        <f>IF(B2054="","",SUMIFS('Factory Costs'!$C:$C,'Factory Costs'!$A:$A,"Motor",'Factory Costs'!$B:$B,B2054))</f>
        <v>62</v>
      </c>
    </row>
    <row r="2055" spans="1:3" x14ac:dyDescent="0.25">
      <c r="A2055" s="1" t="s">
        <v>12717</v>
      </c>
      <c r="B2055" s="1" t="s">
        <v>16375</v>
      </c>
      <c r="C2055" s="3">
        <f>IF(B2055="","",SUMIFS('Factory Costs'!$C:$C,'Factory Costs'!$A:$A,"Motor",'Factory Costs'!$B:$B,B2055))</f>
        <v>72</v>
      </c>
    </row>
    <row r="2056" spans="1:3" x14ac:dyDescent="0.25">
      <c r="A2056" s="1" t="s">
        <v>12720</v>
      </c>
      <c r="B2056" s="1" t="s">
        <v>16375</v>
      </c>
      <c r="C2056" s="3">
        <f>IF(B2056="","",SUMIFS('Factory Costs'!$C:$C,'Factory Costs'!$A:$A,"Motor",'Factory Costs'!$B:$B,B2056))</f>
        <v>72</v>
      </c>
    </row>
    <row r="2057" spans="1:3" x14ac:dyDescent="0.25">
      <c r="A2057" s="1" t="s">
        <v>12723</v>
      </c>
      <c r="B2057" s="1" t="s">
        <v>16375</v>
      </c>
      <c r="C2057" s="3">
        <f>IF(B2057="","",SUMIFS('Factory Costs'!$C:$C,'Factory Costs'!$A:$A,"Motor",'Factory Costs'!$B:$B,B2057))</f>
        <v>72</v>
      </c>
    </row>
    <row r="2058" spans="1:3" x14ac:dyDescent="0.25">
      <c r="A2058" s="1" t="s">
        <v>12726</v>
      </c>
      <c r="B2058" s="1" t="s">
        <v>16374</v>
      </c>
      <c r="C2058" s="3">
        <f>IF(B2058="","",SUMIFS('Factory Costs'!$C:$C,'Factory Costs'!$A:$A,"Motor",'Factory Costs'!$B:$B,B2058))</f>
        <v>62</v>
      </c>
    </row>
    <row r="2059" spans="1:3" x14ac:dyDescent="0.25">
      <c r="A2059" s="1" t="s">
        <v>12729</v>
      </c>
      <c r="B2059" s="1" t="s">
        <v>16375</v>
      </c>
      <c r="C2059" s="3">
        <f>IF(B2059="","",SUMIFS('Factory Costs'!$C:$C,'Factory Costs'!$A:$A,"Motor",'Factory Costs'!$B:$B,B2059))</f>
        <v>72</v>
      </c>
    </row>
    <row r="2060" spans="1:3" x14ac:dyDescent="0.25">
      <c r="A2060" s="1" t="s">
        <v>12732</v>
      </c>
      <c r="B2060" s="1" t="s">
        <v>16374</v>
      </c>
      <c r="C2060" s="3">
        <f>IF(B2060="","",SUMIFS('Factory Costs'!$C:$C,'Factory Costs'!$A:$A,"Motor",'Factory Costs'!$B:$B,B2060))</f>
        <v>62</v>
      </c>
    </row>
    <row r="2061" spans="1:3" x14ac:dyDescent="0.25">
      <c r="A2061" s="1" t="s">
        <v>12735</v>
      </c>
      <c r="B2061" s="1" t="s">
        <v>16374</v>
      </c>
      <c r="C2061" s="3">
        <f>IF(B2061="","",SUMIFS('Factory Costs'!$C:$C,'Factory Costs'!$A:$A,"Motor",'Factory Costs'!$B:$B,B2061))</f>
        <v>62</v>
      </c>
    </row>
    <row r="2062" spans="1:3" x14ac:dyDescent="0.25">
      <c r="A2062" s="1" t="s">
        <v>12738</v>
      </c>
      <c r="B2062" s="1" t="s">
        <v>16374</v>
      </c>
      <c r="C2062" s="3">
        <f>IF(B2062="","",SUMIFS('Factory Costs'!$C:$C,'Factory Costs'!$A:$A,"Motor",'Factory Costs'!$B:$B,B2062))</f>
        <v>62</v>
      </c>
    </row>
    <row r="2063" spans="1:3" x14ac:dyDescent="0.25">
      <c r="A2063" s="1" t="s">
        <v>12741</v>
      </c>
      <c r="B2063" s="1" t="s">
        <v>16374</v>
      </c>
      <c r="C2063" s="3">
        <f>IF(B2063="","",SUMIFS('Factory Costs'!$C:$C,'Factory Costs'!$A:$A,"Motor",'Factory Costs'!$B:$B,B2063))</f>
        <v>62</v>
      </c>
    </row>
    <row r="2064" spans="1:3" x14ac:dyDescent="0.25">
      <c r="A2064" s="1" t="s">
        <v>12744</v>
      </c>
      <c r="B2064" s="1" t="s">
        <v>16374</v>
      </c>
      <c r="C2064" s="3">
        <f>IF(B2064="","",SUMIFS('Factory Costs'!$C:$C,'Factory Costs'!$A:$A,"Motor",'Factory Costs'!$B:$B,B2064))</f>
        <v>62</v>
      </c>
    </row>
    <row r="2065" spans="1:3" x14ac:dyDescent="0.25">
      <c r="A2065" s="1" t="s">
        <v>12747</v>
      </c>
      <c r="B2065" s="1" t="s">
        <v>16375</v>
      </c>
      <c r="C2065" s="3">
        <f>IF(B2065="","",SUMIFS('Factory Costs'!$C:$C,'Factory Costs'!$A:$A,"Motor",'Factory Costs'!$B:$B,B2065))</f>
        <v>72</v>
      </c>
    </row>
    <row r="2066" spans="1:3" x14ac:dyDescent="0.25">
      <c r="A2066" s="1" t="s">
        <v>12750</v>
      </c>
      <c r="B2066" s="1" t="s">
        <v>16374</v>
      </c>
      <c r="C2066" s="3">
        <f>IF(B2066="","",SUMIFS('Factory Costs'!$C:$C,'Factory Costs'!$A:$A,"Motor",'Factory Costs'!$B:$B,B2066))</f>
        <v>62</v>
      </c>
    </row>
    <row r="2067" spans="1:3" x14ac:dyDescent="0.25">
      <c r="A2067" s="1" t="s">
        <v>12753</v>
      </c>
      <c r="B2067" s="1" t="s">
        <v>16375</v>
      </c>
      <c r="C2067" s="3">
        <f>IF(B2067="","",SUMIFS('Factory Costs'!$C:$C,'Factory Costs'!$A:$A,"Motor",'Factory Costs'!$B:$B,B2067))</f>
        <v>72</v>
      </c>
    </row>
    <row r="2068" spans="1:3" x14ac:dyDescent="0.25">
      <c r="A2068" s="1" t="s">
        <v>12756</v>
      </c>
      <c r="B2068" s="1" t="s">
        <v>16375</v>
      </c>
      <c r="C2068" s="3">
        <f>IF(B2068="","",SUMIFS('Factory Costs'!$C:$C,'Factory Costs'!$A:$A,"Motor",'Factory Costs'!$B:$B,B2068))</f>
        <v>72</v>
      </c>
    </row>
    <row r="2069" spans="1:3" x14ac:dyDescent="0.25">
      <c r="A2069" s="1" t="s">
        <v>12759</v>
      </c>
      <c r="B2069" s="1" t="s">
        <v>16375</v>
      </c>
      <c r="C2069" s="3">
        <f>IF(B2069="","",SUMIFS('Factory Costs'!$C:$C,'Factory Costs'!$A:$A,"Motor",'Factory Costs'!$B:$B,B2069))</f>
        <v>72</v>
      </c>
    </row>
    <row r="2070" spans="1:3" x14ac:dyDescent="0.25">
      <c r="A2070" s="1" t="s">
        <v>12762</v>
      </c>
      <c r="B2070" s="1" t="s">
        <v>16374</v>
      </c>
      <c r="C2070" s="3">
        <f>IF(B2070="","",SUMIFS('Factory Costs'!$C:$C,'Factory Costs'!$A:$A,"Motor",'Factory Costs'!$B:$B,B2070))</f>
        <v>62</v>
      </c>
    </row>
    <row r="2071" spans="1:3" x14ac:dyDescent="0.25">
      <c r="A2071" s="1" t="s">
        <v>12765</v>
      </c>
      <c r="B2071" s="1" t="s">
        <v>16375</v>
      </c>
      <c r="C2071" s="3">
        <f>IF(B2071="","",SUMIFS('Factory Costs'!$C:$C,'Factory Costs'!$A:$A,"Motor",'Factory Costs'!$B:$B,B2071))</f>
        <v>72</v>
      </c>
    </row>
    <row r="2072" spans="1:3" x14ac:dyDescent="0.25">
      <c r="A2072" s="1" t="s">
        <v>12768</v>
      </c>
      <c r="B2072" s="1" t="s">
        <v>16374</v>
      </c>
      <c r="C2072" s="3">
        <f>IF(B2072="","",SUMIFS('Factory Costs'!$C:$C,'Factory Costs'!$A:$A,"Motor",'Factory Costs'!$B:$B,B2072))</f>
        <v>62</v>
      </c>
    </row>
    <row r="2073" spans="1:3" x14ac:dyDescent="0.25">
      <c r="A2073" s="1" t="s">
        <v>12771</v>
      </c>
      <c r="B2073" s="1" t="s">
        <v>16375</v>
      </c>
      <c r="C2073" s="3">
        <f>IF(B2073="","",SUMIFS('Factory Costs'!$C:$C,'Factory Costs'!$A:$A,"Motor",'Factory Costs'!$B:$B,B2073))</f>
        <v>72</v>
      </c>
    </row>
    <row r="2074" spans="1:3" x14ac:dyDescent="0.25">
      <c r="A2074" s="1" t="s">
        <v>12774</v>
      </c>
      <c r="B2074" s="1" t="s">
        <v>16374</v>
      </c>
      <c r="C2074" s="3">
        <f>IF(B2074="","",SUMIFS('Factory Costs'!$C:$C,'Factory Costs'!$A:$A,"Motor",'Factory Costs'!$B:$B,B2074))</f>
        <v>62</v>
      </c>
    </row>
    <row r="2075" spans="1:3" x14ac:dyDescent="0.25">
      <c r="A2075" s="1" t="s">
        <v>12777</v>
      </c>
      <c r="B2075" s="1" t="s">
        <v>16374</v>
      </c>
      <c r="C2075" s="3">
        <f>IF(B2075="","",SUMIFS('Factory Costs'!$C:$C,'Factory Costs'!$A:$A,"Motor",'Factory Costs'!$B:$B,B2075))</f>
        <v>62</v>
      </c>
    </row>
    <row r="2076" spans="1:3" x14ac:dyDescent="0.25">
      <c r="A2076" s="1" t="s">
        <v>12780</v>
      </c>
      <c r="B2076" s="1" t="s">
        <v>16374</v>
      </c>
      <c r="C2076" s="3">
        <f>IF(B2076="","",SUMIFS('Factory Costs'!$C:$C,'Factory Costs'!$A:$A,"Motor",'Factory Costs'!$B:$B,B2076))</f>
        <v>62</v>
      </c>
    </row>
    <row r="2077" spans="1:3" x14ac:dyDescent="0.25">
      <c r="A2077" s="1" t="s">
        <v>12783</v>
      </c>
      <c r="B2077" s="1" t="s">
        <v>16374</v>
      </c>
      <c r="C2077" s="3">
        <f>IF(B2077="","",SUMIFS('Factory Costs'!$C:$C,'Factory Costs'!$A:$A,"Motor",'Factory Costs'!$B:$B,B2077))</f>
        <v>62</v>
      </c>
    </row>
    <row r="2078" spans="1:3" x14ac:dyDescent="0.25">
      <c r="A2078" s="1" t="s">
        <v>12786</v>
      </c>
      <c r="B2078" s="1" t="s">
        <v>16375</v>
      </c>
      <c r="C2078" s="3">
        <f>IF(B2078="","",SUMIFS('Factory Costs'!$C:$C,'Factory Costs'!$A:$A,"Motor",'Factory Costs'!$B:$B,B2078))</f>
        <v>72</v>
      </c>
    </row>
    <row r="2079" spans="1:3" x14ac:dyDescent="0.25">
      <c r="A2079" s="1" t="s">
        <v>12789</v>
      </c>
      <c r="B2079" s="1" t="s">
        <v>16374</v>
      </c>
      <c r="C2079" s="3">
        <f>IF(B2079="","",SUMIFS('Factory Costs'!$C:$C,'Factory Costs'!$A:$A,"Motor",'Factory Costs'!$B:$B,B2079))</f>
        <v>62</v>
      </c>
    </row>
    <row r="2080" spans="1:3" x14ac:dyDescent="0.25">
      <c r="A2080" s="1" t="s">
        <v>12792</v>
      </c>
      <c r="B2080" s="1" t="s">
        <v>16374</v>
      </c>
      <c r="C2080" s="3">
        <f>IF(B2080="","",SUMIFS('Factory Costs'!$C:$C,'Factory Costs'!$A:$A,"Motor",'Factory Costs'!$B:$B,B2080))</f>
        <v>62</v>
      </c>
    </row>
    <row r="2081" spans="1:3" x14ac:dyDescent="0.25">
      <c r="A2081" s="1" t="s">
        <v>12795</v>
      </c>
      <c r="B2081" s="1" t="s">
        <v>16375</v>
      </c>
      <c r="C2081" s="3">
        <f>IF(B2081="","",SUMIFS('Factory Costs'!$C:$C,'Factory Costs'!$A:$A,"Motor",'Factory Costs'!$B:$B,B2081))</f>
        <v>72</v>
      </c>
    </row>
    <row r="2082" spans="1:3" x14ac:dyDescent="0.25">
      <c r="A2082" s="1" t="s">
        <v>12798</v>
      </c>
      <c r="B2082" s="1" t="s">
        <v>16374</v>
      </c>
      <c r="C2082" s="3">
        <f>IF(B2082="","",SUMIFS('Factory Costs'!$C:$C,'Factory Costs'!$A:$A,"Motor",'Factory Costs'!$B:$B,B2082))</f>
        <v>62</v>
      </c>
    </row>
    <row r="2083" spans="1:3" x14ac:dyDescent="0.25">
      <c r="A2083" s="1" t="s">
        <v>12801</v>
      </c>
      <c r="B2083" s="1" t="s">
        <v>16374</v>
      </c>
      <c r="C2083" s="3">
        <f>IF(B2083="","",SUMIFS('Factory Costs'!$C:$C,'Factory Costs'!$A:$A,"Motor",'Factory Costs'!$B:$B,B2083))</f>
        <v>62</v>
      </c>
    </row>
    <row r="2084" spans="1:3" x14ac:dyDescent="0.25">
      <c r="A2084" s="1" t="s">
        <v>12804</v>
      </c>
      <c r="B2084" s="1" t="s">
        <v>16374</v>
      </c>
      <c r="C2084" s="3">
        <f>IF(B2084="","",SUMIFS('Factory Costs'!$C:$C,'Factory Costs'!$A:$A,"Motor",'Factory Costs'!$B:$B,B2084))</f>
        <v>62</v>
      </c>
    </row>
    <row r="2085" spans="1:3" x14ac:dyDescent="0.25">
      <c r="A2085" s="1" t="s">
        <v>12807</v>
      </c>
      <c r="B2085" s="1" t="s">
        <v>16374</v>
      </c>
      <c r="C2085" s="3">
        <f>IF(B2085="","",SUMIFS('Factory Costs'!$C:$C,'Factory Costs'!$A:$A,"Motor",'Factory Costs'!$B:$B,B2085))</f>
        <v>62</v>
      </c>
    </row>
    <row r="2086" spans="1:3" x14ac:dyDescent="0.25">
      <c r="A2086" s="1" t="s">
        <v>12810</v>
      </c>
      <c r="B2086" s="1" t="s">
        <v>16374</v>
      </c>
      <c r="C2086" s="3">
        <f>IF(B2086="","",SUMIFS('Factory Costs'!$C:$C,'Factory Costs'!$A:$A,"Motor",'Factory Costs'!$B:$B,B2086))</f>
        <v>62</v>
      </c>
    </row>
    <row r="2087" spans="1:3" x14ac:dyDescent="0.25">
      <c r="A2087" s="1" t="s">
        <v>12813</v>
      </c>
      <c r="B2087" s="1" t="s">
        <v>16374</v>
      </c>
      <c r="C2087" s="3">
        <f>IF(B2087="","",SUMIFS('Factory Costs'!$C:$C,'Factory Costs'!$A:$A,"Motor",'Factory Costs'!$B:$B,B2087))</f>
        <v>62</v>
      </c>
    </row>
    <row r="2088" spans="1:3" x14ac:dyDescent="0.25">
      <c r="A2088" s="1" t="s">
        <v>12816</v>
      </c>
      <c r="B2088" s="1" t="s">
        <v>16375</v>
      </c>
      <c r="C2088" s="3">
        <f>IF(B2088="","",SUMIFS('Factory Costs'!$C:$C,'Factory Costs'!$A:$A,"Motor",'Factory Costs'!$B:$B,B2088))</f>
        <v>72</v>
      </c>
    </row>
    <row r="2089" spans="1:3" x14ac:dyDescent="0.25">
      <c r="A2089" s="1" t="s">
        <v>12819</v>
      </c>
      <c r="B2089" s="1" t="s">
        <v>16375</v>
      </c>
      <c r="C2089" s="3">
        <f>IF(B2089="","",SUMIFS('Factory Costs'!$C:$C,'Factory Costs'!$A:$A,"Motor",'Factory Costs'!$B:$B,B2089))</f>
        <v>72</v>
      </c>
    </row>
    <row r="2090" spans="1:3" x14ac:dyDescent="0.25">
      <c r="A2090" s="1" t="s">
        <v>12822</v>
      </c>
      <c r="B2090" s="1" t="s">
        <v>16374</v>
      </c>
      <c r="C2090" s="3">
        <f>IF(B2090="","",SUMIFS('Factory Costs'!$C:$C,'Factory Costs'!$A:$A,"Motor",'Factory Costs'!$B:$B,B2090))</f>
        <v>62</v>
      </c>
    </row>
    <row r="2091" spans="1:3" x14ac:dyDescent="0.25">
      <c r="A2091" s="1" t="s">
        <v>12825</v>
      </c>
      <c r="B2091" s="1" t="s">
        <v>16374</v>
      </c>
      <c r="C2091" s="3">
        <f>IF(B2091="","",SUMIFS('Factory Costs'!$C:$C,'Factory Costs'!$A:$A,"Motor",'Factory Costs'!$B:$B,B2091))</f>
        <v>62</v>
      </c>
    </row>
    <row r="2092" spans="1:3" x14ac:dyDescent="0.25">
      <c r="A2092" s="1" t="s">
        <v>12828</v>
      </c>
      <c r="B2092" s="1" t="s">
        <v>16375</v>
      </c>
      <c r="C2092" s="3">
        <f>IF(B2092="","",SUMIFS('Factory Costs'!$C:$C,'Factory Costs'!$A:$A,"Motor",'Factory Costs'!$B:$B,B2092))</f>
        <v>72</v>
      </c>
    </row>
    <row r="2093" spans="1:3" x14ac:dyDescent="0.25">
      <c r="A2093" s="1" t="s">
        <v>12831</v>
      </c>
      <c r="B2093" s="1" t="s">
        <v>16374</v>
      </c>
      <c r="C2093" s="3">
        <f>IF(B2093="","",SUMIFS('Factory Costs'!$C:$C,'Factory Costs'!$A:$A,"Motor",'Factory Costs'!$B:$B,B2093))</f>
        <v>62</v>
      </c>
    </row>
    <row r="2094" spans="1:3" x14ac:dyDescent="0.25">
      <c r="A2094" s="1" t="s">
        <v>12834</v>
      </c>
      <c r="B2094" s="1" t="s">
        <v>16374</v>
      </c>
      <c r="C2094" s="3">
        <f>IF(B2094="","",SUMIFS('Factory Costs'!$C:$C,'Factory Costs'!$A:$A,"Motor",'Factory Costs'!$B:$B,B2094))</f>
        <v>62</v>
      </c>
    </row>
    <row r="2095" spans="1:3" x14ac:dyDescent="0.25">
      <c r="A2095" s="1" t="s">
        <v>12837</v>
      </c>
      <c r="B2095" s="1" t="s">
        <v>16374</v>
      </c>
      <c r="C2095" s="3">
        <f>IF(B2095="","",SUMIFS('Factory Costs'!$C:$C,'Factory Costs'!$A:$A,"Motor",'Factory Costs'!$B:$B,B2095))</f>
        <v>62</v>
      </c>
    </row>
    <row r="2096" spans="1:3" x14ac:dyDescent="0.25">
      <c r="A2096" s="1" t="s">
        <v>12840</v>
      </c>
      <c r="B2096" s="1" t="s">
        <v>16375</v>
      </c>
      <c r="C2096" s="3">
        <f>IF(B2096="","",SUMIFS('Factory Costs'!$C:$C,'Factory Costs'!$A:$A,"Motor",'Factory Costs'!$B:$B,B2096))</f>
        <v>72</v>
      </c>
    </row>
    <row r="2097" spans="1:3" x14ac:dyDescent="0.25">
      <c r="A2097" s="1" t="s">
        <v>12843</v>
      </c>
      <c r="B2097" s="1" t="s">
        <v>16374</v>
      </c>
      <c r="C2097" s="3">
        <f>IF(B2097="","",SUMIFS('Factory Costs'!$C:$C,'Factory Costs'!$A:$A,"Motor",'Factory Costs'!$B:$B,B2097))</f>
        <v>62</v>
      </c>
    </row>
    <row r="2098" spans="1:3" x14ac:dyDescent="0.25">
      <c r="A2098" s="1" t="s">
        <v>12846</v>
      </c>
      <c r="B2098" s="1" t="s">
        <v>16374</v>
      </c>
      <c r="C2098" s="3">
        <f>IF(B2098="","",SUMIFS('Factory Costs'!$C:$C,'Factory Costs'!$A:$A,"Motor",'Factory Costs'!$B:$B,B2098))</f>
        <v>62</v>
      </c>
    </row>
    <row r="2099" spans="1:3" x14ac:dyDescent="0.25">
      <c r="A2099" s="1" t="s">
        <v>12849</v>
      </c>
      <c r="B2099" s="1" t="s">
        <v>16375</v>
      </c>
      <c r="C2099" s="3">
        <f>IF(B2099="","",SUMIFS('Factory Costs'!$C:$C,'Factory Costs'!$A:$A,"Motor",'Factory Costs'!$B:$B,B2099))</f>
        <v>72</v>
      </c>
    </row>
    <row r="2100" spans="1:3" x14ac:dyDescent="0.25">
      <c r="A2100" s="1" t="s">
        <v>12852</v>
      </c>
      <c r="B2100" s="1" t="s">
        <v>16375</v>
      </c>
      <c r="C2100" s="3">
        <f>IF(B2100="","",SUMIFS('Factory Costs'!$C:$C,'Factory Costs'!$A:$A,"Motor",'Factory Costs'!$B:$B,B2100))</f>
        <v>72</v>
      </c>
    </row>
    <row r="2101" spans="1:3" x14ac:dyDescent="0.25">
      <c r="A2101" s="1" t="s">
        <v>12855</v>
      </c>
      <c r="B2101" s="1" t="s">
        <v>16374</v>
      </c>
      <c r="C2101" s="3">
        <f>IF(B2101="","",SUMIFS('Factory Costs'!$C:$C,'Factory Costs'!$A:$A,"Motor",'Factory Costs'!$B:$B,B2101))</f>
        <v>62</v>
      </c>
    </row>
    <row r="2102" spans="1:3" x14ac:dyDescent="0.25">
      <c r="A2102" s="1" t="s">
        <v>12858</v>
      </c>
      <c r="B2102" s="1" t="s">
        <v>16375</v>
      </c>
      <c r="C2102" s="3">
        <f>IF(B2102="","",SUMIFS('Factory Costs'!$C:$C,'Factory Costs'!$A:$A,"Motor",'Factory Costs'!$B:$B,B2102))</f>
        <v>72</v>
      </c>
    </row>
    <row r="2103" spans="1:3" x14ac:dyDescent="0.25">
      <c r="A2103" s="1" t="s">
        <v>12861</v>
      </c>
      <c r="B2103" s="1" t="s">
        <v>16375</v>
      </c>
      <c r="C2103" s="3">
        <f>IF(B2103="","",SUMIFS('Factory Costs'!$C:$C,'Factory Costs'!$A:$A,"Motor",'Factory Costs'!$B:$B,B2103))</f>
        <v>72</v>
      </c>
    </row>
    <row r="2104" spans="1:3" x14ac:dyDescent="0.25">
      <c r="A2104" s="1" t="s">
        <v>12864</v>
      </c>
      <c r="B2104" s="1" t="s">
        <v>16375</v>
      </c>
      <c r="C2104" s="3">
        <f>IF(B2104="","",SUMIFS('Factory Costs'!$C:$C,'Factory Costs'!$A:$A,"Motor",'Factory Costs'!$B:$B,B2104))</f>
        <v>72</v>
      </c>
    </row>
    <row r="2105" spans="1:3" x14ac:dyDescent="0.25">
      <c r="A2105" s="1" t="s">
        <v>12867</v>
      </c>
      <c r="B2105" s="1" t="s">
        <v>16375</v>
      </c>
      <c r="C2105" s="3">
        <f>IF(B2105="","",SUMIFS('Factory Costs'!$C:$C,'Factory Costs'!$A:$A,"Motor",'Factory Costs'!$B:$B,B2105))</f>
        <v>72</v>
      </c>
    </row>
    <row r="2106" spans="1:3" x14ac:dyDescent="0.25">
      <c r="A2106" s="1" t="s">
        <v>12870</v>
      </c>
      <c r="B2106" s="1" t="s">
        <v>16375</v>
      </c>
      <c r="C2106" s="3">
        <f>IF(B2106="","",SUMIFS('Factory Costs'!$C:$C,'Factory Costs'!$A:$A,"Motor",'Factory Costs'!$B:$B,B2106))</f>
        <v>72</v>
      </c>
    </row>
    <row r="2107" spans="1:3" x14ac:dyDescent="0.25">
      <c r="A2107" s="1" t="s">
        <v>12873</v>
      </c>
      <c r="B2107" s="1" t="s">
        <v>16374</v>
      </c>
      <c r="C2107" s="3">
        <f>IF(B2107="","",SUMIFS('Factory Costs'!$C:$C,'Factory Costs'!$A:$A,"Motor",'Factory Costs'!$B:$B,B2107))</f>
        <v>62</v>
      </c>
    </row>
    <row r="2108" spans="1:3" x14ac:dyDescent="0.25">
      <c r="A2108" s="1" t="s">
        <v>12876</v>
      </c>
      <c r="B2108" s="1" t="s">
        <v>16374</v>
      </c>
      <c r="C2108" s="3">
        <f>IF(B2108="","",SUMIFS('Factory Costs'!$C:$C,'Factory Costs'!$A:$A,"Motor",'Factory Costs'!$B:$B,B2108))</f>
        <v>62</v>
      </c>
    </row>
    <row r="2109" spans="1:3" x14ac:dyDescent="0.25">
      <c r="A2109" s="1" t="s">
        <v>12879</v>
      </c>
      <c r="B2109" s="1" t="s">
        <v>16374</v>
      </c>
      <c r="C2109" s="3">
        <f>IF(B2109="","",SUMIFS('Factory Costs'!$C:$C,'Factory Costs'!$A:$A,"Motor",'Factory Costs'!$B:$B,B2109))</f>
        <v>62</v>
      </c>
    </row>
    <row r="2110" spans="1:3" x14ac:dyDescent="0.25">
      <c r="A2110" s="1" t="s">
        <v>12882</v>
      </c>
      <c r="B2110" s="1" t="s">
        <v>16375</v>
      </c>
      <c r="C2110" s="3">
        <f>IF(B2110="","",SUMIFS('Factory Costs'!$C:$C,'Factory Costs'!$A:$A,"Motor",'Factory Costs'!$B:$B,B2110))</f>
        <v>72</v>
      </c>
    </row>
    <row r="2111" spans="1:3" x14ac:dyDescent="0.25">
      <c r="A2111" s="1" t="s">
        <v>12885</v>
      </c>
      <c r="B2111" s="1" t="s">
        <v>16374</v>
      </c>
      <c r="C2111" s="3">
        <f>IF(B2111="","",SUMIFS('Factory Costs'!$C:$C,'Factory Costs'!$A:$A,"Motor",'Factory Costs'!$B:$B,B2111))</f>
        <v>62</v>
      </c>
    </row>
    <row r="2112" spans="1:3" x14ac:dyDescent="0.25">
      <c r="A2112" s="1" t="s">
        <v>12888</v>
      </c>
      <c r="B2112" s="1" t="s">
        <v>16375</v>
      </c>
      <c r="C2112" s="3">
        <f>IF(B2112="","",SUMIFS('Factory Costs'!$C:$C,'Factory Costs'!$A:$A,"Motor",'Factory Costs'!$B:$B,B2112))</f>
        <v>72</v>
      </c>
    </row>
    <row r="2113" spans="1:3" x14ac:dyDescent="0.25">
      <c r="A2113" s="1" t="s">
        <v>12891</v>
      </c>
      <c r="B2113" s="1" t="s">
        <v>16374</v>
      </c>
      <c r="C2113" s="3">
        <f>IF(B2113="","",SUMIFS('Factory Costs'!$C:$C,'Factory Costs'!$A:$A,"Motor",'Factory Costs'!$B:$B,B2113))</f>
        <v>62</v>
      </c>
    </row>
    <row r="2114" spans="1:3" x14ac:dyDescent="0.25">
      <c r="A2114" s="1" t="s">
        <v>12894</v>
      </c>
      <c r="B2114" s="1" t="s">
        <v>16374</v>
      </c>
      <c r="C2114" s="3">
        <f>IF(B2114="","",SUMIFS('Factory Costs'!$C:$C,'Factory Costs'!$A:$A,"Motor",'Factory Costs'!$B:$B,B2114))</f>
        <v>62</v>
      </c>
    </row>
    <row r="2115" spans="1:3" x14ac:dyDescent="0.25">
      <c r="A2115" s="1" t="s">
        <v>12897</v>
      </c>
      <c r="B2115" s="1" t="s">
        <v>16374</v>
      </c>
      <c r="C2115" s="3">
        <f>IF(B2115="","",SUMIFS('Factory Costs'!$C:$C,'Factory Costs'!$A:$A,"Motor",'Factory Costs'!$B:$B,B2115))</f>
        <v>62</v>
      </c>
    </row>
    <row r="2116" spans="1:3" x14ac:dyDescent="0.25">
      <c r="A2116" s="1" t="s">
        <v>12900</v>
      </c>
      <c r="B2116" s="1" t="s">
        <v>16374</v>
      </c>
      <c r="C2116" s="3">
        <f>IF(B2116="","",SUMIFS('Factory Costs'!$C:$C,'Factory Costs'!$A:$A,"Motor",'Factory Costs'!$B:$B,B2116))</f>
        <v>62</v>
      </c>
    </row>
    <row r="2117" spans="1:3" x14ac:dyDescent="0.25">
      <c r="A2117" s="1" t="s">
        <v>12903</v>
      </c>
      <c r="B2117" s="1" t="s">
        <v>16374</v>
      </c>
      <c r="C2117" s="3">
        <f>IF(B2117="","",SUMIFS('Factory Costs'!$C:$C,'Factory Costs'!$A:$A,"Motor",'Factory Costs'!$B:$B,B2117))</f>
        <v>62</v>
      </c>
    </row>
    <row r="2118" spans="1:3" x14ac:dyDescent="0.25">
      <c r="A2118" s="1" t="s">
        <v>12906</v>
      </c>
      <c r="B2118" s="1" t="s">
        <v>16374</v>
      </c>
      <c r="C2118" s="3">
        <f>IF(B2118="","",SUMIFS('Factory Costs'!$C:$C,'Factory Costs'!$A:$A,"Motor",'Factory Costs'!$B:$B,B2118))</f>
        <v>62</v>
      </c>
    </row>
    <row r="2119" spans="1:3" x14ac:dyDescent="0.25">
      <c r="A2119" s="1" t="s">
        <v>12909</v>
      </c>
      <c r="B2119" s="1" t="s">
        <v>16375</v>
      </c>
      <c r="C2119" s="3">
        <f>IF(B2119="","",SUMIFS('Factory Costs'!$C:$C,'Factory Costs'!$A:$A,"Motor",'Factory Costs'!$B:$B,B2119))</f>
        <v>72</v>
      </c>
    </row>
    <row r="2120" spans="1:3" x14ac:dyDescent="0.25">
      <c r="A2120" s="1" t="s">
        <v>12912</v>
      </c>
      <c r="B2120" s="1" t="s">
        <v>16375</v>
      </c>
      <c r="C2120" s="3">
        <f>IF(B2120="","",SUMIFS('Factory Costs'!$C:$C,'Factory Costs'!$A:$A,"Motor",'Factory Costs'!$B:$B,B2120))</f>
        <v>72</v>
      </c>
    </row>
    <row r="2121" spans="1:3" x14ac:dyDescent="0.25">
      <c r="A2121" s="1" t="s">
        <v>12915</v>
      </c>
      <c r="B2121" s="1" t="s">
        <v>16375</v>
      </c>
      <c r="C2121" s="3">
        <f>IF(B2121="","",SUMIFS('Factory Costs'!$C:$C,'Factory Costs'!$A:$A,"Motor",'Factory Costs'!$B:$B,B2121))</f>
        <v>72</v>
      </c>
    </row>
    <row r="2122" spans="1:3" x14ac:dyDescent="0.25">
      <c r="A2122" s="1" t="s">
        <v>12918</v>
      </c>
      <c r="B2122" s="1" t="s">
        <v>16374</v>
      </c>
      <c r="C2122" s="3">
        <f>IF(B2122="","",SUMIFS('Factory Costs'!$C:$C,'Factory Costs'!$A:$A,"Motor",'Factory Costs'!$B:$B,B2122))</f>
        <v>62</v>
      </c>
    </row>
    <row r="2123" spans="1:3" x14ac:dyDescent="0.25">
      <c r="A2123" s="1" t="s">
        <v>12921</v>
      </c>
      <c r="B2123" s="1" t="s">
        <v>16374</v>
      </c>
      <c r="C2123" s="3">
        <f>IF(B2123="","",SUMIFS('Factory Costs'!$C:$C,'Factory Costs'!$A:$A,"Motor",'Factory Costs'!$B:$B,B2123))</f>
        <v>62</v>
      </c>
    </row>
    <row r="2124" spans="1:3" x14ac:dyDescent="0.25">
      <c r="A2124" s="1" t="s">
        <v>12924</v>
      </c>
      <c r="B2124" s="1" t="s">
        <v>16374</v>
      </c>
      <c r="C2124" s="3">
        <f>IF(B2124="","",SUMIFS('Factory Costs'!$C:$C,'Factory Costs'!$A:$A,"Motor",'Factory Costs'!$B:$B,B2124))</f>
        <v>62</v>
      </c>
    </row>
    <row r="2125" spans="1:3" x14ac:dyDescent="0.25">
      <c r="A2125" s="1" t="s">
        <v>12927</v>
      </c>
      <c r="B2125" s="1" t="s">
        <v>16374</v>
      </c>
      <c r="C2125" s="3">
        <f>IF(B2125="","",SUMIFS('Factory Costs'!$C:$C,'Factory Costs'!$A:$A,"Motor",'Factory Costs'!$B:$B,B2125))</f>
        <v>62</v>
      </c>
    </row>
    <row r="2126" spans="1:3" x14ac:dyDescent="0.25">
      <c r="A2126" s="1" t="s">
        <v>12930</v>
      </c>
      <c r="B2126" s="1" t="s">
        <v>16374</v>
      </c>
      <c r="C2126" s="3">
        <f>IF(B2126="","",SUMIFS('Factory Costs'!$C:$C,'Factory Costs'!$A:$A,"Motor",'Factory Costs'!$B:$B,B2126))</f>
        <v>62</v>
      </c>
    </row>
    <row r="2127" spans="1:3" x14ac:dyDescent="0.25">
      <c r="A2127" s="1" t="s">
        <v>12933</v>
      </c>
      <c r="B2127" s="1" t="s">
        <v>16375</v>
      </c>
      <c r="C2127" s="3">
        <f>IF(B2127="","",SUMIFS('Factory Costs'!$C:$C,'Factory Costs'!$A:$A,"Motor",'Factory Costs'!$B:$B,B2127))</f>
        <v>72</v>
      </c>
    </row>
    <row r="2128" spans="1:3" x14ac:dyDescent="0.25">
      <c r="A2128" s="1" t="s">
        <v>12936</v>
      </c>
      <c r="B2128" s="1" t="s">
        <v>16374</v>
      </c>
      <c r="C2128" s="3">
        <f>IF(B2128="","",SUMIFS('Factory Costs'!$C:$C,'Factory Costs'!$A:$A,"Motor",'Factory Costs'!$B:$B,B2128))</f>
        <v>62</v>
      </c>
    </row>
    <row r="2129" spans="1:3" x14ac:dyDescent="0.25">
      <c r="A2129" s="1" t="s">
        <v>12939</v>
      </c>
      <c r="B2129" s="1" t="s">
        <v>16374</v>
      </c>
      <c r="C2129" s="3">
        <f>IF(B2129="","",SUMIFS('Factory Costs'!$C:$C,'Factory Costs'!$A:$A,"Motor",'Factory Costs'!$B:$B,B2129))</f>
        <v>62</v>
      </c>
    </row>
    <row r="2130" spans="1:3" x14ac:dyDescent="0.25">
      <c r="A2130" s="1" t="s">
        <v>12942</v>
      </c>
      <c r="B2130" s="1" t="s">
        <v>16374</v>
      </c>
      <c r="C2130" s="3">
        <f>IF(B2130="","",SUMIFS('Factory Costs'!$C:$C,'Factory Costs'!$A:$A,"Motor",'Factory Costs'!$B:$B,B2130))</f>
        <v>62</v>
      </c>
    </row>
    <row r="2131" spans="1:3" x14ac:dyDescent="0.25">
      <c r="A2131" s="1" t="s">
        <v>12945</v>
      </c>
      <c r="B2131" s="1" t="s">
        <v>16375</v>
      </c>
      <c r="C2131" s="3">
        <f>IF(B2131="","",SUMIFS('Factory Costs'!$C:$C,'Factory Costs'!$A:$A,"Motor",'Factory Costs'!$B:$B,B2131))</f>
        <v>72</v>
      </c>
    </row>
    <row r="2132" spans="1:3" x14ac:dyDescent="0.25">
      <c r="A2132" s="1" t="s">
        <v>12948</v>
      </c>
      <c r="B2132" s="1" t="s">
        <v>16374</v>
      </c>
      <c r="C2132" s="3">
        <f>IF(B2132="","",SUMIFS('Factory Costs'!$C:$C,'Factory Costs'!$A:$A,"Motor",'Factory Costs'!$B:$B,B2132))</f>
        <v>62</v>
      </c>
    </row>
    <row r="2133" spans="1:3" x14ac:dyDescent="0.25">
      <c r="A2133" s="1" t="s">
        <v>12951</v>
      </c>
      <c r="B2133" s="1" t="s">
        <v>16375</v>
      </c>
      <c r="C2133" s="3">
        <f>IF(B2133="","",SUMIFS('Factory Costs'!$C:$C,'Factory Costs'!$A:$A,"Motor",'Factory Costs'!$B:$B,B2133))</f>
        <v>72</v>
      </c>
    </row>
    <row r="2134" spans="1:3" x14ac:dyDescent="0.25">
      <c r="A2134" s="1" t="s">
        <v>12954</v>
      </c>
      <c r="B2134" s="1" t="s">
        <v>16375</v>
      </c>
      <c r="C2134" s="3">
        <f>IF(B2134="","",SUMIFS('Factory Costs'!$C:$C,'Factory Costs'!$A:$A,"Motor",'Factory Costs'!$B:$B,B2134))</f>
        <v>72</v>
      </c>
    </row>
    <row r="2135" spans="1:3" x14ac:dyDescent="0.25">
      <c r="A2135" s="1" t="s">
        <v>12957</v>
      </c>
      <c r="B2135" s="1" t="s">
        <v>16375</v>
      </c>
      <c r="C2135" s="3">
        <f>IF(B2135="","",SUMIFS('Factory Costs'!$C:$C,'Factory Costs'!$A:$A,"Motor",'Factory Costs'!$B:$B,B2135))</f>
        <v>72</v>
      </c>
    </row>
    <row r="2136" spans="1:3" x14ac:dyDescent="0.25">
      <c r="A2136" s="1" t="s">
        <v>12960</v>
      </c>
      <c r="B2136" s="1" t="s">
        <v>16375</v>
      </c>
      <c r="C2136" s="3">
        <f>IF(B2136="","",SUMIFS('Factory Costs'!$C:$C,'Factory Costs'!$A:$A,"Motor",'Factory Costs'!$B:$B,B2136))</f>
        <v>72</v>
      </c>
    </row>
    <row r="2137" spans="1:3" x14ac:dyDescent="0.25">
      <c r="A2137" s="1" t="s">
        <v>12963</v>
      </c>
      <c r="B2137" s="1" t="s">
        <v>16375</v>
      </c>
      <c r="C2137" s="3">
        <f>IF(B2137="","",SUMIFS('Factory Costs'!$C:$C,'Factory Costs'!$A:$A,"Motor",'Factory Costs'!$B:$B,B2137))</f>
        <v>72</v>
      </c>
    </row>
    <row r="2138" spans="1:3" x14ac:dyDescent="0.25">
      <c r="A2138" s="1" t="s">
        <v>12966</v>
      </c>
      <c r="B2138" s="1" t="s">
        <v>16374</v>
      </c>
      <c r="C2138" s="3">
        <f>IF(B2138="","",SUMIFS('Factory Costs'!$C:$C,'Factory Costs'!$A:$A,"Motor",'Factory Costs'!$B:$B,B2138))</f>
        <v>62</v>
      </c>
    </row>
    <row r="2139" spans="1:3" x14ac:dyDescent="0.25">
      <c r="A2139" s="1" t="s">
        <v>12969</v>
      </c>
      <c r="B2139" s="1" t="s">
        <v>16374</v>
      </c>
      <c r="C2139" s="3">
        <f>IF(B2139="","",SUMIFS('Factory Costs'!$C:$C,'Factory Costs'!$A:$A,"Motor",'Factory Costs'!$B:$B,B2139))</f>
        <v>62</v>
      </c>
    </row>
    <row r="2140" spans="1:3" x14ac:dyDescent="0.25">
      <c r="A2140" s="1" t="s">
        <v>12972</v>
      </c>
      <c r="B2140" s="1" t="s">
        <v>16374</v>
      </c>
      <c r="C2140" s="3">
        <f>IF(B2140="","",SUMIFS('Factory Costs'!$C:$C,'Factory Costs'!$A:$A,"Motor",'Factory Costs'!$B:$B,B2140))</f>
        <v>62</v>
      </c>
    </row>
    <row r="2141" spans="1:3" x14ac:dyDescent="0.25">
      <c r="A2141" s="1" t="s">
        <v>12975</v>
      </c>
      <c r="B2141" s="1" t="s">
        <v>16374</v>
      </c>
      <c r="C2141" s="3">
        <f>IF(B2141="","",SUMIFS('Factory Costs'!$C:$C,'Factory Costs'!$A:$A,"Motor",'Factory Costs'!$B:$B,B2141))</f>
        <v>62</v>
      </c>
    </row>
    <row r="2142" spans="1:3" x14ac:dyDescent="0.25">
      <c r="A2142" s="1" t="s">
        <v>12978</v>
      </c>
      <c r="B2142" s="1" t="s">
        <v>16374</v>
      </c>
      <c r="C2142" s="3">
        <f>IF(B2142="","",SUMIFS('Factory Costs'!$C:$C,'Factory Costs'!$A:$A,"Motor",'Factory Costs'!$B:$B,B2142))</f>
        <v>62</v>
      </c>
    </row>
    <row r="2143" spans="1:3" x14ac:dyDescent="0.25">
      <c r="A2143" s="1" t="s">
        <v>12981</v>
      </c>
      <c r="B2143" s="1" t="s">
        <v>16375</v>
      </c>
      <c r="C2143" s="3">
        <f>IF(B2143="","",SUMIFS('Factory Costs'!$C:$C,'Factory Costs'!$A:$A,"Motor",'Factory Costs'!$B:$B,B2143))</f>
        <v>72</v>
      </c>
    </row>
    <row r="2144" spans="1:3" x14ac:dyDescent="0.25">
      <c r="A2144" s="1" t="s">
        <v>12984</v>
      </c>
      <c r="B2144" s="1" t="s">
        <v>16375</v>
      </c>
      <c r="C2144" s="3">
        <f>IF(B2144="","",SUMIFS('Factory Costs'!$C:$C,'Factory Costs'!$A:$A,"Motor",'Factory Costs'!$B:$B,B2144))</f>
        <v>72</v>
      </c>
    </row>
    <row r="2145" spans="1:3" x14ac:dyDescent="0.25">
      <c r="A2145" s="1" t="s">
        <v>12987</v>
      </c>
      <c r="B2145" s="1" t="s">
        <v>16374</v>
      </c>
      <c r="C2145" s="3">
        <f>IF(B2145="","",SUMIFS('Factory Costs'!$C:$C,'Factory Costs'!$A:$A,"Motor",'Factory Costs'!$B:$B,B2145))</f>
        <v>62</v>
      </c>
    </row>
    <row r="2146" spans="1:3" x14ac:dyDescent="0.25">
      <c r="A2146" s="1" t="s">
        <v>12990</v>
      </c>
      <c r="B2146" s="1" t="s">
        <v>16374</v>
      </c>
      <c r="C2146" s="3">
        <f>IF(B2146="","",SUMIFS('Factory Costs'!$C:$C,'Factory Costs'!$A:$A,"Motor",'Factory Costs'!$B:$B,B2146))</f>
        <v>62</v>
      </c>
    </row>
    <row r="2147" spans="1:3" x14ac:dyDescent="0.25">
      <c r="A2147" s="1" t="s">
        <v>12993</v>
      </c>
      <c r="B2147" s="1" t="s">
        <v>16375</v>
      </c>
      <c r="C2147" s="3">
        <f>IF(B2147="","",SUMIFS('Factory Costs'!$C:$C,'Factory Costs'!$A:$A,"Motor",'Factory Costs'!$B:$B,B2147))</f>
        <v>72</v>
      </c>
    </row>
    <row r="2148" spans="1:3" x14ac:dyDescent="0.25">
      <c r="A2148" s="1" t="s">
        <v>12996</v>
      </c>
      <c r="B2148" s="1" t="s">
        <v>16374</v>
      </c>
      <c r="C2148" s="3">
        <f>IF(B2148="","",SUMIFS('Factory Costs'!$C:$C,'Factory Costs'!$A:$A,"Motor",'Factory Costs'!$B:$B,B2148))</f>
        <v>62</v>
      </c>
    </row>
    <row r="2149" spans="1:3" x14ac:dyDescent="0.25">
      <c r="A2149" s="1" t="s">
        <v>12999</v>
      </c>
      <c r="B2149" s="1" t="s">
        <v>16374</v>
      </c>
      <c r="C2149" s="3">
        <f>IF(B2149="","",SUMIFS('Factory Costs'!$C:$C,'Factory Costs'!$A:$A,"Motor",'Factory Costs'!$B:$B,B2149))</f>
        <v>62</v>
      </c>
    </row>
    <row r="2150" spans="1:3" x14ac:dyDescent="0.25">
      <c r="A2150" s="1" t="s">
        <v>13002</v>
      </c>
      <c r="B2150" s="1" t="s">
        <v>16374</v>
      </c>
      <c r="C2150" s="3">
        <f>IF(B2150="","",SUMIFS('Factory Costs'!$C:$C,'Factory Costs'!$A:$A,"Motor",'Factory Costs'!$B:$B,B2150))</f>
        <v>62</v>
      </c>
    </row>
    <row r="2151" spans="1:3" x14ac:dyDescent="0.25">
      <c r="A2151" s="1" t="s">
        <v>13005</v>
      </c>
      <c r="B2151" s="1" t="s">
        <v>16374</v>
      </c>
      <c r="C2151" s="3">
        <f>IF(B2151="","",SUMIFS('Factory Costs'!$C:$C,'Factory Costs'!$A:$A,"Motor",'Factory Costs'!$B:$B,B2151))</f>
        <v>62</v>
      </c>
    </row>
    <row r="2152" spans="1:3" x14ac:dyDescent="0.25">
      <c r="A2152" s="1" t="s">
        <v>13008</v>
      </c>
      <c r="B2152" s="1" t="s">
        <v>16375</v>
      </c>
      <c r="C2152" s="3">
        <f>IF(B2152="","",SUMIFS('Factory Costs'!$C:$C,'Factory Costs'!$A:$A,"Motor",'Factory Costs'!$B:$B,B2152))</f>
        <v>72</v>
      </c>
    </row>
    <row r="2153" spans="1:3" x14ac:dyDescent="0.25">
      <c r="A2153" s="1" t="s">
        <v>13011</v>
      </c>
      <c r="B2153" s="1" t="s">
        <v>16374</v>
      </c>
      <c r="C2153" s="3">
        <f>IF(B2153="","",SUMIFS('Factory Costs'!$C:$C,'Factory Costs'!$A:$A,"Motor",'Factory Costs'!$B:$B,B2153))</f>
        <v>62</v>
      </c>
    </row>
    <row r="2154" spans="1:3" x14ac:dyDescent="0.25">
      <c r="A2154" s="1" t="s">
        <v>13014</v>
      </c>
      <c r="B2154" s="1" t="s">
        <v>16374</v>
      </c>
      <c r="C2154" s="3">
        <f>IF(B2154="","",SUMIFS('Factory Costs'!$C:$C,'Factory Costs'!$A:$A,"Motor",'Factory Costs'!$B:$B,B2154))</f>
        <v>62</v>
      </c>
    </row>
    <row r="2155" spans="1:3" x14ac:dyDescent="0.25">
      <c r="A2155" s="1" t="s">
        <v>13017</v>
      </c>
      <c r="B2155" s="1" t="s">
        <v>16374</v>
      </c>
      <c r="C2155" s="3">
        <f>IF(B2155="","",SUMIFS('Factory Costs'!$C:$C,'Factory Costs'!$A:$A,"Motor",'Factory Costs'!$B:$B,B2155))</f>
        <v>62</v>
      </c>
    </row>
    <row r="2156" spans="1:3" x14ac:dyDescent="0.25">
      <c r="A2156" s="1" t="s">
        <v>13020</v>
      </c>
      <c r="B2156" s="1" t="s">
        <v>16374</v>
      </c>
      <c r="C2156" s="3">
        <f>IF(B2156="","",SUMIFS('Factory Costs'!$C:$C,'Factory Costs'!$A:$A,"Motor",'Factory Costs'!$B:$B,B2156))</f>
        <v>62</v>
      </c>
    </row>
    <row r="2157" spans="1:3" x14ac:dyDescent="0.25">
      <c r="A2157" s="1" t="s">
        <v>13023</v>
      </c>
      <c r="B2157" s="1" t="s">
        <v>16374</v>
      </c>
      <c r="C2157" s="3">
        <f>IF(B2157="","",SUMIFS('Factory Costs'!$C:$C,'Factory Costs'!$A:$A,"Motor",'Factory Costs'!$B:$B,B2157))</f>
        <v>62</v>
      </c>
    </row>
    <row r="2158" spans="1:3" x14ac:dyDescent="0.25">
      <c r="A2158" s="1" t="s">
        <v>13026</v>
      </c>
      <c r="B2158" s="1" t="s">
        <v>16375</v>
      </c>
      <c r="C2158" s="3">
        <f>IF(B2158="","",SUMIFS('Factory Costs'!$C:$C,'Factory Costs'!$A:$A,"Motor",'Factory Costs'!$B:$B,B2158))</f>
        <v>72</v>
      </c>
    </row>
    <row r="2159" spans="1:3" x14ac:dyDescent="0.25">
      <c r="A2159" s="1" t="s">
        <v>13029</v>
      </c>
      <c r="B2159" s="1" t="s">
        <v>16374</v>
      </c>
      <c r="C2159" s="3">
        <f>IF(B2159="","",SUMIFS('Factory Costs'!$C:$C,'Factory Costs'!$A:$A,"Motor",'Factory Costs'!$B:$B,B2159))</f>
        <v>62</v>
      </c>
    </row>
    <row r="2160" spans="1:3" x14ac:dyDescent="0.25">
      <c r="A2160" s="1" t="s">
        <v>13032</v>
      </c>
      <c r="B2160" s="1" t="s">
        <v>16375</v>
      </c>
      <c r="C2160" s="3">
        <f>IF(B2160="","",SUMIFS('Factory Costs'!$C:$C,'Factory Costs'!$A:$A,"Motor",'Factory Costs'!$B:$B,B2160))</f>
        <v>72</v>
      </c>
    </row>
    <row r="2161" spans="1:3" x14ac:dyDescent="0.25">
      <c r="A2161" s="1" t="s">
        <v>13035</v>
      </c>
      <c r="B2161" s="1" t="s">
        <v>16375</v>
      </c>
      <c r="C2161" s="3">
        <f>IF(B2161="","",SUMIFS('Factory Costs'!$C:$C,'Factory Costs'!$A:$A,"Motor",'Factory Costs'!$B:$B,B2161))</f>
        <v>72</v>
      </c>
    </row>
    <row r="2162" spans="1:3" x14ac:dyDescent="0.25">
      <c r="A2162" s="1" t="s">
        <v>13038</v>
      </c>
      <c r="B2162" s="1" t="s">
        <v>16374</v>
      </c>
      <c r="C2162" s="3">
        <f>IF(B2162="","",SUMIFS('Factory Costs'!$C:$C,'Factory Costs'!$A:$A,"Motor",'Factory Costs'!$B:$B,B2162))</f>
        <v>62</v>
      </c>
    </row>
    <row r="2163" spans="1:3" x14ac:dyDescent="0.25">
      <c r="A2163" s="1" t="s">
        <v>13041</v>
      </c>
      <c r="B2163" s="1" t="s">
        <v>16374</v>
      </c>
      <c r="C2163" s="3">
        <f>IF(B2163="","",SUMIFS('Factory Costs'!$C:$C,'Factory Costs'!$A:$A,"Motor",'Factory Costs'!$B:$B,B2163))</f>
        <v>62</v>
      </c>
    </row>
    <row r="2164" spans="1:3" x14ac:dyDescent="0.25">
      <c r="A2164" s="1" t="s">
        <v>13044</v>
      </c>
      <c r="B2164" s="1" t="s">
        <v>16374</v>
      </c>
      <c r="C2164" s="3">
        <f>IF(B2164="","",SUMIFS('Factory Costs'!$C:$C,'Factory Costs'!$A:$A,"Motor",'Factory Costs'!$B:$B,B2164))</f>
        <v>62</v>
      </c>
    </row>
    <row r="2165" spans="1:3" x14ac:dyDescent="0.25">
      <c r="A2165" s="1" t="s">
        <v>13047</v>
      </c>
      <c r="B2165" s="1" t="s">
        <v>16374</v>
      </c>
      <c r="C2165" s="3">
        <f>IF(B2165="","",SUMIFS('Factory Costs'!$C:$C,'Factory Costs'!$A:$A,"Motor",'Factory Costs'!$B:$B,B2165))</f>
        <v>62</v>
      </c>
    </row>
    <row r="2166" spans="1:3" x14ac:dyDescent="0.25">
      <c r="A2166" s="1" t="s">
        <v>13050</v>
      </c>
      <c r="B2166" s="1" t="s">
        <v>16374</v>
      </c>
      <c r="C2166" s="3">
        <f>IF(B2166="","",SUMIFS('Factory Costs'!$C:$C,'Factory Costs'!$A:$A,"Motor",'Factory Costs'!$B:$B,B2166))</f>
        <v>62</v>
      </c>
    </row>
    <row r="2167" spans="1:3" x14ac:dyDescent="0.25">
      <c r="A2167" s="1" t="s">
        <v>13053</v>
      </c>
      <c r="B2167" s="1" t="s">
        <v>16375</v>
      </c>
      <c r="C2167" s="3">
        <f>IF(B2167="","",SUMIFS('Factory Costs'!$C:$C,'Factory Costs'!$A:$A,"Motor",'Factory Costs'!$B:$B,B2167))</f>
        <v>72</v>
      </c>
    </row>
    <row r="2168" spans="1:3" x14ac:dyDescent="0.25">
      <c r="A2168" s="1" t="s">
        <v>13056</v>
      </c>
      <c r="B2168" s="1" t="s">
        <v>16374</v>
      </c>
      <c r="C2168" s="3">
        <f>IF(B2168="","",SUMIFS('Factory Costs'!$C:$C,'Factory Costs'!$A:$A,"Motor",'Factory Costs'!$B:$B,B2168))</f>
        <v>62</v>
      </c>
    </row>
    <row r="2169" spans="1:3" x14ac:dyDescent="0.25">
      <c r="A2169" s="1" t="s">
        <v>13059</v>
      </c>
      <c r="B2169" s="1" t="s">
        <v>16374</v>
      </c>
      <c r="C2169" s="3">
        <f>IF(B2169="","",SUMIFS('Factory Costs'!$C:$C,'Factory Costs'!$A:$A,"Motor",'Factory Costs'!$B:$B,B2169))</f>
        <v>62</v>
      </c>
    </row>
    <row r="2170" spans="1:3" x14ac:dyDescent="0.25">
      <c r="A2170" s="1" t="s">
        <v>13062</v>
      </c>
      <c r="B2170" s="1" t="s">
        <v>16375</v>
      </c>
      <c r="C2170" s="3">
        <f>IF(B2170="","",SUMIFS('Factory Costs'!$C:$C,'Factory Costs'!$A:$A,"Motor",'Factory Costs'!$B:$B,B2170))</f>
        <v>72</v>
      </c>
    </row>
    <row r="2171" spans="1:3" x14ac:dyDescent="0.25">
      <c r="A2171" s="1" t="s">
        <v>13065</v>
      </c>
      <c r="B2171" s="1" t="s">
        <v>16374</v>
      </c>
      <c r="C2171" s="3">
        <f>IF(B2171="","",SUMIFS('Factory Costs'!$C:$C,'Factory Costs'!$A:$A,"Motor",'Factory Costs'!$B:$B,B2171))</f>
        <v>62</v>
      </c>
    </row>
    <row r="2172" spans="1:3" x14ac:dyDescent="0.25">
      <c r="A2172" s="1" t="s">
        <v>13068</v>
      </c>
      <c r="B2172" s="1" t="s">
        <v>16374</v>
      </c>
      <c r="C2172" s="3">
        <f>IF(B2172="","",SUMIFS('Factory Costs'!$C:$C,'Factory Costs'!$A:$A,"Motor",'Factory Costs'!$B:$B,B2172))</f>
        <v>62</v>
      </c>
    </row>
    <row r="2173" spans="1:3" x14ac:dyDescent="0.25">
      <c r="A2173" s="1" t="s">
        <v>13071</v>
      </c>
      <c r="B2173" s="1" t="s">
        <v>16374</v>
      </c>
      <c r="C2173" s="3">
        <f>IF(B2173="","",SUMIFS('Factory Costs'!$C:$C,'Factory Costs'!$A:$A,"Motor",'Factory Costs'!$B:$B,B2173))</f>
        <v>62</v>
      </c>
    </row>
    <row r="2174" spans="1:3" x14ac:dyDescent="0.25">
      <c r="A2174" s="1" t="s">
        <v>13074</v>
      </c>
      <c r="B2174" s="1" t="s">
        <v>16375</v>
      </c>
      <c r="C2174" s="3">
        <f>IF(B2174="","",SUMIFS('Factory Costs'!$C:$C,'Factory Costs'!$A:$A,"Motor",'Factory Costs'!$B:$B,B2174))</f>
        <v>72</v>
      </c>
    </row>
    <row r="2175" spans="1:3" x14ac:dyDescent="0.25">
      <c r="A2175" s="1" t="s">
        <v>13077</v>
      </c>
      <c r="B2175" s="1" t="s">
        <v>16374</v>
      </c>
      <c r="C2175" s="3">
        <f>IF(B2175="","",SUMIFS('Factory Costs'!$C:$C,'Factory Costs'!$A:$A,"Motor",'Factory Costs'!$B:$B,B2175))</f>
        <v>62</v>
      </c>
    </row>
    <row r="2176" spans="1:3" x14ac:dyDescent="0.25">
      <c r="A2176" s="1" t="s">
        <v>13080</v>
      </c>
      <c r="B2176" s="1" t="s">
        <v>16374</v>
      </c>
      <c r="C2176" s="3">
        <f>IF(B2176="","",SUMIFS('Factory Costs'!$C:$C,'Factory Costs'!$A:$A,"Motor",'Factory Costs'!$B:$B,B2176))</f>
        <v>62</v>
      </c>
    </row>
    <row r="2177" spans="1:3" x14ac:dyDescent="0.25">
      <c r="A2177" s="1" t="s">
        <v>13083</v>
      </c>
      <c r="B2177" s="1" t="s">
        <v>16375</v>
      </c>
      <c r="C2177" s="3">
        <f>IF(B2177="","",SUMIFS('Factory Costs'!$C:$C,'Factory Costs'!$A:$A,"Motor",'Factory Costs'!$B:$B,B2177))</f>
        <v>72</v>
      </c>
    </row>
    <row r="2178" spans="1:3" x14ac:dyDescent="0.25">
      <c r="A2178" s="1" t="s">
        <v>13086</v>
      </c>
      <c r="B2178" s="1" t="s">
        <v>16374</v>
      </c>
      <c r="C2178" s="3">
        <f>IF(B2178="","",SUMIFS('Factory Costs'!$C:$C,'Factory Costs'!$A:$A,"Motor",'Factory Costs'!$B:$B,B2178))</f>
        <v>62</v>
      </c>
    </row>
    <row r="2179" spans="1:3" x14ac:dyDescent="0.25">
      <c r="A2179" s="1" t="s">
        <v>13089</v>
      </c>
      <c r="B2179" s="1" t="s">
        <v>16374</v>
      </c>
      <c r="C2179" s="3">
        <f>IF(B2179="","",SUMIFS('Factory Costs'!$C:$C,'Factory Costs'!$A:$A,"Motor",'Factory Costs'!$B:$B,B2179))</f>
        <v>62</v>
      </c>
    </row>
    <row r="2180" spans="1:3" x14ac:dyDescent="0.25">
      <c r="A2180" s="1" t="s">
        <v>13092</v>
      </c>
      <c r="B2180" s="1" t="s">
        <v>16374</v>
      </c>
      <c r="C2180" s="3">
        <f>IF(B2180="","",SUMIFS('Factory Costs'!$C:$C,'Factory Costs'!$A:$A,"Motor",'Factory Costs'!$B:$B,B2180))</f>
        <v>62</v>
      </c>
    </row>
    <row r="2181" spans="1:3" x14ac:dyDescent="0.25">
      <c r="A2181" s="1" t="s">
        <v>13095</v>
      </c>
      <c r="B2181" s="1" t="s">
        <v>16374</v>
      </c>
      <c r="C2181" s="3">
        <f>IF(B2181="","",SUMIFS('Factory Costs'!$C:$C,'Factory Costs'!$A:$A,"Motor",'Factory Costs'!$B:$B,B2181))</f>
        <v>62</v>
      </c>
    </row>
    <row r="2182" spans="1:3" x14ac:dyDescent="0.25">
      <c r="A2182" s="1" t="s">
        <v>13098</v>
      </c>
      <c r="B2182" s="1" t="s">
        <v>16374</v>
      </c>
      <c r="C2182" s="3">
        <f>IF(B2182="","",SUMIFS('Factory Costs'!$C:$C,'Factory Costs'!$A:$A,"Motor",'Factory Costs'!$B:$B,B2182))</f>
        <v>62</v>
      </c>
    </row>
    <row r="2183" spans="1:3" x14ac:dyDescent="0.25">
      <c r="A2183" s="1" t="s">
        <v>13101</v>
      </c>
      <c r="B2183" s="1" t="s">
        <v>16375</v>
      </c>
      <c r="C2183" s="3">
        <f>IF(B2183="","",SUMIFS('Factory Costs'!$C:$C,'Factory Costs'!$A:$A,"Motor",'Factory Costs'!$B:$B,B2183))</f>
        <v>72</v>
      </c>
    </row>
    <row r="2184" spans="1:3" x14ac:dyDescent="0.25">
      <c r="A2184" s="1" t="s">
        <v>13104</v>
      </c>
      <c r="B2184" s="1" t="s">
        <v>16375</v>
      </c>
      <c r="C2184" s="3">
        <f>IF(B2184="","",SUMIFS('Factory Costs'!$C:$C,'Factory Costs'!$A:$A,"Motor",'Factory Costs'!$B:$B,B2184))</f>
        <v>72</v>
      </c>
    </row>
    <row r="2185" spans="1:3" x14ac:dyDescent="0.25">
      <c r="A2185" s="1" t="s">
        <v>13107</v>
      </c>
      <c r="B2185" s="1" t="s">
        <v>16374</v>
      </c>
      <c r="C2185" s="3">
        <f>IF(B2185="","",SUMIFS('Factory Costs'!$C:$C,'Factory Costs'!$A:$A,"Motor",'Factory Costs'!$B:$B,B2185))</f>
        <v>62</v>
      </c>
    </row>
    <row r="2186" spans="1:3" x14ac:dyDescent="0.25">
      <c r="A2186" s="1" t="s">
        <v>13110</v>
      </c>
      <c r="B2186" s="1" t="s">
        <v>16374</v>
      </c>
      <c r="C2186" s="3">
        <f>IF(B2186="","",SUMIFS('Factory Costs'!$C:$C,'Factory Costs'!$A:$A,"Motor",'Factory Costs'!$B:$B,B2186))</f>
        <v>62</v>
      </c>
    </row>
    <row r="2187" spans="1:3" x14ac:dyDescent="0.25">
      <c r="A2187" s="1" t="s">
        <v>13113</v>
      </c>
      <c r="B2187" s="1" t="s">
        <v>16374</v>
      </c>
      <c r="C2187" s="3">
        <f>IF(B2187="","",SUMIFS('Factory Costs'!$C:$C,'Factory Costs'!$A:$A,"Motor",'Factory Costs'!$B:$B,B2187))</f>
        <v>62</v>
      </c>
    </row>
    <row r="2188" spans="1:3" x14ac:dyDescent="0.25">
      <c r="A2188" s="1" t="s">
        <v>13116</v>
      </c>
      <c r="B2188" s="1" t="s">
        <v>16374</v>
      </c>
      <c r="C2188" s="3">
        <f>IF(B2188="","",SUMIFS('Factory Costs'!$C:$C,'Factory Costs'!$A:$A,"Motor",'Factory Costs'!$B:$B,B2188))</f>
        <v>62</v>
      </c>
    </row>
    <row r="2189" spans="1:3" x14ac:dyDescent="0.25">
      <c r="A2189" s="1" t="s">
        <v>13119</v>
      </c>
      <c r="B2189" s="1" t="s">
        <v>16375</v>
      </c>
      <c r="C2189" s="3">
        <f>IF(B2189="","",SUMIFS('Factory Costs'!$C:$C,'Factory Costs'!$A:$A,"Motor",'Factory Costs'!$B:$B,B2189))</f>
        <v>72</v>
      </c>
    </row>
    <row r="2190" spans="1:3" x14ac:dyDescent="0.25">
      <c r="A2190" s="1" t="s">
        <v>13122</v>
      </c>
      <c r="B2190" s="1" t="s">
        <v>16374</v>
      </c>
      <c r="C2190" s="3">
        <f>IF(B2190="","",SUMIFS('Factory Costs'!$C:$C,'Factory Costs'!$A:$A,"Motor",'Factory Costs'!$B:$B,B2190))</f>
        <v>62</v>
      </c>
    </row>
    <row r="2191" spans="1:3" x14ac:dyDescent="0.25">
      <c r="A2191" s="1" t="s">
        <v>13125</v>
      </c>
      <c r="B2191" s="1" t="s">
        <v>16374</v>
      </c>
      <c r="C2191" s="3">
        <f>IF(B2191="","",SUMIFS('Factory Costs'!$C:$C,'Factory Costs'!$A:$A,"Motor",'Factory Costs'!$B:$B,B2191))</f>
        <v>62</v>
      </c>
    </row>
    <row r="2192" spans="1:3" x14ac:dyDescent="0.25">
      <c r="A2192" s="1" t="s">
        <v>13128</v>
      </c>
      <c r="B2192" s="1" t="s">
        <v>16374</v>
      </c>
      <c r="C2192" s="3">
        <f>IF(B2192="","",SUMIFS('Factory Costs'!$C:$C,'Factory Costs'!$A:$A,"Motor",'Factory Costs'!$B:$B,B2192))</f>
        <v>62</v>
      </c>
    </row>
    <row r="2193" spans="1:3" x14ac:dyDescent="0.25">
      <c r="A2193" s="1" t="s">
        <v>13131</v>
      </c>
      <c r="B2193" s="1" t="s">
        <v>16374</v>
      </c>
      <c r="C2193" s="3">
        <f>IF(B2193="","",SUMIFS('Factory Costs'!$C:$C,'Factory Costs'!$A:$A,"Motor",'Factory Costs'!$B:$B,B2193))</f>
        <v>62</v>
      </c>
    </row>
    <row r="2194" spans="1:3" x14ac:dyDescent="0.25">
      <c r="A2194" s="1" t="s">
        <v>13134</v>
      </c>
      <c r="B2194" s="1" t="s">
        <v>16374</v>
      </c>
      <c r="C2194" s="3">
        <f>IF(B2194="","",SUMIFS('Factory Costs'!$C:$C,'Factory Costs'!$A:$A,"Motor",'Factory Costs'!$B:$B,B2194))</f>
        <v>62</v>
      </c>
    </row>
    <row r="2195" spans="1:3" x14ac:dyDescent="0.25">
      <c r="A2195" s="1" t="s">
        <v>13137</v>
      </c>
      <c r="B2195" s="1" t="s">
        <v>16374</v>
      </c>
      <c r="C2195" s="3">
        <f>IF(B2195="","",SUMIFS('Factory Costs'!$C:$C,'Factory Costs'!$A:$A,"Motor",'Factory Costs'!$B:$B,B2195))</f>
        <v>62</v>
      </c>
    </row>
    <row r="2196" spans="1:3" x14ac:dyDescent="0.25">
      <c r="A2196" s="1" t="s">
        <v>13140</v>
      </c>
      <c r="B2196" s="1" t="s">
        <v>16374</v>
      </c>
      <c r="C2196" s="3">
        <f>IF(B2196="","",SUMIFS('Factory Costs'!$C:$C,'Factory Costs'!$A:$A,"Motor",'Factory Costs'!$B:$B,B2196))</f>
        <v>62</v>
      </c>
    </row>
    <row r="2197" spans="1:3" x14ac:dyDescent="0.25">
      <c r="A2197" s="1" t="s">
        <v>13143</v>
      </c>
      <c r="B2197" s="1" t="s">
        <v>16375</v>
      </c>
      <c r="C2197" s="3">
        <f>IF(B2197="","",SUMIFS('Factory Costs'!$C:$C,'Factory Costs'!$A:$A,"Motor",'Factory Costs'!$B:$B,B2197))</f>
        <v>72</v>
      </c>
    </row>
    <row r="2198" spans="1:3" x14ac:dyDescent="0.25">
      <c r="A2198" s="1" t="s">
        <v>13146</v>
      </c>
      <c r="B2198" s="1" t="s">
        <v>16374</v>
      </c>
      <c r="C2198" s="3">
        <f>IF(B2198="","",SUMIFS('Factory Costs'!$C:$C,'Factory Costs'!$A:$A,"Motor",'Factory Costs'!$B:$B,B2198))</f>
        <v>62</v>
      </c>
    </row>
    <row r="2199" spans="1:3" x14ac:dyDescent="0.25">
      <c r="A2199" s="1" t="s">
        <v>13149</v>
      </c>
      <c r="B2199" s="1" t="s">
        <v>16374</v>
      </c>
      <c r="C2199" s="3">
        <f>IF(B2199="","",SUMIFS('Factory Costs'!$C:$C,'Factory Costs'!$A:$A,"Motor",'Factory Costs'!$B:$B,B2199))</f>
        <v>62</v>
      </c>
    </row>
    <row r="2200" spans="1:3" x14ac:dyDescent="0.25">
      <c r="A2200" s="1" t="s">
        <v>13152</v>
      </c>
      <c r="B2200" s="1" t="s">
        <v>16375</v>
      </c>
      <c r="C2200" s="3">
        <f>IF(B2200="","",SUMIFS('Factory Costs'!$C:$C,'Factory Costs'!$A:$A,"Motor",'Factory Costs'!$B:$B,B2200))</f>
        <v>72</v>
      </c>
    </row>
    <row r="2201" spans="1:3" x14ac:dyDescent="0.25">
      <c r="A2201" s="1" t="s">
        <v>13155</v>
      </c>
      <c r="B2201" s="1" t="s">
        <v>16374</v>
      </c>
      <c r="C2201" s="3">
        <f>IF(B2201="","",SUMIFS('Factory Costs'!$C:$C,'Factory Costs'!$A:$A,"Motor",'Factory Costs'!$B:$B,B2201))</f>
        <v>62</v>
      </c>
    </row>
    <row r="2202" spans="1:3" x14ac:dyDescent="0.25">
      <c r="A2202" s="1" t="s">
        <v>13158</v>
      </c>
      <c r="B2202" s="1" t="s">
        <v>16374</v>
      </c>
      <c r="C2202" s="3">
        <f>IF(B2202="","",SUMIFS('Factory Costs'!$C:$C,'Factory Costs'!$A:$A,"Motor",'Factory Costs'!$B:$B,B2202))</f>
        <v>62</v>
      </c>
    </row>
    <row r="2203" spans="1:3" x14ac:dyDescent="0.25">
      <c r="A2203" s="1" t="s">
        <v>13161</v>
      </c>
      <c r="B2203" s="1" t="s">
        <v>16374</v>
      </c>
      <c r="C2203" s="3">
        <f>IF(B2203="","",SUMIFS('Factory Costs'!$C:$C,'Factory Costs'!$A:$A,"Motor",'Factory Costs'!$B:$B,B2203))</f>
        <v>62</v>
      </c>
    </row>
    <row r="2204" spans="1:3" x14ac:dyDescent="0.25">
      <c r="A2204" s="1" t="s">
        <v>13164</v>
      </c>
      <c r="B2204" s="1" t="s">
        <v>16375</v>
      </c>
      <c r="C2204" s="3">
        <f>IF(B2204="","",SUMIFS('Factory Costs'!$C:$C,'Factory Costs'!$A:$A,"Motor",'Factory Costs'!$B:$B,B2204))</f>
        <v>72</v>
      </c>
    </row>
    <row r="2205" spans="1:3" x14ac:dyDescent="0.25">
      <c r="A2205" s="1" t="s">
        <v>13167</v>
      </c>
      <c r="B2205" s="1" t="s">
        <v>16375</v>
      </c>
      <c r="C2205" s="3">
        <f>IF(B2205="","",SUMIFS('Factory Costs'!$C:$C,'Factory Costs'!$A:$A,"Motor",'Factory Costs'!$B:$B,B2205))</f>
        <v>72</v>
      </c>
    </row>
    <row r="2206" spans="1:3" x14ac:dyDescent="0.25">
      <c r="A2206" s="1" t="s">
        <v>13170</v>
      </c>
      <c r="B2206" s="1" t="s">
        <v>16374</v>
      </c>
      <c r="C2206" s="3">
        <f>IF(B2206="","",SUMIFS('Factory Costs'!$C:$C,'Factory Costs'!$A:$A,"Motor",'Factory Costs'!$B:$B,B2206))</f>
        <v>62</v>
      </c>
    </row>
    <row r="2207" spans="1:3" x14ac:dyDescent="0.25">
      <c r="A2207" s="1" t="s">
        <v>13173</v>
      </c>
      <c r="B2207" s="1" t="s">
        <v>16374</v>
      </c>
      <c r="C2207" s="3">
        <f>IF(B2207="","",SUMIFS('Factory Costs'!$C:$C,'Factory Costs'!$A:$A,"Motor",'Factory Costs'!$B:$B,B2207))</f>
        <v>62</v>
      </c>
    </row>
    <row r="2208" spans="1:3" x14ac:dyDescent="0.25">
      <c r="A2208" s="1" t="s">
        <v>13176</v>
      </c>
      <c r="B2208" s="1" t="s">
        <v>16374</v>
      </c>
      <c r="C2208" s="3">
        <f>IF(B2208="","",SUMIFS('Factory Costs'!$C:$C,'Factory Costs'!$A:$A,"Motor",'Factory Costs'!$B:$B,B2208))</f>
        <v>62</v>
      </c>
    </row>
    <row r="2209" spans="1:3" x14ac:dyDescent="0.25">
      <c r="A2209" s="1" t="s">
        <v>13179</v>
      </c>
      <c r="B2209" s="1" t="s">
        <v>16374</v>
      </c>
      <c r="C2209" s="3">
        <f>IF(B2209="","",SUMIFS('Factory Costs'!$C:$C,'Factory Costs'!$A:$A,"Motor",'Factory Costs'!$B:$B,B2209))</f>
        <v>62</v>
      </c>
    </row>
    <row r="2210" spans="1:3" x14ac:dyDescent="0.25">
      <c r="A2210" s="1" t="s">
        <v>13182</v>
      </c>
      <c r="B2210" s="1" t="s">
        <v>16375</v>
      </c>
      <c r="C2210" s="3">
        <f>IF(B2210="","",SUMIFS('Factory Costs'!$C:$C,'Factory Costs'!$A:$A,"Motor",'Factory Costs'!$B:$B,B2210))</f>
        <v>72</v>
      </c>
    </row>
    <row r="2211" spans="1:3" x14ac:dyDescent="0.25">
      <c r="A2211" s="1" t="s">
        <v>13185</v>
      </c>
      <c r="B2211" s="1" t="s">
        <v>16374</v>
      </c>
      <c r="C2211" s="3">
        <f>IF(B2211="","",SUMIFS('Factory Costs'!$C:$C,'Factory Costs'!$A:$A,"Motor",'Factory Costs'!$B:$B,B2211))</f>
        <v>62</v>
      </c>
    </row>
    <row r="2212" spans="1:3" x14ac:dyDescent="0.25">
      <c r="A2212" s="1" t="s">
        <v>13188</v>
      </c>
      <c r="B2212" s="1" t="s">
        <v>16374</v>
      </c>
      <c r="C2212" s="3">
        <f>IF(B2212="","",SUMIFS('Factory Costs'!$C:$C,'Factory Costs'!$A:$A,"Motor",'Factory Costs'!$B:$B,B2212))</f>
        <v>62</v>
      </c>
    </row>
    <row r="2213" spans="1:3" x14ac:dyDescent="0.25">
      <c r="A2213" s="1" t="s">
        <v>13191</v>
      </c>
      <c r="B2213" s="1" t="s">
        <v>16374</v>
      </c>
      <c r="C2213" s="3">
        <f>IF(B2213="","",SUMIFS('Factory Costs'!$C:$C,'Factory Costs'!$A:$A,"Motor",'Factory Costs'!$B:$B,B2213))</f>
        <v>62</v>
      </c>
    </row>
    <row r="2214" spans="1:3" x14ac:dyDescent="0.25">
      <c r="A2214" s="1" t="s">
        <v>13194</v>
      </c>
      <c r="B2214" s="1" t="s">
        <v>16374</v>
      </c>
      <c r="C2214" s="3">
        <f>IF(B2214="","",SUMIFS('Factory Costs'!$C:$C,'Factory Costs'!$A:$A,"Motor",'Factory Costs'!$B:$B,B2214))</f>
        <v>62</v>
      </c>
    </row>
    <row r="2215" spans="1:3" x14ac:dyDescent="0.25">
      <c r="A2215" s="1" t="s">
        <v>13197</v>
      </c>
      <c r="B2215" s="1" t="s">
        <v>16375</v>
      </c>
      <c r="C2215" s="3">
        <f>IF(B2215="","",SUMIFS('Factory Costs'!$C:$C,'Factory Costs'!$A:$A,"Motor",'Factory Costs'!$B:$B,B2215))</f>
        <v>72</v>
      </c>
    </row>
    <row r="2216" spans="1:3" x14ac:dyDescent="0.25">
      <c r="A2216" s="1" t="s">
        <v>13200</v>
      </c>
      <c r="B2216" s="1" t="s">
        <v>16375</v>
      </c>
      <c r="C2216" s="3">
        <f>IF(B2216="","",SUMIFS('Factory Costs'!$C:$C,'Factory Costs'!$A:$A,"Motor",'Factory Costs'!$B:$B,B2216))</f>
        <v>72</v>
      </c>
    </row>
    <row r="2217" spans="1:3" x14ac:dyDescent="0.25">
      <c r="A2217" s="1" t="s">
        <v>13203</v>
      </c>
      <c r="B2217" s="1" t="s">
        <v>16374</v>
      </c>
      <c r="C2217" s="3">
        <f>IF(B2217="","",SUMIFS('Factory Costs'!$C:$C,'Factory Costs'!$A:$A,"Motor",'Factory Costs'!$B:$B,B2217))</f>
        <v>62</v>
      </c>
    </row>
    <row r="2218" spans="1:3" x14ac:dyDescent="0.25">
      <c r="A2218" s="1" t="s">
        <v>13206</v>
      </c>
      <c r="B2218" s="1" t="s">
        <v>16375</v>
      </c>
      <c r="C2218" s="3">
        <f>IF(B2218="","",SUMIFS('Factory Costs'!$C:$C,'Factory Costs'!$A:$A,"Motor",'Factory Costs'!$B:$B,B2218))</f>
        <v>72</v>
      </c>
    </row>
    <row r="2219" spans="1:3" x14ac:dyDescent="0.25">
      <c r="A2219" s="1" t="s">
        <v>13209</v>
      </c>
      <c r="B2219" s="1" t="s">
        <v>16374</v>
      </c>
      <c r="C2219" s="3">
        <f>IF(B2219="","",SUMIFS('Factory Costs'!$C:$C,'Factory Costs'!$A:$A,"Motor",'Factory Costs'!$B:$B,B2219))</f>
        <v>62</v>
      </c>
    </row>
    <row r="2220" spans="1:3" x14ac:dyDescent="0.25">
      <c r="A2220" s="1" t="s">
        <v>13212</v>
      </c>
      <c r="B2220" s="1" t="s">
        <v>16375</v>
      </c>
      <c r="C2220" s="3">
        <f>IF(B2220="","",SUMIFS('Factory Costs'!$C:$C,'Factory Costs'!$A:$A,"Motor",'Factory Costs'!$B:$B,B2220))</f>
        <v>72</v>
      </c>
    </row>
    <row r="2221" spans="1:3" x14ac:dyDescent="0.25">
      <c r="A2221" s="1" t="s">
        <v>13215</v>
      </c>
      <c r="B2221" s="1" t="s">
        <v>16374</v>
      </c>
      <c r="C2221" s="3">
        <f>IF(B2221="","",SUMIFS('Factory Costs'!$C:$C,'Factory Costs'!$A:$A,"Motor",'Factory Costs'!$B:$B,B2221))</f>
        <v>62</v>
      </c>
    </row>
    <row r="2222" spans="1:3" x14ac:dyDescent="0.25">
      <c r="A2222" s="1" t="s">
        <v>13218</v>
      </c>
      <c r="B2222" s="1" t="s">
        <v>16374</v>
      </c>
      <c r="C2222" s="3">
        <f>IF(B2222="","",SUMIFS('Factory Costs'!$C:$C,'Factory Costs'!$A:$A,"Motor",'Factory Costs'!$B:$B,B2222))</f>
        <v>62</v>
      </c>
    </row>
    <row r="2223" spans="1:3" x14ac:dyDescent="0.25">
      <c r="A2223" s="1" t="s">
        <v>13221</v>
      </c>
      <c r="B2223" s="1" t="s">
        <v>16374</v>
      </c>
      <c r="C2223" s="3">
        <f>IF(B2223="","",SUMIFS('Factory Costs'!$C:$C,'Factory Costs'!$A:$A,"Motor",'Factory Costs'!$B:$B,B2223))</f>
        <v>62</v>
      </c>
    </row>
    <row r="2224" spans="1:3" x14ac:dyDescent="0.25">
      <c r="A2224" s="1" t="s">
        <v>13224</v>
      </c>
      <c r="B2224" s="1" t="s">
        <v>16375</v>
      </c>
      <c r="C2224" s="3">
        <f>IF(B2224="","",SUMIFS('Factory Costs'!$C:$C,'Factory Costs'!$A:$A,"Motor",'Factory Costs'!$B:$B,B2224))</f>
        <v>72</v>
      </c>
    </row>
    <row r="2225" spans="1:3" x14ac:dyDescent="0.25">
      <c r="A2225" s="1" t="s">
        <v>13227</v>
      </c>
      <c r="B2225" s="1" t="s">
        <v>16374</v>
      </c>
      <c r="C2225" s="3">
        <f>IF(B2225="","",SUMIFS('Factory Costs'!$C:$C,'Factory Costs'!$A:$A,"Motor",'Factory Costs'!$B:$B,B2225))</f>
        <v>62</v>
      </c>
    </row>
    <row r="2226" spans="1:3" x14ac:dyDescent="0.25">
      <c r="A2226" s="1" t="s">
        <v>13230</v>
      </c>
      <c r="B2226" s="1" t="s">
        <v>16374</v>
      </c>
      <c r="C2226" s="3">
        <f>IF(B2226="","",SUMIFS('Factory Costs'!$C:$C,'Factory Costs'!$A:$A,"Motor",'Factory Costs'!$B:$B,B2226))</f>
        <v>62</v>
      </c>
    </row>
    <row r="2227" spans="1:3" x14ac:dyDescent="0.25">
      <c r="A2227" s="1" t="s">
        <v>13233</v>
      </c>
      <c r="B2227" s="1" t="s">
        <v>16375</v>
      </c>
      <c r="C2227" s="3">
        <f>IF(B2227="","",SUMIFS('Factory Costs'!$C:$C,'Factory Costs'!$A:$A,"Motor",'Factory Costs'!$B:$B,B2227))</f>
        <v>72</v>
      </c>
    </row>
    <row r="2228" spans="1:3" x14ac:dyDescent="0.25">
      <c r="A2228" s="1" t="s">
        <v>13236</v>
      </c>
      <c r="B2228" s="1" t="s">
        <v>16374</v>
      </c>
      <c r="C2228" s="3">
        <f>IF(B2228="","",SUMIFS('Factory Costs'!$C:$C,'Factory Costs'!$A:$A,"Motor",'Factory Costs'!$B:$B,B2228))</f>
        <v>62</v>
      </c>
    </row>
    <row r="2229" spans="1:3" x14ac:dyDescent="0.25">
      <c r="A2229" s="1" t="s">
        <v>13239</v>
      </c>
      <c r="B2229" s="1" t="s">
        <v>16374</v>
      </c>
      <c r="C2229" s="3">
        <f>IF(B2229="","",SUMIFS('Factory Costs'!$C:$C,'Factory Costs'!$A:$A,"Motor",'Factory Costs'!$B:$B,B2229))</f>
        <v>62</v>
      </c>
    </row>
    <row r="2230" spans="1:3" x14ac:dyDescent="0.25">
      <c r="A2230" s="1" t="s">
        <v>13242</v>
      </c>
      <c r="B2230" s="1" t="s">
        <v>16374</v>
      </c>
      <c r="C2230" s="3">
        <f>IF(B2230="","",SUMIFS('Factory Costs'!$C:$C,'Factory Costs'!$A:$A,"Motor",'Factory Costs'!$B:$B,B2230))</f>
        <v>62</v>
      </c>
    </row>
    <row r="2231" spans="1:3" x14ac:dyDescent="0.25">
      <c r="A2231" s="1" t="s">
        <v>13245</v>
      </c>
      <c r="B2231" s="1" t="s">
        <v>16375</v>
      </c>
      <c r="C2231" s="3">
        <f>IF(B2231="","",SUMIFS('Factory Costs'!$C:$C,'Factory Costs'!$A:$A,"Motor",'Factory Costs'!$B:$B,B2231))</f>
        <v>72</v>
      </c>
    </row>
    <row r="2232" spans="1:3" x14ac:dyDescent="0.25">
      <c r="A2232" s="1" t="s">
        <v>13248</v>
      </c>
      <c r="B2232" s="1" t="s">
        <v>16374</v>
      </c>
      <c r="C2232" s="3">
        <f>IF(B2232="","",SUMIFS('Factory Costs'!$C:$C,'Factory Costs'!$A:$A,"Motor",'Factory Costs'!$B:$B,B2232))</f>
        <v>62</v>
      </c>
    </row>
    <row r="2233" spans="1:3" x14ac:dyDescent="0.25">
      <c r="A2233" s="1" t="s">
        <v>13251</v>
      </c>
      <c r="B2233" s="1" t="s">
        <v>16375</v>
      </c>
      <c r="C2233" s="3">
        <f>IF(B2233="","",SUMIFS('Factory Costs'!$C:$C,'Factory Costs'!$A:$A,"Motor",'Factory Costs'!$B:$B,B2233))</f>
        <v>72</v>
      </c>
    </row>
    <row r="2234" spans="1:3" x14ac:dyDescent="0.25">
      <c r="A2234" s="1" t="s">
        <v>13254</v>
      </c>
      <c r="B2234" s="1" t="s">
        <v>16375</v>
      </c>
      <c r="C2234" s="3">
        <f>IF(B2234="","",SUMIFS('Factory Costs'!$C:$C,'Factory Costs'!$A:$A,"Motor",'Factory Costs'!$B:$B,B2234))</f>
        <v>72</v>
      </c>
    </row>
    <row r="2235" spans="1:3" x14ac:dyDescent="0.25">
      <c r="A2235" s="1" t="s">
        <v>13257</v>
      </c>
      <c r="B2235" s="1" t="s">
        <v>16374</v>
      </c>
      <c r="C2235" s="3">
        <f>IF(B2235="","",SUMIFS('Factory Costs'!$C:$C,'Factory Costs'!$A:$A,"Motor",'Factory Costs'!$B:$B,B2235))</f>
        <v>62</v>
      </c>
    </row>
    <row r="2236" spans="1:3" x14ac:dyDescent="0.25">
      <c r="A2236" s="1" t="s">
        <v>13260</v>
      </c>
      <c r="B2236" s="1" t="s">
        <v>16375</v>
      </c>
      <c r="C2236" s="3">
        <f>IF(B2236="","",SUMIFS('Factory Costs'!$C:$C,'Factory Costs'!$A:$A,"Motor",'Factory Costs'!$B:$B,B2236))</f>
        <v>72</v>
      </c>
    </row>
    <row r="2237" spans="1:3" x14ac:dyDescent="0.25">
      <c r="A2237" s="1" t="s">
        <v>13263</v>
      </c>
      <c r="B2237" s="1" t="s">
        <v>16374</v>
      </c>
      <c r="C2237" s="3">
        <f>IF(B2237="","",SUMIFS('Factory Costs'!$C:$C,'Factory Costs'!$A:$A,"Motor",'Factory Costs'!$B:$B,B2237))</f>
        <v>62</v>
      </c>
    </row>
    <row r="2238" spans="1:3" x14ac:dyDescent="0.25">
      <c r="A2238" s="1" t="s">
        <v>13266</v>
      </c>
      <c r="B2238" s="1" t="s">
        <v>16374</v>
      </c>
      <c r="C2238" s="3">
        <f>IF(B2238="","",SUMIFS('Factory Costs'!$C:$C,'Factory Costs'!$A:$A,"Motor",'Factory Costs'!$B:$B,B2238))</f>
        <v>62</v>
      </c>
    </row>
    <row r="2239" spans="1:3" x14ac:dyDescent="0.25">
      <c r="A2239" s="1" t="s">
        <v>13269</v>
      </c>
      <c r="B2239" s="1" t="s">
        <v>16375</v>
      </c>
      <c r="C2239" s="3">
        <f>IF(B2239="","",SUMIFS('Factory Costs'!$C:$C,'Factory Costs'!$A:$A,"Motor",'Factory Costs'!$B:$B,B2239))</f>
        <v>72</v>
      </c>
    </row>
    <row r="2240" spans="1:3" x14ac:dyDescent="0.25">
      <c r="A2240" s="1" t="s">
        <v>13272</v>
      </c>
      <c r="B2240" s="1" t="s">
        <v>16375</v>
      </c>
      <c r="C2240" s="3">
        <f>IF(B2240="","",SUMIFS('Factory Costs'!$C:$C,'Factory Costs'!$A:$A,"Motor",'Factory Costs'!$B:$B,B2240))</f>
        <v>72</v>
      </c>
    </row>
    <row r="2241" spans="1:3" x14ac:dyDescent="0.25">
      <c r="A2241" s="1" t="s">
        <v>13275</v>
      </c>
      <c r="B2241" s="1" t="s">
        <v>16375</v>
      </c>
      <c r="C2241" s="3">
        <f>IF(B2241="","",SUMIFS('Factory Costs'!$C:$C,'Factory Costs'!$A:$A,"Motor",'Factory Costs'!$B:$B,B2241))</f>
        <v>72</v>
      </c>
    </row>
    <row r="2242" spans="1:3" x14ac:dyDescent="0.25">
      <c r="A2242" s="1" t="s">
        <v>13278</v>
      </c>
      <c r="B2242" s="1" t="s">
        <v>16374</v>
      </c>
      <c r="C2242" s="3">
        <f>IF(B2242="","",SUMIFS('Factory Costs'!$C:$C,'Factory Costs'!$A:$A,"Motor",'Factory Costs'!$B:$B,B2242))</f>
        <v>62</v>
      </c>
    </row>
    <row r="2243" spans="1:3" x14ac:dyDescent="0.25">
      <c r="A2243" s="1" t="s">
        <v>13281</v>
      </c>
      <c r="B2243" s="1" t="s">
        <v>16375</v>
      </c>
      <c r="C2243" s="3">
        <f>IF(B2243="","",SUMIFS('Factory Costs'!$C:$C,'Factory Costs'!$A:$A,"Motor",'Factory Costs'!$B:$B,B2243))</f>
        <v>72</v>
      </c>
    </row>
    <row r="2244" spans="1:3" x14ac:dyDescent="0.25">
      <c r="A2244" s="1" t="s">
        <v>13284</v>
      </c>
      <c r="B2244" s="1" t="s">
        <v>16375</v>
      </c>
      <c r="C2244" s="3">
        <f>IF(B2244="","",SUMIFS('Factory Costs'!$C:$C,'Factory Costs'!$A:$A,"Motor",'Factory Costs'!$B:$B,B2244))</f>
        <v>72</v>
      </c>
    </row>
    <row r="2245" spans="1:3" x14ac:dyDescent="0.25">
      <c r="A2245" s="1" t="s">
        <v>13287</v>
      </c>
      <c r="B2245" s="1" t="s">
        <v>16374</v>
      </c>
      <c r="C2245" s="3">
        <f>IF(B2245="","",SUMIFS('Factory Costs'!$C:$C,'Factory Costs'!$A:$A,"Motor",'Factory Costs'!$B:$B,B2245))</f>
        <v>62</v>
      </c>
    </row>
    <row r="2246" spans="1:3" x14ac:dyDescent="0.25">
      <c r="A2246" s="1" t="s">
        <v>13290</v>
      </c>
      <c r="B2246" s="1" t="s">
        <v>16374</v>
      </c>
      <c r="C2246" s="3">
        <f>IF(B2246="","",SUMIFS('Factory Costs'!$C:$C,'Factory Costs'!$A:$A,"Motor",'Factory Costs'!$B:$B,B2246))</f>
        <v>62</v>
      </c>
    </row>
    <row r="2247" spans="1:3" x14ac:dyDescent="0.25">
      <c r="A2247" s="1" t="s">
        <v>13293</v>
      </c>
      <c r="B2247" s="1" t="s">
        <v>16374</v>
      </c>
      <c r="C2247" s="3">
        <f>IF(B2247="","",SUMIFS('Factory Costs'!$C:$C,'Factory Costs'!$A:$A,"Motor",'Factory Costs'!$B:$B,B2247))</f>
        <v>62</v>
      </c>
    </row>
    <row r="2248" spans="1:3" x14ac:dyDescent="0.25">
      <c r="A2248" s="1" t="s">
        <v>13296</v>
      </c>
      <c r="B2248" s="1" t="s">
        <v>16375</v>
      </c>
      <c r="C2248" s="3">
        <f>IF(B2248="","",SUMIFS('Factory Costs'!$C:$C,'Factory Costs'!$A:$A,"Motor",'Factory Costs'!$B:$B,B2248))</f>
        <v>72</v>
      </c>
    </row>
    <row r="2249" spans="1:3" x14ac:dyDescent="0.25">
      <c r="A2249" s="1" t="s">
        <v>13299</v>
      </c>
      <c r="B2249" s="1" t="s">
        <v>16375</v>
      </c>
      <c r="C2249" s="3">
        <f>IF(B2249="","",SUMIFS('Factory Costs'!$C:$C,'Factory Costs'!$A:$A,"Motor",'Factory Costs'!$B:$B,B2249))</f>
        <v>72</v>
      </c>
    </row>
    <row r="2250" spans="1:3" x14ac:dyDescent="0.25">
      <c r="A2250" s="1" t="s">
        <v>13302</v>
      </c>
      <c r="B2250" s="1" t="s">
        <v>16374</v>
      </c>
      <c r="C2250" s="3">
        <f>IF(B2250="","",SUMIFS('Factory Costs'!$C:$C,'Factory Costs'!$A:$A,"Motor",'Factory Costs'!$B:$B,B2250))</f>
        <v>62</v>
      </c>
    </row>
    <row r="2251" spans="1:3" x14ac:dyDescent="0.25">
      <c r="A2251" s="1" t="s">
        <v>13305</v>
      </c>
      <c r="B2251" s="1" t="s">
        <v>16374</v>
      </c>
      <c r="C2251" s="3">
        <f>IF(B2251="","",SUMIFS('Factory Costs'!$C:$C,'Factory Costs'!$A:$A,"Motor",'Factory Costs'!$B:$B,B2251))</f>
        <v>62</v>
      </c>
    </row>
    <row r="2252" spans="1:3" x14ac:dyDescent="0.25">
      <c r="A2252" s="1" t="s">
        <v>13308</v>
      </c>
      <c r="B2252" s="1" t="s">
        <v>16375</v>
      </c>
      <c r="C2252" s="3">
        <f>IF(B2252="","",SUMIFS('Factory Costs'!$C:$C,'Factory Costs'!$A:$A,"Motor",'Factory Costs'!$B:$B,B2252))</f>
        <v>72</v>
      </c>
    </row>
    <row r="2253" spans="1:3" x14ac:dyDescent="0.25">
      <c r="A2253" s="1" t="s">
        <v>13311</v>
      </c>
      <c r="B2253" s="1" t="s">
        <v>16375</v>
      </c>
      <c r="C2253" s="3">
        <f>IF(B2253="","",SUMIFS('Factory Costs'!$C:$C,'Factory Costs'!$A:$A,"Motor",'Factory Costs'!$B:$B,B2253))</f>
        <v>72</v>
      </c>
    </row>
    <row r="2254" spans="1:3" x14ac:dyDescent="0.25">
      <c r="A2254" s="1" t="s">
        <v>13314</v>
      </c>
      <c r="B2254" s="1" t="s">
        <v>16374</v>
      </c>
      <c r="C2254" s="3">
        <f>IF(B2254="","",SUMIFS('Factory Costs'!$C:$C,'Factory Costs'!$A:$A,"Motor",'Factory Costs'!$B:$B,B2254))</f>
        <v>62</v>
      </c>
    </row>
    <row r="2255" spans="1:3" x14ac:dyDescent="0.25">
      <c r="A2255" s="1" t="s">
        <v>13317</v>
      </c>
      <c r="B2255" s="1" t="s">
        <v>16375</v>
      </c>
      <c r="C2255" s="3">
        <f>IF(B2255="","",SUMIFS('Factory Costs'!$C:$C,'Factory Costs'!$A:$A,"Motor",'Factory Costs'!$B:$B,B2255))</f>
        <v>72</v>
      </c>
    </row>
    <row r="2256" spans="1:3" x14ac:dyDescent="0.25">
      <c r="A2256" s="1" t="s">
        <v>13320</v>
      </c>
      <c r="B2256" s="1" t="s">
        <v>16374</v>
      </c>
      <c r="C2256" s="3">
        <f>IF(B2256="","",SUMIFS('Factory Costs'!$C:$C,'Factory Costs'!$A:$A,"Motor",'Factory Costs'!$B:$B,B2256))</f>
        <v>62</v>
      </c>
    </row>
    <row r="2257" spans="1:3" x14ac:dyDescent="0.25">
      <c r="A2257" s="1" t="s">
        <v>13323</v>
      </c>
      <c r="B2257" s="1" t="s">
        <v>16374</v>
      </c>
      <c r="C2257" s="3">
        <f>IF(B2257="","",SUMIFS('Factory Costs'!$C:$C,'Factory Costs'!$A:$A,"Motor",'Factory Costs'!$B:$B,B2257))</f>
        <v>62</v>
      </c>
    </row>
    <row r="2258" spans="1:3" x14ac:dyDescent="0.25">
      <c r="A2258" s="1" t="s">
        <v>13326</v>
      </c>
      <c r="B2258" s="1" t="s">
        <v>16375</v>
      </c>
      <c r="C2258" s="3">
        <f>IF(B2258="","",SUMIFS('Factory Costs'!$C:$C,'Factory Costs'!$A:$A,"Motor",'Factory Costs'!$B:$B,B2258))</f>
        <v>72</v>
      </c>
    </row>
    <row r="2259" spans="1:3" x14ac:dyDescent="0.25">
      <c r="A2259" s="1" t="s">
        <v>13329</v>
      </c>
      <c r="B2259" s="1" t="s">
        <v>16374</v>
      </c>
      <c r="C2259" s="3">
        <f>IF(B2259="","",SUMIFS('Factory Costs'!$C:$C,'Factory Costs'!$A:$A,"Motor",'Factory Costs'!$B:$B,B2259))</f>
        <v>62</v>
      </c>
    </row>
    <row r="2260" spans="1:3" x14ac:dyDescent="0.25">
      <c r="A2260" s="1" t="s">
        <v>13332</v>
      </c>
      <c r="B2260" s="1" t="s">
        <v>16375</v>
      </c>
      <c r="C2260" s="3">
        <f>IF(B2260="","",SUMIFS('Factory Costs'!$C:$C,'Factory Costs'!$A:$A,"Motor",'Factory Costs'!$B:$B,B2260))</f>
        <v>72</v>
      </c>
    </row>
    <row r="2261" spans="1:3" x14ac:dyDescent="0.25">
      <c r="A2261" s="1" t="s">
        <v>13335</v>
      </c>
      <c r="B2261" s="1" t="s">
        <v>16375</v>
      </c>
      <c r="C2261" s="3">
        <f>IF(B2261="","",SUMIFS('Factory Costs'!$C:$C,'Factory Costs'!$A:$A,"Motor",'Factory Costs'!$B:$B,B2261))</f>
        <v>72</v>
      </c>
    </row>
    <row r="2262" spans="1:3" x14ac:dyDescent="0.25">
      <c r="A2262" s="1" t="s">
        <v>13338</v>
      </c>
      <c r="B2262" s="1" t="s">
        <v>16375</v>
      </c>
      <c r="C2262" s="3">
        <f>IF(B2262="","",SUMIFS('Factory Costs'!$C:$C,'Factory Costs'!$A:$A,"Motor",'Factory Costs'!$B:$B,B2262))</f>
        <v>72</v>
      </c>
    </row>
    <row r="2263" spans="1:3" x14ac:dyDescent="0.25">
      <c r="A2263" s="1" t="s">
        <v>13341</v>
      </c>
      <c r="B2263" s="1" t="s">
        <v>16375</v>
      </c>
      <c r="C2263" s="3">
        <f>IF(B2263="","",SUMIFS('Factory Costs'!$C:$C,'Factory Costs'!$A:$A,"Motor",'Factory Costs'!$B:$B,B2263))</f>
        <v>72</v>
      </c>
    </row>
    <row r="2264" spans="1:3" x14ac:dyDescent="0.25">
      <c r="A2264" s="1" t="s">
        <v>13344</v>
      </c>
      <c r="B2264" s="1" t="s">
        <v>16374</v>
      </c>
      <c r="C2264" s="3">
        <f>IF(B2264="","",SUMIFS('Factory Costs'!$C:$C,'Factory Costs'!$A:$A,"Motor",'Factory Costs'!$B:$B,B2264))</f>
        <v>62</v>
      </c>
    </row>
    <row r="2265" spans="1:3" x14ac:dyDescent="0.25">
      <c r="A2265" s="1" t="s">
        <v>13347</v>
      </c>
      <c r="B2265" s="1" t="s">
        <v>16375</v>
      </c>
      <c r="C2265" s="3">
        <f>IF(B2265="","",SUMIFS('Factory Costs'!$C:$C,'Factory Costs'!$A:$A,"Motor",'Factory Costs'!$B:$B,B2265))</f>
        <v>72</v>
      </c>
    </row>
    <row r="2266" spans="1:3" x14ac:dyDescent="0.25">
      <c r="A2266" s="1" t="s">
        <v>13350</v>
      </c>
      <c r="B2266" s="1" t="s">
        <v>16375</v>
      </c>
      <c r="C2266" s="3">
        <f>IF(B2266="","",SUMIFS('Factory Costs'!$C:$C,'Factory Costs'!$A:$A,"Motor",'Factory Costs'!$B:$B,B2266))</f>
        <v>72</v>
      </c>
    </row>
    <row r="2267" spans="1:3" x14ac:dyDescent="0.25">
      <c r="A2267" s="1" t="s">
        <v>13353</v>
      </c>
      <c r="B2267" s="1" t="s">
        <v>16374</v>
      </c>
      <c r="C2267" s="3">
        <f>IF(B2267="","",SUMIFS('Factory Costs'!$C:$C,'Factory Costs'!$A:$A,"Motor",'Factory Costs'!$B:$B,B2267))</f>
        <v>62</v>
      </c>
    </row>
    <row r="2268" spans="1:3" x14ac:dyDescent="0.25">
      <c r="A2268" s="1" t="s">
        <v>13356</v>
      </c>
      <c r="B2268" s="1" t="s">
        <v>16374</v>
      </c>
      <c r="C2268" s="3">
        <f>IF(B2268="","",SUMIFS('Factory Costs'!$C:$C,'Factory Costs'!$A:$A,"Motor",'Factory Costs'!$B:$B,B2268))</f>
        <v>62</v>
      </c>
    </row>
    <row r="2269" spans="1:3" x14ac:dyDescent="0.25">
      <c r="A2269" s="1" t="s">
        <v>13359</v>
      </c>
      <c r="B2269" s="1" t="s">
        <v>16374</v>
      </c>
      <c r="C2269" s="3">
        <f>IF(B2269="","",SUMIFS('Factory Costs'!$C:$C,'Factory Costs'!$A:$A,"Motor",'Factory Costs'!$B:$B,B2269))</f>
        <v>62</v>
      </c>
    </row>
    <row r="2270" spans="1:3" x14ac:dyDescent="0.25">
      <c r="A2270" s="1" t="s">
        <v>13362</v>
      </c>
      <c r="B2270" s="1" t="s">
        <v>16374</v>
      </c>
      <c r="C2270" s="3">
        <f>IF(B2270="","",SUMIFS('Factory Costs'!$C:$C,'Factory Costs'!$A:$A,"Motor",'Factory Costs'!$B:$B,B2270))</f>
        <v>62</v>
      </c>
    </row>
    <row r="2271" spans="1:3" x14ac:dyDescent="0.25">
      <c r="A2271" s="1" t="s">
        <v>13365</v>
      </c>
      <c r="B2271" s="1" t="s">
        <v>16374</v>
      </c>
      <c r="C2271" s="3">
        <f>IF(B2271="","",SUMIFS('Factory Costs'!$C:$C,'Factory Costs'!$A:$A,"Motor",'Factory Costs'!$B:$B,B2271))</f>
        <v>62</v>
      </c>
    </row>
    <row r="2272" spans="1:3" x14ac:dyDescent="0.25">
      <c r="A2272" s="1" t="s">
        <v>13368</v>
      </c>
      <c r="B2272" s="1" t="s">
        <v>16375</v>
      </c>
      <c r="C2272" s="3">
        <f>IF(B2272="","",SUMIFS('Factory Costs'!$C:$C,'Factory Costs'!$A:$A,"Motor",'Factory Costs'!$B:$B,B2272))</f>
        <v>72</v>
      </c>
    </row>
    <row r="2273" spans="1:3" x14ac:dyDescent="0.25">
      <c r="A2273" s="1" t="s">
        <v>13371</v>
      </c>
      <c r="B2273" s="1" t="s">
        <v>16375</v>
      </c>
      <c r="C2273" s="3">
        <f>IF(B2273="","",SUMIFS('Factory Costs'!$C:$C,'Factory Costs'!$A:$A,"Motor",'Factory Costs'!$B:$B,B2273))</f>
        <v>72</v>
      </c>
    </row>
    <row r="2274" spans="1:3" x14ac:dyDescent="0.25">
      <c r="A2274" s="1" t="s">
        <v>13374</v>
      </c>
      <c r="B2274" s="1" t="s">
        <v>16374</v>
      </c>
      <c r="C2274" s="3">
        <f>IF(B2274="","",SUMIFS('Factory Costs'!$C:$C,'Factory Costs'!$A:$A,"Motor",'Factory Costs'!$B:$B,B2274))</f>
        <v>62</v>
      </c>
    </row>
    <row r="2275" spans="1:3" x14ac:dyDescent="0.25">
      <c r="A2275" s="1" t="s">
        <v>13377</v>
      </c>
      <c r="B2275" s="1" t="s">
        <v>16375</v>
      </c>
      <c r="C2275" s="3">
        <f>IF(B2275="","",SUMIFS('Factory Costs'!$C:$C,'Factory Costs'!$A:$A,"Motor",'Factory Costs'!$B:$B,B2275))</f>
        <v>72</v>
      </c>
    </row>
    <row r="2276" spans="1:3" x14ac:dyDescent="0.25">
      <c r="A2276" s="1" t="s">
        <v>13380</v>
      </c>
      <c r="B2276" s="1" t="s">
        <v>16374</v>
      </c>
      <c r="C2276" s="3">
        <f>IF(B2276="","",SUMIFS('Factory Costs'!$C:$C,'Factory Costs'!$A:$A,"Motor",'Factory Costs'!$B:$B,B2276))</f>
        <v>62</v>
      </c>
    </row>
    <row r="2277" spans="1:3" x14ac:dyDescent="0.25">
      <c r="A2277" s="1" t="s">
        <v>13383</v>
      </c>
      <c r="B2277" s="1" t="s">
        <v>16374</v>
      </c>
      <c r="C2277" s="3">
        <f>IF(B2277="","",SUMIFS('Factory Costs'!$C:$C,'Factory Costs'!$A:$A,"Motor",'Factory Costs'!$B:$B,B2277))</f>
        <v>62</v>
      </c>
    </row>
    <row r="2278" spans="1:3" x14ac:dyDescent="0.25">
      <c r="A2278" s="1" t="s">
        <v>13386</v>
      </c>
      <c r="B2278" s="1" t="s">
        <v>16374</v>
      </c>
      <c r="C2278" s="3">
        <f>IF(B2278="","",SUMIFS('Factory Costs'!$C:$C,'Factory Costs'!$A:$A,"Motor",'Factory Costs'!$B:$B,B2278))</f>
        <v>62</v>
      </c>
    </row>
    <row r="2279" spans="1:3" x14ac:dyDescent="0.25">
      <c r="A2279" s="1" t="s">
        <v>13389</v>
      </c>
      <c r="B2279" s="1" t="s">
        <v>16374</v>
      </c>
      <c r="C2279" s="3">
        <f>IF(B2279="","",SUMIFS('Factory Costs'!$C:$C,'Factory Costs'!$A:$A,"Motor",'Factory Costs'!$B:$B,B2279))</f>
        <v>62</v>
      </c>
    </row>
    <row r="2280" spans="1:3" x14ac:dyDescent="0.25">
      <c r="A2280" s="1" t="s">
        <v>13392</v>
      </c>
      <c r="B2280" s="1" t="s">
        <v>16374</v>
      </c>
      <c r="C2280" s="3">
        <f>IF(B2280="","",SUMIFS('Factory Costs'!$C:$C,'Factory Costs'!$A:$A,"Motor",'Factory Costs'!$B:$B,B2280))</f>
        <v>62</v>
      </c>
    </row>
    <row r="2281" spans="1:3" x14ac:dyDescent="0.25">
      <c r="A2281" s="1" t="s">
        <v>13395</v>
      </c>
      <c r="B2281" s="1" t="s">
        <v>16374</v>
      </c>
      <c r="C2281" s="3">
        <f>IF(B2281="","",SUMIFS('Factory Costs'!$C:$C,'Factory Costs'!$A:$A,"Motor",'Factory Costs'!$B:$B,B2281))</f>
        <v>62</v>
      </c>
    </row>
    <row r="2282" spans="1:3" x14ac:dyDescent="0.25">
      <c r="A2282" s="1" t="s">
        <v>13398</v>
      </c>
      <c r="B2282" s="1" t="s">
        <v>16374</v>
      </c>
      <c r="C2282" s="3">
        <f>IF(B2282="","",SUMIFS('Factory Costs'!$C:$C,'Factory Costs'!$A:$A,"Motor",'Factory Costs'!$B:$B,B2282))</f>
        <v>62</v>
      </c>
    </row>
    <row r="2283" spans="1:3" x14ac:dyDescent="0.25">
      <c r="A2283" s="1" t="s">
        <v>13401</v>
      </c>
      <c r="B2283" s="1" t="s">
        <v>16375</v>
      </c>
      <c r="C2283" s="3">
        <f>IF(B2283="","",SUMIFS('Factory Costs'!$C:$C,'Factory Costs'!$A:$A,"Motor",'Factory Costs'!$B:$B,B2283))</f>
        <v>72</v>
      </c>
    </row>
    <row r="2284" spans="1:3" x14ac:dyDescent="0.25">
      <c r="A2284" s="1" t="s">
        <v>13404</v>
      </c>
      <c r="B2284" s="1" t="s">
        <v>16375</v>
      </c>
      <c r="C2284" s="3">
        <f>IF(B2284="","",SUMIFS('Factory Costs'!$C:$C,'Factory Costs'!$A:$A,"Motor",'Factory Costs'!$B:$B,B2284))</f>
        <v>72</v>
      </c>
    </row>
    <row r="2285" spans="1:3" x14ac:dyDescent="0.25">
      <c r="A2285" s="1" t="s">
        <v>13407</v>
      </c>
      <c r="B2285" s="1" t="s">
        <v>16375</v>
      </c>
      <c r="C2285" s="3">
        <f>IF(B2285="","",SUMIFS('Factory Costs'!$C:$C,'Factory Costs'!$A:$A,"Motor",'Factory Costs'!$B:$B,B2285))</f>
        <v>72</v>
      </c>
    </row>
    <row r="2286" spans="1:3" x14ac:dyDescent="0.25">
      <c r="A2286" s="1" t="s">
        <v>13410</v>
      </c>
      <c r="B2286" s="1" t="s">
        <v>16375</v>
      </c>
      <c r="C2286" s="3">
        <f>IF(B2286="","",SUMIFS('Factory Costs'!$C:$C,'Factory Costs'!$A:$A,"Motor",'Factory Costs'!$B:$B,B2286))</f>
        <v>72</v>
      </c>
    </row>
    <row r="2287" spans="1:3" x14ac:dyDescent="0.25">
      <c r="A2287" s="1" t="s">
        <v>13413</v>
      </c>
      <c r="B2287" s="1" t="s">
        <v>16374</v>
      </c>
      <c r="C2287" s="3">
        <f>IF(B2287="","",SUMIFS('Factory Costs'!$C:$C,'Factory Costs'!$A:$A,"Motor",'Factory Costs'!$B:$B,B2287))</f>
        <v>62</v>
      </c>
    </row>
    <row r="2288" spans="1:3" x14ac:dyDescent="0.25">
      <c r="A2288" s="1" t="s">
        <v>13416</v>
      </c>
      <c r="B2288" s="1" t="s">
        <v>16374</v>
      </c>
      <c r="C2288" s="3">
        <f>IF(B2288="","",SUMIFS('Factory Costs'!$C:$C,'Factory Costs'!$A:$A,"Motor",'Factory Costs'!$B:$B,B2288))</f>
        <v>62</v>
      </c>
    </row>
    <row r="2289" spans="1:3" x14ac:dyDescent="0.25">
      <c r="A2289" s="1" t="s">
        <v>13419</v>
      </c>
      <c r="B2289" s="1" t="s">
        <v>16374</v>
      </c>
      <c r="C2289" s="3">
        <f>IF(B2289="","",SUMIFS('Factory Costs'!$C:$C,'Factory Costs'!$A:$A,"Motor",'Factory Costs'!$B:$B,B2289))</f>
        <v>62</v>
      </c>
    </row>
    <row r="2290" spans="1:3" x14ac:dyDescent="0.25">
      <c r="A2290" s="1" t="s">
        <v>13422</v>
      </c>
      <c r="B2290" s="1" t="s">
        <v>16375</v>
      </c>
      <c r="C2290" s="3">
        <f>IF(B2290="","",SUMIFS('Factory Costs'!$C:$C,'Factory Costs'!$A:$A,"Motor",'Factory Costs'!$B:$B,B2290))</f>
        <v>72</v>
      </c>
    </row>
    <row r="2291" spans="1:3" x14ac:dyDescent="0.25">
      <c r="A2291" s="1" t="s">
        <v>13425</v>
      </c>
      <c r="B2291" s="1" t="s">
        <v>16374</v>
      </c>
      <c r="C2291" s="3">
        <f>IF(B2291="","",SUMIFS('Factory Costs'!$C:$C,'Factory Costs'!$A:$A,"Motor",'Factory Costs'!$B:$B,B2291))</f>
        <v>62</v>
      </c>
    </row>
    <row r="2292" spans="1:3" x14ac:dyDescent="0.25">
      <c r="A2292" s="1" t="s">
        <v>13428</v>
      </c>
      <c r="B2292" s="1" t="s">
        <v>16374</v>
      </c>
      <c r="C2292" s="3">
        <f>IF(B2292="","",SUMIFS('Factory Costs'!$C:$C,'Factory Costs'!$A:$A,"Motor",'Factory Costs'!$B:$B,B2292))</f>
        <v>62</v>
      </c>
    </row>
    <row r="2293" spans="1:3" x14ac:dyDescent="0.25">
      <c r="A2293" s="1" t="s">
        <v>13431</v>
      </c>
      <c r="B2293" s="1" t="s">
        <v>16374</v>
      </c>
      <c r="C2293" s="3">
        <f>IF(B2293="","",SUMIFS('Factory Costs'!$C:$C,'Factory Costs'!$A:$A,"Motor",'Factory Costs'!$B:$B,B2293))</f>
        <v>62</v>
      </c>
    </row>
    <row r="2294" spans="1:3" x14ac:dyDescent="0.25">
      <c r="A2294" s="1" t="s">
        <v>13434</v>
      </c>
      <c r="B2294" s="1" t="s">
        <v>16374</v>
      </c>
      <c r="C2294" s="3">
        <f>IF(B2294="","",SUMIFS('Factory Costs'!$C:$C,'Factory Costs'!$A:$A,"Motor",'Factory Costs'!$B:$B,B2294))</f>
        <v>62</v>
      </c>
    </row>
    <row r="2295" spans="1:3" x14ac:dyDescent="0.25">
      <c r="A2295" s="1" t="s">
        <v>13437</v>
      </c>
      <c r="B2295" s="1" t="s">
        <v>16374</v>
      </c>
      <c r="C2295" s="3">
        <f>IF(B2295="","",SUMIFS('Factory Costs'!$C:$C,'Factory Costs'!$A:$A,"Motor",'Factory Costs'!$B:$B,B2295))</f>
        <v>62</v>
      </c>
    </row>
    <row r="2296" spans="1:3" x14ac:dyDescent="0.25">
      <c r="A2296" s="1" t="s">
        <v>13440</v>
      </c>
      <c r="B2296" s="1" t="s">
        <v>16374</v>
      </c>
      <c r="C2296" s="3">
        <f>IF(B2296="","",SUMIFS('Factory Costs'!$C:$C,'Factory Costs'!$A:$A,"Motor",'Factory Costs'!$B:$B,B2296))</f>
        <v>62</v>
      </c>
    </row>
    <row r="2297" spans="1:3" x14ac:dyDescent="0.25">
      <c r="A2297" s="1" t="s">
        <v>13443</v>
      </c>
      <c r="B2297" s="1" t="s">
        <v>16374</v>
      </c>
      <c r="C2297" s="3">
        <f>IF(B2297="","",SUMIFS('Factory Costs'!$C:$C,'Factory Costs'!$A:$A,"Motor",'Factory Costs'!$B:$B,B2297))</f>
        <v>62</v>
      </c>
    </row>
    <row r="2298" spans="1:3" x14ac:dyDescent="0.25">
      <c r="A2298" s="1" t="s">
        <v>13446</v>
      </c>
      <c r="B2298" s="1" t="s">
        <v>16375</v>
      </c>
      <c r="C2298" s="3">
        <f>IF(B2298="","",SUMIFS('Factory Costs'!$C:$C,'Factory Costs'!$A:$A,"Motor",'Factory Costs'!$B:$B,B2298))</f>
        <v>72</v>
      </c>
    </row>
    <row r="2299" spans="1:3" x14ac:dyDescent="0.25">
      <c r="A2299" s="1" t="s">
        <v>13449</v>
      </c>
      <c r="B2299" s="1" t="s">
        <v>16374</v>
      </c>
      <c r="C2299" s="3">
        <f>IF(B2299="","",SUMIFS('Factory Costs'!$C:$C,'Factory Costs'!$A:$A,"Motor",'Factory Costs'!$B:$B,B2299))</f>
        <v>62</v>
      </c>
    </row>
    <row r="2300" spans="1:3" x14ac:dyDescent="0.25">
      <c r="A2300" s="1" t="s">
        <v>13452</v>
      </c>
      <c r="B2300" s="1" t="s">
        <v>16375</v>
      </c>
      <c r="C2300" s="3">
        <f>IF(B2300="","",SUMIFS('Factory Costs'!$C:$C,'Factory Costs'!$A:$A,"Motor",'Factory Costs'!$B:$B,B2300))</f>
        <v>72</v>
      </c>
    </row>
    <row r="2301" spans="1:3" x14ac:dyDescent="0.25">
      <c r="A2301" s="1" t="s">
        <v>13455</v>
      </c>
      <c r="B2301" s="1" t="s">
        <v>16375</v>
      </c>
      <c r="C2301" s="3">
        <f>IF(B2301="","",SUMIFS('Factory Costs'!$C:$C,'Factory Costs'!$A:$A,"Motor",'Factory Costs'!$B:$B,B2301))</f>
        <v>72</v>
      </c>
    </row>
    <row r="2302" spans="1:3" x14ac:dyDescent="0.25">
      <c r="A2302" s="1" t="s">
        <v>13458</v>
      </c>
      <c r="B2302" s="1" t="s">
        <v>16374</v>
      </c>
      <c r="C2302" s="3">
        <f>IF(B2302="","",SUMIFS('Factory Costs'!$C:$C,'Factory Costs'!$A:$A,"Motor",'Factory Costs'!$B:$B,B2302))</f>
        <v>62</v>
      </c>
    </row>
    <row r="2303" spans="1:3" x14ac:dyDescent="0.25">
      <c r="A2303" s="1" t="s">
        <v>13461</v>
      </c>
      <c r="B2303" s="1" t="s">
        <v>16374</v>
      </c>
      <c r="C2303" s="3">
        <f>IF(B2303="","",SUMIFS('Factory Costs'!$C:$C,'Factory Costs'!$A:$A,"Motor",'Factory Costs'!$B:$B,B2303))</f>
        <v>62</v>
      </c>
    </row>
    <row r="2304" spans="1:3" x14ac:dyDescent="0.25">
      <c r="A2304" s="1" t="s">
        <v>13464</v>
      </c>
      <c r="B2304" s="1" t="s">
        <v>16375</v>
      </c>
      <c r="C2304" s="3">
        <f>IF(B2304="","",SUMIFS('Factory Costs'!$C:$C,'Factory Costs'!$A:$A,"Motor",'Factory Costs'!$B:$B,B2304))</f>
        <v>72</v>
      </c>
    </row>
    <row r="2305" spans="1:3" x14ac:dyDescent="0.25">
      <c r="A2305" s="1" t="s">
        <v>13467</v>
      </c>
      <c r="B2305" s="1" t="s">
        <v>16374</v>
      </c>
      <c r="C2305" s="3">
        <f>IF(B2305="","",SUMIFS('Factory Costs'!$C:$C,'Factory Costs'!$A:$A,"Motor",'Factory Costs'!$B:$B,B2305))</f>
        <v>62</v>
      </c>
    </row>
    <row r="2306" spans="1:3" x14ac:dyDescent="0.25">
      <c r="A2306" s="1" t="s">
        <v>13470</v>
      </c>
      <c r="B2306" s="1" t="s">
        <v>16374</v>
      </c>
      <c r="C2306" s="3">
        <f>IF(B2306="","",SUMIFS('Factory Costs'!$C:$C,'Factory Costs'!$A:$A,"Motor",'Factory Costs'!$B:$B,B2306))</f>
        <v>62</v>
      </c>
    </row>
    <row r="2307" spans="1:3" x14ac:dyDescent="0.25">
      <c r="A2307" s="1" t="s">
        <v>13473</v>
      </c>
      <c r="B2307" s="1" t="s">
        <v>16374</v>
      </c>
      <c r="C2307" s="3">
        <f>IF(B2307="","",SUMIFS('Factory Costs'!$C:$C,'Factory Costs'!$A:$A,"Motor",'Factory Costs'!$B:$B,B2307))</f>
        <v>62</v>
      </c>
    </row>
    <row r="2308" spans="1:3" x14ac:dyDescent="0.25">
      <c r="A2308" s="1" t="s">
        <v>13476</v>
      </c>
      <c r="B2308" s="1" t="s">
        <v>16374</v>
      </c>
      <c r="C2308" s="3">
        <f>IF(B2308="","",SUMIFS('Factory Costs'!$C:$C,'Factory Costs'!$A:$A,"Motor",'Factory Costs'!$B:$B,B2308))</f>
        <v>62</v>
      </c>
    </row>
    <row r="2309" spans="1:3" x14ac:dyDescent="0.25">
      <c r="A2309" s="1" t="s">
        <v>13479</v>
      </c>
      <c r="B2309" s="1" t="s">
        <v>16374</v>
      </c>
      <c r="C2309" s="3">
        <f>IF(B2309="","",SUMIFS('Factory Costs'!$C:$C,'Factory Costs'!$A:$A,"Motor",'Factory Costs'!$B:$B,B2309))</f>
        <v>62</v>
      </c>
    </row>
    <row r="2310" spans="1:3" x14ac:dyDescent="0.25">
      <c r="A2310" s="1" t="s">
        <v>13482</v>
      </c>
      <c r="B2310" s="1" t="s">
        <v>16374</v>
      </c>
      <c r="C2310" s="3">
        <f>IF(B2310="","",SUMIFS('Factory Costs'!$C:$C,'Factory Costs'!$A:$A,"Motor",'Factory Costs'!$B:$B,B2310))</f>
        <v>62</v>
      </c>
    </row>
    <row r="2311" spans="1:3" x14ac:dyDescent="0.25">
      <c r="A2311" s="1" t="s">
        <v>13485</v>
      </c>
      <c r="B2311" s="1" t="s">
        <v>16374</v>
      </c>
      <c r="C2311" s="3">
        <f>IF(B2311="","",SUMIFS('Factory Costs'!$C:$C,'Factory Costs'!$A:$A,"Motor",'Factory Costs'!$B:$B,B2311))</f>
        <v>62</v>
      </c>
    </row>
    <row r="2312" spans="1:3" x14ac:dyDescent="0.25">
      <c r="A2312" s="1" t="s">
        <v>13488</v>
      </c>
      <c r="B2312" s="1" t="s">
        <v>16374</v>
      </c>
      <c r="C2312" s="3">
        <f>IF(B2312="","",SUMIFS('Factory Costs'!$C:$C,'Factory Costs'!$A:$A,"Motor",'Factory Costs'!$B:$B,B2312))</f>
        <v>62</v>
      </c>
    </row>
    <row r="2313" spans="1:3" x14ac:dyDescent="0.25">
      <c r="A2313" s="1" t="s">
        <v>13491</v>
      </c>
      <c r="B2313" s="1" t="s">
        <v>16374</v>
      </c>
      <c r="C2313" s="3">
        <f>IF(B2313="","",SUMIFS('Factory Costs'!$C:$C,'Factory Costs'!$A:$A,"Motor",'Factory Costs'!$B:$B,B2313))</f>
        <v>62</v>
      </c>
    </row>
    <row r="2314" spans="1:3" x14ac:dyDescent="0.25">
      <c r="A2314" s="1" t="s">
        <v>13494</v>
      </c>
      <c r="B2314" s="1" t="s">
        <v>16374</v>
      </c>
      <c r="C2314" s="3">
        <f>IF(B2314="","",SUMIFS('Factory Costs'!$C:$C,'Factory Costs'!$A:$A,"Motor",'Factory Costs'!$B:$B,B2314))</f>
        <v>62</v>
      </c>
    </row>
    <row r="2315" spans="1:3" x14ac:dyDescent="0.25">
      <c r="A2315" s="1" t="s">
        <v>13497</v>
      </c>
      <c r="B2315" s="1" t="s">
        <v>16375</v>
      </c>
      <c r="C2315" s="3">
        <f>IF(B2315="","",SUMIFS('Factory Costs'!$C:$C,'Factory Costs'!$A:$A,"Motor",'Factory Costs'!$B:$B,B2315))</f>
        <v>72</v>
      </c>
    </row>
    <row r="2316" spans="1:3" x14ac:dyDescent="0.25">
      <c r="A2316" s="1" t="s">
        <v>13500</v>
      </c>
      <c r="B2316" s="1" t="s">
        <v>16374</v>
      </c>
      <c r="C2316" s="3">
        <f>IF(B2316="","",SUMIFS('Factory Costs'!$C:$C,'Factory Costs'!$A:$A,"Motor",'Factory Costs'!$B:$B,B2316))</f>
        <v>62</v>
      </c>
    </row>
    <row r="2317" spans="1:3" x14ac:dyDescent="0.25">
      <c r="A2317" s="1" t="s">
        <v>13503</v>
      </c>
      <c r="B2317" s="1" t="s">
        <v>16375</v>
      </c>
      <c r="C2317" s="3">
        <f>IF(B2317="","",SUMIFS('Factory Costs'!$C:$C,'Factory Costs'!$A:$A,"Motor",'Factory Costs'!$B:$B,B2317))</f>
        <v>72</v>
      </c>
    </row>
    <row r="2318" spans="1:3" x14ac:dyDescent="0.25">
      <c r="A2318" s="1" t="s">
        <v>13506</v>
      </c>
      <c r="B2318" s="1" t="s">
        <v>16375</v>
      </c>
      <c r="C2318" s="3">
        <f>IF(B2318="","",SUMIFS('Factory Costs'!$C:$C,'Factory Costs'!$A:$A,"Motor",'Factory Costs'!$B:$B,B2318))</f>
        <v>72</v>
      </c>
    </row>
    <row r="2319" spans="1:3" x14ac:dyDescent="0.25">
      <c r="A2319" s="1" t="s">
        <v>13509</v>
      </c>
      <c r="B2319" s="1" t="s">
        <v>16374</v>
      </c>
      <c r="C2319" s="3">
        <f>IF(B2319="","",SUMIFS('Factory Costs'!$C:$C,'Factory Costs'!$A:$A,"Motor",'Factory Costs'!$B:$B,B2319))</f>
        <v>62</v>
      </c>
    </row>
    <row r="2320" spans="1:3" x14ac:dyDescent="0.25">
      <c r="A2320" s="1" t="s">
        <v>13512</v>
      </c>
      <c r="B2320" s="1" t="s">
        <v>16374</v>
      </c>
      <c r="C2320" s="3">
        <f>IF(B2320="","",SUMIFS('Factory Costs'!$C:$C,'Factory Costs'!$A:$A,"Motor",'Factory Costs'!$B:$B,B2320))</f>
        <v>62</v>
      </c>
    </row>
    <row r="2321" spans="1:3" x14ac:dyDescent="0.25">
      <c r="A2321" s="1" t="s">
        <v>13515</v>
      </c>
      <c r="B2321" s="1" t="s">
        <v>16375</v>
      </c>
      <c r="C2321" s="3">
        <f>IF(B2321="","",SUMIFS('Factory Costs'!$C:$C,'Factory Costs'!$A:$A,"Motor",'Factory Costs'!$B:$B,B2321))</f>
        <v>72</v>
      </c>
    </row>
    <row r="2322" spans="1:3" x14ac:dyDescent="0.25">
      <c r="A2322" s="1" t="s">
        <v>13518</v>
      </c>
      <c r="B2322" s="1" t="s">
        <v>16375</v>
      </c>
      <c r="C2322" s="3">
        <f>IF(B2322="","",SUMIFS('Factory Costs'!$C:$C,'Factory Costs'!$A:$A,"Motor",'Factory Costs'!$B:$B,B2322))</f>
        <v>72</v>
      </c>
    </row>
    <row r="2323" spans="1:3" x14ac:dyDescent="0.25">
      <c r="A2323" s="1" t="s">
        <v>13521</v>
      </c>
      <c r="B2323" s="1" t="s">
        <v>16374</v>
      </c>
      <c r="C2323" s="3">
        <f>IF(B2323="","",SUMIFS('Factory Costs'!$C:$C,'Factory Costs'!$A:$A,"Motor",'Factory Costs'!$B:$B,B2323))</f>
        <v>62</v>
      </c>
    </row>
    <row r="2324" spans="1:3" x14ac:dyDescent="0.25">
      <c r="A2324" s="1" t="s">
        <v>13524</v>
      </c>
      <c r="B2324" s="1" t="s">
        <v>16374</v>
      </c>
      <c r="C2324" s="3">
        <f>IF(B2324="","",SUMIFS('Factory Costs'!$C:$C,'Factory Costs'!$A:$A,"Motor",'Factory Costs'!$B:$B,B2324))</f>
        <v>62</v>
      </c>
    </row>
    <row r="2325" spans="1:3" x14ac:dyDescent="0.25">
      <c r="A2325" s="1" t="s">
        <v>13527</v>
      </c>
      <c r="B2325" s="1" t="s">
        <v>16374</v>
      </c>
      <c r="C2325" s="3">
        <f>IF(B2325="","",SUMIFS('Factory Costs'!$C:$C,'Factory Costs'!$A:$A,"Motor",'Factory Costs'!$B:$B,B2325))</f>
        <v>62</v>
      </c>
    </row>
    <row r="2326" spans="1:3" x14ac:dyDescent="0.25">
      <c r="A2326" s="1" t="s">
        <v>13530</v>
      </c>
      <c r="B2326" s="1" t="s">
        <v>16374</v>
      </c>
      <c r="C2326" s="3">
        <f>IF(B2326="","",SUMIFS('Factory Costs'!$C:$C,'Factory Costs'!$A:$A,"Motor",'Factory Costs'!$B:$B,B2326))</f>
        <v>62</v>
      </c>
    </row>
    <row r="2327" spans="1:3" x14ac:dyDescent="0.25">
      <c r="A2327" s="1" t="s">
        <v>13533</v>
      </c>
      <c r="B2327" s="1" t="s">
        <v>16374</v>
      </c>
      <c r="C2327" s="3">
        <f>IF(B2327="","",SUMIFS('Factory Costs'!$C:$C,'Factory Costs'!$A:$A,"Motor",'Factory Costs'!$B:$B,B2327))</f>
        <v>62</v>
      </c>
    </row>
    <row r="2328" spans="1:3" x14ac:dyDescent="0.25">
      <c r="A2328" s="1" t="s">
        <v>13536</v>
      </c>
      <c r="B2328" s="1" t="s">
        <v>16374</v>
      </c>
      <c r="C2328" s="3">
        <f>IF(B2328="","",SUMIFS('Factory Costs'!$C:$C,'Factory Costs'!$A:$A,"Motor",'Factory Costs'!$B:$B,B2328))</f>
        <v>62</v>
      </c>
    </row>
    <row r="2329" spans="1:3" x14ac:dyDescent="0.25">
      <c r="A2329" s="1" t="s">
        <v>13539</v>
      </c>
      <c r="B2329" s="1" t="s">
        <v>16374</v>
      </c>
      <c r="C2329" s="3">
        <f>IF(B2329="","",SUMIFS('Factory Costs'!$C:$C,'Factory Costs'!$A:$A,"Motor",'Factory Costs'!$B:$B,B2329))</f>
        <v>62</v>
      </c>
    </row>
    <row r="2330" spans="1:3" x14ac:dyDescent="0.25">
      <c r="A2330" s="1" t="s">
        <v>13542</v>
      </c>
      <c r="B2330" s="1" t="s">
        <v>16375</v>
      </c>
      <c r="C2330" s="3">
        <f>IF(B2330="","",SUMIFS('Factory Costs'!$C:$C,'Factory Costs'!$A:$A,"Motor",'Factory Costs'!$B:$B,B2330))</f>
        <v>72</v>
      </c>
    </row>
    <row r="2331" spans="1:3" x14ac:dyDescent="0.25">
      <c r="A2331" s="1" t="s">
        <v>13545</v>
      </c>
      <c r="B2331" s="1" t="s">
        <v>16375</v>
      </c>
      <c r="C2331" s="3">
        <f>IF(B2331="","",SUMIFS('Factory Costs'!$C:$C,'Factory Costs'!$A:$A,"Motor",'Factory Costs'!$B:$B,B2331))</f>
        <v>72</v>
      </c>
    </row>
    <row r="2332" spans="1:3" x14ac:dyDescent="0.25">
      <c r="A2332" s="1" t="s">
        <v>13548</v>
      </c>
      <c r="B2332" s="1" t="s">
        <v>16374</v>
      </c>
      <c r="C2332" s="3">
        <f>IF(B2332="","",SUMIFS('Factory Costs'!$C:$C,'Factory Costs'!$A:$A,"Motor",'Factory Costs'!$B:$B,B2332))</f>
        <v>62</v>
      </c>
    </row>
    <row r="2333" spans="1:3" x14ac:dyDescent="0.25">
      <c r="A2333" s="1" t="s">
        <v>13551</v>
      </c>
      <c r="B2333" s="1" t="s">
        <v>16374</v>
      </c>
      <c r="C2333" s="3">
        <f>IF(B2333="","",SUMIFS('Factory Costs'!$C:$C,'Factory Costs'!$A:$A,"Motor",'Factory Costs'!$B:$B,B2333))</f>
        <v>62</v>
      </c>
    </row>
    <row r="2334" spans="1:3" x14ac:dyDescent="0.25">
      <c r="A2334" s="1" t="s">
        <v>13554</v>
      </c>
      <c r="B2334" s="1" t="s">
        <v>16374</v>
      </c>
      <c r="C2334" s="3">
        <f>IF(B2334="","",SUMIFS('Factory Costs'!$C:$C,'Factory Costs'!$A:$A,"Motor",'Factory Costs'!$B:$B,B2334))</f>
        <v>62</v>
      </c>
    </row>
    <row r="2335" spans="1:3" x14ac:dyDescent="0.25">
      <c r="A2335" s="1" t="s">
        <v>13557</v>
      </c>
      <c r="B2335" s="1" t="s">
        <v>16374</v>
      </c>
      <c r="C2335" s="3">
        <f>IF(B2335="","",SUMIFS('Factory Costs'!$C:$C,'Factory Costs'!$A:$A,"Motor",'Factory Costs'!$B:$B,B2335))</f>
        <v>62</v>
      </c>
    </row>
    <row r="2336" spans="1:3" x14ac:dyDescent="0.25">
      <c r="A2336" s="1" t="s">
        <v>13560</v>
      </c>
      <c r="B2336" s="1" t="s">
        <v>16374</v>
      </c>
      <c r="C2336" s="3">
        <f>IF(B2336="","",SUMIFS('Factory Costs'!$C:$C,'Factory Costs'!$A:$A,"Motor",'Factory Costs'!$B:$B,B2336))</f>
        <v>62</v>
      </c>
    </row>
    <row r="2337" spans="1:3" x14ac:dyDescent="0.25">
      <c r="A2337" s="1" t="s">
        <v>13563</v>
      </c>
      <c r="B2337" s="1" t="s">
        <v>16374</v>
      </c>
      <c r="C2337" s="3">
        <f>IF(B2337="","",SUMIFS('Factory Costs'!$C:$C,'Factory Costs'!$A:$A,"Motor",'Factory Costs'!$B:$B,B2337))</f>
        <v>62</v>
      </c>
    </row>
    <row r="2338" spans="1:3" x14ac:dyDescent="0.25">
      <c r="A2338" s="1" t="s">
        <v>13566</v>
      </c>
      <c r="B2338" s="1" t="s">
        <v>16374</v>
      </c>
      <c r="C2338" s="3">
        <f>IF(B2338="","",SUMIFS('Factory Costs'!$C:$C,'Factory Costs'!$A:$A,"Motor",'Factory Costs'!$B:$B,B2338))</f>
        <v>62</v>
      </c>
    </row>
    <row r="2339" spans="1:3" x14ac:dyDescent="0.25">
      <c r="A2339" s="1" t="s">
        <v>13569</v>
      </c>
      <c r="B2339" s="1" t="s">
        <v>16374</v>
      </c>
      <c r="C2339" s="3">
        <f>IF(B2339="","",SUMIFS('Factory Costs'!$C:$C,'Factory Costs'!$A:$A,"Motor",'Factory Costs'!$B:$B,B2339))</f>
        <v>62</v>
      </c>
    </row>
    <row r="2340" spans="1:3" x14ac:dyDescent="0.25">
      <c r="A2340" s="1" t="s">
        <v>13572</v>
      </c>
      <c r="B2340" s="1" t="s">
        <v>16374</v>
      </c>
      <c r="C2340" s="3">
        <f>IF(B2340="","",SUMIFS('Factory Costs'!$C:$C,'Factory Costs'!$A:$A,"Motor",'Factory Costs'!$B:$B,B2340))</f>
        <v>62</v>
      </c>
    </row>
    <row r="2341" spans="1:3" x14ac:dyDescent="0.25">
      <c r="A2341" s="1" t="s">
        <v>13575</v>
      </c>
      <c r="B2341" s="1" t="s">
        <v>16374</v>
      </c>
      <c r="C2341" s="3">
        <f>IF(B2341="","",SUMIFS('Factory Costs'!$C:$C,'Factory Costs'!$A:$A,"Motor",'Factory Costs'!$B:$B,B2341))</f>
        <v>62</v>
      </c>
    </row>
    <row r="2342" spans="1:3" x14ac:dyDescent="0.25">
      <c r="A2342" s="1" t="s">
        <v>13578</v>
      </c>
      <c r="B2342" s="1" t="s">
        <v>16374</v>
      </c>
      <c r="C2342" s="3">
        <f>IF(B2342="","",SUMIFS('Factory Costs'!$C:$C,'Factory Costs'!$A:$A,"Motor",'Factory Costs'!$B:$B,B2342))</f>
        <v>62</v>
      </c>
    </row>
    <row r="2343" spans="1:3" x14ac:dyDescent="0.25">
      <c r="A2343" s="1" t="s">
        <v>13581</v>
      </c>
      <c r="B2343" s="1" t="s">
        <v>16374</v>
      </c>
      <c r="C2343" s="3">
        <f>IF(B2343="","",SUMIFS('Factory Costs'!$C:$C,'Factory Costs'!$A:$A,"Motor",'Factory Costs'!$B:$B,B2343))</f>
        <v>62</v>
      </c>
    </row>
    <row r="2344" spans="1:3" x14ac:dyDescent="0.25">
      <c r="A2344" s="1" t="s">
        <v>13584</v>
      </c>
      <c r="B2344" s="1" t="s">
        <v>16375</v>
      </c>
      <c r="C2344" s="3">
        <f>IF(B2344="","",SUMIFS('Factory Costs'!$C:$C,'Factory Costs'!$A:$A,"Motor",'Factory Costs'!$B:$B,B2344))</f>
        <v>72</v>
      </c>
    </row>
    <row r="2345" spans="1:3" x14ac:dyDescent="0.25">
      <c r="A2345" s="1" t="s">
        <v>13587</v>
      </c>
      <c r="B2345" s="1" t="s">
        <v>16374</v>
      </c>
      <c r="C2345" s="3">
        <f>IF(B2345="","",SUMIFS('Factory Costs'!$C:$C,'Factory Costs'!$A:$A,"Motor",'Factory Costs'!$B:$B,B2345))</f>
        <v>62</v>
      </c>
    </row>
    <row r="2346" spans="1:3" x14ac:dyDescent="0.25">
      <c r="A2346" s="1" t="s">
        <v>13590</v>
      </c>
      <c r="B2346" s="1" t="s">
        <v>16374</v>
      </c>
      <c r="C2346" s="3">
        <f>IF(B2346="","",SUMIFS('Factory Costs'!$C:$C,'Factory Costs'!$A:$A,"Motor",'Factory Costs'!$B:$B,B2346))</f>
        <v>62</v>
      </c>
    </row>
    <row r="2347" spans="1:3" x14ac:dyDescent="0.25">
      <c r="A2347" s="1" t="s">
        <v>13593</v>
      </c>
      <c r="B2347" s="1" t="s">
        <v>16374</v>
      </c>
      <c r="C2347" s="3">
        <f>IF(B2347="","",SUMIFS('Factory Costs'!$C:$C,'Factory Costs'!$A:$A,"Motor",'Factory Costs'!$B:$B,B2347))</f>
        <v>62</v>
      </c>
    </row>
    <row r="2348" spans="1:3" x14ac:dyDescent="0.25">
      <c r="A2348" s="1" t="s">
        <v>13596</v>
      </c>
      <c r="B2348" s="1" t="s">
        <v>16374</v>
      </c>
      <c r="C2348" s="3">
        <f>IF(B2348="","",SUMIFS('Factory Costs'!$C:$C,'Factory Costs'!$A:$A,"Motor",'Factory Costs'!$B:$B,B2348))</f>
        <v>62</v>
      </c>
    </row>
    <row r="2349" spans="1:3" x14ac:dyDescent="0.25">
      <c r="A2349" s="1" t="s">
        <v>13599</v>
      </c>
      <c r="B2349" s="1" t="s">
        <v>16374</v>
      </c>
      <c r="C2349" s="3">
        <f>IF(B2349="","",SUMIFS('Factory Costs'!$C:$C,'Factory Costs'!$A:$A,"Motor",'Factory Costs'!$B:$B,B2349))</f>
        <v>62</v>
      </c>
    </row>
    <row r="2350" spans="1:3" x14ac:dyDescent="0.25">
      <c r="A2350" s="1" t="s">
        <v>13602</v>
      </c>
      <c r="B2350" s="1" t="s">
        <v>16375</v>
      </c>
      <c r="C2350" s="3">
        <f>IF(B2350="","",SUMIFS('Factory Costs'!$C:$C,'Factory Costs'!$A:$A,"Motor",'Factory Costs'!$B:$B,B2350))</f>
        <v>72</v>
      </c>
    </row>
    <row r="2351" spans="1:3" x14ac:dyDescent="0.25">
      <c r="A2351" s="1" t="s">
        <v>13605</v>
      </c>
      <c r="B2351" s="1" t="s">
        <v>16375</v>
      </c>
      <c r="C2351" s="3">
        <f>IF(B2351="","",SUMIFS('Factory Costs'!$C:$C,'Factory Costs'!$A:$A,"Motor",'Factory Costs'!$B:$B,B2351))</f>
        <v>72</v>
      </c>
    </row>
    <row r="2352" spans="1:3" x14ac:dyDescent="0.25">
      <c r="A2352" s="1" t="s">
        <v>13608</v>
      </c>
      <c r="B2352" s="1" t="s">
        <v>16375</v>
      </c>
      <c r="C2352" s="3">
        <f>IF(B2352="","",SUMIFS('Factory Costs'!$C:$C,'Factory Costs'!$A:$A,"Motor",'Factory Costs'!$B:$B,B2352))</f>
        <v>72</v>
      </c>
    </row>
    <row r="2353" spans="1:3" x14ac:dyDescent="0.25">
      <c r="A2353" s="1" t="s">
        <v>13611</v>
      </c>
      <c r="B2353" s="1" t="s">
        <v>16375</v>
      </c>
      <c r="C2353" s="3">
        <f>IF(B2353="","",SUMIFS('Factory Costs'!$C:$C,'Factory Costs'!$A:$A,"Motor",'Factory Costs'!$B:$B,B2353))</f>
        <v>72</v>
      </c>
    </row>
    <row r="2354" spans="1:3" x14ac:dyDescent="0.25">
      <c r="A2354" s="1" t="s">
        <v>13614</v>
      </c>
      <c r="B2354" s="1" t="s">
        <v>16374</v>
      </c>
      <c r="C2354" s="3">
        <f>IF(B2354="","",SUMIFS('Factory Costs'!$C:$C,'Factory Costs'!$A:$A,"Motor",'Factory Costs'!$B:$B,B2354))</f>
        <v>62</v>
      </c>
    </row>
    <row r="2355" spans="1:3" x14ac:dyDescent="0.25">
      <c r="A2355" s="1" t="s">
        <v>13617</v>
      </c>
      <c r="B2355" s="1" t="s">
        <v>16374</v>
      </c>
      <c r="C2355" s="3">
        <f>IF(B2355="","",SUMIFS('Factory Costs'!$C:$C,'Factory Costs'!$A:$A,"Motor",'Factory Costs'!$B:$B,B2355))</f>
        <v>62</v>
      </c>
    </row>
    <row r="2356" spans="1:3" x14ac:dyDescent="0.25">
      <c r="A2356" s="1" t="s">
        <v>13620</v>
      </c>
      <c r="B2356" s="1" t="s">
        <v>16374</v>
      </c>
      <c r="C2356" s="3">
        <f>IF(B2356="","",SUMIFS('Factory Costs'!$C:$C,'Factory Costs'!$A:$A,"Motor",'Factory Costs'!$B:$B,B2356))</f>
        <v>62</v>
      </c>
    </row>
    <row r="2357" spans="1:3" x14ac:dyDescent="0.25">
      <c r="A2357" s="1" t="s">
        <v>13623</v>
      </c>
      <c r="B2357" s="1" t="s">
        <v>16375</v>
      </c>
      <c r="C2357" s="3">
        <f>IF(B2357="","",SUMIFS('Factory Costs'!$C:$C,'Factory Costs'!$A:$A,"Motor",'Factory Costs'!$B:$B,B2357))</f>
        <v>72</v>
      </c>
    </row>
    <row r="2358" spans="1:3" x14ac:dyDescent="0.25">
      <c r="A2358" s="1" t="s">
        <v>13626</v>
      </c>
      <c r="B2358" s="1" t="s">
        <v>16374</v>
      </c>
      <c r="C2358" s="3">
        <f>IF(B2358="","",SUMIFS('Factory Costs'!$C:$C,'Factory Costs'!$A:$A,"Motor",'Factory Costs'!$B:$B,B2358))</f>
        <v>62</v>
      </c>
    </row>
    <row r="2359" spans="1:3" x14ac:dyDescent="0.25">
      <c r="A2359" s="1" t="s">
        <v>13629</v>
      </c>
      <c r="B2359" s="1" t="s">
        <v>16374</v>
      </c>
      <c r="C2359" s="3">
        <f>IF(B2359="","",SUMIFS('Factory Costs'!$C:$C,'Factory Costs'!$A:$A,"Motor",'Factory Costs'!$B:$B,B2359))</f>
        <v>62</v>
      </c>
    </row>
    <row r="2360" spans="1:3" x14ac:dyDescent="0.25">
      <c r="A2360" s="1" t="s">
        <v>13632</v>
      </c>
      <c r="B2360" s="1" t="s">
        <v>16374</v>
      </c>
      <c r="C2360" s="3">
        <f>IF(B2360="","",SUMIFS('Factory Costs'!$C:$C,'Factory Costs'!$A:$A,"Motor",'Factory Costs'!$B:$B,B2360))</f>
        <v>62</v>
      </c>
    </row>
    <row r="2361" spans="1:3" x14ac:dyDescent="0.25">
      <c r="A2361" s="1" t="s">
        <v>13635</v>
      </c>
      <c r="B2361" s="1" t="s">
        <v>16375</v>
      </c>
      <c r="C2361" s="3">
        <f>IF(B2361="","",SUMIFS('Factory Costs'!$C:$C,'Factory Costs'!$A:$A,"Motor",'Factory Costs'!$B:$B,B2361))</f>
        <v>72</v>
      </c>
    </row>
    <row r="2362" spans="1:3" x14ac:dyDescent="0.25">
      <c r="A2362" s="1" t="s">
        <v>13638</v>
      </c>
      <c r="B2362" s="1" t="s">
        <v>16375</v>
      </c>
      <c r="C2362" s="3">
        <f>IF(B2362="","",SUMIFS('Factory Costs'!$C:$C,'Factory Costs'!$A:$A,"Motor",'Factory Costs'!$B:$B,B2362))</f>
        <v>72</v>
      </c>
    </row>
    <row r="2363" spans="1:3" x14ac:dyDescent="0.25">
      <c r="A2363" s="1" t="s">
        <v>13641</v>
      </c>
      <c r="B2363" s="1" t="s">
        <v>16374</v>
      </c>
      <c r="C2363" s="3">
        <f>IF(B2363="","",SUMIFS('Factory Costs'!$C:$C,'Factory Costs'!$A:$A,"Motor",'Factory Costs'!$B:$B,B2363))</f>
        <v>62</v>
      </c>
    </row>
    <row r="2364" spans="1:3" x14ac:dyDescent="0.25">
      <c r="A2364" s="1" t="s">
        <v>13644</v>
      </c>
      <c r="B2364" s="1" t="s">
        <v>16374</v>
      </c>
      <c r="C2364" s="3">
        <f>IF(B2364="","",SUMIFS('Factory Costs'!$C:$C,'Factory Costs'!$A:$A,"Motor",'Factory Costs'!$B:$B,B2364))</f>
        <v>62</v>
      </c>
    </row>
    <row r="2365" spans="1:3" x14ac:dyDescent="0.25">
      <c r="A2365" s="1" t="s">
        <v>13647</v>
      </c>
      <c r="B2365" s="1" t="s">
        <v>16374</v>
      </c>
      <c r="C2365" s="3">
        <f>IF(B2365="","",SUMIFS('Factory Costs'!$C:$C,'Factory Costs'!$A:$A,"Motor",'Factory Costs'!$B:$B,B2365))</f>
        <v>62</v>
      </c>
    </row>
    <row r="2366" spans="1:3" x14ac:dyDescent="0.25">
      <c r="A2366" s="1" t="s">
        <v>13650</v>
      </c>
      <c r="B2366" s="1" t="s">
        <v>16375</v>
      </c>
      <c r="C2366" s="3">
        <f>IF(B2366="","",SUMIFS('Factory Costs'!$C:$C,'Factory Costs'!$A:$A,"Motor",'Factory Costs'!$B:$B,B2366))</f>
        <v>72</v>
      </c>
    </row>
    <row r="2367" spans="1:3" x14ac:dyDescent="0.25">
      <c r="A2367" s="1" t="s">
        <v>13653</v>
      </c>
      <c r="B2367" s="1" t="s">
        <v>16375</v>
      </c>
      <c r="C2367" s="3">
        <f>IF(B2367="","",SUMIFS('Factory Costs'!$C:$C,'Factory Costs'!$A:$A,"Motor",'Factory Costs'!$B:$B,B2367))</f>
        <v>72</v>
      </c>
    </row>
    <row r="2368" spans="1:3" x14ac:dyDescent="0.25">
      <c r="A2368" s="1" t="s">
        <v>13656</v>
      </c>
      <c r="B2368" s="1" t="s">
        <v>16375</v>
      </c>
      <c r="C2368" s="3">
        <f>IF(B2368="","",SUMIFS('Factory Costs'!$C:$C,'Factory Costs'!$A:$A,"Motor",'Factory Costs'!$B:$B,B2368))</f>
        <v>72</v>
      </c>
    </row>
    <row r="2369" spans="1:3" x14ac:dyDescent="0.25">
      <c r="A2369" s="1" t="s">
        <v>13659</v>
      </c>
      <c r="B2369" s="1" t="s">
        <v>16374</v>
      </c>
      <c r="C2369" s="3">
        <f>IF(B2369="","",SUMIFS('Factory Costs'!$C:$C,'Factory Costs'!$A:$A,"Motor",'Factory Costs'!$B:$B,B2369))</f>
        <v>62</v>
      </c>
    </row>
    <row r="2370" spans="1:3" x14ac:dyDescent="0.25">
      <c r="A2370" s="1" t="s">
        <v>13662</v>
      </c>
      <c r="B2370" s="1" t="s">
        <v>16375</v>
      </c>
      <c r="C2370" s="3">
        <f>IF(B2370="","",SUMIFS('Factory Costs'!$C:$C,'Factory Costs'!$A:$A,"Motor",'Factory Costs'!$B:$B,B2370))</f>
        <v>72</v>
      </c>
    </row>
    <row r="2371" spans="1:3" x14ac:dyDescent="0.25">
      <c r="A2371" s="1" t="s">
        <v>13665</v>
      </c>
      <c r="B2371" s="1" t="s">
        <v>16375</v>
      </c>
      <c r="C2371" s="3">
        <f>IF(B2371="","",SUMIFS('Factory Costs'!$C:$C,'Factory Costs'!$A:$A,"Motor",'Factory Costs'!$B:$B,B2371))</f>
        <v>72</v>
      </c>
    </row>
    <row r="2372" spans="1:3" x14ac:dyDescent="0.25">
      <c r="A2372" s="1" t="s">
        <v>13668</v>
      </c>
      <c r="B2372" s="1" t="s">
        <v>16375</v>
      </c>
      <c r="C2372" s="3">
        <f>IF(B2372="","",SUMIFS('Factory Costs'!$C:$C,'Factory Costs'!$A:$A,"Motor",'Factory Costs'!$B:$B,B2372))</f>
        <v>72</v>
      </c>
    </row>
    <row r="2373" spans="1:3" x14ac:dyDescent="0.25">
      <c r="A2373" s="1" t="s">
        <v>13671</v>
      </c>
      <c r="B2373" s="1" t="s">
        <v>16374</v>
      </c>
      <c r="C2373" s="3">
        <f>IF(B2373="","",SUMIFS('Factory Costs'!$C:$C,'Factory Costs'!$A:$A,"Motor",'Factory Costs'!$B:$B,B2373))</f>
        <v>62</v>
      </c>
    </row>
    <row r="2374" spans="1:3" x14ac:dyDescent="0.25">
      <c r="A2374" s="1" t="s">
        <v>13674</v>
      </c>
      <c r="B2374" s="1" t="s">
        <v>16374</v>
      </c>
      <c r="C2374" s="3">
        <f>IF(B2374="","",SUMIFS('Factory Costs'!$C:$C,'Factory Costs'!$A:$A,"Motor",'Factory Costs'!$B:$B,B2374))</f>
        <v>62</v>
      </c>
    </row>
    <row r="2375" spans="1:3" x14ac:dyDescent="0.25">
      <c r="A2375" s="1" t="s">
        <v>13677</v>
      </c>
      <c r="B2375" s="1" t="s">
        <v>16374</v>
      </c>
      <c r="C2375" s="3">
        <f>IF(B2375="","",SUMIFS('Factory Costs'!$C:$C,'Factory Costs'!$A:$A,"Motor",'Factory Costs'!$B:$B,B2375))</f>
        <v>62</v>
      </c>
    </row>
    <row r="2376" spans="1:3" x14ac:dyDescent="0.25">
      <c r="A2376" s="1" t="s">
        <v>13680</v>
      </c>
      <c r="B2376" s="1" t="s">
        <v>16375</v>
      </c>
      <c r="C2376" s="3">
        <f>IF(B2376="","",SUMIFS('Factory Costs'!$C:$C,'Factory Costs'!$A:$A,"Motor",'Factory Costs'!$B:$B,B2376))</f>
        <v>72</v>
      </c>
    </row>
    <row r="2377" spans="1:3" x14ac:dyDescent="0.25">
      <c r="A2377" s="1" t="s">
        <v>13683</v>
      </c>
      <c r="B2377" s="1" t="s">
        <v>16375</v>
      </c>
      <c r="C2377" s="3">
        <f>IF(B2377="","",SUMIFS('Factory Costs'!$C:$C,'Factory Costs'!$A:$A,"Motor",'Factory Costs'!$B:$B,B2377))</f>
        <v>72</v>
      </c>
    </row>
    <row r="2378" spans="1:3" x14ac:dyDescent="0.25">
      <c r="A2378" s="1" t="s">
        <v>13686</v>
      </c>
      <c r="B2378" s="1" t="s">
        <v>16374</v>
      </c>
      <c r="C2378" s="3">
        <f>IF(B2378="","",SUMIFS('Factory Costs'!$C:$C,'Factory Costs'!$A:$A,"Motor",'Factory Costs'!$B:$B,B2378))</f>
        <v>62</v>
      </c>
    </row>
    <row r="2379" spans="1:3" x14ac:dyDescent="0.25">
      <c r="A2379" s="1" t="s">
        <v>13689</v>
      </c>
      <c r="B2379" s="1" t="s">
        <v>16374</v>
      </c>
      <c r="C2379" s="3">
        <f>IF(B2379="","",SUMIFS('Factory Costs'!$C:$C,'Factory Costs'!$A:$A,"Motor",'Factory Costs'!$B:$B,B2379))</f>
        <v>62</v>
      </c>
    </row>
    <row r="2380" spans="1:3" x14ac:dyDescent="0.25">
      <c r="A2380" s="1" t="s">
        <v>13692</v>
      </c>
      <c r="B2380" s="1" t="s">
        <v>16375</v>
      </c>
      <c r="C2380" s="3">
        <f>IF(B2380="","",SUMIFS('Factory Costs'!$C:$C,'Factory Costs'!$A:$A,"Motor",'Factory Costs'!$B:$B,B2380))</f>
        <v>72</v>
      </c>
    </row>
    <row r="2381" spans="1:3" x14ac:dyDescent="0.25">
      <c r="A2381" s="1" t="s">
        <v>13695</v>
      </c>
      <c r="B2381" s="1" t="s">
        <v>16374</v>
      </c>
      <c r="C2381" s="3">
        <f>IF(B2381="","",SUMIFS('Factory Costs'!$C:$C,'Factory Costs'!$A:$A,"Motor",'Factory Costs'!$B:$B,B2381))</f>
        <v>62</v>
      </c>
    </row>
    <row r="2382" spans="1:3" x14ac:dyDescent="0.25">
      <c r="A2382" s="1" t="s">
        <v>13698</v>
      </c>
      <c r="B2382" s="1" t="s">
        <v>16375</v>
      </c>
      <c r="C2382" s="3">
        <f>IF(B2382="","",SUMIFS('Factory Costs'!$C:$C,'Factory Costs'!$A:$A,"Motor",'Factory Costs'!$B:$B,B2382))</f>
        <v>72</v>
      </c>
    </row>
    <row r="2383" spans="1:3" x14ac:dyDescent="0.25">
      <c r="A2383" s="1" t="s">
        <v>13701</v>
      </c>
      <c r="B2383" s="1" t="s">
        <v>16374</v>
      </c>
      <c r="C2383" s="3">
        <f>IF(B2383="","",SUMIFS('Factory Costs'!$C:$C,'Factory Costs'!$A:$A,"Motor",'Factory Costs'!$B:$B,B2383))</f>
        <v>62</v>
      </c>
    </row>
    <row r="2384" spans="1:3" x14ac:dyDescent="0.25">
      <c r="A2384" s="1" t="s">
        <v>13704</v>
      </c>
      <c r="B2384" s="1" t="s">
        <v>16375</v>
      </c>
      <c r="C2384" s="3">
        <f>IF(B2384="","",SUMIFS('Factory Costs'!$C:$C,'Factory Costs'!$A:$A,"Motor",'Factory Costs'!$B:$B,B2384))</f>
        <v>72</v>
      </c>
    </row>
    <row r="2385" spans="1:3" x14ac:dyDescent="0.25">
      <c r="A2385" s="1" t="s">
        <v>13707</v>
      </c>
      <c r="B2385" s="1" t="s">
        <v>16374</v>
      </c>
      <c r="C2385" s="3">
        <f>IF(B2385="","",SUMIFS('Factory Costs'!$C:$C,'Factory Costs'!$A:$A,"Motor",'Factory Costs'!$B:$B,B2385))</f>
        <v>62</v>
      </c>
    </row>
    <row r="2386" spans="1:3" x14ac:dyDescent="0.25">
      <c r="A2386" s="1" t="s">
        <v>13710</v>
      </c>
      <c r="B2386" s="1" t="s">
        <v>16374</v>
      </c>
      <c r="C2386" s="3">
        <f>IF(B2386="","",SUMIFS('Factory Costs'!$C:$C,'Factory Costs'!$A:$A,"Motor",'Factory Costs'!$B:$B,B2386))</f>
        <v>62</v>
      </c>
    </row>
    <row r="2387" spans="1:3" x14ac:dyDescent="0.25">
      <c r="A2387" s="1" t="s">
        <v>13713</v>
      </c>
      <c r="B2387" s="1" t="s">
        <v>16374</v>
      </c>
      <c r="C2387" s="3">
        <f>IF(B2387="","",SUMIFS('Factory Costs'!$C:$C,'Factory Costs'!$A:$A,"Motor",'Factory Costs'!$B:$B,B2387))</f>
        <v>62</v>
      </c>
    </row>
    <row r="2388" spans="1:3" x14ac:dyDescent="0.25">
      <c r="A2388" s="1" t="s">
        <v>13716</v>
      </c>
      <c r="B2388" s="1" t="s">
        <v>16375</v>
      </c>
      <c r="C2388" s="3">
        <f>IF(B2388="","",SUMIFS('Factory Costs'!$C:$C,'Factory Costs'!$A:$A,"Motor",'Factory Costs'!$B:$B,B2388))</f>
        <v>72</v>
      </c>
    </row>
    <row r="2389" spans="1:3" x14ac:dyDescent="0.25">
      <c r="A2389" s="1" t="s">
        <v>13719</v>
      </c>
      <c r="B2389" s="1" t="s">
        <v>16375</v>
      </c>
      <c r="C2389" s="3">
        <f>IF(B2389="","",SUMIFS('Factory Costs'!$C:$C,'Factory Costs'!$A:$A,"Motor",'Factory Costs'!$B:$B,B2389))</f>
        <v>72</v>
      </c>
    </row>
    <row r="2390" spans="1:3" x14ac:dyDescent="0.25">
      <c r="A2390" s="1" t="s">
        <v>13722</v>
      </c>
      <c r="B2390" s="1" t="s">
        <v>16374</v>
      </c>
      <c r="C2390" s="3">
        <f>IF(B2390="","",SUMIFS('Factory Costs'!$C:$C,'Factory Costs'!$A:$A,"Motor",'Factory Costs'!$B:$B,B2390))</f>
        <v>62</v>
      </c>
    </row>
    <row r="2391" spans="1:3" x14ac:dyDescent="0.25">
      <c r="A2391" s="1" t="s">
        <v>13725</v>
      </c>
      <c r="B2391" s="1" t="s">
        <v>16374</v>
      </c>
      <c r="C2391" s="3">
        <f>IF(B2391="","",SUMIFS('Factory Costs'!$C:$C,'Factory Costs'!$A:$A,"Motor",'Factory Costs'!$B:$B,B2391))</f>
        <v>62</v>
      </c>
    </row>
    <row r="2392" spans="1:3" x14ac:dyDescent="0.25">
      <c r="A2392" s="1" t="s">
        <v>13728</v>
      </c>
      <c r="B2392" s="1" t="s">
        <v>16374</v>
      </c>
      <c r="C2392" s="3">
        <f>IF(B2392="","",SUMIFS('Factory Costs'!$C:$C,'Factory Costs'!$A:$A,"Motor",'Factory Costs'!$B:$B,B2392))</f>
        <v>62</v>
      </c>
    </row>
    <row r="2393" spans="1:3" x14ac:dyDescent="0.25">
      <c r="A2393" s="1" t="s">
        <v>13731</v>
      </c>
      <c r="B2393" s="1" t="s">
        <v>16375</v>
      </c>
      <c r="C2393" s="3">
        <f>IF(B2393="","",SUMIFS('Factory Costs'!$C:$C,'Factory Costs'!$A:$A,"Motor",'Factory Costs'!$B:$B,B2393))</f>
        <v>72</v>
      </c>
    </row>
    <row r="2394" spans="1:3" x14ac:dyDescent="0.25">
      <c r="A2394" s="1" t="s">
        <v>13734</v>
      </c>
      <c r="B2394" s="1" t="s">
        <v>16374</v>
      </c>
      <c r="C2394" s="3">
        <f>IF(B2394="","",SUMIFS('Factory Costs'!$C:$C,'Factory Costs'!$A:$A,"Motor",'Factory Costs'!$B:$B,B2394))</f>
        <v>62</v>
      </c>
    </row>
    <row r="2395" spans="1:3" x14ac:dyDescent="0.25">
      <c r="A2395" s="1" t="s">
        <v>13737</v>
      </c>
      <c r="B2395" s="1" t="s">
        <v>16374</v>
      </c>
      <c r="C2395" s="3">
        <f>IF(B2395="","",SUMIFS('Factory Costs'!$C:$C,'Factory Costs'!$A:$A,"Motor",'Factory Costs'!$B:$B,B2395))</f>
        <v>62</v>
      </c>
    </row>
    <row r="2396" spans="1:3" x14ac:dyDescent="0.25">
      <c r="A2396" s="1" t="s">
        <v>13740</v>
      </c>
      <c r="B2396" s="1" t="s">
        <v>16374</v>
      </c>
      <c r="C2396" s="3">
        <f>IF(B2396="","",SUMIFS('Factory Costs'!$C:$C,'Factory Costs'!$A:$A,"Motor",'Factory Costs'!$B:$B,B2396))</f>
        <v>62</v>
      </c>
    </row>
    <row r="2397" spans="1:3" x14ac:dyDescent="0.25">
      <c r="A2397" s="1" t="s">
        <v>13743</v>
      </c>
      <c r="B2397" s="1" t="s">
        <v>16374</v>
      </c>
      <c r="C2397" s="3">
        <f>IF(B2397="","",SUMIFS('Factory Costs'!$C:$C,'Factory Costs'!$A:$A,"Motor",'Factory Costs'!$B:$B,B2397))</f>
        <v>62</v>
      </c>
    </row>
    <row r="2398" spans="1:3" x14ac:dyDescent="0.25">
      <c r="A2398" s="1" t="s">
        <v>13746</v>
      </c>
      <c r="B2398" s="1" t="s">
        <v>16374</v>
      </c>
      <c r="C2398" s="3">
        <f>IF(B2398="","",SUMIFS('Factory Costs'!$C:$C,'Factory Costs'!$A:$A,"Motor",'Factory Costs'!$B:$B,B2398))</f>
        <v>62</v>
      </c>
    </row>
    <row r="2399" spans="1:3" x14ac:dyDescent="0.25">
      <c r="A2399" s="1" t="s">
        <v>13749</v>
      </c>
      <c r="B2399" s="1" t="s">
        <v>16374</v>
      </c>
      <c r="C2399" s="3">
        <f>IF(B2399="","",SUMIFS('Factory Costs'!$C:$C,'Factory Costs'!$A:$A,"Motor",'Factory Costs'!$B:$B,B2399))</f>
        <v>62</v>
      </c>
    </row>
    <row r="2400" spans="1:3" x14ac:dyDescent="0.25">
      <c r="A2400" s="1" t="s">
        <v>13752</v>
      </c>
      <c r="B2400" s="1" t="s">
        <v>16374</v>
      </c>
      <c r="C2400" s="3">
        <f>IF(B2400="","",SUMIFS('Factory Costs'!$C:$C,'Factory Costs'!$A:$A,"Motor",'Factory Costs'!$B:$B,B2400))</f>
        <v>62</v>
      </c>
    </row>
    <row r="2401" spans="1:3" x14ac:dyDescent="0.25">
      <c r="A2401" s="1" t="s">
        <v>13755</v>
      </c>
      <c r="B2401" s="1" t="s">
        <v>16375</v>
      </c>
      <c r="C2401" s="3">
        <f>IF(B2401="","",SUMIFS('Factory Costs'!$C:$C,'Factory Costs'!$A:$A,"Motor",'Factory Costs'!$B:$B,B2401))</f>
        <v>72</v>
      </c>
    </row>
    <row r="2402" spans="1:3" x14ac:dyDescent="0.25">
      <c r="A2402" s="1" t="s">
        <v>13758</v>
      </c>
      <c r="B2402" s="1" t="s">
        <v>16375</v>
      </c>
      <c r="C2402" s="3">
        <f>IF(B2402="","",SUMIFS('Factory Costs'!$C:$C,'Factory Costs'!$A:$A,"Motor",'Factory Costs'!$B:$B,B2402))</f>
        <v>72</v>
      </c>
    </row>
    <row r="2403" spans="1:3" x14ac:dyDescent="0.25">
      <c r="A2403" s="1" t="s">
        <v>13761</v>
      </c>
      <c r="B2403" s="1" t="s">
        <v>16375</v>
      </c>
      <c r="C2403" s="3">
        <f>IF(B2403="","",SUMIFS('Factory Costs'!$C:$C,'Factory Costs'!$A:$A,"Motor",'Factory Costs'!$B:$B,B2403))</f>
        <v>72</v>
      </c>
    </row>
    <row r="2404" spans="1:3" x14ac:dyDescent="0.25">
      <c r="A2404" s="1" t="s">
        <v>13764</v>
      </c>
      <c r="B2404" s="1" t="s">
        <v>16375</v>
      </c>
      <c r="C2404" s="3">
        <f>IF(B2404="","",SUMIFS('Factory Costs'!$C:$C,'Factory Costs'!$A:$A,"Motor",'Factory Costs'!$B:$B,B2404))</f>
        <v>72</v>
      </c>
    </row>
    <row r="2405" spans="1:3" x14ac:dyDescent="0.25">
      <c r="A2405" s="1" t="s">
        <v>13767</v>
      </c>
      <c r="B2405" s="1" t="s">
        <v>16374</v>
      </c>
      <c r="C2405" s="3">
        <f>IF(B2405="","",SUMIFS('Factory Costs'!$C:$C,'Factory Costs'!$A:$A,"Motor",'Factory Costs'!$B:$B,B2405))</f>
        <v>62</v>
      </c>
    </row>
    <row r="2406" spans="1:3" x14ac:dyDescent="0.25">
      <c r="A2406" s="1" t="s">
        <v>13770</v>
      </c>
      <c r="B2406" s="1" t="s">
        <v>16374</v>
      </c>
      <c r="C2406" s="3">
        <f>IF(B2406="","",SUMIFS('Factory Costs'!$C:$C,'Factory Costs'!$A:$A,"Motor",'Factory Costs'!$B:$B,B2406))</f>
        <v>62</v>
      </c>
    </row>
    <row r="2407" spans="1:3" x14ac:dyDescent="0.25">
      <c r="A2407" s="1" t="s">
        <v>13773</v>
      </c>
      <c r="B2407" s="1" t="s">
        <v>16374</v>
      </c>
      <c r="C2407" s="3">
        <f>IF(B2407="","",SUMIFS('Factory Costs'!$C:$C,'Factory Costs'!$A:$A,"Motor",'Factory Costs'!$B:$B,B2407))</f>
        <v>62</v>
      </c>
    </row>
    <row r="2408" spans="1:3" x14ac:dyDescent="0.25">
      <c r="A2408" s="1" t="s">
        <v>13776</v>
      </c>
      <c r="B2408" s="1" t="s">
        <v>16375</v>
      </c>
      <c r="C2408" s="3">
        <f>IF(B2408="","",SUMIFS('Factory Costs'!$C:$C,'Factory Costs'!$A:$A,"Motor",'Factory Costs'!$B:$B,B2408))</f>
        <v>72</v>
      </c>
    </row>
    <row r="2409" spans="1:3" x14ac:dyDescent="0.25">
      <c r="A2409" s="1" t="s">
        <v>13779</v>
      </c>
      <c r="B2409" s="1" t="s">
        <v>16374</v>
      </c>
      <c r="C2409" s="3">
        <f>IF(B2409="","",SUMIFS('Factory Costs'!$C:$C,'Factory Costs'!$A:$A,"Motor",'Factory Costs'!$B:$B,B2409))</f>
        <v>62</v>
      </c>
    </row>
    <row r="2410" spans="1:3" x14ac:dyDescent="0.25">
      <c r="A2410" s="1" t="s">
        <v>13782</v>
      </c>
      <c r="B2410" s="1" t="s">
        <v>16374</v>
      </c>
      <c r="C2410" s="3">
        <f>IF(B2410="","",SUMIFS('Factory Costs'!$C:$C,'Factory Costs'!$A:$A,"Motor",'Factory Costs'!$B:$B,B2410))</f>
        <v>62</v>
      </c>
    </row>
    <row r="2411" spans="1:3" x14ac:dyDescent="0.25">
      <c r="A2411" s="1" t="s">
        <v>13785</v>
      </c>
      <c r="B2411" s="1" t="s">
        <v>16375</v>
      </c>
      <c r="C2411" s="3">
        <f>IF(B2411="","",SUMIFS('Factory Costs'!$C:$C,'Factory Costs'!$A:$A,"Motor",'Factory Costs'!$B:$B,B2411))</f>
        <v>72</v>
      </c>
    </row>
    <row r="2412" spans="1:3" x14ac:dyDescent="0.25">
      <c r="A2412" s="1" t="s">
        <v>13788</v>
      </c>
      <c r="B2412" s="1" t="s">
        <v>16374</v>
      </c>
      <c r="C2412" s="3">
        <f>IF(B2412="","",SUMIFS('Factory Costs'!$C:$C,'Factory Costs'!$A:$A,"Motor",'Factory Costs'!$B:$B,B2412))</f>
        <v>62</v>
      </c>
    </row>
    <row r="2413" spans="1:3" x14ac:dyDescent="0.25">
      <c r="A2413" s="1" t="s">
        <v>13791</v>
      </c>
      <c r="B2413" s="1" t="s">
        <v>16374</v>
      </c>
      <c r="C2413" s="3">
        <f>IF(B2413="","",SUMIFS('Factory Costs'!$C:$C,'Factory Costs'!$A:$A,"Motor",'Factory Costs'!$B:$B,B2413))</f>
        <v>62</v>
      </c>
    </row>
    <row r="2414" spans="1:3" x14ac:dyDescent="0.25">
      <c r="A2414" s="1" t="s">
        <v>13794</v>
      </c>
      <c r="B2414" s="1" t="s">
        <v>16374</v>
      </c>
      <c r="C2414" s="3">
        <f>IF(B2414="","",SUMIFS('Factory Costs'!$C:$C,'Factory Costs'!$A:$A,"Motor",'Factory Costs'!$B:$B,B2414))</f>
        <v>62</v>
      </c>
    </row>
    <row r="2415" spans="1:3" x14ac:dyDescent="0.25">
      <c r="A2415" s="1" t="s">
        <v>13797</v>
      </c>
      <c r="B2415" s="1" t="s">
        <v>16375</v>
      </c>
      <c r="C2415" s="3">
        <f>IF(B2415="","",SUMIFS('Factory Costs'!$C:$C,'Factory Costs'!$A:$A,"Motor",'Factory Costs'!$B:$B,B2415))</f>
        <v>72</v>
      </c>
    </row>
    <row r="2416" spans="1:3" x14ac:dyDescent="0.25">
      <c r="A2416" s="1" t="s">
        <v>13800</v>
      </c>
      <c r="B2416" s="1" t="s">
        <v>16375</v>
      </c>
      <c r="C2416" s="3">
        <f>IF(B2416="","",SUMIFS('Factory Costs'!$C:$C,'Factory Costs'!$A:$A,"Motor",'Factory Costs'!$B:$B,B2416))</f>
        <v>72</v>
      </c>
    </row>
    <row r="2417" spans="1:3" x14ac:dyDescent="0.25">
      <c r="A2417" s="1" t="s">
        <v>13803</v>
      </c>
      <c r="B2417" s="1" t="s">
        <v>16375</v>
      </c>
      <c r="C2417" s="3">
        <f>IF(B2417="","",SUMIFS('Factory Costs'!$C:$C,'Factory Costs'!$A:$A,"Motor",'Factory Costs'!$B:$B,B2417))</f>
        <v>72</v>
      </c>
    </row>
    <row r="2418" spans="1:3" x14ac:dyDescent="0.25">
      <c r="A2418" s="1" t="s">
        <v>13806</v>
      </c>
      <c r="B2418" s="1" t="s">
        <v>16374</v>
      </c>
      <c r="C2418" s="3">
        <f>IF(B2418="","",SUMIFS('Factory Costs'!$C:$C,'Factory Costs'!$A:$A,"Motor",'Factory Costs'!$B:$B,B2418))</f>
        <v>62</v>
      </c>
    </row>
    <row r="2419" spans="1:3" x14ac:dyDescent="0.25">
      <c r="A2419" s="1" t="s">
        <v>13809</v>
      </c>
      <c r="B2419" s="1" t="s">
        <v>16374</v>
      </c>
      <c r="C2419" s="3">
        <f>IF(B2419="","",SUMIFS('Factory Costs'!$C:$C,'Factory Costs'!$A:$A,"Motor",'Factory Costs'!$B:$B,B2419))</f>
        <v>62</v>
      </c>
    </row>
    <row r="2420" spans="1:3" x14ac:dyDescent="0.25">
      <c r="A2420" s="1" t="s">
        <v>13812</v>
      </c>
      <c r="B2420" s="1" t="s">
        <v>16374</v>
      </c>
      <c r="C2420" s="3">
        <f>IF(B2420="","",SUMIFS('Factory Costs'!$C:$C,'Factory Costs'!$A:$A,"Motor",'Factory Costs'!$B:$B,B2420))</f>
        <v>62</v>
      </c>
    </row>
    <row r="2421" spans="1:3" x14ac:dyDescent="0.25">
      <c r="A2421" s="1" t="s">
        <v>13815</v>
      </c>
      <c r="B2421" s="1" t="s">
        <v>16374</v>
      </c>
      <c r="C2421" s="3">
        <f>IF(B2421="","",SUMIFS('Factory Costs'!$C:$C,'Factory Costs'!$A:$A,"Motor",'Factory Costs'!$B:$B,B2421))</f>
        <v>62</v>
      </c>
    </row>
    <row r="2422" spans="1:3" x14ac:dyDescent="0.25">
      <c r="A2422" s="1" t="s">
        <v>13818</v>
      </c>
      <c r="B2422" s="1" t="s">
        <v>16375</v>
      </c>
      <c r="C2422" s="3">
        <f>IF(B2422="","",SUMIFS('Factory Costs'!$C:$C,'Factory Costs'!$A:$A,"Motor",'Factory Costs'!$B:$B,B2422))</f>
        <v>72</v>
      </c>
    </row>
    <row r="2423" spans="1:3" x14ac:dyDescent="0.25">
      <c r="A2423" s="1" t="s">
        <v>13821</v>
      </c>
      <c r="B2423" s="1" t="s">
        <v>16375</v>
      </c>
      <c r="C2423" s="3">
        <f>IF(B2423="","",SUMIFS('Factory Costs'!$C:$C,'Factory Costs'!$A:$A,"Motor",'Factory Costs'!$B:$B,B2423))</f>
        <v>72</v>
      </c>
    </row>
    <row r="2424" spans="1:3" x14ac:dyDescent="0.25">
      <c r="A2424" s="1" t="s">
        <v>13824</v>
      </c>
      <c r="B2424" s="1" t="s">
        <v>16374</v>
      </c>
      <c r="C2424" s="3">
        <f>IF(B2424="","",SUMIFS('Factory Costs'!$C:$C,'Factory Costs'!$A:$A,"Motor",'Factory Costs'!$B:$B,B2424))</f>
        <v>62</v>
      </c>
    </row>
    <row r="2425" spans="1:3" x14ac:dyDescent="0.25">
      <c r="A2425" s="1" t="s">
        <v>13827</v>
      </c>
      <c r="B2425" s="1" t="s">
        <v>16374</v>
      </c>
      <c r="C2425" s="3">
        <f>IF(B2425="","",SUMIFS('Factory Costs'!$C:$C,'Factory Costs'!$A:$A,"Motor",'Factory Costs'!$B:$B,B2425))</f>
        <v>62</v>
      </c>
    </row>
    <row r="2426" spans="1:3" x14ac:dyDescent="0.25">
      <c r="A2426" s="1" t="s">
        <v>13830</v>
      </c>
      <c r="B2426" s="1" t="s">
        <v>16374</v>
      </c>
      <c r="C2426" s="3">
        <f>IF(B2426="","",SUMIFS('Factory Costs'!$C:$C,'Factory Costs'!$A:$A,"Motor",'Factory Costs'!$B:$B,B2426))</f>
        <v>62</v>
      </c>
    </row>
    <row r="2427" spans="1:3" x14ac:dyDescent="0.25">
      <c r="A2427" s="1" t="s">
        <v>13833</v>
      </c>
      <c r="B2427" s="1" t="s">
        <v>16375</v>
      </c>
      <c r="C2427" s="3">
        <f>IF(B2427="","",SUMIFS('Factory Costs'!$C:$C,'Factory Costs'!$A:$A,"Motor",'Factory Costs'!$B:$B,B2427))</f>
        <v>72</v>
      </c>
    </row>
    <row r="2428" spans="1:3" x14ac:dyDescent="0.25">
      <c r="A2428" s="1" t="s">
        <v>13836</v>
      </c>
      <c r="B2428" s="1" t="s">
        <v>16374</v>
      </c>
      <c r="C2428" s="3">
        <f>IF(B2428="","",SUMIFS('Factory Costs'!$C:$C,'Factory Costs'!$A:$A,"Motor",'Factory Costs'!$B:$B,B2428))</f>
        <v>62</v>
      </c>
    </row>
    <row r="2429" spans="1:3" x14ac:dyDescent="0.25">
      <c r="A2429" s="1" t="s">
        <v>13839</v>
      </c>
      <c r="B2429" s="1" t="s">
        <v>16374</v>
      </c>
      <c r="C2429" s="3">
        <f>IF(B2429="","",SUMIFS('Factory Costs'!$C:$C,'Factory Costs'!$A:$A,"Motor",'Factory Costs'!$B:$B,B2429))</f>
        <v>62</v>
      </c>
    </row>
    <row r="2430" spans="1:3" x14ac:dyDescent="0.25">
      <c r="A2430" s="1" t="s">
        <v>13842</v>
      </c>
      <c r="B2430" s="1" t="s">
        <v>16375</v>
      </c>
      <c r="C2430" s="3">
        <f>IF(B2430="","",SUMIFS('Factory Costs'!$C:$C,'Factory Costs'!$A:$A,"Motor",'Factory Costs'!$B:$B,B2430))</f>
        <v>72</v>
      </c>
    </row>
    <row r="2431" spans="1:3" x14ac:dyDescent="0.25">
      <c r="A2431" s="1" t="s">
        <v>13845</v>
      </c>
      <c r="B2431" s="1" t="s">
        <v>16374</v>
      </c>
      <c r="C2431" s="3">
        <f>IF(B2431="","",SUMIFS('Factory Costs'!$C:$C,'Factory Costs'!$A:$A,"Motor",'Factory Costs'!$B:$B,B2431))</f>
        <v>62</v>
      </c>
    </row>
    <row r="2432" spans="1:3" x14ac:dyDescent="0.25">
      <c r="A2432" s="1" t="s">
        <v>13848</v>
      </c>
      <c r="B2432" s="1" t="s">
        <v>16374</v>
      </c>
      <c r="C2432" s="3">
        <f>IF(B2432="","",SUMIFS('Factory Costs'!$C:$C,'Factory Costs'!$A:$A,"Motor",'Factory Costs'!$B:$B,B2432))</f>
        <v>62</v>
      </c>
    </row>
    <row r="2433" spans="1:3" x14ac:dyDescent="0.25">
      <c r="A2433" s="1" t="s">
        <v>13851</v>
      </c>
      <c r="B2433" s="1" t="s">
        <v>16374</v>
      </c>
      <c r="C2433" s="3">
        <f>IF(B2433="","",SUMIFS('Factory Costs'!$C:$C,'Factory Costs'!$A:$A,"Motor",'Factory Costs'!$B:$B,B2433))</f>
        <v>62</v>
      </c>
    </row>
    <row r="2434" spans="1:3" x14ac:dyDescent="0.25">
      <c r="A2434" s="1" t="s">
        <v>13854</v>
      </c>
      <c r="B2434" s="1" t="s">
        <v>16375</v>
      </c>
      <c r="C2434" s="3">
        <f>IF(B2434="","",SUMIFS('Factory Costs'!$C:$C,'Factory Costs'!$A:$A,"Motor",'Factory Costs'!$B:$B,B2434))</f>
        <v>72</v>
      </c>
    </row>
    <row r="2435" spans="1:3" x14ac:dyDescent="0.25">
      <c r="A2435" s="1" t="s">
        <v>13857</v>
      </c>
      <c r="B2435" s="1" t="s">
        <v>16375</v>
      </c>
      <c r="C2435" s="3">
        <f>IF(B2435="","",SUMIFS('Factory Costs'!$C:$C,'Factory Costs'!$A:$A,"Motor",'Factory Costs'!$B:$B,B2435))</f>
        <v>72</v>
      </c>
    </row>
    <row r="2436" spans="1:3" x14ac:dyDescent="0.25">
      <c r="A2436" s="1" t="s">
        <v>13860</v>
      </c>
      <c r="B2436" s="1" t="s">
        <v>16375</v>
      </c>
      <c r="C2436" s="3">
        <f>IF(B2436="","",SUMIFS('Factory Costs'!$C:$C,'Factory Costs'!$A:$A,"Motor",'Factory Costs'!$B:$B,B2436))</f>
        <v>72</v>
      </c>
    </row>
    <row r="2437" spans="1:3" x14ac:dyDescent="0.25">
      <c r="A2437" s="1" t="s">
        <v>13863</v>
      </c>
      <c r="B2437" s="1" t="s">
        <v>16374</v>
      </c>
      <c r="C2437" s="3">
        <f>IF(B2437="","",SUMIFS('Factory Costs'!$C:$C,'Factory Costs'!$A:$A,"Motor",'Factory Costs'!$B:$B,B2437))</f>
        <v>62</v>
      </c>
    </row>
    <row r="2438" spans="1:3" x14ac:dyDescent="0.25">
      <c r="A2438" s="1" t="s">
        <v>13866</v>
      </c>
      <c r="B2438" s="1" t="s">
        <v>16374</v>
      </c>
      <c r="C2438" s="3">
        <f>IF(B2438="","",SUMIFS('Factory Costs'!$C:$C,'Factory Costs'!$A:$A,"Motor",'Factory Costs'!$B:$B,B2438))</f>
        <v>62</v>
      </c>
    </row>
    <row r="2439" spans="1:3" x14ac:dyDescent="0.25">
      <c r="A2439" s="1" t="s">
        <v>13869</v>
      </c>
      <c r="B2439" s="1" t="s">
        <v>16374</v>
      </c>
      <c r="C2439" s="3">
        <f>IF(B2439="","",SUMIFS('Factory Costs'!$C:$C,'Factory Costs'!$A:$A,"Motor",'Factory Costs'!$B:$B,B2439))</f>
        <v>62</v>
      </c>
    </row>
    <row r="2440" spans="1:3" x14ac:dyDescent="0.25">
      <c r="A2440" s="1" t="s">
        <v>13872</v>
      </c>
      <c r="B2440" s="1" t="s">
        <v>16375</v>
      </c>
      <c r="C2440" s="3">
        <f>IF(B2440="","",SUMIFS('Factory Costs'!$C:$C,'Factory Costs'!$A:$A,"Motor",'Factory Costs'!$B:$B,B2440))</f>
        <v>72</v>
      </c>
    </row>
    <row r="2441" spans="1:3" x14ac:dyDescent="0.25">
      <c r="A2441" s="1" t="s">
        <v>13875</v>
      </c>
      <c r="B2441" s="1" t="s">
        <v>16374</v>
      </c>
      <c r="C2441" s="3">
        <f>IF(B2441="","",SUMIFS('Factory Costs'!$C:$C,'Factory Costs'!$A:$A,"Motor",'Factory Costs'!$B:$B,B2441))</f>
        <v>62</v>
      </c>
    </row>
    <row r="2442" spans="1:3" x14ac:dyDescent="0.25">
      <c r="A2442" s="1" t="s">
        <v>13878</v>
      </c>
      <c r="B2442" s="1" t="s">
        <v>16375</v>
      </c>
      <c r="C2442" s="3">
        <f>IF(B2442="","",SUMIFS('Factory Costs'!$C:$C,'Factory Costs'!$A:$A,"Motor",'Factory Costs'!$B:$B,B2442))</f>
        <v>72</v>
      </c>
    </row>
    <row r="2443" spans="1:3" x14ac:dyDescent="0.25">
      <c r="A2443" s="1" t="s">
        <v>13881</v>
      </c>
      <c r="B2443" s="1" t="s">
        <v>16375</v>
      </c>
      <c r="C2443" s="3">
        <f>IF(B2443="","",SUMIFS('Factory Costs'!$C:$C,'Factory Costs'!$A:$A,"Motor",'Factory Costs'!$B:$B,B2443))</f>
        <v>72</v>
      </c>
    </row>
    <row r="2444" spans="1:3" x14ac:dyDescent="0.25">
      <c r="A2444" s="1" t="s">
        <v>13884</v>
      </c>
      <c r="B2444" s="1" t="s">
        <v>16374</v>
      </c>
      <c r="C2444" s="3">
        <f>IF(B2444="","",SUMIFS('Factory Costs'!$C:$C,'Factory Costs'!$A:$A,"Motor",'Factory Costs'!$B:$B,B2444))</f>
        <v>62</v>
      </c>
    </row>
    <row r="2445" spans="1:3" x14ac:dyDescent="0.25">
      <c r="A2445" s="1" t="s">
        <v>13887</v>
      </c>
      <c r="B2445" s="1" t="s">
        <v>16375</v>
      </c>
      <c r="C2445" s="3">
        <f>IF(B2445="","",SUMIFS('Factory Costs'!$C:$C,'Factory Costs'!$A:$A,"Motor",'Factory Costs'!$B:$B,B2445))</f>
        <v>72</v>
      </c>
    </row>
    <row r="2446" spans="1:3" x14ac:dyDescent="0.25">
      <c r="A2446" s="1" t="s">
        <v>13890</v>
      </c>
      <c r="B2446" s="1" t="s">
        <v>16374</v>
      </c>
      <c r="C2446" s="3">
        <f>IF(B2446="","",SUMIFS('Factory Costs'!$C:$C,'Factory Costs'!$A:$A,"Motor",'Factory Costs'!$B:$B,B2446))</f>
        <v>62</v>
      </c>
    </row>
    <row r="2447" spans="1:3" x14ac:dyDescent="0.25">
      <c r="A2447" s="1" t="s">
        <v>13893</v>
      </c>
      <c r="B2447" s="1" t="s">
        <v>16374</v>
      </c>
      <c r="C2447" s="3">
        <f>IF(B2447="","",SUMIFS('Factory Costs'!$C:$C,'Factory Costs'!$A:$A,"Motor",'Factory Costs'!$B:$B,B2447))</f>
        <v>62</v>
      </c>
    </row>
    <row r="2448" spans="1:3" x14ac:dyDescent="0.25">
      <c r="A2448" s="1" t="s">
        <v>13896</v>
      </c>
      <c r="B2448" s="1" t="s">
        <v>16374</v>
      </c>
      <c r="C2448" s="3">
        <f>IF(B2448="","",SUMIFS('Factory Costs'!$C:$C,'Factory Costs'!$A:$A,"Motor",'Factory Costs'!$B:$B,B2448))</f>
        <v>62</v>
      </c>
    </row>
    <row r="2449" spans="1:3" x14ac:dyDescent="0.25">
      <c r="A2449" s="1" t="s">
        <v>13899</v>
      </c>
      <c r="B2449" s="1" t="s">
        <v>16374</v>
      </c>
      <c r="C2449" s="3">
        <f>IF(B2449="","",SUMIFS('Factory Costs'!$C:$C,'Factory Costs'!$A:$A,"Motor",'Factory Costs'!$B:$B,B2449))</f>
        <v>62</v>
      </c>
    </row>
    <row r="2450" spans="1:3" x14ac:dyDescent="0.25">
      <c r="A2450" s="1" t="s">
        <v>13902</v>
      </c>
      <c r="B2450" s="1" t="s">
        <v>16375</v>
      </c>
      <c r="C2450" s="3">
        <f>IF(B2450="","",SUMIFS('Factory Costs'!$C:$C,'Factory Costs'!$A:$A,"Motor",'Factory Costs'!$B:$B,B2450))</f>
        <v>72</v>
      </c>
    </row>
    <row r="2451" spans="1:3" x14ac:dyDescent="0.25">
      <c r="A2451" s="1" t="s">
        <v>13905</v>
      </c>
      <c r="B2451" s="1" t="s">
        <v>16374</v>
      </c>
      <c r="C2451" s="3">
        <f>IF(B2451="","",SUMIFS('Factory Costs'!$C:$C,'Factory Costs'!$A:$A,"Motor",'Factory Costs'!$B:$B,B2451))</f>
        <v>62</v>
      </c>
    </row>
    <row r="2452" spans="1:3" x14ac:dyDescent="0.25">
      <c r="A2452" s="1" t="s">
        <v>13908</v>
      </c>
      <c r="B2452" s="1" t="s">
        <v>16375</v>
      </c>
      <c r="C2452" s="3">
        <f>IF(B2452="","",SUMIFS('Factory Costs'!$C:$C,'Factory Costs'!$A:$A,"Motor",'Factory Costs'!$B:$B,B2452))</f>
        <v>72</v>
      </c>
    </row>
    <row r="2453" spans="1:3" x14ac:dyDescent="0.25">
      <c r="A2453" s="1" t="s">
        <v>13911</v>
      </c>
      <c r="B2453" s="1" t="s">
        <v>16375</v>
      </c>
      <c r="C2453" s="3">
        <f>IF(B2453="","",SUMIFS('Factory Costs'!$C:$C,'Factory Costs'!$A:$A,"Motor",'Factory Costs'!$B:$B,B2453))</f>
        <v>72</v>
      </c>
    </row>
    <row r="2454" spans="1:3" x14ac:dyDescent="0.25">
      <c r="A2454" s="1" t="s">
        <v>13914</v>
      </c>
      <c r="B2454" s="1" t="s">
        <v>16375</v>
      </c>
      <c r="C2454" s="3">
        <f>IF(B2454="","",SUMIFS('Factory Costs'!$C:$C,'Factory Costs'!$A:$A,"Motor",'Factory Costs'!$B:$B,B2454))</f>
        <v>72</v>
      </c>
    </row>
    <row r="2455" spans="1:3" x14ac:dyDescent="0.25">
      <c r="A2455" s="1" t="s">
        <v>13917</v>
      </c>
      <c r="B2455" s="1" t="s">
        <v>16374</v>
      </c>
      <c r="C2455" s="3">
        <f>IF(B2455="","",SUMIFS('Factory Costs'!$C:$C,'Factory Costs'!$A:$A,"Motor",'Factory Costs'!$B:$B,B2455))</f>
        <v>62</v>
      </c>
    </row>
    <row r="2456" spans="1:3" x14ac:dyDescent="0.25">
      <c r="A2456" s="1" t="s">
        <v>13920</v>
      </c>
      <c r="B2456" s="1" t="s">
        <v>16374</v>
      </c>
      <c r="C2456" s="3">
        <f>IF(B2456="","",SUMIFS('Factory Costs'!$C:$C,'Factory Costs'!$A:$A,"Motor",'Factory Costs'!$B:$B,B2456))</f>
        <v>62</v>
      </c>
    </row>
    <row r="2457" spans="1:3" x14ac:dyDescent="0.25">
      <c r="A2457" s="1" t="s">
        <v>13923</v>
      </c>
      <c r="B2457" s="1" t="s">
        <v>16375</v>
      </c>
      <c r="C2457" s="3">
        <f>IF(B2457="","",SUMIFS('Factory Costs'!$C:$C,'Factory Costs'!$A:$A,"Motor",'Factory Costs'!$B:$B,B2457))</f>
        <v>72</v>
      </c>
    </row>
    <row r="2458" spans="1:3" x14ac:dyDescent="0.25">
      <c r="A2458" s="1" t="s">
        <v>13926</v>
      </c>
      <c r="B2458" s="1" t="s">
        <v>16374</v>
      </c>
      <c r="C2458" s="3">
        <f>IF(B2458="","",SUMIFS('Factory Costs'!$C:$C,'Factory Costs'!$A:$A,"Motor",'Factory Costs'!$B:$B,B2458))</f>
        <v>62</v>
      </c>
    </row>
    <row r="2459" spans="1:3" x14ac:dyDescent="0.25">
      <c r="A2459" s="1" t="s">
        <v>13929</v>
      </c>
      <c r="B2459" s="1" t="s">
        <v>16374</v>
      </c>
      <c r="C2459" s="3">
        <f>IF(B2459="","",SUMIFS('Factory Costs'!$C:$C,'Factory Costs'!$A:$A,"Motor",'Factory Costs'!$B:$B,B2459))</f>
        <v>62</v>
      </c>
    </row>
    <row r="2460" spans="1:3" x14ac:dyDescent="0.25">
      <c r="A2460" s="1" t="s">
        <v>13932</v>
      </c>
      <c r="B2460" s="1" t="s">
        <v>16374</v>
      </c>
      <c r="C2460" s="3">
        <f>IF(B2460="","",SUMIFS('Factory Costs'!$C:$C,'Factory Costs'!$A:$A,"Motor",'Factory Costs'!$B:$B,B2460))</f>
        <v>62</v>
      </c>
    </row>
    <row r="2461" spans="1:3" x14ac:dyDescent="0.25">
      <c r="A2461" s="1" t="s">
        <v>13935</v>
      </c>
      <c r="B2461" s="1" t="s">
        <v>16374</v>
      </c>
      <c r="C2461" s="3">
        <f>IF(B2461="","",SUMIFS('Factory Costs'!$C:$C,'Factory Costs'!$A:$A,"Motor",'Factory Costs'!$B:$B,B2461))</f>
        <v>62</v>
      </c>
    </row>
    <row r="2462" spans="1:3" x14ac:dyDescent="0.25">
      <c r="A2462" s="1" t="s">
        <v>13938</v>
      </c>
      <c r="B2462" s="1" t="s">
        <v>16374</v>
      </c>
      <c r="C2462" s="3">
        <f>IF(B2462="","",SUMIFS('Factory Costs'!$C:$C,'Factory Costs'!$A:$A,"Motor",'Factory Costs'!$B:$B,B2462))</f>
        <v>62</v>
      </c>
    </row>
    <row r="2463" spans="1:3" x14ac:dyDescent="0.25">
      <c r="A2463" s="1" t="s">
        <v>13941</v>
      </c>
      <c r="B2463" s="1" t="s">
        <v>16374</v>
      </c>
      <c r="C2463" s="3">
        <f>IF(B2463="","",SUMIFS('Factory Costs'!$C:$C,'Factory Costs'!$A:$A,"Motor",'Factory Costs'!$B:$B,B2463))</f>
        <v>62</v>
      </c>
    </row>
    <row r="2464" spans="1:3" x14ac:dyDescent="0.25">
      <c r="A2464" s="1" t="s">
        <v>13944</v>
      </c>
      <c r="B2464" s="1" t="s">
        <v>16374</v>
      </c>
      <c r="C2464" s="3">
        <f>IF(B2464="","",SUMIFS('Factory Costs'!$C:$C,'Factory Costs'!$A:$A,"Motor",'Factory Costs'!$B:$B,B2464))</f>
        <v>62</v>
      </c>
    </row>
    <row r="2465" spans="1:3" x14ac:dyDescent="0.25">
      <c r="A2465" s="1" t="s">
        <v>13947</v>
      </c>
      <c r="B2465" s="1" t="s">
        <v>16375</v>
      </c>
      <c r="C2465" s="3">
        <f>IF(B2465="","",SUMIFS('Factory Costs'!$C:$C,'Factory Costs'!$A:$A,"Motor",'Factory Costs'!$B:$B,B2465))</f>
        <v>72</v>
      </c>
    </row>
    <row r="2466" spans="1:3" x14ac:dyDescent="0.25">
      <c r="A2466" s="1" t="s">
        <v>13950</v>
      </c>
      <c r="B2466" s="1" t="s">
        <v>16374</v>
      </c>
      <c r="C2466" s="3">
        <f>IF(B2466="","",SUMIFS('Factory Costs'!$C:$C,'Factory Costs'!$A:$A,"Motor",'Factory Costs'!$B:$B,B2466))</f>
        <v>62</v>
      </c>
    </row>
    <row r="2467" spans="1:3" x14ac:dyDescent="0.25">
      <c r="A2467" s="1" t="s">
        <v>13953</v>
      </c>
      <c r="B2467" s="1" t="s">
        <v>16375</v>
      </c>
      <c r="C2467" s="3">
        <f>IF(B2467="","",SUMIFS('Factory Costs'!$C:$C,'Factory Costs'!$A:$A,"Motor",'Factory Costs'!$B:$B,B2467))</f>
        <v>72</v>
      </c>
    </row>
    <row r="2468" spans="1:3" x14ac:dyDescent="0.25">
      <c r="A2468" s="1" t="s">
        <v>13956</v>
      </c>
      <c r="B2468" s="1" t="s">
        <v>16374</v>
      </c>
      <c r="C2468" s="3">
        <f>IF(B2468="","",SUMIFS('Factory Costs'!$C:$C,'Factory Costs'!$A:$A,"Motor",'Factory Costs'!$B:$B,B2468))</f>
        <v>62</v>
      </c>
    </row>
    <row r="2469" spans="1:3" x14ac:dyDescent="0.25">
      <c r="A2469" s="1" t="s">
        <v>13959</v>
      </c>
      <c r="B2469" s="1" t="s">
        <v>16375</v>
      </c>
      <c r="C2469" s="3">
        <f>IF(B2469="","",SUMIFS('Factory Costs'!$C:$C,'Factory Costs'!$A:$A,"Motor",'Factory Costs'!$B:$B,B2469))</f>
        <v>72</v>
      </c>
    </row>
    <row r="2470" spans="1:3" x14ac:dyDescent="0.25">
      <c r="A2470" s="1" t="s">
        <v>13962</v>
      </c>
      <c r="B2470" s="1" t="s">
        <v>16374</v>
      </c>
      <c r="C2470" s="3">
        <f>IF(B2470="","",SUMIFS('Factory Costs'!$C:$C,'Factory Costs'!$A:$A,"Motor",'Factory Costs'!$B:$B,B2470))</f>
        <v>62</v>
      </c>
    </row>
    <row r="2471" spans="1:3" x14ac:dyDescent="0.25">
      <c r="A2471" s="1" t="s">
        <v>13965</v>
      </c>
      <c r="B2471" s="1" t="s">
        <v>16375</v>
      </c>
      <c r="C2471" s="3">
        <f>IF(B2471="","",SUMIFS('Factory Costs'!$C:$C,'Factory Costs'!$A:$A,"Motor",'Factory Costs'!$B:$B,B2471))</f>
        <v>72</v>
      </c>
    </row>
    <row r="2472" spans="1:3" x14ac:dyDescent="0.25">
      <c r="A2472" s="1" t="s">
        <v>13968</v>
      </c>
      <c r="B2472" s="1" t="s">
        <v>16374</v>
      </c>
      <c r="C2472" s="3">
        <f>IF(B2472="","",SUMIFS('Factory Costs'!$C:$C,'Factory Costs'!$A:$A,"Motor",'Factory Costs'!$B:$B,B2472))</f>
        <v>62</v>
      </c>
    </row>
    <row r="2473" spans="1:3" x14ac:dyDescent="0.25">
      <c r="A2473" s="1" t="s">
        <v>13971</v>
      </c>
      <c r="B2473" s="1" t="s">
        <v>16374</v>
      </c>
      <c r="C2473" s="3">
        <f>IF(B2473="","",SUMIFS('Factory Costs'!$C:$C,'Factory Costs'!$A:$A,"Motor",'Factory Costs'!$B:$B,B2473))</f>
        <v>62</v>
      </c>
    </row>
    <row r="2474" spans="1:3" x14ac:dyDescent="0.25">
      <c r="A2474" s="1" t="s">
        <v>13974</v>
      </c>
      <c r="B2474" s="1" t="s">
        <v>16375</v>
      </c>
      <c r="C2474" s="3">
        <f>IF(B2474="","",SUMIFS('Factory Costs'!$C:$C,'Factory Costs'!$A:$A,"Motor",'Factory Costs'!$B:$B,B2474))</f>
        <v>72</v>
      </c>
    </row>
    <row r="2475" spans="1:3" x14ac:dyDescent="0.25">
      <c r="A2475" s="1" t="s">
        <v>13977</v>
      </c>
      <c r="B2475" s="1" t="s">
        <v>16374</v>
      </c>
      <c r="C2475" s="3">
        <f>IF(B2475="","",SUMIFS('Factory Costs'!$C:$C,'Factory Costs'!$A:$A,"Motor",'Factory Costs'!$B:$B,B2475))</f>
        <v>62</v>
      </c>
    </row>
    <row r="2476" spans="1:3" x14ac:dyDescent="0.25">
      <c r="A2476" s="1" t="s">
        <v>13980</v>
      </c>
      <c r="B2476" s="1" t="s">
        <v>16374</v>
      </c>
      <c r="C2476" s="3">
        <f>IF(B2476="","",SUMIFS('Factory Costs'!$C:$C,'Factory Costs'!$A:$A,"Motor",'Factory Costs'!$B:$B,B2476))</f>
        <v>62</v>
      </c>
    </row>
    <row r="2477" spans="1:3" x14ac:dyDescent="0.25">
      <c r="A2477" s="1" t="s">
        <v>13983</v>
      </c>
      <c r="B2477" s="1" t="s">
        <v>16374</v>
      </c>
      <c r="C2477" s="3">
        <f>IF(B2477="","",SUMIFS('Factory Costs'!$C:$C,'Factory Costs'!$A:$A,"Motor",'Factory Costs'!$B:$B,B2477))</f>
        <v>62</v>
      </c>
    </row>
    <row r="2478" spans="1:3" x14ac:dyDescent="0.25">
      <c r="A2478" s="1" t="s">
        <v>13986</v>
      </c>
      <c r="B2478" s="1" t="s">
        <v>16374</v>
      </c>
      <c r="C2478" s="3">
        <f>IF(B2478="","",SUMIFS('Factory Costs'!$C:$C,'Factory Costs'!$A:$A,"Motor",'Factory Costs'!$B:$B,B2478))</f>
        <v>62</v>
      </c>
    </row>
    <row r="2479" spans="1:3" x14ac:dyDescent="0.25">
      <c r="A2479" s="1" t="s">
        <v>13989</v>
      </c>
      <c r="B2479" s="1" t="s">
        <v>16374</v>
      </c>
      <c r="C2479" s="3">
        <f>IF(B2479="","",SUMIFS('Factory Costs'!$C:$C,'Factory Costs'!$A:$A,"Motor",'Factory Costs'!$B:$B,B2479))</f>
        <v>62</v>
      </c>
    </row>
    <row r="2480" spans="1:3" x14ac:dyDescent="0.25">
      <c r="A2480" s="1" t="s">
        <v>13992</v>
      </c>
      <c r="B2480" s="1" t="s">
        <v>16374</v>
      </c>
      <c r="C2480" s="3">
        <f>IF(B2480="","",SUMIFS('Factory Costs'!$C:$C,'Factory Costs'!$A:$A,"Motor",'Factory Costs'!$B:$B,B2480))</f>
        <v>62</v>
      </c>
    </row>
    <row r="2481" spans="1:3" x14ac:dyDescent="0.25">
      <c r="A2481" s="1" t="s">
        <v>13995</v>
      </c>
      <c r="B2481" s="1" t="s">
        <v>16375</v>
      </c>
      <c r="C2481" s="3">
        <f>IF(B2481="","",SUMIFS('Factory Costs'!$C:$C,'Factory Costs'!$A:$A,"Motor",'Factory Costs'!$B:$B,B2481))</f>
        <v>72</v>
      </c>
    </row>
    <row r="2482" spans="1:3" x14ac:dyDescent="0.25">
      <c r="A2482" s="1" t="s">
        <v>13998</v>
      </c>
      <c r="B2482" s="1" t="s">
        <v>16375</v>
      </c>
      <c r="C2482" s="3">
        <f>IF(B2482="","",SUMIFS('Factory Costs'!$C:$C,'Factory Costs'!$A:$A,"Motor",'Factory Costs'!$B:$B,B2482))</f>
        <v>72</v>
      </c>
    </row>
    <row r="2483" spans="1:3" x14ac:dyDescent="0.25">
      <c r="A2483" s="1" t="s">
        <v>14001</v>
      </c>
      <c r="B2483" s="1" t="s">
        <v>16375</v>
      </c>
      <c r="C2483" s="3">
        <f>IF(B2483="","",SUMIFS('Factory Costs'!$C:$C,'Factory Costs'!$A:$A,"Motor",'Factory Costs'!$B:$B,B2483))</f>
        <v>72</v>
      </c>
    </row>
    <row r="2484" spans="1:3" x14ac:dyDescent="0.25">
      <c r="A2484" s="1" t="s">
        <v>14004</v>
      </c>
      <c r="B2484" s="1" t="s">
        <v>16375</v>
      </c>
      <c r="C2484" s="3">
        <f>IF(B2484="","",SUMIFS('Factory Costs'!$C:$C,'Factory Costs'!$A:$A,"Motor",'Factory Costs'!$B:$B,B2484))</f>
        <v>72</v>
      </c>
    </row>
    <row r="2485" spans="1:3" x14ac:dyDescent="0.25">
      <c r="A2485" s="1" t="s">
        <v>14007</v>
      </c>
      <c r="B2485" s="1" t="s">
        <v>16375</v>
      </c>
      <c r="C2485" s="3">
        <f>IF(B2485="","",SUMIFS('Factory Costs'!$C:$C,'Factory Costs'!$A:$A,"Motor",'Factory Costs'!$B:$B,B2485))</f>
        <v>72</v>
      </c>
    </row>
    <row r="2486" spans="1:3" x14ac:dyDescent="0.25">
      <c r="A2486" s="1" t="s">
        <v>14010</v>
      </c>
      <c r="B2486" s="1" t="s">
        <v>16375</v>
      </c>
      <c r="C2486" s="3">
        <f>IF(B2486="","",SUMIFS('Factory Costs'!$C:$C,'Factory Costs'!$A:$A,"Motor",'Factory Costs'!$B:$B,B2486))</f>
        <v>72</v>
      </c>
    </row>
    <row r="2487" spans="1:3" x14ac:dyDescent="0.25">
      <c r="A2487" s="1" t="s">
        <v>14013</v>
      </c>
      <c r="B2487" s="1" t="s">
        <v>16375</v>
      </c>
      <c r="C2487" s="3">
        <f>IF(B2487="","",SUMIFS('Factory Costs'!$C:$C,'Factory Costs'!$A:$A,"Motor",'Factory Costs'!$B:$B,B2487))</f>
        <v>72</v>
      </c>
    </row>
    <row r="2488" spans="1:3" x14ac:dyDescent="0.25">
      <c r="A2488" s="1" t="s">
        <v>14016</v>
      </c>
      <c r="B2488" s="1" t="s">
        <v>16374</v>
      </c>
      <c r="C2488" s="3">
        <f>IF(B2488="","",SUMIFS('Factory Costs'!$C:$C,'Factory Costs'!$A:$A,"Motor",'Factory Costs'!$B:$B,B2488))</f>
        <v>62</v>
      </c>
    </row>
    <row r="2489" spans="1:3" x14ac:dyDescent="0.25">
      <c r="A2489" s="1" t="s">
        <v>14019</v>
      </c>
      <c r="B2489" s="1" t="s">
        <v>16375</v>
      </c>
      <c r="C2489" s="3">
        <f>IF(B2489="","",SUMIFS('Factory Costs'!$C:$C,'Factory Costs'!$A:$A,"Motor",'Factory Costs'!$B:$B,B2489))</f>
        <v>72</v>
      </c>
    </row>
    <row r="2490" spans="1:3" x14ac:dyDescent="0.25">
      <c r="A2490" s="1" t="s">
        <v>14022</v>
      </c>
      <c r="B2490" s="1" t="s">
        <v>16374</v>
      </c>
      <c r="C2490" s="3">
        <f>IF(B2490="","",SUMIFS('Factory Costs'!$C:$C,'Factory Costs'!$A:$A,"Motor",'Factory Costs'!$B:$B,B2490))</f>
        <v>62</v>
      </c>
    </row>
    <row r="2491" spans="1:3" x14ac:dyDescent="0.25">
      <c r="A2491" s="1" t="s">
        <v>14025</v>
      </c>
      <c r="B2491" s="1" t="s">
        <v>16375</v>
      </c>
      <c r="C2491" s="3">
        <f>IF(B2491="","",SUMIFS('Factory Costs'!$C:$C,'Factory Costs'!$A:$A,"Motor",'Factory Costs'!$B:$B,B2491))</f>
        <v>72</v>
      </c>
    </row>
    <row r="2492" spans="1:3" x14ac:dyDescent="0.25">
      <c r="A2492" s="1" t="s">
        <v>14028</v>
      </c>
      <c r="B2492" s="1" t="s">
        <v>16375</v>
      </c>
      <c r="C2492" s="3">
        <f>IF(B2492="","",SUMIFS('Factory Costs'!$C:$C,'Factory Costs'!$A:$A,"Motor",'Factory Costs'!$B:$B,B2492))</f>
        <v>72</v>
      </c>
    </row>
    <row r="2493" spans="1:3" x14ac:dyDescent="0.25">
      <c r="A2493" s="1" t="s">
        <v>14031</v>
      </c>
      <c r="B2493" s="1" t="s">
        <v>16374</v>
      </c>
      <c r="C2493" s="3">
        <f>IF(B2493="","",SUMIFS('Factory Costs'!$C:$C,'Factory Costs'!$A:$A,"Motor",'Factory Costs'!$B:$B,B2493))</f>
        <v>62</v>
      </c>
    </row>
    <row r="2494" spans="1:3" x14ac:dyDescent="0.25">
      <c r="A2494" s="1" t="s">
        <v>14034</v>
      </c>
      <c r="B2494" s="1" t="s">
        <v>16374</v>
      </c>
      <c r="C2494" s="3">
        <f>IF(B2494="","",SUMIFS('Factory Costs'!$C:$C,'Factory Costs'!$A:$A,"Motor",'Factory Costs'!$B:$B,B2494))</f>
        <v>62</v>
      </c>
    </row>
    <row r="2495" spans="1:3" x14ac:dyDescent="0.25">
      <c r="A2495" s="1" t="s">
        <v>14037</v>
      </c>
      <c r="B2495" s="1" t="s">
        <v>16375</v>
      </c>
      <c r="C2495" s="3">
        <f>IF(B2495="","",SUMIFS('Factory Costs'!$C:$C,'Factory Costs'!$A:$A,"Motor",'Factory Costs'!$B:$B,B2495))</f>
        <v>72</v>
      </c>
    </row>
    <row r="2496" spans="1:3" x14ac:dyDescent="0.25">
      <c r="A2496" s="1" t="s">
        <v>14040</v>
      </c>
      <c r="B2496" s="1" t="s">
        <v>16374</v>
      </c>
      <c r="C2496" s="3">
        <f>IF(B2496="","",SUMIFS('Factory Costs'!$C:$C,'Factory Costs'!$A:$A,"Motor",'Factory Costs'!$B:$B,B2496))</f>
        <v>62</v>
      </c>
    </row>
    <row r="2497" spans="1:3" x14ac:dyDescent="0.25">
      <c r="A2497" s="1" t="s">
        <v>14043</v>
      </c>
      <c r="B2497" s="1" t="s">
        <v>16374</v>
      </c>
      <c r="C2497" s="3">
        <f>IF(B2497="","",SUMIFS('Factory Costs'!$C:$C,'Factory Costs'!$A:$A,"Motor",'Factory Costs'!$B:$B,B2497))</f>
        <v>62</v>
      </c>
    </row>
    <row r="2498" spans="1:3" x14ac:dyDescent="0.25">
      <c r="A2498" s="1" t="s">
        <v>14046</v>
      </c>
      <c r="B2498" s="1" t="s">
        <v>16375</v>
      </c>
      <c r="C2498" s="3">
        <f>IF(B2498="","",SUMIFS('Factory Costs'!$C:$C,'Factory Costs'!$A:$A,"Motor",'Factory Costs'!$B:$B,B2498))</f>
        <v>72</v>
      </c>
    </row>
    <row r="2499" spans="1:3" x14ac:dyDescent="0.25">
      <c r="A2499" s="1" t="s">
        <v>14049</v>
      </c>
      <c r="B2499" s="1" t="s">
        <v>16374</v>
      </c>
      <c r="C2499" s="3">
        <f>IF(B2499="","",SUMIFS('Factory Costs'!$C:$C,'Factory Costs'!$A:$A,"Motor",'Factory Costs'!$B:$B,B2499))</f>
        <v>62</v>
      </c>
    </row>
    <row r="2500" spans="1:3" x14ac:dyDescent="0.25">
      <c r="A2500" s="1" t="s">
        <v>14052</v>
      </c>
      <c r="B2500" s="1" t="s">
        <v>16374</v>
      </c>
      <c r="C2500" s="3">
        <f>IF(B2500="","",SUMIFS('Factory Costs'!$C:$C,'Factory Costs'!$A:$A,"Motor",'Factory Costs'!$B:$B,B2500))</f>
        <v>62</v>
      </c>
    </row>
    <row r="2501" spans="1:3" x14ac:dyDescent="0.25">
      <c r="A2501" s="1" t="s">
        <v>14055</v>
      </c>
      <c r="B2501" s="1" t="s">
        <v>16375</v>
      </c>
      <c r="C2501" s="3">
        <f>IF(B2501="","",SUMIFS('Factory Costs'!$C:$C,'Factory Costs'!$A:$A,"Motor",'Factory Costs'!$B:$B,B2501))</f>
        <v>72</v>
      </c>
    </row>
    <row r="2502" spans="1:3" x14ac:dyDescent="0.25">
      <c r="A2502" s="1" t="s">
        <v>14058</v>
      </c>
      <c r="B2502" s="1" t="s">
        <v>16375</v>
      </c>
      <c r="C2502" s="3">
        <f>IF(B2502="","",SUMIFS('Factory Costs'!$C:$C,'Factory Costs'!$A:$A,"Motor",'Factory Costs'!$B:$B,B2502))</f>
        <v>72</v>
      </c>
    </row>
    <row r="2503" spans="1:3" x14ac:dyDescent="0.25">
      <c r="A2503" s="1" t="s">
        <v>14061</v>
      </c>
      <c r="B2503" s="1" t="s">
        <v>16374</v>
      </c>
      <c r="C2503" s="3">
        <f>IF(B2503="","",SUMIFS('Factory Costs'!$C:$C,'Factory Costs'!$A:$A,"Motor",'Factory Costs'!$B:$B,B2503))</f>
        <v>62</v>
      </c>
    </row>
    <row r="2504" spans="1:3" x14ac:dyDescent="0.25">
      <c r="A2504" s="1" t="s">
        <v>14064</v>
      </c>
      <c r="B2504" s="1" t="s">
        <v>16375</v>
      </c>
      <c r="C2504" s="3">
        <f>IF(B2504="","",SUMIFS('Factory Costs'!$C:$C,'Factory Costs'!$A:$A,"Motor",'Factory Costs'!$B:$B,B2504))</f>
        <v>72</v>
      </c>
    </row>
    <row r="2505" spans="1:3" x14ac:dyDescent="0.25">
      <c r="A2505" s="1" t="s">
        <v>14067</v>
      </c>
      <c r="B2505" s="1" t="s">
        <v>16375</v>
      </c>
      <c r="C2505" s="3">
        <f>IF(B2505="","",SUMIFS('Factory Costs'!$C:$C,'Factory Costs'!$A:$A,"Motor",'Factory Costs'!$B:$B,B2505))</f>
        <v>72</v>
      </c>
    </row>
    <row r="2506" spans="1:3" x14ac:dyDescent="0.25">
      <c r="A2506" s="1" t="s">
        <v>14070</v>
      </c>
      <c r="B2506" s="1" t="s">
        <v>16374</v>
      </c>
      <c r="C2506" s="3">
        <f>IF(B2506="","",SUMIFS('Factory Costs'!$C:$C,'Factory Costs'!$A:$A,"Motor",'Factory Costs'!$B:$B,B2506))</f>
        <v>62</v>
      </c>
    </row>
    <row r="2507" spans="1:3" x14ac:dyDescent="0.25">
      <c r="A2507" s="1" t="s">
        <v>14073</v>
      </c>
      <c r="B2507" s="1" t="s">
        <v>16374</v>
      </c>
      <c r="C2507" s="3">
        <f>IF(B2507="","",SUMIFS('Factory Costs'!$C:$C,'Factory Costs'!$A:$A,"Motor",'Factory Costs'!$B:$B,B2507))</f>
        <v>62</v>
      </c>
    </row>
    <row r="2508" spans="1:3" x14ac:dyDescent="0.25">
      <c r="A2508" s="1" t="s">
        <v>14076</v>
      </c>
      <c r="B2508" s="1" t="s">
        <v>16375</v>
      </c>
      <c r="C2508" s="3">
        <f>IF(B2508="","",SUMIFS('Factory Costs'!$C:$C,'Factory Costs'!$A:$A,"Motor",'Factory Costs'!$B:$B,B2508))</f>
        <v>72</v>
      </c>
    </row>
    <row r="2509" spans="1:3" x14ac:dyDescent="0.25">
      <c r="A2509" s="1" t="s">
        <v>14079</v>
      </c>
      <c r="B2509" s="1" t="s">
        <v>16374</v>
      </c>
      <c r="C2509" s="3">
        <f>IF(B2509="","",SUMIFS('Factory Costs'!$C:$C,'Factory Costs'!$A:$A,"Motor",'Factory Costs'!$B:$B,B2509))</f>
        <v>62</v>
      </c>
    </row>
    <row r="2510" spans="1:3" x14ac:dyDescent="0.25">
      <c r="A2510" s="1" t="s">
        <v>14082</v>
      </c>
      <c r="B2510" s="1" t="s">
        <v>16375</v>
      </c>
      <c r="C2510" s="3">
        <f>IF(B2510="","",SUMIFS('Factory Costs'!$C:$C,'Factory Costs'!$A:$A,"Motor",'Factory Costs'!$B:$B,B2510))</f>
        <v>72</v>
      </c>
    </row>
    <row r="2511" spans="1:3" x14ac:dyDescent="0.25">
      <c r="A2511" s="1" t="s">
        <v>14085</v>
      </c>
      <c r="B2511" s="1" t="s">
        <v>16374</v>
      </c>
      <c r="C2511" s="3">
        <f>IF(B2511="","",SUMIFS('Factory Costs'!$C:$C,'Factory Costs'!$A:$A,"Motor",'Factory Costs'!$B:$B,B2511))</f>
        <v>62</v>
      </c>
    </row>
    <row r="2512" spans="1:3" x14ac:dyDescent="0.25">
      <c r="A2512" s="1" t="s">
        <v>14088</v>
      </c>
      <c r="B2512" s="1" t="s">
        <v>16375</v>
      </c>
      <c r="C2512" s="3">
        <f>IF(B2512="","",SUMIFS('Factory Costs'!$C:$C,'Factory Costs'!$A:$A,"Motor",'Factory Costs'!$B:$B,B2512))</f>
        <v>72</v>
      </c>
    </row>
    <row r="2513" spans="1:3" x14ac:dyDescent="0.25">
      <c r="A2513" s="1" t="s">
        <v>14091</v>
      </c>
      <c r="B2513" s="1" t="s">
        <v>16374</v>
      </c>
      <c r="C2513" s="3">
        <f>IF(B2513="","",SUMIFS('Factory Costs'!$C:$C,'Factory Costs'!$A:$A,"Motor",'Factory Costs'!$B:$B,B2513))</f>
        <v>62</v>
      </c>
    </row>
    <row r="2514" spans="1:3" x14ac:dyDescent="0.25">
      <c r="A2514" s="1" t="s">
        <v>14094</v>
      </c>
      <c r="B2514" s="1" t="s">
        <v>16375</v>
      </c>
      <c r="C2514" s="3">
        <f>IF(B2514="","",SUMIFS('Factory Costs'!$C:$C,'Factory Costs'!$A:$A,"Motor",'Factory Costs'!$B:$B,B2514))</f>
        <v>72</v>
      </c>
    </row>
    <row r="2515" spans="1:3" x14ac:dyDescent="0.25">
      <c r="A2515" s="1" t="s">
        <v>14097</v>
      </c>
      <c r="B2515" s="1" t="s">
        <v>16374</v>
      </c>
      <c r="C2515" s="3">
        <f>IF(B2515="","",SUMIFS('Factory Costs'!$C:$C,'Factory Costs'!$A:$A,"Motor",'Factory Costs'!$B:$B,B2515))</f>
        <v>62</v>
      </c>
    </row>
    <row r="2516" spans="1:3" x14ac:dyDescent="0.25">
      <c r="A2516" s="1" t="s">
        <v>14100</v>
      </c>
      <c r="B2516" s="1" t="s">
        <v>16374</v>
      </c>
      <c r="C2516" s="3">
        <f>IF(B2516="","",SUMIFS('Factory Costs'!$C:$C,'Factory Costs'!$A:$A,"Motor",'Factory Costs'!$B:$B,B2516))</f>
        <v>62</v>
      </c>
    </row>
    <row r="2517" spans="1:3" x14ac:dyDescent="0.25">
      <c r="A2517" s="1" t="s">
        <v>14103</v>
      </c>
      <c r="B2517" s="1" t="s">
        <v>16375</v>
      </c>
      <c r="C2517" s="3">
        <f>IF(B2517="","",SUMIFS('Factory Costs'!$C:$C,'Factory Costs'!$A:$A,"Motor",'Factory Costs'!$B:$B,B2517))</f>
        <v>72</v>
      </c>
    </row>
    <row r="2518" spans="1:3" x14ac:dyDescent="0.25">
      <c r="A2518" s="1" t="s">
        <v>14106</v>
      </c>
      <c r="B2518" s="1" t="s">
        <v>16374</v>
      </c>
      <c r="C2518" s="3">
        <f>IF(B2518="","",SUMIFS('Factory Costs'!$C:$C,'Factory Costs'!$A:$A,"Motor",'Factory Costs'!$B:$B,B2518))</f>
        <v>62</v>
      </c>
    </row>
    <row r="2519" spans="1:3" x14ac:dyDescent="0.25">
      <c r="A2519" s="1" t="s">
        <v>14109</v>
      </c>
      <c r="B2519" s="1" t="s">
        <v>16374</v>
      </c>
      <c r="C2519" s="3">
        <f>IF(B2519="","",SUMIFS('Factory Costs'!$C:$C,'Factory Costs'!$A:$A,"Motor",'Factory Costs'!$B:$B,B2519))</f>
        <v>62</v>
      </c>
    </row>
    <row r="2520" spans="1:3" x14ac:dyDescent="0.25">
      <c r="A2520" s="1" t="s">
        <v>14112</v>
      </c>
      <c r="B2520" s="1" t="s">
        <v>16374</v>
      </c>
      <c r="C2520" s="3">
        <f>IF(B2520="","",SUMIFS('Factory Costs'!$C:$C,'Factory Costs'!$A:$A,"Motor",'Factory Costs'!$B:$B,B2520))</f>
        <v>62</v>
      </c>
    </row>
    <row r="2521" spans="1:3" x14ac:dyDescent="0.25">
      <c r="A2521" s="1" t="s">
        <v>14115</v>
      </c>
      <c r="B2521" s="1" t="s">
        <v>16374</v>
      </c>
      <c r="C2521" s="3">
        <f>IF(B2521="","",SUMIFS('Factory Costs'!$C:$C,'Factory Costs'!$A:$A,"Motor",'Factory Costs'!$B:$B,B2521))</f>
        <v>62</v>
      </c>
    </row>
    <row r="2522" spans="1:3" x14ac:dyDescent="0.25">
      <c r="A2522" s="1" t="s">
        <v>14118</v>
      </c>
      <c r="B2522" s="1" t="s">
        <v>16374</v>
      </c>
      <c r="C2522" s="3">
        <f>IF(B2522="","",SUMIFS('Factory Costs'!$C:$C,'Factory Costs'!$A:$A,"Motor",'Factory Costs'!$B:$B,B2522))</f>
        <v>62</v>
      </c>
    </row>
    <row r="2523" spans="1:3" x14ac:dyDescent="0.25">
      <c r="A2523" s="1" t="s">
        <v>14121</v>
      </c>
      <c r="B2523" s="1" t="s">
        <v>16374</v>
      </c>
      <c r="C2523" s="3">
        <f>IF(B2523="","",SUMIFS('Factory Costs'!$C:$C,'Factory Costs'!$A:$A,"Motor",'Factory Costs'!$B:$B,B2523))</f>
        <v>62</v>
      </c>
    </row>
    <row r="2524" spans="1:3" x14ac:dyDescent="0.25">
      <c r="A2524" s="1" t="s">
        <v>14124</v>
      </c>
      <c r="B2524" s="1" t="s">
        <v>16374</v>
      </c>
      <c r="C2524" s="3">
        <f>IF(B2524="","",SUMIFS('Factory Costs'!$C:$C,'Factory Costs'!$A:$A,"Motor",'Factory Costs'!$B:$B,B2524))</f>
        <v>62</v>
      </c>
    </row>
    <row r="2525" spans="1:3" x14ac:dyDescent="0.25">
      <c r="A2525" s="1" t="s">
        <v>14127</v>
      </c>
      <c r="B2525" s="1" t="s">
        <v>16375</v>
      </c>
      <c r="C2525" s="3">
        <f>IF(B2525="","",SUMIFS('Factory Costs'!$C:$C,'Factory Costs'!$A:$A,"Motor",'Factory Costs'!$B:$B,B2525))</f>
        <v>72</v>
      </c>
    </row>
    <row r="2526" spans="1:3" x14ac:dyDescent="0.25">
      <c r="A2526" s="1" t="s">
        <v>14130</v>
      </c>
      <c r="B2526" s="1" t="s">
        <v>16375</v>
      </c>
      <c r="C2526" s="3">
        <f>IF(B2526="","",SUMIFS('Factory Costs'!$C:$C,'Factory Costs'!$A:$A,"Motor",'Factory Costs'!$B:$B,B2526))</f>
        <v>72</v>
      </c>
    </row>
    <row r="2527" spans="1:3" x14ac:dyDescent="0.25">
      <c r="A2527" s="1" t="s">
        <v>14133</v>
      </c>
      <c r="B2527" s="1" t="s">
        <v>16374</v>
      </c>
      <c r="C2527" s="3">
        <f>IF(B2527="","",SUMIFS('Factory Costs'!$C:$C,'Factory Costs'!$A:$A,"Motor",'Factory Costs'!$B:$B,B2527))</f>
        <v>62</v>
      </c>
    </row>
    <row r="2528" spans="1:3" x14ac:dyDescent="0.25">
      <c r="A2528" s="1" t="s">
        <v>14136</v>
      </c>
      <c r="B2528" s="1" t="s">
        <v>16374</v>
      </c>
      <c r="C2528" s="3">
        <f>IF(B2528="","",SUMIFS('Factory Costs'!$C:$C,'Factory Costs'!$A:$A,"Motor",'Factory Costs'!$B:$B,B2528))</f>
        <v>62</v>
      </c>
    </row>
    <row r="2529" spans="1:3" x14ac:dyDescent="0.25">
      <c r="A2529" s="1" t="s">
        <v>14139</v>
      </c>
      <c r="B2529" s="1" t="s">
        <v>16375</v>
      </c>
      <c r="C2529" s="3">
        <f>IF(B2529="","",SUMIFS('Factory Costs'!$C:$C,'Factory Costs'!$A:$A,"Motor",'Factory Costs'!$B:$B,B2529))</f>
        <v>72</v>
      </c>
    </row>
    <row r="2530" spans="1:3" x14ac:dyDescent="0.25">
      <c r="A2530" s="1" t="s">
        <v>14142</v>
      </c>
      <c r="B2530" s="1" t="s">
        <v>16374</v>
      </c>
      <c r="C2530" s="3">
        <f>IF(B2530="","",SUMIFS('Factory Costs'!$C:$C,'Factory Costs'!$A:$A,"Motor",'Factory Costs'!$B:$B,B2530))</f>
        <v>62</v>
      </c>
    </row>
    <row r="2531" spans="1:3" x14ac:dyDescent="0.25">
      <c r="A2531" s="1" t="s">
        <v>14145</v>
      </c>
      <c r="B2531" s="1" t="s">
        <v>16375</v>
      </c>
      <c r="C2531" s="3">
        <f>IF(B2531="","",SUMIFS('Factory Costs'!$C:$C,'Factory Costs'!$A:$A,"Motor",'Factory Costs'!$B:$B,B2531))</f>
        <v>72</v>
      </c>
    </row>
    <row r="2532" spans="1:3" x14ac:dyDescent="0.25">
      <c r="A2532" s="1" t="s">
        <v>14148</v>
      </c>
      <c r="B2532" s="1" t="s">
        <v>16375</v>
      </c>
      <c r="C2532" s="3">
        <f>IF(B2532="","",SUMIFS('Factory Costs'!$C:$C,'Factory Costs'!$A:$A,"Motor",'Factory Costs'!$B:$B,B2532))</f>
        <v>72</v>
      </c>
    </row>
    <row r="2533" spans="1:3" x14ac:dyDescent="0.25">
      <c r="A2533" s="1" t="s">
        <v>14151</v>
      </c>
      <c r="B2533" s="1" t="s">
        <v>16375</v>
      </c>
      <c r="C2533" s="3">
        <f>IF(B2533="","",SUMIFS('Factory Costs'!$C:$C,'Factory Costs'!$A:$A,"Motor",'Factory Costs'!$B:$B,B2533))</f>
        <v>72</v>
      </c>
    </row>
    <row r="2534" spans="1:3" x14ac:dyDescent="0.25">
      <c r="A2534" s="1" t="s">
        <v>14154</v>
      </c>
      <c r="B2534" s="1" t="s">
        <v>16374</v>
      </c>
      <c r="C2534" s="3">
        <f>IF(B2534="","",SUMIFS('Factory Costs'!$C:$C,'Factory Costs'!$A:$A,"Motor",'Factory Costs'!$B:$B,B2534))</f>
        <v>62</v>
      </c>
    </row>
    <row r="2535" spans="1:3" x14ac:dyDescent="0.25">
      <c r="A2535" s="1" t="s">
        <v>14157</v>
      </c>
      <c r="B2535" s="1" t="s">
        <v>16375</v>
      </c>
      <c r="C2535" s="3">
        <f>IF(B2535="","",SUMIFS('Factory Costs'!$C:$C,'Factory Costs'!$A:$A,"Motor",'Factory Costs'!$B:$B,B2535))</f>
        <v>72</v>
      </c>
    </row>
    <row r="2536" spans="1:3" x14ac:dyDescent="0.25">
      <c r="A2536" s="1" t="s">
        <v>14160</v>
      </c>
      <c r="B2536" s="1" t="s">
        <v>16374</v>
      </c>
      <c r="C2536" s="3">
        <f>IF(B2536="","",SUMIFS('Factory Costs'!$C:$C,'Factory Costs'!$A:$A,"Motor",'Factory Costs'!$B:$B,B2536))</f>
        <v>62</v>
      </c>
    </row>
    <row r="2537" spans="1:3" x14ac:dyDescent="0.25">
      <c r="A2537" s="1" t="s">
        <v>14163</v>
      </c>
      <c r="B2537" s="1" t="s">
        <v>16374</v>
      </c>
      <c r="C2537" s="3">
        <f>IF(B2537="","",SUMIFS('Factory Costs'!$C:$C,'Factory Costs'!$A:$A,"Motor",'Factory Costs'!$B:$B,B2537))</f>
        <v>62</v>
      </c>
    </row>
    <row r="2538" spans="1:3" x14ac:dyDescent="0.25">
      <c r="A2538" s="1" t="s">
        <v>14166</v>
      </c>
      <c r="B2538" s="1" t="s">
        <v>16375</v>
      </c>
      <c r="C2538" s="3">
        <f>IF(B2538="","",SUMIFS('Factory Costs'!$C:$C,'Factory Costs'!$A:$A,"Motor",'Factory Costs'!$B:$B,B2538))</f>
        <v>72</v>
      </c>
    </row>
    <row r="2539" spans="1:3" x14ac:dyDescent="0.25">
      <c r="A2539" s="1" t="s">
        <v>14169</v>
      </c>
      <c r="B2539" s="1" t="s">
        <v>16374</v>
      </c>
      <c r="C2539" s="3">
        <f>IF(B2539="","",SUMIFS('Factory Costs'!$C:$C,'Factory Costs'!$A:$A,"Motor",'Factory Costs'!$B:$B,B2539))</f>
        <v>62</v>
      </c>
    </row>
    <row r="2540" spans="1:3" x14ac:dyDescent="0.25">
      <c r="A2540" s="1" t="s">
        <v>14172</v>
      </c>
      <c r="B2540" s="1" t="s">
        <v>16374</v>
      </c>
      <c r="C2540" s="3">
        <f>IF(B2540="","",SUMIFS('Factory Costs'!$C:$C,'Factory Costs'!$A:$A,"Motor",'Factory Costs'!$B:$B,B2540))</f>
        <v>62</v>
      </c>
    </row>
    <row r="2541" spans="1:3" x14ac:dyDescent="0.25">
      <c r="A2541" s="1" t="s">
        <v>14175</v>
      </c>
      <c r="B2541" s="1" t="s">
        <v>16374</v>
      </c>
      <c r="C2541" s="3">
        <f>IF(B2541="","",SUMIFS('Factory Costs'!$C:$C,'Factory Costs'!$A:$A,"Motor",'Factory Costs'!$B:$B,B2541))</f>
        <v>62</v>
      </c>
    </row>
    <row r="2542" spans="1:3" x14ac:dyDescent="0.25">
      <c r="A2542" s="1" t="s">
        <v>14178</v>
      </c>
      <c r="B2542" s="1" t="s">
        <v>16374</v>
      </c>
      <c r="C2542" s="3">
        <f>IF(B2542="","",SUMIFS('Factory Costs'!$C:$C,'Factory Costs'!$A:$A,"Motor",'Factory Costs'!$B:$B,B2542))</f>
        <v>62</v>
      </c>
    </row>
    <row r="2543" spans="1:3" x14ac:dyDescent="0.25">
      <c r="A2543" s="1" t="s">
        <v>14181</v>
      </c>
      <c r="B2543" s="1" t="s">
        <v>16375</v>
      </c>
      <c r="C2543" s="3">
        <f>IF(B2543="","",SUMIFS('Factory Costs'!$C:$C,'Factory Costs'!$A:$A,"Motor",'Factory Costs'!$B:$B,B2543))</f>
        <v>72</v>
      </c>
    </row>
    <row r="2544" spans="1:3" x14ac:dyDescent="0.25">
      <c r="A2544" s="1" t="s">
        <v>14184</v>
      </c>
      <c r="B2544" s="1" t="s">
        <v>16374</v>
      </c>
      <c r="C2544" s="3">
        <f>IF(B2544="","",SUMIFS('Factory Costs'!$C:$C,'Factory Costs'!$A:$A,"Motor",'Factory Costs'!$B:$B,B2544))</f>
        <v>62</v>
      </c>
    </row>
    <row r="2545" spans="1:3" x14ac:dyDescent="0.25">
      <c r="A2545" s="1" t="s">
        <v>14187</v>
      </c>
      <c r="B2545" s="1" t="s">
        <v>16375</v>
      </c>
      <c r="C2545" s="3">
        <f>IF(B2545="","",SUMIFS('Factory Costs'!$C:$C,'Factory Costs'!$A:$A,"Motor",'Factory Costs'!$B:$B,B2545))</f>
        <v>72</v>
      </c>
    </row>
    <row r="2546" spans="1:3" x14ac:dyDescent="0.25">
      <c r="A2546" s="1" t="s">
        <v>14190</v>
      </c>
      <c r="B2546" s="1" t="s">
        <v>16375</v>
      </c>
      <c r="C2546" s="3">
        <f>IF(B2546="","",SUMIFS('Factory Costs'!$C:$C,'Factory Costs'!$A:$A,"Motor",'Factory Costs'!$B:$B,B2546))</f>
        <v>72</v>
      </c>
    </row>
    <row r="2547" spans="1:3" x14ac:dyDescent="0.25">
      <c r="A2547" s="1" t="s">
        <v>14193</v>
      </c>
      <c r="B2547" s="1" t="s">
        <v>16375</v>
      </c>
      <c r="C2547" s="3">
        <f>IF(B2547="","",SUMIFS('Factory Costs'!$C:$C,'Factory Costs'!$A:$A,"Motor",'Factory Costs'!$B:$B,B2547))</f>
        <v>72</v>
      </c>
    </row>
    <row r="2548" spans="1:3" x14ac:dyDescent="0.25">
      <c r="A2548" s="1" t="s">
        <v>14196</v>
      </c>
      <c r="B2548" s="1" t="s">
        <v>16375</v>
      </c>
      <c r="C2548" s="3">
        <f>IF(B2548="","",SUMIFS('Factory Costs'!$C:$C,'Factory Costs'!$A:$A,"Motor",'Factory Costs'!$B:$B,B2548))</f>
        <v>72</v>
      </c>
    </row>
    <row r="2549" spans="1:3" x14ac:dyDescent="0.25">
      <c r="A2549" s="1" t="s">
        <v>14199</v>
      </c>
      <c r="B2549" s="1" t="s">
        <v>16375</v>
      </c>
      <c r="C2549" s="3">
        <f>IF(B2549="","",SUMIFS('Factory Costs'!$C:$C,'Factory Costs'!$A:$A,"Motor",'Factory Costs'!$B:$B,B2549))</f>
        <v>72</v>
      </c>
    </row>
    <row r="2550" spans="1:3" x14ac:dyDescent="0.25">
      <c r="A2550" s="1" t="s">
        <v>14202</v>
      </c>
      <c r="B2550" s="1" t="s">
        <v>16374</v>
      </c>
      <c r="C2550" s="3">
        <f>IF(B2550="","",SUMIFS('Factory Costs'!$C:$C,'Factory Costs'!$A:$A,"Motor",'Factory Costs'!$B:$B,B2550))</f>
        <v>62</v>
      </c>
    </row>
    <row r="2551" spans="1:3" x14ac:dyDescent="0.25">
      <c r="A2551" s="1" t="s">
        <v>14205</v>
      </c>
      <c r="B2551" s="1" t="s">
        <v>16374</v>
      </c>
      <c r="C2551" s="3">
        <f>IF(B2551="","",SUMIFS('Factory Costs'!$C:$C,'Factory Costs'!$A:$A,"Motor",'Factory Costs'!$B:$B,B2551))</f>
        <v>62</v>
      </c>
    </row>
    <row r="2552" spans="1:3" x14ac:dyDescent="0.25">
      <c r="A2552" s="1" t="s">
        <v>14208</v>
      </c>
      <c r="B2552" s="1" t="s">
        <v>16374</v>
      </c>
      <c r="C2552" s="3">
        <f>IF(B2552="","",SUMIFS('Factory Costs'!$C:$C,'Factory Costs'!$A:$A,"Motor",'Factory Costs'!$B:$B,B2552))</f>
        <v>62</v>
      </c>
    </row>
    <row r="2553" spans="1:3" x14ac:dyDescent="0.25">
      <c r="A2553" s="1" t="s">
        <v>14211</v>
      </c>
      <c r="B2553" s="1" t="s">
        <v>16375</v>
      </c>
      <c r="C2553" s="3">
        <f>IF(B2553="","",SUMIFS('Factory Costs'!$C:$C,'Factory Costs'!$A:$A,"Motor",'Factory Costs'!$B:$B,B2553))</f>
        <v>72</v>
      </c>
    </row>
    <row r="2554" spans="1:3" x14ac:dyDescent="0.25">
      <c r="A2554" s="1" t="s">
        <v>14214</v>
      </c>
      <c r="B2554" s="1" t="s">
        <v>16374</v>
      </c>
      <c r="C2554" s="3">
        <f>IF(B2554="","",SUMIFS('Factory Costs'!$C:$C,'Factory Costs'!$A:$A,"Motor",'Factory Costs'!$B:$B,B2554))</f>
        <v>62</v>
      </c>
    </row>
    <row r="2555" spans="1:3" x14ac:dyDescent="0.25">
      <c r="A2555" s="1" t="s">
        <v>14217</v>
      </c>
      <c r="B2555" s="1" t="s">
        <v>16375</v>
      </c>
      <c r="C2555" s="3">
        <f>IF(B2555="","",SUMIFS('Factory Costs'!$C:$C,'Factory Costs'!$A:$A,"Motor",'Factory Costs'!$B:$B,B2555))</f>
        <v>72</v>
      </c>
    </row>
    <row r="2556" spans="1:3" x14ac:dyDescent="0.25">
      <c r="A2556" s="1" t="s">
        <v>14220</v>
      </c>
      <c r="B2556" s="1" t="s">
        <v>16375</v>
      </c>
      <c r="C2556" s="3">
        <f>IF(B2556="","",SUMIFS('Factory Costs'!$C:$C,'Factory Costs'!$A:$A,"Motor",'Factory Costs'!$B:$B,B2556))</f>
        <v>72</v>
      </c>
    </row>
    <row r="2557" spans="1:3" x14ac:dyDescent="0.25">
      <c r="A2557" s="1" t="s">
        <v>14223</v>
      </c>
      <c r="B2557" s="1" t="s">
        <v>16375</v>
      </c>
      <c r="C2557" s="3">
        <f>IF(B2557="","",SUMIFS('Factory Costs'!$C:$C,'Factory Costs'!$A:$A,"Motor",'Factory Costs'!$B:$B,B2557))</f>
        <v>72</v>
      </c>
    </row>
    <row r="2558" spans="1:3" x14ac:dyDescent="0.25">
      <c r="A2558" s="1" t="s">
        <v>14226</v>
      </c>
      <c r="B2558" s="1" t="s">
        <v>16374</v>
      </c>
      <c r="C2558" s="3">
        <f>IF(B2558="","",SUMIFS('Factory Costs'!$C:$C,'Factory Costs'!$A:$A,"Motor",'Factory Costs'!$B:$B,B2558))</f>
        <v>62</v>
      </c>
    </row>
    <row r="2559" spans="1:3" x14ac:dyDescent="0.25">
      <c r="A2559" s="1" t="s">
        <v>14229</v>
      </c>
      <c r="B2559" s="1" t="s">
        <v>16374</v>
      </c>
      <c r="C2559" s="3">
        <f>IF(B2559="","",SUMIFS('Factory Costs'!$C:$C,'Factory Costs'!$A:$A,"Motor",'Factory Costs'!$B:$B,B2559))</f>
        <v>62</v>
      </c>
    </row>
    <row r="2560" spans="1:3" x14ac:dyDescent="0.25">
      <c r="A2560" s="1" t="s">
        <v>14232</v>
      </c>
      <c r="B2560" s="1" t="s">
        <v>16375</v>
      </c>
      <c r="C2560" s="3">
        <f>IF(B2560="","",SUMIFS('Factory Costs'!$C:$C,'Factory Costs'!$A:$A,"Motor",'Factory Costs'!$B:$B,B2560))</f>
        <v>72</v>
      </c>
    </row>
    <row r="2561" spans="1:3" x14ac:dyDescent="0.25">
      <c r="A2561" s="1" t="s">
        <v>14235</v>
      </c>
      <c r="B2561" s="1" t="s">
        <v>16374</v>
      </c>
      <c r="C2561" s="3">
        <f>IF(B2561="","",SUMIFS('Factory Costs'!$C:$C,'Factory Costs'!$A:$A,"Motor",'Factory Costs'!$B:$B,B2561))</f>
        <v>62</v>
      </c>
    </row>
    <row r="2562" spans="1:3" x14ac:dyDescent="0.25">
      <c r="A2562" s="1" t="s">
        <v>14238</v>
      </c>
      <c r="B2562" s="1" t="s">
        <v>16374</v>
      </c>
      <c r="C2562" s="3">
        <f>IF(B2562="","",SUMIFS('Factory Costs'!$C:$C,'Factory Costs'!$A:$A,"Motor",'Factory Costs'!$B:$B,B2562))</f>
        <v>62</v>
      </c>
    </row>
    <row r="2563" spans="1:3" x14ac:dyDescent="0.25">
      <c r="A2563" s="1" t="s">
        <v>14241</v>
      </c>
      <c r="B2563" s="1" t="s">
        <v>16374</v>
      </c>
      <c r="C2563" s="3">
        <f>IF(B2563="","",SUMIFS('Factory Costs'!$C:$C,'Factory Costs'!$A:$A,"Motor",'Factory Costs'!$B:$B,B2563))</f>
        <v>62</v>
      </c>
    </row>
    <row r="2564" spans="1:3" x14ac:dyDescent="0.25">
      <c r="A2564" s="1" t="s">
        <v>14244</v>
      </c>
      <c r="B2564" s="1" t="s">
        <v>16374</v>
      </c>
      <c r="C2564" s="3">
        <f>IF(B2564="","",SUMIFS('Factory Costs'!$C:$C,'Factory Costs'!$A:$A,"Motor",'Factory Costs'!$B:$B,B2564))</f>
        <v>62</v>
      </c>
    </row>
    <row r="2565" spans="1:3" x14ac:dyDescent="0.25">
      <c r="A2565" s="1" t="s">
        <v>14247</v>
      </c>
      <c r="B2565" s="1" t="s">
        <v>16374</v>
      </c>
      <c r="C2565" s="3">
        <f>IF(B2565="","",SUMIFS('Factory Costs'!$C:$C,'Factory Costs'!$A:$A,"Motor",'Factory Costs'!$B:$B,B2565))</f>
        <v>62</v>
      </c>
    </row>
    <row r="2566" spans="1:3" x14ac:dyDescent="0.25">
      <c r="A2566" s="1" t="s">
        <v>14250</v>
      </c>
      <c r="B2566" s="1" t="s">
        <v>16375</v>
      </c>
      <c r="C2566" s="3">
        <f>IF(B2566="","",SUMIFS('Factory Costs'!$C:$C,'Factory Costs'!$A:$A,"Motor",'Factory Costs'!$B:$B,B2566))</f>
        <v>72</v>
      </c>
    </row>
    <row r="2567" spans="1:3" x14ac:dyDescent="0.25">
      <c r="A2567" s="1" t="s">
        <v>14253</v>
      </c>
      <c r="B2567" s="1" t="s">
        <v>16375</v>
      </c>
      <c r="C2567" s="3">
        <f>IF(B2567="","",SUMIFS('Factory Costs'!$C:$C,'Factory Costs'!$A:$A,"Motor",'Factory Costs'!$B:$B,B2567))</f>
        <v>72</v>
      </c>
    </row>
    <row r="2568" spans="1:3" x14ac:dyDescent="0.25">
      <c r="A2568" s="1" t="s">
        <v>14256</v>
      </c>
      <c r="B2568" s="1" t="s">
        <v>16374</v>
      </c>
      <c r="C2568" s="3">
        <f>IF(B2568="","",SUMIFS('Factory Costs'!$C:$C,'Factory Costs'!$A:$A,"Motor",'Factory Costs'!$B:$B,B2568))</f>
        <v>62</v>
      </c>
    </row>
    <row r="2569" spans="1:3" x14ac:dyDescent="0.25">
      <c r="A2569" s="1" t="s">
        <v>14259</v>
      </c>
      <c r="B2569" s="1" t="s">
        <v>16374</v>
      </c>
      <c r="C2569" s="3">
        <f>IF(B2569="","",SUMIFS('Factory Costs'!$C:$C,'Factory Costs'!$A:$A,"Motor",'Factory Costs'!$B:$B,B2569))</f>
        <v>62</v>
      </c>
    </row>
    <row r="2570" spans="1:3" x14ac:dyDescent="0.25">
      <c r="A2570" s="1" t="s">
        <v>14262</v>
      </c>
      <c r="B2570" s="1" t="s">
        <v>16375</v>
      </c>
      <c r="C2570" s="3">
        <f>IF(B2570="","",SUMIFS('Factory Costs'!$C:$C,'Factory Costs'!$A:$A,"Motor",'Factory Costs'!$B:$B,B2570))</f>
        <v>72</v>
      </c>
    </row>
    <row r="2571" spans="1:3" x14ac:dyDescent="0.25">
      <c r="A2571" s="1" t="s">
        <v>14265</v>
      </c>
      <c r="B2571" s="1" t="s">
        <v>16375</v>
      </c>
      <c r="C2571" s="3">
        <f>IF(B2571="","",SUMIFS('Factory Costs'!$C:$C,'Factory Costs'!$A:$A,"Motor",'Factory Costs'!$B:$B,B2571))</f>
        <v>72</v>
      </c>
    </row>
    <row r="2572" spans="1:3" x14ac:dyDescent="0.25">
      <c r="A2572" s="1" t="s">
        <v>14268</v>
      </c>
      <c r="B2572" s="1" t="s">
        <v>16374</v>
      </c>
      <c r="C2572" s="3">
        <f>IF(B2572="","",SUMIFS('Factory Costs'!$C:$C,'Factory Costs'!$A:$A,"Motor",'Factory Costs'!$B:$B,B2572))</f>
        <v>62</v>
      </c>
    </row>
    <row r="2573" spans="1:3" x14ac:dyDescent="0.25">
      <c r="A2573" s="1" t="s">
        <v>14271</v>
      </c>
      <c r="B2573" s="1" t="s">
        <v>16375</v>
      </c>
      <c r="C2573" s="3">
        <f>IF(B2573="","",SUMIFS('Factory Costs'!$C:$C,'Factory Costs'!$A:$A,"Motor",'Factory Costs'!$B:$B,B2573))</f>
        <v>72</v>
      </c>
    </row>
    <row r="2574" spans="1:3" x14ac:dyDescent="0.25">
      <c r="A2574" s="1" t="s">
        <v>14274</v>
      </c>
      <c r="B2574" s="1" t="s">
        <v>16374</v>
      </c>
      <c r="C2574" s="3">
        <f>IF(B2574="","",SUMIFS('Factory Costs'!$C:$C,'Factory Costs'!$A:$A,"Motor",'Factory Costs'!$B:$B,B2574))</f>
        <v>62</v>
      </c>
    </row>
    <row r="2575" spans="1:3" x14ac:dyDescent="0.25">
      <c r="A2575" s="1" t="s">
        <v>14277</v>
      </c>
      <c r="B2575" s="1" t="s">
        <v>16374</v>
      </c>
      <c r="C2575" s="3">
        <f>IF(B2575="","",SUMIFS('Factory Costs'!$C:$C,'Factory Costs'!$A:$A,"Motor",'Factory Costs'!$B:$B,B2575))</f>
        <v>62</v>
      </c>
    </row>
    <row r="2576" spans="1:3" x14ac:dyDescent="0.25">
      <c r="A2576" s="1" t="s">
        <v>14280</v>
      </c>
      <c r="B2576" s="1" t="s">
        <v>16374</v>
      </c>
      <c r="C2576" s="3">
        <f>IF(B2576="","",SUMIFS('Factory Costs'!$C:$C,'Factory Costs'!$A:$A,"Motor",'Factory Costs'!$B:$B,B2576))</f>
        <v>62</v>
      </c>
    </row>
    <row r="2577" spans="1:3" x14ac:dyDescent="0.25">
      <c r="A2577" s="1" t="s">
        <v>14283</v>
      </c>
      <c r="B2577" s="1" t="s">
        <v>16375</v>
      </c>
      <c r="C2577" s="3">
        <f>IF(B2577="","",SUMIFS('Factory Costs'!$C:$C,'Factory Costs'!$A:$A,"Motor",'Factory Costs'!$B:$B,B2577))</f>
        <v>72</v>
      </c>
    </row>
    <row r="2578" spans="1:3" x14ac:dyDescent="0.25">
      <c r="A2578" s="1" t="s">
        <v>14286</v>
      </c>
      <c r="B2578" s="1" t="s">
        <v>16375</v>
      </c>
      <c r="C2578" s="3">
        <f>IF(B2578="","",SUMIFS('Factory Costs'!$C:$C,'Factory Costs'!$A:$A,"Motor",'Factory Costs'!$B:$B,B2578))</f>
        <v>72</v>
      </c>
    </row>
    <row r="2579" spans="1:3" x14ac:dyDescent="0.25">
      <c r="A2579" s="1" t="s">
        <v>14289</v>
      </c>
      <c r="B2579" s="1" t="s">
        <v>16374</v>
      </c>
      <c r="C2579" s="3">
        <f>IF(B2579="","",SUMIFS('Factory Costs'!$C:$C,'Factory Costs'!$A:$A,"Motor",'Factory Costs'!$B:$B,B2579))</f>
        <v>62</v>
      </c>
    </row>
    <row r="2580" spans="1:3" x14ac:dyDescent="0.25">
      <c r="A2580" s="1" t="s">
        <v>14292</v>
      </c>
      <c r="B2580" s="1" t="s">
        <v>16374</v>
      </c>
      <c r="C2580" s="3">
        <f>IF(B2580="","",SUMIFS('Factory Costs'!$C:$C,'Factory Costs'!$A:$A,"Motor",'Factory Costs'!$B:$B,B2580))</f>
        <v>62</v>
      </c>
    </row>
    <row r="2581" spans="1:3" x14ac:dyDescent="0.25">
      <c r="A2581" s="1" t="s">
        <v>14295</v>
      </c>
      <c r="B2581" s="1" t="s">
        <v>16374</v>
      </c>
      <c r="C2581" s="3">
        <f>IF(B2581="","",SUMIFS('Factory Costs'!$C:$C,'Factory Costs'!$A:$A,"Motor",'Factory Costs'!$B:$B,B2581))</f>
        <v>62</v>
      </c>
    </row>
    <row r="2582" spans="1:3" x14ac:dyDescent="0.25">
      <c r="A2582" s="1" t="s">
        <v>14298</v>
      </c>
      <c r="B2582" s="1" t="s">
        <v>16374</v>
      </c>
      <c r="C2582" s="3">
        <f>IF(B2582="","",SUMIFS('Factory Costs'!$C:$C,'Factory Costs'!$A:$A,"Motor",'Factory Costs'!$B:$B,B2582))</f>
        <v>62</v>
      </c>
    </row>
    <row r="2583" spans="1:3" x14ac:dyDescent="0.25">
      <c r="A2583" s="1" t="s">
        <v>14301</v>
      </c>
      <c r="B2583" s="1" t="s">
        <v>16375</v>
      </c>
      <c r="C2583" s="3">
        <f>IF(B2583="","",SUMIFS('Factory Costs'!$C:$C,'Factory Costs'!$A:$A,"Motor",'Factory Costs'!$B:$B,B2583))</f>
        <v>72</v>
      </c>
    </row>
    <row r="2584" spans="1:3" x14ac:dyDescent="0.25">
      <c r="A2584" s="1" t="s">
        <v>14304</v>
      </c>
      <c r="B2584" s="1" t="s">
        <v>16375</v>
      </c>
      <c r="C2584" s="3">
        <f>IF(B2584="","",SUMIFS('Factory Costs'!$C:$C,'Factory Costs'!$A:$A,"Motor",'Factory Costs'!$B:$B,B2584))</f>
        <v>72</v>
      </c>
    </row>
    <row r="2585" spans="1:3" x14ac:dyDescent="0.25">
      <c r="A2585" s="1" t="s">
        <v>14307</v>
      </c>
      <c r="B2585" s="1" t="s">
        <v>16375</v>
      </c>
      <c r="C2585" s="3">
        <f>IF(B2585="","",SUMIFS('Factory Costs'!$C:$C,'Factory Costs'!$A:$A,"Motor",'Factory Costs'!$B:$B,B2585))</f>
        <v>72</v>
      </c>
    </row>
    <row r="2586" spans="1:3" x14ac:dyDescent="0.25">
      <c r="A2586" s="1" t="s">
        <v>14310</v>
      </c>
      <c r="B2586" s="1" t="s">
        <v>16375</v>
      </c>
      <c r="C2586" s="3">
        <f>IF(B2586="","",SUMIFS('Factory Costs'!$C:$C,'Factory Costs'!$A:$A,"Motor",'Factory Costs'!$B:$B,B2586))</f>
        <v>72</v>
      </c>
    </row>
    <row r="2587" spans="1:3" x14ac:dyDescent="0.25">
      <c r="A2587" s="1" t="s">
        <v>14313</v>
      </c>
      <c r="B2587" s="1" t="s">
        <v>16375</v>
      </c>
      <c r="C2587" s="3">
        <f>IF(B2587="","",SUMIFS('Factory Costs'!$C:$C,'Factory Costs'!$A:$A,"Motor",'Factory Costs'!$B:$B,B2587))</f>
        <v>72</v>
      </c>
    </row>
    <row r="2588" spans="1:3" x14ac:dyDescent="0.25">
      <c r="A2588" s="1" t="s">
        <v>14316</v>
      </c>
      <c r="B2588" s="1" t="s">
        <v>16375</v>
      </c>
      <c r="C2588" s="3">
        <f>IF(B2588="","",SUMIFS('Factory Costs'!$C:$C,'Factory Costs'!$A:$A,"Motor",'Factory Costs'!$B:$B,B2588))</f>
        <v>72</v>
      </c>
    </row>
    <row r="2589" spans="1:3" x14ac:dyDescent="0.25">
      <c r="A2589" s="1" t="s">
        <v>14319</v>
      </c>
      <c r="B2589" s="1" t="s">
        <v>16374</v>
      </c>
      <c r="C2589" s="3">
        <f>IF(B2589="","",SUMIFS('Factory Costs'!$C:$C,'Factory Costs'!$A:$A,"Motor",'Factory Costs'!$B:$B,B2589))</f>
        <v>62</v>
      </c>
    </row>
    <row r="2590" spans="1:3" x14ac:dyDescent="0.25">
      <c r="A2590" s="1" t="s">
        <v>14322</v>
      </c>
      <c r="B2590" s="1" t="s">
        <v>16374</v>
      </c>
      <c r="C2590" s="3">
        <f>IF(B2590="","",SUMIFS('Factory Costs'!$C:$C,'Factory Costs'!$A:$A,"Motor",'Factory Costs'!$B:$B,B2590))</f>
        <v>62</v>
      </c>
    </row>
    <row r="2591" spans="1:3" x14ac:dyDescent="0.25">
      <c r="A2591" s="1" t="s">
        <v>14325</v>
      </c>
      <c r="B2591" s="1" t="s">
        <v>16374</v>
      </c>
      <c r="C2591" s="3">
        <f>IF(B2591="","",SUMIFS('Factory Costs'!$C:$C,'Factory Costs'!$A:$A,"Motor",'Factory Costs'!$B:$B,B2591))</f>
        <v>62</v>
      </c>
    </row>
    <row r="2592" spans="1:3" x14ac:dyDescent="0.25">
      <c r="A2592" s="1" t="s">
        <v>14328</v>
      </c>
      <c r="B2592" s="1" t="s">
        <v>16374</v>
      </c>
      <c r="C2592" s="3">
        <f>IF(B2592="","",SUMIFS('Factory Costs'!$C:$C,'Factory Costs'!$A:$A,"Motor",'Factory Costs'!$B:$B,B2592))</f>
        <v>62</v>
      </c>
    </row>
    <row r="2593" spans="1:3" x14ac:dyDescent="0.25">
      <c r="A2593" s="1" t="s">
        <v>14331</v>
      </c>
      <c r="B2593" s="1" t="s">
        <v>16375</v>
      </c>
      <c r="C2593" s="3">
        <f>IF(B2593="","",SUMIFS('Factory Costs'!$C:$C,'Factory Costs'!$A:$A,"Motor",'Factory Costs'!$B:$B,B2593))</f>
        <v>72</v>
      </c>
    </row>
    <row r="2594" spans="1:3" x14ac:dyDescent="0.25">
      <c r="A2594" s="1" t="s">
        <v>14334</v>
      </c>
      <c r="B2594" s="1" t="s">
        <v>16374</v>
      </c>
      <c r="C2594" s="3">
        <f>IF(B2594="","",SUMIFS('Factory Costs'!$C:$C,'Factory Costs'!$A:$A,"Motor",'Factory Costs'!$B:$B,B2594))</f>
        <v>62</v>
      </c>
    </row>
    <row r="2595" spans="1:3" x14ac:dyDescent="0.25">
      <c r="A2595" s="1" t="s">
        <v>14337</v>
      </c>
      <c r="B2595" s="1" t="s">
        <v>16374</v>
      </c>
      <c r="C2595" s="3">
        <f>IF(B2595="","",SUMIFS('Factory Costs'!$C:$C,'Factory Costs'!$A:$A,"Motor",'Factory Costs'!$B:$B,B2595))</f>
        <v>62</v>
      </c>
    </row>
    <row r="2596" spans="1:3" x14ac:dyDescent="0.25">
      <c r="A2596" s="1" t="s">
        <v>14340</v>
      </c>
      <c r="B2596" s="1" t="s">
        <v>16374</v>
      </c>
      <c r="C2596" s="3">
        <f>IF(B2596="","",SUMIFS('Factory Costs'!$C:$C,'Factory Costs'!$A:$A,"Motor",'Factory Costs'!$B:$B,B2596))</f>
        <v>62</v>
      </c>
    </row>
    <row r="2597" spans="1:3" x14ac:dyDescent="0.25">
      <c r="A2597" s="1" t="s">
        <v>14343</v>
      </c>
      <c r="B2597" s="1" t="s">
        <v>16375</v>
      </c>
      <c r="C2597" s="3">
        <f>IF(B2597="","",SUMIFS('Factory Costs'!$C:$C,'Factory Costs'!$A:$A,"Motor",'Factory Costs'!$B:$B,B2597))</f>
        <v>72</v>
      </c>
    </row>
    <row r="2598" spans="1:3" x14ac:dyDescent="0.25">
      <c r="A2598" s="1" t="s">
        <v>14346</v>
      </c>
      <c r="B2598" s="1" t="s">
        <v>16374</v>
      </c>
      <c r="C2598" s="3">
        <f>IF(B2598="","",SUMIFS('Factory Costs'!$C:$C,'Factory Costs'!$A:$A,"Motor",'Factory Costs'!$B:$B,B2598))</f>
        <v>62</v>
      </c>
    </row>
    <row r="2599" spans="1:3" x14ac:dyDescent="0.25">
      <c r="A2599" s="1" t="s">
        <v>14349</v>
      </c>
      <c r="B2599" s="1" t="s">
        <v>16374</v>
      </c>
      <c r="C2599" s="3">
        <f>IF(B2599="","",SUMIFS('Factory Costs'!$C:$C,'Factory Costs'!$A:$A,"Motor",'Factory Costs'!$B:$B,B2599))</f>
        <v>62</v>
      </c>
    </row>
    <row r="2600" spans="1:3" x14ac:dyDescent="0.25">
      <c r="A2600" s="1" t="s">
        <v>14352</v>
      </c>
      <c r="B2600" s="1" t="s">
        <v>16375</v>
      </c>
      <c r="C2600" s="3">
        <f>IF(B2600="","",SUMIFS('Factory Costs'!$C:$C,'Factory Costs'!$A:$A,"Motor",'Factory Costs'!$B:$B,B2600))</f>
        <v>72</v>
      </c>
    </row>
    <row r="2601" spans="1:3" x14ac:dyDescent="0.25">
      <c r="A2601" s="1" t="s">
        <v>14355</v>
      </c>
      <c r="B2601" s="1" t="s">
        <v>16375</v>
      </c>
      <c r="C2601" s="3">
        <f>IF(B2601="","",SUMIFS('Factory Costs'!$C:$C,'Factory Costs'!$A:$A,"Motor",'Factory Costs'!$B:$B,B2601))</f>
        <v>72</v>
      </c>
    </row>
    <row r="2602" spans="1:3" x14ac:dyDescent="0.25">
      <c r="A2602" s="1" t="s">
        <v>14358</v>
      </c>
      <c r="B2602" s="1" t="s">
        <v>16374</v>
      </c>
      <c r="C2602" s="3">
        <f>IF(B2602="","",SUMIFS('Factory Costs'!$C:$C,'Factory Costs'!$A:$A,"Motor",'Factory Costs'!$B:$B,B2602))</f>
        <v>62</v>
      </c>
    </row>
    <row r="2603" spans="1:3" x14ac:dyDescent="0.25">
      <c r="A2603" s="1" t="s">
        <v>14361</v>
      </c>
      <c r="B2603" s="1" t="s">
        <v>16374</v>
      </c>
      <c r="C2603" s="3">
        <f>IF(B2603="","",SUMIFS('Factory Costs'!$C:$C,'Factory Costs'!$A:$A,"Motor",'Factory Costs'!$B:$B,B2603))</f>
        <v>62</v>
      </c>
    </row>
    <row r="2604" spans="1:3" x14ac:dyDescent="0.25">
      <c r="A2604" s="1" t="s">
        <v>14364</v>
      </c>
      <c r="B2604" s="1" t="s">
        <v>16374</v>
      </c>
      <c r="C2604" s="3">
        <f>IF(B2604="","",SUMIFS('Factory Costs'!$C:$C,'Factory Costs'!$A:$A,"Motor",'Factory Costs'!$B:$B,B2604))</f>
        <v>62</v>
      </c>
    </row>
    <row r="2605" spans="1:3" x14ac:dyDescent="0.25">
      <c r="A2605" s="1" t="s">
        <v>14367</v>
      </c>
      <c r="B2605" s="1" t="s">
        <v>16375</v>
      </c>
      <c r="C2605" s="3">
        <f>IF(B2605="","",SUMIFS('Factory Costs'!$C:$C,'Factory Costs'!$A:$A,"Motor",'Factory Costs'!$B:$B,B2605))</f>
        <v>72</v>
      </c>
    </row>
    <row r="2606" spans="1:3" x14ac:dyDescent="0.25">
      <c r="A2606" s="1" t="s">
        <v>14370</v>
      </c>
      <c r="B2606" s="1" t="s">
        <v>16375</v>
      </c>
      <c r="C2606" s="3">
        <f>IF(B2606="","",SUMIFS('Factory Costs'!$C:$C,'Factory Costs'!$A:$A,"Motor",'Factory Costs'!$B:$B,B2606))</f>
        <v>72</v>
      </c>
    </row>
    <row r="2607" spans="1:3" x14ac:dyDescent="0.25">
      <c r="A2607" s="1" t="s">
        <v>14373</v>
      </c>
      <c r="B2607" s="1" t="s">
        <v>16374</v>
      </c>
      <c r="C2607" s="3">
        <f>IF(B2607="","",SUMIFS('Factory Costs'!$C:$C,'Factory Costs'!$A:$A,"Motor",'Factory Costs'!$B:$B,B2607))</f>
        <v>62</v>
      </c>
    </row>
    <row r="2608" spans="1:3" x14ac:dyDescent="0.25">
      <c r="A2608" s="1" t="s">
        <v>14376</v>
      </c>
      <c r="B2608" s="1" t="s">
        <v>16374</v>
      </c>
      <c r="C2608" s="3">
        <f>IF(B2608="","",SUMIFS('Factory Costs'!$C:$C,'Factory Costs'!$A:$A,"Motor",'Factory Costs'!$B:$B,B2608))</f>
        <v>62</v>
      </c>
    </row>
    <row r="2609" spans="1:3" x14ac:dyDescent="0.25">
      <c r="A2609" s="1" t="s">
        <v>14379</v>
      </c>
      <c r="B2609" s="1" t="s">
        <v>16375</v>
      </c>
      <c r="C2609" s="3">
        <f>IF(B2609="","",SUMIFS('Factory Costs'!$C:$C,'Factory Costs'!$A:$A,"Motor",'Factory Costs'!$B:$B,B2609))</f>
        <v>72</v>
      </c>
    </row>
    <row r="2610" spans="1:3" x14ac:dyDescent="0.25">
      <c r="A2610" s="1" t="s">
        <v>14382</v>
      </c>
      <c r="B2610" s="1" t="s">
        <v>16374</v>
      </c>
      <c r="C2610" s="3">
        <f>IF(B2610="","",SUMIFS('Factory Costs'!$C:$C,'Factory Costs'!$A:$A,"Motor",'Factory Costs'!$B:$B,B2610))</f>
        <v>62</v>
      </c>
    </row>
    <row r="2611" spans="1:3" x14ac:dyDescent="0.25">
      <c r="A2611" s="1" t="s">
        <v>14385</v>
      </c>
      <c r="B2611" s="1" t="s">
        <v>16375</v>
      </c>
      <c r="C2611" s="3">
        <f>IF(B2611="","",SUMIFS('Factory Costs'!$C:$C,'Factory Costs'!$A:$A,"Motor",'Factory Costs'!$B:$B,B2611))</f>
        <v>72</v>
      </c>
    </row>
    <row r="2612" spans="1:3" x14ac:dyDescent="0.25">
      <c r="A2612" s="1" t="s">
        <v>14388</v>
      </c>
      <c r="B2612" s="1" t="s">
        <v>16374</v>
      </c>
      <c r="C2612" s="3">
        <f>IF(B2612="","",SUMIFS('Factory Costs'!$C:$C,'Factory Costs'!$A:$A,"Motor",'Factory Costs'!$B:$B,B2612))</f>
        <v>62</v>
      </c>
    </row>
    <row r="2613" spans="1:3" x14ac:dyDescent="0.25">
      <c r="A2613" s="1" t="s">
        <v>14391</v>
      </c>
      <c r="B2613" s="1" t="s">
        <v>16374</v>
      </c>
      <c r="C2613" s="3">
        <f>IF(B2613="","",SUMIFS('Factory Costs'!$C:$C,'Factory Costs'!$A:$A,"Motor",'Factory Costs'!$B:$B,B2613))</f>
        <v>62</v>
      </c>
    </row>
    <row r="2614" spans="1:3" x14ac:dyDescent="0.25">
      <c r="A2614" s="1" t="s">
        <v>14394</v>
      </c>
      <c r="B2614" s="1" t="s">
        <v>16374</v>
      </c>
      <c r="C2614" s="3">
        <f>IF(B2614="","",SUMIFS('Factory Costs'!$C:$C,'Factory Costs'!$A:$A,"Motor",'Factory Costs'!$B:$B,B2614))</f>
        <v>62</v>
      </c>
    </row>
    <row r="2615" spans="1:3" x14ac:dyDescent="0.25">
      <c r="A2615" s="1" t="s">
        <v>14397</v>
      </c>
      <c r="B2615" s="1" t="s">
        <v>16375</v>
      </c>
      <c r="C2615" s="3">
        <f>IF(B2615="","",SUMIFS('Factory Costs'!$C:$C,'Factory Costs'!$A:$A,"Motor",'Factory Costs'!$B:$B,B2615))</f>
        <v>72</v>
      </c>
    </row>
    <row r="2616" spans="1:3" x14ac:dyDescent="0.25">
      <c r="A2616" s="1" t="s">
        <v>14400</v>
      </c>
      <c r="B2616" s="1" t="s">
        <v>16374</v>
      </c>
      <c r="C2616" s="3">
        <f>IF(B2616="","",SUMIFS('Factory Costs'!$C:$C,'Factory Costs'!$A:$A,"Motor",'Factory Costs'!$B:$B,B2616))</f>
        <v>62</v>
      </c>
    </row>
    <row r="2617" spans="1:3" x14ac:dyDescent="0.25">
      <c r="A2617" s="1" t="s">
        <v>14403</v>
      </c>
      <c r="B2617" s="1" t="s">
        <v>16375</v>
      </c>
      <c r="C2617" s="3">
        <f>IF(B2617="","",SUMIFS('Factory Costs'!$C:$C,'Factory Costs'!$A:$A,"Motor",'Factory Costs'!$B:$B,B2617))</f>
        <v>72</v>
      </c>
    </row>
    <row r="2618" spans="1:3" x14ac:dyDescent="0.25">
      <c r="A2618" s="1" t="s">
        <v>14406</v>
      </c>
      <c r="B2618" s="1" t="s">
        <v>16375</v>
      </c>
      <c r="C2618" s="3">
        <f>IF(B2618="","",SUMIFS('Factory Costs'!$C:$C,'Factory Costs'!$A:$A,"Motor",'Factory Costs'!$B:$B,B2618))</f>
        <v>72</v>
      </c>
    </row>
    <row r="2619" spans="1:3" x14ac:dyDescent="0.25">
      <c r="A2619" s="1" t="s">
        <v>14409</v>
      </c>
      <c r="B2619" s="1" t="s">
        <v>16374</v>
      </c>
      <c r="C2619" s="3">
        <f>IF(B2619="","",SUMIFS('Factory Costs'!$C:$C,'Factory Costs'!$A:$A,"Motor",'Factory Costs'!$B:$B,B2619))</f>
        <v>62</v>
      </c>
    </row>
    <row r="2620" spans="1:3" x14ac:dyDescent="0.25">
      <c r="A2620" s="1" t="s">
        <v>14412</v>
      </c>
      <c r="B2620" s="1" t="s">
        <v>16375</v>
      </c>
      <c r="C2620" s="3">
        <f>IF(B2620="","",SUMIFS('Factory Costs'!$C:$C,'Factory Costs'!$A:$A,"Motor",'Factory Costs'!$B:$B,B2620))</f>
        <v>72</v>
      </c>
    </row>
    <row r="2621" spans="1:3" x14ac:dyDescent="0.25">
      <c r="A2621" s="1" t="s">
        <v>14415</v>
      </c>
      <c r="B2621" s="1" t="s">
        <v>16375</v>
      </c>
      <c r="C2621" s="3">
        <f>IF(B2621="","",SUMIFS('Factory Costs'!$C:$C,'Factory Costs'!$A:$A,"Motor",'Factory Costs'!$B:$B,B2621))</f>
        <v>72</v>
      </c>
    </row>
    <row r="2622" spans="1:3" x14ac:dyDescent="0.25">
      <c r="A2622" s="1" t="s">
        <v>14418</v>
      </c>
      <c r="B2622" s="1" t="s">
        <v>16375</v>
      </c>
      <c r="C2622" s="3">
        <f>IF(B2622="","",SUMIFS('Factory Costs'!$C:$C,'Factory Costs'!$A:$A,"Motor",'Factory Costs'!$B:$B,B2622))</f>
        <v>72</v>
      </c>
    </row>
    <row r="2623" spans="1:3" x14ac:dyDescent="0.25">
      <c r="A2623" s="1" t="s">
        <v>14421</v>
      </c>
      <c r="B2623" s="1" t="s">
        <v>16374</v>
      </c>
      <c r="C2623" s="3">
        <f>IF(B2623="","",SUMIFS('Factory Costs'!$C:$C,'Factory Costs'!$A:$A,"Motor",'Factory Costs'!$B:$B,B2623))</f>
        <v>62</v>
      </c>
    </row>
    <row r="2624" spans="1:3" x14ac:dyDescent="0.25">
      <c r="A2624" s="1" t="s">
        <v>14424</v>
      </c>
      <c r="B2624" s="1" t="s">
        <v>16374</v>
      </c>
      <c r="C2624" s="3">
        <f>IF(B2624="","",SUMIFS('Factory Costs'!$C:$C,'Factory Costs'!$A:$A,"Motor",'Factory Costs'!$B:$B,B2624))</f>
        <v>62</v>
      </c>
    </row>
    <row r="2625" spans="1:3" x14ac:dyDescent="0.25">
      <c r="A2625" s="1" t="s">
        <v>14427</v>
      </c>
      <c r="B2625" s="1" t="s">
        <v>16374</v>
      </c>
      <c r="C2625" s="3">
        <f>IF(B2625="","",SUMIFS('Factory Costs'!$C:$C,'Factory Costs'!$A:$A,"Motor",'Factory Costs'!$B:$B,B2625))</f>
        <v>62</v>
      </c>
    </row>
    <row r="2626" spans="1:3" x14ac:dyDescent="0.25">
      <c r="A2626" s="1" t="s">
        <v>14430</v>
      </c>
      <c r="B2626" s="1" t="s">
        <v>16375</v>
      </c>
      <c r="C2626" s="3">
        <f>IF(B2626="","",SUMIFS('Factory Costs'!$C:$C,'Factory Costs'!$A:$A,"Motor",'Factory Costs'!$B:$B,B2626))</f>
        <v>72</v>
      </c>
    </row>
    <row r="2627" spans="1:3" x14ac:dyDescent="0.25">
      <c r="A2627" s="1" t="s">
        <v>14433</v>
      </c>
      <c r="B2627" s="1" t="s">
        <v>16374</v>
      </c>
      <c r="C2627" s="3">
        <f>IF(B2627="","",SUMIFS('Factory Costs'!$C:$C,'Factory Costs'!$A:$A,"Motor",'Factory Costs'!$B:$B,B2627))</f>
        <v>62</v>
      </c>
    </row>
    <row r="2628" spans="1:3" x14ac:dyDescent="0.25">
      <c r="A2628" s="1" t="s">
        <v>14436</v>
      </c>
      <c r="B2628" s="1" t="s">
        <v>16374</v>
      </c>
      <c r="C2628" s="3">
        <f>IF(B2628="","",SUMIFS('Factory Costs'!$C:$C,'Factory Costs'!$A:$A,"Motor",'Factory Costs'!$B:$B,B2628))</f>
        <v>62</v>
      </c>
    </row>
    <row r="2629" spans="1:3" x14ac:dyDescent="0.25">
      <c r="A2629" s="1" t="s">
        <v>14439</v>
      </c>
      <c r="B2629" s="1" t="s">
        <v>16375</v>
      </c>
      <c r="C2629" s="3">
        <f>IF(B2629="","",SUMIFS('Factory Costs'!$C:$C,'Factory Costs'!$A:$A,"Motor",'Factory Costs'!$B:$B,B2629))</f>
        <v>72</v>
      </c>
    </row>
    <row r="2630" spans="1:3" x14ac:dyDescent="0.25">
      <c r="A2630" s="1" t="s">
        <v>14442</v>
      </c>
      <c r="B2630" s="1" t="s">
        <v>16374</v>
      </c>
      <c r="C2630" s="3">
        <f>IF(B2630="","",SUMIFS('Factory Costs'!$C:$C,'Factory Costs'!$A:$A,"Motor",'Factory Costs'!$B:$B,B2630))</f>
        <v>62</v>
      </c>
    </row>
    <row r="2631" spans="1:3" x14ac:dyDescent="0.25">
      <c r="A2631" s="1" t="s">
        <v>14445</v>
      </c>
      <c r="B2631" s="1" t="s">
        <v>16375</v>
      </c>
      <c r="C2631" s="3">
        <f>IF(B2631="","",SUMIFS('Factory Costs'!$C:$C,'Factory Costs'!$A:$A,"Motor",'Factory Costs'!$B:$B,B2631))</f>
        <v>72</v>
      </c>
    </row>
    <row r="2632" spans="1:3" x14ac:dyDescent="0.25">
      <c r="A2632" s="1" t="s">
        <v>14448</v>
      </c>
      <c r="B2632" s="1" t="s">
        <v>16374</v>
      </c>
      <c r="C2632" s="3">
        <f>IF(B2632="","",SUMIFS('Factory Costs'!$C:$C,'Factory Costs'!$A:$A,"Motor",'Factory Costs'!$B:$B,B2632))</f>
        <v>62</v>
      </c>
    </row>
    <row r="2633" spans="1:3" x14ac:dyDescent="0.25">
      <c r="A2633" s="1" t="s">
        <v>14451</v>
      </c>
      <c r="B2633" s="1" t="s">
        <v>16374</v>
      </c>
      <c r="C2633" s="3">
        <f>IF(B2633="","",SUMIFS('Factory Costs'!$C:$C,'Factory Costs'!$A:$A,"Motor",'Factory Costs'!$B:$B,B2633))</f>
        <v>62</v>
      </c>
    </row>
    <row r="2634" spans="1:3" x14ac:dyDescent="0.25">
      <c r="A2634" s="1" t="s">
        <v>14454</v>
      </c>
      <c r="B2634" s="1" t="s">
        <v>16374</v>
      </c>
      <c r="C2634" s="3">
        <f>IF(B2634="","",SUMIFS('Factory Costs'!$C:$C,'Factory Costs'!$A:$A,"Motor",'Factory Costs'!$B:$B,B2634))</f>
        <v>62</v>
      </c>
    </row>
    <row r="2635" spans="1:3" x14ac:dyDescent="0.25">
      <c r="A2635" s="1" t="s">
        <v>14457</v>
      </c>
      <c r="B2635" s="1" t="s">
        <v>16374</v>
      </c>
      <c r="C2635" s="3">
        <f>IF(B2635="","",SUMIFS('Factory Costs'!$C:$C,'Factory Costs'!$A:$A,"Motor",'Factory Costs'!$B:$B,B2635))</f>
        <v>62</v>
      </c>
    </row>
    <row r="2636" spans="1:3" x14ac:dyDescent="0.25">
      <c r="A2636" s="1" t="s">
        <v>14460</v>
      </c>
      <c r="B2636" s="1" t="s">
        <v>16375</v>
      </c>
      <c r="C2636" s="3">
        <f>IF(B2636="","",SUMIFS('Factory Costs'!$C:$C,'Factory Costs'!$A:$A,"Motor",'Factory Costs'!$B:$B,B2636))</f>
        <v>72</v>
      </c>
    </row>
    <row r="2637" spans="1:3" x14ac:dyDescent="0.25">
      <c r="A2637" s="1" t="s">
        <v>14463</v>
      </c>
      <c r="B2637" s="1" t="s">
        <v>16374</v>
      </c>
      <c r="C2637" s="3">
        <f>IF(B2637="","",SUMIFS('Factory Costs'!$C:$C,'Factory Costs'!$A:$A,"Motor",'Factory Costs'!$B:$B,B2637))</f>
        <v>62</v>
      </c>
    </row>
    <row r="2638" spans="1:3" x14ac:dyDescent="0.25">
      <c r="A2638" s="1" t="s">
        <v>14466</v>
      </c>
      <c r="B2638" s="1" t="s">
        <v>16374</v>
      </c>
      <c r="C2638" s="3">
        <f>IF(B2638="","",SUMIFS('Factory Costs'!$C:$C,'Factory Costs'!$A:$A,"Motor",'Factory Costs'!$B:$B,B2638))</f>
        <v>62</v>
      </c>
    </row>
    <row r="2639" spans="1:3" x14ac:dyDescent="0.25">
      <c r="A2639" s="1" t="s">
        <v>14469</v>
      </c>
      <c r="B2639" s="1" t="s">
        <v>16374</v>
      </c>
      <c r="C2639" s="3">
        <f>IF(B2639="","",SUMIFS('Factory Costs'!$C:$C,'Factory Costs'!$A:$A,"Motor",'Factory Costs'!$B:$B,B2639))</f>
        <v>62</v>
      </c>
    </row>
    <row r="2640" spans="1:3" x14ac:dyDescent="0.25">
      <c r="A2640" s="1" t="s">
        <v>14472</v>
      </c>
      <c r="B2640" s="1" t="s">
        <v>16374</v>
      </c>
      <c r="C2640" s="3">
        <f>IF(B2640="","",SUMIFS('Factory Costs'!$C:$C,'Factory Costs'!$A:$A,"Motor",'Factory Costs'!$B:$B,B2640))</f>
        <v>62</v>
      </c>
    </row>
    <row r="2641" spans="1:3" x14ac:dyDescent="0.25">
      <c r="A2641" s="1" t="s">
        <v>14475</v>
      </c>
      <c r="B2641" s="1" t="s">
        <v>16375</v>
      </c>
      <c r="C2641" s="3">
        <f>IF(B2641="","",SUMIFS('Factory Costs'!$C:$C,'Factory Costs'!$A:$A,"Motor",'Factory Costs'!$B:$B,B2641))</f>
        <v>72</v>
      </c>
    </row>
    <row r="2642" spans="1:3" x14ac:dyDescent="0.25">
      <c r="A2642" s="1" t="s">
        <v>14478</v>
      </c>
      <c r="B2642" s="1" t="s">
        <v>16374</v>
      </c>
      <c r="C2642" s="3">
        <f>IF(B2642="","",SUMIFS('Factory Costs'!$C:$C,'Factory Costs'!$A:$A,"Motor",'Factory Costs'!$B:$B,B2642))</f>
        <v>62</v>
      </c>
    </row>
    <row r="2643" spans="1:3" x14ac:dyDescent="0.25">
      <c r="A2643" s="1" t="s">
        <v>14481</v>
      </c>
      <c r="B2643" s="1" t="s">
        <v>16375</v>
      </c>
      <c r="C2643" s="3">
        <f>IF(B2643="","",SUMIFS('Factory Costs'!$C:$C,'Factory Costs'!$A:$A,"Motor",'Factory Costs'!$B:$B,B2643))</f>
        <v>72</v>
      </c>
    </row>
    <row r="2644" spans="1:3" x14ac:dyDescent="0.25">
      <c r="A2644" s="1" t="s">
        <v>14484</v>
      </c>
      <c r="B2644" s="1" t="s">
        <v>16374</v>
      </c>
      <c r="C2644" s="3">
        <f>IF(B2644="","",SUMIFS('Factory Costs'!$C:$C,'Factory Costs'!$A:$A,"Motor",'Factory Costs'!$B:$B,B2644))</f>
        <v>62</v>
      </c>
    </row>
    <row r="2645" spans="1:3" x14ac:dyDescent="0.25">
      <c r="A2645" s="1" t="s">
        <v>14487</v>
      </c>
      <c r="B2645" s="1" t="s">
        <v>16374</v>
      </c>
      <c r="C2645" s="3">
        <f>IF(B2645="","",SUMIFS('Factory Costs'!$C:$C,'Factory Costs'!$A:$A,"Motor",'Factory Costs'!$B:$B,B2645))</f>
        <v>62</v>
      </c>
    </row>
    <row r="2646" spans="1:3" x14ac:dyDescent="0.25">
      <c r="A2646" s="1" t="s">
        <v>14490</v>
      </c>
      <c r="B2646" s="1" t="s">
        <v>16374</v>
      </c>
      <c r="C2646" s="3">
        <f>IF(B2646="","",SUMIFS('Factory Costs'!$C:$C,'Factory Costs'!$A:$A,"Motor",'Factory Costs'!$B:$B,B2646))</f>
        <v>62</v>
      </c>
    </row>
    <row r="2647" spans="1:3" x14ac:dyDescent="0.25">
      <c r="A2647" s="1" t="s">
        <v>14493</v>
      </c>
      <c r="B2647" s="1" t="s">
        <v>16375</v>
      </c>
      <c r="C2647" s="3">
        <f>IF(B2647="","",SUMIFS('Factory Costs'!$C:$C,'Factory Costs'!$A:$A,"Motor",'Factory Costs'!$B:$B,B2647))</f>
        <v>72</v>
      </c>
    </row>
    <row r="2648" spans="1:3" x14ac:dyDescent="0.25">
      <c r="A2648" s="1" t="s">
        <v>14496</v>
      </c>
      <c r="B2648" s="1" t="s">
        <v>16374</v>
      </c>
      <c r="C2648" s="3">
        <f>IF(B2648="","",SUMIFS('Factory Costs'!$C:$C,'Factory Costs'!$A:$A,"Motor",'Factory Costs'!$B:$B,B2648))</f>
        <v>62</v>
      </c>
    </row>
    <row r="2649" spans="1:3" x14ac:dyDescent="0.25">
      <c r="A2649" s="1" t="s">
        <v>14499</v>
      </c>
      <c r="B2649" s="1" t="s">
        <v>16374</v>
      </c>
      <c r="C2649" s="3">
        <f>IF(B2649="","",SUMIFS('Factory Costs'!$C:$C,'Factory Costs'!$A:$A,"Motor",'Factory Costs'!$B:$B,B2649))</f>
        <v>62</v>
      </c>
    </row>
    <row r="2650" spans="1:3" x14ac:dyDescent="0.25">
      <c r="A2650" s="1" t="s">
        <v>14502</v>
      </c>
      <c r="B2650" s="1" t="s">
        <v>16374</v>
      </c>
      <c r="C2650" s="3">
        <f>IF(B2650="","",SUMIFS('Factory Costs'!$C:$C,'Factory Costs'!$A:$A,"Motor",'Factory Costs'!$B:$B,B2650))</f>
        <v>62</v>
      </c>
    </row>
    <row r="2651" spans="1:3" x14ac:dyDescent="0.25">
      <c r="A2651" s="1" t="s">
        <v>14505</v>
      </c>
      <c r="B2651" s="1" t="s">
        <v>16375</v>
      </c>
      <c r="C2651" s="3">
        <f>IF(B2651="","",SUMIFS('Factory Costs'!$C:$C,'Factory Costs'!$A:$A,"Motor",'Factory Costs'!$B:$B,B2651))</f>
        <v>72</v>
      </c>
    </row>
    <row r="2652" spans="1:3" x14ac:dyDescent="0.25">
      <c r="A2652" s="1" t="s">
        <v>14508</v>
      </c>
      <c r="B2652" s="1" t="s">
        <v>16374</v>
      </c>
      <c r="C2652" s="3">
        <f>IF(B2652="","",SUMIFS('Factory Costs'!$C:$C,'Factory Costs'!$A:$A,"Motor",'Factory Costs'!$B:$B,B2652))</f>
        <v>62</v>
      </c>
    </row>
    <row r="2653" spans="1:3" x14ac:dyDescent="0.25">
      <c r="A2653" s="1" t="s">
        <v>14511</v>
      </c>
      <c r="B2653" s="1" t="s">
        <v>16374</v>
      </c>
      <c r="C2653" s="3">
        <f>IF(B2653="","",SUMIFS('Factory Costs'!$C:$C,'Factory Costs'!$A:$A,"Motor",'Factory Costs'!$B:$B,B2653))</f>
        <v>62</v>
      </c>
    </row>
    <row r="2654" spans="1:3" x14ac:dyDescent="0.25">
      <c r="A2654" s="1" t="s">
        <v>14514</v>
      </c>
      <c r="B2654" s="1" t="s">
        <v>16374</v>
      </c>
      <c r="C2654" s="3">
        <f>IF(B2654="","",SUMIFS('Factory Costs'!$C:$C,'Factory Costs'!$A:$A,"Motor",'Factory Costs'!$B:$B,B2654))</f>
        <v>62</v>
      </c>
    </row>
    <row r="2655" spans="1:3" x14ac:dyDescent="0.25">
      <c r="A2655" s="1" t="s">
        <v>14517</v>
      </c>
      <c r="B2655" s="1" t="s">
        <v>16374</v>
      </c>
      <c r="C2655" s="3">
        <f>IF(B2655="","",SUMIFS('Factory Costs'!$C:$C,'Factory Costs'!$A:$A,"Motor",'Factory Costs'!$B:$B,B2655))</f>
        <v>62</v>
      </c>
    </row>
    <row r="2656" spans="1:3" x14ac:dyDescent="0.25">
      <c r="A2656" s="1" t="s">
        <v>14520</v>
      </c>
      <c r="B2656" s="1" t="s">
        <v>16374</v>
      </c>
      <c r="C2656" s="3">
        <f>IF(B2656="","",SUMIFS('Factory Costs'!$C:$C,'Factory Costs'!$A:$A,"Motor",'Factory Costs'!$B:$B,B2656))</f>
        <v>62</v>
      </c>
    </row>
    <row r="2657" spans="1:3" x14ac:dyDescent="0.25">
      <c r="A2657" s="1" t="s">
        <v>14523</v>
      </c>
      <c r="B2657" s="1" t="s">
        <v>16375</v>
      </c>
      <c r="C2657" s="3">
        <f>IF(B2657="","",SUMIFS('Factory Costs'!$C:$C,'Factory Costs'!$A:$A,"Motor",'Factory Costs'!$B:$B,B2657))</f>
        <v>72</v>
      </c>
    </row>
    <row r="2658" spans="1:3" x14ac:dyDescent="0.25">
      <c r="A2658" s="1" t="s">
        <v>14526</v>
      </c>
      <c r="B2658" s="1" t="s">
        <v>16375</v>
      </c>
      <c r="C2658" s="3">
        <f>IF(B2658="","",SUMIFS('Factory Costs'!$C:$C,'Factory Costs'!$A:$A,"Motor",'Factory Costs'!$B:$B,B2658))</f>
        <v>72</v>
      </c>
    </row>
    <row r="2659" spans="1:3" x14ac:dyDescent="0.25">
      <c r="A2659" s="1" t="s">
        <v>14529</v>
      </c>
      <c r="B2659" s="1" t="s">
        <v>16374</v>
      </c>
      <c r="C2659" s="3">
        <f>IF(B2659="","",SUMIFS('Factory Costs'!$C:$C,'Factory Costs'!$A:$A,"Motor",'Factory Costs'!$B:$B,B2659))</f>
        <v>62</v>
      </c>
    </row>
    <row r="2660" spans="1:3" x14ac:dyDescent="0.25">
      <c r="A2660" s="1" t="s">
        <v>14532</v>
      </c>
      <c r="B2660" s="1" t="s">
        <v>16374</v>
      </c>
      <c r="C2660" s="3">
        <f>IF(B2660="","",SUMIFS('Factory Costs'!$C:$C,'Factory Costs'!$A:$A,"Motor",'Factory Costs'!$B:$B,B2660))</f>
        <v>62</v>
      </c>
    </row>
    <row r="2661" spans="1:3" x14ac:dyDescent="0.25">
      <c r="A2661" s="1" t="s">
        <v>14535</v>
      </c>
      <c r="B2661" s="1" t="s">
        <v>16374</v>
      </c>
      <c r="C2661" s="3">
        <f>IF(B2661="","",SUMIFS('Factory Costs'!$C:$C,'Factory Costs'!$A:$A,"Motor",'Factory Costs'!$B:$B,B2661))</f>
        <v>62</v>
      </c>
    </row>
    <row r="2662" spans="1:3" x14ac:dyDescent="0.25">
      <c r="A2662" s="1" t="s">
        <v>14538</v>
      </c>
      <c r="B2662" s="1" t="s">
        <v>16375</v>
      </c>
      <c r="C2662" s="3">
        <f>IF(B2662="","",SUMIFS('Factory Costs'!$C:$C,'Factory Costs'!$A:$A,"Motor",'Factory Costs'!$B:$B,B2662))</f>
        <v>72</v>
      </c>
    </row>
    <row r="2663" spans="1:3" x14ac:dyDescent="0.25">
      <c r="A2663" s="1" t="s">
        <v>14541</v>
      </c>
      <c r="B2663" s="1" t="s">
        <v>16375</v>
      </c>
      <c r="C2663" s="3">
        <f>IF(B2663="","",SUMIFS('Factory Costs'!$C:$C,'Factory Costs'!$A:$A,"Motor",'Factory Costs'!$B:$B,B2663))</f>
        <v>72</v>
      </c>
    </row>
    <row r="2664" spans="1:3" x14ac:dyDescent="0.25">
      <c r="A2664" s="1" t="s">
        <v>14544</v>
      </c>
      <c r="B2664" s="1" t="s">
        <v>16375</v>
      </c>
      <c r="C2664" s="3">
        <f>IF(B2664="","",SUMIFS('Factory Costs'!$C:$C,'Factory Costs'!$A:$A,"Motor",'Factory Costs'!$B:$B,B2664))</f>
        <v>72</v>
      </c>
    </row>
    <row r="2665" spans="1:3" x14ac:dyDescent="0.25">
      <c r="A2665" s="1" t="s">
        <v>14547</v>
      </c>
      <c r="B2665" s="1" t="s">
        <v>16375</v>
      </c>
      <c r="C2665" s="3">
        <f>IF(B2665="","",SUMIFS('Factory Costs'!$C:$C,'Factory Costs'!$A:$A,"Motor",'Factory Costs'!$B:$B,B2665))</f>
        <v>72</v>
      </c>
    </row>
    <row r="2666" spans="1:3" x14ac:dyDescent="0.25">
      <c r="A2666" s="1" t="s">
        <v>14550</v>
      </c>
      <c r="B2666" s="1" t="s">
        <v>16374</v>
      </c>
      <c r="C2666" s="3">
        <f>IF(B2666="","",SUMIFS('Factory Costs'!$C:$C,'Factory Costs'!$A:$A,"Motor",'Factory Costs'!$B:$B,B2666))</f>
        <v>62</v>
      </c>
    </row>
    <row r="2667" spans="1:3" x14ac:dyDescent="0.25">
      <c r="A2667" s="1" t="s">
        <v>14553</v>
      </c>
      <c r="B2667" s="1" t="s">
        <v>16375</v>
      </c>
      <c r="C2667" s="3">
        <f>IF(B2667="","",SUMIFS('Factory Costs'!$C:$C,'Factory Costs'!$A:$A,"Motor",'Factory Costs'!$B:$B,B2667))</f>
        <v>72</v>
      </c>
    </row>
    <row r="2668" spans="1:3" x14ac:dyDescent="0.25">
      <c r="A2668" s="1" t="s">
        <v>14556</v>
      </c>
      <c r="B2668" s="1" t="s">
        <v>16374</v>
      </c>
      <c r="C2668" s="3">
        <f>IF(B2668="","",SUMIFS('Factory Costs'!$C:$C,'Factory Costs'!$A:$A,"Motor",'Factory Costs'!$B:$B,B2668))</f>
        <v>62</v>
      </c>
    </row>
    <row r="2669" spans="1:3" x14ac:dyDescent="0.25">
      <c r="A2669" s="1" t="s">
        <v>14559</v>
      </c>
      <c r="B2669" s="1" t="s">
        <v>16374</v>
      </c>
      <c r="C2669" s="3">
        <f>IF(B2669="","",SUMIFS('Factory Costs'!$C:$C,'Factory Costs'!$A:$A,"Motor",'Factory Costs'!$B:$B,B2669))</f>
        <v>62</v>
      </c>
    </row>
    <row r="2670" spans="1:3" x14ac:dyDescent="0.25">
      <c r="A2670" s="1" t="s">
        <v>14562</v>
      </c>
      <c r="B2670" s="1" t="s">
        <v>16375</v>
      </c>
      <c r="C2670" s="3">
        <f>IF(B2670="","",SUMIFS('Factory Costs'!$C:$C,'Factory Costs'!$A:$A,"Motor",'Factory Costs'!$B:$B,B2670))</f>
        <v>72</v>
      </c>
    </row>
    <row r="2671" spans="1:3" x14ac:dyDescent="0.25">
      <c r="A2671" s="1" t="s">
        <v>14565</v>
      </c>
      <c r="B2671" s="1" t="s">
        <v>16375</v>
      </c>
      <c r="C2671" s="3">
        <f>IF(B2671="","",SUMIFS('Factory Costs'!$C:$C,'Factory Costs'!$A:$A,"Motor",'Factory Costs'!$B:$B,B2671))</f>
        <v>72</v>
      </c>
    </row>
    <row r="2672" spans="1:3" x14ac:dyDescent="0.25">
      <c r="A2672" s="1" t="s">
        <v>14568</v>
      </c>
      <c r="B2672" s="1" t="s">
        <v>16374</v>
      </c>
      <c r="C2672" s="3">
        <f>IF(B2672="","",SUMIFS('Factory Costs'!$C:$C,'Factory Costs'!$A:$A,"Motor",'Factory Costs'!$B:$B,B2672))</f>
        <v>62</v>
      </c>
    </row>
    <row r="2673" spans="1:3" x14ac:dyDescent="0.25">
      <c r="A2673" s="1" t="s">
        <v>14571</v>
      </c>
      <c r="B2673" s="1" t="s">
        <v>16375</v>
      </c>
      <c r="C2673" s="3">
        <f>IF(B2673="","",SUMIFS('Factory Costs'!$C:$C,'Factory Costs'!$A:$A,"Motor",'Factory Costs'!$B:$B,B2673))</f>
        <v>72</v>
      </c>
    </row>
    <row r="2674" spans="1:3" x14ac:dyDescent="0.25">
      <c r="A2674" s="1" t="s">
        <v>14574</v>
      </c>
      <c r="B2674" s="1" t="s">
        <v>16375</v>
      </c>
      <c r="C2674" s="3">
        <f>IF(B2674="","",SUMIFS('Factory Costs'!$C:$C,'Factory Costs'!$A:$A,"Motor",'Factory Costs'!$B:$B,B2674))</f>
        <v>72</v>
      </c>
    </row>
    <row r="2675" spans="1:3" x14ac:dyDescent="0.25">
      <c r="A2675" s="1" t="s">
        <v>14577</v>
      </c>
      <c r="B2675" s="1" t="s">
        <v>16374</v>
      </c>
      <c r="C2675" s="3">
        <f>IF(B2675="","",SUMIFS('Factory Costs'!$C:$C,'Factory Costs'!$A:$A,"Motor",'Factory Costs'!$B:$B,B2675))</f>
        <v>62</v>
      </c>
    </row>
    <row r="2676" spans="1:3" x14ac:dyDescent="0.25">
      <c r="A2676" s="1" t="s">
        <v>14580</v>
      </c>
      <c r="B2676" s="1" t="s">
        <v>16374</v>
      </c>
      <c r="C2676" s="3">
        <f>IF(B2676="","",SUMIFS('Factory Costs'!$C:$C,'Factory Costs'!$A:$A,"Motor",'Factory Costs'!$B:$B,B2676))</f>
        <v>62</v>
      </c>
    </row>
    <row r="2677" spans="1:3" x14ac:dyDescent="0.25">
      <c r="A2677" s="1" t="s">
        <v>14583</v>
      </c>
      <c r="B2677" s="1" t="s">
        <v>16375</v>
      </c>
      <c r="C2677" s="3">
        <f>IF(B2677="","",SUMIFS('Factory Costs'!$C:$C,'Factory Costs'!$A:$A,"Motor",'Factory Costs'!$B:$B,B2677))</f>
        <v>72</v>
      </c>
    </row>
    <row r="2678" spans="1:3" x14ac:dyDescent="0.25">
      <c r="A2678" s="1" t="s">
        <v>14586</v>
      </c>
      <c r="B2678" s="1" t="s">
        <v>16375</v>
      </c>
      <c r="C2678" s="3">
        <f>IF(B2678="","",SUMIFS('Factory Costs'!$C:$C,'Factory Costs'!$A:$A,"Motor",'Factory Costs'!$B:$B,B2678))</f>
        <v>72</v>
      </c>
    </row>
    <row r="2679" spans="1:3" x14ac:dyDescent="0.25">
      <c r="A2679" s="1" t="s">
        <v>14589</v>
      </c>
      <c r="B2679" s="1" t="s">
        <v>16374</v>
      </c>
      <c r="C2679" s="3">
        <f>IF(B2679="","",SUMIFS('Factory Costs'!$C:$C,'Factory Costs'!$A:$A,"Motor",'Factory Costs'!$B:$B,B2679))</f>
        <v>62</v>
      </c>
    </row>
    <row r="2680" spans="1:3" x14ac:dyDescent="0.25">
      <c r="A2680" s="1" t="s">
        <v>14592</v>
      </c>
      <c r="B2680" s="1" t="s">
        <v>16375</v>
      </c>
      <c r="C2680" s="3">
        <f>IF(B2680="","",SUMIFS('Factory Costs'!$C:$C,'Factory Costs'!$A:$A,"Motor",'Factory Costs'!$B:$B,B2680))</f>
        <v>72</v>
      </c>
    </row>
    <row r="2681" spans="1:3" x14ac:dyDescent="0.25">
      <c r="A2681" s="1" t="s">
        <v>14595</v>
      </c>
      <c r="B2681" s="1" t="s">
        <v>16375</v>
      </c>
      <c r="C2681" s="3">
        <f>IF(B2681="","",SUMIFS('Factory Costs'!$C:$C,'Factory Costs'!$A:$A,"Motor",'Factory Costs'!$B:$B,B2681))</f>
        <v>72</v>
      </c>
    </row>
    <row r="2682" spans="1:3" x14ac:dyDescent="0.25">
      <c r="A2682" s="1" t="s">
        <v>14598</v>
      </c>
      <c r="B2682" s="1" t="s">
        <v>16375</v>
      </c>
      <c r="C2682" s="3">
        <f>IF(B2682="","",SUMIFS('Factory Costs'!$C:$C,'Factory Costs'!$A:$A,"Motor",'Factory Costs'!$B:$B,B2682))</f>
        <v>72</v>
      </c>
    </row>
    <row r="2683" spans="1:3" x14ac:dyDescent="0.25">
      <c r="A2683" s="1" t="s">
        <v>14601</v>
      </c>
      <c r="B2683" s="1" t="s">
        <v>16374</v>
      </c>
      <c r="C2683" s="3">
        <f>IF(B2683="","",SUMIFS('Factory Costs'!$C:$C,'Factory Costs'!$A:$A,"Motor",'Factory Costs'!$B:$B,B2683))</f>
        <v>62</v>
      </c>
    </row>
    <row r="2684" spans="1:3" x14ac:dyDescent="0.25">
      <c r="A2684" s="1" t="s">
        <v>14604</v>
      </c>
      <c r="B2684" s="1" t="s">
        <v>16374</v>
      </c>
      <c r="C2684" s="3">
        <f>IF(B2684="","",SUMIFS('Factory Costs'!$C:$C,'Factory Costs'!$A:$A,"Motor",'Factory Costs'!$B:$B,B2684))</f>
        <v>62</v>
      </c>
    </row>
    <row r="2685" spans="1:3" x14ac:dyDescent="0.25">
      <c r="A2685" s="1" t="s">
        <v>14607</v>
      </c>
      <c r="B2685" s="1" t="s">
        <v>16375</v>
      </c>
      <c r="C2685" s="3">
        <f>IF(B2685="","",SUMIFS('Factory Costs'!$C:$C,'Factory Costs'!$A:$A,"Motor",'Factory Costs'!$B:$B,B2685))</f>
        <v>72</v>
      </c>
    </row>
    <row r="2686" spans="1:3" x14ac:dyDescent="0.25">
      <c r="A2686" s="1" t="s">
        <v>14610</v>
      </c>
      <c r="B2686" s="1" t="s">
        <v>16375</v>
      </c>
      <c r="C2686" s="3">
        <f>IF(B2686="","",SUMIFS('Factory Costs'!$C:$C,'Factory Costs'!$A:$A,"Motor",'Factory Costs'!$B:$B,B2686))</f>
        <v>72</v>
      </c>
    </row>
    <row r="2687" spans="1:3" x14ac:dyDescent="0.25">
      <c r="A2687" s="1" t="s">
        <v>14613</v>
      </c>
      <c r="B2687" s="1" t="s">
        <v>16374</v>
      </c>
      <c r="C2687" s="3">
        <f>IF(B2687="","",SUMIFS('Factory Costs'!$C:$C,'Factory Costs'!$A:$A,"Motor",'Factory Costs'!$B:$B,B2687))</f>
        <v>62</v>
      </c>
    </row>
    <row r="2688" spans="1:3" x14ac:dyDescent="0.25">
      <c r="A2688" s="1" t="s">
        <v>14616</v>
      </c>
      <c r="B2688" s="1" t="s">
        <v>16375</v>
      </c>
      <c r="C2688" s="3">
        <f>IF(B2688="","",SUMIFS('Factory Costs'!$C:$C,'Factory Costs'!$A:$A,"Motor",'Factory Costs'!$B:$B,B2688))</f>
        <v>72</v>
      </c>
    </row>
    <row r="2689" spans="1:3" x14ac:dyDescent="0.25">
      <c r="A2689" s="1" t="s">
        <v>14619</v>
      </c>
      <c r="B2689" s="1" t="s">
        <v>16375</v>
      </c>
      <c r="C2689" s="3">
        <f>IF(B2689="","",SUMIFS('Factory Costs'!$C:$C,'Factory Costs'!$A:$A,"Motor",'Factory Costs'!$B:$B,B2689))</f>
        <v>72</v>
      </c>
    </row>
    <row r="2690" spans="1:3" x14ac:dyDescent="0.25">
      <c r="A2690" s="1" t="s">
        <v>14622</v>
      </c>
      <c r="B2690" s="1" t="s">
        <v>16374</v>
      </c>
      <c r="C2690" s="3">
        <f>IF(B2690="","",SUMIFS('Factory Costs'!$C:$C,'Factory Costs'!$A:$A,"Motor",'Factory Costs'!$B:$B,B2690))</f>
        <v>62</v>
      </c>
    </row>
    <row r="2691" spans="1:3" x14ac:dyDescent="0.25">
      <c r="A2691" s="1" t="s">
        <v>14625</v>
      </c>
      <c r="B2691" s="1" t="s">
        <v>16374</v>
      </c>
      <c r="C2691" s="3">
        <f>IF(B2691="","",SUMIFS('Factory Costs'!$C:$C,'Factory Costs'!$A:$A,"Motor",'Factory Costs'!$B:$B,B2691))</f>
        <v>62</v>
      </c>
    </row>
    <row r="2692" spans="1:3" x14ac:dyDescent="0.25">
      <c r="A2692" s="1" t="s">
        <v>14628</v>
      </c>
      <c r="B2692" s="1" t="s">
        <v>16374</v>
      </c>
      <c r="C2692" s="3">
        <f>IF(B2692="","",SUMIFS('Factory Costs'!$C:$C,'Factory Costs'!$A:$A,"Motor",'Factory Costs'!$B:$B,B2692))</f>
        <v>62</v>
      </c>
    </row>
    <row r="2693" spans="1:3" x14ac:dyDescent="0.25">
      <c r="A2693" s="1" t="s">
        <v>14631</v>
      </c>
      <c r="B2693" s="1" t="s">
        <v>16374</v>
      </c>
      <c r="C2693" s="3">
        <f>IF(B2693="","",SUMIFS('Factory Costs'!$C:$C,'Factory Costs'!$A:$A,"Motor",'Factory Costs'!$B:$B,B2693))</f>
        <v>62</v>
      </c>
    </row>
    <row r="2694" spans="1:3" x14ac:dyDescent="0.25">
      <c r="A2694" s="1" t="s">
        <v>14634</v>
      </c>
      <c r="B2694" s="1" t="s">
        <v>16374</v>
      </c>
      <c r="C2694" s="3">
        <f>IF(B2694="","",SUMIFS('Factory Costs'!$C:$C,'Factory Costs'!$A:$A,"Motor",'Factory Costs'!$B:$B,B2694))</f>
        <v>62</v>
      </c>
    </row>
    <row r="2695" spans="1:3" x14ac:dyDescent="0.25">
      <c r="A2695" s="1" t="s">
        <v>14637</v>
      </c>
      <c r="B2695" s="1" t="s">
        <v>16374</v>
      </c>
      <c r="C2695" s="3">
        <f>IF(B2695="","",SUMIFS('Factory Costs'!$C:$C,'Factory Costs'!$A:$A,"Motor",'Factory Costs'!$B:$B,B2695))</f>
        <v>62</v>
      </c>
    </row>
    <row r="2696" spans="1:3" x14ac:dyDescent="0.25">
      <c r="A2696" s="1" t="s">
        <v>14640</v>
      </c>
      <c r="B2696" s="1" t="s">
        <v>16375</v>
      </c>
      <c r="C2696" s="3">
        <f>IF(B2696="","",SUMIFS('Factory Costs'!$C:$C,'Factory Costs'!$A:$A,"Motor",'Factory Costs'!$B:$B,B2696))</f>
        <v>72</v>
      </c>
    </row>
    <row r="2697" spans="1:3" x14ac:dyDescent="0.25">
      <c r="A2697" s="1" t="s">
        <v>14643</v>
      </c>
      <c r="B2697" s="1" t="s">
        <v>16374</v>
      </c>
      <c r="C2697" s="3">
        <f>IF(B2697="","",SUMIFS('Factory Costs'!$C:$C,'Factory Costs'!$A:$A,"Motor",'Factory Costs'!$B:$B,B2697))</f>
        <v>62</v>
      </c>
    </row>
    <row r="2698" spans="1:3" x14ac:dyDescent="0.25">
      <c r="A2698" s="1" t="s">
        <v>14646</v>
      </c>
      <c r="B2698" s="1" t="s">
        <v>16374</v>
      </c>
      <c r="C2698" s="3">
        <f>IF(B2698="","",SUMIFS('Factory Costs'!$C:$C,'Factory Costs'!$A:$A,"Motor",'Factory Costs'!$B:$B,B2698))</f>
        <v>62</v>
      </c>
    </row>
    <row r="2699" spans="1:3" x14ac:dyDescent="0.25">
      <c r="A2699" s="1" t="s">
        <v>14649</v>
      </c>
      <c r="B2699" s="1" t="s">
        <v>16374</v>
      </c>
      <c r="C2699" s="3">
        <f>IF(B2699="","",SUMIFS('Factory Costs'!$C:$C,'Factory Costs'!$A:$A,"Motor",'Factory Costs'!$B:$B,B2699))</f>
        <v>62</v>
      </c>
    </row>
    <row r="2700" spans="1:3" x14ac:dyDescent="0.25">
      <c r="A2700" s="1" t="s">
        <v>14652</v>
      </c>
      <c r="B2700" s="1" t="s">
        <v>16374</v>
      </c>
      <c r="C2700" s="3">
        <f>IF(B2700="","",SUMIFS('Factory Costs'!$C:$C,'Factory Costs'!$A:$A,"Motor",'Factory Costs'!$B:$B,B2700))</f>
        <v>62</v>
      </c>
    </row>
    <row r="2701" spans="1:3" x14ac:dyDescent="0.25">
      <c r="A2701" s="1" t="s">
        <v>14655</v>
      </c>
      <c r="B2701" s="1" t="s">
        <v>16375</v>
      </c>
      <c r="C2701" s="3">
        <f>IF(B2701="","",SUMIFS('Factory Costs'!$C:$C,'Factory Costs'!$A:$A,"Motor",'Factory Costs'!$B:$B,B2701))</f>
        <v>72</v>
      </c>
    </row>
    <row r="2702" spans="1:3" x14ac:dyDescent="0.25">
      <c r="A2702" s="1" t="s">
        <v>14658</v>
      </c>
      <c r="B2702" s="1" t="s">
        <v>16374</v>
      </c>
      <c r="C2702" s="3">
        <f>IF(B2702="","",SUMIFS('Factory Costs'!$C:$C,'Factory Costs'!$A:$A,"Motor",'Factory Costs'!$B:$B,B2702))</f>
        <v>62</v>
      </c>
    </row>
    <row r="2703" spans="1:3" x14ac:dyDescent="0.25">
      <c r="A2703" s="1" t="s">
        <v>14661</v>
      </c>
      <c r="B2703" s="1" t="s">
        <v>16375</v>
      </c>
      <c r="C2703" s="3">
        <f>IF(B2703="","",SUMIFS('Factory Costs'!$C:$C,'Factory Costs'!$A:$A,"Motor",'Factory Costs'!$B:$B,B2703))</f>
        <v>72</v>
      </c>
    </row>
    <row r="2704" spans="1:3" x14ac:dyDescent="0.25">
      <c r="A2704" s="1" t="s">
        <v>14664</v>
      </c>
      <c r="B2704" s="1" t="s">
        <v>16374</v>
      </c>
      <c r="C2704" s="3">
        <f>IF(B2704="","",SUMIFS('Factory Costs'!$C:$C,'Factory Costs'!$A:$A,"Motor",'Factory Costs'!$B:$B,B2704))</f>
        <v>62</v>
      </c>
    </row>
    <row r="2705" spans="1:3" x14ac:dyDescent="0.25">
      <c r="A2705" s="1" t="s">
        <v>14667</v>
      </c>
      <c r="B2705" s="1" t="s">
        <v>16375</v>
      </c>
      <c r="C2705" s="3">
        <f>IF(B2705="","",SUMIFS('Factory Costs'!$C:$C,'Factory Costs'!$A:$A,"Motor",'Factory Costs'!$B:$B,B2705))</f>
        <v>72</v>
      </c>
    </row>
    <row r="2706" spans="1:3" x14ac:dyDescent="0.25">
      <c r="A2706" s="1" t="s">
        <v>14670</v>
      </c>
      <c r="B2706" s="1" t="s">
        <v>16374</v>
      </c>
      <c r="C2706" s="3">
        <f>IF(B2706="","",SUMIFS('Factory Costs'!$C:$C,'Factory Costs'!$A:$A,"Motor",'Factory Costs'!$B:$B,B2706))</f>
        <v>62</v>
      </c>
    </row>
    <row r="2707" spans="1:3" x14ac:dyDescent="0.25">
      <c r="A2707" s="1" t="s">
        <v>14673</v>
      </c>
      <c r="B2707" s="1" t="s">
        <v>16375</v>
      </c>
      <c r="C2707" s="3">
        <f>IF(B2707="","",SUMIFS('Factory Costs'!$C:$C,'Factory Costs'!$A:$A,"Motor",'Factory Costs'!$B:$B,B2707))</f>
        <v>72</v>
      </c>
    </row>
    <row r="2708" spans="1:3" x14ac:dyDescent="0.25">
      <c r="A2708" s="1" t="s">
        <v>14676</v>
      </c>
      <c r="B2708" s="1" t="s">
        <v>16374</v>
      </c>
      <c r="C2708" s="3">
        <f>IF(B2708="","",SUMIFS('Factory Costs'!$C:$C,'Factory Costs'!$A:$A,"Motor",'Factory Costs'!$B:$B,B2708))</f>
        <v>62</v>
      </c>
    </row>
    <row r="2709" spans="1:3" x14ac:dyDescent="0.25">
      <c r="A2709" s="1" t="s">
        <v>14679</v>
      </c>
      <c r="B2709" s="1" t="s">
        <v>16375</v>
      </c>
      <c r="C2709" s="3">
        <f>IF(B2709="","",SUMIFS('Factory Costs'!$C:$C,'Factory Costs'!$A:$A,"Motor",'Factory Costs'!$B:$B,B2709))</f>
        <v>72</v>
      </c>
    </row>
    <row r="2710" spans="1:3" x14ac:dyDescent="0.25">
      <c r="A2710" s="1" t="s">
        <v>14682</v>
      </c>
      <c r="B2710" s="1" t="s">
        <v>16374</v>
      </c>
      <c r="C2710" s="3">
        <f>IF(B2710="","",SUMIFS('Factory Costs'!$C:$C,'Factory Costs'!$A:$A,"Motor",'Factory Costs'!$B:$B,B2710))</f>
        <v>62</v>
      </c>
    </row>
    <row r="2711" spans="1:3" x14ac:dyDescent="0.25">
      <c r="A2711" s="1" t="s">
        <v>14685</v>
      </c>
      <c r="B2711" s="1" t="s">
        <v>16375</v>
      </c>
      <c r="C2711" s="3">
        <f>IF(B2711="","",SUMIFS('Factory Costs'!$C:$C,'Factory Costs'!$A:$A,"Motor",'Factory Costs'!$B:$B,B2711))</f>
        <v>72</v>
      </c>
    </row>
    <row r="2712" spans="1:3" x14ac:dyDescent="0.25">
      <c r="A2712" s="1" t="s">
        <v>14688</v>
      </c>
      <c r="B2712" s="1" t="s">
        <v>16375</v>
      </c>
      <c r="C2712" s="3">
        <f>IF(B2712="","",SUMIFS('Factory Costs'!$C:$C,'Factory Costs'!$A:$A,"Motor",'Factory Costs'!$B:$B,B2712))</f>
        <v>72</v>
      </c>
    </row>
    <row r="2713" spans="1:3" x14ac:dyDescent="0.25">
      <c r="A2713" s="1" t="s">
        <v>14691</v>
      </c>
      <c r="B2713" s="1" t="s">
        <v>16375</v>
      </c>
      <c r="C2713" s="3">
        <f>IF(B2713="","",SUMIFS('Factory Costs'!$C:$C,'Factory Costs'!$A:$A,"Motor",'Factory Costs'!$B:$B,B2713))</f>
        <v>72</v>
      </c>
    </row>
    <row r="2714" spans="1:3" x14ac:dyDescent="0.25">
      <c r="A2714" s="1" t="s">
        <v>14694</v>
      </c>
      <c r="B2714" s="1" t="s">
        <v>16374</v>
      </c>
      <c r="C2714" s="3">
        <f>IF(B2714="","",SUMIFS('Factory Costs'!$C:$C,'Factory Costs'!$A:$A,"Motor",'Factory Costs'!$B:$B,B2714))</f>
        <v>62</v>
      </c>
    </row>
    <row r="2715" spans="1:3" x14ac:dyDescent="0.25">
      <c r="A2715" s="1" t="s">
        <v>14697</v>
      </c>
      <c r="B2715" s="1" t="s">
        <v>16374</v>
      </c>
      <c r="C2715" s="3">
        <f>IF(B2715="","",SUMIFS('Factory Costs'!$C:$C,'Factory Costs'!$A:$A,"Motor",'Factory Costs'!$B:$B,B2715))</f>
        <v>62</v>
      </c>
    </row>
    <row r="2716" spans="1:3" x14ac:dyDescent="0.25">
      <c r="A2716" s="1" t="s">
        <v>14700</v>
      </c>
      <c r="B2716" s="1" t="s">
        <v>16374</v>
      </c>
      <c r="C2716" s="3">
        <f>IF(B2716="","",SUMIFS('Factory Costs'!$C:$C,'Factory Costs'!$A:$A,"Motor",'Factory Costs'!$B:$B,B2716))</f>
        <v>62</v>
      </c>
    </row>
    <row r="2717" spans="1:3" x14ac:dyDescent="0.25">
      <c r="A2717" s="1" t="s">
        <v>14703</v>
      </c>
      <c r="B2717" s="1" t="s">
        <v>16375</v>
      </c>
      <c r="C2717" s="3">
        <f>IF(B2717="","",SUMIFS('Factory Costs'!$C:$C,'Factory Costs'!$A:$A,"Motor",'Factory Costs'!$B:$B,B2717))</f>
        <v>72</v>
      </c>
    </row>
    <row r="2718" spans="1:3" x14ac:dyDescent="0.25">
      <c r="A2718" s="1" t="s">
        <v>14706</v>
      </c>
      <c r="B2718" s="1" t="s">
        <v>16375</v>
      </c>
      <c r="C2718" s="3">
        <f>IF(B2718="","",SUMIFS('Factory Costs'!$C:$C,'Factory Costs'!$A:$A,"Motor",'Factory Costs'!$B:$B,B2718))</f>
        <v>72</v>
      </c>
    </row>
    <row r="2719" spans="1:3" x14ac:dyDescent="0.25">
      <c r="A2719" s="1" t="s">
        <v>14709</v>
      </c>
      <c r="B2719" s="1" t="s">
        <v>16374</v>
      </c>
      <c r="C2719" s="3">
        <f>IF(B2719="","",SUMIFS('Factory Costs'!$C:$C,'Factory Costs'!$A:$A,"Motor",'Factory Costs'!$B:$B,B2719))</f>
        <v>62</v>
      </c>
    </row>
    <row r="2720" spans="1:3" x14ac:dyDescent="0.25">
      <c r="A2720" s="1" t="s">
        <v>14712</v>
      </c>
      <c r="B2720" s="1" t="s">
        <v>16374</v>
      </c>
      <c r="C2720" s="3">
        <f>IF(B2720="","",SUMIFS('Factory Costs'!$C:$C,'Factory Costs'!$A:$A,"Motor",'Factory Costs'!$B:$B,B2720))</f>
        <v>62</v>
      </c>
    </row>
    <row r="2721" spans="1:3" x14ac:dyDescent="0.25">
      <c r="A2721" s="1" t="s">
        <v>14715</v>
      </c>
      <c r="B2721" s="1" t="s">
        <v>16374</v>
      </c>
      <c r="C2721" s="3">
        <f>IF(B2721="","",SUMIFS('Factory Costs'!$C:$C,'Factory Costs'!$A:$A,"Motor",'Factory Costs'!$B:$B,B2721))</f>
        <v>62</v>
      </c>
    </row>
    <row r="2722" spans="1:3" x14ac:dyDescent="0.25">
      <c r="A2722" s="1" t="s">
        <v>14718</v>
      </c>
      <c r="B2722" s="1" t="s">
        <v>16374</v>
      </c>
      <c r="C2722" s="3">
        <f>IF(B2722="","",SUMIFS('Factory Costs'!$C:$C,'Factory Costs'!$A:$A,"Motor",'Factory Costs'!$B:$B,B2722))</f>
        <v>62</v>
      </c>
    </row>
    <row r="2723" spans="1:3" x14ac:dyDescent="0.25">
      <c r="A2723" s="1" t="s">
        <v>14721</v>
      </c>
      <c r="B2723" s="1" t="s">
        <v>16374</v>
      </c>
      <c r="C2723" s="3">
        <f>IF(B2723="","",SUMIFS('Factory Costs'!$C:$C,'Factory Costs'!$A:$A,"Motor",'Factory Costs'!$B:$B,B2723))</f>
        <v>62</v>
      </c>
    </row>
    <row r="2724" spans="1:3" x14ac:dyDescent="0.25">
      <c r="A2724" s="1" t="s">
        <v>14724</v>
      </c>
      <c r="B2724" s="1" t="s">
        <v>16374</v>
      </c>
      <c r="C2724" s="3">
        <f>IF(B2724="","",SUMIFS('Factory Costs'!$C:$C,'Factory Costs'!$A:$A,"Motor",'Factory Costs'!$B:$B,B2724))</f>
        <v>62</v>
      </c>
    </row>
    <row r="2725" spans="1:3" x14ac:dyDescent="0.25">
      <c r="A2725" s="1" t="s">
        <v>14727</v>
      </c>
      <c r="B2725" s="1" t="s">
        <v>16374</v>
      </c>
      <c r="C2725" s="3">
        <f>IF(B2725="","",SUMIFS('Factory Costs'!$C:$C,'Factory Costs'!$A:$A,"Motor",'Factory Costs'!$B:$B,B2725))</f>
        <v>62</v>
      </c>
    </row>
    <row r="2726" spans="1:3" x14ac:dyDescent="0.25">
      <c r="A2726" s="1" t="s">
        <v>14730</v>
      </c>
      <c r="B2726" s="1" t="s">
        <v>16374</v>
      </c>
      <c r="C2726" s="3">
        <f>IF(B2726="","",SUMIFS('Factory Costs'!$C:$C,'Factory Costs'!$A:$A,"Motor",'Factory Costs'!$B:$B,B2726))</f>
        <v>62</v>
      </c>
    </row>
    <row r="2727" spans="1:3" x14ac:dyDescent="0.25">
      <c r="A2727" s="1" t="s">
        <v>14733</v>
      </c>
      <c r="B2727" s="1" t="s">
        <v>16375</v>
      </c>
      <c r="C2727" s="3">
        <f>IF(B2727="","",SUMIFS('Factory Costs'!$C:$C,'Factory Costs'!$A:$A,"Motor",'Factory Costs'!$B:$B,B2727))</f>
        <v>72</v>
      </c>
    </row>
    <row r="2728" spans="1:3" x14ac:dyDescent="0.25">
      <c r="A2728" s="1" t="s">
        <v>14736</v>
      </c>
      <c r="B2728" s="1" t="s">
        <v>16375</v>
      </c>
      <c r="C2728" s="3">
        <f>IF(B2728="","",SUMIFS('Factory Costs'!$C:$C,'Factory Costs'!$A:$A,"Motor",'Factory Costs'!$B:$B,B2728))</f>
        <v>72</v>
      </c>
    </row>
    <row r="2729" spans="1:3" x14ac:dyDescent="0.25">
      <c r="A2729" s="1" t="s">
        <v>14739</v>
      </c>
      <c r="B2729" s="1" t="s">
        <v>16375</v>
      </c>
      <c r="C2729" s="3">
        <f>IF(B2729="","",SUMIFS('Factory Costs'!$C:$C,'Factory Costs'!$A:$A,"Motor",'Factory Costs'!$B:$B,B2729))</f>
        <v>72</v>
      </c>
    </row>
    <row r="2730" spans="1:3" x14ac:dyDescent="0.25">
      <c r="A2730" s="1" t="s">
        <v>14742</v>
      </c>
      <c r="B2730" s="1" t="s">
        <v>16375</v>
      </c>
      <c r="C2730" s="3">
        <f>IF(B2730="","",SUMIFS('Factory Costs'!$C:$C,'Factory Costs'!$A:$A,"Motor",'Factory Costs'!$B:$B,B2730))</f>
        <v>72</v>
      </c>
    </row>
    <row r="2731" spans="1:3" x14ac:dyDescent="0.25">
      <c r="A2731" s="1" t="s">
        <v>14745</v>
      </c>
      <c r="B2731" s="1" t="s">
        <v>16374</v>
      </c>
      <c r="C2731" s="3">
        <f>IF(B2731="","",SUMIFS('Factory Costs'!$C:$C,'Factory Costs'!$A:$A,"Motor",'Factory Costs'!$B:$B,B2731))</f>
        <v>62</v>
      </c>
    </row>
    <row r="2732" spans="1:3" x14ac:dyDescent="0.25">
      <c r="A2732" s="1" t="s">
        <v>14748</v>
      </c>
      <c r="B2732" s="1" t="s">
        <v>16375</v>
      </c>
      <c r="C2732" s="3">
        <f>IF(B2732="","",SUMIFS('Factory Costs'!$C:$C,'Factory Costs'!$A:$A,"Motor",'Factory Costs'!$B:$B,B2732))</f>
        <v>72</v>
      </c>
    </row>
    <row r="2733" spans="1:3" x14ac:dyDescent="0.25">
      <c r="A2733" s="1" t="s">
        <v>14751</v>
      </c>
      <c r="B2733" s="1" t="s">
        <v>16375</v>
      </c>
      <c r="C2733" s="3">
        <f>IF(B2733="","",SUMIFS('Factory Costs'!$C:$C,'Factory Costs'!$A:$A,"Motor",'Factory Costs'!$B:$B,B2733))</f>
        <v>72</v>
      </c>
    </row>
    <row r="2734" spans="1:3" x14ac:dyDescent="0.25">
      <c r="A2734" s="1" t="s">
        <v>14754</v>
      </c>
      <c r="B2734" s="1" t="s">
        <v>16374</v>
      </c>
      <c r="C2734" s="3">
        <f>IF(B2734="","",SUMIFS('Factory Costs'!$C:$C,'Factory Costs'!$A:$A,"Motor",'Factory Costs'!$B:$B,B2734))</f>
        <v>62</v>
      </c>
    </row>
    <row r="2735" spans="1:3" x14ac:dyDescent="0.25">
      <c r="A2735" s="1" t="s">
        <v>14757</v>
      </c>
      <c r="B2735" s="1" t="s">
        <v>16374</v>
      </c>
      <c r="C2735" s="3">
        <f>IF(B2735="","",SUMIFS('Factory Costs'!$C:$C,'Factory Costs'!$A:$A,"Motor",'Factory Costs'!$B:$B,B2735))</f>
        <v>62</v>
      </c>
    </row>
    <row r="2736" spans="1:3" x14ac:dyDescent="0.25">
      <c r="A2736" s="1" t="s">
        <v>14760</v>
      </c>
      <c r="B2736" s="1" t="s">
        <v>16374</v>
      </c>
      <c r="C2736" s="3">
        <f>IF(B2736="","",SUMIFS('Factory Costs'!$C:$C,'Factory Costs'!$A:$A,"Motor",'Factory Costs'!$B:$B,B2736))</f>
        <v>62</v>
      </c>
    </row>
    <row r="2737" spans="1:3" x14ac:dyDescent="0.25">
      <c r="A2737" s="1" t="s">
        <v>14763</v>
      </c>
      <c r="B2737" s="1" t="s">
        <v>16374</v>
      </c>
      <c r="C2737" s="3">
        <f>IF(B2737="","",SUMIFS('Factory Costs'!$C:$C,'Factory Costs'!$A:$A,"Motor",'Factory Costs'!$B:$B,B2737))</f>
        <v>62</v>
      </c>
    </row>
    <row r="2738" spans="1:3" x14ac:dyDescent="0.25">
      <c r="A2738" s="1" t="s">
        <v>14766</v>
      </c>
      <c r="B2738" s="1" t="s">
        <v>16374</v>
      </c>
      <c r="C2738" s="3">
        <f>IF(B2738="","",SUMIFS('Factory Costs'!$C:$C,'Factory Costs'!$A:$A,"Motor",'Factory Costs'!$B:$B,B2738))</f>
        <v>62</v>
      </c>
    </row>
    <row r="2739" spans="1:3" x14ac:dyDescent="0.25">
      <c r="A2739" s="1" t="s">
        <v>14769</v>
      </c>
      <c r="B2739" s="1" t="s">
        <v>16374</v>
      </c>
      <c r="C2739" s="3">
        <f>IF(B2739="","",SUMIFS('Factory Costs'!$C:$C,'Factory Costs'!$A:$A,"Motor",'Factory Costs'!$B:$B,B2739))</f>
        <v>62</v>
      </c>
    </row>
    <row r="2740" spans="1:3" x14ac:dyDescent="0.25">
      <c r="A2740" s="1" t="s">
        <v>14772</v>
      </c>
      <c r="B2740" s="1" t="s">
        <v>16374</v>
      </c>
      <c r="C2740" s="3">
        <f>IF(B2740="","",SUMIFS('Factory Costs'!$C:$C,'Factory Costs'!$A:$A,"Motor",'Factory Costs'!$B:$B,B2740))</f>
        <v>62</v>
      </c>
    </row>
    <row r="2741" spans="1:3" x14ac:dyDescent="0.25">
      <c r="A2741" s="1" t="s">
        <v>14775</v>
      </c>
      <c r="B2741" s="1" t="s">
        <v>16374</v>
      </c>
      <c r="C2741" s="3">
        <f>IF(B2741="","",SUMIFS('Factory Costs'!$C:$C,'Factory Costs'!$A:$A,"Motor",'Factory Costs'!$B:$B,B2741))</f>
        <v>62</v>
      </c>
    </row>
    <row r="2742" spans="1:3" x14ac:dyDescent="0.25">
      <c r="A2742" s="1" t="s">
        <v>14778</v>
      </c>
      <c r="B2742" s="1" t="s">
        <v>16374</v>
      </c>
      <c r="C2742" s="3">
        <f>IF(B2742="","",SUMIFS('Factory Costs'!$C:$C,'Factory Costs'!$A:$A,"Motor",'Factory Costs'!$B:$B,B2742))</f>
        <v>62</v>
      </c>
    </row>
    <row r="2743" spans="1:3" x14ac:dyDescent="0.25">
      <c r="A2743" s="1" t="s">
        <v>14781</v>
      </c>
      <c r="B2743" s="1" t="s">
        <v>16374</v>
      </c>
      <c r="C2743" s="3">
        <f>IF(B2743="","",SUMIFS('Factory Costs'!$C:$C,'Factory Costs'!$A:$A,"Motor",'Factory Costs'!$B:$B,B2743))</f>
        <v>62</v>
      </c>
    </row>
    <row r="2744" spans="1:3" x14ac:dyDescent="0.25">
      <c r="A2744" s="1" t="s">
        <v>14784</v>
      </c>
      <c r="B2744" s="1" t="s">
        <v>16374</v>
      </c>
      <c r="C2744" s="3">
        <f>IF(B2744="","",SUMIFS('Factory Costs'!$C:$C,'Factory Costs'!$A:$A,"Motor",'Factory Costs'!$B:$B,B2744))</f>
        <v>62</v>
      </c>
    </row>
    <row r="2745" spans="1:3" x14ac:dyDescent="0.25">
      <c r="A2745" s="1" t="s">
        <v>14787</v>
      </c>
      <c r="B2745" s="1" t="s">
        <v>16374</v>
      </c>
      <c r="C2745" s="3">
        <f>IF(B2745="","",SUMIFS('Factory Costs'!$C:$C,'Factory Costs'!$A:$A,"Motor",'Factory Costs'!$B:$B,B2745))</f>
        <v>62</v>
      </c>
    </row>
    <row r="2746" spans="1:3" x14ac:dyDescent="0.25">
      <c r="A2746" s="1" t="s">
        <v>14790</v>
      </c>
      <c r="B2746" s="1" t="s">
        <v>16375</v>
      </c>
      <c r="C2746" s="3">
        <f>IF(B2746="","",SUMIFS('Factory Costs'!$C:$C,'Factory Costs'!$A:$A,"Motor",'Factory Costs'!$B:$B,B2746))</f>
        <v>72</v>
      </c>
    </row>
    <row r="2747" spans="1:3" x14ac:dyDescent="0.25">
      <c r="A2747" s="1" t="s">
        <v>14793</v>
      </c>
      <c r="B2747" s="1" t="s">
        <v>16374</v>
      </c>
      <c r="C2747" s="3">
        <f>IF(B2747="","",SUMIFS('Factory Costs'!$C:$C,'Factory Costs'!$A:$A,"Motor",'Factory Costs'!$B:$B,B2747))</f>
        <v>62</v>
      </c>
    </row>
    <row r="2748" spans="1:3" x14ac:dyDescent="0.25">
      <c r="A2748" s="1" t="s">
        <v>14796</v>
      </c>
      <c r="B2748" s="1" t="s">
        <v>16374</v>
      </c>
      <c r="C2748" s="3">
        <f>IF(B2748="","",SUMIFS('Factory Costs'!$C:$C,'Factory Costs'!$A:$A,"Motor",'Factory Costs'!$B:$B,B2748))</f>
        <v>62</v>
      </c>
    </row>
    <row r="2749" spans="1:3" x14ac:dyDescent="0.25">
      <c r="A2749" s="1" t="s">
        <v>14799</v>
      </c>
      <c r="B2749" s="1" t="s">
        <v>16375</v>
      </c>
      <c r="C2749" s="3">
        <f>IF(B2749="","",SUMIFS('Factory Costs'!$C:$C,'Factory Costs'!$A:$A,"Motor",'Factory Costs'!$B:$B,B2749))</f>
        <v>72</v>
      </c>
    </row>
    <row r="2750" spans="1:3" x14ac:dyDescent="0.25">
      <c r="A2750" s="1" t="s">
        <v>14802</v>
      </c>
      <c r="B2750" s="1" t="s">
        <v>16374</v>
      </c>
      <c r="C2750" s="3">
        <f>IF(B2750="","",SUMIFS('Factory Costs'!$C:$C,'Factory Costs'!$A:$A,"Motor",'Factory Costs'!$B:$B,B2750))</f>
        <v>62</v>
      </c>
    </row>
    <row r="2751" spans="1:3" x14ac:dyDescent="0.25">
      <c r="A2751" s="1" t="s">
        <v>14805</v>
      </c>
      <c r="B2751" s="1" t="s">
        <v>16374</v>
      </c>
      <c r="C2751" s="3">
        <f>IF(B2751="","",SUMIFS('Factory Costs'!$C:$C,'Factory Costs'!$A:$A,"Motor",'Factory Costs'!$B:$B,B2751))</f>
        <v>62</v>
      </c>
    </row>
    <row r="2752" spans="1:3" x14ac:dyDescent="0.25">
      <c r="A2752" s="1" t="s">
        <v>14808</v>
      </c>
      <c r="B2752" s="1" t="s">
        <v>16375</v>
      </c>
      <c r="C2752" s="3">
        <f>IF(B2752="","",SUMIFS('Factory Costs'!$C:$C,'Factory Costs'!$A:$A,"Motor",'Factory Costs'!$B:$B,B2752))</f>
        <v>72</v>
      </c>
    </row>
    <row r="2753" spans="1:3" x14ac:dyDescent="0.25">
      <c r="A2753" s="1" t="s">
        <v>14811</v>
      </c>
      <c r="B2753" s="1" t="s">
        <v>16374</v>
      </c>
      <c r="C2753" s="3">
        <f>IF(B2753="","",SUMIFS('Factory Costs'!$C:$C,'Factory Costs'!$A:$A,"Motor",'Factory Costs'!$B:$B,B2753))</f>
        <v>62</v>
      </c>
    </row>
    <row r="2754" spans="1:3" x14ac:dyDescent="0.25">
      <c r="A2754" s="1" t="s">
        <v>14814</v>
      </c>
      <c r="B2754" s="1" t="s">
        <v>16375</v>
      </c>
      <c r="C2754" s="3">
        <f>IF(B2754="","",SUMIFS('Factory Costs'!$C:$C,'Factory Costs'!$A:$A,"Motor",'Factory Costs'!$B:$B,B2754))</f>
        <v>72</v>
      </c>
    </row>
    <row r="2755" spans="1:3" x14ac:dyDescent="0.25">
      <c r="A2755" s="1" t="s">
        <v>14817</v>
      </c>
      <c r="B2755" s="1" t="s">
        <v>16374</v>
      </c>
      <c r="C2755" s="3">
        <f>IF(B2755="","",SUMIFS('Factory Costs'!$C:$C,'Factory Costs'!$A:$A,"Motor",'Factory Costs'!$B:$B,B2755))</f>
        <v>62</v>
      </c>
    </row>
    <row r="2756" spans="1:3" x14ac:dyDescent="0.25">
      <c r="A2756" s="1" t="s">
        <v>14820</v>
      </c>
      <c r="B2756" s="1" t="s">
        <v>16374</v>
      </c>
      <c r="C2756" s="3">
        <f>IF(B2756="","",SUMIFS('Factory Costs'!$C:$C,'Factory Costs'!$A:$A,"Motor",'Factory Costs'!$B:$B,B2756))</f>
        <v>62</v>
      </c>
    </row>
    <row r="2757" spans="1:3" x14ac:dyDescent="0.25">
      <c r="A2757" s="1" t="s">
        <v>14823</v>
      </c>
      <c r="B2757" s="1" t="s">
        <v>16374</v>
      </c>
      <c r="C2757" s="3">
        <f>IF(B2757="","",SUMIFS('Factory Costs'!$C:$C,'Factory Costs'!$A:$A,"Motor",'Factory Costs'!$B:$B,B2757))</f>
        <v>62</v>
      </c>
    </row>
    <row r="2758" spans="1:3" x14ac:dyDescent="0.25">
      <c r="A2758" s="1" t="s">
        <v>14826</v>
      </c>
      <c r="B2758" s="1" t="s">
        <v>16375</v>
      </c>
      <c r="C2758" s="3">
        <f>IF(B2758="","",SUMIFS('Factory Costs'!$C:$C,'Factory Costs'!$A:$A,"Motor",'Factory Costs'!$B:$B,B2758))</f>
        <v>72</v>
      </c>
    </row>
    <row r="2759" spans="1:3" x14ac:dyDescent="0.25">
      <c r="A2759" s="1" t="s">
        <v>14829</v>
      </c>
      <c r="B2759" s="1" t="s">
        <v>16375</v>
      </c>
      <c r="C2759" s="3">
        <f>IF(B2759="","",SUMIFS('Factory Costs'!$C:$C,'Factory Costs'!$A:$A,"Motor",'Factory Costs'!$B:$B,B2759))</f>
        <v>72</v>
      </c>
    </row>
    <row r="2760" spans="1:3" x14ac:dyDescent="0.25">
      <c r="A2760" s="1" t="s">
        <v>14832</v>
      </c>
      <c r="B2760" s="1" t="s">
        <v>16374</v>
      </c>
      <c r="C2760" s="3">
        <f>IF(B2760="","",SUMIFS('Factory Costs'!$C:$C,'Factory Costs'!$A:$A,"Motor",'Factory Costs'!$B:$B,B2760))</f>
        <v>62</v>
      </c>
    </row>
    <row r="2761" spans="1:3" x14ac:dyDescent="0.25">
      <c r="A2761" s="1" t="s">
        <v>14835</v>
      </c>
      <c r="B2761" s="1" t="s">
        <v>16375</v>
      </c>
      <c r="C2761" s="3">
        <f>IF(B2761="","",SUMIFS('Factory Costs'!$C:$C,'Factory Costs'!$A:$A,"Motor",'Factory Costs'!$B:$B,B2761))</f>
        <v>72</v>
      </c>
    </row>
    <row r="2762" spans="1:3" x14ac:dyDescent="0.25">
      <c r="A2762" s="1" t="s">
        <v>14838</v>
      </c>
      <c r="B2762" s="1" t="s">
        <v>16374</v>
      </c>
      <c r="C2762" s="3">
        <f>IF(B2762="","",SUMIFS('Factory Costs'!$C:$C,'Factory Costs'!$A:$A,"Motor",'Factory Costs'!$B:$B,B2762))</f>
        <v>62</v>
      </c>
    </row>
    <row r="2763" spans="1:3" x14ac:dyDescent="0.25">
      <c r="A2763" s="1" t="s">
        <v>14841</v>
      </c>
      <c r="B2763" s="1" t="s">
        <v>16374</v>
      </c>
      <c r="C2763" s="3">
        <f>IF(B2763="","",SUMIFS('Factory Costs'!$C:$C,'Factory Costs'!$A:$A,"Motor",'Factory Costs'!$B:$B,B2763))</f>
        <v>62</v>
      </c>
    </row>
    <row r="2764" spans="1:3" x14ac:dyDescent="0.25">
      <c r="A2764" s="1" t="s">
        <v>14844</v>
      </c>
      <c r="B2764" s="1" t="s">
        <v>16374</v>
      </c>
      <c r="C2764" s="3">
        <f>IF(B2764="","",SUMIFS('Factory Costs'!$C:$C,'Factory Costs'!$A:$A,"Motor",'Factory Costs'!$B:$B,B2764))</f>
        <v>62</v>
      </c>
    </row>
    <row r="2765" spans="1:3" x14ac:dyDescent="0.25">
      <c r="A2765" s="1" t="s">
        <v>14847</v>
      </c>
      <c r="B2765" s="1" t="s">
        <v>16374</v>
      </c>
      <c r="C2765" s="3">
        <f>IF(B2765="","",SUMIFS('Factory Costs'!$C:$C,'Factory Costs'!$A:$A,"Motor",'Factory Costs'!$B:$B,B2765))</f>
        <v>62</v>
      </c>
    </row>
    <row r="2766" spans="1:3" x14ac:dyDescent="0.25">
      <c r="A2766" s="1" t="s">
        <v>14850</v>
      </c>
      <c r="B2766" s="1" t="s">
        <v>16375</v>
      </c>
      <c r="C2766" s="3">
        <f>IF(B2766="","",SUMIFS('Factory Costs'!$C:$C,'Factory Costs'!$A:$A,"Motor",'Factory Costs'!$B:$B,B2766))</f>
        <v>72</v>
      </c>
    </row>
    <row r="2767" spans="1:3" x14ac:dyDescent="0.25">
      <c r="A2767" s="1" t="s">
        <v>14853</v>
      </c>
      <c r="B2767" s="1" t="s">
        <v>16375</v>
      </c>
      <c r="C2767" s="3">
        <f>IF(B2767="","",SUMIFS('Factory Costs'!$C:$C,'Factory Costs'!$A:$A,"Motor",'Factory Costs'!$B:$B,B2767))</f>
        <v>72</v>
      </c>
    </row>
    <row r="2768" spans="1:3" x14ac:dyDescent="0.25">
      <c r="A2768" s="1" t="s">
        <v>14856</v>
      </c>
      <c r="B2768" s="1" t="s">
        <v>16374</v>
      </c>
      <c r="C2768" s="3">
        <f>IF(B2768="","",SUMIFS('Factory Costs'!$C:$C,'Factory Costs'!$A:$A,"Motor",'Factory Costs'!$B:$B,B2768))</f>
        <v>62</v>
      </c>
    </row>
    <row r="2769" spans="1:3" x14ac:dyDescent="0.25">
      <c r="A2769" s="1" t="s">
        <v>14859</v>
      </c>
      <c r="B2769" s="1" t="s">
        <v>16375</v>
      </c>
      <c r="C2769" s="3">
        <f>IF(B2769="","",SUMIFS('Factory Costs'!$C:$C,'Factory Costs'!$A:$A,"Motor",'Factory Costs'!$B:$B,B2769))</f>
        <v>72</v>
      </c>
    </row>
    <row r="2770" spans="1:3" x14ac:dyDescent="0.25">
      <c r="A2770" s="1" t="s">
        <v>14862</v>
      </c>
      <c r="B2770" s="1" t="s">
        <v>16374</v>
      </c>
      <c r="C2770" s="3">
        <f>IF(B2770="","",SUMIFS('Factory Costs'!$C:$C,'Factory Costs'!$A:$A,"Motor",'Factory Costs'!$B:$B,B2770))</f>
        <v>62</v>
      </c>
    </row>
    <row r="2771" spans="1:3" x14ac:dyDescent="0.25">
      <c r="A2771" s="1" t="s">
        <v>14865</v>
      </c>
      <c r="B2771" s="1" t="s">
        <v>16374</v>
      </c>
      <c r="C2771" s="3">
        <f>IF(B2771="","",SUMIFS('Factory Costs'!$C:$C,'Factory Costs'!$A:$A,"Motor",'Factory Costs'!$B:$B,B2771))</f>
        <v>62</v>
      </c>
    </row>
    <row r="2772" spans="1:3" x14ac:dyDescent="0.25">
      <c r="A2772" s="1" t="s">
        <v>14868</v>
      </c>
      <c r="B2772" s="1" t="s">
        <v>16374</v>
      </c>
      <c r="C2772" s="3">
        <f>IF(B2772="","",SUMIFS('Factory Costs'!$C:$C,'Factory Costs'!$A:$A,"Motor",'Factory Costs'!$B:$B,B2772))</f>
        <v>62</v>
      </c>
    </row>
    <row r="2773" spans="1:3" x14ac:dyDescent="0.25">
      <c r="A2773" s="1" t="s">
        <v>14871</v>
      </c>
      <c r="B2773" s="1" t="s">
        <v>16374</v>
      </c>
      <c r="C2773" s="3">
        <f>IF(B2773="","",SUMIFS('Factory Costs'!$C:$C,'Factory Costs'!$A:$A,"Motor",'Factory Costs'!$B:$B,B2773))</f>
        <v>62</v>
      </c>
    </row>
    <row r="2774" spans="1:3" x14ac:dyDescent="0.25">
      <c r="A2774" s="1" t="s">
        <v>14874</v>
      </c>
      <c r="B2774" s="1" t="s">
        <v>16374</v>
      </c>
      <c r="C2774" s="3">
        <f>IF(B2774="","",SUMIFS('Factory Costs'!$C:$C,'Factory Costs'!$A:$A,"Motor",'Factory Costs'!$B:$B,B2774))</f>
        <v>62</v>
      </c>
    </row>
    <row r="2775" spans="1:3" x14ac:dyDescent="0.25">
      <c r="A2775" s="1" t="s">
        <v>14877</v>
      </c>
      <c r="B2775" s="1" t="s">
        <v>16374</v>
      </c>
      <c r="C2775" s="3">
        <f>IF(B2775="","",SUMIFS('Factory Costs'!$C:$C,'Factory Costs'!$A:$A,"Motor",'Factory Costs'!$B:$B,B2775))</f>
        <v>62</v>
      </c>
    </row>
    <row r="2776" spans="1:3" x14ac:dyDescent="0.25">
      <c r="A2776" s="1" t="s">
        <v>14880</v>
      </c>
      <c r="B2776" s="1" t="s">
        <v>16375</v>
      </c>
      <c r="C2776" s="3">
        <f>IF(B2776="","",SUMIFS('Factory Costs'!$C:$C,'Factory Costs'!$A:$A,"Motor",'Factory Costs'!$B:$B,B2776))</f>
        <v>72</v>
      </c>
    </row>
    <row r="2777" spans="1:3" x14ac:dyDescent="0.25">
      <c r="A2777" s="1" t="s">
        <v>14883</v>
      </c>
      <c r="B2777" s="1" t="s">
        <v>16375</v>
      </c>
      <c r="C2777" s="3">
        <f>IF(B2777="","",SUMIFS('Factory Costs'!$C:$C,'Factory Costs'!$A:$A,"Motor",'Factory Costs'!$B:$B,B2777))</f>
        <v>72</v>
      </c>
    </row>
    <row r="2778" spans="1:3" x14ac:dyDescent="0.25">
      <c r="A2778" s="1" t="s">
        <v>14886</v>
      </c>
      <c r="B2778" s="1" t="s">
        <v>16375</v>
      </c>
      <c r="C2778" s="3">
        <f>IF(B2778="","",SUMIFS('Factory Costs'!$C:$C,'Factory Costs'!$A:$A,"Motor",'Factory Costs'!$B:$B,B2778))</f>
        <v>72</v>
      </c>
    </row>
    <row r="2779" spans="1:3" x14ac:dyDescent="0.25">
      <c r="A2779" s="1" t="s">
        <v>14889</v>
      </c>
      <c r="B2779" s="1" t="s">
        <v>16374</v>
      </c>
      <c r="C2779" s="3">
        <f>IF(B2779="","",SUMIFS('Factory Costs'!$C:$C,'Factory Costs'!$A:$A,"Motor",'Factory Costs'!$B:$B,B2779))</f>
        <v>62</v>
      </c>
    </row>
    <row r="2780" spans="1:3" x14ac:dyDescent="0.25">
      <c r="A2780" s="1" t="s">
        <v>14892</v>
      </c>
      <c r="B2780" s="1" t="s">
        <v>16375</v>
      </c>
      <c r="C2780" s="3">
        <f>IF(B2780="","",SUMIFS('Factory Costs'!$C:$C,'Factory Costs'!$A:$A,"Motor",'Factory Costs'!$B:$B,B2780))</f>
        <v>72</v>
      </c>
    </row>
    <row r="2781" spans="1:3" x14ac:dyDescent="0.25">
      <c r="A2781" s="1" t="s">
        <v>14895</v>
      </c>
      <c r="B2781" s="1" t="s">
        <v>16374</v>
      </c>
      <c r="C2781" s="3">
        <f>IF(B2781="","",SUMIFS('Factory Costs'!$C:$C,'Factory Costs'!$A:$A,"Motor",'Factory Costs'!$B:$B,B2781))</f>
        <v>62</v>
      </c>
    </row>
    <row r="2782" spans="1:3" x14ac:dyDescent="0.25">
      <c r="A2782" s="1" t="s">
        <v>14898</v>
      </c>
      <c r="B2782" s="1" t="s">
        <v>16375</v>
      </c>
      <c r="C2782" s="3">
        <f>IF(B2782="","",SUMIFS('Factory Costs'!$C:$C,'Factory Costs'!$A:$A,"Motor",'Factory Costs'!$B:$B,B2782))</f>
        <v>72</v>
      </c>
    </row>
    <row r="2783" spans="1:3" x14ac:dyDescent="0.25">
      <c r="A2783" s="1" t="s">
        <v>14901</v>
      </c>
      <c r="B2783" s="1" t="s">
        <v>16374</v>
      </c>
      <c r="C2783" s="3">
        <f>IF(B2783="","",SUMIFS('Factory Costs'!$C:$C,'Factory Costs'!$A:$A,"Motor",'Factory Costs'!$B:$B,B2783))</f>
        <v>62</v>
      </c>
    </row>
    <row r="2784" spans="1:3" x14ac:dyDescent="0.25">
      <c r="A2784" s="1" t="s">
        <v>14904</v>
      </c>
      <c r="B2784" s="1" t="s">
        <v>16374</v>
      </c>
      <c r="C2784" s="3">
        <f>IF(B2784="","",SUMIFS('Factory Costs'!$C:$C,'Factory Costs'!$A:$A,"Motor",'Factory Costs'!$B:$B,B2784))</f>
        <v>62</v>
      </c>
    </row>
    <row r="2785" spans="1:3" x14ac:dyDescent="0.25">
      <c r="A2785" s="1" t="s">
        <v>14907</v>
      </c>
      <c r="B2785" s="1" t="s">
        <v>16374</v>
      </c>
      <c r="C2785" s="3">
        <f>IF(B2785="","",SUMIFS('Factory Costs'!$C:$C,'Factory Costs'!$A:$A,"Motor",'Factory Costs'!$B:$B,B2785))</f>
        <v>62</v>
      </c>
    </row>
    <row r="2786" spans="1:3" x14ac:dyDescent="0.25">
      <c r="A2786" s="1" t="s">
        <v>14910</v>
      </c>
      <c r="B2786" s="1" t="s">
        <v>16375</v>
      </c>
      <c r="C2786" s="3">
        <f>IF(B2786="","",SUMIFS('Factory Costs'!$C:$C,'Factory Costs'!$A:$A,"Motor",'Factory Costs'!$B:$B,B2786))</f>
        <v>72</v>
      </c>
    </row>
    <row r="2787" spans="1:3" x14ac:dyDescent="0.25">
      <c r="A2787" s="1" t="s">
        <v>14913</v>
      </c>
      <c r="B2787" s="1" t="s">
        <v>16374</v>
      </c>
      <c r="C2787" s="3">
        <f>IF(B2787="","",SUMIFS('Factory Costs'!$C:$C,'Factory Costs'!$A:$A,"Motor",'Factory Costs'!$B:$B,B2787))</f>
        <v>62</v>
      </c>
    </row>
    <row r="2788" spans="1:3" x14ac:dyDescent="0.25">
      <c r="A2788" s="1" t="s">
        <v>14916</v>
      </c>
      <c r="B2788" s="1" t="s">
        <v>16374</v>
      </c>
      <c r="C2788" s="3">
        <f>IF(B2788="","",SUMIFS('Factory Costs'!$C:$C,'Factory Costs'!$A:$A,"Motor",'Factory Costs'!$B:$B,B2788))</f>
        <v>62</v>
      </c>
    </row>
    <row r="2789" spans="1:3" x14ac:dyDescent="0.25">
      <c r="A2789" s="1" t="s">
        <v>14919</v>
      </c>
      <c r="B2789" s="1" t="s">
        <v>16374</v>
      </c>
      <c r="C2789" s="3">
        <f>IF(B2789="","",SUMIFS('Factory Costs'!$C:$C,'Factory Costs'!$A:$A,"Motor",'Factory Costs'!$B:$B,B2789))</f>
        <v>62</v>
      </c>
    </row>
    <row r="2790" spans="1:3" x14ac:dyDescent="0.25">
      <c r="A2790" s="1" t="s">
        <v>14922</v>
      </c>
      <c r="B2790" s="1" t="s">
        <v>16374</v>
      </c>
      <c r="C2790" s="3">
        <f>IF(B2790="","",SUMIFS('Factory Costs'!$C:$C,'Factory Costs'!$A:$A,"Motor",'Factory Costs'!$B:$B,B2790))</f>
        <v>62</v>
      </c>
    </row>
    <row r="2791" spans="1:3" x14ac:dyDescent="0.25">
      <c r="A2791" s="1" t="s">
        <v>14925</v>
      </c>
      <c r="B2791" s="1" t="s">
        <v>16375</v>
      </c>
      <c r="C2791" s="3">
        <f>IF(B2791="","",SUMIFS('Factory Costs'!$C:$C,'Factory Costs'!$A:$A,"Motor",'Factory Costs'!$B:$B,B2791))</f>
        <v>72</v>
      </c>
    </row>
    <row r="2792" spans="1:3" x14ac:dyDescent="0.25">
      <c r="A2792" s="1" t="s">
        <v>14928</v>
      </c>
      <c r="B2792" s="1" t="s">
        <v>16375</v>
      </c>
      <c r="C2792" s="3">
        <f>IF(B2792="","",SUMIFS('Factory Costs'!$C:$C,'Factory Costs'!$A:$A,"Motor",'Factory Costs'!$B:$B,B2792))</f>
        <v>72</v>
      </c>
    </row>
    <row r="2793" spans="1:3" x14ac:dyDescent="0.25">
      <c r="A2793" s="1" t="s">
        <v>14931</v>
      </c>
      <c r="B2793" s="1" t="s">
        <v>16374</v>
      </c>
      <c r="C2793" s="3">
        <f>IF(B2793="","",SUMIFS('Factory Costs'!$C:$C,'Factory Costs'!$A:$A,"Motor",'Factory Costs'!$B:$B,B2793))</f>
        <v>62</v>
      </c>
    </row>
    <row r="2794" spans="1:3" x14ac:dyDescent="0.25">
      <c r="A2794" s="1" t="s">
        <v>14934</v>
      </c>
      <c r="B2794" s="1" t="s">
        <v>16374</v>
      </c>
      <c r="C2794" s="3">
        <f>IF(B2794="","",SUMIFS('Factory Costs'!$C:$C,'Factory Costs'!$A:$A,"Motor",'Factory Costs'!$B:$B,B2794))</f>
        <v>62</v>
      </c>
    </row>
    <row r="2795" spans="1:3" x14ac:dyDescent="0.25">
      <c r="A2795" s="1" t="s">
        <v>14937</v>
      </c>
      <c r="B2795" s="1" t="s">
        <v>16375</v>
      </c>
      <c r="C2795" s="3">
        <f>IF(B2795="","",SUMIFS('Factory Costs'!$C:$C,'Factory Costs'!$A:$A,"Motor",'Factory Costs'!$B:$B,B2795))</f>
        <v>72</v>
      </c>
    </row>
    <row r="2796" spans="1:3" x14ac:dyDescent="0.25">
      <c r="A2796" s="1" t="s">
        <v>14940</v>
      </c>
      <c r="B2796" s="1" t="s">
        <v>16375</v>
      </c>
      <c r="C2796" s="3">
        <f>IF(B2796="","",SUMIFS('Factory Costs'!$C:$C,'Factory Costs'!$A:$A,"Motor",'Factory Costs'!$B:$B,B2796))</f>
        <v>72</v>
      </c>
    </row>
    <row r="2797" spans="1:3" x14ac:dyDescent="0.25">
      <c r="A2797" s="1" t="s">
        <v>14943</v>
      </c>
      <c r="B2797" s="1" t="s">
        <v>16374</v>
      </c>
      <c r="C2797" s="3">
        <f>IF(B2797="","",SUMIFS('Factory Costs'!$C:$C,'Factory Costs'!$A:$A,"Motor",'Factory Costs'!$B:$B,B2797))</f>
        <v>62</v>
      </c>
    </row>
    <row r="2798" spans="1:3" x14ac:dyDescent="0.25">
      <c r="A2798" s="1" t="s">
        <v>14946</v>
      </c>
      <c r="B2798" s="1" t="s">
        <v>16375</v>
      </c>
      <c r="C2798" s="3">
        <f>IF(B2798="","",SUMIFS('Factory Costs'!$C:$C,'Factory Costs'!$A:$A,"Motor",'Factory Costs'!$B:$B,B2798))</f>
        <v>72</v>
      </c>
    </row>
    <row r="2799" spans="1:3" x14ac:dyDescent="0.25">
      <c r="A2799" s="1" t="s">
        <v>14949</v>
      </c>
      <c r="B2799" s="1" t="s">
        <v>16374</v>
      </c>
      <c r="C2799" s="3">
        <f>IF(B2799="","",SUMIFS('Factory Costs'!$C:$C,'Factory Costs'!$A:$A,"Motor",'Factory Costs'!$B:$B,B2799))</f>
        <v>62</v>
      </c>
    </row>
    <row r="2800" spans="1:3" x14ac:dyDescent="0.25">
      <c r="A2800" s="1" t="s">
        <v>14952</v>
      </c>
      <c r="B2800" s="1" t="s">
        <v>16374</v>
      </c>
      <c r="C2800" s="3">
        <f>IF(B2800="","",SUMIFS('Factory Costs'!$C:$C,'Factory Costs'!$A:$A,"Motor",'Factory Costs'!$B:$B,B2800))</f>
        <v>62</v>
      </c>
    </row>
    <row r="2801" spans="1:3" x14ac:dyDescent="0.25">
      <c r="A2801" s="1" t="s">
        <v>14955</v>
      </c>
      <c r="B2801" s="1" t="s">
        <v>16374</v>
      </c>
      <c r="C2801" s="3">
        <f>IF(B2801="","",SUMIFS('Factory Costs'!$C:$C,'Factory Costs'!$A:$A,"Motor",'Factory Costs'!$B:$B,B2801))</f>
        <v>62</v>
      </c>
    </row>
    <row r="2802" spans="1:3" x14ac:dyDescent="0.25">
      <c r="A2802" s="1" t="s">
        <v>14958</v>
      </c>
      <c r="B2802" s="1" t="s">
        <v>16374</v>
      </c>
      <c r="C2802" s="3">
        <f>IF(B2802="","",SUMIFS('Factory Costs'!$C:$C,'Factory Costs'!$A:$A,"Motor",'Factory Costs'!$B:$B,B2802))</f>
        <v>62</v>
      </c>
    </row>
    <row r="2803" spans="1:3" x14ac:dyDescent="0.25">
      <c r="A2803" s="1" t="s">
        <v>14961</v>
      </c>
      <c r="B2803" s="1" t="s">
        <v>16374</v>
      </c>
      <c r="C2803" s="3">
        <f>IF(B2803="","",SUMIFS('Factory Costs'!$C:$C,'Factory Costs'!$A:$A,"Motor",'Factory Costs'!$B:$B,B2803))</f>
        <v>62</v>
      </c>
    </row>
    <row r="2804" spans="1:3" x14ac:dyDescent="0.25">
      <c r="A2804" s="1" t="s">
        <v>14964</v>
      </c>
      <c r="B2804" s="1" t="s">
        <v>16375</v>
      </c>
      <c r="C2804" s="3">
        <f>IF(B2804="","",SUMIFS('Factory Costs'!$C:$C,'Factory Costs'!$A:$A,"Motor",'Factory Costs'!$B:$B,B2804))</f>
        <v>72</v>
      </c>
    </row>
    <row r="2805" spans="1:3" x14ac:dyDescent="0.25">
      <c r="A2805" s="1" t="s">
        <v>14967</v>
      </c>
      <c r="B2805" s="1" t="s">
        <v>16374</v>
      </c>
      <c r="C2805" s="3">
        <f>IF(B2805="","",SUMIFS('Factory Costs'!$C:$C,'Factory Costs'!$A:$A,"Motor",'Factory Costs'!$B:$B,B2805))</f>
        <v>62</v>
      </c>
    </row>
    <row r="2806" spans="1:3" x14ac:dyDescent="0.25">
      <c r="A2806" s="1" t="s">
        <v>14970</v>
      </c>
      <c r="B2806" s="1" t="s">
        <v>16374</v>
      </c>
      <c r="C2806" s="3">
        <f>IF(B2806="","",SUMIFS('Factory Costs'!$C:$C,'Factory Costs'!$A:$A,"Motor",'Factory Costs'!$B:$B,B2806))</f>
        <v>62</v>
      </c>
    </row>
    <row r="2807" spans="1:3" x14ac:dyDescent="0.25">
      <c r="A2807" s="1" t="s">
        <v>14973</v>
      </c>
      <c r="B2807" s="1" t="s">
        <v>16374</v>
      </c>
      <c r="C2807" s="3">
        <f>IF(B2807="","",SUMIFS('Factory Costs'!$C:$C,'Factory Costs'!$A:$A,"Motor",'Factory Costs'!$B:$B,B2807))</f>
        <v>62</v>
      </c>
    </row>
    <row r="2808" spans="1:3" x14ac:dyDescent="0.25">
      <c r="A2808" s="1" t="s">
        <v>14976</v>
      </c>
      <c r="B2808" s="1" t="s">
        <v>16375</v>
      </c>
      <c r="C2808" s="3">
        <f>IF(B2808="","",SUMIFS('Factory Costs'!$C:$C,'Factory Costs'!$A:$A,"Motor",'Factory Costs'!$B:$B,B2808))</f>
        <v>72</v>
      </c>
    </row>
    <row r="2809" spans="1:3" x14ac:dyDescent="0.25">
      <c r="A2809" s="1" t="s">
        <v>14979</v>
      </c>
      <c r="B2809" s="1" t="s">
        <v>16374</v>
      </c>
      <c r="C2809" s="3">
        <f>IF(B2809="","",SUMIFS('Factory Costs'!$C:$C,'Factory Costs'!$A:$A,"Motor",'Factory Costs'!$B:$B,B2809))</f>
        <v>62</v>
      </c>
    </row>
    <row r="2810" spans="1:3" x14ac:dyDescent="0.25">
      <c r="A2810" s="1" t="s">
        <v>14982</v>
      </c>
      <c r="B2810" s="1" t="s">
        <v>16375</v>
      </c>
      <c r="C2810" s="3">
        <f>IF(B2810="","",SUMIFS('Factory Costs'!$C:$C,'Factory Costs'!$A:$A,"Motor",'Factory Costs'!$B:$B,B2810))</f>
        <v>72</v>
      </c>
    </row>
    <row r="2811" spans="1:3" x14ac:dyDescent="0.25">
      <c r="A2811" s="1" t="s">
        <v>14985</v>
      </c>
      <c r="B2811" s="1" t="s">
        <v>16374</v>
      </c>
      <c r="C2811" s="3">
        <f>IF(B2811="","",SUMIFS('Factory Costs'!$C:$C,'Factory Costs'!$A:$A,"Motor",'Factory Costs'!$B:$B,B2811))</f>
        <v>62</v>
      </c>
    </row>
    <row r="2812" spans="1:3" x14ac:dyDescent="0.25">
      <c r="A2812" s="1" t="s">
        <v>14988</v>
      </c>
      <c r="B2812" s="1" t="s">
        <v>16374</v>
      </c>
      <c r="C2812" s="3">
        <f>IF(B2812="","",SUMIFS('Factory Costs'!$C:$C,'Factory Costs'!$A:$A,"Motor",'Factory Costs'!$B:$B,B2812))</f>
        <v>62</v>
      </c>
    </row>
    <row r="2813" spans="1:3" x14ac:dyDescent="0.25">
      <c r="A2813" s="1" t="s">
        <v>14991</v>
      </c>
      <c r="B2813" s="1" t="s">
        <v>16374</v>
      </c>
      <c r="C2813" s="3">
        <f>IF(B2813="","",SUMIFS('Factory Costs'!$C:$C,'Factory Costs'!$A:$A,"Motor",'Factory Costs'!$B:$B,B2813))</f>
        <v>62</v>
      </c>
    </row>
    <row r="2814" spans="1:3" x14ac:dyDescent="0.25">
      <c r="A2814" s="1" t="s">
        <v>14994</v>
      </c>
      <c r="B2814" s="1" t="s">
        <v>16374</v>
      </c>
      <c r="C2814" s="3">
        <f>IF(B2814="","",SUMIFS('Factory Costs'!$C:$C,'Factory Costs'!$A:$A,"Motor",'Factory Costs'!$B:$B,B2814))</f>
        <v>62</v>
      </c>
    </row>
    <row r="2815" spans="1:3" x14ac:dyDescent="0.25">
      <c r="A2815" s="1" t="s">
        <v>14997</v>
      </c>
      <c r="B2815" s="1" t="s">
        <v>16374</v>
      </c>
      <c r="C2815" s="3">
        <f>IF(B2815="","",SUMIFS('Factory Costs'!$C:$C,'Factory Costs'!$A:$A,"Motor",'Factory Costs'!$B:$B,B2815))</f>
        <v>62</v>
      </c>
    </row>
    <row r="2816" spans="1:3" x14ac:dyDescent="0.25">
      <c r="A2816" s="1" t="s">
        <v>15000</v>
      </c>
      <c r="B2816" s="1" t="s">
        <v>16374</v>
      </c>
      <c r="C2816" s="3">
        <f>IF(B2816="","",SUMIFS('Factory Costs'!$C:$C,'Factory Costs'!$A:$A,"Motor",'Factory Costs'!$B:$B,B2816))</f>
        <v>62</v>
      </c>
    </row>
    <row r="2817" spans="1:3" x14ac:dyDescent="0.25">
      <c r="A2817" s="1" t="s">
        <v>15003</v>
      </c>
      <c r="B2817" s="1" t="s">
        <v>16374</v>
      </c>
      <c r="C2817" s="3">
        <f>IF(B2817="","",SUMIFS('Factory Costs'!$C:$C,'Factory Costs'!$A:$A,"Motor",'Factory Costs'!$B:$B,B2817))</f>
        <v>62</v>
      </c>
    </row>
    <row r="2818" spans="1:3" x14ac:dyDescent="0.25">
      <c r="A2818" s="1" t="s">
        <v>15006</v>
      </c>
      <c r="B2818" s="1" t="s">
        <v>16374</v>
      </c>
      <c r="C2818" s="3">
        <f>IF(B2818="","",SUMIFS('Factory Costs'!$C:$C,'Factory Costs'!$A:$A,"Motor",'Factory Costs'!$B:$B,B2818))</f>
        <v>62</v>
      </c>
    </row>
    <row r="2819" spans="1:3" x14ac:dyDescent="0.25">
      <c r="A2819" s="1" t="s">
        <v>15009</v>
      </c>
      <c r="B2819" s="1" t="s">
        <v>16374</v>
      </c>
      <c r="C2819" s="3">
        <f>IF(B2819="","",SUMIFS('Factory Costs'!$C:$C,'Factory Costs'!$A:$A,"Motor",'Factory Costs'!$B:$B,B2819))</f>
        <v>62</v>
      </c>
    </row>
    <row r="2820" spans="1:3" x14ac:dyDescent="0.25">
      <c r="A2820" s="1" t="s">
        <v>15012</v>
      </c>
      <c r="B2820" s="1" t="s">
        <v>16374</v>
      </c>
      <c r="C2820" s="3">
        <f>IF(B2820="","",SUMIFS('Factory Costs'!$C:$C,'Factory Costs'!$A:$A,"Motor",'Factory Costs'!$B:$B,B2820))</f>
        <v>62</v>
      </c>
    </row>
    <row r="2821" spans="1:3" x14ac:dyDescent="0.25">
      <c r="A2821" s="1" t="s">
        <v>15015</v>
      </c>
      <c r="B2821" s="1" t="s">
        <v>16375</v>
      </c>
      <c r="C2821" s="3">
        <f>IF(B2821="","",SUMIFS('Factory Costs'!$C:$C,'Factory Costs'!$A:$A,"Motor",'Factory Costs'!$B:$B,B2821))</f>
        <v>72</v>
      </c>
    </row>
    <row r="2822" spans="1:3" x14ac:dyDescent="0.25">
      <c r="A2822" s="1" t="s">
        <v>15018</v>
      </c>
      <c r="B2822" s="1" t="s">
        <v>16375</v>
      </c>
      <c r="C2822" s="3">
        <f>IF(B2822="","",SUMIFS('Factory Costs'!$C:$C,'Factory Costs'!$A:$A,"Motor",'Factory Costs'!$B:$B,B2822))</f>
        <v>72</v>
      </c>
    </row>
    <row r="2823" spans="1:3" x14ac:dyDescent="0.25">
      <c r="A2823" s="1" t="s">
        <v>15021</v>
      </c>
      <c r="B2823" s="1" t="s">
        <v>16375</v>
      </c>
      <c r="C2823" s="3">
        <f>IF(B2823="","",SUMIFS('Factory Costs'!$C:$C,'Factory Costs'!$A:$A,"Motor",'Factory Costs'!$B:$B,B2823))</f>
        <v>72</v>
      </c>
    </row>
    <row r="2824" spans="1:3" x14ac:dyDescent="0.25">
      <c r="A2824" s="1" t="s">
        <v>15024</v>
      </c>
      <c r="B2824" s="1" t="s">
        <v>16375</v>
      </c>
      <c r="C2824" s="3">
        <f>IF(B2824="","",SUMIFS('Factory Costs'!$C:$C,'Factory Costs'!$A:$A,"Motor",'Factory Costs'!$B:$B,B2824))</f>
        <v>72</v>
      </c>
    </row>
    <row r="2825" spans="1:3" x14ac:dyDescent="0.25">
      <c r="A2825" s="1" t="s">
        <v>15027</v>
      </c>
      <c r="B2825" s="1" t="s">
        <v>16374</v>
      </c>
      <c r="C2825" s="3">
        <f>IF(B2825="","",SUMIFS('Factory Costs'!$C:$C,'Factory Costs'!$A:$A,"Motor",'Factory Costs'!$B:$B,B2825))</f>
        <v>62</v>
      </c>
    </row>
    <row r="2826" spans="1:3" x14ac:dyDescent="0.25">
      <c r="A2826" s="1" t="s">
        <v>15030</v>
      </c>
      <c r="B2826" s="1" t="s">
        <v>16375</v>
      </c>
      <c r="C2826" s="3">
        <f>IF(B2826="","",SUMIFS('Factory Costs'!$C:$C,'Factory Costs'!$A:$A,"Motor",'Factory Costs'!$B:$B,B2826))</f>
        <v>72</v>
      </c>
    </row>
    <row r="2827" spans="1:3" x14ac:dyDescent="0.25">
      <c r="A2827" s="1" t="s">
        <v>15033</v>
      </c>
      <c r="B2827" s="1" t="s">
        <v>16374</v>
      </c>
      <c r="C2827" s="3">
        <f>IF(B2827="","",SUMIFS('Factory Costs'!$C:$C,'Factory Costs'!$A:$A,"Motor",'Factory Costs'!$B:$B,B2827))</f>
        <v>62</v>
      </c>
    </row>
    <row r="2828" spans="1:3" x14ac:dyDescent="0.25">
      <c r="A2828" s="1" t="s">
        <v>15036</v>
      </c>
      <c r="B2828" s="1" t="s">
        <v>16374</v>
      </c>
      <c r="C2828" s="3">
        <f>IF(B2828="","",SUMIFS('Factory Costs'!$C:$C,'Factory Costs'!$A:$A,"Motor",'Factory Costs'!$B:$B,B2828))</f>
        <v>62</v>
      </c>
    </row>
    <row r="2829" spans="1:3" x14ac:dyDescent="0.25">
      <c r="A2829" s="1" t="s">
        <v>15039</v>
      </c>
      <c r="B2829" s="1" t="s">
        <v>16375</v>
      </c>
      <c r="C2829" s="3">
        <f>IF(B2829="","",SUMIFS('Factory Costs'!$C:$C,'Factory Costs'!$A:$A,"Motor",'Factory Costs'!$B:$B,B2829))</f>
        <v>72</v>
      </c>
    </row>
    <row r="2830" spans="1:3" x14ac:dyDescent="0.25">
      <c r="A2830" s="1" t="s">
        <v>15042</v>
      </c>
      <c r="B2830" s="1" t="s">
        <v>16374</v>
      </c>
      <c r="C2830" s="3">
        <f>IF(B2830="","",SUMIFS('Factory Costs'!$C:$C,'Factory Costs'!$A:$A,"Motor",'Factory Costs'!$B:$B,B2830))</f>
        <v>62</v>
      </c>
    </row>
    <row r="2831" spans="1:3" x14ac:dyDescent="0.25">
      <c r="A2831" s="1" t="s">
        <v>15045</v>
      </c>
      <c r="B2831" s="1" t="s">
        <v>16374</v>
      </c>
      <c r="C2831" s="3">
        <f>IF(B2831="","",SUMIFS('Factory Costs'!$C:$C,'Factory Costs'!$A:$A,"Motor",'Factory Costs'!$B:$B,B2831))</f>
        <v>62</v>
      </c>
    </row>
    <row r="2832" spans="1:3" x14ac:dyDescent="0.25">
      <c r="A2832" s="1" t="s">
        <v>15048</v>
      </c>
      <c r="B2832" s="1" t="s">
        <v>16374</v>
      </c>
      <c r="C2832" s="3">
        <f>IF(B2832="","",SUMIFS('Factory Costs'!$C:$C,'Factory Costs'!$A:$A,"Motor",'Factory Costs'!$B:$B,B2832))</f>
        <v>62</v>
      </c>
    </row>
    <row r="2833" spans="1:3" x14ac:dyDescent="0.25">
      <c r="A2833" s="1" t="s">
        <v>15051</v>
      </c>
      <c r="B2833" s="1" t="s">
        <v>16374</v>
      </c>
      <c r="C2833" s="3">
        <f>IF(B2833="","",SUMIFS('Factory Costs'!$C:$C,'Factory Costs'!$A:$A,"Motor",'Factory Costs'!$B:$B,B2833))</f>
        <v>62</v>
      </c>
    </row>
    <row r="2834" spans="1:3" x14ac:dyDescent="0.25">
      <c r="A2834" s="1" t="s">
        <v>15054</v>
      </c>
      <c r="B2834" s="1" t="s">
        <v>16374</v>
      </c>
      <c r="C2834" s="3">
        <f>IF(B2834="","",SUMIFS('Factory Costs'!$C:$C,'Factory Costs'!$A:$A,"Motor",'Factory Costs'!$B:$B,B2834))</f>
        <v>62</v>
      </c>
    </row>
    <row r="2835" spans="1:3" x14ac:dyDescent="0.25">
      <c r="A2835" s="1" t="s">
        <v>15057</v>
      </c>
      <c r="B2835" s="1" t="s">
        <v>16375</v>
      </c>
      <c r="C2835" s="3">
        <f>IF(B2835="","",SUMIFS('Factory Costs'!$C:$C,'Factory Costs'!$A:$A,"Motor",'Factory Costs'!$B:$B,B2835))</f>
        <v>72</v>
      </c>
    </row>
    <row r="2836" spans="1:3" x14ac:dyDescent="0.25">
      <c r="A2836" s="1" t="s">
        <v>15060</v>
      </c>
      <c r="B2836" s="1" t="s">
        <v>16375</v>
      </c>
      <c r="C2836" s="3">
        <f>IF(B2836="","",SUMIFS('Factory Costs'!$C:$C,'Factory Costs'!$A:$A,"Motor",'Factory Costs'!$B:$B,B2836))</f>
        <v>72</v>
      </c>
    </row>
    <row r="2837" spans="1:3" x14ac:dyDescent="0.25">
      <c r="A2837" s="1" t="s">
        <v>15063</v>
      </c>
      <c r="B2837" s="1" t="s">
        <v>16374</v>
      </c>
      <c r="C2837" s="3">
        <f>IF(B2837="","",SUMIFS('Factory Costs'!$C:$C,'Factory Costs'!$A:$A,"Motor",'Factory Costs'!$B:$B,B2837))</f>
        <v>62</v>
      </c>
    </row>
    <row r="2838" spans="1:3" x14ac:dyDescent="0.25">
      <c r="A2838" s="1" t="s">
        <v>15066</v>
      </c>
      <c r="B2838" s="1" t="s">
        <v>16375</v>
      </c>
      <c r="C2838" s="3">
        <f>IF(B2838="","",SUMIFS('Factory Costs'!$C:$C,'Factory Costs'!$A:$A,"Motor",'Factory Costs'!$B:$B,B2838))</f>
        <v>72</v>
      </c>
    </row>
    <row r="2839" spans="1:3" x14ac:dyDescent="0.25">
      <c r="A2839" s="1" t="s">
        <v>15069</v>
      </c>
      <c r="B2839" s="1" t="s">
        <v>16374</v>
      </c>
      <c r="C2839" s="3">
        <f>IF(B2839="","",SUMIFS('Factory Costs'!$C:$C,'Factory Costs'!$A:$A,"Motor",'Factory Costs'!$B:$B,B2839))</f>
        <v>62</v>
      </c>
    </row>
    <row r="2840" spans="1:3" x14ac:dyDescent="0.25">
      <c r="A2840" s="1" t="s">
        <v>15072</v>
      </c>
      <c r="B2840" s="1" t="s">
        <v>16374</v>
      </c>
      <c r="C2840" s="3">
        <f>IF(B2840="","",SUMIFS('Factory Costs'!$C:$C,'Factory Costs'!$A:$A,"Motor",'Factory Costs'!$B:$B,B2840))</f>
        <v>62</v>
      </c>
    </row>
    <row r="2841" spans="1:3" x14ac:dyDescent="0.25">
      <c r="A2841" s="1" t="s">
        <v>15075</v>
      </c>
      <c r="B2841" s="1" t="s">
        <v>16374</v>
      </c>
      <c r="C2841" s="3">
        <f>IF(B2841="","",SUMIFS('Factory Costs'!$C:$C,'Factory Costs'!$A:$A,"Motor",'Factory Costs'!$B:$B,B2841))</f>
        <v>62</v>
      </c>
    </row>
    <row r="2842" spans="1:3" x14ac:dyDescent="0.25">
      <c r="A2842" s="1" t="s">
        <v>15078</v>
      </c>
      <c r="B2842" s="1" t="s">
        <v>16375</v>
      </c>
      <c r="C2842" s="3">
        <f>IF(B2842="","",SUMIFS('Factory Costs'!$C:$C,'Factory Costs'!$A:$A,"Motor",'Factory Costs'!$B:$B,B2842))</f>
        <v>72</v>
      </c>
    </row>
    <row r="2843" spans="1:3" x14ac:dyDescent="0.25">
      <c r="A2843" s="1" t="s">
        <v>15081</v>
      </c>
      <c r="B2843" s="1" t="s">
        <v>16374</v>
      </c>
      <c r="C2843" s="3">
        <f>IF(B2843="","",SUMIFS('Factory Costs'!$C:$C,'Factory Costs'!$A:$A,"Motor",'Factory Costs'!$B:$B,B2843))</f>
        <v>62</v>
      </c>
    </row>
    <row r="2844" spans="1:3" x14ac:dyDescent="0.25">
      <c r="A2844" s="1" t="s">
        <v>15084</v>
      </c>
      <c r="B2844" s="1" t="s">
        <v>16375</v>
      </c>
      <c r="C2844" s="3">
        <f>IF(B2844="","",SUMIFS('Factory Costs'!$C:$C,'Factory Costs'!$A:$A,"Motor",'Factory Costs'!$B:$B,B2844))</f>
        <v>72</v>
      </c>
    </row>
    <row r="2845" spans="1:3" x14ac:dyDescent="0.25">
      <c r="A2845" s="1" t="s">
        <v>15087</v>
      </c>
      <c r="B2845" s="1" t="s">
        <v>16374</v>
      </c>
      <c r="C2845" s="3">
        <f>IF(B2845="","",SUMIFS('Factory Costs'!$C:$C,'Factory Costs'!$A:$A,"Motor",'Factory Costs'!$B:$B,B2845))</f>
        <v>62</v>
      </c>
    </row>
    <row r="2846" spans="1:3" x14ac:dyDescent="0.25">
      <c r="A2846" s="1" t="s">
        <v>15090</v>
      </c>
      <c r="B2846" s="1" t="s">
        <v>16374</v>
      </c>
      <c r="C2846" s="3">
        <f>IF(B2846="","",SUMIFS('Factory Costs'!$C:$C,'Factory Costs'!$A:$A,"Motor",'Factory Costs'!$B:$B,B2846))</f>
        <v>62</v>
      </c>
    </row>
    <row r="2847" spans="1:3" x14ac:dyDescent="0.25">
      <c r="A2847" s="1" t="s">
        <v>15093</v>
      </c>
      <c r="B2847" s="1" t="s">
        <v>16374</v>
      </c>
      <c r="C2847" s="3">
        <f>IF(B2847="","",SUMIFS('Factory Costs'!$C:$C,'Factory Costs'!$A:$A,"Motor",'Factory Costs'!$B:$B,B2847))</f>
        <v>62</v>
      </c>
    </row>
    <row r="2848" spans="1:3" x14ac:dyDescent="0.25">
      <c r="A2848" s="1" t="s">
        <v>15096</v>
      </c>
      <c r="B2848" s="1" t="s">
        <v>16374</v>
      </c>
      <c r="C2848" s="3">
        <f>IF(B2848="","",SUMIFS('Factory Costs'!$C:$C,'Factory Costs'!$A:$A,"Motor",'Factory Costs'!$B:$B,B2848))</f>
        <v>62</v>
      </c>
    </row>
    <row r="2849" spans="1:3" x14ac:dyDescent="0.25">
      <c r="A2849" s="1" t="s">
        <v>15099</v>
      </c>
      <c r="B2849" s="1" t="s">
        <v>16374</v>
      </c>
      <c r="C2849" s="3">
        <f>IF(B2849="","",SUMIFS('Factory Costs'!$C:$C,'Factory Costs'!$A:$A,"Motor",'Factory Costs'!$B:$B,B2849))</f>
        <v>62</v>
      </c>
    </row>
    <row r="2850" spans="1:3" x14ac:dyDescent="0.25">
      <c r="A2850" s="1" t="s">
        <v>15102</v>
      </c>
      <c r="B2850" s="1" t="s">
        <v>16374</v>
      </c>
      <c r="C2850" s="3">
        <f>IF(B2850="","",SUMIFS('Factory Costs'!$C:$C,'Factory Costs'!$A:$A,"Motor",'Factory Costs'!$B:$B,B2850))</f>
        <v>62</v>
      </c>
    </row>
    <row r="2851" spans="1:3" x14ac:dyDescent="0.25">
      <c r="A2851" s="1" t="s">
        <v>15105</v>
      </c>
      <c r="B2851" s="1" t="s">
        <v>16374</v>
      </c>
      <c r="C2851" s="3">
        <f>IF(B2851="","",SUMIFS('Factory Costs'!$C:$C,'Factory Costs'!$A:$A,"Motor",'Factory Costs'!$B:$B,B2851))</f>
        <v>62</v>
      </c>
    </row>
    <row r="2852" spans="1:3" x14ac:dyDescent="0.25">
      <c r="A2852" s="1" t="s">
        <v>15108</v>
      </c>
      <c r="B2852" s="1" t="s">
        <v>16374</v>
      </c>
      <c r="C2852" s="3">
        <f>IF(B2852="","",SUMIFS('Factory Costs'!$C:$C,'Factory Costs'!$A:$A,"Motor",'Factory Costs'!$B:$B,B2852))</f>
        <v>62</v>
      </c>
    </row>
    <row r="2853" spans="1:3" x14ac:dyDescent="0.25">
      <c r="A2853" s="1" t="s">
        <v>15111</v>
      </c>
      <c r="B2853" s="1" t="s">
        <v>16374</v>
      </c>
      <c r="C2853" s="3">
        <f>IF(B2853="","",SUMIFS('Factory Costs'!$C:$C,'Factory Costs'!$A:$A,"Motor",'Factory Costs'!$B:$B,B2853))</f>
        <v>62</v>
      </c>
    </row>
    <row r="2854" spans="1:3" x14ac:dyDescent="0.25">
      <c r="A2854" s="1" t="s">
        <v>15114</v>
      </c>
      <c r="B2854" s="1" t="s">
        <v>16374</v>
      </c>
      <c r="C2854" s="3">
        <f>IF(B2854="","",SUMIFS('Factory Costs'!$C:$C,'Factory Costs'!$A:$A,"Motor",'Factory Costs'!$B:$B,B2854))</f>
        <v>62</v>
      </c>
    </row>
    <row r="2855" spans="1:3" x14ac:dyDescent="0.25">
      <c r="A2855" s="1" t="s">
        <v>15117</v>
      </c>
      <c r="B2855" s="1" t="s">
        <v>16374</v>
      </c>
      <c r="C2855" s="3">
        <f>IF(B2855="","",SUMIFS('Factory Costs'!$C:$C,'Factory Costs'!$A:$A,"Motor",'Factory Costs'!$B:$B,B2855))</f>
        <v>62</v>
      </c>
    </row>
    <row r="2856" spans="1:3" x14ac:dyDescent="0.25">
      <c r="A2856" s="1" t="s">
        <v>15120</v>
      </c>
      <c r="B2856" s="1" t="s">
        <v>16374</v>
      </c>
      <c r="C2856" s="3">
        <f>IF(B2856="","",SUMIFS('Factory Costs'!$C:$C,'Factory Costs'!$A:$A,"Motor",'Factory Costs'!$B:$B,B2856))</f>
        <v>62</v>
      </c>
    </row>
    <row r="2857" spans="1:3" x14ac:dyDescent="0.25">
      <c r="A2857" s="1" t="s">
        <v>15123</v>
      </c>
      <c r="B2857" s="1" t="s">
        <v>16374</v>
      </c>
      <c r="C2857" s="3">
        <f>IF(B2857="","",SUMIFS('Factory Costs'!$C:$C,'Factory Costs'!$A:$A,"Motor",'Factory Costs'!$B:$B,B2857))</f>
        <v>62</v>
      </c>
    </row>
    <row r="2858" spans="1:3" x14ac:dyDescent="0.25">
      <c r="A2858" s="1" t="s">
        <v>15126</v>
      </c>
      <c r="B2858" s="1" t="s">
        <v>16374</v>
      </c>
      <c r="C2858" s="3">
        <f>IF(B2858="","",SUMIFS('Factory Costs'!$C:$C,'Factory Costs'!$A:$A,"Motor",'Factory Costs'!$B:$B,B2858))</f>
        <v>62</v>
      </c>
    </row>
    <row r="2859" spans="1:3" x14ac:dyDescent="0.25">
      <c r="A2859" s="1" t="s">
        <v>15129</v>
      </c>
      <c r="B2859" s="1" t="s">
        <v>16374</v>
      </c>
      <c r="C2859" s="3">
        <f>IF(B2859="","",SUMIFS('Factory Costs'!$C:$C,'Factory Costs'!$A:$A,"Motor",'Factory Costs'!$B:$B,B2859))</f>
        <v>62</v>
      </c>
    </row>
    <row r="2860" spans="1:3" x14ac:dyDescent="0.25">
      <c r="A2860" s="1" t="s">
        <v>15132</v>
      </c>
      <c r="B2860" s="1" t="s">
        <v>16374</v>
      </c>
      <c r="C2860" s="3">
        <f>IF(B2860="","",SUMIFS('Factory Costs'!$C:$C,'Factory Costs'!$A:$A,"Motor",'Factory Costs'!$B:$B,B2860))</f>
        <v>62</v>
      </c>
    </row>
    <row r="2861" spans="1:3" x14ac:dyDescent="0.25">
      <c r="A2861" s="1" t="s">
        <v>15135</v>
      </c>
      <c r="B2861" s="1" t="s">
        <v>16374</v>
      </c>
      <c r="C2861" s="3">
        <f>IF(B2861="","",SUMIFS('Factory Costs'!$C:$C,'Factory Costs'!$A:$A,"Motor",'Factory Costs'!$B:$B,B2861))</f>
        <v>62</v>
      </c>
    </row>
    <row r="2862" spans="1:3" x14ac:dyDescent="0.25">
      <c r="A2862" s="1" t="s">
        <v>15138</v>
      </c>
      <c r="B2862" s="1" t="s">
        <v>16374</v>
      </c>
      <c r="C2862" s="3">
        <f>IF(B2862="","",SUMIFS('Factory Costs'!$C:$C,'Factory Costs'!$A:$A,"Motor",'Factory Costs'!$B:$B,B2862))</f>
        <v>62</v>
      </c>
    </row>
    <row r="2863" spans="1:3" x14ac:dyDescent="0.25">
      <c r="A2863" s="1" t="s">
        <v>15141</v>
      </c>
      <c r="B2863" s="1" t="s">
        <v>16375</v>
      </c>
      <c r="C2863" s="3">
        <f>IF(B2863="","",SUMIFS('Factory Costs'!$C:$C,'Factory Costs'!$A:$A,"Motor",'Factory Costs'!$B:$B,B2863))</f>
        <v>72</v>
      </c>
    </row>
    <row r="2864" spans="1:3" x14ac:dyDescent="0.25">
      <c r="A2864" s="1" t="s">
        <v>15144</v>
      </c>
      <c r="B2864" s="1" t="s">
        <v>16374</v>
      </c>
      <c r="C2864" s="3">
        <f>IF(B2864="","",SUMIFS('Factory Costs'!$C:$C,'Factory Costs'!$A:$A,"Motor",'Factory Costs'!$B:$B,B2864))</f>
        <v>62</v>
      </c>
    </row>
    <row r="2865" spans="1:3" x14ac:dyDescent="0.25">
      <c r="A2865" s="1" t="s">
        <v>15147</v>
      </c>
      <c r="B2865" s="1" t="s">
        <v>16375</v>
      </c>
      <c r="C2865" s="3">
        <f>IF(B2865="","",SUMIFS('Factory Costs'!$C:$C,'Factory Costs'!$A:$A,"Motor",'Factory Costs'!$B:$B,B2865))</f>
        <v>72</v>
      </c>
    </row>
    <row r="2866" spans="1:3" x14ac:dyDescent="0.25">
      <c r="A2866" s="1" t="s">
        <v>15150</v>
      </c>
      <c r="B2866" s="1" t="s">
        <v>16375</v>
      </c>
      <c r="C2866" s="3">
        <f>IF(B2866="","",SUMIFS('Factory Costs'!$C:$C,'Factory Costs'!$A:$A,"Motor",'Factory Costs'!$B:$B,B2866))</f>
        <v>72</v>
      </c>
    </row>
    <row r="2867" spans="1:3" x14ac:dyDescent="0.25">
      <c r="A2867" s="1" t="s">
        <v>15153</v>
      </c>
      <c r="B2867" s="1" t="s">
        <v>16375</v>
      </c>
      <c r="C2867" s="3">
        <f>IF(B2867="","",SUMIFS('Factory Costs'!$C:$C,'Factory Costs'!$A:$A,"Motor",'Factory Costs'!$B:$B,B2867))</f>
        <v>72</v>
      </c>
    </row>
    <row r="2868" spans="1:3" x14ac:dyDescent="0.25">
      <c r="A2868" s="1" t="s">
        <v>15156</v>
      </c>
      <c r="B2868" s="1" t="s">
        <v>16374</v>
      </c>
      <c r="C2868" s="3">
        <f>IF(B2868="","",SUMIFS('Factory Costs'!$C:$C,'Factory Costs'!$A:$A,"Motor",'Factory Costs'!$B:$B,B2868))</f>
        <v>62</v>
      </c>
    </row>
    <row r="2869" spans="1:3" x14ac:dyDescent="0.25">
      <c r="A2869" s="1" t="s">
        <v>15159</v>
      </c>
      <c r="B2869" s="1" t="s">
        <v>16375</v>
      </c>
      <c r="C2869" s="3">
        <f>IF(B2869="","",SUMIFS('Factory Costs'!$C:$C,'Factory Costs'!$A:$A,"Motor",'Factory Costs'!$B:$B,B2869))</f>
        <v>72</v>
      </c>
    </row>
    <row r="2870" spans="1:3" x14ac:dyDescent="0.25">
      <c r="A2870" s="1" t="s">
        <v>15162</v>
      </c>
      <c r="B2870" s="1" t="s">
        <v>16374</v>
      </c>
      <c r="C2870" s="3">
        <f>IF(B2870="","",SUMIFS('Factory Costs'!$C:$C,'Factory Costs'!$A:$A,"Motor",'Factory Costs'!$B:$B,B2870))</f>
        <v>62</v>
      </c>
    </row>
    <row r="2871" spans="1:3" x14ac:dyDescent="0.25">
      <c r="A2871" s="1" t="s">
        <v>15165</v>
      </c>
      <c r="B2871" s="1" t="s">
        <v>16374</v>
      </c>
      <c r="C2871" s="3">
        <f>IF(B2871="","",SUMIFS('Factory Costs'!$C:$C,'Factory Costs'!$A:$A,"Motor",'Factory Costs'!$B:$B,B2871))</f>
        <v>62</v>
      </c>
    </row>
    <row r="2872" spans="1:3" x14ac:dyDescent="0.25">
      <c r="A2872" s="1" t="s">
        <v>15168</v>
      </c>
      <c r="B2872" s="1" t="s">
        <v>16374</v>
      </c>
      <c r="C2872" s="3">
        <f>IF(B2872="","",SUMIFS('Factory Costs'!$C:$C,'Factory Costs'!$A:$A,"Motor",'Factory Costs'!$B:$B,B2872))</f>
        <v>62</v>
      </c>
    </row>
    <row r="2873" spans="1:3" x14ac:dyDescent="0.25">
      <c r="A2873" s="1" t="s">
        <v>15171</v>
      </c>
      <c r="B2873" s="1" t="s">
        <v>16374</v>
      </c>
      <c r="C2873" s="3">
        <f>IF(B2873="","",SUMIFS('Factory Costs'!$C:$C,'Factory Costs'!$A:$A,"Motor",'Factory Costs'!$B:$B,B2873))</f>
        <v>62</v>
      </c>
    </row>
    <row r="2874" spans="1:3" x14ac:dyDescent="0.25">
      <c r="A2874" s="1" t="s">
        <v>15174</v>
      </c>
      <c r="B2874" s="1" t="s">
        <v>16374</v>
      </c>
      <c r="C2874" s="3">
        <f>IF(B2874="","",SUMIFS('Factory Costs'!$C:$C,'Factory Costs'!$A:$A,"Motor",'Factory Costs'!$B:$B,B2874))</f>
        <v>62</v>
      </c>
    </row>
    <row r="2875" spans="1:3" x14ac:dyDescent="0.25">
      <c r="A2875" s="1" t="s">
        <v>15177</v>
      </c>
      <c r="B2875" s="1" t="s">
        <v>16375</v>
      </c>
      <c r="C2875" s="3">
        <f>IF(B2875="","",SUMIFS('Factory Costs'!$C:$C,'Factory Costs'!$A:$A,"Motor",'Factory Costs'!$B:$B,B2875))</f>
        <v>72</v>
      </c>
    </row>
    <row r="2876" spans="1:3" x14ac:dyDescent="0.25">
      <c r="A2876" s="1" t="s">
        <v>15180</v>
      </c>
      <c r="B2876" s="1" t="s">
        <v>16374</v>
      </c>
      <c r="C2876" s="3">
        <f>IF(B2876="","",SUMIFS('Factory Costs'!$C:$C,'Factory Costs'!$A:$A,"Motor",'Factory Costs'!$B:$B,B2876))</f>
        <v>62</v>
      </c>
    </row>
    <row r="2877" spans="1:3" x14ac:dyDescent="0.25">
      <c r="A2877" s="1" t="s">
        <v>15183</v>
      </c>
      <c r="B2877" s="1" t="s">
        <v>16374</v>
      </c>
      <c r="C2877" s="3">
        <f>IF(B2877="","",SUMIFS('Factory Costs'!$C:$C,'Factory Costs'!$A:$A,"Motor",'Factory Costs'!$B:$B,B2877))</f>
        <v>62</v>
      </c>
    </row>
    <row r="2878" spans="1:3" x14ac:dyDescent="0.25">
      <c r="A2878" s="1" t="s">
        <v>15186</v>
      </c>
      <c r="B2878" s="1" t="s">
        <v>16374</v>
      </c>
      <c r="C2878" s="3">
        <f>IF(B2878="","",SUMIFS('Factory Costs'!$C:$C,'Factory Costs'!$A:$A,"Motor",'Factory Costs'!$B:$B,B2878))</f>
        <v>62</v>
      </c>
    </row>
    <row r="2879" spans="1:3" x14ac:dyDescent="0.25">
      <c r="A2879" s="1" t="s">
        <v>15189</v>
      </c>
      <c r="B2879" s="1" t="s">
        <v>16375</v>
      </c>
      <c r="C2879" s="3">
        <f>IF(B2879="","",SUMIFS('Factory Costs'!$C:$C,'Factory Costs'!$A:$A,"Motor",'Factory Costs'!$B:$B,B2879))</f>
        <v>72</v>
      </c>
    </row>
    <row r="2880" spans="1:3" x14ac:dyDescent="0.25">
      <c r="A2880" s="1" t="s">
        <v>15192</v>
      </c>
      <c r="B2880" s="1" t="s">
        <v>16374</v>
      </c>
      <c r="C2880" s="3">
        <f>IF(B2880="","",SUMIFS('Factory Costs'!$C:$C,'Factory Costs'!$A:$A,"Motor",'Factory Costs'!$B:$B,B2880))</f>
        <v>62</v>
      </c>
    </row>
    <row r="2881" spans="1:3" x14ac:dyDescent="0.25">
      <c r="A2881" s="1" t="s">
        <v>15195</v>
      </c>
      <c r="B2881" s="1" t="s">
        <v>16374</v>
      </c>
      <c r="C2881" s="3">
        <f>IF(B2881="","",SUMIFS('Factory Costs'!$C:$C,'Factory Costs'!$A:$A,"Motor",'Factory Costs'!$B:$B,B2881))</f>
        <v>62</v>
      </c>
    </row>
    <row r="2882" spans="1:3" x14ac:dyDescent="0.25">
      <c r="A2882" s="1" t="s">
        <v>15198</v>
      </c>
      <c r="B2882" s="1" t="s">
        <v>16375</v>
      </c>
      <c r="C2882" s="3">
        <f>IF(B2882="","",SUMIFS('Factory Costs'!$C:$C,'Factory Costs'!$A:$A,"Motor",'Factory Costs'!$B:$B,B2882))</f>
        <v>72</v>
      </c>
    </row>
    <row r="2883" spans="1:3" x14ac:dyDescent="0.25">
      <c r="A2883" s="1" t="s">
        <v>15201</v>
      </c>
      <c r="B2883" s="1" t="s">
        <v>16374</v>
      </c>
      <c r="C2883" s="3">
        <f>IF(B2883="","",SUMIFS('Factory Costs'!$C:$C,'Factory Costs'!$A:$A,"Motor",'Factory Costs'!$B:$B,B2883))</f>
        <v>62</v>
      </c>
    </row>
    <row r="2884" spans="1:3" x14ac:dyDescent="0.25">
      <c r="A2884" s="1" t="s">
        <v>15204</v>
      </c>
      <c r="B2884" s="1" t="s">
        <v>16374</v>
      </c>
      <c r="C2884" s="3">
        <f>IF(B2884="","",SUMIFS('Factory Costs'!$C:$C,'Factory Costs'!$A:$A,"Motor",'Factory Costs'!$B:$B,B2884))</f>
        <v>62</v>
      </c>
    </row>
    <row r="2885" spans="1:3" x14ac:dyDescent="0.25">
      <c r="A2885" s="1" t="s">
        <v>15207</v>
      </c>
      <c r="B2885" s="1" t="s">
        <v>16375</v>
      </c>
      <c r="C2885" s="3">
        <f>IF(B2885="","",SUMIFS('Factory Costs'!$C:$C,'Factory Costs'!$A:$A,"Motor",'Factory Costs'!$B:$B,B2885))</f>
        <v>72</v>
      </c>
    </row>
    <row r="2886" spans="1:3" x14ac:dyDescent="0.25">
      <c r="A2886" s="1" t="s">
        <v>15210</v>
      </c>
      <c r="B2886" s="1" t="s">
        <v>16375</v>
      </c>
      <c r="C2886" s="3">
        <f>IF(B2886="","",SUMIFS('Factory Costs'!$C:$C,'Factory Costs'!$A:$A,"Motor",'Factory Costs'!$B:$B,B2886))</f>
        <v>72</v>
      </c>
    </row>
    <row r="2887" spans="1:3" x14ac:dyDescent="0.25">
      <c r="A2887" s="1" t="s">
        <v>15213</v>
      </c>
      <c r="B2887" s="1" t="s">
        <v>16375</v>
      </c>
      <c r="C2887" s="3">
        <f>IF(B2887="","",SUMIFS('Factory Costs'!$C:$C,'Factory Costs'!$A:$A,"Motor",'Factory Costs'!$B:$B,B2887))</f>
        <v>72</v>
      </c>
    </row>
    <row r="2888" spans="1:3" x14ac:dyDescent="0.25">
      <c r="A2888" s="1" t="s">
        <v>15216</v>
      </c>
      <c r="B2888" s="1" t="s">
        <v>16374</v>
      </c>
      <c r="C2888" s="3">
        <f>IF(B2888="","",SUMIFS('Factory Costs'!$C:$C,'Factory Costs'!$A:$A,"Motor",'Factory Costs'!$B:$B,B2888))</f>
        <v>62</v>
      </c>
    </row>
    <row r="2889" spans="1:3" x14ac:dyDescent="0.25">
      <c r="A2889" s="1" t="s">
        <v>15219</v>
      </c>
      <c r="B2889" s="1" t="s">
        <v>16374</v>
      </c>
      <c r="C2889" s="3">
        <f>IF(B2889="","",SUMIFS('Factory Costs'!$C:$C,'Factory Costs'!$A:$A,"Motor",'Factory Costs'!$B:$B,B2889))</f>
        <v>62</v>
      </c>
    </row>
    <row r="2890" spans="1:3" x14ac:dyDescent="0.25">
      <c r="A2890" s="1" t="s">
        <v>15222</v>
      </c>
      <c r="B2890" s="1" t="s">
        <v>16375</v>
      </c>
      <c r="C2890" s="3">
        <f>IF(B2890="","",SUMIFS('Factory Costs'!$C:$C,'Factory Costs'!$A:$A,"Motor",'Factory Costs'!$B:$B,B2890))</f>
        <v>72</v>
      </c>
    </row>
    <row r="2891" spans="1:3" x14ac:dyDescent="0.25">
      <c r="A2891" s="1" t="s">
        <v>15225</v>
      </c>
      <c r="B2891" s="1" t="s">
        <v>16374</v>
      </c>
      <c r="C2891" s="3">
        <f>IF(B2891="","",SUMIFS('Factory Costs'!$C:$C,'Factory Costs'!$A:$A,"Motor",'Factory Costs'!$B:$B,B2891))</f>
        <v>62</v>
      </c>
    </row>
    <row r="2892" spans="1:3" x14ac:dyDescent="0.25">
      <c r="A2892" s="1" t="s">
        <v>15228</v>
      </c>
      <c r="B2892" s="1" t="s">
        <v>16375</v>
      </c>
      <c r="C2892" s="3">
        <f>IF(B2892="","",SUMIFS('Factory Costs'!$C:$C,'Factory Costs'!$A:$A,"Motor",'Factory Costs'!$B:$B,B2892))</f>
        <v>72</v>
      </c>
    </row>
    <row r="2893" spans="1:3" x14ac:dyDescent="0.25">
      <c r="A2893" s="1" t="s">
        <v>15231</v>
      </c>
      <c r="B2893" s="1" t="s">
        <v>16374</v>
      </c>
      <c r="C2893" s="3">
        <f>IF(B2893="","",SUMIFS('Factory Costs'!$C:$C,'Factory Costs'!$A:$A,"Motor",'Factory Costs'!$B:$B,B2893))</f>
        <v>62</v>
      </c>
    </row>
    <row r="2894" spans="1:3" x14ac:dyDescent="0.25">
      <c r="A2894" s="1" t="s">
        <v>15234</v>
      </c>
      <c r="B2894" s="1" t="s">
        <v>16374</v>
      </c>
      <c r="C2894" s="3">
        <f>IF(B2894="","",SUMIFS('Factory Costs'!$C:$C,'Factory Costs'!$A:$A,"Motor",'Factory Costs'!$B:$B,B2894))</f>
        <v>62</v>
      </c>
    </row>
    <row r="2895" spans="1:3" x14ac:dyDescent="0.25">
      <c r="A2895" s="1" t="s">
        <v>15237</v>
      </c>
      <c r="B2895" s="1" t="s">
        <v>16375</v>
      </c>
      <c r="C2895" s="3">
        <f>IF(B2895="","",SUMIFS('Factory Costs'!$C:$C,'Factory Costs'!$A:$A,"Motor",'Factory Costs'!$B:$B,B2895))</f>
        <v>72</v>
      </c>
    </row>
    <row r="2896" spans="1:3" x14ac:dyDescent="0.25">
      <c r="A2896" s="1" t="s">
        <v>15240</v>
      </c>
      <c r="B2896" s="1" t="s">
        <v>16374</v>
      </c>
      <c r="C2896" s="3">
        <f>IF(B2896="","",SUMIFS('Factory Costs'!$C:$C,'Factory Costs'!$A:$A,"Motor",'Factory Costs'!$B:$B,B2896))</f>
        <v>62</v>
      </c>
    </row>
    <row r="2897" spans="1:3" x14ac:dyDescent="0.25">
      <c r="A2897" s="1" t="s">
        <v>15243</v>
      </c>
      <c r="B2897" s="1" t="s">
        <v>16374</v>
      </c>
      <c r="C2897" s="3">
        <f>IF(B2897="","",SUMIFS('Factory Costs'!$C:$C,'Factory Costs'!$A:$A,"Motor",'Factory Costs'!$B:$B,B2897))</f>
        <v>62</v>
      </c>
    </row>
    <row r="2898" spans="1:3" x14ac:dyDescent="0.25">
      <c r="A2898" s="1" t="s">
        <v>15246</v>
      </c>
      <c r="B2898" s="1" t="s">
        <v>16375</v>
      </c>
      <c r="C2898" s="3">
        <f>IF(B2898="","",SUMIFS('Factory Costs'!$C:$C,'Factory Costs'!$A:$A,"Motor",'Factory Costs'!$B:$B,B2898))</f>
        <v>72</v>
      </c>
    </row>
    <row r="2899" spans="1:3" x14ac:dyDescent="0.25">
      <c r="A2899" s="1" t="s">
        <v>15249</v>
      </c>
      <c r="B2899" s="1" t="s">
        <v>16374</v>
      </c>
      <c r="C2899" s="3">
        <f>IF(B2899="","",SUMIFS('Factory Costs'!$C:$C,'Factory Costs'!$A:$A,"Motor",'Factory Costs'!$B:$B,B2899))</f>
        <v>62</v>
      </c>
    </row>
    <row r="2900" spans="1:3" x14ac:dyDescent="0.25">
      <c r="A2900" s="1" t="s">
        <v>15252</v>
      </c>
      <c r="B2900" s="1" t="s">
        <v>16374</v>
      </c>
      <c r="C2900" s="3">
        <f>IF(B2900="","",SUMIFS('Factory Costs'!$C:$C,'Factory Costs'!$A:$A,"Motor",'Factory Costs'!$B:$B,B2900))</f>
        <v>62</v>
      </c>
    </row>
    <row r="2901" spans="1:3" x14ac:dyDescent="0.25">
      <c r="A2901" s="1" t="s">
        <v>15255</v>
      </c>
      <c r="B2901" s="1" t="s">
        <v>16374</v>
      </c>
      <c r="C2901" s="3">
        <f>IF(B2901="","",SUMIFS('Factory Costs'!$C:$C,'Factory Costs'!$A:$A,"Motor",'Factory Costs'!$B:$B,B2901))</f>
        <v>62</v>
      </c>
    </row>
    <row r="2902" spans="1:3" x14ac:dyDescent="0.25">
      <c r="A2902" s="1" t="s">
        <v>15258</v>
      </c>
      <c r="B2902" s="1" t="s">
        <v>16375</v>
      </c>
      <c r="C2902" s="3">
        <f>IF(B2902="","",SUMIFS('Factory Costs'!$C:$C,'Factory Costs'!$A:$A,"Motor",'Factory Costs'!$B:$B,B2902))</f>
        <v>72</v>
      </c>
    </row>
    <row r="2903" spans="1:3" x14ac:dyDescent="0.25">
      <c r="A2903" s="1" t="s">
        <v>15261</v>
      </c>
      <c r="B2903" s="1" t="s">
        <v>16374</v>
      </c>
      <c r="C2903" s="3">
        <f>IF(B2903="","",SUMIFS('Factory Costs'!$C:$C,'Factory Costs'!$A:$A,"Motor",'Factory Costs'!$B:$B,B2903))</f>
        <v>62</v>
      </c>
    </row>
    <row r="2904" spans="1:3" x14ac:dyDescent="0.25">
      <c r="A2904" s="1" t="s">
        <v>15264</v>
      </c>
      <c r="B2904" s="1" t="s">
        <v>16374</v>
      </c>
      <c r="C2904" s="3">
        <f>IF(B2904="","",SUMIFS('Factory Costs'!$C:$C,'Factory Costs'!$A:$A,"Motor",'Factory Costs'!$B:$B,B2904))</f>
        <v>62</v>
      </c>
    </row>
    <row r="2905" spans="1:3" x14ac:dyDescent="0.25">
      <c r="A2905" s="1" t="s">
        <v>15267</v>
      </c>
      <c r="B2905" s="1" t="s">
        <v>16374</v>
      </c>
      <c r="C2905" s="3">
        <f>IF(B2905="","",SUMIFS('Factory Costs'!$C:$C,'Factory Costs'!$A:$A,"Motor",'Factory Costs'!$B:$B,B2905))</f>
        <v>62</v>
      </c>
    </row>
    <row r="2906" spans="1:3" x14ac:dyDescent="0.25">
      <c r="A2906" s="1" t="s">
        <v>15270</v>
      </c>
      <c r="B2906" s="1" t="s">
        <v>16374</v>
      </c>
      <c r="C2906" s="3">
        <f>IF(B2906="","",SUMIFS('Factory Costs'!$C:$C,'Factory Costs'!$A:$A,"Motor",'Factory Costs'!$B:$B,B2906))</f>
        <v>62</v>
      </c>
    </row>
    <row r="2907" spans="1:3" x14ac:dyDescent="0.25">
      <c r="A2907" s="1" t="s">
        <v>15273</v>
      </c>
      <c r="B2907" s="1" t="s">
        <v>16375</v>
      </c>
      <c r="C2907" s="3">
        <f>IF(B2907="","",SUMIFS('Factory Costs'!$C:$C,'Factory Costs'!$A:$A,"Motor",'Factory Costs'!$B:$B,B2907))</f>
        <v>72</v>
      </c>
    </row>
    <row r="2908" spans="1:3" x14ac:dyDescent="0.25">
      <c r="A2908" s="1" t="s">
        <v>15276</v>
      </c>
      <c r="B2908" s="1" t="s">
        <v>16374</v>
      </c>
      <c r="C2908" s="3">
        <f>IF(B2908="","",SUMIFS('Factory Costs'!$C:$C,'Factory Costs'!$A:$A,"Motor",'Factory Costs'!$B:$B,B2908))</f>
        <v>62</v>
      </c>
    </row>
    <row r="2909" spans="1:3" x14ac:dyDescent="0.25">
      <c r="A2909" s="1" t="s">
        <v>15279</v>
      </c>
      <c r="B2909" s="1" t="s">
        <v>16374</v>
      </c>
      <c r="C2909" s="3">
        <f>IF(B2909="","",SUMIFS('Factory Costs'!$C:$C,'Factory Costs'!$A:$A,"Motor",'Factory Costs'!$B:$B,B2909))</f>
        <v>62</v>
      </c>
    </row>
    <row r="2910" spans="1:3" x14ac:dyDescent="0.25">
      <c r="A2910" s="1" t="s">
        <v>15282</v>
      </c>
      <c r="B2910" s="1" t="s">
        <v>16375</v>
      </c>
      <c r="C2910" s="3">
        <f>IF(B2910="","",SUMIFS('Factory Costs'!$C:$C,'Factory Costs'!$A:$A,"Motor",'Factory Costs'!$B:$B,B2910))</f>
        <v>72</v>
      </c>
    </row>
    <row r="2911" spans="1:3" x14ac:dyDescent="0.25">
      <c r="A2911" s="1" t="s">
        <v>15285</v>
      </c>
      <c r="B2911" s="1" t="s">
        <v>16375</v>
      </c>
      <c r="C2911" s="3">
        <f>IF(B2911="","",SUMIFS('Factory Costs'!$C:$C,'Factory Costs'!$A:$A,"Motor",'Factory Costs'!$B:$B,B2911))</f>
        <v>72</v>
      </c>
    </row>
    <row r="2912" spans="1:3" x14ac:dyDescent="0.25">
      <c r="A2912" s="1" t="s">
        <v>15288</v>
      </c>
      <c r="B2912" s="1" t="s">
        <v>16374</v>
      </c>
      <c r="C2912" s="3">
        <f>IF(B2912="","",SUMIFS('Factory Costs'!$C:$C,'Factory Costs'!$A:$A,"Motor",'Factory Costs'!$B:$B,B2912))</f>
        <v>62</v>
      </c>
    </row>
    <row r="2913" spans="1:3" x14ac:dyDescent="0.25">
      <c r="A2913" s="1" t="s">
        <v>15291</v>
      </c>
      <c r="B2913" s="1" t="s">
        <v>16374</v>
      </c>
      <c r="C2913" s="3">
        <f>IF(B2913="","",SUMIFS('Factory Costs'!$C:$C,'Factory Costs'!$A:$A,"Motor",'Factory Costs'!$B:$B,B2913))</f>
        <v>62</v>
      </c>
    </row>
    <row r="2914" spans="1:3" x14ac:dyDescent="0.25">
      <c r="A2914" s="1" t="s">
        <v>15294</v>
      </c>
      <c r="B2914" s="1" t="s">
        <v>16375</v>
      </c>
      <c r="C2914" s="3">
        <f>IF(B2914="","",SUMIFS('Factory Costs'!$C:$C,'Factory Costs'!$A:$A,"Motor",'Factory Costs'!$B:$B,B2914))</f>
        <v>72</v>
      </c>
    </row>
    <row r="2915" spans="1:3" x14ac:dyDescent="0.25">
      <c r="A2915" s="1" t="s">
        <v>15297</v>
      </c>
      <c r="B2915" s="1" t="s">
        <v>16374</v>
      </c>
      <c r="C2915" s="3">
        <f>IF(B2915="","",SUMIFS('Factory Costs'!$C:$C,'Factory Costs'!$A:$A,"Motor",'Factory Costs'!$B:$B,B2915))</f>
        <v>62</v>
      </c>
    </row>
    <row r="2916" spans="1:3" x14ac:dyDescent="0.25">
      <c r="A2916" s="1" t="s">
        <v>15300</v>
      </c>
      <c r="B2916" s="1" t="s">
        <v>16375</v>
      </c>
      <c r="C2916" s="3">
        <f>IF(B2916="","",SUMIFS('Factory Costs'!$C:$C,'Factory Costs'!$A:$A,"Motor",'Factory Costs'!$B:$B,B2916))</f>
        <v>72</v>
      </c>
    </row>
    <row r="2917" spans="1:3" x14ac:dyDescent="0.25">
      <c r="A2917" s="1" t="s">
        <v>15303</v>
      </c>
      <c r="B2917" s="1" t="s">
        <v>16375</v>
      </c>
      <c r="C2917" s="3">
        <f>IF(B2917="","",SUMIFS('Factory Costs'!$C:$C,'Factory Costs'!$A:$A,"Motor",'Factory Costs'!$B:$B,B2917))</f>
        <v>72</v>
      </c>
    </row>
    <row r="2918" spans="1:3" x14ac:dyDescent="0.25">
      <c r="A2918" s="1" t="s">
        <v>15306</v>
      </c>
      <c r="B2918" s="1" t="s">
        <v>16375</v>
      </c>
      <c r="C2918" s="3">
        <f>IF(B2918="","",SUMIFS('Factory Costs'!$C:$C,'Factory Costs'!$A:$A,"Motor",'Factory Costs'!$B:$B,B2918))</f>
        <v>72</v>
      </c>
    </row>
    <row r="2919" spans="1:3" x14ac:dyDescent="0.25">
      <c r="A2919" s="1" t="s">
        <v>15309</v>
      </c>
      <c r="B2919" s="1" t="s">
        <v>16374</v>
      </c>
      <c r="C2919" s="3">
        <f>IF(B2919="","",SUMIFS('Factory Costs'!$C:$C,'Factory Costs'!$A:$A,"Motor",'Factory Costs'!$B:$B,B2919))</f>
        <v>62</v>
      </c>
    </row>
    <row r="2920" spans="1:3" x14ac:dyDescent="0.25">
      <c r="A2920" s="1" t="s">
        <v>15312</v>
      </c>
      <c r="B2920" s="1" t="s">
        <v>16375</v>
      </c>
      <c r="C2920" s="3">
        <f>IF(B2920="","",SUMIFS('Factory Costs'!$C:$C,'Factory Costs'!$A:$A,"Motor",'Factory Costs'!$B:$B,B2920))</f>
        <v>72</v>
      </c>
    </row>
    <row r="2921" spans="1:3" x14ac:dyDescent="0.25">
      <c r="A2921" s="1" t="s">
        <v>15315</v>
      </c>
      <c r="B2921" s="1" t="s">
        <v>16375</v>
      </c>
      <c r="C2921" s="3">
        <f>IF(B2921="","",SUMIFS('Factory Costs'!$C:$C,'Factory Costs'!$A:$A,"Motor",'Factory Costs'!$B:$B,B2921))</f>
        <v>72</v>
      </c>
    </row>
    <row r="2922" spans="1:3" x14ac:dyDescent="0.25">
      <c r="A2922" s="1" t="s">
        <v>15318</v>
      </c>
      <c r="B2922" s="1" t="s">
        <v>16374</v>
      </c>
      <c r="C2922" s="3">
        <f>IF(B2922="","",SUMIFS('Factory Costs'!$C:$C,'Factory Costs'!$A:$A,"Motor",'Factory Costs'!$B:$B,B2922))</f>
        <v>62</v>
      </c>
    </row>
    <row r="2923" spans="1:3" x14ac:dyDescent="0.25">
      <c r="A2923" s="1" t="s">
        <v>15321</v>
      </c>
      <c r="B2923" s="1" t="s">
        <v>16375</v>
      </c>
      <c r="C2923" s="3">
        <f>IF(B2923="","",SUMIFS('Factory Costs'!$C:$C,'Factory Costs'!$A:$A,"Motor",'Factory Costs'!$B:$B,B2923))</f>
        <v>72</v>
      </c>
    </row>
    <row r="2924" spans="1:3" x14ac:dyDescent="0.25">
      <c r="A2924" s="1" t="s">
        <v>15324</v>
      </c>
      <c r="B2924" s="1" t="s">
        <v>16374</v>
      </c>
      <c r="C2924" s="3">
        <f>IF(B2924="","",SUMIFS('Factory Costs'!$C:$C,'Factory Costs'!$A:$A,"Motor",'Factory Costs'!$B:$B,B2924))</f>
        <v>62</v>
      </c>
    </row>
    <row r="2925" spans="1:3" x14ac:dyDescent="0.25">
      <c r="A2925" s="1" t="s">
        <v>15327</v>
      </c>
      <c r="B2925" s="1" t="s">
        <v>16374</v>
      </c>
      <c r="C2925" s="3">
        <f>IF(B2925="","",SUMIFS('Factory Costs'!$C:$C,'Factory Costs'!$A:$A,"Motor",'Factory Costs'!$B:$B,B2925))</f>
        <v>62</v>
      </c>
    </row>
    <row r="2926" spans="1:3" x14ac:dyDescent="0.25">
      <c r="A2926" s="1" t="s">
        <v>15330</v>
      </c>
      <c r="B2926" s="1" t="s">
        <v>16375</v>
      </c>
      <c r="C2926" s="3">
        <f>IF(B2926="","",SUMIFS('Factory Costs'!$C:$C,'Factory Costs'!$A:$A,"Motor",'Factory Costs'!$B:$B,B2926))</f>
        <v>72</v>
      </c>
    </row>
    <row r="2927" spans="1:3" x14ac:dyDescent="0.25">
      <c r="A2927" s="1" t="s">
        <v>15333</v>
      </c>
      <c r="B2927" s="1" t="s">
        <v>16374</v>
      </c>
      <c r="C2927" s="3">
        <f>IF(B2927="","",SUMIFS('Factory Costs'!$C:$C,'Factory Costs'!$A:$A,"Motor",'Factory Costs'!$B:$B,B2927))</f>
        <v>62</v>
      </c>
    </row>
    <row r="2928" spans="1:3" x14ac:dyDescent="0.25">
      <c r="A2928" s="1" t="s">
        <v>15336</v>
      </c>
      <c r="B2928" s="1" t="s">
        <v>16375</v>
      </c>
      <c r="C2928" s="3">
        <f>IF(B2928="","",SUMIFS('Factory Costs'!$C:$C,'Factory Costs'!$A:$A,"Motor",'Factory Costs'!$B:$B,B2928))</f>
        <v>72</v>
      </c>
    </row>
    <row r="2929" spans="1:3" x14ac:dyDescent="0.25">
      <c r="A2929" s="1" t="s">
        <v>15339</v>
      </c>
      <c r="B2929" s="1" t="s">
        <v>16375</v>
      </c>
      <c r="C2929" s="3">
        <f>IF(B2929="","",SUMIFS('Factory Costs'!$C:$C,'Factory Costs'!$A:$A,"Motor",'Factory Costs'!$B:$B,B2929))</f>
        <v>72</v>
      </c>
    </row>
    <row r="2930" spans="1:3" x14ac:dyDescent="0.25">
      <c r="A2930" s="1" t="s">
        <v>15342</v>
      </c>
      <c r="B2930" s="1" t="s">
        <v>16375</v>
      </c>
      <c r="C2930" s="3">
        <f>IF(B2930="","",SUMIFS('Factory Costs'!$C:$C,'Factory Costs'!$A:$A,"Motor",'Factory Costs'!$B:$B,B2930))</f>
        <v>72</v>
      </c>
    </row>
    <row r="2931" spans="1:3" x14ac:dyDescent="0.25">
      <c r="A2931" s="1" t="s">
        <v>15345</v>
      </c>
      <c r="B2931" s="1" t="s">
        <v>16375</v>
      </c>
      <c r="C2931" s="3">
        <f>IF(B2931="","",SUMIFS('Factory Costs'!$C:$C,'Factory Costs'!$A:$A,"Motor",'Factory Costs'!$B:$B,B2931))</f>
        <v>72</v>
      </c>
    </row>
    <row r="2932" spans="1:3" x14ac:dyDescent="0.25">
      <c r="A2932" s="1" t="s">
        <v>15348</v>
      </c>
      <c r="B2932" s="1" t="s">
        <v>16374</v>
      </c>
      <c r="C2932" s="3">
        <f>IF(B2932="","",SUMIFS('Factory Costs'!$C:$C,'Factory Costs'!$A:$A,"Motor",'Factory Costs'!$B:$B,B2932))</f>
        <v>62</v>
      </c>
    </row>
    <row r="2933" spans="1:3" x14ac:dyDescent="0.25">
      <c r="A2933" s="1" t="s">
        <v>15351</v>
      </c>
      <c r="B2933" s="1" t="s">
        <v>16375</v>
      </c>
      <c r="C2933" s="3">
        <f>IF(B2933="","",SUMIFS('Factory Costs'!$C:$C,'Factory Costs'!$A:$A,"Motor",'Factory Costs'!$B:$B,B2933))</f>
        <v>72</v>
      </c>
    </row>
    <row r="2934" spans="1:3" x14ac:dyDescent="0.25">
      <c r="A2934" s="1" t="s">
        <v>15354</v>
      </c>
      <c r="B2934" s="1" t="s">
        <v>16375</v>
      </c>
      <c r="C2934" s="3">
        <f>IF(B2934="","",SUMIFS('Factory Costs'!$C:$C,'Factory Costs'!$A:$A,"Motor",'Factory Costs'!$B:$B,B2934))</f>
        <v>72</v>
      </c>
    </row>
    <row r="2935" spans="1:3" x14ac:dyDescent="0.25">
      <c r="A2935" s="1" t="s">
        <v>15357</v>
      </c>
      <c r="B2935" s="1" t="s">
        <v>16374</v>
      </c>
      <c r="C2935" s="3">
        <f>IF(B2935="","",SUMIFS('Factory Costs'!$C:$C,'Factory Costs'!$A:$A,"Motor",'Factory Costs'!$B:$B,B2935))</f>
        <v>62</v>
      </c>
    </row>
    <row r="2936" spans="1:3" x14ac:dyDescent="0.25">
      <c r="A2936" s="1" t="s">
        <v>15360</v>
      </c>
      <c r="B2936" s="1" t="s">
        <v>16374</v>
      </c>
      <c r="C2936" s="3">
        <f>IF(B2936="","",SUMIFS('Factory Costs'!$C:$C,'Factory Costs'!$A:$A,"Motor",'Factory Costs'!$B:$B,B2936))</f>
        <v>62</v>
      </c>
    </row>
    <row r="2937" spans="1:3" x14ac:dyDescent="0.25">
      <c r="A2937" s="1" t="s">
        <v>15363</v>
      </c>
      <c r="B2937" s="1" t="s">
        <v>16375</v>
      </c>
      <c r="C2937" s="3">
        <f>IF(B2937="","",SUMIFS('Factory Costs'!$C:$C,'Factory Costs'!$A:$A,"Motor",'Factory Costs'!$B:$B,B2937))</f>
        <v>72</v>
      </c>
    </row>
    <row r="2938" spans="1:3" x14ac:dyDescent="0.25">
      <c r="A2938" s="1" t="s">
        <v>15366</v>
      </c>
      <c r="B2938" s="1" t="s">
        <v>16375</v>
      </c>
      <c r="C2938" s="3">
        <f>IF(B2938="","",SUMIFS('Factory Costs'!$C:$C,'Factory Costs'!$A:$A,"Motor",'Factory Costs'!$B:$B,B2938))</f>
        <v>72</v>
      </c>
    </row>
    <row r="2939" spans="1:3" x14ac:dyDescent="0.25">
      <c r="A2939" s="1" t="s">
        <v>15369</v>
      </c>
      <c r="B2939" s="1" t="s">
        <v>16374</v>
      </c>
      <c r="C2939" s="3">
        <f>IF(B2939="","",SUMIFS('Factory Costs'!$C:$C,'Factory Costs'!$A:$A,"Motor",'Factory Costs'!$B:$B,B2939))</f>
        <v>62</v>
      </c>
    </row>
    <row r="2940" spans="1:3" x14ac:dyDescent="0.25">
      <c r="A2940" s="1" t="s">
        <v>15372</v>
      </c>
      <c r="B2940" s="1" t="s">
        <v>16374</v>
      </c>
      <c r="C2940" s="3">
        <f>IF(B2940="","",SUMIFS('Factory Costs'!$C:$C,'Factory Costs'!$A:$A,"Motor",'Factory Costs'!$B:$B,B2940))</f>
        <v>62</v>
      </c>
    </row>
    <row r="2941" spans="1:3" x14ac:dyDescent="0.25">
      <c r="A2941" s="1" t="s">
        <v>15375</v>
      </c>
      <c r="B2941" s="1" t="s">
        <v>16375</v>
      </c>
      <c r="C2941" s="3">
        <f>IF(B2941="","",SUMIFS('Factory Costs'!$C:$C,'Factory Costs'!$A:$A,"Motor",'Factory Costs'!$B:$B,B2941))</f>
        <v>72</v>
      </c>
    </row>
    <row r="2942" spans="1:3" x14ac:dyDescent="0.25">
      <c r="A2942" s="1" t="s">
        <v>15378</v>
      </c>
      <c r="B2942" s="1" t="s">
        <v>16375</v>
      </c>
      <c r="C2942" s="3">
        <f>IF(B2942="","",SUMIFS('Factory Costs'!$C:$C,'Factory Costs'!$A:$A,"Motor",'Factory Costs'!$B:$B,B2942))</f>
        <v>72</v>
      </c>
    </row>
    <row r="2943" spans="1:3" x14ac:dyDescent="0.25">
      <c r="A2943" s="1" t="s">
        <v>15381</v>
      </c>
      <c r="B2943" s="1" t="s">
        <v>16375</v>
      </c>
      <c r="C2943" s="3">
        <f>IF(B2943="","",SUMIFS('Factory Costs'!$C:$C,'Factory Costs'!$A:$A,"Motor",'Factory Costs'!$B:$B,B2943))</f>
        <v>72</v>
      </c>
    </row>
    <row r="2944" spans="1:3" x14ac:dyDescent="0.25">
      <c r="A2944" s="1" t="s">
        <v>15384</v>
      </c>
      <c r="B2944" s="1" t="s">
        <v>16374</v>
      </c>
      <c r="C2944" s="3">
        <f>IF(B2944="","",SUMIFS('Factory Costs'!$C:$C,'Factory Costs'!$A:$A,"Motor",'Factory Costs'!$B:$B,B2944))</f>
        <v>62</v>
      </c>
    </row>
    <row r="2945" spans="1:3" x14ac:dyDescent="0.25">
      <c r="A2945" s="1" t="s">
        <v>15387</v>
      </c>
      <c r="B2945" s="1" t="s">
        <v>16374</v>
      </c>
      <c r="C2945" s="3">
        <f>IF(B2945="","",SUMIFS('Factory Costs'!$C:$C,'Factory Costs'!$A:$A,"Motor",'Factory Costs'!$B:$B,B2945))</f>
        <v>62</v>
      </c>
    </row>
    <row r="2946" spans="1:3" x14ac:dyDescent="0.25">
      <c r="A2946" s="1" t="s">
        <v>15390</v>
      </c>
      <c r="B2946" s="1" t="s">
        <v>16374</v>
      </c>
      <c r="C2946" s="3">
        <f>IF(B2946="","",SUMIFS('Factory Costs'!$C:$C,'Factory Costs'!$A:$A,"Motor",'Factory Costs'!$B:$B,B2946))</f>
        <v>62</v>
      </c>
    </row>
    <row r="2947" spans="1:3" x14ac:dyDescent="0.25">
      <c r="A2947" s="1" t="s">
        <v>15393</v>
      </c>
      <c r="B2947" s="1" t="s">
        <v>16374</v>
      </c>
      <c r="C2947" s="3">
        <f>IF(B2947="","",SUMIFS('Factory Costs'!$C:$C,'Factory Costs'!$A:$A,"Motor",'Factory Costs'!$B:$B,B2947))</f>
        <v>62</v>
      </c>
    </row>
    <row r="2948" spans="1:3" x14ac:dyDescent="0.25">
      <c r="A2948" s="1" t="s">
        <v>15396</v>
      </c>
      <c r="B2948" s="1" t="s">
        <v>16375</v>
      </c>
      <c r="C2948" s="3">
        <f>IF(B2948="","",SUMIFS('Factory Costs'!$C:$C,'Factory Costs'!$A:$A,"Motor",'Factory Costs'!$B:$B,B2948))</f>
        <v>72</v>
      </c>
    </row>
    <row r="2949" spans="1:3" x14ac:dyDescent="0.25">
      <c r="A2949" s="1" t="s">
        <v>15399</v>
      </c>
      <c r="B2949" s="1" t="s">
        <v>16375</v>
      </c>
      <c r="C2949" s="3">
        <f>IF(B2949="","",SUMIFS('Factory Costs'!$C:$C,'Factory Costs'!$A:$A,"Motor",'Factory Costs'!$B:$B,B2949))</f>
        <v>72</v>
      </c>
    </row>
    <row r="2950" spans="1:3" x14ac:dyDescent="0.25">
      <c r="A2950" s="1" t="s">
        <v>15402</v>
      </c>
      <c r="B2950" s="1" t="s">
        <v>16374</v>
      </c>
      <c r="C2950" s="3">
        <f>IF(B2950="","",SUMIFS('Factory Costs'!$C:$C,'Factory Costs'!$A:$A,"Motor",'Factory Costs'!$B:$B,B2950))</f>
        <v>62</v>
      </c>
    </row>
    <row r="2951" spans="1:3" x14ac:dyDescent="0.25">
      <c r="A2951" s="1" t="s">
        <v>15405</v>
      </c>
      <c r="B2951" s="1" t="s">
        <v>16374</v>
      </c>
      <c r="C2951" s="3">
        <f>IF(B2951="","",SUMIFS('Factory Costs'!$C:$C,'Factory Costs'!$A:$A,"Motor",'Factory Costs'!$B:$B,B2951))</f>
        <v>62</v>
      </c>
    </row>
    <row r="2952" spans="1:3" x14ac:dyDescent="0.25">
      <c r="A2952" s="1" t="s">
        <v>15408</v>
      </c>
      <c r="B2952" s="1" t="s">
        <v>16374</v>
      </c>
      <c r="C2952" s="3">
        <f>IF(B2952="","",SUMIFS('Factory Costs'!$C:$C,'Factory Costs'!$A:$A,"Motor",'Factory Costs'!$B:$B,B2952))</f>
        <v>62</v>
      </c>
    </row>
    <row r="2953" spans="1:3" x14ac:dyDescent="0.25">
      <c r="A2953" s="1" t="s">
        <v>15411</v>
      </c>
      <c r="B2953" s="1" t="s">
        <v>16374</v>
      </c>
      <c r="C2953" s="3">
        <f>IF(B2953="","",SUMIFS('Factory Costs'!$C:$C,'Factory Costs'!$A:$A,"Motor",'Factory Costs'!$B:$B,B2953))</f>
        <v>62</v>
      </c>
    </row>
    <row r="2954" spans="1:3" x14ac:dyDescent="0.25">
      <c r="A2954" s="1" t="s">
        <v>15414</v>
      </c>
      <c r="B2954" s="1" t="s">
        <v>16375</v>
      </c>
      <c r="C2954" s="3">
        <f>IF(B2954="","",SUMIFS('Factory Costs'!$C:$C,'Factory Costs'!$A:$A,"Motor",'Factory Costs'!$B:$B,B2954))</f>
        <v>72</v>
      </c>
    </row>
    <row r="2955" spans="1:3" x14ac:dyDescent="0.25">
      <c r="A2955" s="1" t="s">
        <v>15417</v>
      </c>
      <c r="B2955" s="1" t="s">
        <v>16374</v>
      </c>
      <c r="C2955" s="3">
        <f>IF(B2955="","",SUMIFS('Factory Costs'!$C:$C,'Factory Costs'!$A:$A,"Motor",'Factory Costs'!$B:$B,B2955))</f>
        <v>62</v>
      </c>
    </row>
    <row r="2956" spans="1:3" x14ac:dyDescent="0.25">
      <c r="A2956" s="1" t="s">
        <v>15420</v>
      </c>
      <c r="B2956" s="1" t="s">
        <v>16374</v>
      </c>
      <c r="C2956" s="3">
        <f>IF(B2956="","",SUMIFS('Factory Costs'!$C:$C,'Factory Costs'!$A:$A,"Motor",'Factory Costs'!$B:$B,B2956))</f>
        <v>62</v>
      </c>
    </row>
    <row r="2957" spans="1:3" x14ac:dyDescent="0.25">
      <c r="A2957" s="1" t="s">
        <v>15423</v>
      </c>
      <c r="B2957" s="1" t="s">
        <v>16374</v>
      </c>
      <c r="C2957" s="3">
        <f>IF(B2957="","",SUMIFS('Factory Costs'!$C:$C,'Factory Costs'!$A:$A,"Motor",'Factory Costs'!$B:$B,B2957))</f>
        <v>62</v>
      </c>
    </row>
    <row r="2958" spans="1:3" x14ac:dyDescent="0.25">
      <c r="A2958" s="1" t="s">
        <v>15426</v>
      </c>
      <c r="B2958" s="1" t="s">
        <v>16374</v>
      </c>
      <c r="C2958" s="3">
        <f>IF(B2958="","",SUMIFS('Factory Costs'!$C:$C,'Factory Costs'!$A:$A,"Motor",'Factory Costs'!$B:$B,B2958))</f>
        <v>62</v>
      </c>
    </row>
    <row r="2959" spans="1:3" x14ac:dyDescent="0.25">
      <c r="A2959" s="1" t="s">
        <v>15429</v>
      </c>
      <c r="B2959" s="1" t="s">
        <v>16374</v>
      </c>
      <c r="C2959" s="3">
        <f>IF(B2959="","",SUMIFS('Factory Costs'!$C:$C,'Factory Costs'!$A:$A,"Motor",'Factory Costs'!$B:$B,B2959))</f>
        <v>62</v>
      </c>
    </row>
    <row r="2960" spans="1:3" x14ac:dyDescent="0.25">
      <c r="A2960" s="1" t="s">
        <v>15432</v>
      </c>
      <c r="B2960" s="1" t="s">
        <v>16374</v>
      </c>
      <c r="C2960" s="3">
        <f>IF(B2960="","",SUMIFS('Factory Costs'!$C:$C,'Factory Costs'!$A:$A,"Motor",'Factory Costs'!$B:$B,B2960))</f>
        <v>62</v>
      </c>
    </row>
    <row r="2961" spans="1:3" x14ac:dyDescent="0.25">
      <c r="A2961" s="1" t="s">
        <v>15435</v>
      </c>
      <c r="B2961" s="1" t="s">
        <v>16375</v>
      </c>
      <c r="C2961" s="3">
        <f>IF(B2961="","",SUMIFS('Factory Costs'!$C:$C,'Factory Costs'!$A:$A,"Motor",'Factory Costs'!$B:$B,B2961))</f>
        <v>72</v>
      </c>
    </row>
    <row r="2962" spans="1:3" x14ac:dyDescent="0.25">
      <c r="A2962" s="1" t="s">
        <v>15438</v>
      </c>
      <c r="B2962" s="1" t="s">
        <v>16374</v>
      </c>
      <c r="C2962" s="3">
        <f>IF(B2962="","",SUMIFS('Factory Costs'!$C:$C,'Factory Costs'!$A:$A,"Motor",'Factory Costs'!$B:$B,B2962))</f>
        <v>62</v>
      </c>
    </row>
    <row r="2963" spans="1:3" x14ac:dyDescent="0.25">
      <c r="A2963" s="1" t="s">
        <v>15441</v>
      </c>
      <c r="B2963" s="1" t="s">
        <v>16374</v>
      </c>
      <c r="C2963" s="3">
        <f>IF(B2963="","",SUMIFS('Factory Costs'!$C:$C,'Factory Costs'!$A:$A,"Motor",'Factory Costs'!$B:$B,B2963))</f>
        <v>62</v>
      </c>
    </row>
    <row r="2964" spans="1:3" x14ac:dyDescent="0.25">
      <c r="A2964" s="1" t="s">
        <v>15444</v>
      </c>
      <c r="B2964" s="1" t="s">
        <v>16374</v>
      </c>
      <c r="C2964" s="3">
        <f>IF(B2964="","",SUMIFS('Factory Costs'!$C:$C,'Factory Costs'!$A:$A,"Motor",'Factory Costs'!$B:$B,B2964))</f>
        <v>62</v>
      </c>
    </row>
    <row r="2965" spans="1:3" x14ac:dyDescent="0.25">
      <c r="A2965" s="1" t="s">
        <v>15447</v>
      </c>
      <c r="B2965" s="1" t="s">
        <v>16374</v>
      </c>
      <c r="C2965" s="3">
        <f>IF(B2965="","",SUMIFS('Factory Costs'!$C:$C,'Factory Costs'!$A:$A,"Motor",'Factory Costs'!$B:$B,B2965))</f>
        <v>62</v>
      </c>
    </row>
    <row r="2966" spans="1:3" x14ac:dyDescent="0.25">
      <c r="A2966" s="1" t="s">
        <v>15450</v>
      </c>
      <c r="B2966" s="1" t="s">
        <v>16375</v>
      </c>
      <c r="C2966" s="3">
        <f>IF(B2966="","",SUMIFS('Factory Costs'!$C:$C,'Factory Costs'!$A:$A,"Motor",'Factory Costs'!$B:$B,B2966))</f>
        <v>72</v>
      </c>
    </row>
    <row r="2967" spans="1:3" x14ac:dyDescent="0.25">
      <c r="A2967" s="1" t="s">
        <v>15453</v>
      </c>
      <c r="B2967" s="1" t="s">
        <v>16374</v>
      </c>
      <c r="C2967" s="3">
        <f>IF(B2967="","",SUMIFS('Factory Costs'!$C:$C,'Factory Costs'!$A:$A,"Motor",'Factory Costs'!$B:$B,B2967))</f>
        <v>62</v>
      </c>
    </row>
    <row r="2968" spans="1:3" x14ac:dyDescent="0.25">
      <c r="A2968" s="1" t="s">
        <v>15456</v>
      </c>
      <c r="B2968" s="1" t="s">
        <v>16375</v>
      </c>
      <c r="C2968" s="3">
        <f>IF(B2968="","",SUMIFS('Factory Costs'!$C:$C,'Factory Costs'!$A:$A,"Motor",'Factory Costs'!$B:$B,B2968))</f>
        <v>72</v>
      </c>
    </row>
    <row r="2969" spans="1:3" x14ac:dyDescent="0.25">
      <c r="A2969" s="1" t="s">
        <v>15459</v>
      </c>
      <c r="B2969" s="1" t="s">
        <v>16374</v>
      </c>
      <c r="C2969" s="3">
        <f>IF(B2969="","",SUMIFS('Factory Costs'!$C:$C,'Factory Costs'!$A:$A,"Motor",'Factory Costs'!$B:$B,B2969))</f>
        <v>62</v>
      </c>
    </row>
    <row r="2970" spans="1:3" x14ac:dyDescent="0.25">
      <c r="A2970" s="1" t="s">
        <v>15462</v>
      </c>
      <c r="B2970" s="1" t="s">
        <v>16375</v>
      </c>
      <c r="C2970" s="3">
        <f>IF(B2970="","",SUMIFS('Factory Costs'!$C:$C,'Factory Costs'!$A:$A,"Motor",'Factory Costs'!$B:$B,B2970))</f>
        <v>72</v>
      </c>
    </row>
    <row r="2971" spans="1:3" x14ac:dyDescent="0.25">
      <c r="A2971" s="1" t="s">
        <v>15465</v>
      </c>
      <c r="B2971" s="1" t="s">
        <v>16374</v>
      </c>
      <c r="C2971" s="3">
        <f>IF(B2971="","",SUMIFS('Factory Costs'!$C:$C,'Factory Costs'!$A:$A,"Motor",'Factory Costs'!$B:$B,B2971))</f>
        <v>62</v>
      </c>
    </row>
    <row r="2972" spans="1:3" x14ac:dyDescent="0.25">
      <c r="A2972" s="1" t="s">
        <v>15468</v>
      </c>
      <c r="B2972" s="1" t="s">
        <v>16374</v>
      </c>
      <c r="C2972" s="3">
        <f>IF(B2972="","",SUMIFS('Factory Costs'!$C:$C,'Factory Costs'!$A:$A,"Motor",'Factory Costs'!$B:$B,B2972))</f>
        <v>62</v>
      </c>
    </row>
    <row r="2973" spans="1:3" x14ac:dyDescent="0.25">
      <c r="A2973" s="1" t="s">
        <v>15471</v>
      </c>
      <c r="B2973" s="1" t="s">
        <v>16374</v>
      </c>
      <c r="C2973" s="3">
        <f>IF(B2973="","",SUMIFS('Factory Costs'!$C:$C,'Factory Costs'!$A:$A,"Motor",'Factory Costs'!$B:$B,B2973))</f>
        <v>62</v>
      </c>
    </row>
    <row r="2974" spans="1:3" x14ac:dyDescent="0.25">
      <c r="A2974" s="1" t="s">
        <v>15474</v>
      </c>
      <c r="B2974" s="1" t="s">
        <v>16374</v>
      </c>
      <c r="C2974" s="3">
        <f>IF(B2974="","",SUMIFS('Factory Costs'!$C:$C,'Factory Costs'!$A:$A,"Motor",'Factory Costs'!$B:$B,B2974))</f>
        <v>62</v>
      </c>
    </row>
    <row r="2975" spans="1:3" x14ac:dyDescent="0.25">
      <c r="A2975" s="1" t="s">
        <v>15477</v>
      </c>
      <c r="B2975" s="1" t="s">
        <v>16374</v>
      </c>
      <c r="C2975" s="3">
        <f>IF(B2975="","",SUMIFS('Factory Costs'!$C:$C,'Factory Costs'!$A:$A,"Motor",'Factory Costs'!$B:$B,B2975))</f>
        <v>62</v>
      </c>
    </row>
    <row r="2976" spans="1:3" x14ac:dyDescent="0.25">
      <c r="A2976" s="1" t="s">
        <v>15480</v>
      </c>
      <c r="B2976" s="1" t="s">
        <v>16374</v>
      </c>
      <c r="C2976" s="3">
        <f>IF(B2976="","",SUMIFS('Factory Costs'!$C:$C,'Factory Costs'!$A:$A,"Motor",'Factory Costs'!$B:$B,B2976))</f>
        <v>62</v>
      </c>
    </row>
    <row r="2977" spans="1:3" x14ac:dyDescent="0.25">
      <c r="A2977" s="1" t="s">
        <v>15483</v>
      </c>
      <c r="B2977" s="1" t="s">
        <v>16375</v>
      </c>
      <c r="C2977" s="3">
        <f>IF(B2977="","",SUMIFS('Factory Costs'!$C:$C,'Factory Costs'!$A:$A,"Motor",'Factory Costs'!$B:$B,B2977))</f>
        <v>72</v>
      </c>
    </row>
    <row r="2978" spans="1:3" x14ac:dyDescent="0.25">
      <c r="A2978" s="1" t="s">
        <v>15486</v>
      </c>
      <c r="B2978" s="1" t="s">
        <v>16374</v>
      </c>
      <c r="C2978" s="3">
        <f>IF(B2978="","",SUMIFS('Factory Costs'!$C:$C,'Factory Costs'!$A:$A,"Motor",'Factory Costs'!$B:$B,B2978))</f>
        <v>62</v>
      </c>
    </row>
    <row r="2979" spans="1:3" x14ac:dyDescent="0.25">
      <c r="A2979" s="1" t="s">
        <v>15489</v>
      </c>
      <c r="B2979" s="1" t="s">
        <v>16374</v>
      </c>
      <c r="C2979" s="3">
        <f>IF(B2979="","",SUMIFS('Factory Costs'!$C:$C,'Factory Costs'!$A:$A,"Motor",'Factory Costs'!$B:$B,B2979))</f>
        <v>62</v>
      </c>
    </row>
    <row r="2980" spans="1:3" x14ac:dyDescent="0.25">
      <c r="A2980" s="1" t="s">
        <v>15492</v>
      </c>
      <c r="B2980" s="1" t="s">
        <v>16375</v>
      </c>
      <c r="C2980" s="3">
        <f>IF(B2980="","",SUMIFS('Factory Costs'!$C:$C,'Factory Costs'!$A:$A,"Motor",'Factory Costs'!$B:$B,B2980))</f>
        <v>72</v>
      </c>
    </row>
    <row r="2981" spans="1:3" x14ac:dyDescent="0.25">
      <c r="A2981" s="1" t="s">
        <v>15495</v>
      </c>
      <c r="B2981" s="1" t="s">
        <v>16374</v>
      </c>
      <c r="C2981" s="3">
        <f>IF(B2981="","",SUMIFS('Factory Costs'!$C:$C,'Factory Costs'!$A:$A,"Motor",'Factory Costs'!$B:$B,B2981))</f>
        <v>62</v>
      </c>
    </row>
    <row r="2982" spans="1:3" x14ac:dyDescent="0.25">
      <c r="A2982" s="1" t="s">
        <v>15498</v>
      </c>
      <c r="B2982" s="1" t="s">
        <v>16374</v>
      </c>
      <c r="C2982" s="3">
        <f>IF(B2982="","",SUMIFS('Factory Costs'!$C:$C,'Factory Costs'!$A:$A,"Motor",'Factory Costs'!$B:$B,B2982))</f>
        <v>62</v>
      </c>
    </row>
    <row r="2983" spans="1:3" x14ac:dyDescent="0.25">
      <c r="A2983" s="1" t="s">
        <v>15501</v>
      </c>
      <c r="B2983" s="1" t="s">
        <v>16374</v>
      </c>
      <c r="C2983" s="3">
        <f>IF(B2983="","",SUMIFS('Factory Costs'!$C:$C,'Factory Costs'!$A:$A,"Motor",'Factory Costs'!$B:$B,B2983))</f>
        <v>62</v>
      </c>
    </row>
    <row r="2984" spans="1:3" x14ac:dyDescent="0.25">
      <c r="A2984" s="1" t="s">
        <v>15504</v>
      </c>
      <c r="B2984" s="1" t="s">
        <v>16375</v>
      </c>
      <c r="C2984" s="3">
        <f>IF(B2984="","",SUMIFS('Factory Costs'!$C:$C,'Factory Costs'!$A:$A,"Motor",'Factory Costs'!$B:$B,B2984))</f>
        <v>72</v>
      </c>
    </row>
    <row r="2985" spans="1:3" x14ac:dyDescent="0.25">
      <c r="A2985" s="1" t="s">
        <v>15507</v>
      </c>
      <c r="B2985" s="1" t="s">
        <v>16374</v>
      </c>
      <c r="C2985" s="3">
        <f>IF(B2985="","",SUMIFS('Factory Costs'!$C:$C,'Factory Costs'!$A:$A,"Motor",'Factory Costs'!$B:$B,B2985))</f>
        <v>62</v>
      </c>
    </row>
    <row r="2986" spans="1:3" x14ac:dyDescent="0.25">
      <c r="A2986" s="1" t="s">
        <v>15510</v>
      </c>
      <c r="B2986" s="1" t="s">
        <v>16374</v>
      </c>
      <c r="C2986" s="3">
        <f>IF(B2986="","",SUMIFS('Factory Costs'!$C:$C,'Factory Costs'!$A:$A,"Motor",'Factory Costs'!$B:$B,B2986))</f>
        <v>62</v>
      </c>
    </row>
    <row r="2987" spans="1:3" x14ac:dyDescent="0.25">
      <c r="A2987" s="1" t="s">
        <v>15513</v>
      </c>
      <c r="B2987" s="1" t="s">
        <v>16374</v>
      </c>
      <c r="C2987" s="3">
        <f>IF(B2987="","",SUMIFS('Factory Costs'!$C:$C,'Factory Costs'!$A:$A,"Motor",'Factory Costs'!$B:$B,B2987))</f>
        <v>62</v>
      </c>
    </row>
    <row r="2988" spans="1:3" x14ac:dyDescent="0.25">
      <c r="A2988" s="1" t="s">
        <v>15516</v>
      </c>
      <c r="B2988" s="1" t="s">
        <v>16374</v>
      </c>
      <c r="C2988" s="3">
        <f>IF(B2988="","",SUMIFS('Factory Costs'!$C:$C,'Factory Costs'!$A:$A,"Motor",'Factory Costs'!$B:$B,B2988))</f>
        <v>62</v>
      </c>
    </row>
    <row r="2989" spans="1:3" x14ac:dyDescent="0.25">
      <c r="A2989" s="1" t="s">
        <v>15519</v>
      </c>
      <c r="B2989" s="1" t="s">
        <v>16375</v>
      </c>
      <c r="C2989" s="3">
        <f>IF(B2989="","",SUMIFS('Factory Costs'!$C:$C,'Factory Costs'!$A:$A,"Motor",'Factory Costs'!$B:$B,B2989))</f>
        <v>72</v>
      </c>
    </row>
    <row r="2990" spans="1:3" x14ac:dyDescent="0.25">
      <c r="A2990" s="1" t="s">
        <v>15522</v>
      </c>
      <c r="B2990" s="1" t="s">
        <v>16374</v>
      </c>
      <c r="C2990" s="3">
        <f>IF(B2990="","",SUMIFS('Factory Costs'!$C:$C,'Factory Costs'!$A:$A,"Motor",'Factory Costs'!$B:$B,B2990))</f>
        <v>62</v>
      </c>
    </row>
    <row r="2991" spans="1:3" x14ac:dyDescent="0.25">
      <c r="A2991" s="1" t="s">
        <v>15525</v>
      </c>
      <c r="B2991" s="1" t="s">
        <v>16374</v>
      </c>
      <c r="C2991" s="3">
        <f>IF(B2991="","",SUMIFS('Factory Costs'!$C:$C,'Factory Costs'!$A:$A,"Motor",'Factory Costs'!$B:$B,B2991))</f>
        <v>62</v>
      </c>
    </row>
    <row r="2992" spans="1:3" x14ac:dyDescent="0.25">
      <c r="A2992" s="1" t="s">
        <v>15528</v>
      </c>
      <c r="B2992" s="1" t="s">
        <v>16375</v>
      </c>
      <c r="C2992" s="3">
        <f>IF(B2992="","",SUMIFS('Factory Costs'!$C:$C,'Factory Costs'!$A:$A,"Motor",'Factory Costs'!$B:$B,B2992))</f>
        <v>72</v>
      </c>
    </row>
    <row r="2993" spans="1:3" x14ac:dyDescent="0.25">
      <c r="A2993" s="1" t="s">
        <v>15531</v>
      </c>
      <c r="B2993" s="1" t="s">
        <v>16374</v>
      </c>
      <c r="C2993" s="3">
        <f>IF(B2993="","",SUMIFS('Factory Costs'!$C:$C,'Factory Costs'!$A:$A,"Motor",'Factory Costs'!$B:$B,B2993))</f>
        <v>62</v>
      </c>
    </row>
    <row r="2994" spans="1:3" x14ac:dyDescent="0.25">
      <c r="A2994" s="1" t="s">
        <v>15534</v>
      </c>
      <c r="B2994" s="1" t="s">
        <v>16374</v>
      </c>
      <c r="C2994" s="3">
        <f>IF(B2994="","",SUMIFS('Factory Costs'!$C:$C,'Factory Costs'!$A:$A,"Motor",'Factory Costs'!$B:$B,B2994))</f>
        <v>62</v>
      </c>
    </row>
    <row r="2995" spans="1:3" x14ac:dyDescent="0.25">
      <c r="A2995" s="1" t="s">
        <v>15537</v>
      </c>
      <c r="B2995" s="1" t="s">
        <v>16374</v>
      </c>
      <c r="C2995" s="3">
        <f>IF(B2995="","",SUMIFS('Factory Costs'!$C:$C,'Factory Costs'!$A:$A,"Motor",'Factory Costs'!$B:$B,B2995))</f>
        <v>62</v>
      </c>
    </row>
    <row r="2996" spans="1:3" x14ac:dyDescent="0.25">
      <c r="A2996" s="1" t="s">
        <v>15540</v>
      </c>
      <c r="B2996" s="1" t="s">
        <v>16374</v>
      </c>
      <c r="C2996" s="3">
        <f>IF(B2996="","",SUMIFS('Factory Costs'!$C:$C,'Factory Costs'!$A:$A,"Motor",'Factory Costs'!$B:$B,B2996))</f>
        <v>62</v>
      </c>
    </row>
    <row r="2997" spans="1:3" x14ac:dyDescent="0.25">
      <c r="A2997" s="1" t="s">
        <v>15543</v>
      </c>
      <c r="B2997" s="1" t="s">
        <v>16375</v>
      </c>
      <c r="C2997" s="3">
        <f>IF(B2997="","",SUMIFS('Factory Costs'!$C:$C,'Factory Costs'!$A:$A,"Motor",'Factory Costs'!$B:$B,B2997))</f>
        <v>72</v>
      </c>
    </row>
    <row r="2998" spans="1:3" x14ac:dyDescent="0.25">
      <c r="A2998" s="1" t="s">
        <v>15546</v>
      </c>
      <c r="B2998" s="1" t="s">
        <v>16374</v>
      </c>
      <c r="C2998" s="3">
        <f>IF(B2998="","",SUMIFS('Factory Costs'!$C:$C,'Factory Costs'!$A:$A,"Motor",'Factory Costs'!$B:$B,B2998))</f>
        <v>62</v>
      </c>
    </row>
    <row r="2999" spans="1:3" x14ac:dyDescent="0.25">
      <c r="A2999" s="1" t="s">
        <v>15549</v>
      </c>
      <c r="B2999" s="1" t="s">
        <v>16375</v>
      </c>
      <c r="C2999" s="3">
        <f>IF(B2999="","",SUMIFS('Factory Costs'!$C:$C,'Factory Costs'!$A:$A,"Motor",'Factory Costs'!$B:$B,B2999))</f>
        <v>72</v>
      </c>
    </row>
    <row r="3000" spans="1:3" x14ac:dyDescent="0.25">
      <c r="A3000" s="1" t="s">
        <v>15552</v>
      </c>
      <c r="B3000" s="1" t="s">
        <v>16374</v>
      </c>
      <c r="C3000" s="3">
        <f>IF(B3000="","",SUMIFS('Factory Costs'!$C:$C,'Factory Costs'!$A:$A,"Motor",'Factory Costs'!$B:$B,B3000))</f>
        <v>62</v>
      </c>
    </row>
    <row r="3001" spans="1:3" x14ac:dyDescent="0.25">
      <c r="A3001" s="1" t="s">
        <v>15555</v>
      </c>
      <c r="B3001" s="1" t="s">
        <v>16374</v>
      </c>
      <c r="C3001" s="3">
        <f>IF(B3001="","",SUMIFS('Factory Costs'!$C:$C,'Factory Costs'!$A:$A,"Motor",'Factory Costs'!$B:$B,B3001))</f>
        <v>62</v>
      </c>
    </row>
    <row r="3002" spans="1:3" x14ac:dyDescent="0.25">
      <c r="A3002" s="1" t="s">
        <v>15558</v>
      </c>
      <c r="B3002" s="1" t="s">
        <v>16374</v>
      </c>
      <c r="C3002" s="3">
        <f>IF(B3002="","",SUMIFS('Factory Costs'!$C:$C,'Factory Costs'!$A:$A,"Motor",'Factory Costs'!$B:$B,B3002))</f>
        <v>62</v>
      </c>
    </row>
    <row r="3003" spans="1:3" x14ac:dyDescent="0.25">
      <c r="A3003" s="1" t="s">
        <v>15561</v>
      </c>
      <c r="B3003" s="1" t="s">
        <v>16375</v>
      </c>
      <c r="C3003" s="3">
        <f>IF(B3003="","",SUMIFS('Factory Costs'!$C:$C,'Factory Costs'!$A:$A,"Motor",'Factory Costs'!$B:$B,B3003))</f>
        <v>72</v>
      </c>
    </row>
    <row r="3004" spans="1:3" x14ac:dyDescent="0.25">
      <c r="A3004" s="1" t="s">
        <v>15564</v>
      </c>
      <c r="B3004" s="1" t="s">
        <v>16374</v>
      </c>
      <c r="C3004" s="3">
        <f>IF(B3004="","",SUMIFS('Factory Costs'!$C:$C,'Factory Costs'!$A:$A,"Motor",'Factory Costs'!$B:$B,B3004))</f>
        <v>62</v>
      </c>
    </row>
    <row r="3005" spans="1:3" x14ac:dyDescent="0.25">
      <c r="A3005" s="1" t="s">
        <v>15567</v>
      </c>
      <c r="B3005" s="1" t="s">
        <v>16374</v>
      </c>
      <c r="C3005" s="3">
        <f>IF(B3005="","",SUMIFS('Factory Costs'!$C:$C,'Factory Costs'!$A:$A,"Motor",'Factory Costs'!$B:$B,B3005))</f>
        <v>62</v>
      </c>
    </row>
    <row r="3006" spans="1:3" x14ac:dyDescent="0.25">
      <c r="A3006" s="1" t="s">
        <v>15570</v>
      </c>
      <c r="B3006" s="1" t="s">
        <v>16375</v>
      </c>
      <c r="C3006" s="3">
        <f>IF(B3006="","",SUMIFS('Factory Costs'!$C:$C,'Factory Costs'!$A:$A,"Motor",'Factory Costs'!$B:$B,B3006))</f>
        <v>72</v>
      </c>
    </row>
    <row r="3007" spans="1:3" x14ac:dyDescent="0.25">
      <c r="A3007" s="1" t="s">
        <v>15573</v>
      </c>
      <c r="B3007" s="1" t="s">
        <v>16374</v>
      </c>
      <c r="C3007" s="3">
        <f>IF(B3007="","",SUMIFS('Factory Costs'!$C:$C,'Factory Costs'!$A:$A,"Motor",'Factory Costs'!$B:$B,B3007))</f>
        <v>62</v>
      </c>
    </row>
    <row r="3008" spans="1:3" x14ac:dyDescent="0.25">
      <c r="A3008" s="1" t="s">
        <v>15576</v>
      </c>
      <c r="B3008" s="1" t="s">
        <v>16375</v>
      </c>
      <c r="C3008" s="3">
        <f>IF(B3008="","",SUMIFS('Factory Costs'!$C:$C,'Factory Costs'!$A:$A,"Motor",'Factory Costs'!$B:$B,B3008))</f>
        <v>72</v>
      </c>
    </row>
    <row r="3009" spans="1:3" x14ac:dyDescent="0.25">
      <c r="A3009" s="1" t="s">
        <v>15579</v>
      </c>
      <c r="B3009" s="1" t="s">
        <v>16374</v>
      </c>
      <c r="C3009" s="3">
        <f>IF(B3009="","",SUMIFS('Factory Costs'!$C:$C,'Factory Costs'!$A:$A,"Motor",'Factory Costs'!$B:$B,B3009))</f>
        <v>62</v>
      </c>
    </row>
    <row r="3010" spans="1:3" x14ac:dyDescent="0.25">
      <c r="A3010" s="1" t="s">
        <v>15582</v>
      </c>
      <c r="B3010" s="1" t="s">
        <v>16375</v>
      </c>
      <c r="C3010" s="3">
        <f>IF(B3010="","",SUMIFS('Factory Costs'!$C:$C,'Factory Costs'!$A:$A,"Motor",'Factory Costs'!$B:$B,B3010))</f>
        <v>72</v>
      </c>
    </row>
    <row r="3011" spans="1:3" x14ac:dyDescent="0.25">
      <c r="A3011" s="1" t="s">
        <v>15585</v>
      </c>
      <c r="B3011" s="1" t="s">
        <v>16374</v>
      </c>
      <c r="C3011" s="3">
        <f>IF(B3011="","",SUMIFS('Factory Costs'!$C:$C,'Factory Costs'!$A:$A,"Motor",'Factory Costs'!$B:$B,B3011))</f>
        <v>62</v>
      </c>
    </row>
    <row r="3012" spans="1:3" x14ac:dyDescent="0.25">
      <c r="A3012" s="1" t="s">
        <v>15588</v>
      </c>
      <c r="B3012" s="1" t="s">
        <v>16374</v>
      </c>
      <c r="C3012" s="3">
        <f>IF(B3012="","",SUMIFS('Factory Costs'!$C:$C,'Factory Costs'!$A:$A,"Motor",'Factory Costs'!$B:$B,B3012))</f>
        <v>62</v>
      </c>
    </row>
    <row r="3013" spans="1:3" x14ac:dyDescent="0.25">
      <c r="A3013" s="1" t="s">
        <v>15591</v>
      </c>
      <c r="B3013" s="1" t="s">
        <v>16374</v>
      </c>
      <c r="C3013" s="3">
        <f>IF(B3013="","",SUMIFS('Factory Costs'!$C:$C,'Factory Costs'!$A:$A,"Motor",'Factory Costs'!$B:$B,B3013))</f>
        <v>62</v>
      </c>
    </row>
    <row r="3014" spans="1:3" x14ac:dyDescent="0.25">
      <c r="A3014" s="1" t="s">
        <v>15594</v>
      </c>
      <c r="B3014" s="1" t="s">
        <v>16374</v>
      </c>
      <c r="C3014" s="3">
        <f>IF(B3014="","",SUMIFS('Factory Costs'!$C:$C,'Factory Costs'!$A:$A,"Motor",'Factory Costs'!$B:$B,B3014))</f>
        <v>62</v>
      </c>
    </row>
    <row r="3015" spans="1:3" x14ac:dyDescent="0.25">
      <c r="A3015" s="1" t="s">
        <v>15597</v>
      </c>
      <c r="B3015" s="1" t="s">
        <v>16375</v>
      </c>
      <c r="C3015" s="3">
        <f>IF(B3015="","",SUMIFS('Factory Costs'!$C:$C,'Factory Costs'!$A:$A,"Motor",'Factory Costs'!$B:$B,B3015))</f>
        <v>72</v>
      </c>
    </row>
    <row r="3016" spans="1:3" x14ac:dyDescent="0.25">
      <c r="A3016" s="1" t="s">
        <v>15600</v>
      </c>
      <c r="B3016" s="1" t="s">
        <v>16374</v>
      </c>
      <c r="C3016" s="3">
        <f>IF(B3016="","",SUMIFS('Factory Costs'!$C:$C,'Factory Costs'!$A:$A,"Motor",'Factory Costs'!$B:$B,B3016))</f>
        <v>62</v>
      </c>
    </row>
    <row r="3017" spans="1:3" x14ac:dyDescent="0.25">
      <c r="A3017" s="1" t="s">
        <v>15603</v>
      </c>
      <c r="B3017" s="1" t="s">
        <v>16374</v>
      </c>
      <c r="C3017" s="3">
        <f>IF(B3017="","",SUMIFS('Factory Costs'!$C:$C,'Factory Costs'!$A:$A,"Motor",'Factory Costs'!$B:$B,B3017))</f>
        <v>62</v>
      </c>
    </row>
    <row r="3018" spans="1:3" x14ac:dyDescent="0.25">
      <c r="A3018" s="1" t="s">
        <v>15606</v>
      </c>
      <c r="B3018" s="1" t="s">
        <v>16374</v>
      </c>
      <c r="C3018" s="3">
        <f>IF(B3018="","",SUMIFS('Factory Costs'!$C:$C,'Factory Costs'!$A:$A,"Motor",'Factory Costs'!$B:$B,B3018))</f>
        <v>62</v>
      </c>
    </row>
    <row r="3019" spans="1:3" x14ac:dyDescent="0.25">
      <c r="A3019" s="1" t="s">
        <v>15609</v>
      </c>
      <c r="B3019" s="1" t="s">
        <v>16374</v>
      </c>
      <c r="C3019" s="3">
        <f>IF(B3019="","",SUMIFS('Factory Costs'!$C:$C,'Factory Costs'!$A:$A,"Motor",'Factory Costs'!$B:$B,B3019))</f>
        <v>62</v>
      </c>
    </row>
    <row r="3020" spans="1:3" x14ac:dyDescent="0.25">
      <c r="A3020" s="1" t="s">
        <v>15612</v>
      </c>
      <c r="B3020" s="1" t="s">
        <v>16374</v>
      </c>
      <c r="C3020" s="3">
        <f>IF(B3020="","",SUMIFS('Factory Costs'!$C:$C,'Factory Costs'!$A:$A,"Motor",'Factory Costs'!$B:$B,B3020))</f>
        <v>62</v>
      </c>
    </row>
    <row r="3021" spans="1:3" x14ac:dyDescent="0.25">
      <c r="A3021" s="1" t="s">
        <v>15615</v>
      </c>
      <c r="B3021" s="1" t="s">
        <v>16375</v>
      </c>
      <c r="C3021" s="3">
        <f>IF(B3021="","",SUMIFS('Factory Costs'!$C:$C,'Factory Costs'!$A:$A,"Motor",'Factory Costs'!$B:$B,B3021))</f>
        <v>72</v>
      </c>
    </row>
    <row r="3022" spans="1:3" x14ac:dyDescent="0.25">
      <c r="A3022" s="1" t="s">
        <v>15618</v>
      </c>
      <c r="B3022" s="1" t="s">
        <v>16374</v>
      </c>
      <c r="C3022" s="3">
        <f>IF(B3022="","",SUMIFS('Factory Costs'!$C:$C,'Factory Costs'!$A:$A,"Motor",'Factory Costs'!$B:$B,B3022))</f>
        <v>62</v>
      </c>
    </row>
    <row r="3023" spans="1:3" x14ac:dyDescent="0.25">
      <c r="A3023" s="1" t="s">
        <v>15621</v>
      </c>
      <c r="B3023" s="1" t="s">
        <v>16374</v>
      </c>
      <c r="C3023" s="3">
        <f>IF(B3023="","",SUMIFS('Factory Costs'!$C:$C,'Factory Costs'!$A:$A,"Motor",'Factory Costs'!$B:$B,B3023))</f>
        <v>62</v>
      </c>
    </row>
    <row r="3024" spans="1:3" x14ac:dyDescent="0.25">
      <c r="A3024" s="1" t="s">
        <v>15624</v>
      </c>
      <c r="B3024" s="1" t="s">
        <v>16374</v>
      </c>
      <c r="C3024" s="3">
        <f>IF(B3024="","",SUMIFS('Factory Costs'!$C:$C,'Factory Costs'!$A:$A,"Motor",'Factory Costs'!$B:$B,B3024))</f>
        <v>62</v>
      </c>
    </row>
    <row r="3025" spans="1:3" x14ac:dyDescent="0.25">
      <c r="A3025" s="1" t="s">
        <v>15627</v>
      </c>
      <c r="B3025" s="1" t="s">
        <v>16375</v>
      </c>
      <c r="C3025" s="3">
        <f>IF(B3025="","",SUMIFS('Factory Costs'!$C:$C,'Factory Costs'!$A:$A,"Motor",'Factory Costs'!$B:$B,B3025))</f>
        <v>72</v>
      </c>
    </row>
    <row r="3026" spans="1:3" x14ac:dyDescent="0.25">
      <c r="A3026" s="1" t="s">
        <v>15630</v>
      </c>
      <c r="B3026" s="1" t="s">
        <v>16375</v>
      </c>
      <c r="C3026" s="3">
        <f>IF(B3026="","",SUMIFS('Factory Costs'!$C:$C,'Factory Costs'!$A:$A,"Motor",'Factory Costs'!$B:$B,B3026))</f>
        <v>72</v>
      </c>
    </row>
    <row r="3027" spans="1:3" x14ac:dyDescent="0.25">
      <c r="A3027" s="1" t="s">
        <v>15633</v>
      </c>
      <c r="B3027" s="1" t="s">
        <v>16374</v>
      </c>
      <c r="C3027" s="3">
        <f>IF(B3027="","",SUMIFS('Factory Costs'!$C:$C,'Factory Costs'!$A:$A,"Motor",'Factory Costs'!$B:$B,B3027))</f>
        <v>62</v>
      </c>
    </row>
    <row r="3028" spans="1:3" x14ac:dyDescent="0.25">
      <c r="A3028" s="1" t="s">
        <v>15636</v>
      </c>
      <c r="B3028" s="1" t="s">
        <v>16374</v>
      </c>
      <c r="C3028" s="3">
        <f>IF(B3028="","",SUMIFS('Factory Costs'!$C:$C,'Factory Costs'!$A:$A,"Motor",'Factory Costs'!$B:$B,B3028))</f>
        <v>62</v>
      </c>
    </row>
    <row r="3029" spans="1:3" x14ac:dyDescent="0.25">
      <c r="A3029" s="1" t="s">
        <v>15639</v>
      </c>
      <c r="B3029" s="1" t="s">
        <v>16375</v>
      </c>
      <c r="C3029" s="3">
        <f>IF(B3029="","",SUMIFS('Factory Costs'!$C:$C,'Factory Costs'!$A:$A,"Motor",'Factory Costs'!$B:$B,B3029))</f>
        <v>72</v>
      </c>
    </row>
    <row r="3030" spans="1:3" x14ac:dyDescent="0.25">
      <c r="A3030" s="1" t="s">
        <v>15642</v>
      </c>
      <c r="B3030" s="1" t="s">
        <v>16375</v>
      </c>
      <c r="C3030" s="3">
        <f>IF(B3030="","",SUMIFS('Factory Costs'!$C:$C,'Factory Costs'!$A:$A,"Motor",'Factory Costs'!$B:$B,B3030))</f>
        <v>72</v>
      </c>
    </row>
    <row r="3031" spans="1:3" x14ac:dyDescent="0.25">
      <c r="A3031" s="1" t="s">
        <v>15645</v>
      </c>
      <c r="B3031" s="1" t="s">
        <v>16374</v>
      </c>
      <c r="C3031" s="3">
        <f>IF(B3031="","",SUMIFS('Factory Costs'!$C:$C,'Factory Costs'!$A:$A,"Motor",'Factory Costs'!$B:$B,B3031))</f>
        <v>62</v>
      </c>
    </row>
    <row r="3032" spans="1:3" x14ac:dyDescent="0.25">
      <c r="A3032" s="1" t="s">
        <v>15648</v>
      </c>
      <c r="B3032" s="1" t="s">
        <v>16374</v>
      </c>
      <c r="C3032" s="3">
        <f>IF(B3032="","",SUMIFS('Factory Costs'!$C:$C,'Factory Costs'!$A:$A,"Motor",'Factory Costs'!$B:$B,B3032))</f>
        <v>62</v>
      </c>
    </row>
    <row r="3033" spans="1:3" x14ac:dyDescent="0.25">
      <c r="A3033" s="1" t="s">
        <v>15651</v>
      </c>
      <c r="B3033" s="1" t="s">
        <v>16374</v>
      </c>
      <c r="C3033" s="3">
        <f>IF(B3033="","",SUMIFS('Factory Costs'!$C:$C,'Factory Costs'!$A:$A,"Motor",'Factory Costs'!$B:$B,B3033))</f>
        <v>62</v>
      </c>
    </row>
    <row r="3034" spans="1:3" x14ac:dyDescent="0.25">
      <c r="A3034" s="1" t="s">
        <v>15654</v>
      </c>
      <c r="B3034" s="1" t="s">
        <v>16374</v>
      </c>
      <c r="C3034" s="3">
        <f>IF(B3034="","",SUMIFS('Factory Costs'!$C:$C,'Factory Costs'!$A:$A,"Motor",'Factory Costs'!$B:$B,B3034))</f>
        <v>62</v>
      </c>
    </row>
    <row r="3035" spans="1:3" x14ac:dyDescent="0.25">
      <c r="A3035" s="1" t="s">
        <v>15657</v>
      </c>
      <c r="B3035" s="1" t="s">
        <v>16375</v>
      </c>
      <c r="C3035" s="3">
        <f>IF(B3035="","",SUMIFS('Factory Costs'!$C:$C,'Factory Costs'!$A:$A,"Motor",'Factory Costs'!$B:$B,B3035))</f>
        <v>72</v>
      </c>
    </row>
    <row r="3036" spans="1:3" x14ac:dyDescent="0.25">
      <c r="A3036" s="1" t="s">
        <v>15660</v>
      </c>
      <c r="B3036" s="1" t="s">
        <v>16374</v>
      </c>
      <c r="C3036" s="3">
        <f>IF(B3036="","",SUMIFS('Factory Costs'!$C:$C,'Factory Costs'!$A:$A,"Motor",'Factory Costs'!$B:$B,B3036))</f>
        <v>62</v>
      </c>
    </row>
    <row r="3037" spans="1:3" x14ac:dyDescent="0.25">
      <c r="A3037" s="1" t="s">
        <v>15663</v>
      </c>
      <c r="B3037" s="1" t="s">
        <v>16374</v>
      </c>
      <c r="C3037" s="3">
        <f>IF(B3037="","",SUMIFS('Factory Costs'!$C:$C,'Factory Costs'!$A:$A,"Motor",'Factory Costs'!$B:$B,B3037))</f>
        <v>62</v>
      </c>
    </row>
    <row r="3038" spans="1:3" x14ac:dyDescent="0.25">
      <c r="A3038" s="1" t="s">
        <v>15666</v>
      </c>
      <c r="B3038" s="1" t="s">
        <v>16374</v>
      </c>
      <c r="C3038" s="3">
        <f>IF(B3038="","",SUMIFS('Factory Costs'!$C:$C,'Factory Costs'!$A:$A,"Motor",'Factory Costs'!$B:$B,B3038))</f>
        <v>62</v>
      </c>
    </row>
    <row r="3039" spans="1:3" x14ac:dyDescent="0.25">
      <c r="A3039" s="1" t="s">
        <v>15669</v>
      </c>
      <c r="B3039" s="1" t="s">
        <v>16375</v>
      </c>
      <c r="C3039" s="3">
        <f>IF(B3039="","",SUMIFS('Factory Costs'!$C:$C,'Factory Costs'!$A:$A,"Motor",'Factory Costs'!$B:$B,B3039))</f>
        <v>72</v>
      </c>
    </row>
    <row r="3040" spans="1:3" x14ac:dyDescent="0.25">
      <c r="A3040" s="1" t="s">
        <v>15672</v>
      </c>
      <c r="B3040" s="1" t="s">
        <v>16374</v>
      </c>
      <c r="C3040" s="3">
        <f>IF(B3040="","",SUMIFS('Factory Costs'!$C:$C,'Factory Costs'!$A:$A,"Motor",'Factory Costs'!$B:$B,B3040))</f>
        <v>62</v>
      </c>
    </row>
    <row r="3041" spans="1:3" x14ac:dyDescent="0.25">
      <c r="A3041" s="1" t="s">
        <v>15675</v>
      </c>
      <c r="B3041" s="1" t="s">
        <v>16375</v>
      </c>
      <c r="C3041" s="3">
        <f>IF(B3041="","",SUMIFS('Factory Costs'!$C:$C,'Factory Costs'!$A:$A,"Motor",'Factory Costs'!$B:$B,B3041))</f>
        <v>72</v>
      </c>
    </row>
    <row r="3042" spans="1:3" x14ac:dyDescent="0.25">
      <c r="A3042" s="1" t="s">
        <v>15678</v>
      </c>
      <c r="B3042" s="1" t="s">
        <v>16375</v>
      </c>
      <c r="C3042" s="3">
        <f>IF(B3042="","",SUMIFS('Factory Costs'!$C:$C,'Factory Costs'!$A:$A,"Motor",'Factory Costs'!$B:$B,B3042))</f>
        <v>72</v>
      </c>
    </row>
    <row r="3043" spans="1:3" x14ac:dyDescent="0.25">
      <c r="A3043" s="1" t="s">
        <v>15681</v>
      </c>
      <c r="B3043" s="1" t="s">
        <v>16374</v>
      </c>
      <c r="C3043" s="3">
        <f>IF(B3043="","",SUMIFS('Factory Costs'!$C:$C,'Factory Costs'!$A:$A,"Motor",'Factory Costs'!$B:$B,B3043))</f>
        <v>62</v>
      </c>
    </row>
    <row r="3044" spans="1:3" x14ac:dyDescent="0.25">
      <c r="A3044" s="1" t="s">
        <v>15684</v>
      </c>
      <c r="B3044" s="1" t="s">
        <v>16374</v>
      </c>
      <c r="C3044" s="3">
        <f>IF(B3044="","",SUMIFS('Factory Costs'!$C:$C,'Factory Costs'!$A:$A,"Motor",'Factory Costs'!$B:$B,B3044))</f>
        <v>62</v>
      </c>
    </row>
    <row r="3045" spans="1:3" x14ac:dyDescent="0.25">
      <c r="A3045" s="1" t="s">
        <v>15687</v>
      </c>
      <c r="B3045" s="1" t="s">
        <v>16375</v>
      </c>
      <c r="C3045" s="3">
        <f>IF(B3045="","",SUMIFS('Factory Costs'!$C:$C,'Factory Costs'!$A:$A,"Motor",'Factory Costs'!$B:$B,B3045))</f>
        <v>72</v>
      </c>
    </row>
    <row r="3046" spans="1:3" x14ac:dyDescent="0.25">
      <c r="A3046" s="1" t="s">
        <v>15690</v>
      </c>
      <c r="B3046" s="1" t="s">
        <v>16374</v>
      </c>
      <c r="C3046" s="3">
        <f>IF(B3046="","",SUMIFS('Factory Costs'!$C:$C,'Factory Costs'!$A:$A,"Motor",'Factory Costs'!$B:$B,B3046))</f>
        <v>62</v>
      </c>
    </row>
    <row r="3047" spans="1:3" x14ac:dyDescent="0.25">
      <c r="A3047" s="1" t="s">
        <v>15693</v>
      </c>
      <c r="B3047" s="1" t="s">
        <v>16374</v>
      </c>
      <c r="C3047" s="3">
        <f>IF(B3047="","",SUMIFS('Factory Costs'!$C:$C,'Factory Costs'!$A:$A,"Motor",'Factory Costs'!$B:$B,B3047))</f>
        <v>62</v>
      </c>
    </row>
    <row r="3048" spans="1:3" x14ac:dyDescent="0.25">
      <c r="A3048" s="1" t="s">
        <v>15696</v>
      </c>
      <c r="B3048" s="1" t="s">
        <v>16374</v>
      </c>
      <c r="C3048" s="3">
        <f>IF(B3048="","",SUMIFS('Factory Costs'!$C:$C,'Factory Costs'!$A:$A,"Motor",'Factory Costs'!$B:$B,B3048))</f>
        <v>62</v>
      </c>
    </row>
    <row r="3049" spans="1:3" x14ac:dyDescent="0.25">
      <c r="A3049" s="1" t="s">
        <v>15699</v>
      </c>
      <c r="B3049" s="1" t="s">
        <v>16375</v>
      </c>
      <c r="C3049" s="3">
        <f>IF(B3049="","",SUMIFS('Factory Costs'!$C:$C,'Factory Costs'!$A:$A,"Motor",'Factory Costs'!$B:$B,B3049))</f>
        <v>72</v>
      </c>
    </row>
    <row r="3050" spans="1:3" x14ac:dyDescent="0.25">
      <c r="A3050" s="1" t="s">
        <v>15702</v>
      </c>
      <c r="B3050" s="1" t="s">
        <v>16374</v>
      </c>
      <c r="C3050" s="3">
        <f>IF(B3050="","",SUMIFS('Factory Costs'!$C:$C,'Factory Costs'!$A:$A,"Motor",'Factory Costs'!$B:$B,B3050))</f>
        <v>62</v>
      </c>
    </row>
    <row r="3051" spans="1:3" x14ac:dyDescent="0.25">
      <c r="A3051" s="1" t="s">
        <v>15705</v>
      </c>
      <c r="B3051" s="1" t="s">
        <v>16374</v>
      </c>
      <c r="C3051" s="3">
        <f>IF(B3051="","",SUMIFS('Factory Costs'!$C:$C,'Factory Costs'!$A:$A,"Motor",'Factory Costs'!$B:$B,B3051))</f>
        <v>62</v>
      </c>
    </row>
    <row r="3052" spans="1:3" x14ac:dyDescent="0.25">
      <c r="A3052" s="1" t="s">
        <v>15708</v>
      </c>
      <c r="B3052" s="1" t="s">
        <v>16375</v>
      </c>
      <c r="C3052" s="3">
        <f>IF(B3052="","",SUMIFS('Factory Costs'!$C:$C,'Factory Costs'!$A:$A,"Motor",'Factory Costs'!$B:$B,B3052))</f>
        <v>72</v>
      </c>
    </row>
    <row r="3053" spans="1:3" x14ac:dyDescent="0.25">
      <c r="A3053" s="1" t="s">
        <v>15711</v>
      </c>
      <c r="B3053" s="1" t="s">
        <v>16374</v>
      </c>
      <c r="C3053" s="3">
        <f>IF(B3053="","",SUMIFS('Factory Costs'!$C:$C,'Factory Costs'!$A:$A,"Motor",'Factory Costs'!$B:$B,B3053))</f>
        <v>62</v>
      </c>
    </row>
    <row r="3054" spans="1:3" x14ac:dyDescent="0.25">
      <c r="A3054" s="1" t="s">
        <v>15714</v>
      </c>
      <c r="B3054" s="1" t="s">
        <v>16374</v>
      </c>
      <c r="C3054" s="3">
        <f>IF(B3054="","",SUMIFS('Factory Costs'!$C:$C,'Factory Costs'!$A:$A,"Motor",'Factory Costs'!$B:$B,B3054))</f>
        <v>62</v>
      </c>
    </row>
    <row r="3055" spans="1:3" x14ac:dyDescent="0.25">
      <c r="A3055" s="1" t="s">
        <v>15717</v>
      </c>
      <c r="B3055" s="1" t="s">
        <v>16375</v>
      </c>
      <c r="C3055" s="3">
        <f>IF(B3055="","",SUMIFS('Factory Costs'!$C:$C,'Factory Costs'!$A:$A,"Motor",'Factory Costs'!$B:$B,B3055))</f>
        <v>72</v>
      </c>
    </row>
    <row r="3056" spans="1:3" x14ac:dyDescent="0.25">
      <c r="A3056" s="1" t="s">
        <v>15720</v>
      </c>
      <c r="B3056" s="1" t="s">
        <v>16374</v>
      </c>
      <c r="C3056" s="3">
        <f>IF(B3056="","",SUMIFS('Factory Costs'!$C:$C,'Factory Costs'!$A:$A,"Motor",'Factory Costs'!$B:$B,B3056))</f>
        <v>62</v>
      </c>
    </row>
    <row r="3057" spans="1:3" x14ac:dyDescent="0.25">
      <c r="A3057" s="1" t="s">
        <v>15723</v>
      </c>
      <c r="B3057" s="1" t="s">
        <v>16374</v>
      </c>
      <c r="C3057" s="3">
        <f>IF(B3057="","",SUMIFS('Factory Costs'!$C:$C,'Factory Costs'!$A:$A,"Motor",'Factory Costs'!$B:$B,B3057))</f>
        <v>62</v>
      </c>
    </row>
    <row r="3058" spans="1:3" x14ac:dyDescent="0.25">
      <c r="A3058" s="1" t="s">
        <v>15726</v>
      </c>
      <c r="B3058" s="1" t="s">
        <v>16375</v>
      </c>
      <c r="C3058" s="3">
        <f>IF(B3058="","",SUMIFS('Factory Costs'!$C:$C,'Factory Costs'!$A:$A,"Motor",'Factory Costs'!$B:$B,B3058))</f>
        <v>72</v>
      </c>
    </row>
    <row r="3059" spans="1:3" x14ac:dyDescent="0.25">
      <c r="A3059" s="1" t="s">
        <v>15729</v>
      </c>
      <c r="B3059" s="1" t="s">
        <v>16374</v>
      </c>
      <c r="C3059" s="3">
        <f>IF(B3059="","",SUMIFS('Factory Costs'!$C:$C,'Factory Costs'!$A:$A,"Motor",'Factory Costs'!$B:$B,B3059))</f>
        <v>62</v>
      </c>
    </row>
    <row r="3060" spans="1:3" x14ac:dyDescent="0.25">
      <c r="A3060" s="1" t="s">
        <v>15732</v>
      </c>
      <c r="B3060" s="1" t="s">
        <v>16374</v>
      </c>
      <c r="C3060" s="3">
        <f>IF(B3060="","",SUMIFS('Factory Costs'!$C:$C,'Factory Costs'!$A:$A,"Motor",'Factory Costs'!$B:$B,B3060))</f>
        <v>62</v>
      </c>
    </row>
    <row r="3061" spans="1:3" x14ac:dyDescent="0.25">
      <c r="A3061" s="1" t="s">
        <v>15735</v>
      </c>
      <c r="B3061" s="1" t="s">
        <v>16374</v>
      </c>
      <c r="C3061" s="3">
        <f>IF(B3061="","",SUMIFS('Factory Costs'!$C:$C,'Factory Costs'!$A:$A,"Motor",'Factory Costs'!$B:$B,B3061))</f>
        <v>62</v>
      </c>
    </row>
    <row r="3062" spans="1:3" x14ac:dyDescent="0.25">
      <c r="A3062" s="1" t="s">
        <v>15738</v>
      </c>
      <c r="B3062" s="1" t="s">
        <v>16374</v>
      </c>
      <c r="C3062" s="3">
        <f>IF(B3062="","",SUMIFS('Factory Costs'!$C:$C,'Factory Costs'!$A:$A,"Motor",'Factory Costs'!$B:$B,B3062))</f>
        <v>62</v>
      </c>
    </row>
    <row r="3063" spans="1:3" x14ac:dyDescent="0.25">
      <c r="A3063" s="1" t="s">
        <v>15741</v>
      </c>
      <c r="B3063" s="1" t="s">
        <v>16374</v>
      </c>
      <c r="C3063" s="3">
        <f>IF(B3063="","",SUMIFS('Factory Costs'!$C:$C,'Factory Costs'!$A:$A,"Motor",'Factory Costs'!$B:$B,B3063))</f>
        <v>62</v>
      </c>
    </row>
    <row r="3064" spans="1:3" x14ac:dyDescent="0.25">
      <c r="A3064" s="1" t="s">
        <v>15744</v>
      </c>
      <c r="B3064" s="1" t="s">
        <v>16374</v>
      </c>
      <c r="C3064" s="3">
        <f>IF(B3064="","",SUMIFS('Factory Costs'!$C:$C,'Factory Costs'!$A:$A,"Motor",'Factory Costs'!$B:$B,B3064))</f>
        <v>62</v>
      </c>
    </row>
    <row r="3065" spans="1:3" x14ac:dyDescent="0.25">
      <c r="A3065" s="1" t="s">
        <v>15747</v>
      </c>
      <c r="B3065" s="1" t="s">
        <v>16375</v>
      </c>
      <c r="C3065" s="3">
        <f>IF(B3065="","",SUMIFS('Factory Costs'!$C:$C,'Factory Costs'!$A:$A,"Motor",'Factory Costs'!$B:$B,B3065))</f>
        <v>72</v>
      </c>
    </row>
    <row r="3066" spans="1:3" x14ac:dyDescent="0.25">
      <c r="A3066" s="1" t="s">
        <v>15750</v>
      </c>
      <c r="B3066" s="1" t="s">
        <v>16374</v>
      </c>
      <c r="C3066" s="3">
        <f>IF(B3066="","",SUMIFS('Factory Costs'!$C:$C,'Factory Costs'!$A:$A,"Motor",'Factory Costs'!$B:$B,B3066))</f>
        <v>62</v>
      </c>
    </row>
    <row r="3067" spans="1:3" x14ac:dyDescent="0.25">
      <c r="A3067" s="1" t="s">
        <v>15753</v>
      </c>
      <c r="B3067" s="1" t="s">
        <v>16374</v>
      </c>
      <c r="C3067" s="3">
        <f>IF(B3067="","",SUMIFS('Factory Costs'!$C:$C,'Factory Costs'!$A:$A,"Motor",'Factory Costs'!$B:$B,B3067))</f>
        <v>62</v>
      </c>
    </row>
    <row r="3068" spans="1:3" x14ac:dyDescent="0.25">
      <c r="A3068" s="1" t="s">
        <v>15756</v>
      </c>
      <c r="B3068" s="1" t="s">
        <v>16374</v>
      </c>
      <c r="C3068" s="3">
        <f>IF(B3068="","",SUMIFS('Factory Costs'!$C:$C,'Factory Costs'!$A:$A,"Motor",'Factory Costs'!$B:$B,B3068))</f>
        <v>62</v>
      </c>
    </row>
    <row r="3069" spans="1:3" x14ac:dyDescent="0.25">
      <c r="A3069" s="1" t="s">
        <v>15759</v>
      </c>
      <c r="B3069" s="1" t="s">
        <v>16374</v>
      </c>
      <c r="C3069" s="3">
        <f>IF(B3069="","",SUMIFS('Factory Costs'!$C:$C,'Factory Costs'!$A:$A,"Motor",'Factory Costs'!$B:$B,B3069))</f>
        <v>62</v>
      </c>
    </row>
    <row r="3070" spans="1:3" x14ac:dyDescent="0.25">
      <c r="A3070" s="1" t="s">
        <v>15762</v>
      </c>
      <c r="B3070" s="1" t="s">
        <v>16374</v>
      </c>
      <c r="C3070" s="3">
        <f>IF(B3070="","",SUMIFS('Factory Costs'!$C:$C,'Factory Costs'!$A:$A,"Motor",'Factory Costs'!$B:$B,B3070))</f>
        <v>62</v>
      </c>
    </row>
    <row r="3071" spans="1:3" x14ac:dyDescent="0.25">
      <c r="A3071" s="1" t="s">
        <v>15765</v>
      </c>
      <c r="B3071" s="1" t="s">
        <v>16374</v>
      </c>
      <c r="C3071" s="3">
        <f>IF(B3071="","",SUMIFS('Factory Costs'!$C:$C,'Factory Costs'!$A:$A,"Motor",'Factory Costs'!$B:$B,B3071))</f>
        <v>62</v>
      </c>
    </row>
    <row r="3072" spans="1:3" x14ac:dyDescent="0.25">
      <c r="A3072" s="1" t="s">
        <v>15768</v>
      </c>
      <c r="B3072" s="1" t="s">
        <v>16374</v>
      </c>
      <c r="C3072" s="3">
        <f>IF(B3072="","",SUMIFS('Factory Costs'!$C:$C,'Factory Costs'!$A:$A,"Motor",'Factory Costs'!$B:$B,B3072))</f>
        <v>62</v>
      </c>
    </row>
    <row r="3073" spans="1:3" x14ac:dyDescent="0.25">
      <c r="A3073" s="1" t="s">
        <v>15771</v>
      </c>
      <c r="B3073" s="1" t="s">
        <v>16374</v>
      </c>
      <c r="C3073" s="3">
        <f>IF(B3073="","",SUMIFS('Factory Costs'!$C:$C,'Factory Costs'!$A:$A,"Motor",'Factory Costs'!$B:$B,B3073))</f>
        <v>62</v>
      </c>
    </row>
    <row r="3074" spans="1:3" x14ac:dyDescent="0.25">
      <c r="A3074" s="1" t="s">
        <v>15774</v>
      </c>
      <c r="B3074" s="1" t="s">
        <v>16374</v>
      </c>
      <c r="C3074" s="3">
        <f>IF(B3074="","",SUMIFS('Factory Costs'!$C:$C,'Factory Costs'!$A:$A,"Motor",'Factory Costs'!$B:$B,B3074))</f>
        <v>62</v>
      </c>
    </row>
    <row r="3075" spans="1:3" x14ac:dyDescent="0.25">
      <c r="A3075" s="1" t="s">
        <v>15777</v>
      </c>
      <c r="B3075" s="1" t="s">
        <v>16374</v>
      </c>
      <c r="C3075" s="3">
        <f>IF(B3075="","",SUMIFS('Factory Costs'!$C:$C,'Factory Costs'!$A:$A,"Motor",'Factory Costs'!$B:$B,B3075))</f>
        <v>62</v>
      </c>
    </row>
    <row r="3076" spans="1:3" x14ac:dyDescent="0.25">
      <c r="A3076" s="1" t="s">
        <v>15780</v>
      </c>
      <c r="B3076" s="1" t="s">
        <v>16374</v>
      </c>
      <c r="C3076" s="3">
        <f>IF(B3076="","",SUMIFS('Factory Costs'!$C:$C,'Factory Costs'!$A:$A,"Motor",'Factory Costs'!$B:$B,B3076))</f>
        <v>62</v>
      </c>
    </row>
    <row r="3077" spans="1:3" x14ac:dyDescent="0.25">
      <c r="A3077" s="1" t="s">
        <v>15783</v>
      </c>
      <c r="B3077" s="1" t="s">
        <v>16375</v>
      </c>
      <c r="C3077" s="3">
        <f>IF(B3077="","",SUMIFS('Factory Costs'!$C:$C,'Factory Costs'!$A:$A,"Motor",'Factory Costs'!$B:$B,B3077))</f>
        <v>72</v>
      </c>
    </row>
    <row r="3078" spans="1:3" x14ac:dyDescent="0.25">
      <c r="A3078" s="1" t="s">
        <v>15786</v>
      </c>
      <c r="B3078" s="1" t="s">
        <v>16374</v>
      </c>
      <c r="C3078" s="3">
        <f>IF(B3078="","",SUMIFS('Factory Costs'!$C:$C,'Factory Costs'!$A:$A,"Motor",'Factory Costs'!$B:$B,B3078))</f>
        <v>62</v>
      </c>
    </row>
    <row r="3079" spans="1:3" x14ac:dyDescent="0.25">
      <c r="A3079" s="1" t="s">
        <v>15789</v>
      </c>
      <c r="B3079" s="1" t="s">
        <v>16374</v>
      </c>
      <c r="C3079" s="3">
        <f>IF(B3079="","",SUMIFS('Factory Costs'!$C:$C,'Factory Costs'!$A:$A,"Motor",'Factory Costs'!$B:$B,B3079))</f>
        <v>62</v>
      </c>
    </row>
    <row r="3080" spans="1:3" x14ac:dyDescent="0.25">
      <c r="A3080" s="1" t="s">
        <v>15792</v>
      </c>
      <c r="B3080" s="1" t="s">
        <v>16375</v>
      </c>
      <c r="C3080" s="3">
        <f>IF(B3080="","",SUMIFS('Factory Costs'!$C:$C,'Factory Costs'!$A:$A,"Motor",'Factory Costs'!$B:$B,B3080))</f>
        <v>72</v>
      </c>
    </row>
    <row r="3081" spans="1:3" x14ac:dyDescent="0.25">
      <c r="A3081" s="1" t="s">
        <v>15795</v>
      </c>
      <c r="B3081" s="1" t="s">
        <v>16375</v>
      </c>
      <c r="C3081" s="3">
        <f>IF(B3081="","",SUMIFS('Factory Costs'!$C:$C,'Factory Costs'!$A:$A,"Motor",'Factory Costs'!$B:$B,B3081))</f>
        <v>72</v>
      </c>
    </row>
    <row r="3082" spans="1:3" x14ac:dyDescent="0.25">
      <c r="A3082" s="1" t="s">
        <v>15798</v>
      </c>
      <c r="B3082" s="1" t="s">
        <v>16374</v>
      </c>
      <c r="C3082" s="3">
        <f>IF(B3082="","",SUMIFS('Factory Costs'!$C:$C,'Factory Costs'!$A:$A,"Motor",'Factory Costs'!$B:$B,B3082))</f>
        <v>62</v>
      </c>
    </row>
    <row r="3083" spans="1:3" x14ac:dyDescent="0.25">
      <c r="A3083" s="1" t="s">
        <v>15801</v>
      </c>
      <c r="B3083" s="1" t="s">
        <v>16374</v>
      </c>
      <c r="C3083" s="3">
        <f>IF(B3083="","",SUMIFS('Factory Costs'!$C:$C,'Factory Costs'!$A:$A,"Motor",'Factory Costs'!$B:$B,B3083))</f>
        <v>62</v>
      </c>
    </row>
    <row r="3084" spans="1:3" x14ac:dyDescent="0.25">
      <c r="A3084" s="1" t="s">
        <v>15804</v>
      </c>
      <c r="B3084" s="1" t="s">
        <v>16374</v>
      </c>
      <c r="C3084" s="3">
        <f>IF(B3084="","",SUMIFS('Factory Costs'!$C:$C,'Factory Costs'!$A:$A,"Motor",'Factory Costs'!$B:$B,B3084))</f>
        <v>62</v>
      </c>
    </row>
    <row r="3085" spans="1:3" x14ac:dyDescent="0.25">
      <c r="A3085" s="1" t="s">
        <v>15807</v>
      </c>
      <c r="B3085" s="1" t="s">
        <v>16375</v>
      </c>
      <c r="C3085" s="3">
        <f>IF(B3085="","",SUMIFS('Factory Costs'!$C:$C,'Factory Costs'!$A:$A,"Motor",'Factory Costs'!$B:$B,B3085))</f>
        <v>72</v>
      </c>
    </row>
    <row r="3086" spans="1:3" x14ac:dyDescent="0.25">
      <c r="A3086" s="1" t="s">
        <v>15810</v>
      </c>
      <c r="B3086" s="1" t="s">
        <v>16375</v>
      </c>
      <c r="C3086" s="3">
        <f>IF(B3086="","",SUMIFS('Factory Costs'!$C:$C,'Factory Costs'!$A:$A,"Motor",'Factory Costs'!$B:$B,B3086))</f>
        <v>72</v>
      </c>
    </row>
    <row r="3087" spans="1:3" x14ac:dyDescent="0.25">
      <c r="A3087" s="1" t="s">
        <v>15813</v>
      </c>
      <c r="B3087" s="1" t="s">
        <v>16374</v>
      </c>
      <c r="C3087" s="3">
        <f>IF(B3087="","",SUMIFS('Factory Costs'!$C:$C,'Factory Costs'!$A:$A,"Motor",'Factory Costs'!$B:$B,B3087))</f>
        <v>62</v>
      </c>
    </row>
    <row r="3088" spans="1:3" x14ac:dyDescent="0.25">
      <c r="A3088" s="1" t="s">
        <v>15816</v>
      </c>
      <c r="B3088" s="1" t="s">
        <v>16374</v>
      </c>
      <c r="C3088" s="3">
        <f>IF(B3088="","",SUMIFS('Factory Costs'!$C:$C,'Factory Costs'!$A:$A,"Motor",'Factory Costs'!$B:$B,B3088))</f>
        <v>62</v>
      </c>
    </row>
    <row r="3089" spans="1:3" x14ac:dyDescent="0.25">
      <c r="A3089" s="1" t="s">
        <v>15819</v>
      </c>
      <c r="B3089" s="1" t="s">
        <v>16374</v>
      </c>
      <c r="C3089" s="3">
        <f>IF(B3089="","",SUMIFS('Factory Costs'!$C:$C,'Factory Costs'!$A:$A,"Motor",'Factory Costs'!$B:$B,B3089))</f>
        <v>62</v>
      </c>
    </row>
    <row r="3090" spans="1:3" x14ac:dyDescent="0.25">
      <c r="A3090" s="1" t="s">
        <v>15822</v>
      </c>
      <c r="B3090" s="1" t="s">
        <v>16374</v>
      </c>
      <c r="C3090" s="3">
        <f>IF(B3090="","",SUMIFS('Factory Costs'!$C:$C,'Factory Costs'!$A:$A,"Motor",'Factory Costs'!$B:$B,B3090))</f>
        <v>62</v>
      </c>
    </row>
    <row r="3091" spans="1:3" x14ac:dyDescent="0.25">
      <c r="A3091" s="1" t="s">
        <v>15825</v>
      </c>
      <c r="B3091" s="1" t="s">
        <v>16375</v>
      </c>
      <c r="C3091" s="3">
        <f>IF(B3091="","",SUMIFS('Factory Costs'!$C:$C,'Factory Costs'!$A:$A,"Motor",'Factory Costs'!$B:$B,B3091))</f>
        <v>72</v>
      </c>
    </row>
    <row r="3092" spans="1:3" x14ac:dyDescent="0.25">
      <c r="A3092" s="1" t="s">
        <v>15828</v>
      </c>
      <c r="B3092" s="1" t="s">
        <v>16374</v>
      </c>
      <c r="C3092" s="3">
        <f>IF(B3092="","",SUMIFS('Factory Costs'!$C:$C,'Factory Costs'!$A:$A,"Motor",'Factory Costs'!$B:$B,B3092))</f>
        <v>62</v>
      </c>
    </row>
    <row r="3093" spans="1:3" x14ac:dyDescent="0.25">
      <c r="A3093" s="1" t="s">
        <v>15831</v>
      </c>
      <c r="B3093" s="1" t="s">
        <v>16374</v>
      </c>
      <c r="C3093" s="3">
        <f>IF(B3093="","",SUMIFS('Factory Costs'!$C:$C,'Factory Costs'!$A:$A,"Motor",'Factory Costs'!$B:$B,B3093))</f>
        <v>62</v>
      </c>
    </row>
    <row r="3094" spans="1:3" x14ac:dyDescent="0.25">
      <c r="A3094" s="1" t="s">
        <v>15834</v>
      </c>
      <c r="B3094" s="1" t="s">
        <v>16374</v>
      </c>
      <c r="C3094" s="3">
        <f>IF(B3094="","",SUMIFS('Factory Costs'!$C:$C,'Factory Costs'!$A:$A,"Motor",'Factory Costs'!$B:$B,B3094))</f>
        <v>62</v>
      </c>
    </row>
    <row r="3095" spans="1:3" x14ac:dyDescent="0.25">
      <c r="A3095" s="1" t="s">
        <v>15837</v>
      </c>
      <c r="B3095" s="1" t="s">
        <v>16374</v>
      </c>
      <c r="C3095" s="3">
        <f>IF(B3095="","",SUMIFS('Factory Costs'!$C:$C,'Factory Costs'!$A:$A,"Motor",'Factory Costs'!$B:$B,B3095))</f>
        <v>62</v>
      </c>
    </row>
    <row r="3096" spans="1:3" x14ac:dyDescent="0.25">
      <c r="A3096" s="1" t="s">
        <v>15840</v>
      </c>
      <c r="B3096" s="1" t="s">
        <v>16374</v>
      </c>
      <c r="C3096" s="3">
        <f>IF(B3096="","",SUMIFS('Factory Costs'!$C:$C,'Factory Costs'!$A:$A,"Motor",'Factory Costs'!$B:$B,B3096))</f>
        <v>62</v>
      </c>
    </row>
    <row r="3097" spans="1:3" x14ac:dyDescent="0.25">
      <c r="A3097" s="1" t="s">
        <v>15843</v>
      </c>
      <c r="B3097" s="1" t="s">
        <v>16374</v>
      </c>
      <c r="C3097" s="3">
        <f>IF(B3097="","",SUMIFS('Factory Costs'!$C:$C,'Factory Costs'!$A:$A,"Motor",'Factory Costs'!$B:$B,B3097))</f>
        <v>62</v>
      </c>
    </row>
    <row r="3098" spans="1:3" x14ac:dyDescent="0.25">
      <c r="A3098" s="1" t="s">
        <v>15846</v>
      </c>
      <c r="B3098" s="1" t="s">
        <v>16374</v>
      </c>
      <c r="C3098" s="3">
        <f>IF(B3098="","",SUMIFS('Factory Costs'!$C:$C,'Factory Costs'!$A:$A,"Motor",'Factory Costs'!$B:$B,B3098))</f>
        <v>62</v>
      </c>
    </row>
    <row r="3099" spans="1:3" x14ac:dyDescent="0.25">
      <c r="A3099" s="1" t="s">
        <v>15849</v>
      </c>
      <c r="B3099" s="1" t="s">
        <v>16375</v>
      </c>
      <c r="C3099" s="3">
        <f>IF(B3099="","",SUMIFS('Factory Costs'!$C:$C,'Factory Costs'!$A:$A,"Motor",'Factory Costs'!$B:$B,B3099))</f>
        <v>72</v>
      </c>
    </row>
    <row r="3100" spans="1:3" x14ac:dyDescent="0.25">
      <c r="A3100" s="1" t="s">
        <v>15852</v>
      </c>
      <c r="B3100" s="1" t="s">
        <v>16374</v>
      </c>
      <c r="C3100" s="3">
        <f>IF(B3100="","",SUMIFS('Factory Costs'!$C:$C,'Factory Costs'!$A:$A,"Motor",'Factory Costs'!$B:$B,B3100))</f>
        <v>62</v>
      </c>
    </row>
    <row r="3101" spans="1:3" x14ac:dyDescent="0.25">
      <c r="A3101" s="1" t="s">
        <v>15855</v>
      </c>
      <c r="B3101" s="1" t="s">
        <v>16374</v>
      </c>
      <c r="C3101" s="3">
        <f>IF(B3101="","",SUMIFS('Factory Costs'!$C:$C,'Factory Costs'!$A:$A,"Motor",'Factory Costs'!$B:$B,B3101))</f>
        <v>62</v>
      </c>
    </row>
    <row r="3102" spans="1:3" x14ac:dyDescent="0.25">
      <c r="A3102" s="1" t="s">
        <v>15858</v>
      </c>
      <c r="B3102" s="1" t="s">
        <v>16374</v>
      </c>
      <c r="C3102" s="3">
        <f>IF(B3102="","",SUMIFS('Factory Costs'!$C:$C,'Factory Costs'!$A:$A,"Motor",'Factory Costs'!$B:$B,B3102))</f>
        <v>62</v>
      </c>
    </row>
    <row r="3103" spans="1:3" x14ac:dyDescent="0.25">
      <c r="A3103" s="1" t="s">
        <v>15861</v>
      </c>
      <c r="B3103" s="1" t="s">
        <v>16374</v>
      </c>
      <c r="C3103" s="3">
        <f>IF(B3103="","",SUMIFS('Factory Costs'!$C:$C,'Factory Costs'!$A:$A,"Motor",'Factory Costs'!$B:$B,B3103))</f>
        <v>62</v>
      </c>
    </row>
    <row r="3104" spans="1:3" x14ac:dyDescent="0.25">
      <c r="A3104" s="1" t="s">
        <v>15864</v>
      </c>
      <c r="B3104" s="1" t="s">
        <v>16375</v>
      </c>
      <c r="C3104" s="3">
        <f>IF(B3104="","",SUMIFS('Factory Costs'!$C:$C,'Factory Costs'!$A:$A,"Motor",'Factory Costs'!$B:$B,B3104))</f>
        <v>72</v>
      </c>
    </row>
    <row r="3105" spans="1:3" x14ac:dyDescent="0.25">
      <c r="A3105" s="1" t="s">
        <v>15867</v>
      </c>
      <c r="B3105" s="1" t="s">
        <v>16374</v>
      </c>
      <c r="C3105" s="3">
        <f>IF(B3105="","",SUMIFS('Factory Costs'!$C:$C,'Factory Costs'!$A:$A,"Motor",'Factory Costs'!$B:$B,B3105))</f>
        <v>62</v>
      </c>
    </row>
    <row r="3106" spans="1:3" x14ac:dyDescent="0.25">
      <c r="A3106" s="1" t="s">
        <v>15870</v>
      </c>
      <c r="B3106" s="1" t="s">
        <v>16374</v>
      </c>
      <c r="C3106" s="3">
        <f>IF(B3106="","",SUMIFS('Factory Costs'!$C:$C,'Factory Costs'!$A:$A,"Motor",'Factory Costs'!$B:$B,B3106))</f>
        <v>62</v>
      </c>
    </row>
    <row r="3107" spans="1:3" x14ac:dyDescent="0.25">
      <c r="A3107" s="1" t="s">
        <v>15873</v>
      </c>
      <c r="B3107" s="1" t="s">
        <v>16374</v>
      </c>
      <c r="C3107" s="3">
        <f>IF(B3107="","",SUMIFS('Factory Costs'!$C:$C,'Factory Costs'!$A:$A,"Motor",'Factory Costs'!$B:$B,B3107))</f>
        <v>62</v>
      </c>
    </row>
    <row r="3108" spans="1:3" x14ac:dyDescent="0.25">
      <c r="A3108" s="1" t="s">
        <v>15876</v>
      </c>
      <c r="B3108" s="1" t="s">
        <v>16374</v>
      </c>
      <c r="C3108" s="3">
        <f>IF(B3108="","",SUMIFS('Factory Costs'!$C:$C,'Factory Costs'!$A:$A,"Motor",'Factory Costs'!$B:$B,B3108))</f>
        <v>62</v>
      </c>
    </row>
    <row r="3109" spans="1:3" x14ac:dyDescent="0.25">
      <c r="A3109" s="1" t="s">
        <v>15879</v>
      </c>
      <c r="B3109" s="1" t="s">
        <v>16375</v>
      </c>
      <c r="C3109" s="3">
        <f>IF(B3109="","",SUMIFS('Factory Costs'!$C:$C,'Factory Costs'!$A:$A,"Motor",'Factory Costs'!$B:$B,B3109))</f>
        <v>72</v>
      </c>
    </row>
    <row r="3110" spans="1:3" x14ac:dyDescent="0.25">
      <c r="A3110" s="1" t="s">
        <v>15882</v>
      </c>
      <c r="B3110" s="1" t="s">
        <v>16374</v>
      </c>
      <c r="C3110" s="3">
        <f>IF(B3110="","",SUMIFS('Factory Costs'!$C:$C,'Factory Costs'!$A:$A,"Motor",'Factory Costs'!$B:$B,B3110))</f>
        <v>62</v>
      </c>
    </row>
    <row r="3111" spans="1:3" x14ac:dyDescent="0.25">
      <c r="A3111" s="1" t="s">
        <v>15885</v>
      </c>
      <c r="B3111" s="1" t="s">
        <v>16374</v>
      </c>
      <c r="C3111" s="3">
        <f>IF(B3111="","",SUMIFS('Factory Costs'!$C:$C,'Factory Costs'!$A:$A,"Motor",'Factory Costs'!$B:$B,B3111))</f>
        <v>62</v>
      </c>
    </row>
    <row r="3112" spans="1:3" x14ac:dyDescent="0.25">
      <c r="A3112" s="1" t="s">
        <v>15888</v>
      </c>
      <c r="B3112" s="1" t="s">
        <v>16375</v>
      </c>
      <c r="C3112" s="3">
        <f>IF(B3112="","",SUMIFS('Factory Costs'!$C:$C,'Factory Costs'!$A:$A,"Motor",'Factory Costs'!$B:$B,B3112))</f>
        <v>72</v>
      </c>
    </row>
    <row r="3113" spans="1:3" x14ac:dyDescent="0.25">
      <c r="A3113" s="1" t="s">
        <v>15891</v>
      </c>
      <c r="B3113" s="1" t="s">
        <v>16374</v>
      </c>
      <c r="C3113" s="3">
        <f>IF(B3113="","",SUMIFS('Factory Costs'!$C:$C,'Factory Costs'!$A:$A,"Motor",'Factory Costs'!$B:$B,B3113))</f>
        <v>62</v>
      </c>
    </row>
    <row r="3114" spans="1:3" x14ac:dyDescent="0.25">
      <c r="A3114" s="1" t="s">
        <v>15894</v>
      </c>
      <c r="B3114" s="1" t="s">
        <v>16374</v>
      </c>
      <c r="C3114" s="3">
        <f>IF(B3114="","",SUMIFS('Factory Costs'!$C:$C,'Factory Costs'!$A:$A,"Motor",'Factory Costs'!$B:$B,B3114))</f>
        <v>62</v>
      </c>
    </row>
    <row r="3115" spans="1:3" x14ac:dyDescent="0.25">
      <c r="A3115" s="1" t="s">
        <v>15897</v>
      </c>
      <c r="B3115" s="1" t="s">
        <v>16375</v>
      </c>
      <c r="C3115" s="3">
        <f>IF(B3115="","",SUMIFS('Factory Costs'!$C:$C,'Factory Costs'!$A:$A,"Motor",'Factory Costs'!$B:$B,B3115))</f>
        <v>72</v>
      </c>
    </row>
    <row r="3116" spans="1:3" x14ac:dyDescent="0.25">
      <c r="A3116" s="1" t="s">
        <v>15900</v>
      </c>
      <c r="B3116" s="1" t="s">
        <v>16374</v>
      </c>
      <c r="C3116" s="3">
        <f>IF(B3116="","",SUMIFS('Factory Costs'!$C:$C,'Factory Costs'!$A:$A,"Motor",'Factory Costs'!$B:$B,B3116))</f>
        <v>62</v>
      </c>
    </row>
    <row r="3117" spans="1:3" x14ac:dyDescent="0.25">
      <c r="A3117" s="1" t="s">
        <v>15903</v>
      </c>
      <c r="B3117" s="1" t="s">
        <v>16375</v>
      </c>
      <c r="C3117" s="3">
        <f>IF(B3117="","",SUMIFS('Factory Costs'!$C:$C,'Factory Costs'!$A:$A,"Motor",'Factory Costs'!$B:$B,B3117))</f>
        <v>72</v>
      </c>
    </row>
    <row r="3118" spans="1:3" x14ac:dyDescent="0.25">
      <c r="A3118" s="1" t="s">
        <v>15906</v>
      </c>
      <c r="B3118" s="1" t="s">
        <v>16375</v>
      </c>
      <c r="C3118" s="3">
        <f>IF(B3118="","",SUMIFS('Factory Costs'!$C:$C,'Factory Costs'!$A:$A,"Motor",'Factory Costs'!$B:$B,B3118))</f>
        <v>72</v>
      </c>
    </row>
    <row r="3119" spans="1:3" x14ac:dyDescent="0.25">
      <c r="A3119" s="1" t="s">
        <v>15909</v>
      </c>
      <c r="B3119" s="1" t="s">
        <v>16375</v>
      </c>
      <c r="C3119" s="3">
        <f>IF(B3119="","",SUMIFS('Factory Costs'!$C:$C,'Factory Costs'!$A:$A,"Motor",'Factory Costs'!$B:$B,B3119))</f>
        <v>72</v>
      </c>
    </row>
    <row r="3120" spans="1:3" x14ac:dyDescent="0.25">
      <c r="A3120" s="1" t="s">
        <v>15912</v>
      </c>
      <c r="B3120" s="1" t="s">
        <v>16374</v>
      </c>
      <c r="C3120" s="3">
        <f>IF(B3120="","",SUMIFS('Factory Costs'!$C:$C,'Factory Costs'!$A:$A,"Motor",'Factory Costs'!$B:$B,B3120))</f>
        <v>62</v>
      </c>
    </row>
    <row r="3121" spans="1:3" x14ac:dyDescent="0.25">
      <c r="A3121" s="1" t="s">
        <v>15915</v>
      </c>
      <c r="B3121" s="1" t="s">
        <v>16374</v>
      </c>
      <c r="C3121" s="3">
        <f>IF(B3121="","",SUMIFS('Factory Costs'!$C:$C,'Factory Costs'!$A:$A,"Motor",'Factory Costs'!$B:$B,B3121))</f>
        <v>62</v>
      </c>
    </row>
    <row r="3122" spans="1:3" x14ac:dyDescent="0.25">
      <c r="A3122" s="1" t="s">
        <v>15918</v>
      </c>
      <c r="B3122" s="1" t="s">
        <v>16375</v>
      </c>
      <c r="C3122" s="3">
        <f>IF(B3122="","",SUMIFS('Factory Costs'!$C:$C,'Factory Costs'!$A:$A,"Motor",'Factory Costs'!$B:$B,B3122))</f>
        <v>72</v>
      </c>
    </row>
    <row r="3123" spans="1:3" x14ac:dyDescent="0.25">
      <c r="A3123" s="1" t="s">
        <v>15921</v>
      </c>
      <c r="B3123" s="1" t="s">
        <v>16375</v>
      </c>
      <c r="C3123" s="3">
        <f>IF(B3123="","",SUMIFS('Factory Costs'!$C:$C,'Factory Costs'!$A:$A,"Motor",'Factory Costs'!$B:$B,B3123))</f>
        <v>72</v>
      </c>
    </row>
    <row r="3124" spans="1:3" x14ac:dyDescent="0.25">
      <c r="A3124" s="1" t="s">
        <v>15924</v>
      </c>
      <c r="B3124" s="1" t="s">
        <v>16374</v>
      </c>
      <c r="C3124" s="3">
        <f>IF(B3124="","",SUMIFS('Factory Costs'!$C:$C,'Factory Costs'!$A:$A,"Motor",'Factory Costs'!$B:$B,B3124))</f>
        <v>62</v>
      </c>
    </row>
    <row r="3125" spans="1:3" x14ac:dyDescent="0.25">
      <c r="A3125" s="1" t="s">
        <v>15927</v>
      </c>
      <c r="B3125" s="1" t="s">
        <v>16374</v>
      </c>
      <c r="C3125" s="3">
        <f>IF(B3125="","",SUMIFS('Factory Costs'!$C:$C,'Factory Costs'!$A:$A,"Motor",'Factory Costs'!$B:$B,B3125))</f>
        <v>62</v>
      </c>
    </row>
    <row r="3126" spans="1:3" x14ac:dyDescent="0.25">
      <c r="A3126" s="1" t="s">
        <v>15930</v>
      </c>
      <c r="B3126" s="1" t="s">
        <v>16374</v>
      </c>
      <c r="C3126" s="3">
        <f>IF(B3126="","",SUMIFS('Factory Costs'!$C:$C,'Factory Costs'!$A:$A,"Motor",'Factory Costs'!$B:$B,B3126))</f>
        <v>62</v>
      </c>
    </row>
    <row r="3127" spans="1:3" x14ac:dyDescent="0.25">
      <c r="A3127" s="1" t="s">
        <v>15933</v>
      </c>
      <c r="B3127" s="1" t="s">
        <v>16375</v>
      </c>
      <c r="C3127" s="3">
        <f>IF(B3127="","",SUMIFS('Factory Costs'!$C:$C,'Factory Costs'!$A:$A,"Motor",'Factory Costs'!$B:$B,B3127))</f>
        <v>72</v>
      </c>
    </row>
    <row r="3128" spans="1:3" x14ac:dyDescent="0.25">
      <c r="A3128" s="1" t="s">
        <v>15936</v>
      </c>
      <c r="B3128" s="1" t="s">
        <v>16374</v>
      </c>
      <c r="C3128" s="3">
        <f>IF(B3128="","",SUMIFS('Factory Costs'!$C:$C,'Factory Costs'!$A:$A,"Motor",'Factory Costs'!$B:$B,B3128))</f>
        <v>62</v>
      </c>
    </row>
    <row r="3129" spans="1:3" x14ac:dyDescent="0.25">
      <c r="A3129" s="1" t="s">
        <v>15939</v>
      </c>
      <c r="B3129" s="1" t="s">
        <v>16375</v>
      </c>
      <c r="C3129" s="3">
        <f>IF(B3129="","",SUMIFS('Factory Costs'!$C:$C,'Factory Costs'!$A:$A,"Motor",'Factory Costs'!$B:$B,B3129))</f>
        <v>72</v>
      </c>
    </row>
    <row r="3130" spans="1:3" x14ac:dyDescent="0.25">
      <c r="A3130" s="1" t="s">
        <v>15942</v>
      </c>
      <c r="B3130" s="1" t="s">
        <v>16374</v>
      </c>
      <c r="C3130" s="3">
        <f>IF(B3130="","",SUMIFS('Factory Costs'!$C:$C,'Factory Costs'!$A:$A,"Motor",'Factory Costs'!$B:$B,B3130))</f>
        <v>62</v>
      </c>
    </row>
    <row r="3131" spans="1:3" x14ac:dyDescent="0.25">
      <c r="A3131" s="1" t="s">
        <v>15945</v>
      </c>
      <c r="B3131" s="1" t="s">
        <v>16374</v>
      </c>
      <c r="C3131" s="3">
        <f>IF(B3131="","",SUMIFS('Factory Costs'!$C:$C,'Factory Costs'!$A:$A,"Motor",'Factory Costs'!$B:$B,B3131))</f>
        <v>62</v>
      </c>
    </row>
    <row r="3132" spans="1:3" x14ac:dyDescent="0.25">
      <c r="A3132" s="1" t="s">
        <v>15948</v>
      </c>
      <c r="B3132" s="1" t="s">
        <v>16374</v>
      </c>
      <c r="C3132" s="3">
        <f>IF(B3132="","",SUMIFS('Factory Costs'!$C:$C,'Factory Costs'!$A:$A,"Motor",'Factory Costs'!$B:$B,B3132))</f>
        <v>62</v>
      </c>
    </row>
    <row r="3133" spans="1:3" x14ac:dyDescent="0.25">
      <c r="A3133" s="1" t="s">
        <v>15951</v>
      </c>
      <c r="B3133" s="1" t="s">
        <v>16374</v>
      </c>
      <c r="C3133" s="3">
        <f>IF(B3133="","",SUMIFS('Factory Costs'!$C:$C,'Factory Costs'!$A:$A,"Motor",'Factory Costs'!$B:$B,B3133))</f>
        <v>62</v>
      </c>
    </row>
    <row r="3134" spans="1:3" x14ac:dyDescent="0.25">
      <c r="A3134" s="1" t="s">
        <v>15954</v>
      </c>
      <c r="B3134" s="1" t="s">
        <v>16374</v>
      </c>
      <c r="C3134" s="3">
        <f>IF(B3134="","",SUMIFS('Factory Costs'!$C:$C,'Factory Costs'!$A:$A,"Motor",'Factory Costs'!$B:$B,B3134))</f>
        <v>62</v>
      </c>
    </row>
    <row r="3135" spans="1:3" x14ac:dyDescent="0.25">
      <c r="A3135" s="1" t="s">
        <v>15957</v>
      </c>
      <c r="B3135" s="1" t="s">
        <v>16375</v>
      </c>
      <c r="C3135" s="3">
        <f>IF(B3135="","",SUMIFS('Factory Costs'!$C:$C,'Factory Costs'!$A:$A,"Motor",'Factory Costs'!$B:$B,B3135))</f>
        <v>72</v>
      </c>
    </row>
    <row r="3136" spans="1:3" x14ac:dyDescent="0.25">
      <c r="A3136" s="1" t="s">
        <v>15960</v>
      </c>
      <c r="B3136" s="1" t="s">
        <v>16375</v>
      </c>
      <c r="C3136" s="3">
        <f>IF(B3136="","",SUMIFS('Factory Costs'!$C:$C,'Factory Costs'!$A:$A,"Motor",'Factory Costs'!$B:$B,B3136))</f>
        <v>72</v>
      </c>
    </row>
    <row r="3137" spans="1:3" x14ac:dyDescent="0.25">
      <c r="A3137" s="1" t="s">
        <v>15963</v>
      </c>
      <c r="B3137" s="1" t="s">
        <v>16374</v>
      </c>
      <c r="C3137" s="3">
        <f>IF(B3137="","",SUMIFS('Factory Costs'!$C:$C,'Factory Costs'!$A:$A,"Motor",'Factory Costs'!$B:$B,B3137))</f>
        <v>62</v>
      </c>
    </row>
    <row r="3138" spans="1:3" x14ac:dyDescent="0.25">
      <c r="A3138" s="1" t="s">
        <v>15966</v>
      </c>
      <c r="B3138" s="1" t="s">
        <v>16374</v>
      </c>
      <c r="C3138" s="3">
        <f>IF(B3138="","",SUMIFS('Factory Costs'!$C:$C,'Factory Costs'!$A:$A,"Motor",'Factory Costs'!$B:$B,B3138))</f>
        <v>62</v>
      </c>
    </row>
    <row r="3139" spans="1:3" x14ac:dyDescent="0.25">
      <c r="A3139" s="1" t="s">
        <v>15969</v>
      </c>
      <c r="B3139" s="1" t="s">
        <v>16374</v>
      </c>
      <c r="C3139" s="3">
        <f>IF(B3139="","",SUMIFS('Factory Costs'!$C:$C,'Factory Costs'!$A:$A,"Motor",'Factory Costs'!$B:$B,B3139))</f>
        <v>62</v>
      </c>
    </row>
    <row r="3140" spans="1:3" x14ac:dyDescent="0.25">
      <c r="A3140" s="1" t="s">
        <v>15972</v>
      </c>
      <c r="B3140" s="1" t="s">
        <v>16375</v>
      </c>
      <c r="C3140" s="3">
        <f>IF(B3140="","",SUMIFS('Factory Costs'!$C:$C,'Factory Costs'!$A:$A,"Motor",'Factory Costs'!$B:$B,B3140))</f>
        <v>72</v>
      </c>
    </row>
    <row r="3141" spans="1:3" x14ac:dyDescent="0.25">
      <c r="A3141" s="1" t="s">
        <v>15975</v>
      </c>
      <c r="B3141" s="1" t="s">
        <v>16374</v>
      </c>
      <c r="C3141" s="3">
        <f>IF(B3141="","",SUMIFS('Factory Costs'!$C:$C,'Factory Costs'!$A:$A,"Motor",'Factory Costs'!$B:$B,B3141))</f>
        <v>62</v>
      </c>
    </row>
    <row r="3142" spans="1:3" x14ac:dyDescent="0.25">
      <c r="A3142" s="1" t="s">
        <v>15978</v>
      </c>
      <c r="B3142" s="1" t="s">
        <v>16374</v>
      </c>
      <c r="C3142" s="3">
        <f>IF(B3142="","",SUMIFS('Factory Costs'!$C:$C,'Factory Costs'!$A:$A,"Motor",'Factory Costs'!$B:$B,B3142))</f>
        <v>62</v>
      </c>
    </row>
    <row r="3143" spans="1:3" x14ac:dyDescent="0.25">
      <c r="A3143" s="1" t="s">
        <v>15981</v>
      </c>
      <c r="B3143" s="1" t="s">
        <v>16375</v>
      </c>
      <c r="C3143" s="3">
        <f>IF(B3143="","",SUMIFS('Factory Costs'!$C:$C,'Factory Costs'!$A:$A,"Motor",'Factory Costs'!$B:$B,B3143))</f>
        <v>72</v>
      </c>
    </row>
    <row r="3144" spans="1:3" x14ac:dyDescent="0.25">
      <c r="A3144" s="1" t="s">
        <v>15984</v>
      </c>
      <c r="B3144" s="1" t="s">
        <v>16374</v>
      </c>
      <c r="C3144" s="3">
        <f>IF(B3144="","",SUMIFS('Factory Costs'!$C:$C,'Factory Costs'!$A:$A,"Motor",'Factory Costs'!$B:$B,B3144))</f>
        <v>62</v>
      </c>
    </row>
    <row r="3145" spans="1:3" x14ac:dyDescent="0.25">
      <c r="A3145" s="1" t="s">
        <v>15987</v>
      </c>
      <c r="B3145" s="1" t="s">
        <v>16374</v>
      </c>
      <c r="C3145" s="3">
        <f>IF(B3145="","",SUMIFS('Factory Costs'!$C:$C,'Factory Costs'!$A:$A,"Motor",'Factory Costs'!$B:$B,B3145))</f>
        <v>62</v>
      </c>
    </row>
    <row r="3146" spans="1:3" x14ac:dyDescent="0.25">
      <c r="A3146" s="1" t="s">
        <v>15990</v>
      </c>
      <c r="B3146" s="1" t="s">
        <v>16375</v>
      </c>
      <c r="C3146" s="3">
        <f>IF(B3146="","",SUMIFS('Factory Costs'!$C:$C,'Factory Costs'!$A:$A,"Motor",'Factory Costs'!$B:$B,B3146))</f>
        <v>72</v>
      </c>
    </row>
    <row r="3147" spans="1:3" x14ac:dyDescent="0.25">
      <c r="A3147" s="1" t="s">
        <v>15993</v>
      </c>
      <c r="B3147" s="1" t="s">
        <v>16374</v>
      </c>
      <c r="C3147" s="3">
        <f>IF(B3147="","",SUMIFS('Factory Costs'!$C:$C,'Factory Costs'!$A:$A,"Motor",'Factory Costs'!$B:$B,B3147))</f>
        <v>62</v>
      </c>
    </row>
    <row r="3148" spans="1:3" x14ac:dyDescent="0.25">
      <c r="A3148" s="1" t="s">
        <v>15996</v>
      </c>
      <c r="B3148" s="1" t="s">
        <v>16374</v>
      </c>
      <c r="C3148" s="3">
        <f>IF(B3148="","",SUMIFS('Factory Costs'!$C:$C,'Factory Costs'!$A:$A,"Motor",'Factory Costs'!$B:$B,B3148))</f>
        <v>62</v>
      </c>
    </row>
    <row r="3149" spans="1:3" x14ac:dyDescent="0.25">
      <c r="A3149" s="1" t="s">
        <v>15999</v>
      </c>
      <c r="B3149" s="1" t="s">
        <v>16374</v>
      </c>
      <c r="C3149" s="3">
        <f>IF(B3149="","",SUMIFS('Factory Costs'!$C:$C,'Factory Costs'!$A:$A,"Motor",'Factory Costs'!$B:$B,B3149))</f>
        <v>62</v>
      </c>
    </row>
    <row r="3150" spans="1:3" x14ac:dyDescent="0.25">
      <c r="A3150" s="1" t="s">
        <v>16002</v>
      </c>
      <c r="B3150" s="1" t="s">
        <v>16375</v>
      </c>
      <c r="C3150" s="3">
        <f>IF(B3150="","",SUMIFS('Factory Costs'!$C:$C,'Factory Costs'!$A:$A,"Motor",'Factory Costs'!$B:$B,B3150))</f>
        <v>72</v>
      </c>
    </row>
    <row r="3151" spans="1:3" x14ac:dyDescent="0.25">
      <c r="A3151" s="1" t="s">
        <v>16005</v>
      </c>
      <c r="B3151" s="1" t="s">
        <v>16375</v>
      </c>
      <c r="C3151" s="3">
        <f>IF(B3151="","",SUMIFS('Factory Costs'!$C:$C,'Factory Costs'!$A:$A,"Motor",'Factory Costs'!$B:$B,B3151))</f>
        <v>72</v>
      </c>
    </row>
    <row r="3152" spans="1:3" x14ac:dyDescent="0.25">
      <c r="A3152" s="1" t="s">
        <v>16008</v>
      </c>
      <c r="B3152" s="1" t="s">
        <v>16374</v>
      </c>
      <c r="C3152" s="3">
        <f>IF(B3152="","",SUMIFS('Factory Costs'!$C:$C,'Factory Costs'!$A:$A,"Motor",'Factory Costs'!$B:$B,B3152))</f>
        <v>62</v>
      </c>
    </row>
    <row r="3153" spans="1:3" x14ac:dyDescent="0.25">
      <c r="A3153" s="1" t="s">
        <v>16011</v>
      </c>
      <c r="B3153" s="1" t="s">
        <v>16375</v>
      </c>
      <c r="C3153" s="3">
        <f>IF(B3153="","",SUMIFS('Factory Costs'!$C:$C,'Factory Costs'!$A:$A,"Motor",'Factory Costs'!$B:$B,B3153))</f>
        <v>72</v>
      </c>
    </row>
    <row r="3154" spans="1:3" x14ac:dyDescent="0.25">
      <c r="A3154" s="1" t="s">
        <v>16014</v>
      </c>
      <c r="B3154" s="1" t="s">
        <v>16374</v>
      </c>
      <c r="C3154" s="3">
        <f>IF(B3154="","",SUMIFS('Factory Costs'!$C:$C,'Factory Costs'!$A:$A,"Motor",'Factory Costs'!$B:$B,B3154))</f>
        <v>62</v>
      </c>
    </row>
    <row r="3155" spans="1:3" x14ac:dyDescent="0.25">
      <c r="A3155" s="1" t="s">
        <v>16017</v>
      </c>
      <c r="B3155" s="1" t="s">
        <v>16374</v>
      </c>
      <c r="C3155" s="3">
        <f>IF(B3155="","",SUMIFS('Factory Costs'!$C:$C,'Factory Costs'!$A:$A,"Motor",'Factory Costs'!$B:$B,B3155))</f>
        <v>62</v>
      </c>
    </row>
    <row r="3156" spans="1:3" x14ac:dyDescent="0.25">
      <c r="A3156" s="1" t="s">
        <v>16020</v>
      </c>
      <c r="B3156" s="1" t="s">
        <v>16375</v>
      </c>
      <c r="C3156" s="3">
        <f>IF(B3156="","",SUMIFS('Factory Costs'!$C:$C,'Factory Costs'!$A:$A,"Motor",'Factory Costs'!$B:$B,B3156))</f>
        <v>72</v>
      </c>
    </row>
    <row r="3157" spans="1:3" x14ac:dyDescent="0.25">
      <c r="A3157" s="1" t="s">
        <v>16023</v>
      </c>
      <c r="B3157" s="1" t="s">
        <v>16374</v>
      </c>
      <c r="C3157" s="3">
        <f>IF(B3157="","",SUMIFS('Factory Costs'!$C:$C,'Factory Costs'!$A:$A,"Motor",'Factory Costs'!$B:$B,B3157))</f>
        <v>62</v>
      </c>
    </row>
    <row r="3158" spans="1:3" x14ac:dyDescent="0.25">
      <c r="A3158" s="1" t="s">
        <v>16026</v>
      </c>
      <c r="B3158" s="1" t="s">
        <v>16374</v>
      </c>
      <c r="C3158" s="3">
        <f>IF(B3158="","",SUMIFS('Factory Costs'!$C:$C,'Factory Costs'!$A:$A,"Motor",'Factory Costs'!$B:$B,B3158))</f>
        <v>62</v>
      </c>
    </row>
    <row r="3159" spans="1:3" x14ac:dyDescent="0.25">
      <c r="A3159" s="1" t="s">
        <v>16029</v>
      </c>
      <c r="B3159" s="1" t="s">
        <v>16374</v>
      </c>
      <c r="C3159" s="3">
        <f>IF(B3159="","",SUMIFS('Factory Costs'!$C:$C,'Factory Costs'!$A:$A,"Motor",'Factory Costs'!$B:$B,B3159))</f>
        <v>62</v>
      </c>
    </row>
    <row r="3160" spans="1:3" x14ac:dyDescent="0.25">
      <c r="A3160" s="1" t="s">
        <v>16032</v>
      </c>
      <c r="B3160" s="1" t="s">
        <v>16375</v>
      </c>
      <c r="C3160" s="3">
        <f>IF(B3160="","",SUMIFS('Factory Costs'!$C:$C,'Factory Costs'!$A:$A,"Motor",'Factory Costs'!$B:$B,B3160))</f>
        <v>72</v>
      </c>
    </row>
    <row r="3161" spans="1:3" x14ac:dyDescent="0.25">
      <c r="A3161" s="1" t="s">
        <v>16035</v>
      </c>
      <c r="B3161" s="1" t="s">
        <v>16374</v>
      </c>
      <c r="C3161" s="3">
        <f>IF(B3161="","",SUMIFS('Factory Costs'!$C:$C,'Factory Costs'!$A:$A,"Motor",'Factory Costs'!$B:$B,B3161))</f>
        <v>62</v>
      </c>
    </row>
    <row r="3162" spans="1:3" x14ac:dyDescent="0.25">
      <c r="A3162" s="1" t="s">
        <v>16038</v>
      </c>
      <c r="B3162" s="1" t="s">
        <v>16374</v>
      </c>
      <c r="C3162" s="3">
        <f>IF(B3162="","",SUMIFS('Factory Costs'!$C:$C,'Factory Costs'!$A:$A,"Motor",'Factory Costs'!$B:$B,B3162))</f>
        <v>62</v>
      </c>
    </row>
    <row r="3163" spans="1:3" x14ac:dyDescent="0.25">
      <c r="A3163" s="1" t="s">
        <v>16041</v>
      </c>
      <c r="B3163" s="1" t="s">
        <v>16374</v>
      </c>
      <c r="C3163" s="3">
        <f>IF(B3163="","",SUMIFS('Factory Costs'!$C:$C,'Factory Costs'!$A:$A,"Motor",'Factory Costs'!$B:$B,B3163))</f>
        <v>62</v>
      </c>
    </row>
    <row r="3164" spans="1:3" x14ac:dyDescent="0.25">
      <c r="A3164" s="1" t="s">
        <v>16044</v>
      </c>
      <c r="B3164" s="1" t="s">
        <v>16374</v>
      </c>
      <c r="C3164" s="3">
        <f>IF(B3164="","",SUMIFS('Factory Costs'!$C:$C,'Factory Costs'!$A:$A,"Motor",'Factory Costs'!$B:$B,B3164))</f>
        <v>62</v>
      </c>
    </row>
    <row r="3165" spans="1:3" x14ac:dyDescent="0.25">
      <c r="A3165" s="1" t="s">
        <v>16047</v>
      </c>
      <c r="B3165" s="1" t="s">
        <v>16374</v>
      </c>
      <c r="C3165" s="3">
        <f>IF(B3165="","",SUMIFS('Factory Costs'!$C:$C,'Factory Costs'!$A:$A,"Motor",'Factory Costs'!$B:$B,B3165))</f>
        <v>62</v>
      </c>
    </row>
    <row r="3166" spans="1:3" x14ac:dyDescent="0.25">
      <c r="A3166" s="1" t="s">
        <v>16050</v>
      </c>
      <c r="B3166" s="1" t="s">
        <v>16375</v>
      </c>
      <c r="C3166" s="3">
        <f>IF(B3166="","",SUMIFS('Factory Costs'!$C:$C,'Factory Costs'!$A:$A,"Motor",'Factory Costs'!$B:$B,B3166))</f>
        <v>72</v>
      </c>
    </row>
    <row r="3167" spans="1:3" x14ac:dyDescent="0.25">
      <c r="A3167" s="1" t="s">
        <v>16053</v>
      </c>
      <c r="B3167" s="1" t="s">
        <v>16374</v>
      </c>
      <c r="C3167" s="3">
        <f>IF(B3167="","",SUMIFS('Factory Costs'!$C:$C,'Factory Costs'!$A:$A,"Motor",'Factory Costs'!$B:$B,B3167))</f>
        <v>62</v>
      </c>
    </row>
    <row r="3168" spans="1:3" x14ac:dyDescent="0.25">
      <c r="A3168" s="1" t="s">
        <v>16056</v>
      </c>
      <c r="B3168" s="1" t="s">
        <v>16374</v>
      </c>
      <c r="C3168" s="3">
        <f>IF(B3168="","",SUMIFS('Factory Costs'!$C:$C,'Factory Costs'!$A:$A,"Motor",'Factory Costs'!$B:$B,B3168))</f>
        <v>62</v>
      </c>
    </row>
    <row r="3169" spans="1:3" x14ac:dyDescent="0.25">
      <c r="A3169" s="1" t="s">
        <v>16059</v>
      </c>
      <c r="B3169" s="1" t="s">
        <v>16374</v>
      </c>
      <c r="C3169" s="3">
        <f>IF(B3169="","",SUMIFS('Factory Costs'!$C:$C,'Factory Costs'!$A:$A,"Motor",'Factory Costs'!$B:$B,B3169))</f>
        <v>62</v>
      </c>
    </row>
    <row r="3170" spans="1:3" x14ac:dyDescent="0.25">
      <c r="A3170" s="1" t="s">
        <v>16062</v>
      </c>
      <c r="B3170" s="1" t="s">
        <v>16375</v>
      </c>
      <c r="C3170" s="3">
        <f>IF(B3170="","",SUMIFS('Factory Costs'!$C:$C,'Factory Costs'!$A:$A,"Motor",'Factory Costs'!$B:$B,B3170))</f>
        <v>72</v>
      </c>
    </row>
    <row r="3171" spans="1:3" x14ac:dyDescent="0.25">
      <c r="A3171" s="1" t="s">
        <v>16065</v>
      </c>
      <c r="B3171" s="1" t="s">
        <v>16374</v>
      </c>
      <c r="C3171" s="3">
        <f>IF(B3171="","",SUMIFS('Factory Costs'!$C:$C,'Factory Costs'!$A:$A,"Motor",'Factory Costs'!$B:$B,B3171))</f>
        <v>62</v>
      </c>
    </row>
    <row r="3172" spans="1:3" x14ac:dyDescent="0.25">
      <c r="A3172" s="1" t="s">
        <v>16068</v>
      </c>
      <c r="B3172" s="1" t="s">
        <v>16374</v>
      </c>
      <c r="C3172" s="3">
        <f>IF(B3172="","",SUMIFS('Factory Costs'!$C:$C,'Factory Costs'!$A:$A,"Motor",'Factory Costs'!$B:$B,B3172))</f>
        <v>62</v>
      </c>
    </row>
    <row r="3173" spans="1:3" x14ac:dyDescent="0.25">
      <c r="A3173" s="1" t="s">
        <v>16071</v>
      </c>
      <c r="B3173" s="1" t="s">
        <v>16375</v>
      </c>
      <c r="C3173" s="3">
        <f>IF(B3173="","",SUMIFS('Factory Costs'!$C:$C,'Factory Costs'!$A:$A,"Motor",'Factory Costs'!$B:$B,B3173))</f>
        <v>72</v>
      </c>
    </row>
    <row r="3174" spans="1:3" x14ac:dyDescent="0.25">
      <c r="A3174" s="1" t="s">
        <v>16074</v>
      </c>
      <c r="B3174" s="1" t="s">
        <v>16374</v>
      </c>
      <c r="C3174" s="3">
        <f>IF(B3174="","",SUMIFS('Factory Costs'!$C:$C,'Factory Costs'!$A:$A,"Motor",'Factory Costs'!$B:$B,B3174))</f>
        <v>62</v>
      </c>
    </row>
    <row r="3175" spans="1:3" x14ac:dyDescent="0.25">
      <c r="A3175" s="1" t="s">
        <v>16077</v>
      </c>
      <c r="B3175" s="1" t="s">
        <v>16374</v>
      </c>
      <c r="C3175" s="3">
        <f>IF(B3175="","",SUMIFS('Factory Costs'!$C:$C,'Factory Costs'!$A:$A,"Motor",'Factory Costs'!$B:$B,B3175))</f>
        <v>62</v>
      </c>
    </row>
    <row r="3176" spans="1:3" x14ac:dyDescent="0.25">
      <c r="A3176" s="1" t="s">
        <v>16080</v>
      </c>
      <c r="B3176" s="1" t="s">
        <v>16374</v>
      </c>
      <c r="C3176" s="3">
        <f>IF(B3176="","",SUMIFS('Factory Costs'!$C:$C,'Factory Costs'!$A:$A,"Motor",'Factory Costs'!$B:$B,B3176))</f>
        <v>62</v>
      </c>
    </row>
    <row r="3177" spans="1:3" x14ac:dyDescent="0.25">
      <c r="A3177" s="1" t="s">
        <v>16083</v>
      </c>
      <c r="B3177" s="1" t="s">
        <v>16374</v>
      </c>
      <c r="C3177" s="3">
        <f>IF(B3177="","",SUMIFS('Factory Costs'!$C:$C,'Factory Costs'!$A:$A,"Motor",'Factory Costs'!$B:$B,B3177))</f>
        <v>62</v>
      </c>
    </row>
    <row r="3178" spans="1:3" x14ac:dyDescent="0.25">
      <c r="A3178" s="1" t="s">
        <v>16086</v>
      </c>
      <c r="B3178" s="1" t="s">
        <v>16375</v>
      </c>
      <c r="C3178" s="3">
        <f>IF(B3178="","",SUMIFS('Factory Costs'!$C:$C,'Factory Costs'!$A:$A,"Motor",'Factory Costs'!$B:$B,B3178))</f>
        <v>72</v>
      </c>
    </row>
    <row r="3179" spans="1:3" x14ac:dyDescent="0.25">
      <c r="A3179" s="1" t="s">
        <v>16089</v>
      </c>
      <c r="B3179" s="1" t="s">
        <v>16375</v>
      </c>
      <c r="C3179" s="3">
        <f>IF(B3179="","",SUMIFS('Factory Costs'!$C:$C,'Factory Costs'!$A:$A,"Motor",'Factory Costs'!$B:$B,B3179))</f>
        <v>72</v>
      </c>
    </row>
    <row r="3180" spans="1:3" x14ac:dyDescent="0.25">
      <c r="A3180" s="1" t="s">
        <v>16092</v>
      </c>
      <c r="B3180" s="1" t="s">
        <v>16375</v>
      </c>
      <c r="C3180" s="3">
        <f>IF(B3180="","",SUMIFS('Factory Costs'!$C:$C,'Factory Costs'!$A:$A,"Motor",'Factory Costs'!$B:$B,B3180))</f>
        <v>72</v>
      </c>
    </row>
    <row r="3181" spans="1:3" x14ac:dyDescent="0.25">
      <c r="A3181" s="1" t="s">
        <v>16095</v>
      </c>
      <c r="B3181" s="1" t="s">
        <v>16374</v>
      </c>
      <c r="C3181" s="3">
        <f>IF(B3181="","",SUMIFS('Factory Costs'!$C:$C,'Factory Costs'!$A:$A,"Motor",'Factory Costs'!$B:$B,B3181))</f>
        <v>62</v>
      </c>
    </row>
    <row r="3182" spans="1:3" x14ac:dyDescent="0.25">
      <c r="A3182" s="1" t="s">
        <v>16098</v>
      </c>
      <c r="B3182" s="1" t="s">
        <v>16375</v>
      </c>
      <c r="C3182" s="3">
        <f>IF(B3182="","",SUMIFS('Factory Costs'!$C:$C,'Factory Costs'!$A:$A,"Motor",'Factory Costs'!$B:$B,B3182))</f>
        <v>72</v>
      </c>
    </row>
    <row r="3183" spans="1:3" x14ac:dyDescent="0.25">
      <c r="A3183" s="1" t="s">
        <v>16101</v>
      </c>
      <c r="B3183" s="1" t="s">
        <v>16374</v>
      </c>
      <c r="C3183" s="3">
        <f>IF(B3183="","",SUMIFS('Factory Costs'!$C:$C,'Factory Costs'!$A:$A,"Motor",'Factory Costs'!$B:$B,B3183))</f>
        <v>62</v>
      </c>
    </row>
    <row r="3184" spans="1:3" x14ac:dyDescent="0.25">
      <c r="A3184" s="1" t="s">
        <v>16104</v>
      </c>
      <c r="B3184" s="1" t="s">
        <v>16374</v>
      </c>
      <c r="C3184" s="3">
        <f>IF(B3184="","",SUMIFS('Factory Costs'!$C:$C,'Factory Costs'!$A:$A,"Motor",'Factory Costs'!$B:$B,B3184))</f>
        <v>62</v>
      </c>
    </row>
    <row r="3185" spans="1:3" x14ac:dyDescent="0.25">
      <c r="A3185" s="1" t="s">
        <v>16107</v>
      </c>
      <c r="B3185" s="1" t="s">
        <v>16375</v>
      </c>
      <c r="C3185" s="3">
        <f>IF(B3185="","",SUMIFS('Factory Costs'!$C:$C,'Factory Costs'!$A:$A,"Motor",'Factory Costs'!$B:$B,B3185))</f>
        <v>72</v>
      </c>
    </row>
    <row r="3186" spans="1:3" x14ac:dyDescent="0.25">
      <c r="A3186" s="1" t="s">
        <v>16110</v>
      </c>
      <c r="B3186" s="1" t="s">
        <v>16374</v>
      </c>
      <c r="C3186" s="3">
        <f>IF(B3186="","",SUMIFS('Factory Costs'!$C:$C,'Factory Costs'!$A:$A,"Motor",'Factory Costs'!$B:$B,B3186))</f>
        <v>62</v>
      </c>
    </row>
    <row r="3187" spans="1:3" x14ac:dyDescent="0.25">
      <c r="A3187" s="1" t="s">
        <v>16113</v>
      </c>
      <c r="B3187" s="1" t="s">
        <v>16375</v>
      </c>
      <c r="C3187" s="3">
        <f>IF(B3187="","",SUMIFS('Factory Costs'!$C:$C,'Factory Costs'!$A:$A,"Motor",'Factory Costs'!$B:$B,B3187))</f>
        <v>72</v>
      </c>
    </row>
    <row r="3188" spans="1:3" x14ac:dyDescent="0.25">
      <c r="A3188" s="1" t="s">
        <v>16116</v>
      </c>
      <c r="B3188" s="1" t="s">
        <v>16375</v>
      </c>
      <c r="C3188" s="3">
        <f>IF(B3188="","",SUMIFS('Factory Costs'!$C:$C,'Factory Costs'!$A:$A,"Motor",'Factory Costs'!$B:$B,B3188))</f>
        <v>72</v>
      </c>
    </row>
    <row r="3189" spans="1:3" x14ac:dyDescent="0.25">
      <c r="A3189" s="1" t="s">
        <v>16119</v>
      </c>
      <c r="B3189" s="1" t="s">
        <v>16374</v>
      </c>
      <c r="C3189" s="3">
        <f>IF(B3189="","",SUMIFS('Factory Costs'!$C:$C,'Factory Costs'!$A:$A,"Motor",'Factory Costs'!$B:$B,B3189))</f>
        <v>62</v>
      </c>
    </row>
    <row r="3190" spans="1:3" x14ac:dyDescent="0.25">
      <c r="A3190" s="1" t="s">
        <v>16122</v>
      </c>
      <c r="B3190" s="1" t="s">
        <v>16374</v>
      </c>
      <c r="C3190" s="3">
        <f>IF(B3190="","",SUMIFS('Factory Costs'!$C:$C,'Factory Costs'!$A:$A,"Motor",'Factory Costs'!$B:$B,B3190))</f>
        <v>62</v>
      </c>
    </row>
    <row r="3191" spans="1:3" x14ac:dyDescent="0.25">
      <c r="A3191" s="1" t="s">
        <v>16125</v>
      </c>
      <c r="B3191" s="1" t="s">
        <v>16374</v>
      </c>
      <c r="C3191" s="3">
        <f>IF(B3191="","",SUMIFS('Factory Costs'!$C:$C,'Factory Costs'!$A:$A,"Motor",'Factory Costs'!$B:$B,B3191))</f>
        <v>62</v>
      </c>
    </row>
    <row r="3192" spans="1:3" x14ac:dyDescent="0.25">
      <c r="A3192" s="1" t="s">
        <v>16128</v>
      </c>
      <c r="B3192" s="1" t="s">
        <v>16375</v>
      </c>
      <c r="C3192" s="3">
        <f>IF(B3192="","",SUMIFS('Factory Costs'!$C:$C,'Factory Costs'!$A:$A,"Motor",'Factory Costs'!$B:$B,B3192))</f>
        <v>72</v>
      </c>
    </row>
    <row r="3193" spans="1:3" x14ac:dyDescent="0.25">
      <c r="A3193" s="1" t="s">
        <v>16131</v>
      </c>
      <c r="B3193" s="1" t="s">
        <v>16374</v>
      </c>
      <c r="C3193" s="3">
        <f>IF(B3193="","",SUMIFS('Factory Costs'!$C:$C,'Factory Costs'!$A:$A,"Motor",'Factory Costs'!$B:$B,B3193))</f>
        <v>62</v>
      </c>
    </row>
    <row r="3194" spans="1:3" x14ac:dyDescent="0.25">
      <c r="A3194" s="1" t="s">
        <v>16134</v>
      </c>
      <c r="B3194" s="1" t="s">
        <v>16375</v>
      </c>
      <c r="C3194" s="3">
        <f>IF(B3194="","",SUMIFS('Factory Costs'!$C:$C,'Factory Costs'!$A:$A,"Motor",'Factory Costs'!$B:$B,B3194))</f>
        <v>72</v>
      </c>
    </row>
    <row r="3195" spans="1:3" x14ac:dyDescent="0.25">
      <c r="A3195" s="1" t="s">
        <v>16137</v>
      </c>
      <c r="B3195" s="1" t="s">
        <v>16374</v>
      </c>
      <c r="C3195" s="3">
        <f>IF(B3195="","",SUMIFS('Factory Costs'!$C:$C,'Factory Costs'!$A:$A,"Motor",'Factory Costs'!$B:$B,B3195))</f>
        <v>62</v>
      </c>
    </row>
    <row r="3196" spans="1:3" x14ac:dyDescent="0.25">
      <c r="A3196" s="1" t="s">
        <v>16140</v>
      </c>
      <c r="B3196" s="1" t="s">
        <v>16374</v>
      </c>
      <c r="C3196" s="3">
        <f>IF(B3196="","",SUMIFS('Factory Costs'!$C:$C,'Factory Costs'!$A:$A,"Motor",'Factory Costs'!$B:$B,B3196))</f>
        <v>62</v>
      </c>
    </row>
    <row r="3197" spans="1:3" x14ac:dyDescent="0.25">
      <c r="A3197" s="1" t="s">
        <v>16143</v>
      </c>
      <c r="B3197" s="1" t="s">
        <v>16374</v>
      </c>
      <c r="C3197" s="3">
        <f>IF(B3197="","",SUMIFS('Factory Costs'!$C:$C,'Factory Costs'!$A:$A,"Motor",'Factory Costs'!$B:$B,B3197))</f>
        <v>62</v>
      </c>
    </row>
    <row r="3198" spans="1:3" x14ac:dyDescent="0.25">
      <c r="A3198" s="1" t="s">
        <v>16146</v>
      </c>
      <c r="B3198" s="1" t="s">
        <v>16374</v>
      </c>
      <c r="C3198" s="3">
        <f>IF(B3198="","",SUMIFS('Factory Costs'!$C:$C,'Factory Costs'!$A:$A,"Motor",'Factory Costs'!$B:$B,B3198))</f>
        <v>62</v>
      </c>
    </row>
    <row r="3199" spans="1:3" x14ac:dyDescent="0.25">
      <c r="A3199" s="1" t="s">
        <v>16149</v>
      </c>
      <c r="B3199" s="1" t="s">
        <v>16375</v>
      </c>
      <c r="C3199" s="3">
        <f>IF(B3199="","",SUMIFS('Factory Costs'!$C:$C,'Factory Costs'!$A:$A,"Motor",'Factory Costs'!$B:$B,B3199))</f>
        <v>72</v>
      </c>
    </row>
    <row r="3200" spans="1:3" x14ac:dyDescent="0.25">
      <c r="A3200" s="1" t="s">
        <v>16152</v>
      </c>
      <c r="B3200" s="1" t="s">
        <v>16374</v>
      </c>
      <c r="C3200" s="3">
        <f>IF(B3200="","",SUMIFS('Factory Costs'!$C:$C,'Factory Costs'!$A:$A,"Motor",'Factory Costs'!$B:$B,B3200))</f>
        <v>62</v>
      </c>
    </row>
    <row r="3201" spans="1:3" x14ac:dyDescent="0.25">
      <c r="A3201" s="1" t="s">
        <v>16155</v>
      </c>
      <c r="B3201" s="1" t="s">
        <v>16374</v>
      </c>
      <c r="C3201" s="3">
        <f>IF(B3201="","",SUMIFS('Factory Costs'!$C:$C,'Factory Costs'!$A:$A,"Motor",'Factory Costs'!$B:$B,B3201))</f>
        <v>62</v>
      </c>
    </row>
    <row r="3202" spans="1:3" x14ac:dyDescent="0.25">
      <c r="A3202" s="1" t="s">
        <v>16158</v>
      </c>
      <c r="B3202" s="1" t="s">
        <v>16374</v>
      </c>
      <c r="C3202" s="3">
        <f>IF(B3202="","",SUMIFS('Factory Costs'!$C:$C,'Factory Costs'!$A:$A,"Motor",'Factory Costs'!$B:$B,B3202))</f>
        <v>62</v>
      </c>
    </row>
    <row r="3203" spans="1:3" x14ac:dyDescent="0.25">
      <c r="A3203" s="1" t="s">
        <v>16161</v>
      </c>
      <c r="B3203" s="1" t="s">
        <v>16375</v>
      </c>
      <c r="C3203" s="3">
        <f>IF(B3203="","",SUMIFS('Factory Costs'!$C:$C,'Factory Costs'!$A:$A,"Motor",'Factory Costs'!$B:$B,B3203))</f>
        <v>72</v>
      </c>
    </row>
    <row r="3204" spans="1:3" x14ac:dyDescent="0.25">
      <c r="A3204" s="1" t="s">
        <v>16164</v>
      </c>
      <c r="B3204" s="1" t="s">
        <v>16374</v>
      </c>
      <c r="C3204" s="3">
        <f>IF(B3204="","",SUMIFS('Factory Costs'!$C:$C,'Factory Costs'!$A:$A,"Motor",'Factory Costs'!$B:$B,B3204))</f>
        <v>62</v>
      </c>
    </row>
    <row r="3205" spans="1:3" x14ac:dyDescent="0.25">
      <c r="A3205" s="1" t="s">
        <v>16167</v>
      </c>
      <c r="B3205" s="1" t="s">
        <v>16374</v>
      </c>
      <c r="C3205" s="3">
        <f>IF(B3205="","",SUMIFS('Factory Costs'!$C:$C,'Factory Costs'!$A:$A,"Motor",'Factory Costs'!$B:$B,B3205))</f>
        <v>62</v>
      </c>
    </row>
    <row r="3206" spans="1:3" x14ac:dyDescent="0.25">
      <c r="A3206" s="1" t="s">
        <v>16170</v>
      </c>
      <c r="B3206" s="1" t="s">
        <v>16375</v>
      </c>
      <c r="C3206" s="3">
        <f>IF(B3206="","",SUMIFS('Factory Costs'!$C:$C,'Factory Costs'!$A:$A,"Motor",'Factory Costs'!$B:$B,B3206))</f>
        <v>72</v>
      </c>
    </row>
    <row r="3207" spans="1:3" x14ac:dyDescent="0.25">
      <c r="A3207" s="1" t="s">
        <v>16173</v>
      </c>
      <c r="B3207" s="1" t="s">
        <v>16374</v>
      </c>
      <c r="C3207" s="3">
        <f>IF(B3207="","",SUMIFS('Factory Costs'!$C:$C,'Factory Costs'!$A:$A,"Motor",'Factory Costs'!$B:$B,B3207))</f>
        <v>62</v>
      </c>
    </row>
    <row r="3208" spans="1:3" x14ac:dyDescent="0.25">
      <c r="A3208" s="1" t="s">
        <v>16176</v>
      </c>
      <c r="B3208" s="1" t="s">
        <v>16374</v>
      </c>
      <c r="C3208" s="3">
        <f>IF(B3208="","",SUMIFS('Factory Costs'!$C:$C,'Factory Costs'!$A:$A,"Motor",'Factory Costs'!$B:$B,B3208))</f>
        <v>62</v>
      </c>
    </row>
    <row r="3209" spans="1:3" x14ac:dyDescent="0.25">
      <c r="A3209" s="1" t="s">
        <v>16179</v>
      </c>
      <c r="B3209" s="1" t="s">
        <v>16374</v>
      </c>
      <c r="C3209" s="3">
        <f>IF(B3209="","",SUMIFS('Factory Costs'!$C:$C,'Factory Costs'!$A:$A,"Motor",'Factory Costs'!$B:$B,B3209))</f>
        <v>62</v>
      </c>
    </row>
    <row r="3210" spans="1:3" x14ac:dyDescent="0.25">
      <c r="A3210" s="1" t="s">
        <v>16182</v>
      </c>
      <c r="B3210" s="1" t="s">
        <v>16374</v>
      </c>
      <c r="C3210" s="3">
        <f>IF(B3210="","",SUMIFS('Factory Costs'!$C:$C,'Factory Costs'!$A:$A,"Motor",'Factory Costs'!$B:$B,B3210))</f>
        <v>62</v>
      </c>
    </row>
    <row r="3211" spans="1:3" x14ac:dyDescent="0.25">
      <c r="A3211" s="1" t="s">
        <v>16185</v>
      </c>
      <c r="B3211" s="1" t="s">
        <v>16374</v>
      </c>
      <c r="C3211" s="3">
        <f>IF(B3211="","",SUMIFS('Factory Costs'!$C:$C,'Factory Costs'!$A:$A,"Motor",'Factory Costs'!$B:$B,B3211))</f>
        <v>62</v>
      </c>
    </row>
    <row r="3212" spans="1:3" x14ac:dyDescent="0.25">
      <c r="A3212" s="1" t="s">
        <v>16188</v>
      </c>
      <c r="B3212" s="1" t="s">
        <v>16375</v>
      </c>
      <c r="C3212" s="3">
        <f>IF(B3212="","",SUMIFS('Factory Costs'!$C:$C,'Factory Costs'!$A:$A,"Motor",'Factory Costs'!$B:$B,B3212))</f>
        <v>72</v>
      </c>
    </row>
    <row r="3213" spans="1:3" x14ac:dyDescent="0.25">
      <c r="A3213" s="1" t="s">
        <v>16191</v>
      </c>
      <c r="B3213" s="1" t="s">
        <v>16374</v>
      </c>
      <c r="C3213" s="3">
        <f>IF(B3213="","",SUMIFS('Factory Costs'!$C:$C,'Factory Costs'!$A:$A,"Motor",'Factory Costs'!$B:$B,B3213))</f>
        <v>62</v>
      </c>
    </row>
    <row r="3214" spans="1:3" x14ac:dyDescent="0.25">
      <c r="A3214" s="1" t="s">
        <v>16194</v>
      </c>
      <c r="B3214" s="1" t="s">
        <v>16374</v>
      </c>
      <c r="C3214" s="3">
        <f>IF(B3214="","",SUMIFS('Factory Costs'!$C:$C,'Factory Costs'!$A:$A,"Motor",'Factory Costs'!$B:$B,B3214))</f>
        <v>62</v>
      </c>
    </row>
    <row r="3215" spans="1:3" x14ac:dyDescent="0.25">
      <c r="A3215" s="1" t="s">
        <v>16197</v>
      </c>
      <c r="B3215" s="1" t="s">
        <v>16374</v>
      </c>
      <c r="C3215" s="3">
        <f>IF(B3215="","",SUMIFS('Factory Costs'!$C:$C,'Factory Costs'!$A:$A,"Motor",'Factory Costs'!$B:$B,B3215))</f>
        <v>62</v>
      </c>
    </row>
    <row r="3216" spans="1:3" x14ac:dyDescent="0.25">
      <c r="A3216" s="1" t="s">
        <v>16200</v>
      </c>
      <c r="B3216" s="1" t="s">
        <v>16374</v>
      </c>
      <c r="C3216" s="3">
        <f>IF(B3216="","",SUMIFS('Factory Costs'!$C:$C,'Factory Costs'!$A:$A,"Motor",'Factory Costs'!$B:$B,B3216))</f>
        <v>62</v>
      </c>
    </row>
    <row r="3217" spans="1:3" x14ac:dyDescent="0.25">
      <c r="A3217" s="1" t="s">
        <v>16203</v>
      </c>
      <c r="B3217" s="1" t="s">
        <v>16374</v>
      </c>
      <c r="C3217" s="3">
        <f>IF(B3217="","",SUMIFS('Factory Costs'!$C:$C,'Factory Costs'!$A:$A,"Motor",'Factory Costs'!$B:$B,B3217))</f>
        <v>62</v>
      </c>
    </row>
    <row r="3218" spans="1:3" x14ac:dyDescent="0.25">
      <c r="A3218" s="1" t="s">
        <v>16206</v>
      </c>
      <c r="B3218" s="1" t="s">
        <v>16374</v>
      </c>
      <c r="C3218" s="3">
        <f>IF(B3218="","",SUMIFS('Factory Costs'!$C:$C,'Factory Costs'!$A:$A,"Motor",'Factory Costs'!$B:$B,B3218))</f>
        <v>62</v>
      </c>
    </row>
    <row r="3219" spans="1:3" x14ac:dyDescent="0.25">
      <c r="A3219" s="1" t="s">
        <v>16209</v>
      </c>
      <c r="B3219" s="1" t="s">
        <v>16374</v>
      </c>
      <c r="C3219" s="3">
        <f>IF(B3219="","",SUMIFS('Factory Costs'!$C:$C,'Factory Costs'!$A:$A,"Motor",'Factory Costs'!$B:$B,B3219))</f>
        <v>62</v>
      </c>
    </row>
    <row r="3220" spans="1:3" x14ac:dyDescent="0.25">
      <c r="A3220" s="1" t="s">
        <v>16212</v>
      </c>
      <c r="B3220" s="1" t="s">
        <v>16375</v>
      </c>
      <c r="C3220" s="3">
        <f>IF(B3220="","",SUMIFS('Factory Costs'!$C:$C,'Factory Costs'!$A:$A,"Motor",'Factory Costs'!$B:$B,B3220))</f>
        <v>72</v>
      </c>
    </row>
    <row r="3221" spans="1:3" x14ac:dyDescent="0.25">
      <c r="A3221" s="1" t="s">
        <v>16215</v>
      </c>
      <c r="B3221" s="1" t="s">
        <v>16375</v>
      </c>
      <c r="C3221" s="3">
        <f>IF(B3221="","",SUMIFS('Factory Costs'!$C:$C,'Factory Costs'!$A:$A,"Motor",'Factory Costs'!$B:$B,B3221))</f>
        <v>72</v>
      </c>
    </row>
    <row r="3222" spans="1:3" x14ac:dyDescent="0.25">
      <c r="A3222" s="1" t="s">
        <v>16218</v>
      </c>
      <c r="B3222" s="1" t="s">
        <v>16375</v>
      </c>
      <c r="C3222" s="3">
        <f>IF(B3222="","",SUMIFS('Factory Costs'!$C:$C,'Factory Costs'!$A:$A,"Motor",'Factory Costs'!$B:$B,B3222))</f>
        <v>72</v>
      </c>
    </row>
    <row r="3223" spans="1:3" x14ac:dyDescent="0.25">
      <c r="A3223" s="1" t="s">
        <v>16221</v>
      </c>
      <c r="B3223" s="1" t="s">
        <v>16374</v>
      </c>
      <c r="C3223" s="3">
        <f>IF(B3223="","",SUMIFS('Factory Costs'!$C:$C,'Factory Costs'!$A:$A,"Motor",'Factory Costs'!$B:$B,B3223))</f>
        <v>62</v>
      </c>
    </row>
    <row r="3224" spans="1:3" x14ac:dyDescent="0.25">
      <c r="A3224" s="1" t="s">
        <v>16224</v>
      </c>
      <c r="B3224" s="1" t="s">
        <v>16374</v>
      </c>
      <c r="C3224" s="3">
        <f>IF(B3224="","",SUMIFS('Factory Costs'!$C:$C,'Factory Costs'!$A:$A,"Motor",'Factory Costs'!$B:$B,B3224))</f>
        <v>62</v>
      </c>
    </row>
    <row r="3225" spans="1:3" x14ac:dyDescent="0.25">
      <c r="A3225" s="1" t="s">
        <v>16227</v>
      </c>
      <c r="B3225" s="1" t="s">
        <v>16374</v>
      </c>
      <c r="C3225" s="3">
        <f>IF(B3225="","",SUMIFS('Factory Costs'!$C:$C,'Factory Costs'!$A:$A,"Motor",'Factory Costs'!$B:$B,B3225))</f>
        <v>62</v>
      </c>
    </row>
    <row r="3226" spans="1:3" x14ac:dyDescent="0.25">
      <c r="A3226" s="1" t="s">
        <v>16230</v>
      </c>
      <c r="B3226" s="1" t="s">
        <v>16374</v>
      </c>
      <c r="C3226" s="3">
        <f>IF(B3226="","",SUMIFS('Factory Costs'!$C:$C,'Factory Costs'!$A:$A,"Motor",'Factory Costs'!$B:$B,B3226))</f>
        <v>62</v>
      </c>
    </row>
    <row r="3227" spans="1:3" x14ac:dyDescent="0.25">
      <c r="A3227" s="1" t="s">
        <v>16233</v>
      </c>
      <c r="B3227" s="1" t="s">
        <v>16375</v>
      </c>
      <c r="C3227" s="3">
        <f>IF(B3227="","",SUMIFS('Factory Costs'!$C:$C,'Factory Costs'!$A:$A,"Motor",'Factory Costs'!$B:$B,B3227))</f>
        <v>72</v>
      </c>
    </row>
    <row r="3228" spans="1:3" x14ac:dyDescent="0.25">
      <c r="A3228" s="1" t="s">
        <v>16236</v>
      </c>
      <c r="B3228" s="1" t="s">
        <v>16374</v>
      </c>
      <c r="C3228" s="3">
        <f>IF(B3228="","",SUMIFS('Factory Costs'!$C:$C,'Factory Costs'!$A:$A,"Motor",'Factory Costs'!$B:$B,B3228))</f>
        <v>62</v>
      </c>
    </row>
    <row r="3229" spans="1:3" x14ac:dyDescent="0.25">
      <c r="A3229" s="1" t="s">
        <v>16239</v>
      </c>
      <c r="B3229" s="1" t="s">
        <v>16375</v>
      </c>
      <c r="C3229" s="3">
        <f>IF(B3229="","",SUMIFS('Factory Costs'!$C:$C,'Factory Costs'!$A:$A,"Motor",'Factory Costs'!$B:$B,B3229))</f>
        <v>72</v>
      </c>
    </row>
    <row r="3230" spans="1:3" x14ac:dyDescent="0.25">
      <c r="A3230" s="1" t="s">
        <v>16242</v>
      </c>
      <c r="B3230" s="1" t="s">
        <v>16374</v>
      </c>
      <c r="C3230" s="3">
        <f>IF(B3230="","",SUMIFS('Factory Costs'!$C:$C,'Factory Costs'!$A:$A,"Motor",'Factory Costs'!$B:$B,B3230))</f>
        <v>62</v>
      </c>
    </row>
    <row r="3231" spans="1:3" x14ac:dyDescent="0.25">
      <c r="A3231" s="1" t="s">
        <v>16245</v>
      </c>
      <c r="B3231" s="1" t="s">
        <v>16374</v>
      </c>
      <c r="C3231" s="3">
        <f>IF(B3231="","",SUMIFS('Factory Costs'!$C:$C,'Factory Costs'!$A:$A,"Motor",'Factory Costs'!$B:$B,B3231))</f>
        <v>62</v>
      </c>
    </row>
    <row r="3232" spans="1:3" x14ac:dyDescent="0.25">
      <c r="A3232" s="1" t="s">
        <v>16248</v>
      </c>
      <c r="B3232" s="1" t="s">
        <v>16375</v>
      </c>
      <c r="C3232" s="3">
        <f>IF(B3232="","",SUMIFS('Factory Costs'!$C:$C,'Factory Costs'!$A:$A,"Motor",'Factory Costs'!$B:$B,B3232))</f>
        <v>72</v>
      </c>
    </row>
    <row r="3233" spans="1:3" x14ac:dyDescent="0.25">
      <c r="A3233" s="1" t="s">
        <v>16251</v>
      </c>
      <c r="B3233" s="1" t="s">
        <v>16374</v>
      </c>
      <c r="C3233" s="3">
        <f>IF(B3233="","",SUMIFS('Factory Costs'!$C:$C,'Factory Costs'!$A:$A,"Motor",'Factory Costs'!$B:$B,B3233))</f>
        <v>62</v>
      </c>
    </row>
    <row r="3234" spans="1:3" x14ac:dyDescent="0.25">
      <c r="A3234" s="1" t="s">
        <v>16254</v>
      </c>
      <c r="B3234" s="1" t="s">
        <v>16374</v>
      </c>
      <c r="C3234" s="3">
        <f>IF(B3234="","",SUMIFS('Factory Costs'!$C:$C,'Factory Costs'!$A:$A,"Motor",'Factory Costs'!$B:$B,B3234))</f>
        <v>62</v>
      </c>
    </row>
    <row r="3235" spans="1:3" x14ac:dyDescent="0.25">
      <c r="A3235" s="1" t="s">
        <v>16257</v>
      </c>
      <c r="B3235" s="1" t="s">
        <v>16374</v>
      </c>
      <c r="C3235" s="3">
        <f>IF(B3235="","",SUMIFS('Factory Costs'!$C:$C,'Factory Costs'!$A:$A,"Motor",'Factory Costs'!$B:$B,B3235))</f>
        <v>62</v>
      </c>
    </row>
    <row r="3236" spans="1:3" x14ac:dyDescent="0.25">
      <c r="A3236" s="1" t="s">
        <v>16260</v>
      </c>
      <c r="B3236" s="1" t="s">
        <v>16374</v>
      </c>
      <c r="C3236" s="3">
        <f>IF(B3236="","",SUMIFS('Factory Costs'!$C:$C,'Factory Costs'!$A:$A,"Motor",'Factory Costs'!$B:$B,B3236))</f>
        <v>62</v>
      </c>
    </row>
    <row r="3237" spans="1:3" x14ac:dyDescent="0.25">
      <c r="A3237" s="1" t="s">
        <v>16263</v>
      </c>
      <c r="B3237" s="1" t="s">
        <v>16374</v>
      </c>
      <c r="C3237" s="3">
        <f>IF(B3237="","",SUMIFS('Factory Costs'!$C:$C,'Factory Costs'!$A:$A,"Motor",'Factory Costs'!$B:$B,B3237))</f>
        <v>62</v>
      </c>
    </row>
    <row r="3238" spans="1:3" x14ac:dyDescent="0.25">
      <c r="A3238" s="1" t="s">
        <v>16266</v>
      </c>
      <c r="B3238" s="1" t="s">
        <v>16374</v>
      </c>
      <c r="C3238" s="3">
        <f>IF(B3238="","",SUMIFS('Factory Costs'!$C:$C,'Factory Costs'!$A:$A,"Motor",'Factory Costs'!$B:$B,B3238))</f>
        <v>62</v>
      </c>
    </row>
    <row r="3239" spans="1:3" x14ac:dyDescent="0.25">
      <c r="A3239" s="1" t="s">
        <v>16269</v>
      </c>
      <c r="B3239" s="1" t="s">
        <v>16374</v>
      </c>
      <c r="C3239" s="3">
        <f>IF(B3239="","",SUMIFS('Factory Costs'!$C:$C,'Factory Costs'!$A:$A,"Motor",'Factory Costs'!$B:$B,B3239))</f>
        <v>62</v>
      </c>
    </row>
    <row r="3240" spans="1:3" x14ac:dyDescent="0.25">
      <c r="A3240" s="1" t="s">
        <v>16272</v>
      </c>
      <c r="B3240" s="1" t="s">
        <v>16375</v>
      </c>
      <c r="C3240" s="3">
        <f>IF(B3240="","",SUMIFS('Factory Costs'!$C:$C,'Factory Costs'!$A:$A,"Motor",'Factory Costs'!$B:$B,B3240))</f>
        <v>72</v>
      </c>
    </row>
    <row r="3241" spans="1:3" x14ac:dyDescent="0.25">
      <c r="A3241" s="1" t="s">
        <v>16275</v>
      </c>
      <c r="B3241" s="1" t="s">
        <v>16374</v>
      </c>
      <c r="C3241" s="3">
        <f>IF(B3241="","",SUMIFS('Factory Costs'!$C:$C,'Factory Costs'!$A:$A,"Motor",'Factory Costs'!$B:$B,B3241))</f>
        <v>62</v>
      </c>
    </row>
    <row r="3242" spans="1:3" x14ac:dyDescent="0.25">
      <c r="A3242" s="1" t="s">
        <v>16278</v>
      </c>
      <c r="B3242" s="1" t="s">
        <v>16374</v>
      </c>
      <c r="C3242" s="3">
        <f>IF(B3242="","",SUMIFS('Factory Costs'!$C:$C,'Factory Costs'!$A:$A,"Motor",'Factory Costs'!$B:$B,B3242))</f>
        <v>62</v>
      </c>
    </row>
    <row r="3243" spans="1:3" x14ac:dyDescent="0.25">
      <c r="A3243" s="1" t="s">
        <v>16281</v>
      </c>
      <c r="B3243" s="1" t="s">
        <v>16374</v>
      </c>
      <c r="C3243" s="3">
        <f>IF(B3243="","",SUMIFS('Factory Costs'!$C:$C,'Factory Costs'!$A:$A,"Motor",'Factory Costs'!$B:$B,B3243))</f>
        <v>62</v>
      </c>
    </row>
    <row r="3244" spans="1:3" x14ac:dyDescent="0.25">
      <c r="A3244" s="1" t="s">
        <v>16284</v>
      </c>
      <c r="B3244" s="1" t="s">
        <v>16374</v>
      </c>
      <c r="C3244" s="3">
        <f>IF(B3244="","",SUMIFS('Factory Costs'!$C:$C,'Factory Costs'!$A:$A,"Motor",'Factory Costs'!$B:$B,B3244))</f>
        <v>62</v>
      </c>
    </row>
    <row r="3245" spans="1:3" x14ac:dyDescent="0.25">
      <c r="A3245" s="1" t="s">
        <v>16287</v>
      </c>
      <c r="B3245" s="1" t="s">
        <v>16375</v>
      </c>
      <c r="C3245" s="3">
        <f>IF(B3245="","",SUMIFS('Factory Costs'!$C:$C,'Factory Costs'!$A:$A,"Motor",'Factory Costs'!$B:$B,B3245))</f>
        <v>72</v>
      </c>
    </row>
    <row r="3246" spans="1:3" x14ac:dyDescent="0.25">
      <c r="A3246" s="1" t="s">
        <v>16290</v>
      </c>
      <c r="B3246" s="1" t="s">
        <v>16374</v>
      </c>
      <c r="C3246" s="3">
        <f>IF(B3246="","",SUMIFS('Factory Costs'!$C:$C,'Factory Costs'!$A:$A,"Motor",'Factory Costs'!$B:$B,B3246))</f>
        <v>62</v>
      </c>
    </row>
    <row r="3247" spans="1:3" x14ac:dyDescent="0.25">
      <c r="A3247" s="1" t="s">
        <v>16293</v>
      </c>
      <c r="B3247" s="1" t="s">
        <v>16374</v>
      </c>
      <c r="C3247" s="3">
        <f>IF(B3247="","",SUMIFS('Factory Costs'!$C:$C,'Factory Costs'!$A:$A,"Motor",'Factory Costs'!$B:$B,B3247))</f>
        <v>62</v>
      </c>
    </row>
    <row r="3248" spans="1:3" x14ac:dyDescent="0.25">
      <c r="A3248" s="1" t="s">
        <v>16296</v>
      </c>
      <c r="B3248" s="1" t="s">
        <v>16374</v>
      </c>
      <c r="C3248" s="3">
        <f>IF(B3248="","",SUMIFS('Factory Costs'!$C:$C,'Factory Costs'!$A:$A,"Motor",'Factory Costs'!$B:$B,B3248))</f>
        <v>62</v>
      </c>
    </row>
    <row r="3249" spans="1:3" x14ac:dyDescent="0.25">
      <c r="A3249" s="1" t="s">
        <v>16299</v>
      </c>
      <c r="B3249" s="1" t="s">
        <v>16374</v>
      </c>
      <c r="C3249" s="3">
        <f>IF(B3249="","",SUMIFS('Factory Costs'!$C:$C,'Factory Costs'!$A:$A,"Motor",'Factory Costs'!$B:$B,B3249))</f>
        <v>62</v>
      </c>
    </row>
    <row r="3250" spans="1:3" x14ac:dyDescent="0.25">
      <c r="A3250" s="1" t="s">
        <v>16302</v>
      </c>
      <c r="B3250" s="1" t="s">
        <v>16375</v>
      </c>
      <c r="C3250" s="3">
        <f>IF(B3250="","",SUMIFS('Factory Costs'!$C:$C,'Factory Costs'!$A:$A,"Motor",'Factory Costs'!$B:$B,B3250))</f>
        <v>72</v>
      </c>
    </row>
    <row r="3251" spans="1:3" x14ac:dyDescent="0.25">
      <c r="A3251" s="1" t="s">
        <v>16305</v>
      </c>
      <c r="B3251" s="1" t="s">
        <v>16375</v>
      </c>
      <c r="C3251" s="3">
        <f>IF(B3251="","",SUMIFS('Factory Costs'!$C:$C,'Factory Costs'!$A:$A,"Motor",'Factory Costs'!$B:$B,B3251))</f>
        <v>72</v>
      </c>
    </row>
    <row r="3252" spans="1:3" x14ac:dyDescent="0.25">
      <c r="A3252" s="1" t="s">
        <v>16308</v>
      </c>
      <c r="B3252" s="1" t="s">
        <v>16374</v>
      </c>
      <c r="C3252" s="3">
        <f>IF(B3252="","",SUMIFS('Factory Costs'!$C:$C,'Factory Costs'!$A:$A,"Motor",'Factory Costs'!$B:$B,B3252))</f>
        <v>62</v>
      </c>
    </row>
    <row r="3253" spans="1:3" x14ac:dyDescent="0.25">
      <c r="A3253" s="1" t="s">
        <v>16311</v>
      </c>
      <c r="B3253" s="1" t="s">
        <v>16374</v>
      </c>
      <c r="C3253" s="3">
        <f>IF(B3253="","",SUMIFS('Factory Costs'!$C:$C,'Factory Costs'!$A:$A,"Motor",'Factory Costs'!$B:$B,B3253))</f>
        <v>62</v>
      </c>
    </row>
    <row r="3254" spans="1:3" x14ac:dyDescent="0.25">
      <c r="A3254" s="1" t="s">
        <v>16314</v>
      </c>
      <c r="B3254" s="1" t="s">
        <v>16374</v>
      </c>
      <c r="C3254" s="3">
        <f>IF(B3254="","",SUMIFS('Factory Costs'!$C:$C,'Factory Costs'!$A:$A,"Motor",'Factory Costs'!$B:$B,B3254))</f>
        <v>62</v>
      </c>
    </row>
    <row r="3255" spans="1:3" x14ac:dyDescent="0.25">
      <c r="A3255" s="1" t="s">
        <v>16317</v>
      </c>
      <c r="B3255" s="1" t="s">
        <v>16374</v>
      </c>
      <c r="C3255" s="3">
        <f>IF(B3255="","",SUMIFS('Factory Costs'!$C:$C,'Factory Costs'!$A:$A,"Motor",'Factory Costs'!$B:$B,B3255))</f>
        <v>62</v>
      </c>
    </row>
    <row r="3256" spans="1:3" x14ac:dyDescent="0.25">
      <c r="A3256" s="1" t="s">
        <v>16320</v>
      </c>
      <c r="B3256" s="1" t="s">
        <v>16374</v>
      </c>
      <c r="C3256" s="3">
        <f>IF(B3256="","",SUMIFS('Factory Costs'!$C:$C,'Factory Costs'!$A:$A,"Motor",'Factory Costs'!$B:$B,B3256))</f>
        <v>62</v>
      </c>
    </row>
    <row r="3257" spans="1:3" x14ac:dyDescent="0.25">
      <c r="A3257" s="1" t="s">
        <v>16323</v>
      </c>
      <c r="B3257" s="1" t="s">
        <v>16374</v>
      </c>
      <c r="C3257" s="3">
        <f>IF(B3257="","",SUMIFS('Factory Costs'!$C:$C,'Factory Costs'!$A:$A,"Motor",'Factory Costs'!$B:$B,B3257))</f>
        <v>62</v>
      </c>
    </row>
    <row r="3258" spans="1:3" x14ac:dyDescent="0.25">
      <c r="A3258" s="1" t="s">
        <v>16326</v>
      </c>
      <c r="B3258" s="1" t="s">
        <v>16374</v>
      </c>
      <c r="C3258" s="3">
        <f>IF(B3258="","",SUMIFS('Factory Costs'!$C:$C,'Factory Costs'!$A:$A,"Motor",'Factory Costs'!$B:$B,B3258))</f>
        <v>62</v>
      </c>
    </row>
    <row r="3259" spans="1:3" x14ac:dyDescent="0.25">
      <c r="A3259" s="1" t="s">
        <v>16329</v>
      </c>
      <c r="B3259" s="1" t="s">
        <v>16374</v>
      </c>
      <c r="C3259" s="3">
        <f>IF(B3259="","",SUMIFS('Factory Costs'!$C:$C,'Factory Costs'!$A:$A,"Motor",'Factory Costs'!$B:$B,B3259))</f>
        <v>62</v>
      </c>
    </row>
    <row r="3260" spans="1:3" x14ac:dyDescent="0.25">
      <c r="A3260" s="1" t="s">
        <v>16332</v>
      </c>
      <c r="B3260" s="1" t="s">
        <v>16374</v>
      </c>
      <c r="C3260" s="3">
        <f>IF(B3260="","",SUMIFS('Factory Costs'!$C:$C,'Factory Costs'!$A:$A,"Motor",'Factory Costs'!$B:$B,B3260))</f>
        <v>62</v>
      </c>
    </row>
    <row r="3261" spans="1:3" x14ac:dyDescent="0.25">
      <c r="A3261" s="1" t="s">
        <v>16335</v>
      </c>
      <c r="B3261" s="1" t="s">
        <v>16375</v>
      </c>
      <c r="C3261" s="3">
        <f>IF(B3261="","",SUMIFS('Factory Costs'!$C:$C,'Factory Costs'!$A:$A,"Motor",'Factory Costs'!$B:$B,B3261))</f>
        <v>72</v>
      </c>
    </row>
    <row r="3262" spans="1:3" x14ac:dyDescent="0.25">
      <c r="A3262" s="1" t="s">
        <v>16338</v>
      </c>
      <c r="B3262" s="1" t="s">
        <v>16374</v>
      </c>
      <c r="C3262" s="3">
        <f>IF(B3262="","",SUMIFS('Factory Costs'!$C:$C,'Factory Costs'!$A:$A,"Motor",'Factory Costs'!$B:$B,B3262))</f>
        <v>62</v>
      </c>
    </row>
    <row r="3263" spans="1:3" x14ac:dyDescent="0.25">
      <c r="A3263" s="1" t="s">
        <v>16341</v>
      </c>
      <c r="B3263" s="1" t="s">
        <v>16374</v>
      </c>
      <c r="C3263" s="3">
        <f>IF(B3263="","",SUMIFS('Factory Costs'!$C:$C,'Factory Costs'!$A:$A,"Motor",'Factory Costs'!$B:$B,B3263))</f>
        <v>62</v>
      </c>
    </row>
    <row r="3264" spans="1:3" x14ac:dyDescent="0.25">
      <c r="A3264" s="1" t="s">
        <v>16344</v>
      </c>
      <c r="B3264" s="1" t="s">
        <v>16375</v>
      </c>
      <c r="C3264" s="3">
        <f>IF(B3264="","",SUMIFS('Factory Costs'!$C:$C,'Factory Costs'!$A:$A,"Motor",'Factory Costs'!$B:$B,B3264))</f>
        <v>72</v>
      </c>
    </row>
    <row r="3265" spans="1:3" x14ac:dyDescent="0.25">
      <c r="A3265" s="1" t="s">
        <v>16347</v>
      </c>
      <c r="B3265" s="1" t="s">
        <v>16374</v>
      </c>
      <c r="C3265" s="3">
        <f>IF(B3265="","",SUMIFS('Factory Costs'!$C:$C,'Factory Costs'!$A:$A,"Motor",'Factory Costs'!$B:$B,B3265))</f>
        <v>62</v>
      </c>
    </row>
    <row r="3266" spans="1:3" x14ac:dyDescent="0.25">
      <c r="A3266" s="1" t="s">
        <v>16350</v>
      </c>
      <c r="B3266" s="1" t="s">
        <v>16374</v>
      </c>
      <c r="C3266" s="3">
        <f>IF(B3266="","",SUMIFS('Factory Costs'!$C:$C,'Factory Costs'!$A:$A,"Motor",'Factory Costs'!$B:$B,B3266))</f>
        <v>62</v>
      </c>
    </row>
    <row r="3267" spans="1:3" x14ac:dyDescent="0.25">
      <c r="A3267" s="1" t="s">
        <v>16353</v>
      </c>
      <c r="B3267" s="1" t="s">
        <v>16374</v>
      </c>
      <c r="C3267" s="3">
        <f>IF(B3267="","",SUMIFS('Factory Costs'!$C:$C,'Factory Costs'!$A:$A,"Motor",'Factory Costs'!$B:$B,B3267))</f>
        <v>62</v>
      </c>
    </row>
    <row r="3268" spans="1:3" x14ac:dyDescent="0.25">
      <c r="A3268" s="1" t="s">
        <v>16356</v>
      </c>
      <c r="B3268" s="1" t="s">
        <v>16375</v>
      </c>
      <c r="C3268" s="3">
        <f>IF(B3268="","",SUMIFS('Factory Costs'!$C:$C,'Factory Costs'!$A:$A,"Motor",'Factory Costs'!$B:$B,B3268))</f>
        <v>72</v>
      </c>
    </row>
    <row r="3269" spans="1:3" x14ac:dyDescent="0.25">
      <c r="A3269" s="1" t="s">
        <v>16359</v>
      </c>
      <c r="B3269" s="1" t="s">
        <v>16375</v>
      </c>
      <c r="C3269" s="3">
        <f>IF(B3269="","",SUMIFS('Factory Costs'!$C:$C,'Factory Costs'!$A:$A,"Motor",'Factory Costs'!$B:$B,B3269))</f>
        <v>72</v>
      </c>
    </row>
    <row r="3270" spans="1:3" x14ac:dyDescent="0.25">
      <c r="A3270" s="1" t="s">
        <v>16362</v>
      </c>
      <c r="B3270" s="1" t="s">
        <v>16374</v>
      </c>
      <c r="C3270" s="3">
        <f>IF(B3270="","",SUMIFS('Factory Costs'!$C:$C,'Factory Costs'!$A:$A,"Motor",'Factory Costs'!$B:$B,B3270))</f>
        <v>62</v>
      </c>
    </row>
    <row r="3271" spans="1:3" x14ac:dyDescent="0.25">
      <c r="A3271" s="1" t="s">
        <v>16365</v>
      </c>
      <c r="B3271" s="1" t="s">
        <v>16375</v>
      </c>
      <c r="C3271" s="3">
        <f>IF(B3271="","",SUMIFS('Factory Costs'!$C:$C,'Factory Costs'!$A:$A,"Motor",'Factory Costs'!$B:$B,B3271))</f>
        <v>72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'Factory Costs'!$B$5:$B$6</xm:f>
          </x14:formula1>
          <xm:sqref>B2:B3271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71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3" width="20" customWidth="1"/>
  </cols>
  <sheetData>
    <row r="1" spans="1:3" x14ac:dyDescent="0.25">
      <c r="A1" s="2" t="s">
        <v>6556</v>
      </c>
      <c r="B1" s="2" t="s">
        <v>16368</v>
      </c>
      <c r="C1" s="2" t="s">
        <v>16369</v>
      </c>
    </row>
    <row r="2" spans="1:3" x14ac:dyDescent="0.25">
      <c r="A2" s="1" t="s">
        <v>6559</v>
      </c>
      <c r="B2" s="1" t="s">
        <v>16377</v>
      </c>
      <c r="C2" s="3">
        <f>IF(B2="","",SUMIFS('Factory Costs'!$C:$C,'Factory Costs'!$A:$A,"Frame",'Factory Costs'!$B:$B,B2))</f>
        <v>39</v>
      </c>
    </row>
    <row r="3" spans="1:3" x14ac:dyDescent="0.25">
      <c r="A3" s="1" t="s">
        <v>6562</v>
      </c>
      <c r="B3" s="1" t="s">
        <v>16377</v>
      </c>
      <c r="C3" s="3">
        <f>IF(B3="","",SUMIFS('Factory Costs'!$C:$C,'Factory Costs'!$A:$A,"Frame",'Factory Costs'!$B:$B,B3))</f>
        <v>39</v>
      </c>
    </row>
    <row r="4" spans="1:3" x14ac:dyDescent="0.25">
      <c r="A4" s="1" t="s">
        <v>6565</v>
      </c>
      <c r="B4" s="1" t="s">
        <v>16378</v>
      </c>
      <c r="C4" s="3">
        <f>IF(B4="","",SUMIFS('Factory Costs'!$C:$C,'Factory Costs'!$A:$A,"Frame",'Factory Costs'!$B:$B,B4))</f>
        <v>52</v>
      </c>
    </row>
    <row r="5" spans="1:3" x14ac:dyDescent="0.25">
      <c r="A5" s="1" t="s">
        <v>6568</v>
      </c>
      <c r="B5" s="1" t="s">
        <v>16379</v>
      </c>
      <c r="C5" s="3">
        <f>IF(B5="","",SUMIFS('Factory Costs'!$C:$C,'Factory Costs'!$A:$A,"Frame",'Factory Costs'!$B:$B,B5))</f>
        <v>45</v>
      </c>
    </row>
    <row r="6" spans="1:3" x14ac:dyDescent="0.25">
      <c r="A6" s="1" t="s">
        <v>6571</v>
      </c>
      <c r="B6" s="1" t="s">
        <v>16378</v>
      </c>
      <c r="C6" s="3">
        <f>IF(B6="","",SUMIFS('Factory Costs'!$C:$C,'Factory Costs'!$A:$A,"Frame",'Factory Costs'!$B:$B,B6))</f>
        <v>52</v>
      </c>
    </row>
    <row r="7" spans="1:3" x14ac:dyDescent="0.25">
      <c r="A7" s="1" t="s">
        <v>6574</v>
      </c>
      <c r="B7" s="1" t="s">
        <v>16379</v>
      </c>
      <c r="C7" s="3">
        <f>IF(B7="","",SUMIFS('Factory Costs'!$C:$C,'Factory Costs'!$A:$A,"Frame",'Factory Costs'!$B:$B,B7))</f>
        <v>45</v>
      </c>
    </row>
    <row r="8" spans="1:3" x14ac:dyDescent="0.25">
      <c r="A8" s="1" t="s">
        <v>6577</v>
      </c>
      <c r="B8" s="1" t="s">
        <v>16378</v>
      </c>
      <c r="C8" s="3">
        <f>IF(B8="","",SUMIFS('Factory Costs'!$C:$C,'Factory Costs'!$A:$A,"Frame",'Factory Costs'!$B:$B,B8))</f>
        <v>52</v>
      </c>
    </row>
    <row r="9" spans="1:3" x14ac:dyDescent="0.25">
      <c r="A9" s="1" t="s">
        <v>6580</v>
      </c>
      <c r="B9" s="1" t="s">
        <v>16377</v>
      </c>
      <c r="C9" s="3">
        <f>IF(B9="","",SUMIFS('Factory Costs'!$C:$C,'Factory Costs'!$A:$A,"Frame",'Factory Costs'!$B:$B,B9))</f>
        <v>39</v>
      </c>
    </row>
    <row r="10" spans="1:3" x14ac:dyDescent="0.25">
      <c r="A10" s="1" t="s">
        <v>6583</v>
      </c>
      <c r="B10" s="1" t="s">
        <v>16377</v>
      </c>
      <c r="C10" s="3">
        <f>IF(B10="","",SUMIFS('Factory Costs'!$C:$C,'Factory Costs'!$A:$A,"Frame",'Factory Costs'!$B:$B,B10))</f>
        <v>39</v>
      </c>
    </row>
    <row r="11" spans="1:3" x14ac:dyDescent="0.25">
      <c r="A11" s="1" t="s">
        <v>6586</v>
      </c>
      <c r="B11" s="1" t="s">
        <v>16379</v>
      </c>
      <c r="C11" s="3">
        <f>IF(B11="","",SUMIFS('Factory Costs'!$C:$C,'Factory Costs'!$A:$A,"Frame",'Factory Costs'!$B:$B,B11))</f>
        <v>45</v>
      </c>
    </row>
    <row r="12" spans="1:3" x14ac:dyDescent="0.25">
      <c r="A12" s="1" t="s">
        <v>6589</v>
      </c>
      <c r="B12" s="1" t="s">
        <v>16377</v>
      </c>
      <c r="C12" s="3">
        <f>IF(B12="","",SUMIFS('Factory Costs'!$C:$C,'Factory Costs'!$A:$A,"Frame",'Factory Costs'!$B:$B,B12))</f>
        <v>39</v>
      </c>
    </row>
    <row r="13" spans="1:3" x14ac:dyDescent="0.25">
      <c r="A13" s="1" t="s">
        <v>6592</v>
      </c>
      <c r="B13" s="1" t="s">
        <v>16379</v>
      </c>
      <c r="C13" s="3">
        <f>IF(B13="","",SUMIFS('Factory Costs'!$C:$C,'Factory Costs'!$A:$A,"Frame",'Factory Costs'!$B:$B,B13))</f>
        <v>45</v>
      </c>
    </row>
    <row r="14" spans="1:3" x14ac:dyDescent="0.25">
      <c r="A14" s="1" t="s">
        <v>6595</v>
      </c>
      <c r="B14" s="1" t="s">
        <v>16379</v>
      </c>
      <c r="C14" s="3">
        <f>IF(B14="","",SUMIFS('Factory Costs'!$C:$C,'Factory Costs'!$A:$A,"Frame",'Factory Costs'!$B:$B,B14))</f>
        <v>45</v>
      </c>
    </row>
    <row r="15" spans="1:3" x14ac:dyDescent="0.25">
      <c r="A15" s="1" t="s">
        <v>6598</v>
      </c>
      <c r="B15" s="1" t="s">
        <v>16378</v>
      </c>
      <c r="C15" s="3">
        <f>IF(B15="","",SUMIFS('Factory Costs'!$C:$C,'Factory Costs'!$A:$A,"Frame",'Factory Costs'!$B:$B,B15))</f>
        <v>52</v>
      </c>
    </row>
    <row r="16" spans="1:3" x14ac:dyDescent="0.25">
      <c r="A16" s="1" t="s">
        <v>6601</v>
      </c>
      <c r="B16" s="1" t="s">
        <v>16379</v>
      </c>
      <c r="C16" s="3">
        <f>IF(B16="","",SUMIFS('Factory Costs'!$C:$C,'Factory Costs'!$A:$A,"Frame",'Factory Costs'!$B:$B,B16))</f>
        <v>45</v>
      </c>
    </row>
    <row r="17" spans="1:3" x14ac:dyDescent="0.25">
      <c r="A17" s="1" t="s">
        <v>6604</v>
      </c>
      <c r="B17" s="1" t="s">
        <v>16377</v>
      </c>
      <c r="C17" s="3">
        <f>IF(B17="","",SUMIFS('Factory Costs'!$C:$C,'Factory Costs'!$A:$A,"Frame",'Factory Costs'!$B:$B,B17))</f>
        <v>39</v>
      </c>
    </row>
    <row r="18" spans="1:3" x14ac:dyDescent="0.25">
      <c r="A18" s="1" t="s">
        <v>6607</v>
      </c>
      <c r="B18" s="1" t="s">
        <v>16378</v>
      </c>
      <c r="C18" s="3">
        <f>IF(B18="","",SUMIFS('Factory Costs'!$C:$C,'Factory Costs'!$A:$A,"Frame",'Factory Costs'!$B:$B,B18))</f>
        <v>52</v>
      </c>
    </row>
    <row r="19" spans="1:3" x14ac:dyDescent="0.25">
      <c r="A19" s="1" t="s">
        <v>6610</v>
      </c>
      <c r="B19" s="1" t="s">
        <v>16378</v>
      </c>
      <c r="C19" s="3">
        <f>IF(B19="","",SUMIFS('Factory Costs'!$C:$C,'Factory Costs'!$A:$A,"Frame",'Factory Costs'!$B:$B,B19))</f>
        <v>52</v>
      </c>
    </row>
    <row r="20" spans="1:3" x14ac:dyDescent="0.25">
      <c r="A20" s="1" t="s">
        <v>6613</v>
      </c>
      <c r="B20" s="1" t="s">
        <v>16379</v>
      </c>
      <c r="C20" s="3">
        <f>IF(B20="","",SUMIFS('Factory Costs'!$C:$C,'Factory Costs'!$A:$A,"Frame",'Factory Costs'!$B:$B,B20))</f>
        <v>45</v>
      </c>
    </row>
    <row r="21" spans="1:3" x14ac:dyDescent="0.25">
      <c r="A21" s="1" t="s">
        <v>6616</v>
      </c>
      <c r="B21" s="1" t="s">
        <v>16378</v>
      </c>
      <c r="C21" s="3">
        <f>IF(B21="","",SUMIFS('Factory Costs'!$C:$C,'Factory Costs'!$A:$A,"Frame",'Factory Costs'!$B:$B,B21))</f>
        <v>52</v>
      </c>
    </row>
    <row r="22" spans="1:3" x14ac:dyDescent="0.25">
      <c r="A22" s="1" t="s">
        <v>6619</v>
      </c>
      <c r="B22" s="1" t="s">
        <v>16377</v>
      </c>
      <c r="C22" s="3">
        <f>IF(B22="","",SUMIFS('Factory Costs'!$C:$C,'Factory Costs'!$A:$A,"Frame",'Factory Costs'!$B:$B,B22))</f>
        <v>39</v>
      </c>
    </row>
    <row r="23" spans="1:3" x14ac:dyDescent="0.25">
      <c r="A23" s="1" t="s">
        <v>6622</v>
      </c>
      <c r="B23" s="1" t="s">
        <v>16377</v>
      </c>
      <c r="C23" s="3">
        <f>IF(B23="","",SUMIFS('Factory Costs'!$C:$C,'Factory Costs'!$A:$A,"Frame",'Factory Costs'!$B:$B,B23))</f>
        <v>39</v>
      </c>
    </row>
    <row r="24" spans="1:3" x14ac:dyDescent="0.25">
      <c r="A24" s="1" t="s">
        <v>6625</v>
      </c>
      <c r="B24" s="1" t="s">
        <v>16377</v>
      </c>
      <c r="C24" s="3">
        <f>IF(B24="","",SUMIFS('Factory Costs'!$C:$C,'Factory Costs'!$A:$A,"Frame",'Factory Costs'!$B:$B,B24))</f>
        <v>39</v>
      </c>
    </row>
    <row r="25" spans="1:3" x14ac:dyDescent="0.25">
      <c r="A25" s="1" t="s">
        <v>6628</v>
      </c>
      <c r="B25" s="1" t="s">
        <v>16377</v>
      </c>
      <c r="C25" s="3">
        <f>IF(B25="","",SUMIFS('Factory Costs'!$C:$C,'Factory Costs'!$A:$A,"Frame",'Factory Costs'!$B:$B,B25))</f>
        <v>39</v>
      </c>
    </row>
    <row r="26" spans="1:3" x14ac:dyDescent="0.25">
      <c r="A26" s="1" t="s">
        <v>6631</v>
      </c>
      <c r="B26" s="1" t="s">
        <v>16378</v>
      </c>
      <c r="C26" s="3">
        <f>IF(B26="","",SUMIFS('Factory Costs'!$C:$C,'Factory Costs'!$A:$A,"Frame",'Factory Costs'!$B:$B,B26))</f>
        <v>52</v>
      </c>
    </row>
    <row r="27" spans="1:3" x14ac:dyDescent="0.25">
      <c r="A27" s="1" t="s">
        <v>6634</v>
      </c>
      <c r="B27" s="1" t="s">
        <v>16379</v>
      </c>
      <c r="C27" s="3">
        <f>IF(B27="","",SUMIFS('Factory Costs'!$C:$C,'Factory Costs'!$A:$A,"Frame",'Factory Costs'!$B:$B,B27))</f>
        <v>45</v>
      </c>
    </row>
    <row r="28" spans="1:3" x14ac:dyDescent="0.25">
      <c r="A28" s="1" t="s">
        <v>6637</v>
      </c>
      <c r="B28" s="1" t="s">
        <v>16377</v>
      </c>
      <c r="C28" s="3">
        <f>IF(B28="","",SUMIFS('Factory Costs'!$C:$C,'Factory Costs'!$A:$A,"Frame",'Factory Costs'!$B:$B,B28))</f>
        <v>39</v>
      </c>
    </row>
    <row r="29" spans="1:3" x14ac:dyDescent="0.25">
      <c r="A29" s="1" t="s">
        <v>6640</v>
      </c>
      <c r="B29" s="1" t="s">
        <v>16377</v>
      </c>
      <c r="C29" s="3">
        <f>IF(B29="","",SUMIFS('Factory Costs'!$C:$C,'Factory Costs'!$A:$A,"Frame",'Factory Costs'!$B:$B,B29))</f>
        <v>39</v>
      </c>
    </row>
    <row r="30" spans="1:3" x14ac:dyDescent="0.25">
      <c r="A30" s="1" t="s">
        <v>6643</v>
      </c>
      <c r="B30" s="1" t="s">
        <v>16378</v>
      </c>
      <c r="C30" s="3">
        <f>IF(B30="","",SUMIFS('Factory Costs'!$C:$C,'Factory Costs'!$A:$A,"Frame",'Factory Costs'!$B:$B,B30))</f>
        <v>52</v>
      </c>
    </row>
    <row r="31" spans="1:3" x14ac:dyDescent="0.25">
      <c r="A31" s="1" t="s">
        <v>6646</v>
      </c>
      <c r="B31" s="1" t="s">
        <v>16379</v>
      </c>
      <c r="C31" s="3">
        <f>IF(B31="","",SUMIFS('Factory Costs'!$C:$C,'Factory Costs'!$A:$A,"Frame",'Factory Costs'!$B:$B,B31))</f>
        <v>45</v>
      </c>
    </row>
    <row r="32" spans="1:3" x14ac:dyDescent="0.25">
      <c r="A32" s="1" t="s">
        <v>6649</v>
      </c>
      <c r="B32" s="1" t="s">
        <v>16377</v>
      </c>
      <c r="C32" s="3">
        <f>IF(B32="","",SUMIFS('Factory Costs'!$C:$C,'Factory Costs'!$A:$A,"Frame",'Factory Costs'!$B:$B,B32))</f>
        <v>39</v>
      </c>
    </row>
    <row r="33" spans="1:3" x14ac:dyDescent="0.25">
      <c r="A33" s="1" t="s">
        <v>6652</v>
      </c>
      <c r="B33" s="1" t="s">
        <v>16379</v>
      </c>
      <c r="C33" s="3">
        <f>IF(B33="","",SUMIFS('Factory Costs'!$C:$C,'Factory Costs'!$A:$A,"Frame",'Factory Costs'!$B:$B,B33))</f>
        <v>45</v>
      </c>
    </row>
    <row r="34" spans="1:3" x14ac:dyDescent="0.25">
      <c r="A34" s="1" t="s">
        <v>6655</v>
      </c>
      <c r="B34" s="1" t="s">
        <v>16377</v>
      </c>
      <c r="C34" s="3">
        <f>IF(B34="","",SUMIFS('Factory Costs'!$C:$C,'Factory Costs'!$A:$A,"Frame",'Factory Costs'!$B:$B,B34))</f>
        <v>39</v>
      </c>
    </row>
    <row r="35" spans="1:3" x14ac:dyDescent="0.25">
      <c r="A35" s="1" t="s">
        <v>6658</v>
      </c>
      <c r="B35" s="1" t="s">
        <v>16379</v>
      </c>
      <c r="C35" s="3">
        <f>IF(B35="","",SUMIFS('Factory Costs'!$C:$C,'Factory Costs'!$A:$A,"Frame",'Factory Costs'!$B:$B,B35))</f>
        <v>45</v>
      </c>
    </row>
    <row r="36" spans="1:3" x14ac:dyDescent="0.25">
      <c r="A36" s="1" t="s">
        <v>6661</v>
      </c>
      <c r="B36" s="1" t="s">
        <v>16378</v>
      </c>
      <c r="C36" s="3">
        <f>IF(B36="","",SUMIFS('Factory Costs'!$C:$C,'Factory Costs'!$A:$A,"Frame",'Factory Costs'!$B:$B,B36))</f>
        <v>52</v>
      </c>
    </row>
    <row r="37" spans="1:3" x14ac:dyDescent="0.25">
      <c r="A37" s="1" t="s">
        <v>6664</v>
      </c>
      <c r="B37" s="1" t="s">
        <v>16377</v>
      </c>
      <c r="C37" s="3">
        <f>IF(B37="","",SUMIFS('Factory Costs'!$C:$C,'Factory Costs'!$A:$A,"Frame",'Factory Costs'!$B:$B,B37))</f>
        <v>39</v>
      </c>
    </row>
    <row r="38" spans="1:3" x14ac:dyDescent="0.25">
      <c r="A38" s="1" t="s">
        <v>6667</v>
      </c>
      <c r="B38" s="1" t="s">
        <v>16377</v>
      </c>
      <c r="C38" s="3">
        <f>IF(B38="","",SUMIFS('Factory Costs'!$C:$C,'Factory Costs'!$A:$A,"Frame",'Factory Costs'!$B:$B,B38))</f>
        <v>39</v>
      </c>
    </row>
    <row r="39" spans="1:3" x14ac:dyDescent="0.25">
      <c r="A39" s="1" t="s">
        <v>6670</v>
      </c>
      <c r="B39" s="1" t="s">
        <v>16379</v>
      </c>
      <c r="C39" s="3">
        <f>IF(B39="","",SUMIFS('Factory Costs'!$C:$C,'Factory Costs'!$A:$A,"Frame",'Factory Costs'!$B:$B,B39))</f>
        <v>45</v>
      </c>
    </row>
    <row r="40" spans="1:3" x14ac:dyDescent="0.25">
      <c r="A40" s="1" t="s">
        <v>6673</v>
      </c>
      <c r="B40" s="1" t="s">
        <v>16377</v>
      </c>
      <c r="C40" s="3">
        <f>IF(B40="","",SUMIFS('Factory Costs'!$C:$C,'Factory Costs'!$A:$A,"Frame",'Factory Costs'!$B:$B,B40))</f>
        <v>39</v>
      </c>
    </row>
    <row r="41" spans="1:3" x14ac:dyDescent="0.25">
      <c r="A41" s="1" t="s">
        <v>6676</v>
      </c>
      <c r="B41" s="1" t="s">
        <v>16379</v>
      </c>
      <c r="C41" s="3">
        <f>IF(B41="","",SUMIFS('Factory Costs'!$C:$C,'Factory Costs'!$A:$A,"Frame",'Factory Costs'!$B:$B,B41))</f>
        <v>45</v>
      </c>
    </row>
    <row r="42" spans="1:3" x14ac:dyDescent="0.25">
      <c r="A42" s="1" t="s">
        <v>6679</v>
      </c>
      <c r="B42" s="1" t="s">
        <v>16378</v>
      </c>
      <c r="C42" s="3">
        <f>IF(B42="","",SUMIFS('Factory Costs'!$C:$C,'Factory Costs'!$A:$A,"Frame",'Factory Costs'!$B:$B,B42))</f>
        <v>52</v>
      </c>
    </row>
    <row r="43" spans="1:3" x14ac:dyDescent="0.25">
      <c r="A43" s="1" t="s">
        <v>6682</v>
      </c>
      <c r="B43" s="1" t="s">
        <v>16377</v>
      </c>
      <c r="C43" s="3">
        <f>IF(B43="","",SUMIFS('Factory Costs'!$C:$C,'Factory Costs'!$A:$A,"Frame",'Factory Costs'!$B:$B,B43))</f>
        <v>39</v>
      </c>
    </row>
    <row r="44" spans="1:3" x14ac:dyDescent="0.25">
      <c r="A44" s="1" t="s">
        <v>6685</v>
      </c>
      <c r="B44" s="1" t="s">
        <v>16379</v>
      </c>
      <c r="C44" s="3">
        <f>IF(B44="","",SUMIFS('Factory Costs'!$C:$C,'Factory Costs'!$A:$A,"Frame",'Factory Costs'!$B:$B,B44))</f>
        <v>45</v>
      </c>
    </row>
    <row r="45" spans="1:3" x14ac:dyDescent="0.25">
      <c r="A45" s="1" t="s">
        <v>6688</v>
      </c>
      <c r="B45" s="1" t="s">
        <v>16379</v>
      </c>
      <c r="C45" s="3">
        <f>IF(B45="","",SUMIFS('Factory Costs'!$C:$C,'Factory Costs'!$A:$A,"Frame",'Factory Costs'!$B:$B,B45))</f>
        <v>45</v>
      </c>
    </row>
    <row r="46" spans="1:3" x14ac:dyDescent="0.25">
      <c r="A46" s="1" t="s">
        <v>6691</v>
      </c>
      <c r="B46" s="1" t="s">
        <v>16377</v>
      </c>
      <c r="C46" s="3">
        <f>IF(B46="","",SUMIFS('Factory Costs'!$C:$C,'Factory Costs'!$A:$A,"Frame",'Factory Costs'!$B:$B,B46))</f>
        <v>39</v>
      </c>
    </row>
    <row r="47" spans="1:3" x14ac:dyDescent="0.25">
      <c r="A47" s="1" t="s">
        <v>6694</v>
      </c>
      <c r="B47" s="1" t="s">
        <v>16378</v>
      </c>
      <c r="C47" s="3">
        <f>IF(B47="","",SUMIFS('Factory Costs'!$C:$C,'Factory Costs'!$A:$A,"Frame",'Factory Costs'!$B:$B,B47))</f>
        <v>52</v>
      </c>
    </row>
    <row r="48" spans="1:3" x14ac:dyDescent="0.25">
      <c r="A48" s="1" t="s">
        <v>6697</v>
      </c>
      <c r="B48" s="1" t="s">
        <v>16377</v>
      </c>
      <c r="C48" s="3">
        <f>IF(B48="","",SUMIFS('Factory Costs'!$C:$C,'Factory Costs'!$A:$A,"Frame",'Factory Costs'!$B:$B,B48))</f>
        <v>39</v>
      </c>
    </row>
    <row r="49" spans="1:3" x14ac:dyDescent="0.25">
      <c r="A49" s="1" t="s">
        <v>6700</v>
      </c>
      <c r="B49" s="1" t="s">
        <v>16377</v>
      </c>
      <c r="C49" s="3">
        <f>IF(B49="","",SUMIFS('Factory Costs'!$C:$C,'Factory Costs'!$A:$A,"Frame",'Factory Costs'!$B:$B,B49))</f>
        <v>39</v>
      </c>
    </row>
    <row r="50" spans="1:3" x14ac:dyDescent="0.25">
      <c r="A50" s="1" t="s">
        <v>6703</v>
      </c>
      <c r="B50" s="1" t="s">
        <v>16377</v>
      </c>
      <c r="C50" s="3">
        <f>IF(B50="","",SUMIFS('Factory Costs'!$C:$C,'Factory Costs'!$A:$A,"Frame",'Factory Costs'!$B:$B,B50))</f>
        <v>39</v>
      </c>
    </row>
    <row r="51" spans="1:3" x14ac:dyDescent="0.25">
      <c r="A51" s="1" t="s">
        <v>6706</v>
      </c>
      <c r="B51" s="1" t="s">
        <v>16377</v>
      </c>
      <c r="C51" s="3">
        <f>IF(B51="","",SUMIFS('Factory Costs'!$C:$C,'Factory Costs'!$A:$A,"Frame",'Factory Costs'!$B:$B,B51))</f>
        <v>39</v>
      </c>
    </row>
    <row r="52" spans="1:3" x14ac:dyDescent="0.25">
      <c r="A52" s="1" t="s">
        <v>6709</v>
      </c>
      <c r="B52" s="1" t="s">
        <v>16377</v>
      </c>
      <c r="C52" s="3">
        <f>IF(B52="","",SUMIFS('Factory Costs'!$C:$C,'Factory Costs'!$A:$A,"Frame",'Factory Costs'!$B:$B,B52))</f>
        <v>39</v>
      </c>
    </row>
    <row r="53" spans="1:3" x14ac:dyDescent="0.25">
      <c r="A53" s="1" t="s">
        <v>6712</v>
      </c>
      <c r="B53" s="1" t="s">
        <v>16378</v>
      </c>
      <c r="C53" s="3">
        <f>IF(B53="","",SUMIFS('Factory Costs'!$C:$C,'Factory Costs'!$A:$A,"Frame",'Factory Costs'!$B:$B,B53))</f>
        <v>52</v>
      </c>
    </row>
    <row r="54" spans="1:3" x14ac:dyDescent="0.25">
      <c r="A54" s="1" t="s">
        <v>6715</v>
      </c>
      <c r="B54" s="1" t="s">
        <v>16377</v>
      </c>
      <c r="C54" s="3">
        <f>IF(B54="","",SUMIFS('Factory Costs'!$C:$C,'Factory Costs'!$A:$A,"Frame",'Factory Costs'!$B:$B,B54))</f>
        <v>39</v>
      </c>
    </row>
    <row r="55" spans="1:3" x14ac:dyDescent="0.25">
      <c r="A55" s="1" t="s">
        <v>6718</v>
      </c>
      <c r="B55" s="1" t="s">
        <v>16377</v>
      </c>
      <c r="C55" s="3">
        <f>IF(B55="","",SUMIFS('Factory Costs'!$C:$C,'Factory Costs'!$A:$A,"Frame",'Factory Costs'!$B:$B,B55))</f>
        <v>39</v>
      </c>
    </row>
    <row r="56" spans="1:3" x14ac:dyDescent="0.25">
      <c r="A56" s="1" t="s">
        <v>6721</v>
      </c>
      <c r="B56" s="1" t="s">
        <v>16378</v>
      </c>
      <c r="C56" s="3">
        <f>IF(B56="","",SUMIFS('Factory Costs'!$C:$C,'Factory Costs'!$A:$A,"Frame",'Factory Costs'!$B:$B,B56))</f>
        <v>52</v>
      </c>
    </row>
    <row r="57" spans="1:3" x14ac:dyDescent="0.25">
      <c r="A57" s="1" t="s">
        <v>6724</v>
      </c>
      <c r="B57" s="1" t="s">
        <v>16378</v>
      </c>
      <c r="C57" s="3">
        <f>IF(B57="","",SUMIFS('Factory Costs'!$C:$C,'Factory Costs'!$A:$A,"Frame",'Factory Costs'!$B:$B,B57))</f>
        <v>52</v>
      </c>
    </row>
    <row r="58" spans="1:3" x14ac:dyDescent="0.25">
      <c r="A58" s="1" t="s">
        <v>6727</v>
      </c>
      <c r="B58" s="1" t="s">
        <v>16377</v>
      </c>
      <c r="C58" s="3">
        <f>IF(B58="","",SUMIFS('Factory Costs'!$C:$C,'Factory Costs'!$A:$A,"Frame",'Factory Costs'!$B:$B,B58))</f>
        <v>39</v>
      </c>
    </row>
    <row r="59" spans="1:3" x14ac:dyDescent="0.25">
      <c r="A59" s="1" t="s">
        <v>6730</v>
      </c>
      <c r="B59" s="1" t="s">
        <v>16378</v>
      </c>
      <c r="C59" s="3">
        <f>IF(B59="","",SUMIFS('Factory Costs'!$C:$C,'Factory Costs'!$A:$A,"Frame",'Factory Costs'!$B:$B,B59))</f>
        <v>52</v>
      </c>
    </row>
    <row r="60" spans="1:3" x14ac:dyDescent="0.25">
      <c r="A60" s="1" t="s">
        <v>6733</v>
      </c>
      <c r="B60" s="1" t="s">
        <v>16378</v>
      </c>
      <c r="C60" s="3">
        <f>IF(B60="","",SUMIFS('Factory Costs'!$C:$C,'Factory Costs'!$A:$A,"Frame",'Factory Costs'!$B:$B,B60))</f>
        <v>52</v>
      </c>
    </row>
    <row r="61" spans="1:3" x14ac:dyDescent="0.25">
      <c r="A61" s="1" t="s">
        <v>6736</v>
      </c>
      <c r="B61" s="1" t="s">
        <v>16378</v>
      </c>
      <c r="C61" s="3">
        <f>IF(B61="","",SUMIFS('Factory Costs'!$C:$C,'Factory Costs'!$A:$A,"Frame",'Factory Costs'!$B:$B,B61))</f>
        <v>52</v>
      </c>
    </row>
    <row r="62" spans="1:3" x14ac:dyDescent="0.25">
      <c r="A62" s="1" t="s">
        <v>6739</v>
      </c>
      <c r="B62" s="1" t="s">
        <v>16377</v>
      </c>
      <c r="C62" s="3">
        <f>IF(B62="","",SUMIFS('Factory Costs'!$C:$C,'Factory Costs'!$A:$A,"Frame",'Factory Costs'!$B:$B,B62))</f>
        <v>39</v>
      </c>
    </row>
    <row r="63" spans="1:3" x14ac:dyDescent="0.25">
      <c r="A63" s="1" t="s">
        <v>6742</v>
      </c>
      <c r="B63" s="1" t="s">
        <v>16377</v>
      </c>
      <c r="C63" s="3">
        <f>IF(B63="","",SUMIFS('Factory Costs'!$C:$C,'Factory Costs'!$A:$A,"Frame",'Factory Costs'!$B:$B,B63))</f>
        <v>39</v>
      </c>
    </row>
    <row r="64" spans="1:3" x14ac:dyDescent="0.25">
      <c r="A64" s="1" t="s">
        <v>6745</v>
      </c>
      <c r="B64" s="1" t="s">
        <v>16379</v>
      </c>
      <c r="C64" s="3">
        <f>IF(B64="","",SUMIFS('Factory Costs'!$C:$C,'Factory Costs'!$A:$A,"Frame",'Factory Costs'!$B:$B,B64))</f>
        <v>45</v>
      </c>
    </row>
    <row r="65" spans="1:3" x14ac:dyDescent="0.25">
      <c r="A65" s="1" t="s">
        <v>6748</v>
      </c>
      <c r="B65" s="1" t="s">
        <v>16377</v>
      </c>
      <c r="C65" s="3">
        <f>IF(B65="","",SUMIFS('Factory Costs'!$C:$C,'Factory Costs'!$A:$A,"Frame",'Factory Costs'!$B:$B,B65))</f>
        <v>39</v>
      </c>
    </row>
    <row r="66" spans="1:3" x14ac:dyDescent="0.25">
      <c r="A66" s="1" t="s">
        <v>6751</v>
      </c>
      <c r="B66" s="1" t="s">
        <v>16378</v>
      </c>
      <c r="C66" s="3">
        <f>IF(B66="","",SUMIFS('Factory Costs'!$C:$C,'Factory Costs'!$A:$A,"Frame",'Factory Costs'!$B:$B,B66))</f>
        <v>52</v>
      </c>
    </row>
    <row r="67" spans="1:3" x14ac:dyDescent="0.25">
      <c r="A67" s="1" t="s">
        <v>6754</v>
      </c>
      <c r="B67" s="1" t="s">
        <v>16379</v>
      </c>
      <c r="C67" s="3">
        <f>IF(B67="","",SUMIFS('Factory Costs'!$C:$C,'Factory Costs'!$A:$A,"Frame",'Factory Costs'!$B:$B,B67))</f>
        <v>45</v>
      </c>
    </row>
    <row r="68" spans="1:3" x14ac:dyDescent="0.25">
      <c r="A68" s="1" t="s">
        <v>6757</v>
      </c>
      <c r="B68" s="1" t="s">
        <v>16379</v>
      </c>
      <c r="C68" s="3">
        <f>IF(B68="","",SUMIFS('Factory Costs'!$C:$C,'Factory Costs'!$A:$A,"Frame",'Factory Costs'!$B:$B,B68))</f>
        <v>45</v>
      </c>
    </row>
    <row r="69" spans="1:3" x14ac:dyDescent="0.25">
      <c r="A69" s="1" t="s">
        <v>6760</v>
      </c>
      <c r="B69" s="1" t="s">
        <v>16379</v>
      </c>
      <c r="C69" s="3">
        <f>IF(B69="","",SUMIFS('Factory Costs'!$C:$C,'Factory Costs'!$A:$A,"Frame",'Factory Costs'!$B:$B,B69))</f>
        <v>45</v>
      </c>
    </row>
    <row r="70" spans="1:3" x14ac:dyDescent="0.25">
      <c r="A70" s="1" t="s">
        <v>6763</v>
      </c>
      <c r="B70" s="1" t="s">
        <v>16378</v>
      </c>
      <c r="C70" s="3">
        <f>IF(B70="","",SUMIFS('Factory Costs'!$C:$C,'Factory Costs'!$A:$A,"Frame",'Factory Costs'!$B:$B,B70))</f>
        <v>52</v>
      </c>
    </row>
    <row r="71" spans="1:3" x14ac:dyDescent="0.25">
      <c r="A71" s="1" t="s">
        <v>6766</v>
      </c>
      <c r="B71" s="1" t="s">
        <v>16378</v>
      </c>
      <c r="C71" s="3">
        <f>IF(B71="","",SUMIFS('Factory Costs'!$C:$C,'Factory Costs'!$A:$A,"Frame",'Factory Costs'!$B:$B,B71))</f>
        <v>52</v>
      </c>
    </row>
    <row r="72" spans="1:3" x14ac:dyDescent="0.25">
      <c r="A72" s="1" t="s">
        <v>6769</v>
      </c>
      <c r="B72" s="1" t="s">
        <v>16379</v>
      </c>
      <c r="C72" s="3">
        <f>IF(B72="","",SUMIFS('Factory Costs'!$C:$C,'Factory Costs'!$A:$A,"Frame",'Factory Costs'!$B:$B,B72))</f>
        <v>45</v>
      </c>
    </row>
    <row r="73" spans="1:3" x14ac:dyDescent="0.25">
      <c r="A73" s="1" t="s">
        <v>6772</v>
      </c>
      <c r="B73" s="1" t="s">
        <v>16379</v>
      </c>
      <c r="C73" s="3">
        <f>IF(B73="","",SUMIFS('Factory Costs'!$C:$C,'Factory Costs'!$A:$A,"Frame",'Factory Costs'!$B:$B,B73))</f>
        <v>45</v>
      </c>
    </row>
    <row r="74" spans="1:3" x14ac:dyDescent="0.25">
      <c r="A74" s="1" t="s">
        <v>6775</v>
      </c>
      <c r="B74" s="1" t="s">
        <v>16378</v>
      </c>
      <c r="C74" s="3">
        <f>IF(B74="","",SUMIFS('Factory Costs'!$C:$C,'Factory Costs'!$A:$A,"Frame",'Factory Costs'!$B:$B,B74))</f>
        <v>52</v>
      </c>
    </row>
    <row r="75" spans="1:3" x14ac:dyDescent="0.25">
      <c r="A75" s="1" t="s">
        <v>6778</v>
      </c>
      <c r="B75" s="1" t="s">
        <v>16377</v>
      </c>
      <c r="C75" s="3">
        <f>IF(B75="","",SUMIFS('Factory Costs'!$C:$C,'Factory Costs'!$A:$A,"Frame",'Factory Costs'!$B:$B,B75))</f>
        <v>39</v>
      </c>
    </row>
    <row r="76" spans="1:3" x14ac:dyDescent="0.25">
      <c r="A76" s="1" t="s">
        <v>6781</v>
      </c>
      <c r="B76" s="1" t="s">
        <v>16377</v>
      </c>
      <c r="C76" s="3">
        <f>IF(B76="","",SUMIFS('Factory Costs'!$C:$C,'Factory Costs'!$A:$A,"Frame",'Factory Costs'!$B:$B,B76))</f>
        <v>39</v>
      </c>
    </row>
    <row r="77" spans="1:3" x14ac:dyDescent="0.25">
      <c r="A77" s="1" t="s">
        <v>6784</v>
      </c>
      <c r="B77" s="1" t="s">
        <v>16377</v>
      </c>
      <c r="C77" s="3">
        <f>IF(B77="","",SUMIFS('Factory Costs'!$C:$C,'Factory Costs'!$A:$A,"Frame",'Factory Costs'!$B:$B,B77))</f>
        <v>39</v>
      </c>
    </row>
    <row r="78" spans="1:3" x14ac:dyDescent="0.25">
      <c r="A78" s="1" t="s">
        <v>6787</v>
      </c>
      <c r="B78" s="1" t="s">
        <v>16377</v>
      </c>
      <c r="C78" s="3">
        <f>IF(B78="","",SUMIFS('Factory Costs'!$C:$C,'Factory Costs'!$A:$A,"Frame",'Factory Costs'!$B:$B,B78))</f>
        <v>39</v>
      </c>
    </row>
    <row r="79" spans="1:3" x14ac:dyDescent="0.25">
      <c r="A79" s="1" t="s">
        <v>6790</v>
      </c>
      <c r="B79" s="1" t="s">
        <v>16379</v>
      </c>
      <c r="C79" s="3">
        <f>IF(B79="","",SUMIFS('Factory Costs'!$C:$C,'Factory Costs'!$A:$A,"Frame",'Factory Costs'!$B:$B,B79))</f>
        <v>45</v>
      </c>
    </row>
    <row r="80" spans="1:3" x14ac:dyDescent="0.25">
      <c r="A80" s="1" t="s">
        <v>6793</v>
      </c>
      <c r="B80" s="1" t="s">
        <v>16377</v>
      </c>
      <c r="C80" s="3">
        <f>IF(B80="","",SUMIFS('Factory Costs'!$C:$C,'Factory Costs'!$A:$A,"Frame",'Factory Costs'!$B:$B,B80))</f>
        <v>39</v>
      </c>
    </row>
    <row r="81" spans="1:3" x14ac:dyDescent="0.25">
      <c r="A81" s="1" t="s">
        <v>6796</v>
      </c>
      <c r="B81" s="1" t="s">
        <v>16377</v>
      </c>
      <c r="C81" s="3">
        <f>IF(B81="","",SUMIFS('Factory Costs'!$C:$C,'Factory Costs'!$A:$A,"Frame",'Factory Costs'!$B:$B,B81))</f>
        <v>39</v>
      </c>
    </row>
    <row r="82" spans="1:3" x14ac:dyDescent="0.25">
      <c r="A82" s="1" t="s">
        <v>6799</v>
      </c>
      <c r="B82" s="1" t="s">
        <v>16379</v>
      </c>
      <c r="C82" s="3">
        <f>IF(B82="","",SUMIFS('Factory Costs'!$C:$C,'Factory Costs'!$A:$A,"Frame",'Factory Costs'!$B:$B,B82))</f>
        <v>45</v>
      </c>
    </row>
    <row r="83" spans="1:3" x14ac:dyDescent="0.25">
      <c r="A83" s="1" t="s">
        <v>6802</v>
      </c>
      <c r="B83" s="1" t="s">
        <v>16378</v>
      </c>
      <c r="C83" s="3">
        <f>IF(B83="","",SUMIFS('Factory Costs'!$C:$C,'Factory Costs'!$A:$A,"Frame",'Factory Costs'!$B:$B,B83))</f>
        <v>52</v>
      </c>
    </row>
    <row r="84" spans="1:3" x14ac:dyDescent="0.25">
      <c r="A84" s="1" t="s">
        <v>6805</v>
      </c>
      <c r="B84" s="1" t="s">
        <v>16377</v>
      </c>
      <c r="C84" s="3">
        <f>IF(B84="","",SUMIFS('Factory Costs'!$C:$C,'Factory Costs'!$A:$A,"Frame",'Factory Costs'!$B:$B,B84))</f>
        <v>39</v>
      </c>
    </row>
    <row r="85" spans="1:3" x14ac:dyDescent="0.25">
      <c r="A85" s="1" t="s">
        <v>6808</v>
      </c>
      <c r="B85" s="1" t="s">
        <v>16379</v>
      </c>
      <c r="C85" s="3">
        <f>IF(B85="","",SUMIFS('Factory Costs'!$C:$C,'Factory Costs'!$A:$A,"Frame",'Factory Costs'!$B:$B,B85))</f>
        <v>45</v>
      </c>
    </row>
    <row r="86" spans="1:3" x14ac:dyDescent="0.25">
      <c r="A86" s="1" t="s">
        <v>6811</v>
      </c>
      <c r="B86" s="1" t="s">
        <v>16378</v>
      </c>
      <c r="C86" s="3">
        <f>IF(B86="","",SUMIFS('Factory Costs'!$C:$C,'Factory Costs'!$A:$A,"Frame",'Factory Costs'!$B:$B,B86))</f>
        <v>52</v>
      </c>
    </row>
    <row r="87" spans="1:3" x14ac:dyDescent="0.25">
      <c r="A87" s="1" t="s">
        <v>6814</v>
      </c>
      <c r="B87" s="1" t="s">
        <v>16378</v>
      </c>
      <c r="C87" s="3">
        <f>IF(B87="","",SUMIFS('Factory Costs'!$C:$C,'Factory Costs'!$A:$A,"Frame",'Factory Costs'!$B:$B,B87))</f>
        <v>52</v>
      </c>
    </row>
    <row r="88" spans="1:3" x14ac:dyDescent="0.25">
      <c r="A88" s="1" t="s">
        <v>6817</v>
      </c>
      <c r="B88" s="1" t="s">
        <v>16378</v>
      </c>
      <c r="C88" s="3">
        <f>IF(B88="","",SUMIFS('Factory Costs'!$C:$C,'Factory Costs'!$A:$A,"Frame",'Factory Costs'!$B:$B,B88))</f>
        <v>52</v>
      </c>
    </row>
    <row r="89" spans="1:3" x14ac:dyDescent="0.25">
      <c r="A89" s="1" t="s">
        <v>6820</v>
      </c>
      <c r="B89" s="1" t="s">
        <v>16379</v>
      </c>
      <c r="C89" s="3">
        <f>IF(B89="","",SUMIFS('Factory Costs'!$C:$C,'Factory Costs'!$A:$A,"Frame",'Factory Costs'!$B:$B,B89))</f>
        <v>45</v>
      </c>
    </row>
    <row r="90" spans="1:3" x14ac:dyDescent="0.25">
      <c r="A90" s="1" t="s">
        <v>6823</v>
      </c>
      <c r="B90" s="1" t="s">
        <v>16377</v>
      </c>
      <c r="C90" s="3">
        <f>IF(B90="","",SUMIFS('Factory Costs'!$C:$C,'Factory Costs'!$A:$A,"Frame",'Factory Costs'!$B:$B,B90))</f>
        <v>39</v>
      </c>
    </row>
    <row r="91" spans="1:3" x14ac:dyDescent="0.25">
      <c r="A91" s="1" t="s">
        <v>6826</v>
      </c>
      <c r="B91" s="1" t="s">
        <v>16378</v>
      </c>
      <c r="C91" s="3">
        <f>IF(B91="","",SUMIFS('Factory Costs'!$C:$C,'Factory Costs'!$A:$A,"Frame",'Factory Costs'!$B:$B,B91))</f>
        <v>52</v>
      </c>
    </row>
    <row r="92" spans="1:3" x14ac:dyDescent="0.25">
      <c r="A92" s="1" t="s">
        <v>6829</v>
      </c>
      <c r="B92" s="1" t="s">
        <v>16377</v>
      </c>
      <c r="C92" s="3">
        <f>IF(B92="","",SUMIFS('Factory Costs'!$C:$C,'Factory Costs'!$A:$A,"Frame",'Factory Costs'!$B:$B,B92))</f>
        <v>39</v>
      </c>
    </row>
    <row r="93" spans="1:3" x14ac:dyDescent="0.25">
      <c r="A93" s="1" t="s">
        <v>6832</v>
      </c>
      <c r="B93" s="1" t="s">
        <v>16378</v>
      </c>
      <c r="C93" s="3">
        <f>IF(B93="","",SUMIFS('Factory Costs'!$C:$C,'Factory Costs'!$A:$A,"Frame",'Factory Costs'!$B:$B,B93))</f>
        <v>52</v>
      </c>
    </row>
    <row r="94" spans="1:3" x14ac:dyDescent="0.25">
      <c r="A94" s="1" t="s">
        <v>6835</v>
      </c>
      <c r="B94" s="1" t="s">
        <v>16379</v>
      </c>
      <c r="C94" s="3">
        <f>IF(B94="","",SUMIFS('Factory Costs'!$C:$C,'Factory Costs'!$A:$A,"Frame",'Factory Costs'!$B:$B,B94))</f>
        <v>45</v>
      </c>
    </row>
    <row r="95" spans="1:3" x14ac:dyDescent="0.25">
      <c r="A95" s="1" t="s">
        <v>6838</v>
      </c>
      <c r="B95" s="1" t="s">
        <v>16379</v>
      </c>
      <c r="C95" s="3">
        <f>IF(B95="","",SUMIFS('Factory Costs'!$C:$C,'Factory Costs'!$A:$A,"Frame",'Factory Costs'!$B:$B,B95))</f>
        <v>45</v>
      </c>
    </row>
    <row r="96" spans="1:3" x14ac:dyDescent="0.25">
      <c r="A96" s="1" t="s">
        <v>6841</v>
      </c>
      <c r="B96" s="1" t="s">
        <v>16377</v>
      </c>
      <c r="C96" s="3">
        <f>IF(B96="","",SUMIFS('Factory Costs'!$C:$C,'Factory Costs'!$A:$A,"Frame",'Factory Costs'!$B:$B,B96))</f>
        <v>39</v>
      </c>
    </row>
    <row r="97" spans="1:3" x14ac:dyDescent="0.25">
      <c r="A97" s="1" t="s">
        <v>6844</v>
      </c>
      <c r="B97" s="1" t="s">
        <v>16379</v>
      </c>
      <c r="C97" s="3">
        <f>IF(B97="","",SUMIFS('Factory Costs'!$C:$C,'Factory Costs'!$A:$A,"Frame",'Factory Costs'!$B:$B,B97))</f>
        <v>45</v>
      </c>
    </row>
    <row r="98" spans="1:3" x14ac:dyDescent="0.25">
      <c r="A98" s="1" t="s">
        <v>6847</v>
      </c>
      <c r="B98" s="1" t="s">
        <v>16377</v>
      </c>
      <c r="C98" s="3">
        <f>IF(B98="","",SUMIFS('Factory Costs'!$C:$C,'Factory Costs'!$A:$A,"Frame",'Factory Costs'!$B:$B,B98))</f>
        <v>39</v>
      </c>
    </row>
    <row r="99" spans="1:3" x14ac:dyDescent="0.25">
      <c r="A99" s="1" t="s">
        <v>6850</v>
      </c>
      <c r="B99" s="1" t="s">
        <v>16379</v>
      </c>
      <c r="C99" s="3">
        <f>IF(B99="","",SUMIFS('Factory Costs'!$C:$C,'Factory Costs'!$A:$A,"Frame",'Factory Costs'!$B:$B,B99))</f>
        <v>45</v>
      </c>
    </row>
    <row r="100" spans="1:3" x14ac:dyDescent="0.25">
      <c r="A100" s="1" t="s">
        <v>6853</v>
      </c>
      <c r="B100" s="1" t="s">
        <v>16377</v>
      </c>
      <c r="C100" s="3">
        <f>IF(B100="","",SUMIFS('Factory Costs'!$C:$C,'Factory Costs'!$A:$A,"Frame",'Factory Costs'!$B:$B,B100))</f>
        <v>39</v>
      </c>
    </row>
    <row r="101" spans="1:3" x14ac:dyDescent="0.25">
      <c r="A101" s="1" t="s">
        <v>6856</v>
      </c>
      <c r="B101" s="1" t="s">
        <v>16378</v>
      </c>
      <c r="C101" s="3">
        <f>IF(B101="","",SUMIFS('Factory Costs'!$C:$C,'Factory Costs'!$A:$A,"Frame",'Factory Costs'!$B:$B,B101))</f>
        <v>52</v>
      </c>
    </row>
    <row r="102" spans="1:3" x14ac:dyDescent="0.25">
      <c r="A102" s="1" t="s">
        <v>6859</v>
      </c>
      <c r="B102" s="1" t="s">
        <v>16377</v>
      </c>
      <c r="C102" s="3">
        <f>IF(B102="","",SUMIFS('Factory Costs'!$C:$C,'Factory Costs'!$A:$A,"Frame",'Factory Costs'!$B:$B,B102))</f>
        <v>39</v>
      </c>
    </row>
    <row r="103" spans="1:3" x14ac:dyDescent="0.25">
      <c r="A103" s="1" t="s">
        <v>6862</v>
      </c>
      <c r="B103" s="1" t="s">
        <v>16379</v>
      </c>
      <c r="C103" s="3">
        <f>IF(B103="","",SUMIFS('Factory Costs'!$C:$C,'Factory Costs'!$A:$A,"Frame",'Factory Costs'!$B:$B,B103))</f>
        <v>45</v>
      </c>
    </row>
    <row r="104" spans="1:3" x14ac:dyDescent="0.25">
      <c r="A104" s="1" t="s">
        <v>6865</v>
      </c>
      <c r="B104" s="1" t="s">
        <v>16378</v>
      </c>
      <c r="C104" s="3">
        <f>IF(B104="","",SUMIFS('Factory Costs'!$C:$C,'Factory Costs'!$A:$A,"Frame",'Factory Costs'!$B:$B,B104))</f>
        <v>52</v>
      </c>
    </row>
    <row r="105" spans="1:3" x14ac:dyDescent="0.25">
      <c r="A105" s="1" t="s">
        <v>6868</v>
      </c>
      <c r="B105" s="1" t="s">
        <v>16378</v>
      </c>
      <c r="C105" s="3">
        <f>IF(B105="","",SUMIFS('Factory Costs'!$C:$C,'Factory Costs'!$A:$A,"Frame",'Factory Costs'!$B:$B,B105))</f>
        <v>52</v>
      </c>
    </row>
    <row r="106" spans="1:3" x14ac:dyDescent="0.25">
      <c r="A106" s="1" t="s">
        <v>6871</v>
      </c>
      <c r="B106" s="1" t="s">
        <v>16377</v>
      </c>
      <c r="C106" s="3">
        <f>IF(B106="","",SUMIFS('Factory Costs'!$C:$C,'Factory Costs'!$A:$A,"Frame",'Factory Costs'!$B:$B,B106))</f>
        <v>39</v>
      </c>
    </row>
    <row r="107" spans="1:3" x14ac:dyDescent="0.25">
      <c r="A107" s="1" t="s">
        <v>6874</v>
      </c>
      <c r="B107" s="1" t="s">
        <v>16378</v>
      </c>
      <c r="C107" s="3">
        <f>IF(B107="","",SUMIFS('Factory Costs'!$C:$C,'Factory Costs'!$A:$A,"Frame",'Factory Costs'!$B:$B,B107))</f>
        <v>52</v>
      </c>
    </row>
    <row r="108" spans="1:3" x14ac:dyDescent="0.25">
      <c r="A108" s="1" t="s">
        <v>6877</v>
      </c>
      <c r="B108" s="1" t="s">
        <v>16377</v>
      </c>
      <c r="C108" s="3">
        <f>IF(B108="","",SUMIFS('Factory Costs'!$C:$C,'Factory Costs'!$A:$A,"Frame",'Factory Costs'!$B:$B,B108))</f>
        <v>39</v>
      </c>
    </row>
    <row r="109" spans="1:3" x14ac:dyDescent="0.25">
      <c r="A109" s="1" t="s">
        <v>6880</v>
      </c>
      <c r="B109" s="1" t="s">
        <v>16377</v>
      </c>
      <c r="C109" s="3">
        <f>IF(B109="","",SUMIFS('Factory Costs'!$C:$C,'Factory Costs'!$A:$A,"Frame",'Factory Costs'!$B:$B,B109))</f>
        <v>39</v>
      </c>
    </row>
    <row r="110" spans="1:3" x14ac:dyDescent="0.25">
      <c r="A110" s="1" t="s">
        <v>6883</v>
      </c>
      <c r="B110" s="1" t="s">
        <v>16377</v>
      </c>
      <c r="C110" s="3">
        <f>IF(B110="","",SUMIFS('Factory Costs'!$C:$C,'Factory Costs'!$A:$A,"Frame",'Factory Costs'!$B:$B,B110))</f>
        <v>39</v>
      </c>
    </row>
    <row r="111" spans="1:3" x14ac:dyDescent="0.25">
      <c r="A111" s="1" t="s">
        <v>6886</v>
      </c>
      <c r="B111" s="1" t="s">
        <v>16379</v>
      </c>
      <c r="C111" s="3">
        <f>IF(B111="","",SUMIFS('Factory Costs'!$C:$C,'Factory Costs'!$A:$A,"Frame",'Factory Costs'!$B:$B,B111))</f>
        <v>45</v>
      </c>
    </row>
    <row r="112" spans="1:3" x14ac:dyDescent="0.25">
      <c r="A112" s="1" t="s">
        <v>6889</v>
      </c>
      <c r="B112" s="1" t="s">
        <v>16379</v>
      </c>
      <c r="C112" s="3">
        <f>IF(B112="","",SUMIFS('Factory Costs'!$C:$C,'Factory Costs'!$A:$A,"Frame",'Factory Costs'!$B:$B,B112))</f>
        <v>45</v>
      </c>
    </row>
    <row r="113" spans="1:3" x14ac:dyDescent="0.25">
      <c r="A113" s="1" t="s">
        <v>6892</v>
      </c>
      <c r="B113" s="1" t="s">
        <v>16377</v>
      </c>
      <c r="C113" s="3">
        <f>IF(B113="","",SUMIFS('Factory Costs'!$C:$C,'Factory Costs'!$A:$A,"Frame",'Factory Costs'!$B:$B,B113))</f>
        <v>39</v>
      </c>
    </row>
    <row r="114" spans="1:3" x14ac:dyDescent="0.25">
      <c r="A114" s="1" t="s">
        <v>6895</v>
      </c>
      <c r="B114" s="1" t="s">
        <v>16377</v>
      </c>
      <c r="C114" s="3">
        <f>IF(B114="","",SUMIFS('Factory Costs'!$C:$C,'Factory Costs'!$A:$A,"Frame",'Factory Costs'!$B:$B,B114))</f>
        <v>39</v>
      </c>
    </row>
    <row r="115" spans="1:3" x14ac:dyDescent="0.25">
      <c r="A115" s="1" t="s">
        <v>6898</v>
      </c>
      <c r="B115" s="1" t="s">
        <v>16377</v>
      </c>
      <c r="C115" s="3">
        <f>IF(B115="","",SUMIFS('Factory Costs'!$C:$C,'Factory Costs'!$A:$A,"Frame",'Factory Costs'!$B:$B,B115))</f>
        <v>39</v>
      </c>
    </row>
    <row r="116" spans="1:3" x14ac:dyDescent="0.25">
      <c r="A116" s="1" t="s">
        <v>6901</v>
      </c>
      <c r="B116" s="1" t="s">
        <v>16377</v>
      </c>
      <c r="C116" s="3">
        <f>IF(B116="","",SUMIFS('Factory Costs'!$C:$C,'Factory Costs'!$A:$A,"Frame",'Factory Costs'!$B:$B,B116))</f>
        <v>39</v>
      </c>
    </row>
    <row r="117" spans="1:3" x14ac:dyDescent="0.25">
      <c r="A117" s="1" t="s">
        <v>6904</v>
      </c>
      <c r="B117" s="1" t="s">
        <v>16377</v>
      </c>
      <c r="C117" s="3">
        <f>IF(B117="","",SUMIFS('Factory Costs'!$C:$C,'Factory Costs'!$A:$A,"Frame",'Factory Costs'!$B:$B,B117))</f>
        <v>39</v>
      </c>
    </row>
    <row r="118" spans="1:3" x14ac:dyDescent="0.25">
      <c r="A118" s="1" t="s">
        <v>6907</v>
      </c>
      <c r="B118" s="1" t="s">
        <v>16377</v>
      </c>
      <c r="C118" s="3">
        <f>IF(B118="","",SUMIFS('Factory Costs'!$C:$C,'Factory Costs'!$A:$A,"Frame",'Factory Costs'!$B:$B,B118))</f>
        <v>39</v>
      </c>
    </row>
    <row r="119" spans="1:3" x14ac:dyDescent="0.25">
      <c r="A119" s="1" t="s">
        <v>6910</v>
      </c>
      <c r="B119" s="1" t="s">
        <v>16378</v>
      </c>
      <c r="C119" s="3">
        <f>IF(B119="","",SUMIFS('Factory Costs'!$C:$C,'Factory Costs'!$A:$A,"Frame",'Factory Costs'!$B:$B,B119))</f>
        <v>52</v>
      </c>
    </row>
    <row r="120" spans="1:3" x14ac:dyDescent="0.25">
      <c r="A120" s="1" t="s">
        <v>6913</v>
      </c>
      <c r="B120" s="1" t="s">
        <v>16377</v>
      </c>
      <c r="C120" s="3">
        <f>IF(B120="","",SUMIFS('Factory Costs'!$C:$C,'Factory Costs'!$A:$A,"Frame",'Factory Costs'!$B:$B,B120))</f>
        <v>39</v>
      </c>
    </row>
    <row r="121" spans="1:3" x14ac:dyDescent="0.25">
      <c r="A121" s="1" t="s">
        <v>6916</v>
      </c>
      <c r="B121" s="1" t="s">
        <v>16377</v>
      </c>
      <c r="C121" s="3">
        <f>IF(B121="","",SUMIFS('Factory Costs'!$C:$C,'Factory Costs'!$A:$A,"Frame",'Factory Costs'!$B:$B,B121))</f>
        <v>39</v>
      </c>
    </row>
    <row r="122" spans="1:3" x14ac:dyDescent="0.25">
      <c r="A122" s="1" t="s">
        <v>6919</v>
      </c>
      <c r="B122" s="1" t="s">
        <v>16378</v>
      </c>
      <c r="C122" s="3">
        <f>IF(B122="","",SUMIFS('Factory Costs'!$C:$C,'Factory Costs'!$A:$A,"Frame",'Factory Costs'!$B:$B,B122))</f>
        <v>52</v>
      </c>
    </row>
    <row r="123" spans="1:3" x14ac:dyDescent="0.25">
      <c r="A123" s="1" t="s">
        <v>6922</v>
      </c>
      <c r="B123" s="1" t="s">
        <v>16379</v>
      </c>
      <c r="C123" s="3">
        <f>IF(B123="","",SUMIFS('Factory Costs'!$C:$C,'Factory Costs'!$A:$A,"Frame",'Factory Costs'!$B:$B,B123))</f>
        <v>45</v>
      </c>
    </row>
    <row r="124" spans="1:3" x14ac:dyDescent="0.25">
      <c r="A124" s="1" t="s">
        <v>6925</v>
      </c>
      <c r="B124" s="1" t="s">
        <v>16377</v>
      </c>
      <c r="C124" s="3">
        <f>IF(B124="","",SUMIFS('Factory Costs'!$C:$C,'Factory Costs'!$A:$A,"Frame",'Factory Costs'!$B:$B,B124))</f>
        <v>39</v>
      </c>
    </row>
    <row r="125" spans="1:3" x14ac:dyDescent="0.25">
      <c r="A125" s="1" t="s">
        <v>6928</v>
      </c>
      <c r="B125" s="1" t="s">
        <v>16379</v>
      </c>
      <c r="C125" s="3">
        <f>IF(B125="","",SUMIFS('Factory Costs'!$C:$C,'Factory Costs'!$A:$A,"Frame",'Factory Costs'!$B:$B,B125))</f>
        <v>45</v>
      </c>
    </row>
    <row r="126" spans="1:3" x14ac:dyDescent="0.25">
      <c r="A126" s="1" t="s">
        <v>6931</v>
      </c>
      <c r="B126" s="1" t="s">
        <v>16379</v>
      </c>
      <c r="C126" s="3">
        <f>IF(B126="","",SUMIFS('Factory Costs'!$C:$C,'Factory Costs'!$A:$A,"Frame",'Factory Costs'!$B:$B,B126))</f>
        <v>45</v>
      </c>
    </row>
    <row r="127" spans="1:3" x14ac:dyDescent="0.25">
      <c r="A127" s="1" t="s">
        <v>6934</v>
      </c>
      <c r="B127" s="1" t="s">
        <v>16379</v>
      </c>
      <c r="C127" s="3">
        <f>IF(B127="","",SUMIFS('Factory Costs'!$C:$C,'Factory Costs'!$A:$A,"Frame",'Factory Costs'!$B:$B,B127))</f>
        <v>45</v>
      </c>
    </row>
    <row r="128" spans="1:3" x14ac:dyDescent="0.25">
      <c r="A128" s="1" t="s">
        <v>6937</v>
      </c>
      <c r="B128" s="1" t="s">
        <v>16377</v>
      </c>
      <c r="C128" s="3">
        <f>IF(B128="","",SUMIFS('Factory Costs'!$C:$C,'Factory Costs'!$A:$A,"Frame",'Factory Costs'!$B:$B,B128))</f>
        <v>39</v>
      </c>
    </row>
    <row r="129" spans="1:3" x14ac:dyDescent="0.25">
      <c r="A129" s="1" t="s">
        <v>6940</v>
      </c>
      <c r="B129" s="1" t="s">
        <v>16379</v>
      </c>
      <c r="C129" s="3">
        <f>IF(B129="","",SUMIFS('Factory Costs'!$C:$C,'Factory Costs'!$A:$A,"Frame",'Factory Costs'!$B:$B,B129))</f>
        <v>45</v>
      </c>
    </row>
    <row r="130" spans="1:3" x14ac:dyDescent="0.25">
      <c r="A130" s="1" t="s">
        <v>6943</v>
      </c>
      <c r="B130" s="1" t="s">
        <v>16377</v>
      </c>
      <c r="C130" s="3">
        <f>IF(B130="","",SUMIFS('Factory Costs'!$C:$C,'Factory Costs'!$A:$A,"Frame",'Factory Costs'!$B:$B,B130))</f>
        <v>39</v>
      </c>
    </row>
    <row r="131" spans="1:3" x14ac:dyDescent="0.25">
      <c r="A131" s="1" t="s">
        <v>6946</v>
      </c>
      <c r="B131" s="1" t="s">
        <v>16377</v>
      </c>
      <c r="C131" s="3">
        <f>IF(B131="","",SUMIFS('Factory Costs'!$C:$C,'Factory Costs'!$A:$A,"Frame",'Factory Costs'!$B:$B,B131))</f>
        <v>39</v>
      </c>
    </row>
    <row r="132" spans="1:3" x14ac:dyDescent="0.25">
      <c r="A132" s="1" t="s">
        <v>6949</v>
      </c>
      <c r="B132" s="1" t="s">
        <v>16377</v>
      </c>
      <c r="C132" s="3">
        <f>IF(B132="","",SUMIFS('Factory Costs'!$C:$C,'Factory Costs'!$A:$A,"Frame",'Factory Costs'!$B:$B,B132))</f>
        <v>39</v>
      </c>
    </row>
    <row r="133" spans="1:3" x14ac:dyDescent="0.25">
      <c r="A133" s="1" t="s">
        <v>6952</v>
      </c>
      <c r="B133" s="1" t="s">
        <v>16378</v>
      </c>
      <c r="C133" s="3">
        <f>IF(B133="","",SUMIFS('Factory Costs'!$C:$C,'Factory Costs'!$A:$A,"Frame",'Factory Costs'!$B:$B,B133))</f>
        <v>52</v>
      </c>
    </row>
    <row r="134" spans="1:3" x14ac:dyDescent="0.25">
      <c r="A134" s="1" t="s">
        <v>6955</v>
      </c>
      <c r="B134" s="1" t="s">
        <v>16378</v>
      </c>
      <c r="C134" s="3">
        <f>IF(B134="","",SUMIFS('Factory Costs'!$C:$C,'Factory Costs'!$A:$A,"Frame",'Factory Costs'!$B:$B,B134))</f>
        <v>52</v>
      </c>
    </row>
    <row r="135" spans="1:3" x14ac:dyDescent="0.25">
      <c r="A135" s="1" t="s">
        <v>6958</v>
      </c>
      <c r="B135" s="1" t="s">
        <v>16378</v>
      </c>
      <c r="C135" s="3">
        <f>IF(B135="","",SUMIFS('Factory Costs'!$C:$C,'Factory Costs'!$A:$A,"Frame",'Factory Costs'!$B:$B,B135))</f>
        <v>52</v>
      </c>
    </row>
    <row r="136" spans="1:3" x14ac:dyDescent="0.25">
      <c r="A136" s="1" t="s">
        <v>6961</v>
      </c>
      <c r="B136" s="1" t="s">
        <v>16377</v>
      </c>
      <c r="C136" s="3">
        <f>IF(B136="","",SUMIFS('Factory Costs'!$C:$C,'Factory Costs'!$A:$A,"Frame",'Factory Costs'!$B:$B,B136))</f>
        <v>39</v>
      </c>
    </row>
    <row r="137" spans="1:3" x14ac:dyDescent="0.25">
      <c r="A137" s="1" t="s">
        <v>6964</v>
      </c>
      <c r="B137" s="1" t="s">
        <v>16379</v>
      </c>
      <c r="C137" s="3">
        <f>IF(B137="","",SUMIFS('Factory Costs'!$C:$C,'Factory Costs'!$A:$A,"Frame",'Factory Costs'!$B:$B,B137))</f>
        <v>45</v>
      </c>
    </row>
    <row r="138" spans="1:3" x14ac:dyDescent="0.25">
      <c r="A138" s="1" t="s">
        <v>6967</v>
      </c>
      <c r="B138" s="1" t="s">
        <v>16379</v>
      </c>
      <c r="C138" s="3">
        <f>IF(B138="","",SUMIFS('Factory Costs'!$C:$C,'Factory Costs'!$A:$A,"Frame",'Factory Costs'!$B:$B,B138))</f>
        <v>45</v>
      </c>
    </row>
    <row r="139" spans="1:3" x14ac:dyDescent="0.25">
      <c r="A139" s="1" t="s">
        <v>6970</v>
      </c>
      <c r="B139" s="1" t="s">
        <v>16377</v>
      </c>
      <c r="C139" s="3">
        <f>IF(B139="","",SUMIFS('Factory Costs'!$C:$C,'Factory Costs'!$A:$A,"Frame",'Factory Costs'!$B:$B,B139))</f>
        <v>39</v>
      </c>
    </row>
    <row r="140" spans="1:3" x14ac:dyDescent="0.25">
      <c r="A140" s="1" t="s">
        <v>6973</v>
      </c>
      <c r="B140" s="1" t="s">
        <v>16378</v>
      </c>
      <c r="C140" s="3">
        <f>IF(B140="","",SUMIFS('Factory Costs'!$C:$C,'Factory Costs'!$A:$A,"Frame",'Factory Costs'!$B:$B,B140))</f>
        <v>52</v>
      </c>
    </row>
    <row r="141" spans="1:3" x14ac:dyDescent="0.25">
      <c r="A141" s="1" t="s">
        <v>6976</v>
      </c>
      <c r="B141" s="1" t="s">
        <v>16379</v>
      </c>
      <c r="C141" s="3">
        <f>IF(B141="","",SUMIFS('Factory Costs'!$C:$C,'Factory Costs'!$A:$A,"Frame",'Factory Costs'!$B:$B,B141))</f>
        <v>45</v>
      </c>
    </row>
    <row r="142" spans="1:3" x14ac:dyDescent="0.25">
      <c r="A142" s="1" t="s">
        <v>6979</v>
      </c>
      <c r="B142" s="1" t="s">
        <v>16377</v>
      </c>
      <c r="C142" s="3">
        <f>IF(B142="","",SUMIFS('Factory Costs'!$C:$C,'Factory Costs'!$A:$A,"Frame",'Factory Costs'!$B:$B,B142))</f>
        <v>39</v>
      </c>
    </row>
    <row r="143" spans="1:3" x14ac:dyDescent="0.25">
      <c r="A143" s="1" t="s">
        <v>6982</v>
      </c>
      <c r="B143" s="1" t="s">
        <v>16378</v>
      </c>
      <c r="C143" s="3">
        <f>IF(B143="","",SUMIFS('Factory Costs'!$C:$C,'Factory Costs'!$A:$A,"Frame",'Factory Costs'!$B:$B,B143))</f>
        <v>52</v>
      </c>
    </row>
    <row r="144" spans="1:3" x14ac:dyDescent="0.25">
      <c r="A144" s="1" t="s">
        <v>6985</v>
      </c>
      <c r="B144" s="1" t="s">
        <v>16378</v>
      </c>
      <c r="C144" s="3">
        <f>IF(B144="","",SUMIFS('Factory Costs'!$C:$C,'Factory Costs'!$A:$A,"Frame",'Factory Costs'!$B:$B,B144))</f>
        <v>52</v>
      </c>
    </row>
    <row r="145" spans="1:3" x14ac:dyDescent="0.25">
      <c r="A145" s="1" t="s">
        <v>6988</v>
      </c>
      <c r="B145" s="1" t="s">
        <v>16377</v>
      </c>
      <c r="C145" s="3">
        <f>IF(B145="","",SUMIFS('Factory Costs'!$C:$C,'Factory Costs'!$A:$A,"Frame",'Factory Costs'!$B:$B,B145))</f>
        <v>39</v>
      </c>
    </row>
    <row r="146" spans="1:3" x14ac:dyDescent="0.25">
      <c r="A146" s="1" t="s">
        <v>6991</v>
      </c>
      <c r="B146" s="1" t="s">
        <v>16377</v>
      </c>
      <c r="C146" s="3">
        <f>IF(B146="","",SUMIFS('Factory Costs'!$C:$C,'Factory Costs'!$A:$A,"Frame",'Factory Costs'!$B:$B,B146))</f>
        <v>39</v>
      </c>
    </row>
    <row r="147" spans="1:3" x14ac:dyDescent="0.25">
      <c r="A147" s="1" t="s">
        <v>6994</v>
      </c>
      <c r="B147" s="1" t="s">
        <v>16379</v>
      </c>
      <c r="C147" s="3">
        <f>IF(B147="","",SUMIFS('Factory Costs'!$C:$C,'Factory Costs'!$A:$A,"Frame",'Factory Costs'!$B:$B,B147))</f>
        <v>45</v>
      </c>
    </row>
    <row r="148" spans="1:3" x14ac:dyDescent="0.25">
      <c r="A148" s="1" t="s">
        <v>6997</v>
      </c>
      <c r="B148" s="1" t="s">
        <v>16377</v>
      </c>
      <c r="C148" s="3">
        <f>IF(B148="","",SUMIFS('Factory Costs'!$C:$C,'Factory Costs'!$A:$A,"Frame",'Factory Costs'!$B:$B,B148))</f>
        <v>39</v>
      </c>
    </row>
    <row r="149" spans="1:3" x14ac:dyDescent="0.25">
      <c r="A149" s="1" t="s">
        <v>7000</v>
      </c>
      <c r="B149" s="1" t="s">
        <v>16377</v>
      </c>
      <c r="C149" s="3">
        <f>IF(B149="","",SUMIFS('Factory Costs'!$C:$C,'Factory Costs'!$A:$A,"Frame",'Factory Costs'!$B:$B,B149))</f>
        <v>39</v>
      </c>
    </row>
    <row r="150" spans="1:3" x14ac:dyDescent="0.25">
      <c r="A150" s="1" t="s">
        <v>7003</v>
      </c>
      <c r="B150" s="1" t="s">
        <v>16377</v>
      </c>
      <c r="C150" s="3">
        <f>IF(B150="","",SUMIFS('Factory Costs'!$C:$C,'Factory Costs'!$A:$A,"Frame",'Factory Costs'!$B:$B,B150))</f>
        <v>39</v>
      </c>
    </row>
    <row r="151" spans="1:3" x14ac:dyDescent="0.25">
      <c r="A151" s="1" t="s">
        <v>7006</v>
      </c>
      <c r="B151" s="1" t="s">
        <v>16377</v>
      </c>
      <c r="C151" s="3">
        <f>IF(B151="","",SUMIFS('Factory Costs'!$C:$C,'Factory Costs'!$A:$A,"Frame",'Factory Costs'!$B:$B,B151))</f>
        <v>39</v>
      </c>
    </row>
    <row r="152" spans="1:3" x14ac:dyDescent="0.25">
      <c r="A152" s="1" t="s">
        <v>7009</v>
      </c>
      <c r="B152" s="1" t="s">
        <v>16379</v>
      </c>
      <c r="C152" s="3">
        <f>IF(B152="","",SUMIFS('Factory Costs'!$C:$C,'Factory Costs'!$A:$A,"Frame",'Factory Costs'!$B:$B,B152))</f>
        <v>45</v>
      </c>
    </row>
    <row r="153" spans="1:3" x14ac:dyDescent="0.25">
      <c r="A153" s="1" t="s">
        <v>7012</v>
      </c>
      <c r="B153" s="1" t="s">
        <v>16379</v>
      </c>
      <c r="C153" s="3">
        <f>IF(B153="","",SUMIFS('Factory Costs'!$C:$C,'Factory Costs'!$A:$A,"Frame",'Factory Costs'!$B:$B,B153))</f>
        <v>45</v>
      </c>
    </row>
    <row r="154" spans="1:3" x14ac:dyDescent="0.25">
      <c r="A154" s="1" t="s">
        <v>7015</v>
      </c>
      <c r="B154" s="1" t="s">
        <v>16377</v>
      </c>
      <c r="C154" s="3">
        <f>IF(B154="","",SUMIFS('Factory Costs'!$C:$C,'Factory Costs'!$A:$A,"Frame",'Factory Costs'!$B:$B,B154))</f>
        <v>39</v>
      </c>
    </row>
    <row r="155" spans="1:3" x14ac:dyDescent="0.25">
      <c r="A155" s="1" t="s">
        <v>7018</v>
      </c>
      <c r="B155" s="1" t="s">
        <v>16378</v>
      </c>
      <c r="C155" s="3">
        <f>IF(B155="","",SUMIFS('Factory Costs'!$C:$C,'Factory Costs'!$A:$A,"Frame",'Factory Costs'!$B:$B,B155))</f>
        <v>52</v>
      </c>
    </row>
    <row r="156" spans="1:3" x14ac:dyDescent="0.25">
      <c r="A156" s="1" t="s">
        <v>7021</v>
      </c>
      <c r="B156" s="1" t="s">
        <v>16379</v>
      </c>
      <c r="C156" s="3">
        <f>IF(B156="","",SUMIFS('Factory Costs'!$C:$C,'Factory Costs'!$A:$A,"Frame",'Factory Costs'!$B:$B,B156))</f>
        <v>45</v>
      </c>
    </row>
    <row r="157" spans="1:3" x14ac:dyDescent="0.25">
      <c r="A157" s="1" t="s">
        <v>7024</v>
      </c>
      <c r="B157" s="1" t="s">
        <v>16379</v>
      </c>
      <c r="C157" s="3">
        <f>IF(B157="","",SUMIFS('Factory Costs'!$C:$C,'Factory Costs'!$A:$A,"Frame",'Factory Costs'!$B:$B,B157))</f>
        <v>45</v>
      </c>
    </row>
    <row r="158" spans="1:3" x14ac:dyDescent="0.25">
      <c r="A158" s="1" t="s">
        <v>7027</v>
      </c>
      <c r="B158" s="1" t="s">
        <v>16377</v>
      </c>
      <c r="C158" s="3">
        <f>IF(B158="","",SUMIFS('Factory Costs'!$C:$C,'Factory Costs'!$A:$A,"Frame",'Factory Costs'!$B:$B,B158))</f>
        <v>39</v>
      </c>
    </row>
    <row r="159" spans="1:3" x14ac:dyDescent="0.25">
      <c r="A159" s="1" t="s">
        <v>7030</v>
      </c>
      <c r="B159" s="1" t="s">
        <v>16379</v>
      </c>
      <c r="C159" s="3">
        <f>IF(B159="","",SUMIFS('Factory Costs'!$C:$C,'Factory Costs'!$A:$A,"Frame",'Factory Costs'!$B:$B,B159))</f>
        <v>45</v>
      </c>
    </row>
    <row r="160" spans="1:3" x14ac:dyDescent="0.25">
      <c r="A160" s="1" t="s">
        <v>7033</v>
      </c>
      <c r="B160" s="1" t="s">
        <v>16377</v>
      </c>
      <c r="C160" s="3">
        <f>IF(B160="","",SUMIFS('Factory Costs'!$C:$C,'Factory Costs'!$A:$A,"Frame",'Factory Costs'!$B:$B,B160))</f>
        <v>39</v>
      </c>
    </row>
    <row r="161" spans="1:3" x14ac:dyDescent="0.25">
      <c r="A161" s="1" t="s">
        <v>7036</v>
      </c>
      <c r="B161" s="1" t="s">
        <v>16378</v>
      </c>
      <c r="C161" s="3">
        <f>IF(B161="","",SUMIFS('Factory Costs'!$C:$C,'Factory Costs'!$A:$A,"Frame",'Factory Costs'!$B:$B,B161))</f>
        <v>52</v>
      </c>
    </row>
    <row r="162" spans="1:3" x14ac:dyDescent="0.25">
      <c r="A162" s="1" t="s">
        <v>7039</v>
      </c>
      <c r="B162" s="1" t="s">
        <v>16378</v>
      </c>
      <c r="C162" s="3">
        <f>IF(B162="","",SUMIFS('Factory Costs'!$C:$C,'Factory Costs'!$A:$A,"Frame",'Factory Costs'!$B:$B,B162))</f>
        <v>52</v>
      </c>
    </row>
    <row r="163" spans="1:3" x14ac:dyDescent="0.25">
      <c r="A163" s="1" t="s">
        <v>7042</v>
      </c>
      <c r="B163" s="1" t="s">
        <v>16378</v>
      </c>
      <c r="C163" s="3">
        <f>IF(B163="","",SUMIFS('Factory Costs'!$C:$C,'Factory Costs'!$A:$A,"Frame",'Factory Costs'!$B:$B,B163))</f>
        <v>52</v>
      </c>
    </row>
    <row r="164" spans="1:3" x14ac:dyDescent="0.25">
      <c r="A164" s="1" t="s">
        <v>7045</v>
      </c>
      <c r="B164" s="1" t="s">
        <v>16377</v>
      </c>
      <c r="C164" s="3">
        <f>IF(B164="","",SUMIFS('Factory Costs'!$C:$C,'Factory Costs'!$A:$A,"Frame",'Factory Costs'!$B:$B,B164))</f>
        <v>39</v>
      </c>
    </row>
    <row r="165" spans="1:3" x14ac:dyDescent="0.25">
      <c r="A165" s="1" t="s">
        <v>7048</v>
      </c>
      <c r="B165" s="1" t="s">
        <v>16377</v>
      </c>
      <c r="C165" s="3">
        <f>IF(B165="","",SUMIFS('Factory Costs'!$C:$C,'Factory Costs'!$A:$A,"Frame",'Factory Costs'!$B:$B,B165))</f>
        <v>39</v>
      </c>
    </row>
    <row r="166" spans="1:3" x14ac:dyDescent="0.25">
      <c r="A166" s="1" t="s">
        <v>7051</v>
      </c>
      <c r="B166" s="1" t="s">
        <v>16377</v>
      </c>
      <c r="C166" s="3">
        <f>IF(B166="","",SUMIFS('Factory Costs'!$C:$C,'Factory Costs'!$A:$A,"Frame",'Factory Costs'!$B:$B,B166))</f>
        <v>39</v>
      </c>
    </row>
    <row r="167" spans="1:3" x14ac:dyDescent="0.25">
      <c r="A167" s="1" t="s">
        <v>7054</v>
      </c>
      <c r="B167" s="1" t="s">
        <v>16378</v>
      </c>
      <c r="C167" s="3">
        <f>IF(B167="","",SUMIFS('Factory Costs'!$C:$C,'Factory Costs'!$A:$A,"Frame",'Factory Costs'!$B:$B,B167))</f>
        <v>52</v>
      </c>
    </row>
    <row r="168" spans="1:3" x14ac:dyDescent="0.25">
      <c r="A168" s="1" t="s">
        <v>7057</v>
      </c>
      <c r="B168" s="1" t="s">
        <v>16378</v>
      </c>
      <c r="C168" s="3">
        <f>IF(B168="","",SUMIFS('Factory Costs'!$C:$C,'Factory Costs'!$A:$A,"Frame",'Factory Costs'!$B:$B,B168))</f>
        <v>52</v>
      </c>
    </row>
    <row r="169" spans="1:3" x14ac:dyDescent="0.25">
      <c r="A169" s="1" t="s">
        <v>7060</v>
      </c>
      <c r="B169" s="1" t="s">
        <v>16379</v>
      </c>
      <c r="C169" s="3">
        <f>IF(B169="","",SUMIFS('Factory Costs'!$C:$C,'Factory Costs'!$A:$A,"Frame",'Factory Costs'!$B:$B,B169))</f>
        <v>45</v>
      </c>
    </row>
    <row r="170" spans="1:3" x14ac:dyDescent="0.25">
      <c r="A170" s="1" t="s">
        <v>7063</v>
      </c>
      <c r="B170" s="1" t="s">
        <v>16377</v>
      </c>
      <c r="C170" s="3">
        <f>IF(B170="","",SUMIFS('Factory Costs'!$C:$C,'Factory Costs'!$A:$A,"Frame",'Factory Costs'!$B:$B,B170))</f>
        <v>39</v>
      </c>
    </row>
    <row r="171" spans="1:3" x14ac:dyDescent="0.25">
      <c r="A171" s="1" t="s">
        <v>7066</v>
      </c>
      <c r="B171" s="1" t="s">
        <v>16379</v>
      </c>
      <c r="C171" s="3">
        <f>IF(B171="","",SUMIFS('Factory Costs'!$C:$C,'Factory Costs'!$A:$A,"Frame",'Factory Costs'!$B:$B,B171))</f>
        <v>45</v>
      </c>
    </row>
    <row r="172" spans="1:3" x14ac:dyDescent="0.25">
      <c r="A172" s="1" t="s">
        <v>7069</v>
      </c>
      <c r="B172" s="1" t="s">
        <v>16379</v>
      </c>
      <c r="C172" s="3">
        <f>IF(B172="","",SUMIFS('Factory Costs'!$C:$C,'Factory Costs'!$A:$A,"Frame",'Factory Costs'!$B:$B,B172))</f>
        <v>45</v>
      </c>
    </row>
    <row r="173" spans="1:3" x14ac:dyDescent="0.25">
      <c r="A173" s="1" t="s">
        <v>7072</v>
      </c>
      <c r="B173" s="1" t="s">
        <v>16377</v>
      </c>
      <c r="C173" s="3">
        <f>IF(B173="","",SUMIFS('Factory Costs'!$C:$C,'Factory Costs'!$A:$A,"Frame",'Factory Costs'!$B:$B,B173))</f>
        <v>39</v>
      </c>
    </row>
    <row r="174" spans="1:3" x14ac:dyDescent="0.25">
      <c r="A174" s="1" t="s">
        <v>7075</v>
      </c>
      <c r="B174" s="1" t="s">
        <v>16378</v>
      </c>
      <c r="C174" s="3">
        <f>IF(B174="","",SUMIFS('Factory Costs'!$C:$C,'Factory Costs'!$A:$A,"Frame",'Factory Costs'!$B:$B,B174))</f>
        <v>52</v>
      </c>
    </row>
    <row r="175" spans="1:3" x14ac:dyDescent="0.25">
      <c r="A175" s="1" t="s">
        <v>7078</v>
      </c>
      <c r="B175" s="1" t="s">
        <v>16377</v>
      </c>
      <c r="C175" s="3">
        <f>IF(B175="","",SUMIFS('Factory Costs'!$C:$C,'Factory Costs'!$A:$A,"Frame",'Factory Costs'!$B:$B,B175))</f>
        <v>39</v>
      </c>
    </row>
    <row r="176" spans="1:3" x14ac:dyDescent="0.25">
      <c r="A176" s="1" t="s">
        <v>7081</v>
      </c>
      <c r="B176" s="1" t="s">
        <v>16377</v>
      </c>
      <c r="C176" s="3">
        <f>IF(B176="","",SUMIFS('Factory Costs'!$C:$C,'Factory Costs'!$A:$A,"Frame",'Factory Costs'!$B:$B,B176))</f>
        <v>39</v>
      </c>
    </row>
    <row r="177" spans="1:3" x14ac:dyDescent="0.25">
      <c r="A177" s="1" t="s">
        <v>7084</v>
      </c>
      <c r="B177" s="1" t="s">
        <v>16377</v>
      </c>
      <c r="C177" s="3">
        <f>IF(B177="","",SUMIFS('Factory Costs'!$C:$C,'Factory Costs'!$A:$A,"Frame",'Factory Costs'!$B:$B,B177))</f>
        <v>39</v>
      </c>
    </row>
    <row r="178" spans="1:3" x14ac:dyDescent="0.25">
      <c r="A178" s="1" t="s">
        <v>7087</v>
      </c>
      <c r="B178" s="1" t="s">
        <v>16377</v>
      </c>
      <c r="C178" s="3">
        <f>IF(B178="","",SUMIFS('Factory Costs'!$C:$C,'Factory Costs'!$A:$A,"Frame",'Factory Costs'!$B:$B,B178))</f>
        <v>39</v>
      </c>
    </row>
    <row r="179" spans="1:3" x14ac:dyDescent="0.25">
      <c r="A179" s="1" t="s">
        <v>7090</v>
      </c>
      <c r="B179" s="1" t="s">
        <v>16378</v>
      </c>
      <c r="C179" s="3">
        <f>IF(B179="","",SUMIFS('Factory Costs'!$C:$C,'Factory Costs'!$A:$A,"Frame",'Factory Costs'!$B:$B,B179))</f>
        <v>52</v>
      </c>
    </row>
    <row r="180" spans="1:3" x14ac:dyDescent="0.25">
      <c r="A180" s="1" t="s">
        <v>7093</v>
      </c>
      <c r="B180" s="1" t="s">
        <v>16378</v>
      </c>
      <c r="C180" s="3">
        <f>IF(B180="","",SUMIFS('Factory Costs'!$C:$C,'Factory Costs'!$A:$A,"Frame",'Factory Costs'!$B:$B,B180))</f>
        <v>52</v>
      </c>
    </row>
    <row r="181" spans="1:3" x14ac:dyDescent="0.25">
      <c r="A181" s="1" t="s">
        <v>7096</v>
      </c>
      <c r="B181" s="1" t="s">
        <v>16379</v>
      </c>
      <c r="C181" s="3">
        <f>IF(B181="","",SUMIFS('Factory Costs'!$C:$C,'Factory Costs'!$A:$A,"Frame",'Factory Costs'!$B:$B,B181))</f>
        <v>45</v>
      </c>
    </row>
    <row r="182" spans="1:3" x14ac:dyDescent="0.25">
      <c r="A182" s="1" t="s">
        <v>7099</v>
      </c>
      <c r="B182" s="1" t="s">
        <v>16377</v>
      </c>
      <c r="C182" s="3">
        <f>IF(B182="","",SUMIFS('Factory Costs'!$C:$C,'Factory Costs'!$A:$A,"Frame",'Factory Costs'!$B:$B,B182))</f>
        <v>39</v>
      </c>
    </row>
    <row r="183" spans="1:3" x14ac:dyDescent="0.25">
      <c r="A183" s="1" t="s">
        <v>7102</v>
      </c>
      <c r="B183" s="1" t="s">
        <v>16377</v>
      </c>
      <c r="C183" s="3">
        <f>IF(B183="","",SUMIFS('Factory Costs'!$C:$C,'Factory Costs'!$A:$A,"Frame",'Factory Costs'!$B:$B,B183))</f>
        <v>39</v>
      </c>
    </row>
    <row r="184" spans="1:3" x14ac:dyDescent="0.25">
      <c r="A184" s="1" t="s">
        <v>7105</v>
      </c>
      <c r="B184" s="1" t="s">
        <v>16377</v>
      </c>
      <c r="C184" s="3">
        <f>IF(B184="","",SUMIFS('Factory Costs'!$C:$C,'Factory Costs'!$A:$A,"Frame",'Factory Costs'!$B:$B,B184))</f>
        <v>39</v>
      </c>
    </row>
    <row r="185" spans="1:3" x14ac:dyDescent="0.25">
      <c r="A185" s="1" t="s">
        <v>7108</v>
      </c>
      <c r="B185" s="1" t="s">
        <v>16377</v>
      </c>
      <c r="C185" s="3">
        <f>IF(B185="","",SUMIFS('Factory Costs'!$C:$C,'Factory Costs'!$A:$A,"Frame",'Factory Costs'!$B:$B,B185))</f>
        <v>39</v>
      </c>
    </row>
    <row r="186" spans="1:3" x14ac:dyDescent="0.25">
      <c r="A186" s="1" t="s">
        <v>7111</v>
      </c>
      <c r="B186" s="1" t="s">
        <v>16377</v>
      </c>
      <c r="C186" s="3">
        <f>IF(B186="","",SUMIFS('Factory Costs'!$C:$C,'Factory Costs'!$A:$A,"Frame",'Factory Costs'!$B:$B,B186))</f>
        <v>39</v>
      </c>
    </row>
    <row r="187" spans="1:3" x14ac:dyDescent="0.25">
      <c r="A187" s="1" t="s">
        <v>7114</v>
      </c>
      <c r="B187" s="1" t="s">
        <v>16378</v>
      </c>
      <c r="C187" s="3">
        <f>IF(B187="","",SUMIFS('Factory Costs'!$C:$C,'Factory Costs'!$A:$A,"Frame",'Factory Costs'!$B:$B,B187))</f>
        <v>52</v>
      </c>
    </row>
    <row r="188" spans="1:3" x14ac:dyDescent="0.25">
      <c r="A188" s="1" t="s">
        <v>7117</v>
      </c>
      <c r="B188" s="1" t="s">
        <v>16379</v>
      </c>
      <c r="C188" s="3">
        <f>IF(B188="","",SUMIFS('Factory Costs'!$C:$C,'Factory Costs'!$A:$A,"Frame",'Factory Costs'!$B:$B,B188))</f>
        <v>45</v>
      </c>
    </row>
    <row r="189" spans="1:3" x14ac:dyDescent="0.25">
      <c r="A189" s="1" t="s">
        <v>7120</v>
      </c>
      <c r="B189" s="1" t="s">
        <v>16379</v>
      </c>
      <c r="C189" s="3">
        <f>IF(B189="","",SUMIFS('Factory Costs'!$C:$C,'Factory Costs'!$A:$A,"Frame",'Factory Costs'!$B:$B,B189))</f>
        <v>45</v>
      </c>
    </row>
    <row r="190" spans="1:3" x14ac:dyDescent="0.25">
      <c r="A190" s="1" t="s">
        <v>7123</v>
      </c>
      <c r="B190" s="1" t="s">
        <v>16378</v>
      </c>
      <c r="C190" s="3">
        <f>IF(B190="","",SUMIFS('Factory Costs'!$C:$C,'Factory Costs'!$A:$A,"Frame",'Factory Costs'!$B:$B,B190))</f>
        <v>52</v>
      </c>
    </row>
    <row r="191" spans="1:3" x14ac:dyDescent="0.25">
      <c r="A191" s="1" t="s">
        <v>7126</v>
      </c>
      <c r="B191" s="1" t="s">
        <v>16378</v>
      </c>
      <c r="C191" s="3">
        <f>IF(B191="","",SUMIFS('Factory Costs'!$C:$C,'Factory Costs'!$A:$A,"Frame",'Factory Costs'!$B:$B,B191))</f>
        <v>52</v>
      </c>
    </row>
    <row r="192" spans="1:3" x14ac:dyDescent="0.25">
      <c r="A192" s="1" t="s">
        <v>7129</v>
      </c>
      <c r="B192" s="1" t="s">
        <v>16377</v>
      </c>
      <c r="C192" s="3">
        <f>IF(B192="","",SUMIFS('Factory Costs'!$C:$C,'Factory Costs'!$A:$A,"Frame",'Factory Costs'!$B:$B,B192))</f>
        <v>39</v>
      </c>
    </row>
    <row r="193" spans="1:3" x14ac:dyDescent="0.25">
      <c r="A193" s="1" t="s">
        <v>7132</v>
      </c>
      <c r="B193" s="1" t="s">
        <v>16379</v>
      </c>
      <c r="C193" s="3">
        <f>IF(B193="","",SUMIFS('Factory Costs'!$C:$C,'Factory Costs'!$A:$A,"Frame",'Factory Costs'!$B:$B,B193))</f>
        <v>45</v>
      </c>
    </row>
    <row r="194" spans="1:3" x14ac:dyDescent="0.25">
      <c r="A194" s="1" t="s">
        <v>7135</v>
      </c>
      <c r="B194" s="1" t="s">
        <v>16379</v>
      </c>
      <c r="C194" s="3">
        <f>IF(B194="","",SUMIFS('Factory Costs'!$C:$C,'Factory Costs'!$A:$A,"Frame",'Factory Costs'!$B:$B,B194))</f>
        <v>45</v>
      </c>
    </row>
    <row r="195" spans="1:3" x14ac:dyDescent="0.25">
      <c r="A195" s="1" t="s">
        <v>7138</v>
      </c>
      <c r="B195" s="1" t="s">
        <v>16379</v>
      </c>
      <c r="C195" s="3">
        <f>IF(B195="","",SUMIFS('Factory Costs'!$C:$C,'Factory Costs'!$A:$A,"Frame",'Factory Costs'!$B:$B,B195))</f>
        <v>45</v>
      </c>
    </row>
    <row r="196" spans="1:3" x14ac:dyDescent="0.25">
      <c r="A196" s="1" t="s">
        <v>7141</v>
      </c>
      <c r="B196" s="1" t="s">
        <v>16379</v>
      </c>
      <c r="C196" s="3">
        <f>IF(B196="","",SUMIFS('Factory Costs'!$C:$C,'Factory Costs'!$A:$A,"Frame",'Factory Costs'!$B:$B,B196))</f>
        <v>45</v>
      </c>
    </row>
    <row r="197" spans="1:3" x14ac:dyDescent="0.25">
      <c r="A197" s="1" t="s">
        <v>7144</v>
      </c>
      <c r="B197" s="1" t="s">
        <v>16377</v>
      </c>
      <c r="C197" s="3">
        <f>IF(B197="","",SUMIFS('Factory Costs'!$C:$C,'Factory Costs'!$A:$A,"Frame",'Factory Costs'!$B:$B,B197))</f>
        <v>39</v>
      </c>
    </row>
    <row r="198" spans="1:3" x14ac:dyDescent="0.25">
      <c r="A198" s="1" t="s">
        <v>7147</v>
      </c>
      <c r="B198" s="1" t="s">
        <v>16379</v>
      </c>
      <c r="C198" s="3">
        <f>IF(B198="","",SUMIFS('Factory Costs'!$C:$C,'Factory Costs'!$A:$A,"Frame",'Factory Costs'!$B:$B,B198))</f>
        <v>45</v>
      </c>
    </row>
    <row r="199" spans="1:3" x14ac:dyDescent="0.25">
      <c r="A199" s="1" t="s">
        <v>7150</v>
      </c>
      <c r="B199" s="1" t="s">
        <v>16377</v>
      </c>
      <c r="C199" s="3">
        <f>IF(B199="","",SUMIFS('Factory Costs'!$C:$C,'Factory Costs'!$A:$A,"Frame",'Factory Costs'!$B:$B,B199))</f>
        <v>39</v>
      </c>
    </row>
    <row r="200" spans="1:3" x14ac:dyDescent="0.25">
      <c r="A200" s="1" t="s">
        <v>7153</v>
      </c>
      <c r="B200" s="1" t="s">
        <v>16378</v>
      </c>
      <c r="C200" s="3">
        <f>IF(B200="","",SUMIFS('Factory Costs'!$C:$C,'Factory Costs'!$A:$A,"Frame",'Factory Costs'!$B:$B,B200))</f>
        <v>52</v>
      </c>
    </row>
    <row r="201" spans="1:3" x14ac:dyDescent="0.25">
      <c r="A201" s="1" t="s">
        <v>7156</v>
      </c>
      <c r="B201" s="1" t="s">
        <v>16379</v>
      </c>
      <c r="C201" s="3">
        <f>IF(B201="","",SUMIFS('Factory Costs'!$C:$C,'Factory Costs'!$A:$A,"Frame",'Factory Costs'!$B:$B,B201))</f>
        <v>45</v>
      </c>
    </row>
    <row r="202" spans="1:3" x14ac:dyDescent="0.25">
      <c r="A202" s="1" t="s">
        <v>7159</v>
      </c>
      <c r="B202" s="1" t="s">
        <v>16378</v>
      </c>
      <c r="C202" s="3">
        <f>IF(B202="","",SUMIFS('Factory Costs'!$C:$C,'Factory Costs'!$A:$A,"Frame",'Factory Costs'!$B:$B,B202))</f>
        <v>52</v>
      </c>
    </row>
    <row r="203" spans="1:3" x14ac:dyDescent="0.25">
      <c r="A203" s="1" t="s">
        <v>7162</v>
      </c>
      <c r="B203" s="1" t="s">
        <v>16377</v>
      </c>
      <c r="C203" s="3">
        <f>IF(B203="","",SUMIFS('Factory Costs'!$C:$C,'Factory Costs'!$A:$A,"Frame",'Factory Costs'!$B:$B,B203))</f>
        <v>39</v>
      </c>
    </row>
    <row r="204" spans="1:3" x14ac:dyDescent="0.25">
      <c r="A204" s="1" t="s">
        <v>7165</v>
      </c>
      <c r="B204" s="1" t="s">
        <v>16377</v>
      </c>
      <c r="C204" s="3">
        <f>IF(B204="","",SUMIFS('Factory Costs'!$C:$C,'Factory Costs'!$A:$A,"Frame",'Factory Costs'!$B:$B,B204))</f>
        <v>39</v>
      </c>
    </row>
    <row r="205" spans="1:3" x14ac:dyDescent="0.25">
      <c r="A205" s="1" t="s">
        <v>7168</v>
      </c>
      <c r="B205" s="1" t="s">
        <v>16379</v>
      </c>
      <c r="C205" s="3">
        <f>IF(B205="","",SUMIFS('Factory Costs'!$C:$C,'Factory Costs'!$A:$A,"Frame",'Factory Costs'!$B:$B,B205))</f>
        <v>45</v>
      </c>
    </row>
    <row r="206" spans="1:3" x14ac:dyDescent="0.25">
      <c r="A206" s="1" t="s">
        <v>7171</v>
      </c>
      <c r="B206" s="1" t="s">
        <v>16377</v>
      </c>
      <c r="C206" s="3">
        <f>IF(B206="","",SUMIFS('Factory Costs'!$C:$C,'Factory Costs'!$A:$A,"Frame",'Factory Costs'!$B:$B,B206))</f>
        <v>39</v>
      </c>
    </row>
    <row r="207" spans="1:3" x14ac:dyDescent="0.25">
      <c r="A207" s="1" t="s">
        <v>7174</v>
      </c>
      <c r="B207" s="1" t="s">
        <v>16379</v>
      </c>
      <c r="C207" s="3">
        <f>IF(B207="","",SUMIFS('Factory Costs'!$C:$C,'Factory Costs'!$A:$A,"Frame",'Factory Costs'!$B:$B,B207))</f>
        <v>45</v>
      </c>
    </row>
    <row r="208" spans="1:3" x14ac:dyDescent="0.25">
      <c r="A208" s="1" t="s">
        <v>7177</v>
      </c>
      <c r="B208" s="1" t="s">
        <v>16379</v>
      </c>
      <c r="C208" s="3">
        <f>IF(B208="","",SUMIFS('Factory Costs'!$C:$C,'Factory Costs'!$A:$A,"Frame",'Factory Costs'!$B:$B,B208))</f>
        <v>45</v>
      </c>
    </row>
    <row r="209" spans="1:3" x14ac:dyDescent="0.25">
      <c r="A209" s="1" t="s">
        <v>7180</v>
      </c>
      <c r="B209" s="1" t="s">
        <v>16379</v>
      </c>
      <c r="C209" s="3">
        <f>IF(B209="","",SUMIFS('Factory Costs'!$C:$C,'Factory Costs'!$A:$A,"Frame",'Factory Costs'!$B:$B,B209))</f>
        <v>45</v>
      </c>
    </row>
    <row r="210" spans="1:3" x14ac:dyDescent="0.25">
      <c r="A210" s="1" t="s">
        <v>7183</v>
      </c>
      <c r="B210" s="1" t="s">
        <v>16378</v>
      </c>
      <c r="C210" s="3">
        <f>IF(B210="","",SUMIFS('Factory Costs'!$C:$C,'Factory Costs'!$A:$A,"Frame",'Factory Costs'!$B:$B,B210))</f>
        <v>52</v>
      </c>
    </row>
    <row r="211" spans="1:3" x14ac:dyDescent="0.25">
      <c r="A211" s="1" t="s">
        <v>7186</v>
      </c>
      <c r="B211" s="1" t="s">
        <v>16378</v>
      </c>
      <c r="C211" s="3">
        <f>IF(B211="","",SUMIFS('Factory Costs'!$C:$C,'Factory Costs'!$A:$A,"Frame",'Factory Costs'!$B:$B,B211))</f>
        <v>52</v>
      </c>
    </row>
    <row r="212" spans="1:3" x14ac:dyDescent="0.25">
      <c r="A212" s="1" t="s">
        <v>7189</v>
      </c>
      <c r="B212" s="1" t="s">
        <v>16379</v>
      </c>
      <c r="C212" s="3">
        <f>IF(B212="","",SUMIFS('Factory Costs'!$C:$C,'Factory Costs'!$A:$A,"Frame",'Factory Costs'!$B:$B,B212))</f>
        <v>45</v>
      </c>
    </row>
    <row r="213" spans="1:3" x14ac:dyDescent="0.25">
      <c r="A213" s="1" t="s">
        <v>7192</v>
      </c>
      <c r="B213" s="1" t="s">
        <v>16378</v>
      </c>
      <c r="C213" s="3">
        <f>IF(B213="","",SUMIFS('Factory Costs'!$C:$C,'Factory Costs'!$A:$A,"Frame",'Factory Costs'!$B:$B,B213))</f>
        <v>52</v>
      </c>
    </row>
    <row r="214" spans="1:3" x14ac:dyDescent="0.25">
      <c r="A214" s="1" t="s">
        <v>7195</v>
      </c>
      <c r="B214" s="1" t="s">
        <v>16379</v>
      </c>
      <c r="C214" s="3">
        <f>IF(B214="","",SUMIFS('Factory Costs'!$C:$C,'Factory Costs'!$A:$A,"Frame",'Factory Costs'!$B:$B,B214))</f>
        <v>45</v>
      </c>
    </row>
    <row r="215" spans="1:3" x14ac:dyDescent="0.25">
      <c r="A215" s="1" t="s">
        <v>7198</v>
      </c>
      <c r="B215" s="1" t="s">
        <v>16377</v>
      </c>
      <c r="C215" s="3">
        <f>IF(B215="","",SUMIFS('Factory Costs'!$C:$C,'Factory Costs'!$A:$A,"Frame",'Factory Costs'!$B:$B,B215))</f>
        <v>39</v>
      </c>
    </row>
    <row r="216" spans="1:3" x14ac:dyDescent="0.25">
      <c r="A216" s="1" t="s">
        <v>7201</v>
      </c>
      <c r="B216" s="1" t="s">
        <v>16379</v>
      </c>
      <c r="C216" s="3">
        <f>IF(B216="","",SUMIFS('Factory Costs'!$C:$C,'Factory Costs'!$A:$A,"Frame",'Factory Costs'!$B:$B,B216))</f>
        <v>45</v>
      </c>
    </row>
    <row r="217" spans="1:3" x14ac:dyDescent="0.25">
      <c r="A217" s="1" t="s">
        <v>7204</v>
      </c>
      <c r="B217" s="1" t="s">
        <v>16379</v>
      </c>
      <c r="C217" s="3">
        <f>IF(B217="","",SUMIFS('Factory Costs'!$C:$C,'Factory Costs'!$A:$A,"Frame",'Factory Costs'!$B:$B,B217))</f>
        <v>45</v>
      </c>
    </row>
    <row r="218" spans="1:3" x14ac:dyDescent="0.25">
      <c r="A218" s="1" t="s">
        <v>7207</v>
      </c>
      <c r="B218" s="1" t="s">
        <v>16379</v>
      </c>
      <c r="C218" s="3">
        <f>IF(B218="","",SUMIFS('Factory Costs'!$C:$C,'Factory Costs'!$A:$A,"Frame",'Factory Costs'!$B:$B,B218))</f>
        <v>45</v>
      </c>
    </row>
    <row r="219" spans="1:3" x14ac:dyDescent="0.25">
      <c r="A219" s="1" t="s">
        <v>7210</v>
      </c>
      <c r="B219" s="1" t="s">
        <v>16377</v>
      </c>
      <c r="C219" s="3">
        <f>IF(B219="","",SUMIFS('Factory Costs'!$C:$C,'Factory Costs'!$A:$A,"Frame",'Factory Costs'!$B:$B,B219))</f>
        <v>39</v>
      </c>
    </row>
    <row r="220" spans="1:3" x14ac:dyDescent="0.25">
      <c r="A220" s="1" t="s">
        <v>7213</v>
      </c>
      <c r="B220" s="1" t="s">
        <v>16377</v>
      </c>
      <c r="C220" s="3">
        <f>IF(B220="","",SUMIFS('Factory Costs'!$C:$C,'Factory Costs'!$A:$A,"Frame",'Factory Costs'!$B:$B,B220))</f>
        <v>39</v>
      </c>
    </row>
    <row r="221" spans="1:3" x14ac:dyDescent="0.25">
      <c r="A221" s="1" t="s">
        <v>7216</v>
      </c>
      <c r="B221" s="1" t="s">
        <v>16378</v>
      </c>
      <c r="C221" s="3">
        <f>IF(B221="","",SUMIFS('Factory Costs'!$C:$C,'Factory Costs'!$A:$A,"Frame",'Factory Costs'!$B:$B,B221))</f>
        <v>52</v>
      </c>
    </row>
    <row r="222" spans="1:3" x14ac:dyDescent="0.25">
      <c r="A222" s="1" t="s">
        <v>7219</v>
      </c>
      <c r="B222" s="1" t="s">
        <v>16378</v>
      </c>
      <c r="C222" s="3">
        <f>IF(B222="","",SUMIFS('Factory Costs'!$C:$C,'Factory Costs'!$A:$A,"Frame",'Factory Costs'!$B:$B,B222))</f>
        <v>52</v>
      </c>
    </row>
    <row r="223" spans="1:3" x14ac:dyDescent="0.25">
      <c r="A223" s="1" t="s">
        <v>7222</v>
      </c>
      <c r="B223" s="1" t="s">
        <v>16378</v>
      </c>
      <c r="C223" s="3">
        <f>IF(B223="","",SUMIFS('Factory Costs'!$C:$C,'Factory Costs'!$A:$A,"Frame",'Factory Costs'!$B:$B,B223))</f>
        <v>52</v>
      </c>
    </row>
    <row r="224" spans="1:3" x14ac:dyDescent="0.25">
      <c r="A224" s="1" t="s">
        <v>7225</v>
      </c>
      <c r="B224" s="1" t="s">
        <v>16377</v>
      </c>
      <c r="C224" s="3">
        <f>IF(B224="","",SUMIFS('Factory Costs'!$C:$C,'Factory Costs'!$A:$A,"Frame",'Factory Costs'!$B:$B,B224))</f>
        <v>39</v>
      </c>
    </row>
    <row r="225" spans="1:3" x14ac:dyDescent="0.25">
      <c r="A225" s="1" t="s">
        <v>7228</v>
      </c>
      <c r="B225" s="1" t="s">
        <v>16377</v>
      </c>
      <c r="C225" s="3">
        <f>IF(B225="","",SUMIFS('Factory Costs'!$C:$C,'Factory Costs'!$A:$A,"Frame",'Factory Costs'!$B:$B,B225))</f>
        <v>39</v>
      </c>
    </row>
    <row r="226" spans="1:3" x14ac:dyDescent="0.25">
      <c r="A226" s="1" t="s">
        <v>7231</v>
      </c>
      <c r="B226" s="1" t="s">
        <v>16378</v>
      </c>
      <c r="C226" s="3">
        <f>IF(B226="","",SUMIFS('Factory Costs'!$C:$C,'Factory Costs'!$A:$A,"Frame",'Factory Costs'!$B:$B,B226))</f>
        <v>52</v>
      </c>
    </row>
    <row r="227" spans="1:3" x14ac:dyDescent="0.25">
      <c r="A227" s="1" t="s">
        <v>7234</v>
      </c>
      <c r="B227" s="1" t="s">
        <v>16378</v>
      </c>
      <c r="C227" s="3">
        <f>IF(B227="","",SUMIFS('Factory Costs'!$C:$C,'Factory Costs'!$A:$A,"Frame",'Factory Costs'!$B:$B,B227))</f>
        <v>52</v>
      </c>
    </row>
    <row r="228" spans="1:3" x14ac:dyDescent="0.25">
      <c r="A228" s="1" t="s">
        <v>7237</v>
      </c>
      <c r="B228" s="1" t="s">
        <v>16377</v>
      </c>
      <c r="C228" s="3">
        <f>IF(B228="","",SUMIFS('Factory Costs'!$C:$C,'Factory Costs'!$A:$A,"Frame",'Factory Costs'!$B:$B,B228))</f>
        <v>39</v>
      </c>
    </row>
    <row r="229" spans="1:3" x14ac:dyDescent="0.25">
      <c r="A229" s="1" t="s">
        <v>7240</v>
      </c>
      <c r="B229" s="1" t="s">
        <v>16379</v>
      </c>
      <c r="C229" s="3">
        <f>IF(B229="","",SUMIFS('Factory Costs'!$C:$C,'Factory Costs'!$A:$A,"Frame",'Factory Costs'!$B:$B,B229))</f>
        <v>45</v>
      </c>
    </row>
    <row r="230" spans="1:3" x14ac:dyDescent="0.25">
      <c r="A230" s="1" t="s">
        <v>7243</v>
      </c>
      <c r="B230" s="1" t="s">
        <v>16377</v>
      </c>
      <c r="C230" s="3">
        <f>IF(B230="","",SUMIFS('Factory Costs'!$C:$C,'Factory Costs'!$A:$A,"Frame",'Factory Costs'!$B:$B,B230))</f>
        <v>39</v>
      </c>
    </row>
    <row r="231" spans="1:3" x14ac:dyDescent="0.25">
      <c r="A231" s="1" t="s">
        <v>7246</v>
      </c>
      <c r="B231" s="1" t="s">
        <v>16377</v>
      </c>
      <c r="C231" s="3">
        <f>IF(B231="","",SUMIFS('Factory Costs'!$C:$C,'Factory Costs'!$A:$A,"Frame",'Factory Costs'!$B:$B,B231))</f>
        <v>39</v>
      </c>
    </row>
    <row r="232" spans="1:3" x14ac:dyDescent="0.25">
      <c r="A232" s="1" t="s">
        <v>7249</v>
      </c>
      <c r="B232" s="1" t="s">
        <v>16377</v>
      </c>
      <c r="C232" s="3">
        <f>IF(B232="","",SUMIFS('Factory Costs'!$C:$C,'Factory Costs'!$A:$A,"Frame",'Factory Costs'!$B:$B,B232))</f>
        <v>39</v>
      </c>
    </row>
    <row r="233" spans="1:3" x14ac:dyDescent="0.25">
      <c r="A233" s="1" t="s">
        <v>7252</v>
      </c>
      <c r="B233" s="1" t="s">
        <v>16377</v>
      </c>
      <c r="C233" s="3">
        <f>IF(B233="","",SUMIFS('Factory Costs'!$C:$C,'Factory Costs'!$A:$A,"Frame",'Factory Costs'!$B:$B,B233))</f>
        <v>39</v>
      </c>
    </row>
    <row r="234" spans="1:3" x14ac:dyDescent="0.25">
      <c r="A234" s="1" t="s">
        <v>7255</v>
      </c>
      <c r="B234" s="1" t="s">
        <v>16377</v>
      </c>
      <c r="C234" s="3">
        <f>IF(B234="","",SUMIFS('Factory Costs'!$C:$C,'Factory Costs'!$A:$A,"Frame",'Factory Costs'!$B:$B,B234))</f>
        <v>39</v>
      </c>
    </row>
    <row r="235" spans="1:3" x14ac:dyDescent="0.25">
      <c r="A235" s="1" t="s">
        <v>7258</v>
      </c>
      <c r="B235" s="1" t="s">
        <v>16377</v>
      </c>
      <c r="C235" s="3">
        <f>IF(B235="","",SUMIFS('Factory Costs'!$C:$C,'Factory Costs'!$A:$A,"Frame",'Factory Costs'!$B:$B,B235))</f>
        <v>39</v>
      </c>
    </row>
    <row r="236" spans="1:3" x14ac:dyDescent="0.25">
      <c r="A236" s="1" t="s">
        <v>7261</v>
      </c>
      <c r="B236" s="1" t="s">
        <v>16379</v>
      </c>
      <c r="C236" s="3">
        <f>IF(B236="","",SUMIFS('Factory Costs'!$C:$C,'Factory Costs'!$A:$A,"Frame",'Factory Costs'!$B:$B,B236))</f>
        <v>45</v>
      </c>
    </row>
    <row r="237" spans="1:3" x14ac:dyDescent="0.25">
      <c r="A237" s="1" t="s">
        <v>7264</v>
      </c>
      <c r="B237" s="1" t="s">
        <v>16379</v>
      </c>
      <c r="C237" s="3">
        <f>IF(B237="","",SUMIFS('Factory Costs'!$C:$C,'Factory Costs'!$A:$A,"Frame",'Factory Costs'!$B:$B,B237))</f>
        <v>45</v>
      </c>
    </row>
    <row r="238" spans="1:3" x14ac:dyDescent="0.25">
      <c r="A238" s="1" t="s">
        <v>7267</v>
      </c>
      <c r="B238" s="1" t="s">
        <v>16377</v>
      </c>
      <c r="C238" s="3">
        <f>IF(B238="","",SUMIFS('Factory Costs'!$C:$C,'Factory Costs'!$A:$A,"Frame",'Factory Costs'!$B:$B,B238))</f>
        <v>39</v>
      </c>
    </row>
    <row r="239" spans="1:3" x14ac:dyDescent="0.25">
      <c r="A239" s="1" t="s">
        <v>7270</v>
      </c>
      <c r="B239" s="1" t="s">
        <v>16379</v>
      </c>
      <c r="C239" s="3">
        <f>IF(B239="","",SUMIFS('Factory Costs'!$C:$C,'Factory Costs'!$A:$A,"Frame",'Factory Costs'!$B:$B,B239))</f>
        <v>45</v>
      </c>
    </row>
    <row r="240" spans="1:3" x14ac:dyDescent="0.25">
      <c r="A240" s="1" t="s">
        <v>7273</v>
      </c>
      <c r="B240" s="1" t="s">
        <v>16377</v>
      </c>
      <c r="C240" s="3">
        <f>IF(B240="","",SUMIFS('Factory Costs'!$C:$C,'Factory Costs'!$A:$A,"Frame",'Factory Costs'!$B:$B,B240))</f>
        <v>39</v>
      </c>
    </row>
    <row r="241" spans="1:3" x14ac:dyDescent="0.25">
      <c r="A241" s="1" t="s">
        <v>7276</v>
      </c>
      <c r="B241" s="1" t="s">
        <v>16379</v>
      </c>
      <c r="C241" s="3">
        <f>IF(B241="","",SUMIFS('Factory Costs'!$C:$C,'Factory Costs'!$A:$A,"Frame",'Factory Costs'!$B:$B,B241))</f>
        <v>45</v>
      </c>
    </row>
    <row r="242" spans="1:3" x14ac:dyDescent="0.25">
      <c r="A242" s="1" t="s">
        <v>7279</v>
      </c>
      <c r="B242" s="1" t="s">
        <v>16379</v>
      </c>
      <c r="C242" s="3">
        <f>IF(B242="","",SUMIFS('Factory Costs'!$C:$C,'Factory Costs'!$A:$A,"Frame",'Factory Costs'!$B:$B,B242))</f>
        <v>45</v>
      </c>
    </row>
    <row r="243" spans="1:3" x14ac:dyDescent="0.25">
      <c r="A243" s="1" t="s">
        <v>7282</v>
      </c>
      <c r="B243" s="1" t="s">
        <v>16377</v>
      </c>
      <c r="C243" s="3">
        <f>IF(B243="","",SUMIFS('Factory Costs'!$C:$C,'Factory Costs'!$A:$A,"Frame",'Factory Costs'!$B:$B,B243))</f>
        <v>39</v>
      </c>
    </row>
    <row r="244" spans="1:3" x14ac:dyDescent="0.25">
      <c r="A244" s="1" t="s">
        <v>7285</v>
      </c>
      <c r="B244" s="1" t="s">
        <v>16377</v>
      </c>
      <c r="C244" s="3">
        <f>IF(B244="","",SUMIFS('Factory Costs'!$C:$C,'Factory Costs'!$A:$A,"Frame",'Factory Costs'!$B:$B,B244))</f>
        <v>39</v>
      </c>
    </row>
    <row r="245" spans="1:3" x14ac:dyDescent="0.25">
      <c r="A245" s="1" t="s">
        <v>7288</v>
      </c>
      <c r="B245" s="1" t="s">
        <v>16379</v>
      </c>
      <c r="C245" s="3">
        <f>IF(B245="","",SUMIFS('Factory Costs'!$C:$C,'Factory Costs'!$A:$A,"Frame",'Factory Costs'!$B:$B,B245))</f>
        <v>45</v>
      </c>
    </row>
    <row r="246" spans="1:3" x14ac:dyDescent="0.25">
      <c r="A246" s="1" t="s">
        <v>7291</v>
      </c>
      <c r="B246" s="1" t="s">
        <v>16377</v>
      </c>
      <c r="C246" s="3">
        <f>IF(B246="","",SUMIFS('Factory Costs'!$C:$C,'Factory Costs'!$A:$A,"Frame",'Factory Costs'!$B:$B,B246))</f>
        <v>39</v>
      </c>
    </row>
    <row r="247" spans="1:3" x14ac:dyDescent="0.25">
      <c r="A247" s="1" t="s">
        <v>7294</v>
      </c>
      <c r="B247" s="1" t="s">
        <v>16377</v>
      </c>
      <c r="C247" s="3">
        <f>IF(B247="","",SUMIFS('Factory Costs'!$C:$C,'Factory Costs'!$A:$A,"Frame",'Factory Costs'!$B:$B,B247))</f>
        <v>39</v>
      </c>
    </row>
    <row r="248" spans="1:3" x14ac:dyDescent="0.25">
      <c r="A248" s="1" t="s">
        <v>7297</v>
      </c>
      <c r="B248" s="1" t="s">
        <v>16379</v>
      </c>
      <c r="C248" s="3">
        <f>IF(B248="","",SUMIFS('Factory Costs'!$C:$C,'Factory Costs'!$A:$A,"Frame",'Factory Costs'!$B:$B,B248))</f>
        <v>45</v>
      </c>
    </row>
    <row r="249" spans="1:3" x14ac:dyDescent="0.25">
      <c r="A249" s="1" t="s">
        <v>7300</v>
      </c>
      <c r="B249" s="1" t="s">
        <v>16378</v>
      </c>
      <c r="C249" s="3">
        <f>IF(B249="","",SUMIFS('Factory Costs'!$C:$C,'Factory Costs'!$A:$A,"Frame",'Factory Costs'!$B:$B,B249))</f>
        <v>52</v>
      </c>
    </row>
    <row r="250" spans="1:3" x14ac:dyDescent="0.25">
      <c r="A250" s="1" t="s">
        <v>7303</v>
      </c>
      <c r="B250" s="1" t="s">
        <v>16377</v>
      </c>
      <c r="C250" s="3">
        <f>IF(B250="","",SUMIFS('Factory Costs'!$C:$C,'Factory Costs'!$A:$A,"Frame",'Factory Costs'!$B:$B,B250))</f>
        <v>39</v>
      </c>
    </row>
    <row r="251" spans="1:3" x14ac:dyDescent="0.25">
      <c r="A251" s="1" t="s">
        <v>7306</v>
      </c>
      <c r="B251" s="1" t="s">
        <v>16378</v>
      </c>
      <c r="C251" s="3">
        <f>IF(B251="","",SUMIFS('Factory Costs'!$C:$C,'Factory Costs'!$A:$A,"Frame",'Factory Costs'!$B:$B,B251))</f>
        <v>52</v>
      </c>
    </row>
    <row r="252" spans="1:3" x14ac:dyDescent="0.25">
      <c r="A252" s="1" t="s">
        <v>7309</v>
      </c>
      <c r="B252" s="1" t="s">
        <v>16378</v>
      </c>
      <c r="C252" s="3">
        <f>IF(B252="","",SUMIFS('Factory Costs'!$C:$C,'Factory Costs'!$A:$A,"Frame",'Factory Costs'!$B:$B,B252))</f>
        <v>52</v>
      </c>
    </row>
    <row r="253" spans="1:3" x14ac:dyDescent="0.25">
      <c r="A253" s="1" t="s">
        <v>7312</v>
      </c>
      <c r="B253" s="1" t="s">
        <v>16377</v>
      </c>
      <c r="C253" s="3">
        <f>IF(B253="","",SUMIFS('Factory Costs'!$C:$C,'Factory Costs'!$A:$A,"Frame",'Factory Costs'!$B:$B,B253))</f>
        <v>39</v>
      </c>
    </row>
    <row r="254" spans="1:3" x14ac:dyDescent="0.25">
      <c r="A254" s="1" t="s">
        <v>7315</v>
      </c>
      <c r="B254" s="1" t="s">
        <v>16378</v>
      </c>
      <c r="C254" s="3">
        <f>IF(B254="","",SUMIFS('Factory Costs'!$C:$C,'Factory Costs'!$A:$A,"Frame",'Factory Costs'!$B:$B,B254))</f>
        <v>52</v>
      </c>
    </row>
    <row r="255" spans="1:3" x14ac:dyDescent="0.25">
      <c r="A255" s="1" t="s">
        <v>7318</v>
      </c>
      <c r="B255" s="1" t="s">
        <v>16378</v>
      </c>
      <c r="C255" s="3">
        <f>IF(B255="","",SUMIFS('Factory Costs'!$C:$C,'Factory Costs'!$A:$A,"Frame",'Factory Costs'!$B:$B,B255))</f>
        <v>52</v>
      </c>
    </row>
    <row r="256" spans="1:3" x14ac:dyDescent="0.25">
      <c r="A256" s="1" t="s">
        <v>7321</v>
      </c>
      <c r="B256" s="1" t="s">
        <v>16379</v>
      </c>
      <c r="C256" s="3">
        <f>IF(B256="","",SUMIFS('Factory Costs'!$C:$C,'Factory Costs'!$A:$A,"Frame",'Factory Costs'!$B:$B,B256))</f>
        <v>45</v>
      </c>
    </row>
    <row r="257" spans="1:3" x14ac:dyDescent="0.25">
      <c r="A257" s="1" t="s">
        <v>7324</v>
      </c>
      <c r="B257" s="1" t="s">
        <v>16377</v>
      </c>
      <c r="C257" s="3">
        <f>IF(B257="","",SUMIFS('Factory Costs'!$C:$C,'Factory Costs'!$A:$A,"Frame",'Factory Costs'!$B:$B,B257))</f>
        <v>39</v>
      </c>
    </row>
    <row r="258" spans="1:3" x14ac:dyDescent="0.25">
      <c r="A258" s="1" t="s">
        <v>7327</v>
      </c>
      <c r="B258" s="1" t="s">
        <v>16378</v>
      </c>
      <c r="C258" s="3">
        <f>IF(B258="","",SUMIFS('Factory Costs'!$C:$C,'Factory Costs'!$A:$A,"Frame",'Factory Costs'!$B:$B,B258))</f>
        <v>52</v>
      </c>
    </row>
    <row r="259" spans="1:3" x14ac:dyDescent="0.25">
      <c r="A259" s="1" t="s">
        <v>7330</v>
      </c>
      <c r="B259" s="1" t="s">
        <v>16378</v>
      </c>
      <c r="C259" s="3">
        <f>IF(B259="","",SUMIFS('Factory Costs'!$C:$C,'Factory Costs'!$A:$A,"Frame",'Factory Costs'!$B:$B,B259))</f>
        <v>52</v>
      </c>
    </row>
    <row r="260" spans="1:3" x14ac:dyDescent="0.25">
      <c r="A260" s="1" t="s">
        <v>7333</v>
      </c>
      <c r="B260" s="1" t="s">
        <v>16378</v>
      </c>
      <c r="C260" s="3">
        <f>IF(B260="","",SUMIFS('Factory Costs'!$C:$C,'Factory Costs'!$A:$A,"Frame",'Factory Costs'!$B:$B,B260))</f>
        <v>52</v>
      </c>
    </row>
    <row r="261" spans="1:3" x14ac:dyDescent="0.25">
      <c r="A261" s="1" t="s">
        <v>7336</v>
      </c>
      <c r="B261" s="1" t="s">
        <v>16379</v>
      </c>
      <c r="C261" s="3">
        <f>IF(B261="","",SUMIFS('Factory Costs'!$C:$C,'Factory Costs'!$A:$A,"Frame",'Factory Costs'!$B:$B,B261))</f>
        <v>45</v>
      </c>
    </row>
    <row r="262" spans="1:3" x14ac:dyDescent="0.25">
      <c r="A262" s="1" t="s">
        <v>7339</v>
      </c>
      <c r="B262" s="1" t="s">
        <v>16377</v>
      </c>
      <c r="C262" s="3">
        <f>IF(B262="","",SUMIFS('Factory Costs'!$C:$C,'Factory Costs'!$A:$A,"Frame",'Factory Costs'!$B:$B,B262))</f>
        <v>39</v>
      </c>
    </row>
    <row r="263" spans="1:3" x14ac:dyDescent="0.25">
      <c r="A263" s="1" t="s">
        <v>7342</v>
      </c>
      <c r="B263" s="1" t="s">
        <v>16377</v>
      </c>
      <c r="C263" s="3">
        <f>IF(B263="","",SUMIFS('Factory Costs'!$C:$C,'Factory Costs'!$A:$A,"Frame",'Factory Costs'!$B:$B,B263))</f>
        <v>39</v>
      </c>
    </row>
    <row r="264" spans="1:3" x14ac:dyDescent="0.25">
      <c r="A264" s="1" t="s">
        <v>7345</v>
      </c>
      <c r="B264" s="1" t="s">
        <v>16379</v>
      </c>
      <c r="C264" s="3">
        <f>IF(B264="","",SUMIFS('Factory Costs'!$C:$C,'Factory Costs'!$A:$A,"Frame",'Factory Costs'!$B:$B,B264))</f>
        <v>45</v>
      </c>
    </row>
    <row r="265" spans="1:3" x14ac:dyDescent="0.25">
      <c r="A265" s="1" t="s">
        <v>7348</v>
      </c>
      <c r="B265" s="1" t="s">
        <v>16377</v>
      </c>
      <c r="C265" s="3">
        <f>IF(B265="","",SUMIFS('Factory Costs'!$C:$C,'Factory Costs'!$A:$A,"Frame",'Factory Costs'!$B:$B,B265))</f>
        <v>39</v>
      </c>
    </row>
    <row r="266" spans="1:3" x14ac:dyDescent="0.25">
      <c r="A266" s="1" t="s">
        <v>7351</v>
      </c>
      <c r="B266" s="1" t="s">
        <v>16379</v>
      </c>
      <c r="C266" s="3">
        <f>IF(B266="","",SUMIFS('Factory Costs'!$C:$C,'Factory Costs'!$A:$A,"Frame",'Factory Costs'!$B:$B,B266))</f>
        <v>45</v>
      </c>
    </row>
    <row r="267" spans="1:3" x14ac:dyDescent="0.25">
      <c r="A267" s="1" t="s">
        <v>7354</v>
      </c>
      <c r="B267" s="1" t="s">
        <v>16377</v>
      </c>
      <c r="C267" s="3">
        <f>IF(B267="","",SUMIFS('Factory Costs'!$C:$C,'Factory Costs'!$A:$A,"Frame",'Factory Costs'!$B:$B,B267))</f>
        <v>39</v>
      </c>
    </row>
    <row r="268" spans="1:3" x14ac:dyDescent="0.25">
      <c r="A268" s="1" t="s">
        <v>7357</v>
      </c>
      <c r="B268" s="1" t="s">
        <v>16377</v>
      </c>
      <c r="C268" s="3">
        <f>IF(B268="","",SUMIFS('Factory Costs'!$C:$C,'Factory Costs'!$A:$A,"Frame",'Factory Costs'!$B:$B,B268))</f>
        <v>39</v>
      </c>
    </row>
    <row r="269" spans="1:3" x14ac:dyDescent="0.25">
      <c r="A269" s="1" t="s">
        <v>7360</v>
      </c>
      <c r="B269" s="1" t="s">
        <v>16378</v>
      </c>
      <c r="C269" s="3">
        <f>IF(B269="","",SUMIFS('Factory Costs'!$C:$C,'Factory Costs'!$A:$A,"Frame",'Factory Costs'!$B:$B,B269))</f>
        <v>52</v>
      </c>
    </row>
    <row r="270" spans="1:3" x14ac:dyDescent="0.25">
      <c r="A270" s="1" t="s">
        <v>7363</v>
      </c>
      <c r="B270" s="1" t="s">
        <v>16379</v>
      </c>
      <c r="C270" s="3">
        <f>IF(B270="","",SUMIFS('Factory Costs'!$C:$C,'Factory Costs'!$A:$A,"Frame",'Factory Costs'!$B:$B,B270))</f>
        <v>45</v>
      </c>
    </row>
    <row r="271" spans="1:3" x14ac:dyDescent="0.25">
      <c r="A271" s="1" t="s">
        <v>7366</v>
      </c>
      <c r="B271" s="1" t="s">
        <v>16379</v>
      </c>
      <c r="C271" s="3">
        <f>IF(B271="","",SUMIFS('Factory Costs'!$C:$C,'Factory Costs'!$A:$A,"Frame",'Factory Costs'!$B:$B,B271))</f>
        <v>45</v>
      </c>
    </row>
    <row r="272" spans="1:3" x14ac:dyDescent="0.25">
      <c r="A272" s="1" t="s">
        <v>7369</v>
      </c>
      <c r="B272" s="1" t="s">
        <v>16379</v>
      </c>
      <c r="C272" s="3">
        <f>IF(B272="","",SUMIFS('Factory Costs'!$C:$C,'Factory Costs'!$A:$A,"Frame",'Factory Costs'!$B:$B,B272))</f>
        <v>45</v>
      </c>
    </row>
    <row r="273" spans="1:3" x14ac:dyDescent="0.25">
      <c r="A273" s="1" t="s">
        <v>7372</v>
      </c>
      <c r="B273" s="1" t="s">
        <v>16377</v>
      </c>
      <c r="C273" s="3">
        <f>IF(B273="","",SUMIFS('Factory Costs'!$C:$C,'Factory Costs'!$A:$A,"Frame",'Factory Costs'!$B:$B,B273))</f>
        <v>39</v>
      </c>
    </row>
    <row r="274" spans="1:3" x14ac:dyDescent="0.25">
      <c r="A274" s="1" t="s">
        <v>7375</v>
      </c>
      <c r="B274" s="1" t="s">
        <v>16377</v>
      </c>
      <c r="C274" s="3">
        <f>IF(B274="","",SUMIFS('Factory Costs'!$C:$C,'Factory Costs'!$A:$A,"Frame",'Factory Costs'!$B:$B,B274))</f>
        <v>39</v>
      </c>
    </row>
    <row r="275" spans="1:3" x14ac:dyDescent="0.25">
      <c r="A275" s="1" t="s">
        <v>7378</v>
      </c>
      <c r="B275" s="1" t="s">
        <v>16377</v>
      </c>
      <c r="C275" s="3">
        <f>IF(B275="","",SUMIFS('Factory Costs'!$C:$C,'Factory Costs'!$A:$A,"Frame",'Factory Costs'!$B:$B,B275))</f>
        <v>39</v>
      </c>
    </row>
    <row r="276" spans="1:3" x14ac:dyDescent="0.25">
      <c r="A276" s="1" t="s">
        <v>7381</v>
      </c>
      <c r="B276" s="1" t="s">
        <v>16379</v>
      </c>
      <c r="C276" s="3">
        <f>IF(B276="","",SUMIFS('Factory Costs'!$C:$C,'Factory Costs'!$A:$A,"Frame",'Factory Costs'!$B:$B,B276))</f>
        <v>45</v>
      </c>
    </row>
    <row r="277" spans="1:3" x14ac:dyDescent="0.25">
      <c r="A277" s="1" t="s">
        <v>7384</v>
      </c>
      <c r="B277" s="1" t="s">
        <v>16378</v>
      </c>
      <c r="C277" s="3">
        <f>IF(B277="","",SUMIFS('Factory Costs'!$C:$C,'Factory Costs'!$A:$A,"Frame",'Factory Costs'!$B:$B,B277))</f>
        <v>52</v>
      </c>
    </row>
    <row r="278" spans="1:3" x14ac:dyDescent="0.25">
      <c r="A278" s="1" t="s">
        <v>7387</v>
      </c>
      <c r="B278" s="1" t="s">
        <v>16377</v>
      </c>
      <c r="C278" s="3">
        <f>IF(B278="","",SUMIFS('Factory Costs'!$C:$C,'Factory Costs'!$A:$A,"Frame",'Factory Costs'!$B:$B,B278))</f>
        <v>39</v>
      </c>
    </row>
    <row r="279" spans="1:3" x14ac:dyDescent="0.25">
      <c r="A279" s="1" t="s">
        <v>7390</v>
      </c>
      <c r="B279" s="1" t="s">
        <v>16378</v>
      </c>
      <c r="C279" s="3">
        <f>IF(B279="","",SUMIFS('Factory Costs'!$C:$C,'Factory Costs'!$A:$A,"Frame",'Factory Costs'!$B:$B,B279))</f>
        <v>52</v>
      </c>
    </row>
    <row r="280" spans="1:3" x14ac:dyDescent="0.25">
      <c r="A280" s="1" t="s">
        <v>7393</v>
      </c>
      <c r="B280" s="1" t="s">
        <v>16379</v>
      </c>
      <c r="C280" s="3">
        <f>IF(B280="","",SUMIFS('Factory Costs'!$C:$C,'Factory Costs'!$A:$A,"Frame",'Factory Costs'!$B:$B,B280))</f>
        <v>45</v>
      </c>
    </row>
    <row r="281" spans="1:3" x14ac:dyDescent="0.25">
      <c r="A281" s="1" t="s">
        <v>7396</v>
      </c>
      <c r="B281" s="1" t="s">
        <v>16377</v>
      </c>
      <c r="C281" s="3">
        <f>IF(B281="","",SUMIFS('Factory Costs'!$C:$C,'Factory Costs'!$A:$A,"Frame",'Factory Costs'!$B:$B,B281))</f>
        <v>39</v>
      </c>
    </row>
    <row r="282" spans="1:3" x14ac:dyDescent="0.25">
      <c r="A282" s="1" t="s">
        <v>7399</v>
      </c>
      <c r="B282" s="1" t="s">
        <v>16377</v>
      </c>
      <c r="C282" s="3">
        <f>IF(B282="","",SUMIFS('Factory Costs'!$C:$C,'Factory Costs'!$A:$A,"Frame",'Factory Costs'!$B:$B,B282))</f>
        <v>39</v>
      </c>
    </row>
    <row r="283" spans="1:3" x14ac:dyDescent="0.25">
      <c r="A283" s="1" t="s">
        <v>7402</v>
      </c>
      <c r="B283" s="1" t="s">
        <v>16377</v>
      </c>
      <c r="C283" s="3">
        <f>IF(B283="","",SUMIFS('Factory Costs'!$C:$C,'Factory Costs'!$A:$A,"Frame",'Factory Costs'!$B:$B,B283))</f>
        <v>39</v>
      </c>
    </row>
    <row r="284" spans="1:3" x14ac:dyDescent="0.25">
      <c r="A284" s="1" t="s">
        <v>7405</v>
      </c>
      <c r="B284" s="1" t="s">
        <v>16379</v>
      </c>
      <c r="C284" s="3">
        <f>IF(B284="","",SUMIFS('Factory Costs'!$C:$C,'Factory Costs'!$A:$A,"Frame",'Factory Costs'!$B:$B,B284))</f>
        <v>45</v>
      </c>
    </row>
    <row r="285" spans="1:3" x14ac:dyDescent="0.25">
      <c r="A285" s="1" t="s">
        <v>7408</v>
      </c>
      <c r="B285" s="1" t="s">
        <v>16377</v>
      </c>
      <c r="C285" s="3">
        <f>IF(B285="","",SUMIFS('Factory Costs'!$C:$C,'Factory Costs'!$A:$A,"Frame",'Factory Costs'!$B:$B,B285))</f>
        <v>39</v>
      </c>
    </row>
    <row r="286" spans="1:3" x14ac:dyDescent="0.25">
      <c r="A286" s="1" t="s">
        <v>7411</v>
      </c>
      <c r="B286" s="1" t="s">
        <v>16378</v>
      </c>
      <c r="C286" s="3">
        <f>IF(B286="","",SUMIFS('Factory Costs'!$C:$C,'Factory Costs'!$A:$A,"Frame",'Factory Costs'!$B:$B,B286))</f>
        <v>52</v>
      </c>
    </row>
    <row r="287" spans="1:3" x14ac:dyDescent="0.25">
      <c r="A287" s="1" t="s">
        <v>7414</v>
      </c>
      <c r="B287" s="1" t="s">
        <v>16377</v>
      </c>
      <c r="C287" s="3">
        <f>IF(B287="","",SUMIFS('Factory Costs'!$C:$C,'Factory Costs'!$A:$A,"Frame",'Factory Costs'!$B:$B,B287))</f>
        <v>39</v>
      </c>
    </row>
    <row r="288" spans="1:3" x14ac:dyDescent="0.25">
      <c r="A288" s="1" t="s">
        <v>7417</v>
      </c>
      <c r="B288" s="1" t="s">
        <v>16377</v>
      </c>
      <c r="C288" s="3">
        <f>IF(B288="","",SUMIFS('Factory Costs'!$C:$C,'Factory Costs'!$A:$A,"Frame",'Factory Costs'!$B:$B,B288))</f>
        <v>39</v>
      </c>
    </row>
    <row r="289" spans="1:3" x14ac:dyDescent="0.25">
      <c r="A289" s="1" t="s">
        <v>7420</v>
      </c>
      <c r="B289" s="1" t="s">
        <v>16378</v>
      </c>
      <c r="C289" s="3">
        <f>IF(B289="","",SUMIFS('Factory Costs'!$C:$C,'Factory Costs'!$A:$A,"Frame",'Factory Costs'!$B:$B,B289))</f>
        <v>52</v>
      </c>
    </row>
    <row r="290" spans="1:3" x14ac:dyDescent="0.25">
      <c r="A290" s="1" t="s">
        <v>7423</v>
      </c>
      <c r="B290" s="1" t="s">
        <v>16379</v>
      </c>
      <c r="C290" s="3">
        <f>IF(B290="","",SUMIFS('Factory Costs'!$C:$C,'Factory Costs'!$A:$A,"Frame",'Factory Costs'!$B:$B,B290))</f>
        <v>45</v>
      </c>
    </row>
    <row r="291" spans="1:3" x14ac:dyDescent="0.25">
      <c r="A291" s="1" t="s">
        <v>7426</v>
      </c>
      <c r="B291" s="1" t="s">
        <v>16377</v>
      </c>
      <c r="C291" s="3">
        <f>IF(B291="","",SUMIFS('Factory Costs'!$C:$C,'Factory Costs'!$A:$A,"Frame",'Factory Costs'!$B:$B,B291))</f>
        <v>39</v>
      </c>
    </row>
    <row r="292" spans="1:3" x14ac:dyDescent="0.25">
      <c r="A292" s="1" t="s">
        <v>7429</v>
      </c>
      <c r="B292" s="1" t="s">
        <v>16378</v>
      </c>
      <c r="C292" s="3">
        <f>IF(B292="","",SUMIFS('Factory Costs'!$C:$C,'Factory Costs'!$A:$A,"Frame",'Factory Costs'!$B:$B,B292))</f>
        <v>52</v>
      </c>
    </row>
    <row r="293" spans="1:3" x14ac:dyDescent="0.25">
      <c r="A293" s="1" t="s">
        <v>7432</v>
      </c>
      <c r="B293" s="1" t="s">
        <v>16379</v>
      </c>
      <c r="C293" s="3">
        <f>IF(B293="","",SUMIFS('Factory Costs'!$C:$C,'Factory Costs'!$A:$A,"Frame",'Factory Costs'!$B:$B,B293))</f>
        <v>45</v>
      </c>
    </row>
    <row r="294" spans="1:3" x14ac:dyDescent="0.25">
      <c r="A294" s="1" t="s">
        <v>7435</v>
      </c>
      <c r="B294" s="1" t="s">
        <v>16377</v>
      </c>
      <c r="C294" s="3">
        <f>IF(B294="","",SUMIFS('Factory Costs'!$C:$C,'Factory Costs'!$A:$A,"Frame",'Factory Costs'!$B:$B,B294))</f>
        <v>39</v>
      </c>
    </row>
    <row r="295" spans="1:3" x14ac:dyDescent="0.25">
      <c r="A295" s="1" t="s">
        <v>7438</v>
      </c>
      <c r="B295" s="1" t="s">
        <v>16379</v>
      </c>
      <c r="C295" s="3">
        <f>IF(B295="","",SUMIFS('Factory Costs'!$C:$C,'Factory Costs'!$A:$A,"Frame",'Factory Costs'!$B:$B,B295))</f>
        <v>45</v>
      </c>
    </row>
    <row r="296" spans="1:3" x14ac:dyDescent="0.25">
      <c r="A296" s="1" t="s">
        <v>7441</v>
      </c>
      <c r="B296" s="1" t="s">
        <v>16377</v>
      </c>
      <c r="C296" s="3">
        <f>IF(B296="","",SUMIFS('Factory Costs'!$C:$C,'Factory Costs'!$A:$A,"Frame",'Factory Costs'!$B:$B,B296))</f>
        <v>39</v>
      </c>
    </row>
    <row r="297" spans="1:3" x14ac:dyDescent="0.25">
      <c r="A297" s="1" t="s">
        <v>7444</v>
      </c>
      <c r="B297" s="1" t="s">
        <v>16379</v>
      </c>
      <c r="C297" s="3">
        <f>IF(B297="","",SUMIFS('Factory Costs'!$C:$C,'Factory Costs'!$A:$A,"Frame",'Factory Costs'!$B:$B,B297))</f>
        <v>45</v>
      </c>
    </row>
    <row r="298" spans="1:3" x14ac:dyDescent="0.25">
      <c r="A298" s="1" t="s">
        <v>7447</v>
      </c>
      <c r="B298" s="1" t="s">
        <v>16378</v>
      </c>
      <c r="C298" s="3">
        <f>IF(B298="","",SUMIFS('Factory Costs'!$C:$C,'Factory Costs'!$A:$A,"Frame",'Factory Costs'!$B:$B,B298))</f>
        <v>52</v>
      </c>
    </row>
    <row r="299" spans="1:3" x14ac:dyDescent="0.25">
      <c r="A299" s="1" t="s">
        <v>7450</v>
      </c>
      <c r="B299" s="1" t="s">
        <v>16377</v>
      </c>
      <c r="C299" s="3">
        <f>IF(B299="","",SUMIFS('Factory Costs'!$C:$C,'Factory Costs'!$A:$A,"Frame",'Factory Costs'!$B:$B,B299))</f>
        <v>39</v>
      </c>
    </row>
    <row r="300" spans="1:3" x14ac:dyDescent="0.25">
      <c r="A300" s="1" t="s">
        <v>7453</v>
      </c>
      <c r="B300" s="1" t="s">
        <v>16377</v>
      </c>
      <c r="C300" s="3">
        <f>IF(B300="","",SUMIFS('Factory Costs'!$C:$C,'Factory Costs'!$A:$A,"Frame",'Factory Costs'!$B:$B,B300))</f>
        <v>39</v>
      </c>
    </row>
    <row r="301" spans="1:3" x14ac:dyDescent="0.25">
      <c r="A301" s="1" t="s">
        <v>7456</v>
      </c>
      <c r="B301" s="1" t="s">
        <v>16378</v>
      </c>
      <c r="C301" s="3">
        <f>IF(B301="","",SUMIFS('Factory Costs'!$C:$C,'Factory Costs'!$A:$A,"Frame",'Factory Costs'!$B:$B,B301))</f>
        <v>52</v>
      </c>
    </row>
    <row r="302" spans="1:3" x14ac:dyDescent="0.25">
      <c r="A302" s="1" t="s">
        <v>7459</v>
      </c>
      <c r="B302" s="1" t="s">
        <v>16378</v>
      </c>
      <c r="C302" s="3">
        <f>IF(B302="","",SUMIFS('Factory Costs'!$C:$C,'Factory Costs'!$A:$A,"Frame",'Factory Costs'!$B:$B,B302))</f>
        <v>52</v>
      </c>
    </row>
    <row r="303" spans="1:3" x14ac:dyDescent="0.25">
      <c r="A303" s="1" t="s">
        <v>7462</v>
      </c>
      <c r="B303" s="1" t="s">
        <v>16377</v>
      </c>
      <c r="C303" s="3">
        <f>IF(B303="","",SUMIFS('Factory Costs'!$C:$C,'Factory Costs'!$A:$A,"Frame",'Factory Costs'!$B:$B,B303))</f>
        <v>39</v>
      </c>
    </row>
    <row r="304" spans="1:3" x14ac:dyDescent="0.25">
      <c r="A304" s="1" t="s">
        <v>7465</v>
      </c>
      <c r="B304" s="1" t="s">
        <v>16379</v>
      </c>
      <c r="C304" s="3">
        <f>IF(B304="","",SUMIFS('Factory Costs'!$C:$C,'Factory Costs'!$A:$A,"Frame",'Factory Costs'!$B:$B,B304))</f>
        <v>45</v>
      </c>
    </row>
    <row r="305" spans="1:3" x14ac:dyDescent="0.25">
      <c r="A305" s="1" t="s">
        <v>7468</v>
      </c>
      <c r="B305" s="1" t="s">
        <v>16379</v>
      </c>
      <c r="C305" s="3">
        <f>IF(B305="","",SUMIFS('Factory Costs'!$C:$C,'Factory Costs'!$A:$A,"Frame",'Factory Costs'!$B:$B,B305))</f>
        <v>45</v>
      </c>
    </row>
    <row r="306" spans="1:3" x14ac:dyDescent="0.25">
      <c r="A306" s="1" t="s">
        <v>7471</v>
      </c>
      <c r="B306" s="1" t="s">
        <v>16377</v>
      </c>
      <c r="C306" s="3">
        <f>IF(B306="","",SUMIFS('Factory Costs'!$C:$C,'Factory Costs'!$A:$A,"Frame",'Factory Costs'!$B:$B,B306))</f>
        <v>39</v>
      </c>
    </row>
    <row r="307" spans="1:3" x14ac:dyDescent="0.25">
      <c r="A307" s="1" t="s">
        <v>7474</v>
      </c>
      <c r="B307" s="1" t="s">
        <v>16377</v>
      </c>
      <c r="C307" s="3">
        <f>IF(B307="","",SUMIFS('Factory Costs'!$C:$C,'Factory Costs'!$A:$A,"Frame",'Factory Costs'!$B:$B,B307))</f>
        <v>39</v>
      </c>
    </row>
    <row r="308" spans="1:3" x14ac:dyDescent="0.25">
      <c r="A308" s="1" t="s">
        <v>7477</v>
      </c>
      <c r="B308" s="1" t="s">
        <v>16378</v>
      </c>
      <c r="C308" s="3">
        <f>IF(B308="","",SUMIFS('Factory Costs'!$C:$C,'Factory Costs'!$A:$A,"Frame",'Factory Costs'!$B:$B,B308))</f>
        <v>52</v>
      </c>
    </row>
    <row r="309" spans="1:3" x14ac:dyDescent="0.25">
      <c r="A309" s="1" t="s">
        <v>7480</v>
      </c>
      <c r="B309" s="1" t="s">
        <v>16377</v>
      </c>
      <c r="C309" s="3">
        <f>IF(B309="","",SUMIFS('Factory Costs'!$C:$C,'Factory Costs'!$A:$A,"Frame",'Factory Costs'!$B:$B,B309))</f>
        <v>39</v>
      </c>
    </row>
    <row r="310" spans="1:3" x14ac:dyDescent="0.25">
      <c r="A310" s="1" t="s">
        <v>7483</v>
      </c>
      <c r="B310" s="1" t="s">
        <v>16378</v>
      </c>
      <c r="C310" s="3">
        <f>IF(B310="","",SUMIFS('Factory Costs'!$C:$C,'Factory Costs'!$A:$A,"Frame",'Factory Costs'!$B:$B,B310))</f>
        <v>52</v>
      </c>
    </row>
    <row r="311" spans="1:3" x14ac:dyDescent="0.25">
      <c r="A311" s="1" t="s">
        <v>7486</v>
      </c>
      <c r="B311" s="1" t="s">
        <v>16379</v>
      </c>
      <c r="C311" s="3">
        <f>IF(B311="","",SUMIFS('Factory Costs'!$C:$C,'Factory Costs'!$A:$A,"Frame",'Factory Costs'!$B:$B,B311))</f>
        <v>45</v>
      </c>
    </row>
    <row r="312" spans="1:3" x14ac:dyDescent="0.25">
      <c r="A312" s="1" t="s">
        <v>7489</v>
      </c>
      <c r="B312" s="1" t="s">
        <v>16377</v>
      </c>
      <c r="C312" s="3">
        <f>IF(B312="","",SUMIFS('Factory Costs'!$C:$C,'Factory Costs'!$A:$A,"Frame",'Factory Costs'!$B:$B,B312))</f>
        <v>39</v>
      </c>
    </row>
    <row r="313" spans="1:3" x14ac:dyDescent="0.25">
      <c r="A313" s="1" t="s">
        <v>7492</v>
      </c>
      <c r="B313" s="1" t="s">
        <v>16377</v>
      </c>
      <c r="C313" s="3">
        <f>IF(B313="","",SUMIFS('Factory Costs'!$C:$C,'Factory Costs'!$A:$A,"Frame",'Factory Costs'!$B:$B,B313))</f>
        <v>39</v>
      </c>
    </row>
    <row r="314" spans="1:3" x14ac:dyDescent="0.25">
      <c r="A314" s="1" t="s">
        <v>7495</v>
      </c>
      <c r="B314" s="1" t="s">
        <v>16379</v>
      </c>
      <c r="C314" s="3">
        <f>IF(B314="","",SUMIFS('Factory Costs'!$C:$C,'Factory Costs'!$A:$A,"Frame",'Factory Costs'!$B:$B,B314))</f>
        <v>45</v>
      </c>
    </row>
    <row r="315" spans="1:3" x14ac:dyDescent="0.25">
      <c r="A315" s="1" t="s">
        <v>7498</v>
      </c>
      <c r="B315" s="1" t="s">
        <v>16377</v>
      </c>
      <c r="C315" s="3">
        <f>IF(B315="","",SUMIFS('Factory Costs'!$C:$C,'Factory Costs'!$A:$A,"Frame",'Factory Costs'!$B:$B,B315))</f>
        <v>39</v>
      </c>
    </row>
    <row r="316" spans="1:3" x14ac:dyDescent="0.25">
      <c r="A316" s="1" t="s">
        <v>7501</v>
      </c>
      <c r="B316" s="1" t="s">
        <v>16377</v>
      </c>
      <c r="C316" s="3">
        <f>IF(B316="","",SUMIFS('Factory Costs'!$C:$C,'Factory Costs'!$A:$A,"Frame",'Factory Costs'!$B:$B,B316))</f>
        <v>39</v>
      </c>
    </row>
    <row r="317" spans="1:3" x14ac:dyDescent="0.25">
      <c r="A317" s="1" t="s">
        <v>7504</v>
      </c>
      <c r="B317" s="1" t="s">
        <v>16378</v>
      </c>
      <c r="C317" s="3">
        <f>IF(B317="","",SUMIFS('Factory Costs'!$C:$C,'Factory Costs'!$A:$A,"Frame",'Factory Costs'!$B:$B,B317))</f>
        <v>52</v>
      </c>
    </row>
    <row r="318" spans="1:3" x14ac:dyDescent="0.25">
      <c r="A318" s="1" t="s">
        <v>7507</v>
      </c>
      <c r="B318" s="1" t="s">
        <v>16377</v>
      </c>
      <c r="C318" s="3">
        <f>IF(B318="","",SUMIFS('Factory Costs'!$C:$C,'Factory Costs'!$A:$A,"Frame",'Factory Costs'!$B:$B,B318))</f>
        <v>39</v>
      </c>
    </row>
    <row r="319" spans="1:3" x14ac:dyDescent="0.25">
      <c r="A319" s="1" t="s">
        <v>7510</v>
      </c>
      <c r="B319" s="1" t="s">
        <v>16377</v>
      </c>
      <c r="C319" s="3">
        <f>IF(B319="","",SUMIFS('Factory Costs'!$C:$C,'Factory Costs'!$A:$A,"Frame",'Factory Costs'!$B:$B,B319))</f>
        <v>39</v>
      </c>
    </row>
    <row r="320" spans="1:3" x14ac:dyDescent="0.25">
      <c r="A320" s="1" t="s">
        <v>7513</v>
      </c>
      <c r="B320" s="1" t="s">
        <v>16379</v>
      </c>
      <c r="C320" s="3">
        <f>IF(B320="","",SUMIFS('Factory Costs'!$C:$C,'Factory Costs'!$A:$A,"Frame",'Factory Costs'!$B:$B,B320))</f>
        <v>45</v>
      </c>
    </row>
    <row r="321" spans="1:3" x14ac:dyDescent="0.25">
      <c r="A321" s="1" t="s">
        <v>7516</v>
      </c>
      <c r="B321" s="1" t="s">
        <v>16377</v>
      </c>
      <c r="C321" s="3">
        <f>IF(B321="","",SUMIFS('Factory Costs'!$C:$C,'Factory Costs'!$A:$A,"Frame",'Factory Costs'!$B:$B,B321))</f>
        <v>39</v>
      </c>
    </row>
    <row r="322" spans="1:3" x14ac:dyDescent="0.25">
      <c r="A322" s="1" t="s">
        <v>7519</v>
      </c>
      <c r="B322" s="1" t="s">
        <v>16379</v>
      </c>
      <c r="C322" s="3">
        <f>IF(B322="","",SUMIFS('Factory Costs'!$C:$C,'Factory Costs'!$A:$A,"Frame",'Factory Costs'!$B:$B,B322))</f>
        <v>45</v>
      </c>
    </row>
    <row r="323" spans="1:3" x14ac:dyDescent="0.25">
      <c r="A323" s="1" t="s">
        <v>7522</v>
      </c>
      <c r="B323" s="1" t="s">
        <v>16378</v>
      </c>
      <c r="C323" s="3">
        <f>IF(B323="","",SUMIFS('Factory Costs'!$C:$C,'Factory Costs'!$A:$A,"Frame",'Factory Costs'!$B:$B,B323))</f>
        <v>52</v>
      </c>
    </row>
    <row r="324" spans="1:3" x14ac:dyDescent="0.25">
      <c r="A324" s="1" t="s">
        <v>7525</v>
      </c>
      <c r="B324" s="1" t="s">
        <v>16378</v>
      </c>
      <c r="C324" s="3">
        <f>IF(B324="","",SUMIFS('Factory Costs'!$C:$C,'Factory Costs'!$A:$A,"Frame",'Factory Costs'!$B:$B,B324))</f>
        <v>52</v>
      </c>
    </row>
    <row r="325" spans="1:3" x14ac:dyDescent="0.25">
      <c r="A325" s="1" t="s">
        <v>7528</v>
      </c>
      <c r="B325" s="1" t="s">
        <v>16378</v>
      </c>
      <c r="C325" s="3">
        <f>IF(B325="","",SUMIFS('Factory Costs'!$C:$C,'Factory Costs'!$A:$A,"Frame",'Factory Costs'!$B:$B,B325))</f>
        <v>52</v>
      </c>
    </row>
    <row r="326" spans="1:3" x14ac:dyDescent="0.25">
      <c r="A326" s="1" t="s">
        <v>7531</v>
      </c>
      <c r="B326" s="1" t="s">
        <v>16379</v>
      </c>
      <c r="C326" s="3">
        <f>IF(B326="","",SUMIFS('Factory Costs'!$C:$C,'Factory Costs'!$A:$A,"Frame",'Factory Costs'!$B:$B,B326))</f>
        <v>45</v>
      </c>
    </row>
    <row r="327" spans="1:3" x14ac:dyDescent="0.25">
      <c r="A327" s="1" t="s">
        <v>7534</v>
      </c>
      <c r="B327" s="1" t="s">
        <v>16377</v>
      </c>
      <c r="C327" s="3">
        <f>IF(B327="","",SUMIFS('Factory Costs'!$C:$C,'Factory Costs'!$A:$A,"Frame",'Factory Costs'!$B:$B,B327))</f>
        <v>39</v>
      </c>
    </row>
    <row r="328" spans="1:3" x14ac:dyDescent="0.25">
      <c r="A328" s="1" t="s">
        <v>7537</v>
      </c>
      <c r="B328" s="1" t="s">
        <v>16377</v>
      </c>
      <c r="C328" s="3">
        <f>IF(B328="","",SUMIFS('Factory Costs'!$C:$C,'Factory Costs'!$A:$A,"Frame",'Factory Costs'!$B:$B,B328))</f>
        <v>39</v>
      </c>
    </row>
    <row r="329" spans="1:3" x14ac:dyDescent="0.25">
      <c r="A329" s="1" t="s">
        <v>7540</v>
      </c>
      <c r="B329" s="1" t="s">
        <v>16377</v>
      </c>
      <c r="C329" s="3">
        <f>IF(B329="","",SUMIFS('Factory Costs'!$C:$C,'Factory Costs'!$A:$A,"Frame",'Factory Costs'!$B:$B,B329))</f>
        <v>39</v>
      </c>
    </row>
    <row r="330" spans="1:3" x14ac:dyDescent="0.25">
      <c r="A330" s="1" t="s">
        <v>7543</v>
      </c>
      <c r="B330" s="1" t="s">
        <v>16377</v>
      </c>
      <c r="C330" s="3">
        <f>IF(B330="","",SUMIFS('Factory Costs'!$C:$C,'Factory Costs'!$A:$A,"Frame",'Factory Costs'!$B:$B,B330))</f>
        <v>39</v>
      </c>
    </row>
    <row r="331" spans="1:3" x14ac:dyDescent="0.25">
      <c r="A331" s="1" t="s">
        <v>7546</v>
      </c>
      <c r="B331" s="1" t="s">
        <v>16378</v>
      </c>
      <c r="C331" s="3">
        <f>IF(B331="","",SUMIFS('Factory Costs'!$C:$C,'Factory Costs'!$A:$A,"Frame",'Factory Costs'!$B:$B,B331))</f>
        <v>52</v>
      </c>
    </row>
    <row r="332" spans="1:3" x14ac:dyDescent="0.25">
      <c r="A332" s="1" t="s">
        <v>7549</v>
      </c>
      <c r="B332" s="1" t="s">
        <v>16379</v>
      </c>
      <c r="C332" s="3">
        <f>IF(B332="","",SUMIFS('Factory Costs'!$C:$C,'Factory Costs'!$A:$A,"Frame",'Factory Costs'!$B:$B,B332))</f>
        <v>45</v>
      </c>
    </row>
    <row r="333" spans="1:3" x14ac:dyDescent="0.25">
      <c r="A333" s="1" t="s">
        <v>7552</v>
      </c>
      <c r="B333" s="1" t="s">
        <v>16377</v>
      </c>
      <c r="C333" s="3">
        <f>IF(B333="","",SUMIFS('Factory Costs'!$C:$C,'Factory Costs'!$A:$A,"Frame",'Factory Costs'!$B:$B,B333))</f>
        <v>39</v>
      </c>
    </row>
    <row r="334" spans="1:3" x14ac:dyDescent="0.25">
      <c r="A334" s="1" t="s">
        <v>7555</v>
      </c>
      <c r="B334" s="1" t="s">
        <v>16378</v>
      </c>
      <c r="C334" s="3">
        <f>IF(B334="","",SUMIFS('Factory Costs'!$C:$C,'Factory Costs'!$A:$A,"Frame",'Factory Costs'!$B:$B,B334))</f>
        <v>52</v>
      </c>
    </row>
    <row r="335" spans="1:3" x14ac:dyDescent="0.25">
      <c r="A335" s="1" t="s">
        <v>7558</v>
      </c>
      <c r="B335" s="1" t="s">
        <v>16378</v>
      </c>
      <c r="C335" s="3">
        <f>IF(B335="","",SUMIFS('Factory Costs'!$C:$C,'Factory Costs'!$A:$A,"Frame",'Factory Costs'!$B:$B,B335))</f>
        <v>52</v>
      </c>
    </row>
    <row r="336" spans="1:3" x14ac:dyDescent="0.25">
      <c r="A336" s="1" t="s">
        <v>7561</v>
      </c>
      <c r="B336" s="1" t="s">
        <v>16377</v>
      </c>
      <c r="C336" s="3">
        <f>IF(B336="","",SUMIFS('Factory Costs'!$C:$C,'Factory Costs'!$A:$A,"Frame",'Factory Costs'!$B:$B,B336))</f>
        <v>39</v>
      </c>
    </row>
    <row r="337" spans="1:3" x14ac:dyDescent="0.25">
      <c r="A337" s="1" t="s">
        <v>7564</v>
      </c>
      <c r="B337" s="1" t="s">
        <v>16377</v>
      </c>
      <c r="C337" s="3">
        <f>IF(B337="","",SUMIFS('Factory Costs'!$C:$C,'Factory Costs'!$A:$A,"Frame",'Factory Costs'!$B:$B,B337))</f>
        <v>39</v>
      </c>
    </row>
    <row r="338" spans="1:3" x14ac:dyDescent="0.25">
      <c r="A338" s="1" t="s">
        <v>7567</v>
      </c>
      <c r="B338" s="1" t="s">
        <v>16377</v>
      </c>
      <c r="C338" s="3">
        <f>IF(B338="","",SUMIFS('Factory Costs'!$C:$C,'Factory Costs'!$A:$A,"Frame",'Factory Costs'!$B:$B,B338))</f>
        <v>39</v>
      </c>
    </row>
    <row r="339" spans="1:3" x14ac:dyDescent="0.25">
      <c r="A339" s="1" t="s">
        <v>7570</v>
      </c>
      <c r="B339" s="1" t="s">
        <v>16379</v>
      </c>
      <c r="C339" s="3">
        <f>IF(B339="","",SUMIFS('Factory Costs'!$C:$C,'Factory Costs'!$A:$A,"Frame",'Factory Costs'!$B:$B,B339))</f>
        <v>45</v>
      </c>
    </row>
    <row r="340" spans="1:3" x14ac:dyDescent="0.25">
      <c r="A340" s="1" t="s">
        <v>7573</v>
      </c>
      <c r="B340" s="1" t="s">
        <v>16377</v>
      </c>
      <c r="C340" s="3">
        <f>IF(B340="","",SUMIFS('Factory Costs'!$C:$C,'Factory Costs'!$A:$A,"Frame",'Factory Costs'!$B:$B,B340))</f>
        <v>39</v>
      </c>
    </row>
    <row r="341" spans="1:3" x14ac:dyDescent="0.25">
      <c r="A341" s="1" t="s">
        <v>7576</v>
      </c>
      <c r="B341" s="1" t="s">
        <v>16379</v>
      </c>
      <c r="C341" s="3">
        <f>IF(B341="","",SUMIFS('Factory Costs'!$C:$C,'Factory Costs'!$A:$A,"Frame",'Factory Costs'!$B:$B,B341))</f>
        <v>45</v>
      </c>
    </row>
    <row r="342" spans="1:3" x14ac:dyDescent="0.25">
      <c r="A342" s="1" t="s">
        <v>7579</v>
      </c>
      <c r="B342" s="1" t="s">
        <v>16377</v>
      </c>
      <c r="C342" s="3">
        <f>IF(B342="","",SUMIFS('Factory Costs'!$C:$C,'Factory Costs'!$A:$A,"Frame",'Factory Costs'!$B:$B,B342))</f>
        <v>39</v>
      </c>
    </row>
    <row r="343" spans="1:3" x14ac:dyDescent="0.25">
      <c r="A343" s="1" t="s">
        <v>7582</v>
      </c>
      <c r="B343" s="1" t="s">
        <v>16379</v>
      </c>
      <c r="C343" s="3">
        <f>IF(B343="","",SUMIFS('Factory Costs'!$C:$C,'Factory Costs'!$A:$A,"Frame",'Factory Costs'!$B:$B,B343))</f>
        <v>45</v>
      </c>
    </row>
    <row r="344" spans="1:3" x14ac:dyDescent="0.25">
      <c r="A344" s="1" t="s">
        <v>7585</v>
      </c>
      <c r="B344" s="1" t="s">
        <v>16377</v>
      </c>
      <c r="C344" s="3">
        <f>IF(B344="","",SUMIFS('Factory Costs'!$C:$C,'Factory Costs'!$A:$A,"Frame",'Factory Costs'!$B:$B,B344))</f>
        <v>39</v>
      </c>
    </row>
    <row r="345" spans="1:3" x14ac:dyDescent="0.25">
      <c r="A345" s="1" t="s">
        <v>7588</v>
      </c>
      <c r="B345" s="1" t="s">
        <v>16377</v>
      </c>
      <c r="C345" s="3">
        <f>IF(B345="","",SUMIFS('Factory Costs'!$C:$C,'Factory Costs'!$A:$A,"Frame",'Factory Costs'!$B:$B,B345))</f>
        <v>39</v>
      </c>
    </row>
    <row r="346" spans="1:3" x14ac:dyDescent="0.25">
      <c r="A346" s="1" t="s">
        <v>7591</v>
      </c>
      <c r="B346" s="1" t="s">
        <v>16378</v>
      </c>
      <c r="C346" s="3">
        <f>IF(B346="","",SUMIFS('Factory Costs'!$C:$C,'Factory Costs'!$A:$A,"Frame",'Factory Costs'!$B:$B,B346))</f>
        <v>52</v>
      </c>
    </row>
    <row r="347" spans="1:3" x14ac:dyDescent="0.25">
      <c r="A347" s="1" t="s">
        <v>7594</v>
      </c>
      <c r="B347" s="1" t="s">
        <v>16379</v>
      </c>
      <c r="C347" s="3">
        <f>IF(B347="","",SUMIFS('Factory Costs'!$C:$C,'Factory Costs'!$A:$A,"Frame",'Factory Costs'!$B:$B,B347))</f>
        <v>45</v>
      </c>
    </row>
    <row r="348" spans="1:3" x14ac:dyDescent="0.25">
      <c r="A348" s="1" t="s">
        <v>7597</v>
      </c>
      <c r="B348" s="1" t="s">
        <v>16378</v>
      </c>
      <c r="C348" s="3">
        <f>IF(B348="","",SUMIFS('Factory Costs'!$C:$C,'Factory Costs'!$A:$A,"Frame",'Factory Costs'!$B:$B,B348))</f>
        <v>52</v>
      </c>
    </row>
    <row r="349" spans="1:3" x14ac:dyDescent="0.25">
      <c r="A349" s="1" t="s">
        <v>7600</v>
      </c>
      <c r="B349" s="1" t="s">
        <v>16379</v>
      </c>
      <c r="C349" s="3">
        <f>IF(B349="","",SUMIFS('Factory Costs'!$C:$C,'Factory Costs'!$A:$A,"Frame",'Factory Costs'!$B:$B,B349))</f>
        <v>45</v>
      </c>
    </row>
    <row r="350" spans="1:3" x14ac:dyDescent="0.25">
      <c r="A350" s="1" t="s">
        <v>7603</v>
      </c>
      <c r="B350" s="1" t="s">
        <v>16377</v>
      </c>
      <c r="C350" s="3">
        <f>IF(B350="","",SUMIFS('Factory Costs'!$C:$C,'Factory Costs'!$A:$A,"Frame",'Factory Costs'!$B:$B,B350))</f>
        <v>39</v>
      </c>
    </row>
    <row r="351" spans="1:3" x14ac:dyDescent="0.25">
      <c r="A351" s="1" t="s">
        <v>7606</v>
      </c>
      <c r="B351" s="1" t="s">
        <v>16377</v>
      </c>
      <c r="C351" s="3">
        <f>IF(B351="","",SUMIFS('Factory Costs'!$C:$C,'Factory Costs'!$A:$A,"Frame",'Factory Costs'!$B:$B,B351))</f>
        <v>39</v>
      </c>
    </row>
    <row r="352" spans="1:3" x14ac:dyDescent="0.25">
      <c r="A352" s="1" t="s">
        <v>7609</v>
      </c>
      <c r="B352" s="1" t="s">
        <v>16377</v>
      </c>
      <c r="C352" s="3">
        <f>IF(B352="","",SUMIFS('Factory Costs'!$C:$C,'Factory Costs'!$A:$A,"Frame",'Factory Costs'!$B:$B,B352))</f>
        <v>39</v>
      </c>
    </row>
    <row r="353" spans="1:3" x14ac:dyDescent="0.25">
      <c r="A353" s="1" t="s">
        <v>7612</v>
      </c>
      <c r="B353" s="1" t="s">
        <v>16378</v>
      </c>
      <c r="C353" s="3">
        <f>IF(B353="","",SUMIFS('Factory Costs'!$C:$C,'Factory Costs'!$A:$A,"Frame",'Factory Costs'!$B:$B,B353))</f>
        <v>52</v>
      </c>
    </row>
    <row r="354" spans="1:3" x14ac:dyDescent="0.25">
      <c r="A354" s="1" t="s">
        <v>7615</v>
      </c>
      <c r="B354" s="1" t="s">
        <v>16379</v>
      </c>
      <c r="C354" s="3">
        <f>IF(B354="","",SUMIFS('Factory Costs'!$C:$C,'Factory Costs'!$A:$A,"Frame",'Factory Costs'!$B:$B,B354))</f>
        <v>45</v>
      </c>
    </row>
    <row r="355" spans="1:3" x14ac:dyDescent="0.25">
      <c r="A355" s="1" t="s">
        <v>7618</v>
      </c>
      <c r="B355" s="1" t="s">
        <v>16379</v>
      </c>
      <c r="C355" s="3">
        <f>IF(B355="","",SUMIFS('Factory Costs'!$C:$C,'Factory Costs'!$A:$A,"Frame",'Factory Costs'!$B:$B,B355))</f>
        <v>45</v>
      </c>
    </row>
    <row r="356" spans="1:3" x14ac:dyDescent="0.25">
      <c r="A356" s="1" t="s">
        <v>7621</v>
      </c>
      <c r="B356" s="1" t="s">
        <v>16379</v>
      </c>
      <c r="C356" s="3">
        <f>IF(B356="","",SUMIFS('Factory Costs'!$C:$C,'Factory Costs'!$A:$A,"Frame",'Factory Costs'!$B:$B,B356))</f>
        <v>45</v>
      </c>
    </row>
    <row r="357" spans="1:3" x14ac:dyDescent="0.25">
      <c r="A357" s="1" t="s">
        <v>7624</v>
      </c>
      <c r="B357" s="1" t="s">
        <v>16377</v>
      </c>
      <c r="C357" s="3">
        <f>IF(B357="","",SUMIFS('Factory Costs'!$C:$C,'Factory Costs'!$A:$A,"Frame",'Factory Costs'!$B:$B,B357))</f>
        <v>39</v>
      </c>
    </row>
    <row r="358" spans="1:3" x14ac:dyDescent="0.25">
      <c r="A358" s="1" t="s">
        <v>7627</v>
      </c>
      <c r="B358" s="1" t="s">
        <v>16377</v>
      </c>
      <c r="C358" s="3">
        <f>IF(B358="","",SUMIFS('Factory Costs'!$C:$C,'Factory Costs'!$A:$A,"Frame",'Factory Costs'!$B:$B,B358))</f>
        <v>39</v>
      </c>
    </row>
    <row r="359" spans="1:3" x14ac:dyDescent="0.25">
      <c r="A359" s="1" t="s">
        <v>7630</v>
      </c>
      <c r="B359" s="1" t="s">
        <v>16379</v>
      </c>
      <c r="C359" s="3">
        <f>IF(B359="","",SUMIFS('Factory Costs'!$C:$C,'Factory Costs'!$A:$A,"Frame",'Factory Costs'!$B:$B,B359))</f>
        <v>45</v>
      </c>
    </row>
    <row r="360" spans="1:3" x14ac:dyDescent="0.25">
      <c r="A360" s="1" t="s">
        <v>7633</v>
      </c>
      <c r="B360" s="1" t="s">
        <v>16379</v>
      </c>
      <c r="C360" s="3">
        <f>IF(B360="","",SUMIFS('Factory Costs'!$C:$C,'Factory Costs'!$A:$A,"Frame",'Factory Costs'!$B:$B,B360))</f>
        <v>45</v>
      </c>
    </row>
    <row r="361" spans="1:3" x14ac:dyDescent="0.25">
      <c r="A361" s="1" t="s">
        <v>7636</v>
      </c>
      <c r="B361" s="1" t="s">
        <v>16378</v>
      </c>
      <c r="C361" s="3">
        <f>IF(B361="","",SUMIFS('Factory Costs'!$C:$C,'Factory Costs'!$A:$A,"Frame",'Factory Costs'!$B:$B,B361))</f>
        <v>52</v>
      </c>
    </row>
    <row r="362" spans="1:3" x14ac:dyDescent="0.25">
      <c r="A362" s="1" t="s">
        <v>7639</v>
      </c>
      <c r="B362" s="1" t="s">
        <v>16378</v>
      </c>
      <c r="C362" s="3">
        <f>IF(B362="","",SUMIFS('Factory Costs'!$C:$C,'Factory Costs'!$A:$A,"Frame",'Factory Costs'!$B:$B,B362))</f>
        <v>52</v>
      </c>
    </row>
    <row r="363" spans="1:3" x14ac:dyDescent="0.25">
      <c r="A363" s="1" t="s">
        <v>7642</v>
      </c>
      <c r="B363" s="1" t="s">
        <v>16378</v>
      </c>
      <c r="C363" s="3">
        <f>IF(B363="","",SUMIFS('Factory Costs'!$C:$C,'Factory Costs'!$A:$A,"Frame",'Factory Costs'!$B:$B,B363))</f>
        <v>52</v>
      </c>
    </row>
    <row r="364" spans="1:3" x14ac:dyDescent="0.25">
      <c r="A364" s="1" t="s">
        <v>7645</v>
      </c>
      <c r="B364" s="1" t="s">
        <v>16378</v>
      </c>
      <c r="C364" s="3">
        <f>IF(B364="","",SUMIFS('Factory Costs'!$C:$C,'Factory Costs'!$A:$A,"Frame",'Factory Costs'!$B:$B,B364))</f>
        <v>52</v>
      </c>
    </row>
    <row r="365" spans="1:3" x14ac:dyDescent="0.25">
      <c r="A365" s="1" t="s">
        <v>7648</v>
      </c>
      <c r="B365" s="1" t="s">
        <v>16377</v>
      </c>
      <c r="C365" s="3">
        <f>IF(B365="","",SUMIFS('Factory Costs'!$C:$C,'Factory Costs'!$A:$A,"Frame",'Factory Costs'!$B:$B,B365))</f>
        <v>39</v>
      </c>
    </row>
    <row r="366" spans="1:3" x14ac:dyDescent="0.25">
      <c r="A366" s="1" t="s">
        <v>7651</v>
      </c>
      <c r="B366" s="1" t="s">
        <v>16377</v>
      </c>
      <c r="C366" s="3">
        <f>IF(B366="","",SUMIFS('Factory Costs'!$C:$C,'Factory Costs'!$A:$A,"Frame",'Factory Costs'!$B:$B,B366))</f>
        <v>39</v>
      </c>
    </row>
    <row r="367" spans="1:3" x14ac:dyDescent="0.25">
      <c r="A367" s="1" t="s">
        <v>7654</v>
      </c>
      <c r="B367" s="1" t="s">
        <v>16379</v>
      </c>
      <c r="C367" s="3">
        <f>IF(B367="","",SUMIFS('Factory Costs'!$C:$C,'Factory Costs'!$A:$A,"Frame",'Factory Costs'!$B:$B,B367))</f>
        <v>45</v>
      </c>
    </row>
    <row r="368" spans="1:3" x14ac:dyDescent="0.25">
      <c r="A368" s="1" t="s">
        <v>7657</v>
      </c>
      <c r="B368" s="1" t="s">
        <v>16377</v>
      </c>
      <c r="C368" s="3">
        <f>IF(B368="","",SUMIFS('Factory Costs'!$C:$C,'Factory Costs'!$A:$A,"Frame",'Factory Costs'!$B:$B,B368))</f>
        <v>39</v>
      </c>
    </row>
    <row r="369" spans="1:3" x14ac:dyDescent="0.25">
      <c r="A369" s="1" t="s">
        <v>7660</v>
      </c>
      <c r="B369" s="1" t="s">
        <v>16378</v>
      </c>
      <c r="C369" s="3">
        <f>IF(B369="","",SUMIFS('Factory Costs'!$C:$C,'Factory Costs'!$A:$A,"Frame",'Factory Costs'!$B:$B,B369))</f>
        <v>52</v>
      </c>
    </row>
    <row r="370" spans="1:3" x14ac:dyDescent="0.25">
      <c r="A370" s="1" t="s">
        <v>7663</v>
      </c>
      <c r="B370" s="1" t="s">
        <v>16379</v>
      </c>
      <c r="C370" s="3">
        <f>IF(B370="","",SUMIFS('Factory Costs'!$C:$C,'Factory Costs'!$A:$A,"Frame",'Factory Costs'!$B:$B,B370))</f>
        <v>45</v>
      </c>
    </row>
    <row r="371" spans="1:3" x14ac:dyDescent="0.25">
      <c r="A371" s="1" t="s">
        <v>7666</v>
      </c>
      <c r="B371" s="1" t="s">
        <v>16379</v>
      </c>
      <c r="C371" s="3">
        <f>IF(B371="","",SUMIFS('Factory Costs'!$C:$C,'Factory Costs'!$A:$A,"Frame",'Factory Costs'!$B:$B,B371))</f>
        <v>45</v>
      </c>
    </row>
    <row r="372" spans="1:3" x14ac:dyDescent="0.25">
      <c r="A372" s="1" t="s">
        <v>7669</v>
      </c>
      <c r="B372" s="1" t="s">
        <v>16377</v>
      </c>
      <c r="C372" s="3">
        <f>IF(B372="","",SUMIFS('Factory Costs'!$C:$C,'Factory Costs'!$A:$A,"Frame",'Factory Costs'!$B:$B,B372))</f>
        <v>39</v>
      </c>
    </row>
    <row r="373" spans="1:3" x14ac:dyDescent="0.25">
      <c r="A373" s="1" t="s">
        <v>7672</v>
      </c>
      <c r="B373" s="1" t="s">
        <v>16377</v>
      </c>
      <c r="C373" s="3">
        <f>IF(B373="","",SUMIFS('Factory Costs'!$C:$C,'Factory Costs'!$A:$A,"Frame",'Factory Costs'!$B:$B,B373))</f>
        <v>39</v>
      </c>
    </row>
    <row r="374" spans="1:3" x14ac:dyDescent="0.25">
      <c r="A374" s="1" t="s">
        <v>7675</v>
      </c>
      <c r="B374" s="1" t="s">
        <v>16379</v>
      </c>
      <c r="C374" s="3">
        <f>IF(B374="","",SUMIFS('Factory Costs'!$C:$C,'Factory Costs'!$A:$A,"Frame",'Factory Costs'!$B:$B,B374))</f>
        <v>45</v>
      </c>
    </row>
    <row r="375" spans="1:3" x14ac:dyDescent="0.25">
      <c r="A375" s="1" t="s">
        <v>7678</v>
      </c>
      <c r="B375" s="1" t="s">
        <v>16379</v>
      </c>
      <c r="C375" s="3">
        <f>IF(B375="","",SUMIFS('Factory Costs'!$C:$C,'Factory Costs'!$A:$A,"Frame",'Factory Costs'!$B:$B,B375))</f>
        <v>45</v>
      </c>
    </row>
    <row r="376" spans="1:3" x14ac:dyDescent="0.25">
      <c r="A376" s="1" t="s">
        <v>7681</v>
      </c>
      <c r="B376" s="1" t="s">
        <v>16377</v>
      </c>
      <c r="C376" s="3">
        <f>IF(B376="","",SUMIFS('Factory Costs'!$C:$C,'Factory Costs'!$A:$A,"Frame",'Factory Costs'!$B:$B,B376))</f>
        <v>39</v>
      </c>
    </row>
    <row r="377" spans="1:3" x14ac:dyDescent="0.25">
      <c r="A377" s="1" t="s">
        <v>7684</v>
      </c>
      <c r="B377" s="1" t="s">
        <v>16377</v>
      </c>
      <c r="C377" s="3">
        <f>IF(B377="","",SUMIFS('Factory Costs'!$C:$C,'Factory Costs'!$A:$A,"Frame",'Factory Costs'!$B:$B,B377))</f>
        <v>39</v>
      </c>
    </row>
    <row r="378" spans="1:3" x14ac:dyDescent="0.25">
      <c r="A378" s="1" t="s">
        <v>7687</v>
      </c>
      <c r="B378" s="1" t="s">
        <v>16379</v>
      </c>
      <c r="C378" s="3">
        <f>IF(B378="","",SUMIFS('Factory Costs'!$C:$C,'Factory Costs'!$A:$A,"Frame",'Factory Costs'!$B:$B,B378))</f>
        <v>45</v>
      </c>
    </row>
    <row r="379" spans="1:3" x14ac:dyDescent="0.25">
      <c r="A379" s="1" t="s">
        <v>7690</v>
      </c>
      <c r="B379" s="1" t="s">
        <v>16379</v>
      </c>
      <c r="C379" s="3">
        <f>IF(B379="","",SUMIFS('Factory Costs'!$C:$C,'Factory Costs'!$A:$A,"Frame",'Factory Costs'!$B:$B,B379))</f>
        <v>45</v>
      </c>
    </row>
    <row r="380" spans="1:3" x14ac:dyDescent="0.25">
      <c r="A380" s="1" t="s">
        <v>7693</v>
      </c>
      <c r="B380" s="1" t="s">
        <v>16379</v>
      </c>
      <c r="C380" s="3">
        <f>IF(B380="","",SUMIFS('Factory Costs'!$C:$C,'Factory Costs'!$A:$A,"Frame",'Factory Costs'!$B:$B,B380))</f>
        <v>45</v>
      </c>
    </row>
    <row r="381" spans="1:3" x14ac:dyDescent="0.25">
      <c r="A381" s="1" t="s">
        <v>7696</v>
      </c>
      <c r="B381" s="1" t="s">
        <v>16378</v>
      </c>
      <c r="C381" s="3">
        <f>IF(B381="","",SUMIFS('Factory Costs'!$C:$C,'Factory Costs'!$A:$A,"Frame",'Factory Costs'!$B:$B,B381))</f>
        <v>52</v>
      </c>
    </row>
    <row r="382" spans="1:3" x14ac:dyDescent="0.25">
      <c r="A382" s="1" t="s">
        <v>7699</v>
      </c>
      <c r="B382" s="1" t="s">
        <v>16378</v>
      </c>
      <c r="C382" s="3">
        <f>IF(B382="","",SUMIFS('Factory Costs'!$C:$C,'Factory Costs'!$A:$A,"Frame",'Factory Costs'!$B:$B,B382))</f>
        <v>52</v>
      </c>
    </row>
    <row r="383" spans="1:3" x14ac:dyDescent="0.25">
      <c r="A383" s="1" t="s">
        <v>7702</v>
      </c>
      <c r="B383" s="1" t="s">
        <v>16379</v>
      </c>
      <c r="C383" s="3">
        <f>IF(B383="","",SUMIFS('Factory Costs'!$C:$C,'Factory Costs'!$A:$A,"Frame",'Factory Costs'!$B:$B,B383))</f>
        <v>45</v>
      </c>
    </row>
    <row r="384" spans="1:3" x14ac:dyDescent="0.25">
      <c r="A384" s="1" t="s">
        <v>7705</v>
      </c>
      <c r="B384" s="1" t="s">
        <v>16378</v>
      </c>
      <c r="C384" s="3">
        <f>IF(B384="","",SUMIFS('Factory Costs'!$C:$C,'Factory Costs'!$A:$A,"Frame",'Factory Costs'!$B:$B,B384))</f>
        <v>52</v>
      </c>
    </row>
    <row r="385" spans="1:3" x14ac:dyDescent="0.25">
      <c r="A385" s="1" t="s">
        <v>7708</v>
      </c>
      <c r="B385" s="1" t="s">
        <v>16378</v>
      </c>
      <c r="C385" s="3">
        <f>IF(B385="","",SUMIFS('Factory Costs'!$C:$C,'Factory Costs'!$A:$A,"Frame",'Factory Costs'!$B:$B,B385))</f>
        <v>52</v>
      </c>
    </row>
    <row r="386" spans="1:3" x14ac:dyDescent="0.25">
      <c r="A386" s="1" t="s">
        <v>7711</v>
      </c>
      <c r="B386" s="1" t="s">
        <v>16379</v>
      </c>
      <c r="C386" s="3">
        <f>IF(B386="","",SUMIFS('Factory Costs'!$C:$C,'Factory Costs'!$A:$A,"Frame",'Factory Costs'!$B:$B,B386))</f>
        <v>45</v>
      </c>
    </row>
    <row r="387" spans="1:3" x14ac:dyDescent="0.25">
      <c r="A387" s="1" t="s">
        <v>7714</v>
      </c>
      <c r="B387" s="1" t="s">
        <v>16377</v>
      </c>
      <c r="C387" s="3">
        <f>IF(B387="","",SUMIFS('Factory Costs'!$C:$C,'Factory Costs'!$A:$A,"Frame",'Factory Costs'!$B:$B,B387))</f>
        <v>39</v>
      </c>
    </row>
    <row r="388" spans="1:3" x14ac:dyDescent="0.25">
      <c r="A388" s="1" t="s">
        <v>7717</v>
      </c>
      <c r="B388" s="1" t="s">
        <v>16379</v>
      </c>
      <c r="C388" s="3">
        <f>IF(B388="","",SUMIFS('Factory Costs'!$C:$C,'Factory Costs'!$A:$A,"Frame",'Factory Costs'!$B:$B,B388))</f>
        <v>45</v>
      </c>
    </row>
    <row r="389" spans="1:3" x14ac:dyDescent="0.25">
      <c r="A389" s="1" t="s">
        <v>7720</v>
      </c>
      <c r="B389" s="1" t="s">
        <v>16379</v>
      </c>
      <c r="C389" s="3">
        <f>IF(B389="","",SUMIFS('Factory Costs'!$C:$C,'Factory Costs'!$A:$A,"Frame",'Factory Costs'!$B:$B,B389))</f>
        <v>45</v>
      </c>
    </row>
    <row r="390" spans="1:3" x14ac:dyDescent="0.25">
      <c r="A390" s="1" t="s">
        <v>7723</v>
      </c>
      <c r="B390" s="1" t="s">
        <v>16378</v>
      </c>
      <c r="C390" s="3">
        <f>IF(B390="","",SUMIFS('Factory Costs'!$C:$C,'Factory Costs'!$A:$A,"Frame",'Factory Costs'!$B:$B,B390))</f>
        <v>52</v>
      </c>
    </row>
    <row r="391" spans="1:3" x14ac:dyDescent="0.25">
      <c r="A391" s="1" t="s">
        <v>7726</v>
      </c>
      <c r="B391" s="1" t="s">
        <v>16378</v>
      </c>
      <c r="C391" s="3">
        <f>IF(B391="","",SUMIFS('Factory Costs'!$C:$C,'Factory Costs'!$A:$A,"Frame",'Factory Costs'!$B:$B,B391))</f>
        <v>52</v>
      </c>
    </row>
    <row r="392" spans="1:3" x14ac:dyDescent="0.25">
      <c r="A392" s="1" t="s">
        <v>7729</v>
      </c>
      <c r="B392" s="1" t="s">
        <v>16377</v>
      </c>
      <c r="C392" s="3">
        <f>IF(B392="","",SUMIFS('Factory Costs'!$C:$C,'Factory Costs'!$A:$A,"Frame",'Factory Costs'!$B:$B,B392))</f>
        <v>39</v>
      </c>
    </row>
    <row r="393" spans="1:3" x14ac:dyDescent="0.25">
      <c r="A393" s="1" t="s">
        <v>7732</v>
      </c>
      <c r="B393" s="1" t="s">
        <v>16377</v>
      </c>
      <c r="C393" s="3">
        <f>IF(B393="","",SUMIFS('Factory Costs'!$C:$C,'Factory Costs'!$A:$A,"Frame",'Factory Costs'!$B:$B,B393))</f>
        <v>39</v>
      </c>
    </row>
    <row r="394" spans="1:3" x14ac:dyDescent="0.25">
      <c r="A394" s="1" t="s">
        <v>7735</v>
      </c>
      <c r="B394" s="1" t="s">
        <v>16378</v>
      </c>
      <c r="C394" s="3">
        <f>IF(B394="","",SUMIFS('Factory Costs'!$C:$C,'Factory Costs'!$A:$A,"Frame",'Factory Costs'!$B:$B,B394))</f>
        <v>52</v>
      </c>
    </row>
    <row r="395" spans="1:3" x14ac:dyDescent="0.25">
      <c r="A395" s="1" t="s">
        <v>7738</v>
      </c>
      <c r="B395" s="1" t="s">
        <v>16377</v>
      </c>
      <c r="C395" s="3">
        <f>IF(B395="","",SUMIFS('Factory Costs'!$C:$C,'Factory Costs'!$A:$A,"Frame",'Factory Costs'!$B:$B,B395))</f>
        <v>39</v>
      </c>
    </row>
    <row r="396" spans="1:3" x14ac:dyDescent="0.25">
      <c r="A396" s="1" t="s">
        <v>7741</v>
      </c>
      <c r="B396" s="1" t="s">
        <v>16379</v>
      </c>
      <c r="C396" s="3">
        <f>IF(B396="","",SUMIFS('Factory Costs'!$C:$C,'Factory Costs'!$A:$A,"Frame",'Factory Costs'!$B:$B,B396))</f>
        <v>45</v>
      </c>
    </row>
    <row r="397" spans="1:3" x14ac:dyDescent="0.25">
      <c r="A397" s="1" t="s">
        <v>7744</v>
      </c>
      <c r="B397" s="1" t="s">
        <v>16378</v>
      </c>
      <c r="C397" s="3">
        <f>IF(B397="","",SUMIFS('Factory Costs'!$C:$C,'Factory Costs'!$A:$A,"Frame",'Factory Costs'!$B:$B,B397))</f>
        <v>52</v>
      </c>
    </row>
    <row r="398" spans="1:3" x14ac:dyDescent="0.25">
      <c r="A398" s="1" t="s">
        <v>7747</v>
      </c>
      <c r="B398" s="1" t="s">
        <v>16378</v>
      </c>
      <c r="C398" s="3">
        <f>IF(B398="","",SUMIFS('Factory Costs'!$C:$C,'Factory Costs'!$A:$A,"Frame",'Factory Costs'!$B:$B,B398))</f>
        <v>52</v>
      </c>
    </row>
    <row r="399" spans="1:3" x14ac:dyDescent="0.25">
      <c r="A399" s="1" t="s">
        <v>7750</v>
      </c>
      <c r="B399" s="1" t="s">
        <v>16377</v>
      </c>
      <c r="C399" s="3">
        <f>IF(B399="","",SUMIFS('Factory Costs'!$C:$C,'Factory Costs'!$A:$A,"Frame",'Factory Costs'!$B:$B,B399))</f>
        <v>39</v>
      </c>
    </row>
    <row r="400" spans="1:3" x14ac:dyDescent="0.25">
      <c r="A400" s="1" t="s">
        <v>7753</v>
      </c>
      <c r="B400" s="1" t="s">
        <v>16377</v>
      </c>
      <c r="C400" s="3">
        <f>IF(B400="","",SUMIFS('Factory Costs'!$C:$C,'Factory Costs'!$A:$A,"Frame",'Factory Costs'!$B:$B,B400))</f>
        <v>39</v>
      </c>
    </row>
    <row r="401" spans="1:3" x14ac:dyDescent="0.25">
      <c r="A401" s="1" t="s">
        <v>7756</v>
      </c>
      <c r="B401" s="1" t="s">
        <v>16377</v>
      </c>
      <c r="C401" s="3">
        <f>IF(B401="","",SUMIFS('Factory Costs'!$C:$C,'Factory Costs'!$A:$A,"Frame",'Factory Costs'!$B:$B,B401))</f>
        <v>39</v>
      </c>
    </row>
    <row r="402" spans="1:3" x14ac:dyDescent="0.25">
      <c r="A402" s="1" t="s">
        <v>7759</v>
      </c>
      <c r="B402" s="1" t="s">
        <v>16379</v>
      </c>
      <c r="C402" s="3">
        <f>IF(B402="","",SUMIFS('Factory Costs'!$C:$C,'Factory Costs'!$A:$A,"Frame",'Factory Costs'!$B:$B,B402))</f>
        <v>45</v>
      </c>
    </row>
    <row r="403" spans="1:3" x14ac:dyDescent="0.25">
      <c r="A403" s="1" t="s">
        <v>7762</v>
      </c>
      <c r="B403" s="1" t="s">
        <v>16378</v>
      </c>
      <c r="C403" s="3">
        <f>IF(B403="","",SUMIFS('Factory Costs'!$C:$C,'Factory Costs'!$A:$A,"Frame",'Factory Costs'!$B:$B,B403))</f>
        <v>52</v>
      </c>
    </row>
    <row r="404" spans="1:3" x14ac:dyDescent="0.25">
      <c r="A404" s="1" t="s">
        <v>7765</v>
      </c>
      <c r="B404" s="1" t="s">
        <v>16378</v>
      </c>
      <c r="C404" s="3">
        <f>IF(B404="","",SUMIFS('Factory Costs'!$C:$C,'Factory Costs'!$A:$A,"Frame",'Factory Costs'!$B:$B,B404))</f>
        <v>52</v>
      </c>
    </row>
    <row r="405" spans="1:3" x14ac:dyDescent="0.25">
      <c r="A405" s="1" t="s">
        <v>7768</v>
      </c>
      <c r="B405" s="1" t="s">
        <v>16378</v>
      </c>
      <c r="C405" s="3">
        <f>IF(B405="","",SUMIFS('Factory Costs'!$C:$C,'Factory Costs'!$A:$A,"Frame",'Factory Costs'!$B:$B,B405))</f>
        <v>52</v>
      </c>
    </row>
    <row r="406" spans="1:3" x14ac:dyDescent="0.25">
      <c r="A406" s="1" t="s">
        <v>7771</v>
      </c>
      <c r="B406" s="1" t="s">
        <v>16379</v>
      </c>
      <c r="C406" s="3">
        <f>IF(B406="","",SUMIFS('Factory Costs'!$C:$C,'Factory Costs'!$A:$A,"Frame",'Factory Costs'!$B:$B,B406))</f>
        <v>45</v>
      </c>
    </row>
    <row r="407" spans="1:3" x14ac:dyDescent="0.25">
      <c r="A407" s="1" t="s">
        <v>7774</v>
      </c>
      <c r="B407" s="1" t="s">
        <v>16377</v>
      </c>
      <c r="C407" s="3">
        <f>IF(B407="","",SUMIFS('Factory Costs'!$C:$C,'Factory Costs'!$A:$A,"Frame",'Factory Costs'!$B:$B,B407))</f>
        <v>39</v>
      </c>
    </row>
    <row r="408" spans="1:3" x14ac:dyDescent="0.25">
      <c r="A408" s="1" t="s">
        <v>7777</v>
      </c>
      <c r="B408" s="1" t="s">
        <v>16379</v>
      </c>
      <c r="C408" s="3">
        <f>IF(B408="","",SUMIFS('Factory Costs'!$C:$C,'Factory Costs'!$A:$A,"Frame",'Factory Costs'!$B:$B,B408))</f>
        <v>45</v>
      </c>
    </row>
    <row r="409" spans="1:3" x14ac:dyDescent="0.25">
      <c r="A409" s="1" t="s">
        <v>7780</v>
      </c>
      <c r="B409" s="1" t="s">
        <v>16378</v>
      </c>
      <c r="C409" s="3">
        <f>IF(B409="","",SUMIFS('Factory Costs'!$C:$C,'Factory Costs'!$A:$A,"Frame",'Factory Costs'!$B:$B,B409))</f>
        <v>52</v>
      </c>
    </row>
    <row r="410" spans="1:3" x14ac:dyDescent="0.25">
      <c r="A410" s="1" t="s">
        <v>7783</v>
      </c>
      <c r="B410" s="1" t="s">
        <v>16378</v>
      </c>
      <c r="C410" s="3">
        <f>IF(B410="","",SUMIFS('Factory Costs'!$C:$C,'Factory Costs'!$A:$A,"Frame",'Factory Costs'!$B:$B,B410))</f>
        <v>52</v>
      </c>
    </row>
    <row r="411" spans="1:3" x14ac:dyDescent="0.25">
      <c r="A411" s="1" t="s">
        <v>7786</v>
      </c>
      <c r="B411" s="1" t="s">
        <v>16377</v>
      </c>
      <c r="C411" s="3">
        <f>IF(B411="","",SUMIFS('Factory Costs'!$C:$C,'Factory Costs'!$A:$A,"Frame",'Factory Costs'!$B:$B,B411))</f>
        <v>39</v>
      </c>
    </row>
    <row r="412" spans="1:3" x14ac:dyDescent="0.25">
      <c r="A412" s="1" t="s">
        <v>7789</v>
      </c>
      <c r="B412" s="1" t="s">
        <v>16377</v>
      </c>
      <c r="C412" s="3">
        <f>IF(B412="","",SUMIFS('Factory Costs'!$C:$C,'Factory Costs'!$A:$A,"Frame",'Factory Costs'!$B:$B,B412))</f>
        <v>39</v>
      </c>
    </row>
    <row r="413" spans="1:3" x14ac:dyDescent="0.25">
      <c r="A413" s="1" t="s">
        <v>7792</v>
      </c>
      <c r="B413" s="1" t="s">
        <v>16378</v>
      </c>
      <c r="C413" s="3">
        <f>IF(B413="","",SUMIFS('Factory Costs'!$C:$C,'Factory Costs'!$A:$A,"Frame",'Factory Costs'!$B:$B,B413))</f>
        <v>52</v>
      </c>
    </row>
    <row r="414" spans="1:3" x14ac:dyDescent="0.25">
      <c r="A414" s="1" t="s">
        <v>7795</v>
      </c>
      <c r="B414" s="1" t="s">
        <v>16379</v>
      </c>
      <c r="C414" s="3">
        <f>IF(B414="","",SUMIFS('Factory Costs'!$C:$C,'Factory Costs'!$A:$A,"Frame",'Factory Costs'!$B:$B,B414))</f>
        <v>45</v>
      </c>
    </row>
    <row r="415" spans="1:3" x14ac:dyDescent="0.25">
      <c r="A415" s="1" t="s">
        <v>7798</v>
      </c>
      <c r="B415" s="1" t="s">
        <v>16377</v>
      </c>
      <c r="C415" s="3">
        <f>IF(B415="","",SUMIFS('Factory Costs'!$C:$C,'Factory Costs'!$A:$A,"Frame",'Factory Costs'!$B:$B,B415))</f>
        <v>39</v>
      </c>
    </row>
    <row r="416" spans="1:3" x14ac:dyDescent="0.25">
      <c r="A416" s="1" t="s">
        <v>7801</v>
      </c>
      <c r="B416" s="1" t="s">
        <v>16379</v>
      </c>
      <c r="C416" s="3">
        <f>IF(B416="","",SUMIFS('Factory Costs'!$C:$C,'Factory Costs'!$A:$A,"Frame",'Factory Costs'!$B:$B,B416))</f>
        <v>45</v>
      </c>
    </row>
    <row r="417" spans="1:3" x14ac:dyDescent="0.25">
      <c r="A417" s="1" t="s">
        <v>7804</v>
      </c>
      <c r="B417" s="1" t="s">
        <v>16379</v>
      </c>
      <c r="C417" s="3">
        <f>IF(B417="","",SUMIFS('Factory Costs'!$C:$C,'Factory Costs'!$A:$A,"Frame",'Factory Costs'!$B:$B,B417))</f>
        <v>45</v>
      </c>
    </row>
    <row r="418" spans="1:3" x14ac:dyDescent="0.25">
      <c r="A418" s="1" t="s">
        <v>7807</v>
      </c>
      <c r="B418" s="1" t="s">
        <v>16379</v>
      </c>
      <c r="C418" s="3">
        <f>IF(B418="","",SUMIFS('Factory Costs'!$C:$C,'Factory Costs'!$A:$A,"Frame",'Factory Costs'!$B:$B,B418))</f>
        <v>45</v>
      </c>
    </row>
    <row r="419" spans="1:3" x14ac:dyDescent="0.25">
      <c r="A419" s="1" t="s">
        <v>7810</v>
      </c>
      <c r="B419" s="1" t="s">
        <v>16377</v>
      </c>
      <c r="C419" s="3">
        <f>IF(B419="","",SUMIFS('Factory Costs'!$C:$C,'Factory Costs'!$A:$A,"Frame",'Factory Costs'!$B:$B,B419))</f>
        <v>39</v>
      </c>
    </row>
    <row r="420" spans="1:3" x14ac:dyDescent="0.25">
      <c r="A420" s="1" t="s">
        <v>7813</v>
      </c>
      <c r="B420" s="1" t="s">
        <v>16377</v>
      </c>
      <c r="C420" s="3">
        <f>IF(B420="","",SUMIFS('Factory Costs'!$C:$C,'Factory Costs'!$A:$A,"Frame",'Factory Costs'!$B:$B,B420))</f>
        <v>39</v>
      </c>
    </row>
    <row r="421" spans="1:3" x14ac:dyDescent="0.25">
      <c r="A421" s="1" t="s">
        <v>7816</v>
      </c>
      <c r="B421" s="1" t="s">
        <v>16377</v>
      </c>
      <c r="C421" s="3">
        <f>IF(B421="","",SUMIFS('Factory Costs'!$C:$C,'Factory Costs'!$A:$A,"Frame",'Factory Costs'!$B:$B,B421))</f>
        <v>39</v>
      </c>
    </row>
    <row r="422" spans="1:3" x14ac:dyDescent="0.25">
      <c r="A422" s="1" t="s">
        <v>7819</v>
      </c>
      <c r="B422" s="1" t="s">
        <v>16377</v>
      </c>
      <c r="C422" s="3">
        <f>IF(B422="","",SUMIFS('Factory Costs'!$C:$C,'Factory Costs'!$A:$A,"Frame",'Factory Costs'!$B:$B,B422))</f>
        <v>39</v>
      </c>
    </row>
    <row r="423" spans="1:3" x14ac:dyDescent="0.25">
      <c r="A423" s="1" t="s">
        <v>7822</v>
      </c>
      <c r="B423" s="1" t="s">
        <v>16378</v>
      </c>
      <c r="C423" s="3">
        <f>IF(B423="","",SUMIFS('Factory Costs'!$C:$C,'Factory Costs'!$A:$A,"Frame",'Factory Costs'!$B:$B,B423))</f>
        <v>52</v>
      </c>
    </row>
    <row r="424" spans="1:3" x14ac:dyDescent="0.25">
      <c r="A424" s="1" t="s">
        <v>7825</v>
      </c>
      <c r="B424" s="1" t="s">
        <v>16377</v>
      </c>
      <c r="C424" s="3">
        <f>IF(B424="","",SUMIFS('Factory Costs'!$C:$C,'Factory Costs'!$A:$A,"Frame",'Factory Costs'!$B:$B,B424))</f>
        <v>39</v>
      </c>
    </row>
    <row r="425" spans="1:3" x14ac:dyDescent="0.25">
      <c r="A425" s="1" t="s">
        <v>7828</v>
      </c>
      <c r="B425" s="1" t="s">
        <v>16378</v>
      </c>
      <c r="C425" s="3">
        <f>IF(B425="","",SUMIFS('Factory Costs'!$C:$C,'Factory Costs'!$A:$A,"Frame",'Factory Costs'!$B:$B,B425))</f>
        <v>52</v>
      </c>
    </row>
    <row r="426" spans="1:3" x14ac:dyDescent="0.25">
      <c r="A426" s="1" t="s">
        <v>7831</v>
      </c>
      <c r="B426" s="1" t="s">
        <v>16379</v>
      </c>
      <c r="C426" s="3">
        <f>IF(B426="","",SUMIFS('Factory Costs'!$C:$C,'Factory Costs'!$A:$A,"Frame",'Factory Costs'!$B:$B,B426))</f>
        <v>45</v>
      </c>
    </row>
    <row r="427" spans="1:3" x14ac:dyDescent="0.25">
      <c r="A427" s="1" t="s">
        <v>7834</v>
      </c>
      <c r="B427" s="1" t="s">
        <v>16377</v>
      </c>
      <c r="C427" s="3">
        <f>IF(B427="","",SUMIFS('Factory Costs'!$C:$C,'Factory Costs'!$A:$A,"Frame",'Factory Costs'!$B:$B,B427))</f>
        <v>39</v>
      </c>
    </row>
    <row r="428" spans="1:3" x14ac:dyDescent="0.25">
      <c r="A428" s="1" t="s">
        <v>7837</v>
      </c>
      <c r="B428" s="1" t="s">
        <v>16379</v>
      </c>
      <c r="C428" s="3">
        <f>IF(B428="","",SUMIFS('Factory Costs'!$C:$C,'Factory Costs'!$A:$A,"Frame",'Factory Costs'!$B:$B,B428))</f>
        <v>45</v>
      </c>
    </row>
    <row r="429" spans="1:3" x14ac:dyDescent="0.25">
      <c r="A429" s="1" t="s">
        <v>7840</v>
      </c>
      <c r="B429" s="1" t="s">
        <v>16377</v>
      </c>
      <c r="C429" s="3">
        <f>IF(B429="","",SUMIFS('Factory Costs'!$C:$C,'Factory Costs'!$A:$A,"Frame",'Factory Costs'!$B:$B,B429))</f>
        <v>39</v>
      </c>
    </row>
    <row r="430" spans="1:3" x14ac:dyDescent="0.25">
      <c r="A430" s="1" t="s">
        <v>7843</v>
      </c>
      <c r="B430" s="1" t="s">
        <v>16379</v>
      </c>
      <c r="C430" s="3">
        <f>IF(B430="","",SUMIFS('Factory Costs'!$C:$C,'Factory Costs'!$A:$A,"Frame",'Factory Costs'!$B:$B,B430))</f>
        <v>45</v>
      </c>
    </row>
    <row r="431" spans="1:3" x14ac:dyDescent="0.25">
      <c r="A431" s="1" t="s">
        <v>7846</v>
      </c>
      <c r="B431" s="1" t="s">
        <v>16377</v>
      </c>
      <c r="C431" s="3">
        <f>IF(B431="","",SUMIFS('Factory Costs'!$C:$C,'Factory Costs'!$A:$A,"Frame",'Factory Costs'!$B:$B,B431))</f>
        <v>39</v>
      </c>
    </row>
    <row r="432" spans="1:3" x14ac:dyDescent="0.25">
      <c r="A432" s="1" t="s">
        <v>7849</v>
      </c>
      <c r="B432" s="1" t="s">
        <v>16378</v>
      </c>
      <c r="C432" s="3">
        <f>IF(B432="","",SUMIFS('Factory Costs'!$C:$C,'Factory Costs'!$A:$A,"Frame",'Factory Costs'!$B:$B,B432))</f>
        <v>52</v>
      </c>
    </row>
    <row r="433" spans="1:3" x14ac:dyDescent="0.25">
      <c r="A433" s="1" t="s">
        <v>7852</v>
      </c>
      <c r="B433" s="1" t="s">
        <v>16378</v>
      </c>
      <c r="C433" s="3">
        <f>IF(B433="","",SUMIFS('Factory Costs'!$C:$C,'Factory Costs'!$A:$A,"Frame",'Factory Costs'!$B:$B,B433))</f>
        <v>52</v>
      </c>
    </row>
    <row r="434" spans="1:3" x14ac:dyDescent="0.25">
      <c r="A434" s="1" t="s">
        <v>7855</v>
      </c>
      <c r="B434" s="1" t="s">
        <v>16377</v>
      </c>
      <c r="C434" s="3">
        <f>IF(B434="","",SUMIFS('Factory Costs'!$C:$C,'Factory Costs'!$A:$A,"Frame",'Factory Costs'!$B:$B,B434))</f>
        <v>39</v>
      </c>
    </row>
    <row r="435" spans="1:3" x14ac:dyDescent="0.25">
      <c r="A435" s="1" t="s">
        <v>7858</v>
      </c>
      <c r="B435" s="1" t="s">
        <v>16378</v>
      </c>
      <c r="C435" s="3">
        <f>IF(B435="","",SUMIFS('Factory Costs'!$C:$C,'Factory Costs'!$A:$A,"Frame",'Factory Costs'!$B:$B,B435))</f>
        <v>52</v>
      </c>
    </row>
    <row r="436" spans="1:3" x14ac:dyDescent="0.25">
      <c r="A436" s="1" t="s">
        <v>7861</v>
      </c>
      <c r="B436" s="1" t="s">
        <v>16377</v>
      </c>
      <c r="C436" s="3">
        <f>IF(B436="","",SUMIFS('Factory Costs'!$C:$C,'Factory Costs'!$A:$A,"Frame",'Factory Costs'!$B:$B,B436))</f>
        <v>39</v>
      </c>
    </row>
    <row r="437" spans="1:3" x14ac:dyDescent="0.25">
      <c r="A437" s="1" t="s">
        <v>7864</v>
      </c>
      <c r="B437" s="1" t="s">
        <v>16377</v>
      </c>
      <c r="C437" s="3">
        <f>IF(B437="","",SUMIFS('Factory Costs'!$C:$C,'Factory Costs'!$A:$A,"Frame",'Factory Costs'!$B:$B,B437))</f>
        <v>39</v>
      </c>
    </row>
    <row r="438" spans="1:3" x14ac:dyDescent="0.25">
      <c r="A438" s="1" t="s">
        <v>7867</v>
      </c>
      <c r="B438" s="1" t="s">
        <v>16378</v>
      </c>
      <c r="C438" s="3">
        <f>IF(B438="","",SUMIFS('Factory Costs'!$C:$C,'Factory Costs'!$A:$A,"Frame",'Factory Costs'!$B:$B,B438))</f>
        <v>52</v>
      </c>
    </row>
    <row r="439" spans="1:3" x14ac:dyDescent="0.25">
      <c r="A439" s="1" t="s">
        <v>7870</v>
      </c>
      <c r="B439" s="1" t="s">
        <v>16378</v>
      </c>
      <c r="C439" s="3">
        <f>IF(B439="","",SUMIFS('Factory Costs'!$C:$C,'Factory Costs'!$A:$A,"Frame",'Factory Costs'!$B:$B,B439))</f>
        <v>52</v>
      </c>
    </row>
    <row r="440" spans="1:3" x14ac:dyDescent="0.25">
      <c r="A440" s="1" t="s">
        <v>7873</v>
      </c>
      <c r="B440" s="1" t="s">
        <v>16379</v>
      </c>
      <c r="C440" s="3">
        <f>IF(B440="","",SUMIFS('Factory Costs'!$C:$C,'Factory Costs'!$A:$A,"Frame",'Factory Costs'!$B:$B,B440))</f>
        <v>45</v>
      </c>
    </row>
    <row r="441" spans="1:3" x14ac:dyDescent="0.25">
      <c r="A441" s="1" t="s">
        <v>7876</v>
      </c>
      <c r="B441" s="1" t="s">
        <v>16378</v>
      </c>
      <c r="C441" s="3">
        <f>IF(B441="","",SUMIFS('Factory Costs'!$C:$C,'Factory Costs'!$A:$A,"Frame",'Factory Costs'!$B:$B,B441))</f>
        <v>52</v>
      </c>
    </row>
    <row r="442" spans="1:3" x14ac:dyDescent="0.25">
      <c r="A442" s="1" t="s">
        <v>7879</v>
      </c>
      <c r="B442" s="1" t="s">
        <v>16379</v>
      </c>
      <c r="C442" s="3">
        <f>IF(B442="","",SUMIFS('Factory Costs'!$C:$C,'Factory Costs'!$A:$A,"Frame",'Factory Costs'!$B:$B,B442))</f>
        <v>45</v>
      </c>
    </row>
    <row r="443" spans="1:3" x14ac:dyDescent="0.25">
      <c r="A443" s="1" t="s">
        <v>7882</v>
      </c>
      <c r="B443" s="1" t="s">
        <v>16377</v>
      </c>
      <c r="C443" s="3">
        <f>IF(B443="","",SUMIFS('Factory Costs'!$C:$C,'Factory Costs'!$A:$A,"Frame",'Factory Costs'!$B:$B,B443))</f>
        <v>39</v>
      </c>
    </row>
    <row r="444" spans="1:3" x14ac:dyDescent="0.25">
      <c r="A444" s="1" t="s">
        <v>7885</v>
      </c>
      <c r="B444" s="1" t="s">
        <v>16379</v>
      </c>
      <c r="C444" s="3">
        <f>IF(B444="","",SUMIFS('Factory Costs'!$C:$C,'Factory Costs'!$A:$A,"Frame",'Factory Costs'!$B:$B,B444))</f>
        <v>45</v>
      </c>
    </row>
    <row r="445" spans="1:3" x14ac:dyDescent="0.25">
      <c r="A445" s="1" t="s">
        <v>7888</v>
      </c>
      <c r="B445" s="1" t="s">
        <v>16378</v>
      </c>
      <c r="C445" s="3">
        <f>IF(B445="","",SUMIFS('Factory Costs'!$C:$C,'Factory Costs'!$A:$A,"Frame",'Factory Costs'!$B:$B,B445))</f>
        <v>52</v>
      </c>
    </row>
    <row r="446" spans="1:3" x14ac:dyDescent="0.25">
      <c r="A446" s="1" t="s">
        <v>7891</v>
      </c>
      <c r="B446" s="1" t="s">
        <v>16377</v>
      </c>
      <c r="C446" s="3">
        <f>IF(B446="","",SUMIFS('Factory Costs'!$C:$C,'Factory Costs'!$A:$A,"Frame",'Factory Costs'!$B:$B,B446))</f>
        <v>39</v>
      </c>
    </row>
    <row r="447" spans="1:3" x14ac:dyDescent="0.25">
      <c r="A447" s="1" t="s">
        <v>7894</v>
      </c>
      <c r="B447" s="1" t="s">
        <v>16377</v>
      </c>
      <c r="C447" s="3">
        <f>IF(B447="","",SUMIFS('Factory Costs'!$C:$C,'Factory Costs'!$A:$A,"Frame",'Factory Costs'!$B:$B,B447))</f>
        <v>39</v>
      </c>
    </row>
    <row r="448" spans="1:3" x14ac:dyDescent="0.25">
      <c r="A448" s="1" t="s">
        <v>7897</v>
      </c>
      <c r="B448" s="1" t="s">
        <v>16378</v>
      </c>
      <c r="C448" s="3">
        <f>IF(B448="","",SUMIFS('Factory Costs'!$C:$C,'Factory Costs'!$A:$A,"Frame",'Factory Costs'!$B:$B,B448))</f>
        <v>52</v>
      </c>
    </row>
    <row r="449" spans="1:3" x14ac:dyDescent="0.25">
      <c r="A449" s="1" t="s">
        <v>7900</v>
      </c>
      <c r="B449" s="1" t="s">
        <v>16377</v>
      </c>
      <c r="C449" s="3">
        <f>IF(B449="","",SUMIFS('Factory Costs'!$C:$C,'Factory Costs'!$A:$A,"Frame",'Factory Costs'!$B:$B,B449))</f>
        <v>39</v>
      </c>
    </row>
    <row r="450" spans="1:3" x14ac:dyDescent="0.25">
      <c r="A450" s="1" t="s">
        <v>7903</v>
      </c>
      <c r="B450" s="1" t="s">
        <v>16377</v>
      </c>
      <c r="C450" s="3">
        <f>IF(B450="","",SUMIFS('Factory Costs'!$C:$C,'Factory Costs'!$A:$A,"Frame",'Factory Costs'!$B:$B,B450))</f>
        <v>39</v>
      </c>
    </row>
    <row r="451" spans="1:3" x14ac:dyDescent="0.25">
      <c r="A451" s="1" t="s">
        <v>7906</v>
      </c>
      <c r="B451" s="1" t="s">
        <v>16379</v>
      </c>
      <c r="C451" s="3">
        <f>IF(B451="","",SUMIFS('Factory Costs'!$C:$C,'Factory Costs'!$A:$A,"Frame",'Factory Costs'!$B:$B,B451))</f>
        <v>45</v>
      </c>
    </row>
    <row r="452" spans="1:3" x14ac:dyDescent="0.25">
      <c r="A452" s="1" t="s">
        <v>7909</v>
      </c>
      <c r="B452" s="1" t="s">
        <v>16378</v>
      </c>
      <c r="C452" s="3">
        <f>IF(B452="","",SUMIFS('Factory Costs'!$C:$C,'Factory Costs'!$A:$A,"Frame",'Factory Costs'!$B:$B,B452))</f>
        <v>52</v>
      </c>
    </row>
    <row r="453" spans="1:3" x14ac:dyDescent="0.25">
      <c r="A453" s="1" t="s">
        <v>7912</v>
      </c>
      <c r="B453" s="1" t="s">
        <v>16379</v>
      </c>
      <c r="C453" s="3">
        <f>IF(B453="","",SUMIFS('Factory Costs'!$C:$C,'Factory Costs'!$A:$A,"Frame",'Factory Costs'!$B:$B,B453))</f>
        <v>45</v>
      </c>
    </row>
    <row r="454" spans="1:3" x14ac:dyDescent="0.25">
      <c r="A454" s="1" t="s">
        <v>7915</v>
      </c>
      <c r="B454" s="1" t="s">
        <v>16377</v>
      </c>
      <c r="C454" s="3">
        <f>IF(B454="","",SUMIFS('Factory Costs'!$C:$C,'Factory Costs'!$A:$A,"Frame",'Factory Costs'!$B:$B,B454))</f>
        <v>39</v>
      </c>
    </row>
    <row r="455" spans="1:3" x14ac:dyDescent="0.25">
      <c r="A455" s="1" t="s">
        <v>7918</v>
      </c>
      <c r="B455" s="1" t="s">
        <v>16377</v>
      </c>
      <c r="C455" s="3">
        <f>IF(B455="","",SUMIFS('Factory Costs'!$C:$C,'Factory Costs'!$A:$A,"Frame",'Factory Costs'!$B:$B,B455))</f>
        <v>39</v>
      </c>
    </row>
    <row r="456" spans="1:3" x14ac:dyDescent="0.25">
      <c r="A456" s="1" t="s">
        <v>7921</v>
      </c>
      <c r="B456" s="1" t="s">
        <v>16377</v>
      </c>
      <c r="C456" s="3">
        <f>IF(B456="","",SUMIFS('Factory Costs'!$C:$C,'Factory Costs'!$A:$A,"Frame",'Factory Costs'!$B:$B,B456))</f>
        <v>39</v>
      </c>
    </row>
    <row r="457" spans="1:3" x14ac:dyDescent="0.25">
      <c r="A457" s="1" t="s">
        <v>7924</v>
      </c>
      <c r="B457" s="1" t="s">
        <v>16377</v>
      </c>
      <c r="C457" s="3">
        <f>IF(B457="","",SUMIFS('Factory Costs'!$C:$C,'Factory Costs'!$A:$A,"Frame",'Factory Costs'!$B:$B,B457))</f>
        <v>39</v>
      </c>
    </row>
    <row r="458" spans="1:3" x14ac:dyDescent="0.25">
      <c r="A458" s="1" t="s">
        <v>7927</v>
      </c>
      <c r="B458" s="1" t="s">
        <v>16377</v>
      </c>
      <c r="C458" s="3">
        <f>IF(B458="","",SUMIFS('Factory Costs'!$C:$C,'Factory Costs'!$A:$A,"Frame",'Factory Costs'!$B:$B,B458))</f>
        <v>39</v>
      </c>
    </row>
    <row r="459" spans="1:3" x14ac:dyDescent="0.25">
      <c r="A459" s="1" t="s">
        <v>7930</v>
      </c>
      <c r="B459" s="1" t="s">
        <v>16377</v>
      </c>
      <c r="C459" s="3">
        <f>IF(B459="","",SUMIFS('Factory Costs'!$C:$C,'Factory Costs'!$A:$A,"Frame",'Factory Costs'!$B:$B,B459))</f>
        <v>39</v>
      </c>
    </row>
    <row r="460" spans="1:3" x14ac:dyDescent="0.25">
      <c r="A460" s="1" t="s">
        <v>7933</v>
      </c>
      <c r="B460" s="1" t="s">
        <v>16378</v>
      </c>
      <c r="C460" s="3">
        <f>IF(B460="","",SUMIFS('Factory Costs'!$C:$C,'Factory Costs'!$A:$A,"Frame",'Factory Costs'!$B:$B,B460))</f>
        <v>52</v>
      </c>
    </row>
    <row r="461" spans="1:3" x14ac:dyDescent="0.25">
      <c r="A461" s="1" t="s">
        <v>7936</v>
      </c>
      <c r="B461" s="1" t="s">
        <v>16378</v>
      </c>
      <c r="C461" s="3">
        <f>IF(B461="","",SUMIFS('Factory Costs'!$C:$C,'Factory Costs'!$A:$A,"Frame",'Factory Costs'!$B:$B,B461))</f>
        <v>52</v>
      </c>
    </row>
    <row r="462" spans="1:3" x14ac:dyDescent="0.25">
      <c r="A462" s="1" t="s">
        <v>7939</v>
      </c>
      <c r="B462" s="1" t="s">
        <v>16377</v>
      </c>
      <c r="C462" s="3">
        <f>IF(B462="","",SUMIFS('Factory Costs'!$C:$C,'Factory Costs'!$A:$A,"Frame",'Factory Costs'!$B:$B,B462))</f>
        <v>39</v>
      </c>
    </row>
    <row r="463" spans="1:3" x14ac:dyDescent="0.25">
      <c r="A463" s="1" t="s">
        <v>7942</v>
      </c>
      <c r="B463" s="1" t="s">
        <v>16379</v>
      </c>
      <c r="C463" s="3">
        <f>IF(B463="","",SUMIFS('Factory Costs'!$C:$C,'Factory Costs'!$A:$A,"Frame",'Factory Costs'!$B:$B,B463))</f>
        <v>45</v>
      </c>
    </row>
    <row r="464" spans="1:3" x14ac:dyDescent="0.25">
      <c r="A464" s="1" t="s">
        <v>7945</v>
      </c>
      <c r="B464" s="1" t="s">
        <v>16377</v>
      </c>
      <c r="C464" s="3">
        <f>IF(B464="","",SUMIFS('Factory Costs'!$C:$C,'Factory Costs'!$A:$A,"Frame",'Factory Costs'!$B:$B,B464))</f>
        <v>39</v>
      </c>
    </row>
    <row r="465" spans="1:3" x14ac:dyDescent="0.25">
      <c r="A465" s="1" t="s">
        <v>7948</v>
      </c>
      <c r="B465" s="1" t="s">
        <v>16377</v>
      </c>
      <c r="C465" s="3">
        <f>IF(B465="","",SUMIFS('Factory Costs'!$C:$C,'Factory Costs'!$A:$A,"Frame",'Factory Costs'!$B:$B,B465))</f>
        <v>39</v>
      </c>
    </row>
    <row r="466" spans="1:3" x14ac:dyDescent="0.25">
      <c r="A466" s="1" t="s">
        <v>7951</v>
      </c>
      <c r="B466" s="1" t="s">
        <v>16378</v>
      </c>
      <c r="C466" s="3">
        <f>IF(B466="","",SUMIFS('Factory Costs'!$C:$C,'Factory Costs'!$A:$A,"Frame",'Factory Costs'!$B:$B,B466))</f>
        <v>52</v>
      </c>
    </row>
    <row r="467" spans="1:3" x14ac:dyDescent="0.25">
      <c r="A467" s="1" t="s">
        <v>7954</v>
      </c>
      <c r="B467" s="1" t="s">
        <v>16379</v>
      </c>
      <c r="C467" s="3">
        <f>IF(B467="","",SUMIFS('Factory Costs'!$C:$C,'Factory Costs'!$A:$A,"Frame",'Factory Costs'!$B:$B,B467))</f>
        <v>45</v>
      </c>
    </row>
    <row r="468" spans="1:3" x14ac:dyDescent="0.25">
      <c r="A468" s="1" t="s">
        <v>7957</v>
      </c>
      <c r="B468" s="1" t="s">
        <v>16377</v>
      </c>
      <c r="C468" s="3">
        <f>IF(B468="","",SUMIFS('Factory Costs'!$C:$C,'Factory Costs'!$A:$A,"Frame",'Factory Costs'!$B:$B,B468))</f>
        <v>39</v>
      </c>
    </row>
    <row r="469" spans="1:3" x14ac:dyDescent="0.25">
      <c r="A469" s="1" t="s">
        <v>7960</v>
      </c>
      <c r="B469" s="1" t="s">
        <v>16379</v>
      </c>
      <c r="C469" s="3">
        <f>IF(B469="","",SUMIFS('Factory Costs'!$C:$C,'Factory Costs'!$A:$A,"Frame",'Factory Costs'!$B:$B,B469))</f>
        <v>45</v>
      </c>
    </row>
    <row r="470" spans="1:3" x14ac:dyDescent="0.25">
      <c r="A470" s="1" t="s">
        <v>7963</v>
      </c>
      <c r="B470" s="1" t="s">
        <v>16377</v>
      </c>
      <c r="C470" s="3">
        <f>IF(B470="","",SUMIFS('Factory Costs'!$C:$C,'Factory Costs'!$A:$A,"Frame",'Factory Costs'!$B:$B,B470))</f>
        <v>39</v>
      </c>
    </row>
    <row r="471" spans="1:3" x14ac:dyDescent="0.25">
      <c r="A471" s="1" t="s">
        <v>7966</v>
      </c>
      <c r="B471" s="1" t="s">
        <v>16379</v>
      </c>
      <c r="C471" s="3">
        <f>IF(B471="","",SUMIFS('Factory Costs'!$C:$C,'Factory Costs'!$A:$A,"Frame",'Factory Costs'!$B:$B,B471))</f>
        <v>45</v>
      </c>
    </row>
    <row r="472" spans="1:3" x14ac:dyDescent="0.25">
      <c r="A472" s="1" t="s">
        <v>7969</v>
      </c>
      <c r="B472" s="1" t="s">
        <v>16379</v>
      </c>
      <c r="C472" s="3">
        <f>IF(B472="","",SUMIFS('Factory Costs'!$C:$C,'Factory Costs'!$A:$A,"Frame",'Factory Costs'!$B:$B,B472))</f>
        <v>45</v>
      </c>
    </row>
    <row r="473" spans="1:3" x14ac:dyDescent="0.25">
      <c r="A473" s="1" t="s">
        <v>7972</v>
      </c>
      <c r="B473" s="1" t="s">
        <v>16379</v>
      </c>
      <c r="C473" s="3">
        <f>IF(B473="","",SUMIFS('Factory Costs'!$C:$C,'Factory Costs'!$A:$A,"Frame",'Factory Costs'!$B:$B,B473))</f>
        <v>45</v>
      </c>
    </row>
    <row r="474" spans="1:3" x14ac:dyDescent="0.25">
      <c r="A474" s="1" t="s">
        <v>7975</v>
      </c>
      <c r="B474" s="1" t="s">
        <v>16379</v>
      </c>
      <c r="C474" s="3">
        <f>IF(B474="","",SUMIFS('Factory Costs'!$C:$C,'Factory Costs'!$A:$A,"Frame",'Factory Costs'!$B:$B,B474))</f>
        <v>45</v>
      </c>
    </row>
    <row r="475" spans="1:3" x14ac:dyDescent="0.25">
      <c r="A475" s="1" t="s">
        <v>7978</v>
      </c>
      <c r="B475" s="1" t="s">
        <v>16378</v>
      </c>
      <c r="C475" s="3">
        <f>IF(B475="","",SUMIFS('Factory Costs'!$C:$C,'Factory Costs'!$A:$A,"Frame",'Factory Costs'!$B:$B,B475))</f>
        <v>52</v>
      </c>
    </row>
    <row r="476" spans="1:3" x14ac:dyDescent="0.25">
      <c r="A476" s="1" t="s">
        <v>7981</v>
      </c>
      <c r="B476" s="1" t="s">
        <v>16379</v>
      </c>
      <c r="C476" s="3">
        <f>IF(B476="","",SUMIFS('Factory Costs'!$C:$C,'Factory Costs'!$A:$A,"Frame",'Factory Costs'!$B:$B,B476))</f>
        <v>45</v>
      </c>
    </row>
    <row r="477" spans="1:3" x14ac:dyDescent="0.25">
      <c r="A477" s="1" t="s">
        <v>7984</v>
      </c>
      <c r="B477" s="1" t="s">
        <v>16379</v>
      </c>
      <c r="C477" s="3">
        <f>IF(B477="","",SUMIFS('Factory Costs'!$C:$C,'Factory Costs'!$A:$A,"Frame",'Factory Costs'!$B:$B,B477))</f>
        <v>45</v>
      </c>
    </row>
    <row r="478" spans="1:3" x14ac:dyDescent="0.25">
      <c r="A478" s="1" t="s">
        <v>7987</v>
      </c>
      <c r="B478" s="1" t="s">
        <v>16377</v>
      </c>
      <c r="C478" s="3">
        <f>IF(B478="","",SUMIFS('Factory Costs'!$C:$C,'Factory Costs'!$A:$A,"Frame",'Factory Costs'!$B:$B,B478))</f>
        <v>39</v>
      </c>
    </row>
    <row r="479" spans="1:3" x14ac:dyDescent="0.25">
      <c r="A479" s="1" t="s">
        <v>7990</v>
      </c>
      <c r="B479" s="1" t="s">
        <v>16377</v>
      </c>
      <c r="C479" s="3">
        <f>IF(B479="","",SUMIFS('Factory Costs'!$C:$C,'Factory Costs'!$A:$A,"Frame",'Factory Costs'!$B:$B,B479))</f>
        <v>39</v>
      </c>
    </row>
    <row r="480" spans="1:3" x14ac:dyDescent="0.25">
      <c r="A480" s="1" t="s">
        <v>7993</v>
      </c>
      <c r="B480" s="1" t="s">
        <v>16377</v>
      </c>
      <c r="C480" s="3">
        <f>IF(B480="","",SUMIFS('Factory Costs'!$C:$C,'Factory Costs'!$A:$A,"Frame",'Factory Costs'!$B:$B,B480))</f>
        <v>39</v>
      </c>
    </row>
    <row r="481" spans="1:3" x14ac:dyDescent="0.25">
      <c r="A481" s="1" t="s">
        <v>7996</v>
      </c>
      <c r="B481" s="1" t="s">
        <v>16379</v>
      </c>
      <c r="C481" s="3">
        <f>IF(B481="","",SUMIFS('Factory Costs'!$C:$C,'Factory Costs'!$A:$A,"Frame",'Factory Costs'!$B:$B,B481))</f>
        <v>45</v>
      </c>
    </row>
    <row r="482" spans="1:3" x14ac:dyDescent="0.25">
      <c r="A482" s="1" t="s">
        <v>7999</v>
      </c>
      <c r="B482" s="1" t="s">
        <v>16377</v>
      </c>
      <c r="C482" s="3">
        <f>IF(B482="","",SUMIFS('Factory Costs'!$C:$C,'Factory Costs'!$A:$A,"Frame",'Factory Costs'!$B:$B,B482))</f>
        <v>39</v>
      </c>
    </row>
    <row r="483" spans="1:3" x14ac:dyDescent="0.25">
      <c r="A483" s="1" t="s">
        <v>8002</v>
      </c>
      <c r="B483" s="1" t="s">
        <v>16378</v>
      </c>
      <c r="C483" s="3">
        <f>IF(B483="","",SUMIFS('Factory Costs'!$C:$C,'Factory Costs'!$A:$A,"Frame",'Factory Costs'!$B:$B,B483))</f>
        <v>52</v>
      </c>
    </row>
    <row r="484" spans="1:3" x14ac:dyDescent="0.25">
      <c r="A484" s="1" t="s">
        <v>8005</v>
      </c>
      <c r="B484" s="1" t="s">
        <v>16379</v>
      </c>
      <c r="C484" s="3">
        <f>IF(B484="","",SUMIFS('Factory Costs'!$C:$C,'Factory Costs'!$A:$A,"Frame",'Factory Costs'!$B:$B,B484))</f>
        <v>45</v>
      </c>
    </row>
    <row r="485" spans="1:3" x14ac:dyDescent="0.25">
      <c r="A485" s="1" t="s">
        <v>8008</v>
      </c>
      <c r="B485" s="1" t="s">
        <v>16379</v>
      </c>
      <c r="C485" s="3">
        <f>IF(B485="","",SUMIFS('Factory Costs'!$C:$C,'Factory Costs'!$A:$A,"Frame",'Factory Costs'!$B:$B,B485))</f>
        <v>45</v>
      </c>
    </row>
    <row r="486" spans="1:3" x14ac:dyDescent="0.25">
      <c r="A486" s="1" t="s">
        <v>8011</v>
      </c>
      <c r="B486" s="1" t="s">
        <v>16378</v>
      </c>
      <c r="C486" s="3">
        <f>IF(B486="","",SUMIFS('Factory Costs'!$C:$C,'Factory Costs'!$A:$A,"Frame",'Factory Costs'!$B:$B,B486))</f>
        <v>52</v>
      </c>
    </row>
    <row r="487" spans="1:3" x14ac:dyDescent="0.25">
      <c r="A487" s="1" t="s">
        <v>8014</v>
      </c>
      <c r="B487" s="1" t="s">
        <v>16379</v>
      </c>
      <c r="C487" s="3">
        <f>IF(B487="","",SUMIFS('Factory Costs'!$C:$C,'Factory Costs'!$A:$A,"Frame",'Factory Costs'!$B:$B,B487))</f>
        <v>45</v>
      </c>
    </row>
    <row r="488" spans="1:3" x14ac:dyDescent="0.25">
      <c r="A488" s="1" t="s">
        <v>8017</v>
      </c>
      <c r="B488" s="1" t="s">
        <v>16377</v>
      </c>
      <c r="C488" s="3">
        <f>IF(B488="","",SUMIFS('Factory Costs'!$C:$C,'Factory Costs'!$A:$A,"Frame",'Factory Costs'!$B:$B,B488))</f>
        <v>39</v>
      </c>
    </row>
    <row r="489" spans="1:3" x14ac:dyDescent="0.25">
      <c r="A489" s="1" t="s">
        <v>8020</v>
      </c>
      <c r="B489" s="1" t="s">
        <v>16379</v>
      </c>
      <c r="C489" s="3">
        <f>IF(B489="","",SUMIFS('Factory Costs'!$C:$C,'Factory Costs'!$A:$A,"Frame",'Factory Costs'!$B:$B,B489))</f>
        <v>45</v>
      </c>
    </row>
    <row r="490" spans="1:3" x14ac:dyDescent="0.25">
      <c r="A490" s="1" t="s">
        <v>8023</v>
      </c>
      <c r="B490" s="1" t="s">
        <v>16379</v>
      </c>
      <c r="C490" s="3">
        <f>IF(B490="","",SUMIFS('Factory Costs'!$C:$C,'Factory Costs'!$A:$A,"Frame",'Factory Costs'!$B:$B,B490))</f>
        <v>45</v>
      </c>
    </row>
    <row r="491" spans="1:3" x14ac:dyDescent="0.25">
      <c r="A491" s="1" t="s">
        <v>8026</v>
      </c>
      <c r="B491" s="1" t="s">
        <v>16379</v>
      </c>
      <c r="C491" s="3">
        <f>IF(B491="","",SUMIFS('Factory Costs'!$C:$C,'Factory Costs'!$A:$A,"Frame",'Factory Costs'!$B:$B,B491))</f>
        <v>45</v>
      </c>
    </row>
    <row r="492" spans="1:3" x14ac:dyDescent="0.25">
      <c r="A492" s="1" t="s">
        <v>8029</v>
      </c>
      <c r="B492" s="1" t="s">
        <v>16379</v>
      </c>
      <c r="C492" s="3">
        <f>IF(B492="","",SUMIFS('Factory Costs'!$C:$C,'Factory Costs'!$A:$A,"Frame",'Factory Costs'!$B:$B,B492))</f>
        <v>45</v>
      </c>
    </row>
    <row r="493" spans="1:3" x14ac:dyDescent="0.25">
      <c r="A493" s="1" t="s">
        <v>8032</v>
      </c>
      <c r="B493" s="1" t="s">
        <v>16377</v>
      </c>
      <c r="C493" s="3">
        <f>IF(B493="","",SUMIFS('Factory Costs'!$C:$C,'Factory Costs'!$A:$A,"Frame",'Factory Costs'!$B:$B,B493))</f>
        <v>39</v>
      </c>
    </row>
    <row r="494" spans="1:3" x14ac:dyDescent="0.25">
      <c r="A494" s="1" t="s">
        <v>8035</v>
      </c>
      <c r="B494" s="1" t="s">
        <v>16378</v>
      </c>
      <c r="C494" s="3">
        <f>IF(B494="","",SUMIFS('Factory Costs'!$C:$C,'Factory Costs'!$A:$A,"Frame",'Factory Costs'!$B:$B,B494))</f>
        <v>52</v>
      </c>
    </row>
    <row r="495" spans="1:3" x14ac:dyDescent="0.25">
      <c r="A495" s="1" t="s">
        <v>8038</v>
      </c>
      <c r="B495" s="1" t="s">
        <v>16378</v>
      </c>
      <c r="C495" s="3">
        <f>IF(B495="","",SUMIFS('Factory Costs'!$C:$C,'Factory Costs'!$A:$A,"Frame",'Factory Costs'!$B:$B,B495))</f>
        <v>52</v>
      </c>
    </row>
    <row r="496" spans="1:3" x14ac:dyDescent="0.25">
      <c r="A496" s="1" t="s">
        <v>8041</v>
      </c>
      <c r="B496" s="1" t="s">
        <v>16378</v>
      </c>
      <c r="C496" s="3">
        <f>IF(B496="","",SUMIFS('Factory Costs'!$C:$C,'Factory Costs'!$A:$A,"Frame",'Factory Costs'!$B:$B,B496))</f>
        <v>52</v>
      </c>
    </row>
    <row r="497" spans="1:3" x14ac:dyDescent="0.25">
      <c r="A497" s="1" t="s">
        <v>8044</v>
      </c>
      <c r="B497" s="1" t="s">
        <v>16377</v>
      </c>
      <c r="C497" s="3">
        <f>IF(B497="","",SUMIFS('Factory Costs'!$C:$C,'Factory Costs'!$A:$A,"Frame",'Factory Costs'!$B:$B,B497))</f>
        <v>39</v>
      </c>
    </row>
    <row r="498" spans="1:3" x14ac:dyDescent="0.25">
      <c r="A498" s="1" t="s">
        <v>8047</v>
      </c>
      <c r="B498" s="1" t="s">
        <v>16377</v>
      </c>
      <c r="C498" s="3">
        <f>IF(B498="","",SUMIFS('Factory Costs'!$C:$C,'Factory Costs'!$A:$A,"Frame",'Factory Costs'!$B:$B,B498))</f>
        <v>39</v>
      </c>
    </row>
    <row r="499" spans="1:3" x14ac:dyDescent="0.25">
      <c r="A499" s="1" t="s">
        <v>8050</v>
      </c>
      <c r="B499" s="1" t="s">
        <v>16378</v>
      </c>
      <c r="C499" s="3">
        <f>IF(B499="","",SUMIFS('Factory Costs'!$C:$C,'Factory Costs'!$A:$A,"Frame",'Factory Costs'!$B:$B,B499))</f>
        <v>52</v>
      </c>
    </row>
    <row r="500" spans="1:3" x14ac:dyDescent="0.25">
      <c r="A500" s="1" t="s">
        <v>8053</v>
      </c>
      <c r="B500" s="1" t="s">
        <v>16377</v>
      </c>
      <c r="C500" s="3">
        <f>IF(B500="","",SUMIFS('Factory Costs'!$C:$C,'Factory Costs'!$A:$A,"Frame",'Factory Costs'!$B:$B,B500))</f>
        <v>39</v>
      </c>
    </row>
    <row r="501" spans="1:3" x14ac:dyDescent="0.25">
      <c r="A501" s="1" t="s">
        <v>8056</v>
      </c>
      <c r="B501" s="1" t="s">
        <v>16378</v>
      </c>
      <c r="C501" s="3">
        <f>IF(B501="","",SUMIFS('Factory Costs'!$C:$C,'Factory Costs'!$A:$A,"Frame",'Factory Costs'!$B:$B,B501))</f>
        <v>52</v>
      </c>
    </row>
    <row r="502" spans="1:3" x14ac:dyDescent="0.25">
      <c r="A502" s="1" t="s">
        <v>8059</v>
      </c>
      <c r="B502" s="1" t="s">
        <v>16379</v>
      </c>
      <c r="C502" s="3">
        <f>IF(B502="","",SUMIFS('Factory Costs'!$C:$C,'Factory Costs'!$A:$A,"Frame",'Factory Costs'!$B:$B,B502))</f>
        <v>45</v>
      </c>
    </row>
    <row r="503" spans="1:3" x14ac:dyDescent="0.25">
      <c r="A503" s="1" t="s">
        <v>8062</v>
      </c>
      <c r="B503" s="1" t="s">
        <v>16377</v>
      </c>
      <c r="C503" s="3">
        <f>IF(B503="","",SUMIFS('Factory Costs'!$C:$C,'Factory Costs'!$A:$A,"Frame",'Factory Costs'!$B:$B,B503))</f>
        <v>39</v>
      </c>
    </row>
    <row r="504" spans="1:3" x14ac:dyDescent="0.25">
      <c r="A504" s="1" t="s">
        <v>8065</v>
      </c>
      <c r="B504" s="1" t="s">
        <v>16377</v>
      </c>
      <c r="C504" s="3">
        <f>IF(B504="","",SUMIFS('Factory Costs'!$C:$C,'Factory Costs'!$A:$A,"Frame",'Factory Costs'!$B:$B,B504))</f>
        <v>39</v>
      </c>
    </row>
    <row r="505" spans="1:3" x14ac:dyDescent="0.25">
      <c r="A505" s="1" t="s">
        <v>8068</v>
      </c>
      <c r="B505" s="1" t="s">
        <v>16378</v>
      </c>
      <c r="C505" s="3">
        <f>IF(B505="","",SUMIFS('Factory Costs'!$C:$C,'Factory Costs'!$A:$A,"Frame",'Factory Costs'!$B:$B,B505))</f>
        <v>52</v>
      </c>
    </row>
    <row r="506" spans="1:3" x14ac:dyDescent="0.25">
      <c r="A506" s="1" t="s">
        <v>8071</v>
      </c>
      <c r="B506" s="1" t="s">
        <v>16377</v>
      </c>
      <c r="C506" s="3">
        <f>IF(B506="","",SUMIFS('Factory Costs'!$C:$C,'Factory Costs'!$A:$A,"Frame",'Factory Costs'!$B:$B,B506))</f>
        <v>39</v>
      </c>
    </row>
    <row r="507" spans="1:3" x14ac:dyDescent="0.25">
      <c r="A507" s="1" t="s">
        <v>8074</v>
      </c>
      <c r="B507" s="1" t="s">
        <v>16378</v>
      </c>
      <c r="C507" s="3">
        <f>IF(B507="","",SUMIFS('Factory Costs'!$C:$C,'Factory Costs'!$A:$A,"Frame",'Factory Costs'!$B:$B,B507))</f>
        <v>52</v>
      </c>
    </row>
    <row r="508" spans="1:3" x14ac:dyDescent="0.25">
      <c r="A508" s="1" t="s">
        <v>8077</v>
      </c>
      <c r="B508" s="1" t="s">
        <v>16377</v>
      </c>
      <c r="C508" s="3">
        <f>IF(B508="","",SUMIFS('Factory Costs'!$C:$C,'Factory Costs'!$A:$A,"Frame",'Factory Costs'!$B:$B,B508))</f>
        <v>39</v>
      </c>
    </row>
    <row r="509" spans="1:3" x14ac:dyDescent="0.25">
      <c r="A509" s="1" t="s">
        <v>8080</v>
      </c>
      <c r="B509" s="1" t="s">
        <v>16379</v>
      </c>
      <c r="C509" s="3">
        <f>IF(B509="","",SUMIFS('Factory Costs'!$C:$C,'Factory Costs'!$A:$A,"Frame",'Factory Costs'!$B:$B,B509))</f>
        <v>45</v>
      </c>
    </row>
    <row r="510" spans="1:3" x14ac:dyDescent="0.25">
      <c r="A510" s="1" t="s">
        <v>8083</v>
      </c>
      <c r="B510" s="1" t="s">
        <v>16377</v>
      </c>
      <c r="C510" s="3">
        <f>IF(B510="","",SUMIFS('Factory Costs'!$C:$C,'Factory Costs'!$A:$A,"Frame",'Factory Costs'!$B:$B,B510))</f>
        <v>39</v>
      </c>
    </row>
    <row r="511" spans="1:3" x14ac:dyDescent="0.25">
      <c r="A511" s="1" t="s">
        <v>8086</v>
      </c>
      <c r="B511" s="1" t="s">
        <v>16379</v>
      </c>
      <c r="C511" s="3">
        <f>IF(B511="","",SUMIFS('Factory Costs'!$C:$C,'Factory Costs'!$A:$A,"Frame",'Factory Costs'!$B:$B,B511))</f>
        <v>45</v>
      </c>
    </row>
    <row r="512" spans="1:3" x14ac:dyDescent="0.25">
      <c r="A512" s="1" t="s">
        <v>8089</v>
      </c>
      <c r="B512" s="1" t="s">
        <v>16377</v>
      </c>
      <c r="C512" s="3">
        <f>IF(B512="","",SUMIFS('Factory Costs'!$C:$C,'Factory Costs'!$A:$A,"Frame",'Factory Costs'!$B:$B,B512))</f>
        <v>39</v>
      </c>
    </row>
    <row r="513" spans="1:3" x14ac:dyDescent="0.25">
      <c r="A513" s="1" t="s">
        <v>8092</v>
      </c>
      <c r="B513" s="1" t="s">
        <v>16378</v>
      </c>
      <c r="C513" s="3">
        <f>IF(B513="","",SUMIFS('Factory Costs'!$C:$C,'Factory Costs'!$A:$A,"Frame",'Factory Costs'!$B:$B,B513))</f>
        <v>52</v>
      </c>
    </row>
    <row r="514" spans="1:3" x14ac:dyDescent="0.25">
      <c r="A514" s="1" t="s">
        <v>8095</v>
      </c>
      <c r="B514" s="1" t="s">
        <v>16379</v>
      </c>
      <c r="C514" s="3">
        <f>IF(B514="","",SUMIFS('Factory Costs'!$C:$C,'Factory Costs'!$A:$A,"Frame",'Factory Costs'!$B:$B,B514))</f>
        <v>45</v>
      </c>
    </row>
    <row r="515" spans="1:3" x14ac:dyDescent="0.25">
      <c r="A515" s="1" t="s">
        <v>8098</v>
      </c>
      <c r="B515" s="1" t="s">
        <v>16377</v>
      </c>
      <c r="C515" s="3">
        <f>IF(B515="","",SUMIFS('Factory Costs'!$C:$C,'Factory Costs'!$A:$A,"Frame",'Factory Costs'!$B:$B,B515))</f>
        <v>39</v>
      </c>
    </row>
    <row r="516" spans="1:3" x14ac:dyDescent="0.25">
      <c r="A516" s="1" t="s">
        <v>8101</v>
      </c>
      <c r="B516" s="1" t="s">
        <v>16379</v>
      </c>
      <c r="C516" s="3">
        <f>IF(B516="","",SUMIFS('Factory Costs'!$C:$C,'Factory Costs'!$A:$A,"Frame",'Factory Costs'!$B:$B,B516))</f>
        <v>45</v>
      </c>
    </row>
    <row r="517" spans="1:3" x14ac:dyDescent="0.25">
      <c r="A517" s="1" t="s">
        <v>8104</v>
      </c>
      <c r="B517" s="1" t="s">
        <v>16377</v>
      </c>
      <c r="C517" s="3">
        <f>IF(B517="","",SUMIFS('Factory Costs'!$C:$C,'Factory Costs'!$A:$A,"Frame",'Factory Costs'!$B:$B,B517))</f>
        <v>39</v>
      </c>
    </row>
    <row r="518" spans="1:3" x14ac:dyDescent="0.25">
      <c r="A518" s="1" t="s">
        <v>8107</v>
      </c>
      <c r="B518" s="1" t="s">
        <v>16378</v>
      </c>
      <c r="C518" s="3">
        <f>IF(B518="","",SUMIFS('Factory Costs'!$C:$C,'Factory Costs'!$A:$A,"Frame",'Factory Costs'!$B:$B,B518))</f>
        <v>52</v>
      </c>
    </row>
    <row r="519" spans="1:3" x14ac:dyDescent="0.25">
      <c r="A519" s="1" t="s">
        <v>8110</v>
      </c>
      <c r="B519" s="1" t="s">
        <v>16379</v>
      </c>
      <c r="C519" s="3">
        <f>IF(B519="","",SUMIFS('Factory Costs'!$C:$C,'Factory Costs'!$A:$A,"Frame",'Factory Costs'!$B:$B,B519))</f>
        <v>45</v>
      </c>
    </row>
    <row r="520" spans="1:3" x14ac:dyDescent="0.25">
      <c r="A520" s="1" t="s">
        <v>8113</v>
      </c>
      <c r="B520" s="1" t="s">
        <v>16379</v>
      </c>
      <c r="C520" s="3">
        <f>IF(B520="","",SUMIFS('Factory Costs'!$C:$C,'Factory Costs'!$A:$A,"Frame",'Factory Costs'!$B:$B,B520))</f>
        <v>45</v>
      </c>
    </row>
    <row r="521" spans="1:3" x14ac:dyDescent="0.25">
      <c r="A521" s="1" t="s">
        <v>8116</v>
      </c>
      <c r="B521" s="1" t="s">
        <v>16377</v>
      </c>
      <c r="C521" s="3">
        <f>IF(B521="","",SUMIFS('Factory Costs'!$C:$C,'Factory Costs'!$A:$A,"Frame",'Factory Costs'!$B:$B,B521))</f>
        <v>39</v>
      </c>
    </row>
    <row r="522" spans="1:3" x14ac:dyDescent="0.25">
      <c r="A522" s="1" t="s">
        <v>8119</v>
      </c>
      <c r="B522" s="1" t="s">
        <v>16379</v>
      </c>
      <c r="C522" s="3">
        <f>IF(B522="","",SUMIFS('Factory Costs'!$C:$C,'Factory Costs'!$A:$A,"Frame",'Factory Costs'!$B:$B,B522))</f>
        <v>45</v>
      </c>
    </row>
    <row r="523" spans="1:3" x14ac:dyDescent="0.25">
      <c r="A523" s="1" t="s">
        <v>8122</v>
      </c>
      <c r="B523" s="1" t="s">
        <v>16377</v>
      </c>
      <c r="C523" s="3">
        <f>IF(B523="","",SUMIFS('Factory Costs'!$C:$C,'Factory Costs'!$A:$A,"Frame",'Factory Costs'!$B:$B,B523))</f>
        <v>39</v>
      </c>
    </row>
    <row r="524" spans="1:3" x14ac:dyDescent="0.25">
      <c r="A524" s="1" t="s">
        <v>8125</v>
      </c>
      <c r="B524" s="1" t="s">
        <v>16379</v>
      </c>
      <c r="C524" s="3">
        <f>IF(B524="","",SUMIFS('Factory Costs'!$C:$C,'Factory Costs'!$A:$A,"Frame",'Factory Costs'!$B:$B,B524))</f>
        <v>45</v>
      </c>
    </row>
    <row r="525" spans="1:3" x14ac:dyDescent="0.25">
      <c r="A525" s="1" t="s">
        <v>8128</v>
      </c>
      <c r="B525" s="1" t="s">
        <v>16377</v>
      </c>
      <c r="C525" s="3">
        <f>IF(B525="","",SUMIFS('Factory Costs'!$C:$C,'Factory Costs'!$A:$A,"Frame",'Factory Costs'!$B:$B,B525))</f>
        <v>39</v>
      </c>
    </row>
    <row r="526" spans="1:3" x14ac:dyDescent="0.25">
      <c r="A526" s="1" t="s">
        <v>8131</v>
      </c>
      <c r="B526" s="1" t="s">
        <v>16377</v>
      </c>
      <c r="C526" s="3">
        <f>IF(B526="","",SUMIFS('Factory Costs'!$C:$C,'Factory Costs'!$A:$A,"Frame",'Factory Costs'!$B:$B,B526))</f>
        <v>39</v>
      </c>
    </row>
    <row r="527" spans="1:3" x14ac:dyDescent="0.25">
      <c r="A527" s="1" t="s">
        <v>8134</v>
      </c>
      <c r="B527" s="1" t="s">
        <v>16379</v>
      </c>
      <c r="C527" s="3">
        <f>IF(B527="","",SUMIFS('Factory Costs'!$C:$C,'Factory Costs'!$A:$A,"Frame",'Factory Costs'!$B:$B,B527))</f>
        <v>45</v>
      </c>
    </row>
    <row r="528" spans="1:3" x14ac:dyDescent="0.25">
      <c r="A528" s="1" t="s">
        <v>8137</v>
      </c>
      <c r="B528" s="1" t="s">
        <v>16377</v>
      </c>
      <c r="C528" s="3">
        <f>IF(B528="","",SUMIFS('Factory Costs'!$C:$C,'Factory Costs'!$A:$A,"Frame",'Factory Costs'!$B:$B,B528))</f>
        <v>39</v>
      </c>
    </row>
    <row r="529" spans="1:3" x14ac:dyDescent="0.25">
      <c r="A529" s="1" t="s">
        <v>8140</v>
      </c>
      <c r="B529" s="1" t="s">
        <v>16379</v>
      </c>
      <c r="C529" s="3">
        <f>IF(B529="","",SUMIFS('Factory Costs'!$C:$C,'Factory Costs'!$A:$A,"Frame",'Factory Costs'!$B:$B,B529))</f>
        <v>45</v>
      </c>
    </row>
    <row r="530" spans="1:3" x14ac:dyDescent="0.25">
      <c r="A530" s="1" t="s">
        <v>8143</v>
      </c>
      <c r="B530" s="1" t="s">
        <v>16379</v>
      </c>
      <c r="C530" s="3">
        <f>IF(B530="","",SUMIFS('Factory Costs'!$C:$C,'Factory Costs'!$A:$A,"Frame",'Factory Costs'!$B:$B,B530))</f>
        <v>45</v>
      </c>
    </row>
    <row r="531" spans="1:3" x14ac:dyDescent="0.25">
      <c r="A531" s="1" t="s">
        <v>8146</v>
      </c>
      <c r="B531" s="1" t="s">
        <v>16378</v>
      </c>
      <c r="C531" s="3">
        <f>IF(B531="","",SUMIFS('Factory Costs'!$C:$C,'Factory Costs'!$A:$A,"Frame",'Factory Costs'!$B:$B,B531))</f>
        <v>52</v>
      </c>
    </row>
    <row r="532" spans="1:3" x14ac:dyDescent="0.25">
      <c r="A532" s="1" t="s">
        <v>8149</v>
      </c>
      <c r="B532" s="1" t="s">
        <v>16378</v>
      </c>
      <c r="C532" s="3">
        <f>IF(B532="","",SUMIFS('Factory Costs'!$C:$C,'Factory Costs'!$A:$A,"Frame",'Factory Costs'!$B:$B,B532))</f>
        <v>52</v>
      </c>
    </row>
    <row r="533" spans="1:3" x14ac:dyDescent="0.25">
      <c r="A533" s="1" t="s">
        <v>8152</v>
      </c>
      <c r="B533" s="1" t="s">
        <v>16377</v>
      </c>
      <c r="C533" s="3">
        <f>IF(B533="","",SUMIFS('Factory Costs'!$C:$C,'Factory Costs'!$A:$A,"Frame",'Factory Costs'!$B:$B,B533))</f>
        <v>39</v>
      </c>
    </row>
    <row r="534" spans="1:3" x14ac:dyDescent="0.25">
      <c r="A534" s="1" t="s">
        <v>8155</v>
      </c>
      <c r="B534" s="1" t="s">
        <v>16377</v>
      </c>
      <c r="C534" s="3">
        <f>IF(B534="","",SUMIFS('Factory Costs'!$C:$C,'Factory Costs'!$A:$A,"Frame",'Factory Costs'!$B:$B,B534))</f>
        <v>39</v>
      </c>
    </row>
    <row r="535" spans="1:3" x14ac:dyDescent="0.25">
      <c r="A535" s="1" t="s">
        <v>8158</v>
      </c>
      <c r="B535" s="1" t="s">
        <v>16378</v>
      </c>
      <c r="C535" s="3">
        <f>IF(B535="","",SUMIFS('Factory Costs'!$C:$C,'Factory Costs'!$A:$A,"Frame",'Factory Costs'!$B:$B,B535))</f>
        <v>52</v>
      </c>
    </row>
    <row r="536" spans="1:3" x14ac:dyDescent="0.25">
      <c r="A536" s="1" t="s">
        <v>8161</v>
      </c>
      <c r="B536" s="1" t="s">
        <v>16379</v>
      </c>
      <c r="C536" s="3">
        <f>IF(B536="","",SUMIFS('Factory Costs'!$C:$C,'Factory Costs'!$A:$A,"Frame",'Factory Costs'!$B:$B,B536))</f>
        <v>45</v>
      </c>
    </row>
    <row r="537" spans="1:3" x14ac:dyDescent="0.25">
      <c r="A537" s="1" t="s">
        <v>8164</v>
      </c>
      <c r="B537" s="1" t="s">
        <v>16378</v>
      </c>
      <c r="C537" s="3">
        <f>IF(B537="","",SUMIFS('Factory Costs'!$C:$C,'Factory Costs'!$A:$A,"Frame",'Factory Costs'!$B:$B,B537))</f>
        <v>52</v>
      </c>
    </row>
    <row r="538" spans="1:3" x14ac:dyDescent="0.25">
      <c r="A538" s="1" t="s">
        <v>8167</v>
      </c>
      <c r="B538" s="1" t="s">
        <v>16378</v>
      </c>
      <c r="C538" s="3">
        <f>IF(B538="","",SUMIFS('Factory Costs'!$C:$C,'Factory Costs'!$A:$A,"Frame",'Factory Costs'!$B:$B,B538))</f>
        <v>52</v>
      </c>
    </row>
    <row r="539" spans="1:3" x14ac:dyDescent="0.25">
      <c r="A539" s="1" t="s">
        <v>8170</v>
      </c>
      <c r="B539" s="1" t="s">
        <v>16377</v>
      </c>
      <c r="C539" s="3">
        <f>IF(B539="","",SUMIFS('Factory Costs'!$C:$C,'Factory Costs'!$A:$A,"Frame",'Factory Costs'!$B:$B,B539))</f>
        <v>39</v>
      </c>
    </row>
    <row r="540" spans="1:3" x14ac:dyDescent="0.25">
      <c r="A540" s="1" t="s">
        <v>8173</v>
      </c>
      <c r="B540" s="1" t="s">
        <v>16377</v>
      </c>
      <c r="C540" s="3">
        <f>IF(B540="","",SUMIFS('Factory Costs'!$C:$C,'Factory Costs'!$A:$A,"Frame",'Factory Costs'!$B:$B,B540))</f>
        <v>39</v>
      </c>
    </row>
    <row r="541" spans="1:3" x14ac:dyDescent="0.25">
      <c r="A541" s="1" t="s">
        <v>8176</v>
      </c>
      <c r="B541" s="1" t="s">
        <v>16379</v>
      </c>
      <c r="C541" s="3">
        <f>IF(B541="","",SUMIFS('Factory Costs'!$C:$C,'Factory Costs'!$A:$A,"Frame",'Factory Costs'!$B:$B,B541))</f>
        <v>45</v>
      </c>
    </row>
    <row r="542" spans="1:3" x14ac:dyDescent="0.25">
      <c r="A542" s="1" t="s">
        <v>8179</v>
      </c>
      <c r="B542" s="1" t="s">
        <v>16379</v>
      </c>
      <c r="C542" s="3">
        <f>IF(B542="","",SUMIFS('Factory Costs'!$C:$C,'Factory Costs'!$A:$A,"Frame",'Factory Costs'!$B:$B,B542))</f>
        <v>45</v>
      </c>
    </row>
    <row r="543" spans="1:3" x14ac:dyDescent="0.25">
      <c r="A543" s="1" t="s">
        <v>8182</v>
      </c>
      <c r="B543" s="1" t="s">
        <v>16377</v>
      </c>
      <c r="C543" s="3">
        <f>IF(B543="","",SUMIFS('Factory Costs'!$C:$C,'Factory Costs'!$A:$A,"Frame",'Factory Costs'!$B:$B,B543))</f>
        <v>39</v>
      </c>
    </row>
    <row r="544" spans="1:3" x14ac:dyDescent="0.25">
      <c r="A544" s="1" t="s">
        <v>8185</v>
      </c>
      <c r="B544" s="1" t="s">
        <v>16377</v>
      </c>
      <c r="C544" s="3">
        <f>IF(B544="","",SUMIFS('Factory Costs'!$C:$C,'Factory Costs'!$A:$A,"Frame",'Factory Costs'!$B:$B,B544))</f>
        <v>39</v>
      </c>
    </row>
    <row r="545" spans="1:3" x14ac:dyDescent="0.25">
      <c r="A545" s="1" t="s">
        <v>8188</v>
      </c>
      <c r="B545" s="1" t="s">
        <v>16379</v>
      </c>
      <c r="C545" s="3">
        <f>IF(B545="","",SUMIFS('Factory Costs'!$C:$C,'Factory Costs'!$A:$A,"Frame",'Factory Costs'!$B:$B,B545))</f>
        <v>45</v>
      </c>
    </row>
    <row r="546" spans="1:3" x14ac:dyDescent="0.25">
      <c r="A546" s="1" t="s">
        <v>8191</v>
      </c>
      <c r="B546" s="1" t="s">
        <v>16377</v>
      </c>
      <c r="C546" s="3">
        <f>IF(B546="","",SUMIFS('Factory Costs'!$C:$C,'Factory Costs'!$A:$A,"Frame",'Factory Costs'!$B:$B,B546))</f>
        <v>39</v>
      </c>
    </row>
    <row r="547" spans="1:3" x14ac:dyDescent="0.25">
      <c r="A547" s="1" t="s">
        <v>8194</v>
      </c>
      <c r="B547" s="1" t="s">
        <v>16377</v>
      </c>
      <c r="C547" s="3">
        <f>IF(B547="","",SUMIFS('Factory Costs'!$C:$C,'Factory Costs'!$A:$A,"Frame",'Factory Costs'!$B:$B,B547))</f>
        <v>39</v>
      </c>
    </row>
    <row r="548" spans="1:3" x14ac:dyDescent="0.25">
      <c r="A548" s="1" t="s">
        <v>8197</v>
      </c>
      <c r="B548" s="1" t="s">
        <v>16379</v>
      </c>
      <c r="C548" s="3">
        <f>IF(B548="","",SUMIFS('Factory Costs'!$C:$C,'Factory Costs'!$A:$A,"Frame",'Factory Costs'!$B:$B,B548))</f>
        <v>45</v>
      </c>
    </row>
    <row r="549" spans="1:3" x14ac:dyDescent="0.25">
      <c r="A549" s="1" t="s">
        <v>8200</v>
      </c>
      <c r="B549" s="1" t="s">
        <v>16377</v>
      </c>
      <c r="C549" s="3">
        <f>IF(B549="","",SUMIFS('Factory Costs'!$C:$C,'Factory Costs'!$A:$A,"Frame",'Factory Costs'!$B:$B,B549))</f>
        <v>39</v>
      </c>
    </row>
    <row r="550" spans="1:3" x14ac:dyDescent="0.25">
      <c r="A550" s="1" t="s">
        <v>8203</v>
      </c>
      <c r="B550" s="1" t="s">
        <v>16377</v>
      </c>
      <c r="C550" s="3">
        <f>IF(B550="","",SUMIFS('Factory Costs'!$C:$C,'Factory Costs'!$A:$A,"Frame",'Factory Costs'!$B:$B,B550))</f>
        <v>39</v>
      </c>
    </row>
    <row r="551" spans="1:3" x14ac:dyDescent="0.25">
      <c r="A551" s="1" t="s">
        <v>8206</v>
      </c>
      <c r="B551" s="1" t="s">
        <v>16377</v>
      </c>
      <c r="C551" s="3">
        <f>IF(B551="","",SUMIFS('Factory Costs'!$C:$C,'Factory Costs'!$A:$A,"Frame",'Factory Costs'!$B:$B,B551))</f>
        <v>39</v>
      </c>
    </row>
    <row r="552" spans="1:3" x14ac:dyDescent="0.25">
      <c r="A552" s="1" t="s">
        <v>8209</v>
      </c>
      <c r="B552" s="1" t="s">
        <v>16377</v>
      </c>
      <c r="C552" s="3">
        <f>IF(B552="","",SUMIFS('Factory Costs'!$C:$C,'Factory Costs'!$A:$A,"Frame",'Factory Costs'!$B:$B,B552))</f>
        <v>39</v>
      </c>
    </row>
    <row r="553" spans="1:3" x14ac:dyDescent="0.25">
      <c r="A553" s="1" t="s">
        <v>8212</v>
      </c>
      <c r="B553" s="1" t="s">
        <v>16379</v>
      </c>
      <c r="C553" s="3">
        <f>IF(B553="","",SUMIFS('Factory Costs'!$C:$C,'Factory Costs'!$A:$A,"Frame",'Factory Costs'!$B:$B,B553))</f>
        <v>45</v>
      </c>
    </row>
    <row r="554" spans="1:3" x14ac:dyDescent="0.25">
      <c r="A554" s="1" t="s">
        <v>8215</v>
      </c>
      <c r="B554" s="1" t="s">
        <v>16378</v>
      </c>
      <c r="C554" s="3">
        <f>IF(B554="","",SUMIFS('Factory Costs'!$C:$C,'Factory Costs'!$A:$A,"Frame",'Factory Costs'!$B:$B,B554))</f>
        <v>52</v>
      </c>
    </row>
    <row r="555" spans="1:3" x14ac:dyDescent="0.25">
      <c r="A555" s="1" t="s">
        <v>8218</v>
      </c>
      <c r="B555" s="1" t="s">
        <v>16378</v>
      </c>
      <c r="C555" s="3">
        <f>IF(B555="","",SUMIFS('Factory Costs'!$C:$C,'Factory Costs'!$A:$A,"Frame",'Factory Costs'!$B:$B,B555))</f>
        <v>52</v>
      </c>
    </row>
    <row r="556" spans="1:3" x14ac:dyDescent="0.25">
      <c r="A556" s="1" t="s">
        <v>8221</v>
      </c>
      <c r="B556" s="1" t="s">
        <v>16377</v>
      </c>
      <c r="C556" s="3">
        <f>IF(B556="","",SUMIFS('Factory Costs'!$C:$C,'Factory Costs'!$A:$A,"Frame",'Factory Costs'!$B:$B,B556))</f>
        <v>39</v>
      </c>
    </row>
    <row r="557" spans="1:3" x14ac:dyDescent="0.25">
      <c r="A557" s="1" t="s">
        <v>8224</v>
      </c>
      <c r="B557" s="1" t="s">
        <v>16377</v>
      </c>
      <c r="C557" s="3">
        <f>IF(B557="","",SUMIFS('Factory Costs'!$C:$C,'Factory Costs'!$A:$A,"Frame",'Factory Costs'!$B:$B,B557))</f>
        <v>39</v>
      </c>
    </row>
    <row r="558" spans="1:3" x14ac:dyDescent="0.25">
      <c r="A558" s="1" t="s">
        <v>8227</v>
      </c>
      <c r="B558" s="1" t="s">
        <v>16378</v>
      </c>
      <c r="C558" s="3">
        <f>IF(B558="","",SUMIFS('Factory Costs'!$C:$C,'Factory Costs'!$A:$A,"Frame",'Factory Costs'!$B:$B,B558))</f>
        <v>52</v>
      </c>
    </row>
    <row r="559" spans="1:3" x14ac:dyDescent="0.25">
      <c r="A559" s="1" t="s">
        <v>8230</v>
      </c>
      <c r="B559" s="1" t="s">
        <v>16379</v>
      </c>
      <c r="C559" s="3">
        <f>IF(B559="","",SUMIFS('Factory Costs'!$C:$C,'Factory Costs'!$A:$A,"Frame",'Factory Costs'!$B:$B,B559))</f>
        <v>45</v>
      </c>
    </row>
    <row r="560" spans="1:3" x14ac:dyDescent="0.25">
      <c r="A560" s="1" t="s">
        <v>8233</v>
      </c>
      <c r="B560" s="1" t="s">
        <v>16378</v>
      </c>
      <c r="C560" s="3">
        <f>IF(B560="","",SUMIFS('Factory Costs'!$C:$C,'Factory Costs'!$A:$A,"Frame",'Factory Costs'!$B:$B,B560))</f>
        <v>52</v>
      </c>
    </row>
    <row r="561" spans="1:3" x14ac:dyDescent="0.25">
      <c r="A561" s="1" t="s">
        <v>8236</v>
      </c>
      <c r="B561" s="1" t="s">
        <v>16378</v>
      </c>
      <c r="C561" s="3">
        <f>IF(B561="","",SUMIFS('Factory Costs'!$C:$C,'Factory Costs'!$A:$A,"Frame",'Factory Costs'!$B:$B,B561))</f>
        <v>52</v>
      </c>
    </row>
    <row r="562" spans="1:3" x14ac:dyDescent="0.25">
      <c r="A562" s="1" t="s">
        <v>8239</v>
      </c>
      <c r="B562" s="1" t="s">
        <v>16377</v>
      </c>
      <c r="C562" s="3">
        <f>IF(B562="","",SUMIFS('Factory Costs'!$C:$C,'Factory Costs'!$A:$A,"Frame",'Factory Costs'!$B:$B,B562))</f>
        <v>39</v>
      </c>
    </row>
    <row r="563" spans="1:3" x14ac:dyDescent="0.25">
      <c r="A563" s="1" t="s">
        <v>8242</v>
      </c>
      <c r="B563" s="1" t="s">
        <v>16377</v>
      </c>
      <c r="C563" s="3">
        <f>IF(B563="","",SUMIFS('Factory Costs'!$C:$C,'Factory Costs'!$A:$A,"Frame",'Factory Costs'!$B:$B,B563))</f>
        <v>39</v>
      </c>
    </row>
    <row r="564" spans="1:3" x14ac:dyDescent="0.25">
      <c r="A564" s="1" t="s">
        <v>8245</v>
      </c>
      <c r="B564" s="1" t="s">
        <v>16377</v>
      </c>
      <c r="C564" s="3">
        <f>IF(B564="","",SUMIFS('Factory Costs'!$C:$C,'Factory Costs'!$A:$A,"Frame",'Factory Costs'!$B:$B,B564))</f>
        <v>39</v>
      </c>
    </row>
    <row r="565" spans="1:3" x14ac:dyDescent="0.25">
      <c r="A565" s="1" t="s">
        <v>8248</v>
      </c>
      <c r="B565" s="1" t="s">
        <v>16378</v>
      </c>
      <c r="C565" s="3">
        <f>IF(B565="","",SUMIFS('Factory Costs'!$C:$C,'Factory Costs'!$A:$A,"Frame",'Factory Costs'!$B:$B,B565))</f>
        <v>52</v>
      </c>
    </row>
    <row r="566" spans="1:3" x14ac:dyDescent="0.25">
      <c r="A566" s="1" t="s">
        <v>8251</v>
      </c>
      <c r="B566" s="1" t="s">
        <v>16379</v>
      </c>
      <c r="C566" s="3">
        <f>IF(B566="","",SUMIFS('Factory Costs'!$C:$C,'Factory Costs'!$A:$A,"Frame",'Factory Costs'!$B:$B,B566))</f>
        <v>45</v>
      </c>
    </row>
    <row r="567" spans="1:3" x14ac:dyDescent="0.25">
      <c r="A567" s="1" t="s">
        <v>8254</v>
      </c>
      <c r="B567" s="1" t="s">
        <v>16378</v>
      </c>
      <c r="C567" s="3">
        <f>IF(B567="","",SUMIFS('Factory Costs'!$C:$C,'Factory Costs'!$A:$A,"Frame",'Factory Costs'!$B:$B,B567))</f>
        <v>52</v>
      </c>
    </row>
    <row r="568" spans="1:3" x14ac:dyDescent="0.25">
      <c r="A568" s="1" t="s">
        <v>8257</v>
      </c>
      <c r="B568" s="1" t="s">
        <v>16379</v>
      </c>
      <c r="C568" s="3">
        <f>IF(B568="","",SUMIFS('Factory Costs'!$C:$C,'Factory Costs'!$A:$A,"Frame",'Factory Costs'!$B:$B,B568))</f>
        <v>45</v>
      </c>
    </row>
    <row r="569" spans="1:3" x14ac:dyDescent="0.25">
      <c r="A569" s="1" t="s">
        <v>8260</v>
      </c>
      <c r="B569" s="1" t="s">
        <v>16378</v>
      </c>
      <c r="C569" s="3">
        <f>IF(B569="","",SUMIFS('Factory Costs'!$C:$C,'Factory Costs'!$A:$A,"Frame",'Factory Costs'!$B:$B,B569))</f>
        <v>52</v>
      </c>
    </row>
    <row r="570" spans="1:3" x14ac:dyDescent="0.25">
      <c r="A570" s="1" t="s">
        <v>8263</v>
      </c>
      <c r="B570" s="1" t="s">
        <v>16378</v>
      </c>
      <c r="C570" s="3">
        <f>IF(B570="","",SUMIFS('Factory Costs'!$C:$C,'Factory Costs'!$A:$A,"Frame",'Factory Costs'!$B:$B,B570))</f>
        <v>52</v>
      </c>
    </row>
    <row r="571" spans="1:3" x14ac:dyDescent="0.25">
      <c r="A571" s="1" t="s">
        <v>8266</v>
      </c>
      <c r="B571" s="1" t="s">
        <v>16379</v>
      </c>
      <c r="C571" s="3">
        <f>IF(B571="","",SUMIFS('Factory Costs'!$C:$C,'Factory Costs'!$A:$A,"Frame",'Factory Costs'!$B:$B,B571))</f>
        <v>45</v>
      </c>
    </row>
    <row r="572" spans="1:3" x14ac:dyDescent="0.25">
      <c r="A572" s="1" t="s">
        <v>8269</v>
      </c>
      <c r="B572" s="1" t="s">
        <v>16378</v>
      </c>
      <c r="C572" s="3">
        <f>IF(B572="","",SUMIFS('Factory Costs'!$C:$C,'Factory Costs'!$A:$A,"Frame",'Factory Costs'!$B:$B,B572))</f>
        <v>52</v>
      </c>
    </row>
    <row r="573" spans="1:3" x14ac:dyDescent="0.25">
      <c r="A573" s="1" t="s">
        <v>8272</v>
      </c>
      <c r="B573" s="1" t="s">
        <v>16379</v>
      </c>
      <c r="C573" s="3">
        <f>IF(B573="","",SUMIFS('Factory Costs'!$C:$C,'Factory Costs'!$A:$A,"Frame",'Factory Costs'!$B:$B,B573))</f>
        <v>45</v>
      </c>
    </row>
    <row r="574" spans="1:3" x14ac:dyDescent="0.25">
      <c r="A574" s="1" t="s">
        <v>8275</v>
      </c>
      <c r="B574" s="1" t="s">
        <v>16379</v>
      </c>
      <c r="C574" s="3">
        <f>IF(B574="","",SUMIFS('Factory Costs'!$C:$C,'Factory Costs'!$A:$A,"Frame",'Factory Costs'!$B:$B,B574))</f>
        <v>45</v>
      </c>
    </row>
    <row r="575" spans="1:3" x14ac:dyDescent="0.25">
      <c r="A575" s="1" t="s">
        <v>8278</v>
      </c>
      <c r="B575" s="1" t="s">
        <v>16377</v>
      </c>
      <c r="C575" s="3">
        <f>IF(B575="","",SUMIFS('Factory Costs'!$C:$C,'Factory Costs'!$A:$A,"Frame",'Factory Costs'!$B:$B,B575))</f>
        <v>39</v>
      </c>
    </row>
    <row r="576" spans="1:3" x14ac:dyDescent="0.25">
      <c r="A576" s="1" t="s">
        <v>8281</v>
      </c>
      <c r="B576" s="1" t="s">
        <v>16377</v>
      </c>
      <c r="C576" s="3">
        <f>IF(B576="","",SUMIFS('Factory Costs'!$C:$C,'Factory Costs'!$A:$A,"Frame",'Factory Costs'!$B:$B,B576))</f>
        <v>39</v>
      </c>
    </row>
    <row r="577" spans="1:3" x14ac:dyDescent="0.25">
      <c r="A577" s="1" t="s">
        <v>8284</v>
      </c>
      <c r="B577" s="1" t="s">
        <v>16377</v>
      </c>
      <c r="C577" s="3">
        <f>IF(B577="","",SUMIFS('Factory Costs'!$C:$C,'Factory Costs'!$A:$A,"Frame",'Factory Costs'!$B:$B,B577))</f>
        <v>39</v>
      </c>
    </row>
    <row r="578" spans="1:3" x14ac:dyDescent="0.25">
      <c r="A578" s="1" t="s">
        <v>8287</v>
      </c>
      <c r="B578" s="1" t="s">
        <v>16377</v>
      </c>
      <c r="C578" s="3">
        <f>IF(B578="","",SUMIFS('Factory Costs'!$C:$C,'Factory Costs'!$A:$A,"Frame",'Factory Costs'!$B:$B,B578))</f>
        <v>39</v>
      </c>
    </row>
    <row r="579" spans="1:3" x14ac:dyDescent="0.25">
      <c r="A579" s="1" t="s">
        <v>8290</v>
      </c>
      <c r="B579" s="1" t="s">
        <v>16377</v>
      </c>
      <c r="C579" s="3">
        <f>IF(B579="","",SUMIFS('Factory Costs'!$C:$C,'Factory Costs'!$A:$A,"Frame",'Factory Costs'!$B:$B,B579))</f>
        <v>39</v>
      </c>
    </row>
    <row r="580" spans="1:3" x14ac:dyDescent="0.25">
      <c r="A580" s="1" t="s">
        <v>8293</v>
      </c>
      <c r="B580" s="1" t="s">
        <v>16377</v>
      </c>
      <c r="C580" s="3">
        <f>IF(B580="","",SUMIFS('Factory Costs'!$C:$C,'Factory Costs'!$A:$A,"Frame",'Factory Costs'!$B:$B,B580))</f>
        <v>39</v>
      </c>
    </row>
    <row r="581" spans="1:3" x14ac:dyDescent="0.25">
      <c r="A581" s="1" t="s">
        <v>8296</v>
      </c>
      <c r="B581" s="1" t="s">
        <v>16379</v>
      </c>
      <c r="C581" s="3">
        <f>IF(B581="","",SUMIFS('Factory Costs'!$C:$C,'Factory Costs'!$A:$A,"Frame",'Factory Costs'!$B:$B,B581))</f>
        <v>45</v>
      </c>
    </row>
    <row r="582" spans="1:3" x14ac:dyDescent="0.25">
      <c r="A582" s="1" t="s">
        <v>8299</v>
      </c>
      <c r="B582" s="1" t="s">
        <v>16378</v>
      </c>
      <c r="C582" s="3">
        <f>IF(B582="","",SUMIFS('Factory Costs'!$C:$C,'Factory Costs'!$A:$A,"Frame",'Factory Costs'!$B:$B,B582))</f>
        <v>52</v>
      </c>
    </row>
    <row r="583" spans="1:3" x14ac:dyDescent="0.25">
      <c r="A583" s="1" t="s">
        <v>8302</v>
      </c>
      <c r="B583" s="1" t="s">
        <v>16377</v>
      </c>
      <c r="C583" s="3">
        <f>IF(B583="","",SUMIFS('Factory Costs'!$C:$C,'Factory Costs'!$A:$A,"Frame",'Factory Costs'!$B:$B,B583))</f>
        <v>39</v>
      </c>
    </row>
    <row r="584" spans="1:3" x14ac:dyDescent="0.25">
      <c r="A584" s="1" t="s">
        <v>8305</v>
      </c>
      <c r="B584" s="1" t="s">
        <v>16379</v>
      </c>
      <c r="C584" s="3">
        <f>IF(B584="","",SUMIFS('Factory Costs'!$C:$C,'Factory Costs'!$A:$A,"Frame",'Factory Costs'!$B:$B,B584))</f>
        <v>45</v>
      </c>
    </row>
    <row r="585" spans="1:3" x14ac:dyDescent="0.25">
      <c r="A585" s="1" t="s">
        <v>8308</v>
      </c>
      <c r="B585" s="1" t="s">
        <v>16377</v>
      </c>
      <c r="C585" s="3">
        <f>IF(B585="","",SUMIFS('Factory Costs'!$C:$C,'Factory Costs'!$A:$A,"Frame",'Factory Costs'!$B:$B,B585))</f>
        <v>39</v>
      </c>
    </row>
    <row r="586" spans="1:3" x14ac:dyDescent="0.25">
      <c r="A586" s="1" t="s">
        <v>8311</v>
      </c>
      <c r="B586" s="1" t="s">
        <v>16377</v>
      </c>
      <c r="C586" s="3">
        <f>IF(B586="","",SUMIFS('Factory Costs'!$C:$C,'Factory Costs'!$A:$A,"Frame",'Factory Costs'!$B:$B,B586))</f>
        <v>39</v>
      </c>
    </row>
    <row r="587" spans="1:3" x14ac:dyDescent="0.25">
      <c r="A587" s="1" t="s">
        <v>8314</v>
      </c>
      <c r="B587" s="1" t="s">
        <v>16379</v>
      </c>
      <c r="C587" s="3">
        <f>IF(B587="","",SUMIFS('Factory Costs'!$C:$C,'Factory Costs'!$A:$A,"Frame",'Factory Costs'!$B:$B,B587))</f>
        <v>45</v>
      </c>
    </row>
    <row r="588" spans="1:3" x14ac:dyDescent="0.25">
      <c r="A588" s="1" t="s">
        <v>8317</v>
      </c>
      <c r="B588" s="1" t="s">
        <v>16377</v>
      </c>
      <c r="C588" s="3">
        <f>IF(B588="","",SUMIFS('Factory Costs'!$C:$C,'Factory Costs'!$A:$A,"Frame",'Factory Costs'!$B:$B,B588))</f>
        <v>39</v>
      </c>
    </row>
    <row r="589" spans="1:3" x14ac:dyDescent="0.25">
      <c r="A589" s="1" t="s">
        <v>8320</v>
      </c>
      <c r="B589" s="1" t="s">
        <v>16377</v>
      </c>
      <c r="C589" s="3">
        <f>IF(B589="","",SUMIFS('Factory Costs'!$C:$C,'Factory Costs'!$A:$A,"Frame",'Factory Costs'!$B:$B,B589))</f>
        <v>39</v>
      </c>
    </row>
    <row r="590" spans="1:3" x14ac:dyDescent="0.25">
      <c r="A590" s="1" t="s">
        <v>8323</v>
      </c>
      <c r="B590" s="1" t="s">
        <v>16377</v>
      </c>
      <c r="C590" s="3">
        <f>IF(B590="","",SUMIFS('Factory Costs'!$C:$C,'Factory Costs'!$A:$A,"Frame",'Factory Costs'!$B:$B,B590))</f>
        <v>39</v>
      </c>
    </row>
    <row r="591" spans="1:3" x14ac:dyDescent="0.25">
      <c r="A591" s="1" t="s">
        <v>8326</v>
      </c>
      <c r="B591" s="1" t="s">
        <v>16377</v>
      </c>
      <c r="C591" s="3">
        <f>IF(B591="","",SUMIFS('Factory Costs'!$C:$C,'Factory Costs'!$A:$A,"Frame",'Factory Costs'!$B:$B,B591))</f>
        <v>39</v>
      </c>
    </row>
    <row r="592" spans="1:3" x14ac:dyDescent="0.25">
      <c r="A592" s="1" t="s">
        <v>8329</v>
      </c>
      <c r="B592" s="1" t="s">
        <v>16377</v>
      </c>
      <c r="C592" s="3">
        <f>IF(B592="","",SUMIFS('Factory Costs'!$C:$C,'Factory Costs'!$A:$A,"Frame",'Factory Costs'!$B:$B,B592))</f>
        <v>39</v>
      </c>
    </row>
    <row r="593" spans="1:3" x14ac:dyDescent="0.25">
      <c r="A593" s="1" t="s">
        <v>8332</v>
      </c>
      <c r="B593" s="1" t="s">
        <v>16379</v>
      </c>
      <c r="C593" s="3">
        <f>IF(B593="","",SUMIFS('Factory Costs'!$C:$C,'Factory Costs'!$A:$A,"Frame",'Factory Costs'!$B:$B,B593))</f>
        <v>45</v>
      </c>
    </row>
    <row r="594" spans="1:3" x14ac:dyDescent="0.25">
      <c r="A594" s="1" t="s">
        <v>8335</v>
      </c>
      <c r="B594" s="1" t="s">
        <v>16378</v>
      </c>
      <c r="C594" s="3">
        <f>IF(B594="","",SUMIFS('Factory Costs'!$C:$C,'Factory Costs'!$A:$A,"Frame",'Factory Costs'!$B:$B,B594))</f>
        <v>52</v>
      </c>
    </row>
    <row r="595" spans="1:3" x14ac:dyDescent="0.25">
      <c r="A595" s="1" t="s">
        <v>8338</v>
      </c>
      <c r="B595" s="1" t="s">
        <v>16379</v>
      </c>
      <c r="C595" s="3">
        <f>IF(B595="","",SUMIFS('Factory Costs'!$C:$C,'Factory Costs'!$A:$A,"Frame",'Factory Costs'!$B:$B,B595))</f>
        <v>45</v>
      </c>
    </row>
    <row r="596" spans="1:3" x14ac:dyDescent="0.25">
      <c r="A596" s="1" t="s">
        <v>8341</v>
      </c>
      <c r="B596" s="1" t="s">
        <v>16379</v>
      </c>
      <c r="C596" s="3">
        <f>IF(B596="","",SUMIFS('Factory Costs'!$C:$C,'Factory Costs'!$A:$A,"Frame",'Factory Costs'!$B:$B,B596))</f>
        <v>45</v>
      </c>
    </row>
    <row r="597" spans="1:3" x14ac:dyDescent="0.25">
      <c r="A597" s="1" t="s">
        <v>8344</v>
      </c>
      <c r="B597" s="1" t="s">
        <v>16379</v>
      </c>
      <c r="C597" s="3">
        <f>IF(B597="","",SUMIFS('Factory Costs'!$C:$C,'Factory Costs'!$A:$A,"Frame",'Factory Costs'!$B:$B,B597))</f>
        <v>45</v>
      </c>
    </row>
    <row r="598" spans="1:3" x14ac:dyDescent="0.25">
      <c r="A598" s="1" t="s">
        <v>8347</v>
      </c>
      <c r="B598" s="1" t="s">
        <v>16379</v>
      </c>
      <c r="C598" s="3">
        <f>IF(B598="","",SUMIFS('Factory Costs'!$C:$C,'Factory Costs'!$A:$A,"Frame",'Factory Costs'!$B:$B,B598))</f>
        <v>45</v>
      </c>
    </row>
    <row r="599" spans="1:3" x14ac:dyDescent="0.25">
      <c r="A599" s="1" t="s">
        <v>8350</v>
      </c>
      <c r="B599" s="1" t="s">
        <v>16377</v>
      </c>
      <c r="C599" s="3">
        <f>IF(B599="","",SUMIFS('Factory Costs'!$C:$C,'Factory Costs'!$A:$A,"Frame",'Factory Costs'!$B:$B,B599))</f>
        <v>39</v>
      </c>
    </row>
    <row r="600" spans="1:3" x14ac:dyDescent="0.25">
      <c r="A600" s="1" t="s">
        <v>8353</v>
      </c>
      <c r="B600" s="1" t="s">
        <v>16377</v>
      </c>
      <c r="C600" s="3">
        <f>IF(B600="","",SUMIFS('Factory Costs'!$C:$C,'Factory Costs'!$A:$A,"Frame",'Factory Costs'!$B:$B,B600))</f>
        <v>39</v>
      </c>
    </row>
    <row r="601" spans="1:3" x14ac:dyDescent="0.25">
      <c r="A601" s="1" t="s">
        <v>8356</v>
      </c>
      <c r="B601" s="1" t="s">
        <v>16377</v>
      </c>
      <c r="C601" s="3">
        <f>IF(B601="","",SUMIFS('Factory Costs'!$C:$C,'Factory Costs'!$A:$A,"Frame",'Factory Costs'!$B:$B,B601))</f>
        <v>39</v>
      </c>
    </row>
    <row r="602" spans="1:3" x14ac:dyDescent="0.25">
      <c r="A602" s="1" t="s">
        <v>8359</v>
      </c>
      <c r="B602" s="1" t="s">
        <v>16379</v>
      </c>
      <c r="C602" s="3">
        <f>IF(B602="","",SUMIFS('Factory Costs'!$C:$C,'Factory Costs'!$A:$A,"Frame",'Factory Costs'!$B:$B,B602))</f>
        <v>45</v>
      </c>
    </row>
    <row r="603" spans="1:3" x14ac:dyDescent="0.25">
      <c r="A603" s="1" t="s">
        <v>8362</v>
      </c>
      <c r="B603" s="1" t="s">
        <v>16378</v>
      </c>
      <c r="C603" s="3">
        <f>IF(B603="","",SUMIFS('Factory Costs'!$C:$C,'Factory Costs'!$A:$A,"Frame",'Factory Costs'!$B:$B,B603))</f>
        <v>52</v>
      </c>
    </row>
    <row r="604" spans="1:3" x14ac:dyDescent="0.25">
      <c r="A604" s="1" t="s">
        <v>8365</v>
      </c>
      <c r="B604" s="1" t="s">
        <v>16377</v>
      </c>
      <c r="C604" s="3">
        <f>IF(B604="","",SUMIFS('Factory Costs'!$C:$C,'Factory Costs'!$A:$A,"Frame",'Factory Costs'!$B:$B,B604))</f>
        <v>39</v>
      </c>
    </row>
    <row r="605" spans="1:3" x14ac:dyDescent="0.25">
      <c r="A605" s="1" t="s">
        <v>8368</v>
      </c>
      <c r="B605" s="1" t="s">
        <v>16378</v>
      </c>
      <c r="C605" s="3">
        <f>IF(B605="","",SUMIFS('Factory Costs'!$C:$C,'Factory Costs'!$A:$A,"Frame",'Factory Costs'!$B:$B,B605))</f>
        <v>52</v>
      </c>
    </row>
    <row r="606" spans="1:3" x14ac:dyDescent="0.25">
      <c r="A606" s="1" t="s">
        <v>8371</v>
      </c>
      <c r="B606" s="1" t="s">
        <v>16377</v>
      </c>
      <c r="C606" s="3">
        <f>IF(B606="","",SUMIFS('Factory Costs'!$C:$C,'Factory Costs'!$A:$A,"Frame",'Factory Costs'!$B:$B,B606))</f>
        <v>39</v>
      </c>
    </row>
    <row r="607" spans="1:3" x14ac:dyDescent="0.25">
      <c r="A607" s="1" t="s">
        <v>8374</v>
      </c>
      <c r="B607" s="1" t="s">
        <v>16379</v>
      </c>
      <c r="C607" s="3">
        <f>IF(B607="","",SUMIFS('Factory Costs'!$C:$C,'Factory Costs'!$A:$A,"Frame",'Factory Costs'!$B:$B,B607))</f>
        <v>45</v>
      </c>
    </row>
    <row r="608" spans="1:3" x14ac:dyDescent="0.25">
      <c r="A608" s="1" t="s">
        <v>8377</v>
      </c>
      <c r="B608" s="1" t="s">
        <v>16378</v>
      </c>
      <c r="C608" s="3">
        <f>IF(B608="","",SUMIFS('Factory Costs'!$C:$C,'Factory Costs'!$A:$A,"Frame",'Factory Costs'!$B:$B,B608))</f>
        <v>52</v>
      </c>
    </row>
    <row r="609" spans="1:3" x14ac:dyDescent="0.25">
      <c r="A609" s="1" t="s">
        <v>8380</v>
      </c>
      <c r="B609" s="1" t="s">
        <v>16378</v>
      </c>
      <c r="C609" s="3">
        <f>IF(B609="","",SUMIFS('Factory Costs'!$C:$C,'Factory Costs'!$A:$A,"Frame",'Factory Costs'!$B:$B,B609))</f>
        <v>52</v>
      </c>
    </row>
    <row r="610" spans="1:3" x14ac:dyDescent="0.25">
      <c r="A610" s="1" t="s">
        <v>8383</v>
      </c>
      <c r="B610" s="1" t="s">
        <v>16377</v>
      </c>
      <c r="C610" s="3">
        <f>IF(B610="","",SUMIFS('Factory Costs'!$C:$C,'Factory Costs'!$A:$A,"Frame",'Factory Costs'!$B:$B,B610))</f>
        <v>39</v>
      </c>
    </row>
    <row r="611" spans="1:3" x14ac:dyDescent="0.25">
      <c r="A611" s="1" t="s">
        <v>8386</v>
      </c>
      <c r="B611" s="1" t="s">
        <v>16377</v>
      </c>
      <c r="C611" s="3">
        <f>IF(B611="","",SUMIFS('Factory Costs'!$C:$C,'Factory Costs'!$A:$A,"Frame",'Factory Costs'!$B:$B,B611))</f>
        <v>39</v>
      </c>
    </row>
    <row r="612" spans="1:3" x14ac:dyDescent="0.25">
      <c r="A612" s="1" t="s">
        <v>8389</v>
      </c>
      <c r="B612" s="1" t="s">
        <v>16377</v>
      </c>
      <c r="C612" s="3">
        <f>IF(B612="","",SUMIFS('Factory Costs'!$C:$C,'Factory Costs'!$A:$A,"Frame",'Factory Costs'!$B:$B,B612))</f>
        <v>39</v>
      </c>
    </row>
    <row r="613" spans="1:3" x14ac:dyDescent="0.25">
      <c r="A613" s="1" t="s">
        <v>8392</v>
      </c>
      <c r="B613" s="1" t="s">
        <v>16378</v>
      </c>
      <c r="C613" s="3">
        <f>IF(B613="","",SUMIFS('Factory Costs'!$C:$C,'Factory Costs'!$A:$A,"Frame",'Factory Costs'!$B:$B,B613))</f>
        <v>52</v>
      </c>
    </row>
    <row r="614" spans="1:3" x14ac:dyDescent="0.25">
      <c r="A614" s="1" t="s">
        <v>8395</v>
      </c>
      <c r="B614" s="1" t="s">
        <v>16378</v>
      </c>
      <c r="C614" s="3">
        <f>IF(B614="","",SUMIFS('Factory Costs'!$C:$C,'Factory Costs'!$A:$A,"Frame",'Factory Costs'!$B:$B,B614))</f>
        <v>52</v>
      </c>
    </row>
    <row r="615" spans="1:3" x14ac:dyDescent="0.25">
      <c r="A615" s="1" t="s">
        <v>8398</v>
      </c>
      <c r="B615" s="1" t="s">
        <v>16378</v>
      </c>
      <c r="C615" s="3">
        <f>IF(B615="","",SUMIFS('Factory Costs'!$C:$C,'Factory Costs'!$A:$A,"Frame",'Factory Costs'!$B:$B,B615))</f>
        <v>52</v>
      </c>
    </row>
    <row r="616" spans="1:3" x14ac:dyDescent="0.25">
      <c r="A616" s="1" t="s">
        <v>8401</v>
      </c>
      <c r="B616" s="1" t="s">
        <v>16377</v>
      </c>
      <c r="C616" s="3">
        <f>IF(B616="","",SUMIFS('Factory Costs'!$C:$C,'Factory Costs'!$A:$A,"Frame",'Factory Costs'!$B:$B,B616))</f>
        <v>39</v>
      </c>
    </row>
    <row r="617" spans="1:3" x14ac:dyDescent="0.25">
      <c r="A617" s="1" t="s">
        <v>8404</v>
      </c>
      <c r="B617" s="1" t="s">
        <v>16379</v>
      </c>
      <c r="C617" s="3">
        <f>IF(B617="","",SUMIFS('Factory Costs'!$C:$C,'Factory Costs'!$A:$A,"Frame",'Factory Costs'!$B:$B,B617))</f>
        <v>45</v>
      </c>
    </row>
    <row r="618" spans="1:3" x14ac:dyDescent="0.25">
      <c r="A618" s="1" t="s">
        <v>8407</v>
      </c>
      <c r="B618" s="1" t="s">
        <v>16377</v>
      </c>
      <c r="C618" s="3">
        <f>IF(B618="","",SUMIFS('Factory Costs'!$C:$C,'Factory Costs'!$A:$A,"Frame",'Factory Costs'!$B:$B,B618))</f>
        <v>39</v>
      </c>
    </row>
    <row r="619" spans="1:3" x14ac:dyDescent="0.25">
      <c r="A619" s="1" t="s">
        <v>8410</v>
      </c>
      <c r="B619" s="1" t="s">
        <v>16377</v>
      </c>
      <c r="C619" s="3">
        <f>IF(B619="","",SUMIFS('Factory Costs'!$C:$C,'Factory Costs'!$A:$A,"Frame",'Factory Costs'!$B:$B,B619))</f>
        <v>39</v>
      </c>
    </row>
    <row r="620" spans="1:3" x14ac:dyDescent="0.25">
      <c r="A620" s="1" t="s">
        <v>8413</v>
      </c>
      <c r="B620" s="1" t="s">
        <v>16379</v>
      </c>
      <c r="C620" s="3">
        <f>IF(B620="","",SUMIFS('Factory Costs'!$C:$C,'Factory Costs'!$A:$A,"Frame",'Factory Costs'!$B:$B,B620))</f>
        <v>45</v>
      </c>
    </row>
    <row r="621" spans="1:3" x14ac:dyDescent="0.25">
      <c r="A621" s="1" t="s">
        <v>8416</v>
      </c>
      <c r="B621" s="1" t="s">
        <v>16378</v>
      </c>
      <c r="C621" s="3">
        <f>IF(B621="","",SUMIFS('Factory Costs'!$C:$C,'Factory Costs'!$A:$A,"Frame",'Factory Costs'!$B:$B,B621))</f>
        <v>52</v>
      </c>
    </row>
    <row r="622" spans="1:3" x14ac:dyDescent="0.25">
      <c r="A622" s="1" t="s">
        <v>8419</v>
      </c>
      <c r="B622" s="1" t="s">
        <v>16378</v>
      </c>
      <c r="C622" s="3">
        <f>IF(B622="","",SUMIFS('Factory Costs'!$C:$C,'Factory Costs'!$A:$A,"Frame",'Factory Costs'!$B:$B,B622))</f>
        <v>52</v>
      </c>
    </row>
    <row r="623" spans="1:3" x14ac:dyDescent="0.25">
      <c r="A623" s="1" t="s">
        <v>8422</v>
      </c>
      <c r="B623" s="1" t="s">
        <v>16378</v>
      </c>
      <c r="C623" s="3">
        <f>IF(B623="","",SUMIFS('Factory Costs'!$C:$C,'Factory Costs'!$A:$A,"Frame",'Factory Costs'!$B:$B,B623))</f>
        <v>52</v>
      </c>
    </row>
    <row r="624" spans="1:3" x14ac:dyDescent="0.25">
      <c r="A624" s="1" t="s">
        <v>8425</v>
      </c>
      <c r="B624" s="1" t="s">
        <v>16377</v>
      </c>
      <c r="C624" s="3">
        <f>IF(B624="","",SUMIFS('Factory Costs'!$C:$C,'Factory Costs'!$A:$A,"Frame",'Factory Costs'!$B:$B,B624))</f>
        <v>39</v>
      </c>
    </row>
    <row r="625" spans="1:3" x14ac:dyDescent="0.25">
      <c r="A625" s="1" t="s">
        <v>8428</v>
      </c>
      <c r="B625" s="1" t="s">
        <v>16377</v>
      </c>
      <c r="C625" s="3">
        <f>IF(B625="","",SUMIFS('Factory Costs'!$C:$C,'Factory Costs'!$A:$A,"Frame",'Factory Costs'!$B:$B,B625))</f>
        <v>39</v>
      </c>
    </row>
    <row r="626" spans="1:3" x14ac:dyDescent="0.25">
      <c r="A626" s="1" t="s">
        <v>8431</v>
      </c>
      <c r="B626" s="1" t="s">
        <v>16378</v>
      </c>
      <c r="C626" s="3">
        <f>IF(B626="","",SUMIFS('Factory Costs'!$C:$C,'Factory Costs'!$A:$A,"Frame",'Factory Costs'!$B:$B,B626))</f>
        <v>52</v>
      </c>
    </row>
    <row r="627" spans="1:3" x14ac:dyDescent="0.25">
      <c r="A627" s="1" t="s">
        <v>8434</v>
      </c>
      <c r="B627" s="1" t="s">
        <v>16379</v>
      </c>
      <c r="C627" s="3">
        <f>IF(B627="","",SUMIFS('Factory Costs'!$C:$C,'Factory Costs'!$A:$A,"Frame",'Factory Costs'!$B:$B,B627))</f>
        <v>45</v>
      </c>
    </row>
    <row r="628" spans="1:3" x14ac:dyDescent="0.25">
      <c r="A628" s="1" t="s">
        <v>8437</v>
      </c>
      <c r="B628" s="1" t="s">
        <v>16377</v>
      </c>
      <c r="C628" s="3">
        <f>IF(B628="","",SUMIFS('Factory Costs'!$C:$C,'Factory Costs'!$A:$A,"Frame",'Factory Costs'!$B:$B,B628))</f>
        <v>39</v>
      </c>
    </row>
    <row r="629" spans="1:3" x14ac:dyDescent="0.25">
      <c r="A629" s="1" t="s">
        <v>8440</v>
      </c>
      <c r="B629" s="1" t="s">
        <v>16379</v>
      </c>
      <c r="C629" s="3">
        <f>IF(B629="","",SUMIFS('Factory Costs'!$C:$C,'Factory Costs'!$A:$A,"Frame",'Factory Costs'!$B:$B,B629))</f>
        <v>45</v>
      </c>
    </row>
    <row r="630" spans="1:3" x14ac:dyDescent="0.25">
      <c r="A630" s="1" t="s">
        <v>8443</v>
      </c>
      <c r="B630" s="1" t="s">
        <v>16377</v>
      </c>
      <c r="C630" s="3">
        <f>IF(B630="","",SUMIFS('Factory Costs'!$C:$C,'Factory Costs'!$A:$A,"Frame",'Factory Costs'!$B:$B,B630))</f>
        <v>39</v>
      </c>
    </row>
    <row r="631" spans="1:3" x14ac:dyDescent="0.25">
      <c r="A631" s="1" t="s">
        <v>8446</v>
      </c>
      <c r="B631" s="1" t="s">
        <v>16378</v>
      </c>
      <c r="C631" s="3">
        <f>IF(B631="","",SUMIFS('Factory Costs'!$C:$C,'Factory Costs'!$A:$A,"Frame",'Factory Costs'!$B:$B,B631))</f>
        <v>52</v>
      </c>
    </row>
    <row r="632" spans="1:3" x14ac:dyDescent="0.25">
      <c r="A632" s="1" t="s">
        <v>8449</v>
      </c>
      <c r="B632" s="1" t="s">
        <v>16379</v>
      </c>
      <c r="C632" s="3">
        <f>IF(B632="","",SUMIFS('Factory Costs'!$C:$C,'Factory Costs'!$A:$A,"Frame",'Factory Costs'!$B:$B,B632))</f>
        <v>45</v>
      </c>
    </row>
    <row r="633" spans="1:3" x14ac:dyDescent="0.25">
      <c r="A633" s="1" t="s">
        <v>8452</v>
      </c>
      <c r="B633" s="1" t="s">
        <v>16377</v>
      </c>
      <c r="C633" s="3">
        <f>IF(B633="","",SUMIFS('Factory Costs'!$C:$C,'Factory Costs'!$A:$A,"Frame",'Factory Costs'!$B:$B,B633))</f>
        <v>39</v>
      </c>
    </row>
    <row r="634" spans="1:3" x14ac:dyDescent="0.25">
      <c r="A634" s="1" t="s">
        <v>8455</v>
      </c>
      <c r="B634" s="1" t="s">
        <v>16377</v>
      </c>
      <c r="C634" s="3">
        <f>IF(B634="","",SUMIFS('Factory Costs'!$C:$C,'Factory Costs'!$A:$A,"Frame",'Factory Costs'!$B:$B,B634))</f>
        <v>39</v>
      </c>
    </row>
    <row r="635" spans="1:3" x14ac:dyDescent="0.25">
      <c r="A635" s="1" t="s">
        <v>8458</v>
      </c>
      <c r="B635" s="1" t="s">
        <v>16379</v>
      </c>
      <c r="C635" s="3">
        <f>IF(B635="","",SUMIFS('Factory Costs'!$C:$C,'Factory Costs'!$A:$A,"Frame",'Factory Costs'!$B:$B,B635))</f>
        <v>45</v>
      </c>
    </row>
    <row r="636" spans="1:3" x14ac:dyDescent="0.25">
      <c r="A636" s="1" t="s">
        <v>8461</v>
      </c>
      <c r="B636" s="1" t="s">
        <v>16377</v>
      </c>
      <c r="C636" s="3">
        <f>IF(B636="","",SUMIFS('Factory Costs'!$C:$C,'Factory Costs'!$A:$A,"Frame",'Factory Costs'!$B:$B,B636))</f>
        <v>39</v>
      </c>
    </row>
    <row r="637" spans="1:3" x14ac:dyDescent="0.25">
      <c r="A637" s="1" t="s">
        <v>8464</v>
      </c>
      <c r="B637" s="1" t="s">
        <v>16378</v>
      </c>
      <c r="C637" s="3">
        <f>IF(B637="","",SUMIFS('Factory Costs'!$C:$C,'Factory Costs'!$A:$A,"Frame",'Factory Costs'!$B:$B,B637))</f>
        <v>52</v>
      </c>
    </row>
    <row r="638" spans="1:3" x14ac:dyDescent="0.25">
      <c r="A638" s="1" t="s">
        <v>8467</v>
      </c>
      <c r="B638" s="1" t="s">
        <v>16378</v>
      </c>
      <c r="C638" s="3">
        <f>IF(B638="","",SUMIFS('Factory Costs'!$C:$C,'Factory Costs'!$A:$A,"Frame",'Factory Costs'!$B:$B,B638))</f>
        <v>52</v>
      </c>
    </row>
    <row r="639" spans="1:3" x14ac:dyDescent="0.25">
      <c r="A639" s="1" t="s">
        <v>8470</v>
      </c>
      <c r="B639" s="1" t="s">
        <v>16377</v>
      </c>
      <c r="C639" s="3">
        <f>IF(B639="","",SUMIFS('Factory Costs'!$C:$C,'Factory Costs'!$A:$A,"Frame",'Factory Costs'!$B:$B,B639))</f>
        <v>39</v>
      </c>
    </row>
    <row r="640" spans="1:3" x14ac:dyDescent="0.25">
      <c r="A640" s="1" t="s">
        <v>8473</v>
      </c>
      <c r="B640" s="1" t="s">
        <v>16379</v>
      </c>
      <c r="C640" s="3">
        <f>IF(B640="","",SUMIFS('Factory Costs'!$C:$C,'Factory Costs'!$A:$A,"Frame",'Factory Costs'!$B:$B,B640))</f>
        <v>45</v>
      </c>
    </row>
    <row r="641" spans="1:3" x14ac:dyDescent="0.25">
      <c r="A641" s="1" t="s">
        <v>8476</v>
      </c>
      <c r="B641" s="1" t="s">
        <v>16378</v>
      </c>
      <c r="C641" s="3">
        <f>IF(B641="","",SUMIFS('Factory Costs'!$C:$C,'Factory Costs'!$A:$A,"Frame",'Factory Costs'!$B:$B,B641))</f>
        <v>52</v>
      </c>
    </row>
    <row r="642" spans="1:3" x14ac:dyDescent="0.25">
      <c r="A642" s="1" t="s">
        <v>8479</v>
      </c>
      <c r="B642" s="1" t="s">
        <v>16378</v>
      </c>
      <c r="C642" s="3">
        <f>IF(B642="","",SUMIFS('Factory Costs'!$C:$C,'Factory Costs'!$A:$A,"Frame",'Factory Costs'!$B:$B,B642))</f>
        <v>52</v>
      </c>
    </row>
    <row r="643" spans="1:3" x14ac:dyDescent="0.25">
      <c r="A643" s="1" t="s">
        <v>8482</v>
      </c>
      <c r="B643" s="1" t="s">
        <v>16377</v>
      </c>
      <c r="C643" s="3">
        <f>IF(B643="","",SUMIFS('Factory Costs'!$C:$C,'Factory Costs'!$A:$A,"Frame",'Factory Costs'!$B:$B,B643))</f>
        <v>39</v>
      </c>
    </row>
    <row r="644" spans="1:3" x14ac:dyDescent="0.25">
      <c r="A644" s="1" t="s">
        <v>8485</v>
      </c>
      <c r="B644" s="1" t="s">
        <v>16379</v>
      </c>
      <c r="C644" s="3">
        <f>IF(B644="","",SUMIFS('Factory Costs'!$C:$C,'Factory Costs'!$A:$A,"Frame",'Factory Costs'!$B:$B,B644))</f>
        <v>45</v>
      </c>
    </row>
    <row r="645" spans="1:3" x14ac:dyDescent="0.25">
      <c r="A645" s="1" t="s">
        <v>8488</v>
      </c>
      <c r="B645" s="1" t="s">
        <v>16378</v>
      </c>
      <c r="C645" s="3">
        <f>IF(B645="","",SUMIFS('Factory Costs'!$C:$C,'Factory Costs'!$A:$A,"Frame",'Factory Costs'!$B:$B,B645))</f>
        <v>52</v>
      </c>
    </row>
    <row r="646" spans="1:3" x14ac:dyDescent="0.25">
      <c r="A646" s="1" t="s">
        <v>8491</v>
      </c>
      <c r="B646" s="1" t="s">
        <v>16377</v>
      </c>
      <c r="C646" s="3">
        <f>IF(B646="","",SUMIFS('Factory Costs'!$C:$C,'Factory Costs'!$A:$A,"Frame",'Factory Costs'!$B:$B,B646))</f>
        <v>39</v>
      </c>
    </row>
    <row r="647" spans="1:3" x14ac:dyDescent="0.25">
      <c r="A647" s="1" t="s">
        <v>8494</v>
      </c>
      <c r="B647" s="1" t="s">
        <v>16378</v>
      </c>
      <c r="C647" s="3">
        <f>IF(B647="","",SUMIFS('Factory Costs'!$C:$C,'Factory Costs'!$A:$A,"Frame",'Factory Costs'!$B:$B,B647))</f>
        <v>52</v>
      </c>
    </row>
    <row r="648" spans="1:3" x14ac:dyDescent="0.25">
      <c r="A648" s="1" t="s">
        <v>8497</v>
      </c>
      <c r="B648" s="1" t="s">
        <v>16378</v>
      </c>
      <c r="C648" s="3">
        <f>IF(B648="","",SUMIFS('Factory Costs'!$C:$C,'Factory Costs'!$A:$A,"Frame",'Factory Costs'!$B:$B,B648))</f>
        <v>52</v>
      </c>
    </row>
    <row r="649" spans="1:3" x14ac:dyDescent="0.25">
      <c r="A649" s="1" t="s">
        <v>8500</v>
      </c>
      <c r="B649" s="1" t="s">
        <v>16377</v>
      </c>
      <c r="C649" s="3">
        <f>IF(B649="","",SUMIFS('Factory Costs'!$C:$C,'Factory Costs'!$A:$A,"Frame",'Factory Costs'!$B:$B,B649))</f>
        <v>39</v>
      </c>
    </row>
    <row r="650" spans="1:3" x14ac:dyDescent="0.25">
      <c r="A650" s="1" t="s">
        <v>8503</v>
      </c>
      <c r="B650" s="1" t="s">
        <v>16379</v>
      </c>
      <c r="C650" s="3">
        <f>IF(B650="","",SUMIFS('Factory Costs'!$C:$C,'Factory Costs'!$A:$A,"Frame",'Factory Costs'!$B:$B,B650))</f>
        <v>45</v>
      </c>
    </row>
    <row r="651" spans="1:3" x14ac:dyDescent="0.25">
      <c r="A651" s="1" t="s">
        <v>8506</v>
      </c>
      <c r="B651" s="1" t="s">
        <v>16377</v>
      </c>
      <c r="C651" s="3">
        <f>IF(B651="","",SUMIFS('Factory Costs'!$C:$C,'Factory Costs'!$A:$A,"Frame",'Factory Costs'!$B:$B,B651))</f>
        <v>39</v>
      </c>
    </row>
    <row r="652" spans="1:3" x14ac:dyDescent="0.25">
      <c r="A652" s="1" t="s">
        <v>8509</v>
      </c>
      <c r="B652" s="1" t="s">
        <v>16377</v>
      </c>
      <c r="C652" s="3">
        <f>IF(B652="","",SUMIFS('Factory Costs'!$C:$C,'Factory Costs'!$A:$A,"Frame",'Factory Costs'!$B:$B,B652))</f>
        <v>39</v>
      </c>
    </row>
    <row r="653" spans="1:3" x14ac:dyDescent="0.25">
      <c r="A653" s="1" t="s">
        <v>8512</v>
      </c>
      <c r="B653" s="1" t="s">
        <v>16377</v>
      </c>
      <c r="C653" s="3">
        <f>IF(B653="","",SUMIFS('Factory Costs'!$C:$C,'Factory Costs'!$A:$A,"Frame",'Factory Costs'!$B:$B,B653))</f>
        <v>39</v>
      </c>
    </row>
    <row r="654" spans="1:3" x14ac:dyDescent="0.25">
      <c r="A654" s="1" t="s">
        <v>8515</v>
      </c>
      <c r="B654" s="1" t="s">
        <v>16379</v>
      </c>
      <c r="C654" s="3">
        <f>IF(B654="","",SUMIFS('Factory Costs'!$C:$C,'Factory Costs'!$A:$A,"Frame",'Factory Costs'!$B:$B,B654))</f>
        <v>45</v>
      </c>
    </row>
    <row r="655" spans="1:3" x14ac:dyDescent="0.25">
      <c r="A655" s="1" t="s">
        <v>8518</v>
      </c>
      <c r="B655" s="1" t="s">
        <v>16379</v>
      </c>
      <c r="C655" s="3">
        <f>IF(B655="","",SUMIFS('Factory Costs'!$C:$C,'Factory Costs'!$A:$A,"Frame",'Factory Costs'!$B:$B,B655))</f>
        <v>45</v>
      </c>
    </row>
    <row r="656" spans="1:3" x14ac:dyDescent="0.25">
      <c r="A656" s="1" t="s">
        <v>8521</v>
      </c>
      <c r="B656" s="1" t="s">
        <v>16377</v>
      </c>
      <c r="C656" s="3">
        <f>IF(B656="","",SUMIFS('Factory Costs'!$C:$C,'Factory Costs'!$A:$A,"Frame",'Factory Costs'!$B:$B,B656))</f>
        <v>39</v>
      </c>
    </row>
    <row r="657" spans="1:3" x14ac:dyDescent="0.25">
      <c r="A657" s="1" t="s">
        <v>8524</v>
      </c>
      <c r="B657" s="1" t="s">
        <v>16377</v>
      </c>
      <c r="C657" s="3">
        <f>IF(B657="","",SUMIFS('Factory Costs'!$C:$C,'Factory Costs'!$A:$A,"Frame",'Factory Costs'!$B:$B,B657))</f>
        <v>39</v>
      </c>
    </row>
    <row r="658" spans="1:3" x14ac:dyDescent="0.25">
      <c r="A658" s="1" t="s">
        <v>8527</v>
      </c>
      <c r="B658" s="1" t="s">
        <v>16379</v>
      </c>
      <c r="C658" s="3">
        <f>IF(B658="","",SUMIFS('Factory Costs'!$C:$C,'Factory Costs'!$A:$A,"Frame",'Factory Costs'!$B:$B,B658))</f>
        <v>45</v>
      </c>
    </row>
    <row r="659" spans="1:3" x14ac:dyDescent="0.25">
      <c r="A659" s="1" t="s">
        <v>8530</v>
      </c>
      <c r="B659" s="1" t="s">
        <v>16379</v>
      </c>
      <c r="C659" s="3">
        <f>IF(B659="","",SUMIFS('Factory Costs'!$C:$C,'Factory Costs'!$A:$A,"Frame",'Factory Costs'!$B:$B,B659))</f>
        <v>45</v>
      </c>
    </row>
    <row r="660" spans="1:3" x14ac:dyDescent="0.25">
      <c r="A660" s="1" t="s">
        <v>8533</v>
      </c>
      <c r="B660" s="1" t="s">
        <v>16377</v>
      </c>
      <c r="C660" s="3">
        <f>IF(B660="","",SUMIFS('Factory Costs'!$C:$C,'Factory Costs'!$A:$A,"Frame",'Factory Costs'!$B:$B,B660))</f>
        <v>39</v>
      </c>
    </row>
    <row r="661" spans="1:3" x14ac:dyDescent="0.25">
      <c r="A661" s="1" t="s">
        <v>8536</v>
      </c>
      <c r="B661" s="1" t="s">
        <v>16377</v>
      </c>
      <c r="C661" s="3">
        <f>IF(B661="","",SUMIFS('Factory Costs'!$C:$C,'Factory Costs'!$A:$A,"Frame",'Factory Costs'!$B:$B,B661))</f>
        <v>39</v>
      </c>
    </row>
    <row r="662" spans="1:3" x14ac:dyDescent="0.25">
      <c r="A662" s="1" t="s">
        <v>8539</v>
      </c>
      <c r="B662" s="1" t="s">
        <v>16379</v>
      </c>
      <c r="C662" s="3">
        <f>IF(B662="","",SUMIFS('Factory Costs'!$C:$C,'Factory Costs'!$A:$A,"Frame",'Factory Costs'!$B:$B,B662))</f>
        <v>45</v>
      </c>
    </row>
    <row r="663" spans="1:3" x14ac:dyDescent="0.25">
      <c r="A663" s="1" t="s">
        <v>8542</v>
      </c>
      <c r="B663" s="1" t="s">
        <v>16377</v>
      </c>
      <c r="C663" s="3">
        <f>IF(B663="","",SUMIFS('Factory Costs'!$C:$C,'Factory Costs'!$A:$A,"Frame",'Factory Costs'!$B:$B,B663))</f>
        <v>39</v>
      </c>
    </row>
    <row r="664" spans="1:3" x14ac:dyDescent="0.25">
      <c r="A664" s="1" t="s">
        <v>8545</v>
      </c>
      <c r="B664" s="1" t="s">
        <v>16379</v>
      </c>
      <c r="C664" s="3">
        <f>IF(B664="","",SUMIFS('Factory Costs'!$C:$C,'Factory Costs'!$A:$A,"Frame",'Factory Costs'!$B:$B,B664))</f>
        <v>45</v>
      </c>
    </row>
    <row r="665" spans="1:3" x14ac:dyDescent="0.25">
      <c r="A665" s="1" t="s">
        <v>8548</v>
      </c>
      <c r="B665" s="1" t="s">
        <v>16379</v>
      </c>
      <c r="C665" s="3">
        <f>IF(B665="","",SUMIFS('Factory Costs'!$C:$C,'Factory Costs'!$A:$A,"Frame",'Factory Costs'!$B:$B,B665))</f>
        <v>45</v>
      </c>
    </row>
    <row r="666" spans="1:3" x14ac:dyDescent="0.25">
      <c r="A666" s="1" t="s">
        <v>8551</v>
      </c>
      <c r="B666" s="1" t="s">
        <v>16377</v>
      </c>
      <c r="C666" s="3">
        <f>IF(B666="","",SUMIFS('Factory Costs'!$C:$C,'Factory Costs'!$A:$A,"Frame",'Factory Costs'!$B:$B,B666))</f>
        <v>39</v>
      </c>
    </row>
    <row r="667" spans="1:3" x14ac:dyDescent="0.25">
      <c r="A667" s="1" t="s">
        <v>8554</v>
      </c>
      <c r="B667" s="1" t="s">
        <v>16377</v>
      </c>
      <c r="C667" s="3">
        <f>IF(B667="","",SUMIFS('Factory Costs'!$C:$C,'Factory Costs'!$A:$A,"Frame",'Factory Costs'!$B:$B,B667))</f>
        <v>39</v>
      </c>
    </row>
    <row r="668" spans="1:3" x14ac:dyDescent="0.25">
      <c r="A668" s="1" t="s">
        <v>8557</v>
      </c>
      <c r="B668" s="1" t="s">
        <v>16378</v>
      </c>
      <c r="C668" s="3">
        <f>IF(B668="","",SUMIFS('Factory Costs'!$C:$C,'Factory Costs'!$A:$A,"Frame",'Factory Costs'!$B:$B,B668))</f>
        <v>52</v>
      </c>
    </row>
    <row r="669" spans="1:3" x14ac:dyDescent="0.25">
      <c r="A669" s="1" t="s">
        <v>8560</v>
      </c>
      <c r="B669" s="1" t="s">
        <v>16377</v>
      </c>
      <c r="C669" s="3">
        <f>IF(B669="","",SUMIFS('Factory Costs'!$C:$C,'Factory Costs'!$A:$A,"Frame",'Factory Costs'!$B:$B,B669))</f>
        <v>39</v>
      </c>
    </row>
    <row r="670" spans="1:3" x14ac:dyDescent="0.25">
      <c r="A670" s="1" t="s">
        <v>8563</v>
      </c>
      <c r="B670" s="1" t="s">
        <v>16378</v>
      </c>
      <c r="C670" s="3">
        <f>IF(B670="","",SUMIFS('Factory Costs'!$C:$C,'Factory Costs'!$A:$A,"Frame",'Factory Costs'!$B:$B,B670))</f>
        <v>52</v>
      </c>
    </row>
    <row r="671" spans="1:3" x14ac:dyDescent="0.25">
      <c r="A671" s="1" t="s">
        <v>8566</v>
      </c>
      <c r="B671" s="1" t="s">
        <v>16378</v>
      </c>
      <c r="C671" s="3">
        <f>IF(B671="","",SUMIFS('Factory Costs'!$C:$C,'Factory Costs'!$A:$A,"Frame",'Factory Costs'!$B:$B,B671))</f>
        <v>52</v>
      </c>
    </row>
    <row r="672" spans="1:3" x14ac:dyDescent="0.25">
      <c r="A672" s="1" t="s">
        <v>8569</v>
      </c>
      <c r="B672" s="1" t="s">
        <v>16378</v>
      </c>
      <c r="C672" s="3">
        <f>IF(B672="","",SUMIFS('Factory Costs'!$C:$C,'Factory Costs'!$A:$A,"Frame",'Factory Costs'!$B:$B,B672))</f>
        <v>52</v>
      </c>
    </row>
    <row r="673" spans="1:3" x14ac:dyDescent="0.25">
      <c r="A673" s="1" t="s">
        <v>8572</v>
      </c>
      <c r="B673" s="1" t="s">
        <v>16377</v>
      </c>
      <c r="C673" s="3">
        <f>IF(B673="","",SUMIFS('Factory Costs'!$C:$C,'Factory Costs'!$A:$A,"Frame",'Factory Costs'!$B:$B,B673))</f>
        <v>39</v>
      </c>
    </row>
    <row r="674" spans="1:3" x14ac:dyDescent="0.25">
      <c r="A674" s="1" t="s">
        <v>8575</v>
      </c>
      <c r="B674" s="1" t="s">
        <v>16377</v>
      </c>
      <c r="C674" s="3">
        <f>IF(B674="","",SUMIFS('Factory Costs'!$C:$C,'Factory Costs'!$A:$A,"Frame",'Factory Costs'!$B:$B,B674))</f>
        <v>39</v>
      </c>
    </row>
    <row r="675" spans="1:3" x14ac:dyDescent="0.25">
      <c r="A675" s="1" t="s">
        <v>8578</v>
      </c>
      <c r="B675" s="1" t="s">
        <v>16379</v>
      </c>
      <c r="C675" s="3">
        <f>IF(B675="","",SUMIFS('Factory Costs'!$C:$C,'Factory Costs'!$A:$A,"Frame",'Factory Costs'!$B:$B,B675))</f>
        <v>45</v>
      </c>
    </row>
    <row r="676" spans="1:3" x14ac:dyDescent="0.25">
      <c r="A676" s="1" t="s">
        <v>8581</v>
      </c>
      <c r="B676" s="1" t="s">
        <v>16377</v>
      </c>
      <c r="C676" s="3">
        <f>IF(B676="","",SUMIFS('Factory Costs'!$C:$C,'Factory Costs'!$A:$A,"Frame",'Factory Costs'!$B:$B,B676))</f>
        <v>39</v>
      </c>
    </row>
    <row r="677" spans="1:3" x14ac:dyDescent="0.25">
      <c r="A677" s="1" t="s">
        <v>8584</v>
      </c>
      <c r="B677" s="1" t="s">
        <v>16378</v>
      </c>
      <c r="C677" s="3">
        <f>IF(B677="","",SUMIFS('Factory Costs'!$C:$C,'Factory Costs'!$A:$A,"Frame",'Factory Costs'!$B:$B,B677))</f>
        <v>52</v>
      </c>
    </row>
    <row r="678" spans="1:3" x14ac:dyDescent="0.25">
      <c r="A678" s="1" t="s">
        <v>8587</v>
      </c>
      <c r="B678" s="1" t="s">
        <v>16379</v>
      </c>
      <c r="C678" s="3">
        <f>IF(B678="","",SUMIFS('Factory Costs'!$C:$C,'Factory Costs'!$A:$A,"Frame",'Factory Costs'!$B:$B,B678))</f>
        <v>45</v>
      </c>
    </row>
    <row r="679" spans="1:3" x14ac:dyDescent="0.25">
      <c r="A679" s="1" t="s">
        <v>8590</v>
      </c>
      <c r="B679" s="1" t="s">
        <v>16378</v>
      </c>
      <c r="C679" s="3">
        <f>IF(B679="","",SUMIFS('Factory Costs'!$C:$C,'Factory Costs'!$A:$A,"Frame",'Factory Costs'!$B:$B,B679))</f>
        <v>52</v>
      </c>
    </row>
    <row r="680" spans="1:3" x14ac:dyDescent="0.25">
      <c r="A680" s="1" t="s">
        <v>8593</v>
      </c>
      <c r="B680" s="1" t="s">
        <v>16378</v>
      </c>
      <c r="C680" s="3">
        <f>IF(B680="","",SUMIFS('Factory Costs'!$C:$C,'Factory Costs'!$A:$A,"Frame",'Factory Costs'!$B:$B,B680))</f>
        <v>52</v>
      </c>
    </row>
    <row r="681" spans="1:3" x14ac:dyDescent="0.25">
      <c r="A681" s="1" t="s">
        <v>8596</v>
      </c>
      <c r="B681" s="1" t="s">
        <v>16379</v>
      </c>
      <c r="C681" s="3">
        <f>IF(B681="","",SUMIFS('Factory Costs'!$C:$C,'Factory Costs'!$A:$A,"Frame",'Factory Costs'!$B:$B,B681))</f>
        <v>45</v>
      </c>
    </row>
    <row r="682" spans="1:3" x14ac:dyDescent="0.25">
      <c r="A682" s="1" t="s">
        <v>8599</v>
      </c>
      <c r="B682" s="1" t="s">
        <v>16378</v>
      </c>
      <c r="C682" s="3">
        <f>IF(B682="","",SUMIFS('Factory Costs'!$C:$C,'Factory Costs'!$A:$A,"Frame",'Factory Costs'!$B:$B,B682))</f>
        <v>52</v>
      </c>
    </row>
    <row r="683" spans="1:3" x14ac:dyDescent="0.25">
      <c r="A683" s="1" t="s">
        <v>8602</v>
      </c>
      <c r="B683" s="1" t="s">
        <v>16379</v>
      </c>
      <c r="C683" s="3">
        <f>IF(B683="","",SUMIFS('Factory Costs'!$C:$C,'Factory Costs'!$A:$A,"Frame",'Factory Costs'!$B:$B,B683))</f>
        <v>45</v>
      </c>
    </row>
    <row r="684" spans="1:3" x14ac:dyDescent="0.25">
      <c r="A684" s="1" t="s">
        <v>8605</v>
      </c>
      <c r="B684" s="1" t="s">
        <v>16378</v>
      </c>
      <c r="C684" s="3">
        <f>IF(B684="","",SUMIFS('Factory Costs'!$C:$C,'Factory Costs'!$A:$A,"Frame",'Factory Costs'!$B:$B,B684))</f>
        <v>52</v>
      </c>
    </row>
    <row r="685" spans="1:3" x14ac:dyDescent="0.25">
      <c r="A685" s="1" t="s">
        <v>8608</v>
      </c>
      <c r="B685" s="1" t="s">
        <v>16378</v>
      </c>
      <c r="C685" s="3">
        <f>IF(B685="","",SUMIFS('Factory Costs'!$C:$C,'Factory Costs'!$A:$A,"Frame",'Factory Costs'!$B:$B,B685))</f>
        <v>52</v>
      </c>
    </row>
    <row r="686" spans="1:3" x14ac:dyDescent="0.25">
      <c r="A686" s="1" t="s">
        <v>8611</v>
      </c>
      <c r="B686" s="1" t="s">
        <v>16377</v>
      </c>
      <c r="C686" s="3">
        <f>IF(B686="","",SUMIFS('Factory Costs'!$C:$C,'Factory Costs'!$A:$A,"Frame",'Factory Costs'!$B:$B,B686))</f>
        <v>39</v>
      </c>
    </row>
    <row r="687" spans="1:3" x14ac:dyDescent="0.25">
      <c r="A687" s="1" t="s">
        <v>8614</v>
      </c>
      <c r="B687" s="1" t="s">
        <v>16377</v>
      </c>
      <c r="C687" s="3">
        <f>IF(B687="","",SUMIFS('Factory Costs'!$C:$C,'Factory Costs'!$A:$A,"Frame",'Factory Costs'!$B:$B,B687))</f>
        <v>39</v>
      </c>
    </row>
    <row r="688" spans="1:3" x14ac:dyDescent="0.25">
      <c r="A688" s="1" t="s">
        <v>8617</v>
      </c>
      <c r="B688" s="1" t="s">
        <v>16379</v>
      </c>
      <c r="C688" s="3">
        <f>IF(B688="","",SUMIFS('Factory Costs'!$C:$C,'Factory Costs'!$A:$A,"Frame",'Factory Costs'!$B:$B,B688))</f>
        <v>45</v>
      </c>
    </row>
    <row r="689" spans="1:3" x14ac:dyDescent="0.25">
      <c r="A689" s="1" t="s">
        <v>8620</v>
      </c>
      <c r="B689" s="1" t="s">
        <v>16379</v>
      </c>
      <c r="C689" s="3">
        <f>IF(B689="","",SUMIFS('Factory Costs'!$C:$C,'Factory Costs'!$A:$A,"Frame",'Factory Costs'!$B:$B,B689))</f>
        <v>45</v>
      </c>
    </row>
    <row r="690" spans="1:3" x14ac:dyDescent="0.25">
      <c r="A690" s="1" t="s">
        <v>8623</v>
      </c>
      <c r="B690" s="1" t="s">
        <v>16378</v>
      </c>
      <c r="C690" s="3">
        <f>IF(B690="","",SUMIFS('Factory Costs'!$C:$C,'Factory Costs'!$A:$A,"Frame",'Factory Costs'!$B:$B,B690))</f>
        <v>52</v>
      </c>
    </row>
    <row r="691" spans="1:3" x14ac:dyDescent="0.25">
      <c r="A691" s="1" t="s">
        <v>8626</v>
      </c>
      <c r="B691" s="1" t="s">
        <v>16377</v>
      </c>
      <c r="C691" s="3">
        <f>IF(B691="","",SUMIFS('Factory Costs'!$C:$C,'Factory Costs'!$A:$A,"Frame",'Factory Costs'!$B:$B,B691))</f>
        <v>39</v>
      </c>
    </row>
    <row r="692" spans="1:3" x14ac:dyDescent="0.25">
      <c r="A692" s="1" t="s">
        <v>8629</v>
      </c>
      <c r="B692" s="1" t="s">
        <v>16379</v>
      </c>
      <c r="C692" s="3">
        <f>IF(B692="","",SUMIFS('Factory Costs'!$C:$C,'Factory Costs'!$A:$A,"Frame",'Factory Costs'!$B:$B,B692))</f>
        <v>45</v>
      </c>
    </row>
    <row r="693" spans="1:3" x14ac:dyDescent="0.25">
      <c r="A693" s="1" t="s">
        <v>8632</v>
      </c>
      <c r="B693" s="1" t="s">
        <v>16379</v>
      </c>
      <c r="C693" s="3">
        <f>IF(B693="","",SUMIFS('Factory Costs'!$C:$C,'Factory Costs'!$A:$A,"Frame",'Factory Costs'!$B:$B,B693))</f>
        <v>45</v>
      </c>
    </row>
    <row r="694" spans="1:3" x14ac:dyDescent="0.25">
      <c r="A694" s="1" t="s">
        <v>8635</v>
      </c>
      <c r="B694" s="1" t="s">
        <v>16377</v>
      </c>
      <c r="C694" s="3">
        <f>IF(B694="","",SUMIFS('Factory Costs'!$C:$C,'Factory Costs'!$A:$A,"Frame",'Factory Costs'!$B:$B,B694))</f>
        <v>39</v>
      </c>
    </row>
    <row r="695" spans="1:3" x14ac:dyDescent="0.25">
      <c r="A695" s="1" t="s">
        <v>8638</v>
      </c>
      <c r="B695" s="1" t="s">
        <v>16377</v>
      </c>
      <c r="C695" s="3">
        <f>IF(B695="","",SUMIFS('Factory Costs'!$C:$C,'Factory Costs'!$A:$A,"Frame",'Factory Costs'!$B:$B,B695))</f>
        <v>39</v>
      </c>
    </row>
    <row r="696" spans="1:3" x14ac:dyDescent="0.25">
      <c r="A696" s="1" t="s">
        <v>8641</v>
      </c>
      <c r="B696" s="1" t="s">
        <v>16378</v>
      </c>
      <c r="C696" s="3">
        <f>IF(B696="","",SUMIFS('Factory Costs'!$C:$C,'Factory Costs'!$A:$A,"Frame",'Factory Costs'!$B:$B,B696))</f>
        <v>52</v>
      </c>
    </row>
    <row r="697" spans="1:3" x14ac:dyDescent="0.25">
      <c r="A697" s="1" t="s">
        <v>8644</v>
      </c>
      <c r="B697" s="1" t="s">
        <v>16379</v>
      </c>
      <c r="C697" s="3">
        <f>IF(B697="","",SUMIFS('Factory Costs'!$C:$C,'Factory Costs'!$A:$A,"Frame",'Factory Costs'!$B:$B,B697))</f>
        <v>45</v>
      </c>
    </row>
    <row r="698" spans="1:3" x14ac:dyDescent="0.25">
      <c r="A698" s="1" t="s">
        <v>8647</v>
      </c>
      <c r="B698" s="1" t="s">
        <v>16378</v>
      </c>
      <c r="C698" s="3">
        <f>IF(B698="","",SUMIFS('Factory Costs'!$C:$C,'Factory Costs'!$A:$A,"Frame",'Factory Costs'!$B:$B,B698))</f>
        <v>52</v>
      </c>
    </row>
    <row r="699" spans="1:3" x14ac:dyDescent="0.25">
      <c r="A699" s="1" t="s">
        <v>8650</v>
      </c>
      <c r="B699" s="1" t="s">
        <v>16377</v>
      </c>
      <c r="C699" s="3">
        <f>IF(B699="","",SUMIFS('Factory Costs'!$C:$C,'Factory Costs'!$A:$A,"Frame",'Factory Costs'!$B:$B,B699))</f>
        <v>39</v>
      </c>
    </row>
    <row r="700" spans="1:3" x14ac:dyDescent="0.25">
      <c r="A700" s="1" t="s">
        <v>8653</v>
      </c>
      <c r="B700" s="1" t="s">
        <v>16377</v>
      </c>
      <c r="C700" s="3">
        <f>IF(B700="","",SUMIFS('Factory Costs'!$C:$C,'Factory Costs'!$A:$A,"Frame",'Factory Costs'!$B:$B,B700))</f>
        <v>39</v>
      </c>
    </row>
    <row r="701" spans="1:3" x14ac:dyDescent="0.25">
      <c r="A701" s="1" t="s">
        <v>8656</v>
      </c>
      <c r="B701" s="1" t="s">
        <v>16379</v>
      </c>
      <c r="C701" s="3">
        <f>IF(B701="","",SUMIFS('Factory Costs'!$C:$C,'Factory Costs'!$A:$A,"Frame",'Factory Costs'!$B:$B,B701))</f>
        <v>45</v>
      </c>
    </row>
    <row r="702" spans="1:3" x14ac:dyDescent="0.25">
      <c r="A702" s="1" t="s">
        <v>8659</v>
      </c>
      <c r="B702" s="1" t="s">
        <v>16378</v>
      </c>
      <c r="C702" s="3">
        <f>IF(B702="","",SUMIFS('Factory Costs'!$C:$C,'Factory Costs'!$A:$A,"Frame",'Factory Costs'!$B:$B,B702))</f>
        <v>52</v>
      </c>
    </row>
    <row r="703" spans="1:3" x14ac:dyDescent="0.25">
      <c r="A703" s="1" t="s">
        <v>8662</v>
      </c>
      <c r="B703" s="1" t="s">
        <v>16378</v>
      </c>
      <c r="C703" s="3">
        <f>IF(B703="","",SUMIFS('Factory Costs'!$C:$C,'Factory Costs'!$A:$A,"Frame",'Factory Costs'!$B:$B,B703))</f>
        <v>52</v>
      </c>
    </row>
    <row r="704" spans="1:3" x14ac:dyDescent="0.25">
      <c r="A704" s="1" t="s">
        <v>8665</v>
      </c>
      <c r="B704" s="1" t="s">
        <v>16378</v>
      </c>
      <c r="C704" s="3">
        <f>IF(B704="","",SUMIFS('Factory Costs'!$C:$C,'Factory Costs'!$A:$A,"Frame",'Factory Costs'!$B:$B,B704))</f>
        <v>52</v>
      </c>
    </row>
    <row r="705" spans="1:3" x14ac:dyDescent="0.25">
      <c r="A705" s="1" t="s">
        <v>8668</v>
      </c>
      <c r="B705" s="1" t="s">
        <v>16379</v>
      </c>
      <c r="C705" s="3">
        <f>IF(B705="","",SUMIFS('Factory Costs'!$C:$C,'Factory Costs'!$A:$A,"Frame",'Factory Costs'!$B:$B,B705))</f>
        <v>45</v>
      </c>
    </row>
    <row r="706" spans="1:3" x14ac:dyDescent="0.25">
      <c r="A706" s="1" t="s">
        <v>8671</v>
      </c>
      <c r="B706" s="1" t="s">
        <v>16378</v>
      </c>
      <c r="C706" s="3">
        <f>IF(B706="","",SUMIFS('Factory Costs'!$C:$C,'Factory Costs'!$A:$A,"Frame",'Factory Costs'!$B:$B,B706))</f>
        <v>52</v>
      </c>
    </row>
    <row r="707" spans="1:3" x14ac:dyDescent="0.25">
      <c r="A707" s="1" t="s">
        <v>8674</v>
      </c>
      <c r="B707" s="1" t="s">
        <v>16377</v>
      </c>
      <c r="C707" s="3">
        <f>IF(B707="","",SUMIFS('Factory Costs'!$C:$C,'Factory Costs'!$A:$A,"Frame",'Factory Costs'!$B:$B,B707))</f>
        <v>39</v>
      </c>
    </row>
    <row r="708" spans="1:3" x14ac:dyDescent="0.25">
      <c r="A708" s="1" t="s">
        <v>8677</v>
      </c>
      <c r="B708" s="1" t="s">
        <v>16379</v>
      </c>
      <c r="C708" s="3">
        <f>IF(B708="","",SUMIFS('Factory Costs'!$C:$C,'Factory Costs'!$A:$A,"Frame",'Factory Costs'!$B:$B,B708))</f>
        <v>45</v>
      </c>
    </row>
    <row r="709" spans="1:3" x14ac:dyDescent="0.25">
      <c r="A709" s="1" t="s">
        <v>8680</v>
      </c>
      <c r="B709" s="1" t="s">
        <v>16378</v>
      </c>
      <c r="C709" s="3">
        <f>IF(B709="","",SUMIFS('Factory Costs'!$C:$C,'Factory Costs'!$A:$A,"Frame",'Factory Costs'!$B:$B,B709))</f>
        <v>52</v>
      </c>
    </row>
    <row r="710" spans="1:3" x14ac:dyDescent="0.25">
      <c r="A710" s="1" t="s">
        <v>8683</v>
      </c>
      <c r="B710" s="1" t="s">
        <v>16377</v>
      </c>
      <c r="C710" s="3">
        <f>IF(B710="","",SUMIFS('Factory Costs'!$C:$C,'Factory Costs'!$A:$A,"Frame",'Factory Costs'!$B:$B,B710))</f>
        <v>39</v>
      </c>
    </row>
    <row r="711" spans="1:3" x14ac:dyDescent="0.25">
      <c r="A711" s="1" t="s">
        <v>8686</v>
      </c>
      <c r="B711" s="1" t="s">
        <v>16377</v>
      </c>
      <c r="C711" s="3">
        <f>IF(B711="","",SUMIFS('Factory Costs'!$C:$C,'Factory Costs'!$A:$A,"Frame",'Factory Costs'!$B:$B,B711))</f>
        <v>39</v>
      </c>
    </row>
    <row r="712" spans="1:3" x14ac:dyDescent="0.25">
      <c r="A712" s="1" t="s">
        <v>8689</v>
      </c>
      <c r="B712" s="1" t="s">
        <v>16379</v>
      </c>
      <c r="C712" s="3">
        <f>IF(B712="","",SUMIFS('Factory Costs'!$C:$C,'Factory Costs'!$A:$A,"Frame",'Factory Costs'!$B:$B,B712))</f>
        <v>45</v>
      </c>
    </row>
    <row r="713" spans="1:3" x14ac:dyDescent="0.25">
      <c r="A713" s="1" t="s">
        <v>8692</v>
      </c>
      <c r="B713" s="1" t="s">
        <v>16377</v>
      </c>
      <c r="C713" s="3">
        <f>IF(B713="","",SUMIFS('Factory Costs'!$C:$C,'Factory Costs'!$A:$A,"Frame",'Factory Costs'!$B:$B,B713))</f>
        <v>39</v>
      </c>
    </row>
    <row r="714" spans="1:3" x14ac:dyDescent="0.25">
      <c r="A714" s="1" t="s">
        <v>8695</v>
      </c>
      <c r="B714" s="1" t="s">
        <v>16377</v>
      </c>
      <c r="C714" s="3">
        <f>IF(B714="","",SUMIFS('Factory Costs'!$C:$C,'Factory Costs'!$A:$A,"Frame",'Factory Costs'!$B:$B,B714))</f>
        <v>39</v>
      </c>
    </row>
    <row r="715" spans="1:3" x14ac:dyDescent="0.25">
      <c r="A715" s="1" t="s">
        <v>8698</v>
      </c>
      <c r="B715" s="1" t="s">
        <v>16379</v>
      </c>
      <c r="C715" s="3">
        <f>IF(B715="","",SUMIFS('Factory Costs'!$C:$C,'Factory Costs'!$A:$A,"Frame",'Factory Costs'!$B:$B,B715))</f>
        <v>45</v>
      </c>
    </row>
    <row r="716" spans="1:3" x14ac:dyDescent="0.25">
      <c r="A716" s="1" t="s">
        <v>8701</v>
      </c>
      <c r="B716" s="1" t="s">
        <v>16378</v>
      </c>
      <c r="C716" s="3">
        <f>IF(B716="","",SUMIFS('Factory Costs'!$C:$C,'Factory Costs'!$A:$A,"Frame",'Factory Costs'!$B:$B,B716))</f>
        <v>52</v>
      </c>
    </row>
    <row r="717" spans="1:3" x14ac:dyDescent="0.25">
      <c r="A717" s="1" t="s">
        <v>8704</v>
      </c>
      <c r="B717" s="1" t="s">
        <v>16379</v>
      </c>
      <c r="C717" s="3">
        <f>IF(B717="","",SUMIFS('Factory Costs'!$C:$C,'Factory Costs'!$A:$A,"Frame",'Factory Costs'!$B:$B,B717))</f>
        <v>45</v>
      </c>
    </row>
    <row r="718" spans="1:3" x14ac:dyDescent="0.25">
      <c r="A718" s="1" t="s">
        <v>8707</v>
      </c>
      <c r="B718" s="1" t="s">
        <v>16378</v>
      </c>
      <c r="C718" s="3">
        <f>IF(B718="","",SUMIFS('Factory Costs'!$C:$C,'Factory Costs'!$A:$A,"Frame",'Factory Costs'!$B:$B,B718))</f>
        <v>52</v>
      </c>
    </row>
    <row r="719" spans="1:3" x14ac:dyDescent="0.25">
      <c r="A719" s="1" t="s">
        <v>8710</v>
      </c>
      <c r="B719" s="1" t="s">
        <v>16379</v>
      </c>
      <c r="C719" s="3">
        <f>IF(B719="","",SUMIFS('Factory Costs'!$C:$C,'Factory Costs'!$A:$A,"Frame",'Factory Costs'!$B:$B,B719))</f>
        <v>45</v>
      </c>
    </row>
    <row r="720" spans="1:3" x14ac:dyDescent="0.25">
      <c r="A720" s="1" t="s">
        <v>8713</v>
      </c>
      <c r="B720" s="1" t="s">
        <v>16379</v>
      </c>
      <c r="C720" s="3">
        <f>IF(B720="","",SUMIFS('Factory Costs'!$C:$C,'Factory Costs'!$A:$A,"Frame",'Factory Costs'!$B:$B,B720))</f>
        <v>45</v>
      </c>
    </row>
    <row r="721" spans="1:3" x14ac:dyDescent="0.25">
      <c r="A721" s="1" t="s">
        <v>8716</v>
      </c>
      <c r="B721" s="1" t="s">
        <v>16379</v>
      </c>
      <c r="C721" s="3">
        <f>IF(B721="","",SUMIFS('Factory Costs'!$C:$C,'Factory Costs'!$A:$A,"Frame",'Factory Costs'!$B:$B,B721))</f>
        <v>45</v>
      </c>
    </row>
    <row r="722" spans="1:3" x14ac:dyDescent="0.25">
      <c r="A722" s="1" t="s">
        <v>8719</v>
      </c>
      <c r="B722" s="1" t="s">
        <v>16379</v>
      </c>
      <c r="C722" s="3">
        <f>IF(B722="","",SUMIFS('Factory Costs'!$C:$C,'Factory Costs'!$A:$A,"Frame",'Factory Costs'!$B:$B,B722))</f>
        <v>45</v>
      </c>
    </row>
    <row r="723" spans="1:3" x14ac:dyDescent="0.25">
      <c r="A723" s="1" t="s">
        <v>8722</v>
      </c>
      <c r="B723" s="1" t="s">
        <v>16378</v>
      </c>
      <c r="C723" s="3">
        <f>IF(B723="","",SUMIFS('Factory Costs'!$C:$C,'Factory Costs'!$A:$A,"Frame",'Factory Costs'!$B:$B,B723))</f>
        <v>52</v>
      </c>
    </row>
    <row r="724" spans="1:3" x14ac:dyDescent="0.25">
      <c r="A724" s="1" t="s">
        <v>8725</v>
      </c>
      <c r="B724" s="1" t="s">
        <v>16377</v>
      </c>
      <c r="C724" s="3">
        <f>IF(B724="","",SUMIFS('Factory Costs'!$C:$C,'Factory Costs'!$A:$A,"Frame",'Factory Costs'!$B:$B,B724))</f>
        <v>39</v>
      </c>
    </row>
    <row r="725" spans="1:3" x14ac:dyDescent="0.25">
      <c r="A725" s="1" t="s">
        <v>8728</v>
      </c>
      <c r="B725" s="1" t="s">
        <v>16377</v>
      </c>
      <c r="C725" s="3">
        <f>IF(B725="","",SUMIFS('Factory Costs'!$C:$C,'Factory Costs'!$A:$A,"Frame",'Factory Costs'!$B:$B,B725))</f>
        <v>39</v>
      </c>
    </row>
    <row r="726" spans="1:3" x14ac:dyDescent="0.25">
      <c r="A726" s="1" t="s">
        <v>8731</v>
      </c>
      <c r="B726" s="1" t="s">
        <v>16379</v>
      </c>
      <c r="C726" s="3">
        <f>IF(B726="","",SUMIFS('Factory Costs'!$C:$C,'Factory Costs'!$A:$A,"Frame",'Factory Costs'!$B:$B,B726))</f>
        <v>45</v>
      </c>
    </row>
    <row r="727" spans="1:3" x14ac:dyDescent="0.25">
      <c r="A727" s="1" t="s">
        <v>8734</v>
      </c>
      <c r="B727" s="1" t="s">
        <v>16377</v>
      </c>
      <c r="C727" s="3">
        <f>IF(B727="","",SUMIFS('Factory Costs'!$C:$C,'Factory Costs'!$A:$A,"Frame",'Factory Costs'!$B:$B,B727))</f>
        <v>39</v>
      </c>
    </row>
    <row r="728" spans="1:3" x14ac:dyDescent="0.25">
      <c r="A728" s="1" t="s">
        <v>8737</v>
      </c>
      <c r="B728" s="1" t="s">
        <v>16378</v>
      </c>
      <c r="C728" s="3">
        <f>IF(B728="","",SUMIFS('Factory Costs'!$C:$C,'Factory Costs'!$A:$A,"Frame",'Factory Costs'!$B:$B,B728))</f>
        <v>52</v>
      </c>
    </row>
    <row r="729" spans="1:3" x14ac:dyDescent="0.25">
      <c r="A729" s="1" t="s">
        <v>8740</v>
      </c>
      <c r="B729" s="1" t="s">
        <v>16378</v>
      </c>
      <c r="C729" s="3">
        <f>IF(B729="","",SUMIFS('Factory Costs'!$C:$C,'Factory Costs'!$A:$A,"Frame",'Factory Costs'!$B:$B,B729))</f>
        <v>52</v>
      </c>
    </row>
    <row r="730" spans="1:3" x14ac:dyDescent="0.25">
      <c r="A730" s="1" t="s">
        <v>8743</v>
      </c>
      <c r="B730" s="1" t="s">
        <v>16377</v>
      </c>
      <c r="C730" s="3">
        <f>IF(B730="","",SUMIFS('Factory Costs'!$C:$C,'Factory Costs'!$A:$A,"Frame",'Factory Costs'!$B:$B,B730))</f>
        <v>39</v>
      </c>
    </row>
    <row r="731" spans="1:3" x14ac:dyDescent="0.25">
      <c r="A731" s="1" t="s">
        <v>8746</v>
      </c>
      <c r="B731" s="1" t="s">
        <v>16377</v>
      </c>
      <c r="C731" s="3">
        <f>IF(B731="","",SUMIFS('Factory Costs'!$C:$C,'Factory Costs'!$A:$A,"Frame",'Factory Costs'!$B:$B,B731))</f>
        <v>39</v>
      </c>
    </row>
    <row r="732" spans="1:3" x14ac:dyDescent="0.25">
      <c r="A732" s="1" t="s">
        <v>8749</v>
      </c>
      <c r="B732" s="1" t="s">
        <v>16377</v>
      </c>
      <c r="C732" s="3">
        <f>IF(B732="","",SUMIFS('Factory Costs'!$C:$C,'Factory Costs'!$A:$A,"Frame",'Factory Costs'!$B:$B,B732))</f>
        <v>39</v>
      </c>
    </row>
    <row r="733" spans="1:3" x14ac:dyDescent="0.25">
      <c r="A733" s="1" t="s">
        <v>8752</v>
      </c>
      <c r="B733" s="1" t="s">
        <v>16379</v>
      </c>
      <c r="C733" s="3">
        <f>IF(B733="","",SUMIFS('Factory Costs'!$C:$C,'Factory Costs'!$A:$A,"Frame",'Factory Costs'!$B:$B,B733))</f>
        <v>45</v>
      </c>
    </row>
    <row r="734" spans="1:3" x14ac:dyDescent="0.25">
      <c r="A734" s="1" t="s">
        <v>8755</v>
      </c>
      <c r="B734" s="1" t="s">
        <v>16378</v>
      </c>
      <c r="C734" s="3">
        <f>IF(B734="","",SUMIFS('Factory Costs'!$C:$C,'Factory Costs'!$A:$A,"Frame",'Factory Costs'!$B:$B,B734))</f>
        <v>52</v>
      </c>
    </row>
    <row r="735" spans="1:3" x14ac:dyDescent="0.25">
      <c r="A735" s="1" t="s">
        <v>8758</v>
      </c>
      <c r="B735" s="1" t="s">
        <v>16377</v>
      </c>
      <c r="C735" s="3">
        <f>IF(B735="","",SUMIFS('Factory Costs'!$C:$C,'Factory Costs'!$A:$A,"Frame",'Factory Costs'!$B:$B,B735))</f>
        <v>39</v>
      </c>
    </row>
    <row r="736" spans="1:3" x14ac:dyDescent="0.25">
      <c r="A736" s="1" t="s">
        <v>8761</v>
      </c>
      <c r="B736" s="1" t="s">
        <v>16377</v>
      </c>
      <c r="C736" s="3">
        <f>IF(B736="","",SUMIFS('Factory Costs'!$C:$C,'Factory Costs'!$A:$A,"Frame",'Factory Costs'!$B:$B,B736))</f>
        <v>39</v>
      </c>
    </row>
    <row r="737" spans="1:3" x14ac:dyDescent="0.25">
      <c r="A737" s="1" t="s">
        <v>8764</v>
      </c>
      <c r="B737" s="1" t="s">
        <v>16377</v>
      </c>
      <c r="C737" s="3">
        <f>IF(B737="","",SUMIFS('Factory Costs'!$C:$C,'Factory Costs'!$A:$A,"Frame",'Factory Costs'!$B:$B,B737))</f>
        <v>39</v>
      </c>
    </row>
    <row r="738" spans="1:3" x14ac:dyDescent="0.25">
      <c r="A738" s="1" t="s">
        <v>8767</v>
      </c>
      <c r="B738" s="1" t="s">
        <v>16378</v>
      </c>
      <c r="C738" s="3">
        <f>IF(B738="","",SUMIFS('Factory Costs'!$C:$C,'Factory Costs'!$A:$A,"Frame",'Factory Costs'!$B:$B,B738))</f>
        <v>52</v>
      </c>
    </row>
    <row r="739" spans="1:3" x14ac:dyDescent="0.25">
      <c r="A739" s="1" t="s">
        <v>8770</v>
      </c>
      <c r="B739" s="1" t="s">
        <v>16379</v>
      </c>
      <c r="C739" s="3">
        <f>IF(B739="","",SUMIFS('Factory Costs'!$C:$C,'Factory Costs'!$A:$A,"Frame",'Factory Costs'!$B:$B,B739))</f>
        <v>45</v>
      </c>
    </row>
    <row r="740" spans="1:3" x14ac:dyDescent="0.25">
      <c r="A740" s="1" t="s">
        <v>8773</v>
      </c>
      <c r="B740" s="1" t="s">
        <v>16378</v>
      </c>
      <c r="C740" s="3">
        <f>IF(B740="","",SUMIFS('Factory Costs'!$C:$C,'Factory Costs'!$A:$A,"Frame",'Factory Costs'!$B:$B,B740))</f>
        <v>52</v>
      </c>
    </row>
    <row r="741" spans="1:3" x14ac:dyDescent="0.25">
      <c r="A741" s="1" t="s">
        <v>8776</v>
      </c>
      <c r="B741" s="1" t="s">
        <v>16378</v>
      </c>
      <c r="C741" s="3">
        <f>IF(B741="","",SUMIFS('Factory Costs'!$C:$C,'Factory Costs'!$A:$A,"Frame",'Factory Costs'!$B:$B,B741))</f>
        <v>52</v>
      </c>
    </row>
    <row r="742" spans="1:3" x14ac:dyDescent="0.25">
      <c r="A742" s="1" t="s">
        <v>8779</v>
      </c>
      <c r="B742" s="1" t="s">
        <v>16377</v>
      </c>
      <c r="C742" s="3">
        <f>IF(B742="","",SUMIFS('Factory Costs'!$C:$C,'Factory Costs'!$A:$A,"Frame",'Factory Costs'!$B:$B,B742))</f>
        <v>39</v>
      </c>
    </row>
    <row r="743" spans="1:3" x14ac:dyDescent="0.25">
      <c r="A743" s="1" t="s">
        <v>8782</v>
      </c>
      <c r="B743" s="1" t="s">
        <v>16377</v>
      </c>
      <c r="C743" s="3">
        <f>IF(B743="","",SUMIFS('Factory Costs'!$C:$C,'Factory Costs'!$A:$A,"Frame",'Factory Costs'!$B:$B,B743))</f>
        <v>39</v>
      </c>
    </row>
    <row r="744" spans="1:3" x14ac:dyDescent="0.25">
      <c r="A744" s="1" t="s">
        <v>8785</v>
      </c>
      <c r="B744" s="1" t="s">
        <v>16379</v>
      </c>
      <c r="C744" s="3">
        <f>IF(B744="","",SUMIFS('Factory Costs'!$C:$C,'Factory Costs'!$A:$A,"Frame",'Factory Costs'!$B:$B,B744))</f>
        <v>45</v>
      </c>
    </row>
    <row r="745" spans="1:3" x14ac:dyDescent="0.25">
      <c r="A745" s="1" t="s">
        <v>8788</v>
      </c>
      <c r="B745" s="1" t="s">
        <v>16377</v>
      </c>
      <c r="C745" s="3">
        <f>IF(B745="","",SUMIFS('Factory Costs'!$C:$C,'Factory Costs'!$A:$A,"Frame",'Factory Costs'!$B:$B,B745))</f>
        <v>39</v>
      </c>
    </row>
    <row r="746" spans="1:3" x14ac:dyDescent="0.25">
      <c r="A746" s="1" t="s">
        <v>8791</v>
      </c>
      <c r="B746" s="1" t="s">
        <v>16377</v>
      </c>
      <c r="C746" s="3">
        <f>IF(B746="","",SUMIFS('Factory Costs'!$C:$C,'Factory Costs'!$A:$A,"Frame",'Factory Costs'!$B:$B,B746))</f>
        <v>39</v>
      </c>
    </row>
    <row r="747" spans="1:3" x14ac:dyDescent="0.25">
      <c r="A747" s="1" t="s">
        <v>8794</v>
      </c>
      <c r="B747" s="1" t="s">
        <v>16378</v>
      </c>
      <c r="C747" s="3">
        <f>IF(B747="","",SUMIFS('Factory Costs'!$C:$C,'Factory Costs'!$A:$A,"Frame",'Factory Costs'!$B:$B,B747))</f>
        <v>52</v>
      </c>
    </row>
    <row r="748" spans="1:3" x14ac:dyDescent="0.25">
      <c r="A748" s="1" t="s">
        <v>8797</v>
      </c>
      <c r="B748" s="1" t="s">
        <v>16377</v>
      </c>
      <c r="C748" s="3">
        <f>IF(B748="","",SUMIFS('Factory Costs'!$C:$C,'Factory Costs'!$A:$A,"Frame",'Factory Costs'!$B:$B,B748))</f>
        <v>39</v>
      </c>
    </row>
    <row r="749" spans="1:3" x14ac:dyDescent="0.25">
      <c r="A749" s="1" t="s">
        <v>8800</v>
      </c>
      <c r="B749" s="1" t="s">
        <v>16377</v>
      </c>
      <c r="C749" s="3">
        <f>IF(B749="","",SUMIFS('Factory Costs'!$C:$C,'Factory Costs'!$A:$A,"Frame",'Factory Costs'!$B:$B,B749))</f>
        <v>39</v>
      </c>
    </row>
    <row r="750" spans="1:3" x14ac:dyDescent="0.25">
      <c r="A750" s="1" t="s">
        <v>8803</v>
      </c>
      <c r="B750" s="1" t="s">
        <v>16378</v>
      </c>
      <c r="C750" s="3">
        <f>IF(B750="","",SUMIFS('Factory Costs'!$C:$C,'Factory Costs'!$A:$A,"Frame",'Factory Costs'!$B:$B,B750))</f>
        <v>52</v>
      </c>
    </row>
    <row r="751" spans="1:3" x14ac:dyDescent="0.25">
      <c r="A751" s="1" t="s">
        <v>8806</v>
      </c>
      <c r="B751" s="1" t="s">
        <v>16377</v>
      </c>
      <c r="C751" s="3">
        <f>IF(B751="","",SUMIFS('Factory Costs'!$C:$C,'Factory Costs'!$A:$A,"Frame",'Factory Costs'!$B:$B,B751))</f>
        <v>39</v>
      </c>
    </row>
    <row r="752" spans="1:3" x14ac:dyDescent="0.25">
      <c r="A752" s="1" t="s">
        <v>8809</v>
      </c>
      <c r="B752" s="1" t="s">
        <v>16377</v>
      </c>
      <c r="C752" s="3">
        <f>IF(B752="","",SUMIFS('Factory Costs'!$C:$C,'Factory Costs'!$A:$A,"Frame",'Factory Costs'!$B:$B,B752))</f>
        <v>39</v>
      </c>
    </row>
    <row r="753" spans="1:3" x14ac:dyDescent="0.25">
      <c r="A753" s="1" t="s">
        <v>8812</v>
      </c>
      <c r="B753" s="1" t="s">
        <v>16377</v>
      </c>
      <c r="C753" s="3">
        <f>IF(B753="","",SUMIFS('Factory Costs'!$C:$C,'Factory Costs'!$A:$A,"Frame",'Factory Costs'!$B:$B,B753))</f>
        <v>39</v>
      </c>
    </row>
    <row r="754" spans="1:3" x14ac:dyDescent="0.25">
      <c r="A754" s="1" t="s">
        <v>8815</v>
      </c>
      <c r="B754" s="1" t="s">
        <v>16378</v>
      </c>
      <c r="C754" s="3">
        <f>IF(B754="","",SUMIFS('Factory Costs'!$C:$C,'Factory Costs'!$A:$A,"Frame",'Factory Costs'!$B:$B,B754))</f>
        <v>52</v>
      </c>
    </row>
    <row r="755" spans="1:3" x14ac:dyDescent="0.25">
      <c r="A755" s="1" t="s">
        <v>8818</v>
      </c>
      <c r="B755" s="1" t="s">
        <v>16378</v>
      </c>
      <c r="C755" s="3">
        <f>IF(B755="","",SUMIFS('Factory Costs'!$C:$C,'Factory Costs'!$A:$A,"Frame",'Factory Costs'!$B:$B,B755))</f>
        <v>52</v>
      </c>
    </row>
    <row r="756" spans="1:3" x14ac:dyDescent="0.25">
      <c r="A756" s="1" t="s">
        <v>8821</v>
      </c>
      <c r="B756" s="1" t="s">
        <v>16378</v>
      </c>
      <c r="C756" s="3">
        <f>IF(B756="","",SUMIFS('Factory Costs'!$C:$C,'Factory Costs'!$A:$A,"Frame",'Factory Costs'!$B:$B,B756))</f>
        <v>52</v>
      </c>
    </row>
    <row r="757" spans="1:3" x14ac:dyDescent="0.25">
      <c r="A757" s="1" t="s">
        <v>8824</v>
      </c>
      <c r="B757" s="1" t="s">
        <v>16378</v>
      </c>
      <c r="C757" s="3">
        <f>IF(B757="","",SUMIFS('Factory Costs'!$C:$C,'Factory Costs'!$A:$A,"Frame",'Factory Costs'!$B:$B,B757))</f>
        <v>52</v>
      </c>
    </row>
    <row r="758" spans="1:3" x14ac:dyDescent="0.25">
      <c r="A758" s="1" t="s">
        <v>8827</v>
      </c>
      <c r="B758" s="1" t="s">
        <v>16377</v>
      </c>
      <c r="C758" s="3">
        <f>IF(B758="","",SUMIFS('Factory Costs'!$C:$C,'Factory Costs'!$A:$A,"Frame",'Factory Costs'!$B:$B,B758))</f>
        <v>39</v>
      </c>
    </row>
    <row r="759" spans="1:3" x14ac:dyDescent="0.25">
      <c r="A759" s="1" t="s">
        <v>8830</v>
      </c>
      <c r="B759" s="1" t="s">
        <v>16379</v>
      </c>
      <c r="C759" s="3">
        <f>IF(B759="","",SUMIFS('Factory Costs'!$C:$C,'Factory Costs'!$A:$A,"Frame",'Factory Costs'!$B:$B,B759))</f>
        <v>45</v>
      </c>
    </row>
    <row r="760" spans="1:3" x14ac:dyDescent="0.25">
      <c r="A760" s="1" t="s">
        <v>8833</v>
      </c>
      <c r="B760" s="1" t="s">
        <v>16377</v>
      </c>
      <c r="C760" s="3">
        <f>IF(B760="","",SUMIFS('Factory Costs'!$C:$C,'Factory Costs'!$A:$A,"Frame",'Factory Costs'!$B:$B,B760))</f>
        <v>39</v>
      </c>
    </row>
    <row r="761" spans="1:3" x14ac:dyDescent="0.25">
      <c r="A761" s="1" t="s">
        <v>8836</v>
      </c>
      <c r="B761" s="1" t="s">
        <v>16378</v>
      </c>
      <c r="C761" s="3">
        <f>IF(B761="","",SUMIFS('Factory Costs'!$C:$C,'Factory Costs'!$A:$A,"Frame",'Factory Costs'!$B:$B,B761))</f>
        <v>52</v>
      </c>
    </row>
    <row r="762" spans="1:3" x14ac:dyDescent="0.25">
      <c r="A762" s="1" t="s">
        <v>8839</v>
      </c>
      <c r="B762" s="1" t="s">
        <v>16378</v>
      </c>
      <c r="C762" s="3">
        <f>IF(B762="","",SUMIFS('Factory Costs'!$C:$C,'Factory Costs'!$A:$A,"Frame",'Factory Costs'!$B:$B,B762))</f>
        <v>52</v>
      </c>
    </row>
    <row r="763" spans="1:3" x14ac:dyDescent="0.25">
      <c r="A763" s="1" t="s">
        <v>8842</v>
      </c>
      <c r="B763" s="1" t="s">
        <v>16378</v>
      </c>
      <c r="C763" s="3">
        <f>IF(B763="","",SUMIFS('Factory Costs'!$C:$C,'Factory Costs'!$A:$A,"Frame",'Factory Costs'!$B:$B,B763))</f>
        <v>52</v>
      </c>
    </row>
    <row r="764" spans="1:3" x14ac:dyDescent="0.25">
      <c r="A764" s="1" t="s">
        <v>8845</v>
      </c>
      <c r="B764" s="1" t="s">
        <v>16379</v>
      </c>
      <c r="C764" s="3">
        <f>IF(B764="","",SUMIFS('Factory Costs'!$C:$C,'Factory Costs'!$A:$A,"Frame",'Factory Costs'!$B:$B,B764))</f>
        <v>45</v>
      </c>
    </row>
    <row r="765" spans="1:3" x14ac:dyDescent="0.25">
      <c r="A765" s="1" t="s">
        <v>8848</v>
      </c>
      <c r="B765" s="1" t="s">
        <v>16379</v>
      </c>
      <c r="C765" s="3">
        <f>IF(B765="","",SUMIFS('Factory Costs'!$C:$C,'Factory Costs'!$A:$A,"Frame",'Factory Costs'!$B:$B,B765))</f>
        <v>45</v>
      </c>
    </row>
    <row r="766" spans="1:3" x14ac:dyDescent="0.25">
      <c r="A766" s="1" t="s">
        <v>8851</v>
      </c>
      <c r="B766" s="1" t="s">
        <v>16378</v>
      </c>
      <c r="C766" s="3">
        <f>IF(B766="","",SUMIFS('Factory Costs'!$C:$C,'Factory Costs'!$A:$A,"Frame",'Factory Costs'!$B:$B,B766))</f>
        <v>52</v>
      </c>
    </row>
    <row r="767" spans="1:3" x14ac:dyDescent="0.25">
      <c r="A767" s="1" t="s">
        <v>8854</v>
      </c>
      <c r="B767" s="1" t="s">
        <v>16377</v>
      </c>
      <c r="C767" s="3">
        <f>IF(B767="","",SUMIFS('Factory Costs'!$C:$C,'Factory Costs'!$A:$A,"Frame",'Factory Costs'!$B:$B,B767))</f>
        <v>39</v>
      </c>
    </row>
    <row r="768" spans="1:3" x14ac:dyDescent="0.25">
      <c r="A768" s="1" t="s">
        <v>8857</v>
      </c>
      <c r="B768" s="1" t="s">
        <v>16377</v>
      </c>
      <c r="C768" s="3">
        <f>IF(B768="","",SUMIFS('Factory Costs'!$C:$C,'Factory Costs'!$A:$A,"Frame",'Factory Costs'!$B:$B,B768))</f>
        <v>39</v>
      </c>
    </row>
    <row r="769" spans="1:3" x14ac:dyDescent="0.25">
      <c r="A769" s="1" t="s">
        <v>8860</v>
      </c>
      <c r="B769" s="1" t="s">
        <v>16377</v>
      </c>
      <c r="C769" s="3">
        <f>IF(B769="","",SUMIFS('Factory Costs'!$C:$C,'Factory Costs'!$A:$A,"Frame",'Factory Costs'!$B:$B,B769))</f>
        <v>39</v>
      </c>
    </row>
    <row r="770" spans="1:3" x14ac:dyDescent="0.25">
      <c r="A770" s="1" t="s">
        <v>8863</v>
      </c>
      <c r="B770" s="1" t="s">
        <v>16379</v>
      </c>
      <c r="C770" s="3">
        <f>IF(B770="","",SUMIFS('Factory Costs'!$C:$C,'Factory Costs'!$A:$A,"Frame",'Factory Costs'!$B:$B,B770))</f>
        <v>45</v>
      </c>
    </row>
    <row r="771" spans="1:3" x14ac:dyDescent="0.25">
      <c r="A771" s="1" t="s">
        <v>8866</v>
      </c>
      <c r="B771" s="1" t="s">
        <v>16379</v>
      </c>
      <c r="C771" s="3">
        <f>IF(B771="","",SUMIFS('Factory Costs'!$C:$C,'Factory Costs'!$A:$A,"Frame",'Factory Costs'!$B:$B,B771))</f>
        <v>45</v>
      </c>
    </row>
    <row r="772" spans="1:3" x14ac:dyDescent="0.25">
      <c r="A772" s="1" t="s">
        <v>8869</v>
      </c>
      <c r="B772" s="1" t="s">
        <v>16378</v>
      </c>
      <c r="C772" s="3">
        <f>IF(B772="","",SUMIFS('Factory Costs'!$C:$C,'Factory Costs'!$A:$A,"Frame",'Factory Costs'!$B:$B,B772))</f>
        <v>52</v>
      </c>
    </row>
    <row r="773" spans="1:3" x14ac:dyDescent="0.25">
      <c r="A773" s="1" t="s">
        <v>8872</v>
      </c>
      <c r="B773" s="1" t="s">
        <v>16379</v>
      </c>
      <c r="C773" s="3">
        <f>IF(B773="","",SUMIFS('Factory Costs'!$C:$C,'Factory Costs'!$A:$A,"Frame",'Factory Costs'!$B:$B,B773))</f>
        <v>45</v>
      </c>
    </row>
    <row r="774" spans="1:3" x14ac:dyDescent="0.25">
      <c r="A774" s="1" t="s">
        <v>8875</v>
      </c>
      <c r="B774" s="1" t="s">
        <v>16379</v>
      </c>
      <c r="C774" s="3">
        <f>IF(B774="","",SUMIFS('Factory Costs'!$C:$C,'Factory Costs'!$A:$A,"Frame",'Factory Costs'!$B:$B,B774))</f>
        <v>45</v>
      </c>
    </row>
    <row r="775" spans="1:3" x14ac:dyDescent="0.25">
      <c r="A775" s="1" t="s">
        <v>8878</v>
      </c>
      <c r="B775" s="1" t="s">
        <v>16379</v>
      </c>
      <c r="C775" s="3">
        <f>IF(B775="","",SUMIFS('Factory Costs'!$C:$C,'Factory Costs'!$A:$A,"Frame",'Factory Costs'!$B:$B,B775))</f>
        <v>45</v>
      </c>
    </row>
    <row r="776" spans="1:3" x14ac:dyDescent="0.25">
      <c r="A776" s="1" t="s">
        <v>8881</v>
      </c>
      <c r="B776" s="1" t="s">
        <v>16378</v>
      </c>
      <c r="C776" s="3">
        <f>IF(B776="","",SUMIFS('Factory Costs'!$C:$C,'Factory Costs'!$A:$A,"Frame",'Factory Costs'!$B:$B,B776))</f>
        <v>52</v>
      </c>
    </row>
    <row r="777" spans="1:3" x14ac:dyDescent="0.25">
      <c r="A777" s="1" t="s">
        <v>8884</v>
      </c>
      <c r="B777" s="1" t="s">
        <v>16379</v>
      </c>
      <c r="C777" s="3">
        <f>IF(B777="","",SUMIFS('Factory Costs'!$C:$C,'Factory Costs'!$A:$A,"Frame",'Factory Costs'!$B:$B,B777))</f>
        <v>45</v>
      </c>
    </row>
    <row r="778" spans="1:3" x14ac:dyDescent="0.25">
      <c r="A778" s="1" t="s">
        <v>8887</v>
      </c>
      <c r="B778" s="1" t="s">
        <v>16378</v>
      </c>
      <c r="C778" s="3">
        <f>IF(B778="","",SUMIFS('Factory Costs'!$C:$C,'Factory Costs'!$A:$A,"Frame",'Factory Costs'!$B:$B,B778))</f>
        <v>52</v>
      </c>
    </row>
    <row r="779" spans="1:3" x14ac:dyDescent="0.25">
      <c r="A779" s="1" t="s">
        <v>8890</v>
      </c>
      <c r="B779" s="1" t="s">
        <v>16378</v>
      </c>
      <c r="C779" s="3">
        <f>IF(B779="","",SUMIFS('Factory Costs'!$C:$C,'Factory Costs'!$A:$A,"Frame",'Factory Costs'!$B:$B,B779))</f>
        <v>52</v>
      </c>
    </row>
    <row r="780" spans="1:3" x14ac:dyDescent="0.25">
      <c r="A780" s="1" t="s">
        <v>8893</v>
      </c>
      <c r="B780" s="1" t="s">
        <v>16377</v>
      </c>
      <c r="C780" s="3">
        <f>IF(B780="","",SUMIFS('Factory Costs'!$C:$C,'Factory Costs'!$A:$A,"Frame",'Factory Costs'!$B:$B,B780))</f>
        <v>39</v>
      </c>
    </row>
    <row r="781" spans="1:3" x14ac:dyDescent="0.25">
      <c r="A781" s="1" t="s">
        <v>8896</v>
      </c>
      <c r="B781" s="1" t="s">
        <v>16377</v>
      </c>
      <c r="C781" s="3">
        <f>IF(B781="","",SUMIFS('Factory Costs'!$C:$C,'Factory Costs'!$A:$A,"Frame",'Factory Costs'!$B:$B,B781))</f>
        <v>39</v>
      </c>
    </row>
    <row r="782" spans="1:3" x14ac:dyDescent="0.25">
      <c r="A782" s="1" t="s">
        <v>8899</v>
      </c>
      <c r="B782" s="1" t="s">
        <v>16379</v>
      </c>
      <c r="C782" s="3">
        <f>IF(B782="","",SUMIFS('Factory Costs'!$C:$C,'Factory Costs'!$A:$A,"Frame",'Factory Costs'!$B:$B,B782))</f>
        <v>45</v>
      </c>
    </row>
    <row r="783" spans="1:3" x14ac:dyDescent="0.25">
      <c r="A783" s="1" t="s">
        <v>8902</v>
      </c>
      <c r="B783" s="1" t="s">
        <v>16377</v>
      </c>
      <c r="C783" s="3">
        <f>IF(B783="","",SUMIFS('Factory Costs'!$C:$C,'Factory Costs'!$A:$A,"Frame",'Factory Costs'!$B:$B,B783))</f>
        <v>39</v>
      </c>
    </row>
    <row r="784" spans="1:3" x14ac:dyDescent="0.25">
      <c r="A784" s="1" t="s">
        <v>8905</v>
      </c>
      <c r="B784" s="1" t="s">
        <v>16379</v>
      </c>
      <c r="C784" s="3">
        <f>IF(B784="","",SUMIFS('Factory Costs'!$C:$C,'Factory Costs'!$A:$A,"Frame",'Factory Costs'!$B:$B,B784))</f>
        <v>45</v>
      </c>
    </row>
    <row r="785" spans="1:3" x14ac:dyDescent="0.25">
      <c r="A785" s="1" t="s">
        <v>8908</v>
      </c>
      <c r="B785" s="1" t="s">
        <v>16378</v>
      </c>
      <c r="C785" s="3">
        <f>IF(B785="","",SUMIFS('Factory Costs'!$C:$C,'Factory Costs'!$A:$A,"Frame",'Factory Costs'!$B:$B,B785))</f>
        <v>52</v>
      </c>
    </row>
    <row r="786" spans="1:3" x14ac:dyDescent="0.25">
      <c r="A786" s="1" t="s">
        <v>8911</v>
      </c>
      <c r="B786" s="1" t="s">
        <v>16377</v>
      </c>
      <c r="C786" s="3">
        <f>IF(B786="","",SUMIFS('Factory Costs'!$C:$C,'Factory Costs'!$A:$A,"Frame",'Factory Costs'!$B:$B,B786))</f>
        <v>39</v>
      </c>
    </row>
    <row r="787" spans="1:3" x14ac:dyDescent="0.25">
      <c r="A787" s="1" t="s">
        <v>8914</v>
      </c>
      <c r="B787" s="1" t="s">
        <v>16378</v>
      </c>
      <c r="C787" s="3">
        <f>IF(B787="","",SUMIFS('Factory Costs'!$C:$C,'Factory Costs'!$A:$A,"Frame",'Factory Costs'!$B:$B,B787))</f>
        <v>52</v>
      </c>
    </row>
    <row r="788" spans="1:3" x14ac:dyDescent="0.25">
      <c r="A788" s="1" t="s">
        <v>8917</v>
      </c>
      <c r="B788" s="1" t="s">
        <v>16377</v>
      </c>
      <c r="C788" s="3">
        <f>IF(B788="","",SUMIFS('Factory Costs'!$C:$C,'Factory Costs'!$A:$A,"Frame",'Factory Costs'!$B:$B,B788))</f>
        <v>39</v>
      </c>
    </row>
    <row r="789" spans="1:3" x14ac:dyDescent="0.25">
      <c r="A789" s="1" t="s">
        <v>8920</v>
      </c>
      <c r="B789" s="1" t="s">
        <v>16377</v>
      </c>
      <c r="C789" s="3">
        <f>IF(B789="","",SUMIFS('Factory Costs'!$C:$C,'Factory Costs'!$A:$A,"Frame",'Factory Costs'!$B:$B,B789))</f>
        <v>39</v>
      </c>
    </row>
    <row r="790" spans="1:3" x14ac:dyDescent="0.25">
      <c r="A790" s="1" t="s">
        <v>8923</v>
      </c>
      <c r="B790" s="1" t="s">
        <v>16378</v>
      </c>
      <c r="C790" s="3">
        <f>IF(B790="","",SUMIFS('Factory Costs'!$C:$C,'Factory Costs'!$A:$A,"Frame",'Factory Costs'!$B:$B,B790))</f>
        <v>52</v>
      </c>
    </row>
    <row r="791" spans="1:3" x14ac:dyDescent="0.25">
      <c r="A791" s="1" t="s">
        <v>8926</v>
      </c>
      <c r="B791" s="1" t="s">
        <v>16377</v>
      </c>
      <c r="C791" s="3">
        <f>IF(B791="","",SUMIFS('Factory Costs'!$C:$C,'Factory Costs'!$A:$A,"Frame",'Factory Costs'!$B:$B,B791))</f>
        <v>39</v>
      </c>
    </row>
    <row r="792" spans="1:3" x14ac:dyDescent="0.25">
      <c r="A792" s="1" t="s">
        <v>8929</v>
      </c>
      <c r="B792" s="1" t="s">
        <v>16378</v>
      </c>
      <c r="C792" s="3">
        <f>IF(B792="","",SUMIFS('Factory Costs'!$C:$C,'Factory Costs'!$A:$A,"Frame",'Factory Costs'!$B:$B,B792))</f>
        <v>52</v>
      </c>
    </row>
    <row r="793" spans="1:3" x14ac:dyDescent="0.25">
      <c r="A793" s="1" t="s">
        <v>8932</v>
      </c>
      <c r="B793" s="1" t="s">
        <v>16379</v>
      </c>
      <c r="C793" s="3">
        <f>IF(B793="","",SUMIFS('Factory Costs'!$C:$C,'Factory Costs'!$A:$A,"Frame",'Factory Costs'!$B:$B,B793))</f>
        <v>45</v>
      </c>
    </row>
    <row r="794" spans="1:3" x14ac:dyDescent="0.25">
      <c r="A794" s="1" t="s">
        <v>8935</v>
      </c>
      <c r="B794" s="1" t="s">
        <v>16377</v>
      </c>
      <c r="C794" s="3">
        <f>IF(B794="","",SUMIFS('Factory Costs'!$C:$C,'Factory Costs'!$A:$A,"Frame",'Factory Costs'!$B:$B,B794))</f>
        <v>39</v>
      </c>
    </row>
    <row r="795" spans="1:3" x14ac:dyDescent="0.25">
      <c r="A795" s="1" t="s">
        <v>8938</v>
      </c>
      <c r="B795" s="1" t="s">
        <v>16379</v>
      </c>
      <c r="C795" s="3">
        <f>IF(B795="","",SUMIFS('Factory Costs'!$C:$C,'Factory Costs'!$A:$A,"Frame",'Factory Costs'!$B:$B,B795))</f>
        <v>45</v>
      </c>
    </row>
    <row r="796" spans="1:3" x14ac:dyDescent="0.25">
      <c r="A796" s="1" t="s">
        <v>8941</v>
      </c>
      <c r="B796" s="1" t="s">
        <v>16377</v>
      </c>
      <c r="C796" s="3">
        <f>IF(B796="","",SUMIFS('Factory Costs'!$C:$C,'Factory Costs'!$A:$A,"Frame",'Factory Costs'!$B:$B,B796))</f>
        <v>39</v>
      </c>
    </row>
    <row r="797" spans="1:3" x14ac:dyDescent="0.25">
      <c r="A797" s="1" t="s">
        <v>8944</v>
      </c>
      <c r="B797" s="1" t="s">
        <v>16377</v>
      </c>
      <c r="C797" s="3">
        <f>IF(B797="","",SUMIFS('Factory Costs'!$C:$C,'Factory Costs'!$A:$A,"Frame",'Factory Costs'!$B:$B,B797))</f>
        <v>39</v>
      </c>
    </row>
    <row r="798" spans="1:3" x14ac:dyDescent="0.25">
      <c r="A798" s="1" t="s">
        <v>8947</v>
      </c>
      <c r="B798" s="1" t="s">
        <v>16377</v>
      </c>
      <c r="C798" s="3">
        <f>IF(B798="","",SUMIFS('Factory Costs'!$C:$C,'Factory Costs'!$A:$A,"Frame",'Factory Costs'!$B:$B,B798))</f>
        <v>39</v>
      </c>
    </row>
    <row r="799" spans="1:3" x14ac:dyDescent="0.25">
      <c r="A799" s="1" t="s">
        <v>8950</v>
      </c>
      <c r="B799" s="1" t="s">
        <v>16379</v>
      </c>
      <c r="C799" s="3">
        <f>IF(B799="","",SUMIFS('Factory Costs'!$C:$C,'Factory Costs'!$A:$A,"Frame",'Factory Costs'!$B:$B,B799))</f>
        <v>45</v>
      </c>
    </row>
    <row r="800" spans="1:3" x14ac:dyDescent="0.25">
      <c r="A800" s="1" t="s">
        <v>8953</v>
      </c>
      <c r="B800" s="1" t="s">
        <v>16379</v>
      </c>
      <c r="C800" s="3">
        <f>IF(B800="","",SUMIFS('Factory Costs'!$C:$C,'Factory Costs'!$A:$A,"Frame",'Factory Costs'!$B:$B,B800))</f>
        <v>45</v>
      </c>
    </row>
    <row r="801" spans="1:3" x14ac:dyDescent="0.25">
      <c r="A801" s="1" t="s">
        <v>8956</v>
      </c>
      <c r="B801" s="1" t="s">
        <v>16379</v>
      </c>
      <c r="C801" s="3">
        <f>IF(B801="","",SUMIFS('Factory Costs'!$C:$C,'Factory Costs'!$A:$A,"Frame",'Factory Costs'!$B:$B,B801))</f>
        <v>45</v>
      </c>
    </row>
    <row r="802" spans="1:3" x14ac:dyDescent="0.25">
      <c r="A802" s="1" t="s">
        <v>8959</v>
      </c>
      <c r="B802" s="1" t="s">
        <v>16378</v>
      </c>
      <c r="C802" s="3">
        <f>IF(B802="","",SUMIFS('Factory Costs'!$C:$C,'Factory Costs'!$A:$A,"Frame",'Factory Costs'!$B:$B,B802))</f>
        <v>52</v>
      </c>
    </row>
    <row r="803" spans="1:3" x14ac:dyDescent="0.25">
      <c r="A803" s="1" t="s">
        <v>8962</v>
      </c>
      <c r="B803" s="1" t="s">
        <v>16378</v>
      </c>
      <c r="C803" s="3">
        <f>IF(B803="","",SUMIFS('Factory Costs'!$C:$C,'Factory Costs'!$A:$A,"Frame",'Factory Costs'!$B:$B,B803))</f>
        <v>52</v>
      </c>
    </row>
    <row r="804" spans="1:3" x14ac:dyDescent="0.25">
      <c r="A804" s="1" t="s">
        <v>8965</v>
      </c>
      <c r="B804" s="1" t="s">
        <v>16379</v>
      </c>
      <c r="C804" s="3">
        <f>IF(B804="","",SUMIFS('Factory Costs'!$C:$C,'Factory Costs'!$A:$A,"Frame",'Factory Costs'!$B:$B,B804))</f>
        <v>45</v>
      </c>
    </row>
    <row r="805" spans="1:3" x14ac:dyDescent="0.25">
      <c r="A805" s="1" t="s">
        <v>8968</v>
      </c>
      <c r="B805" s="1" t="s">
        <v>16378</v>
      </c>
      <c r="C805" s="3">
        <f>IF(B805="","",SUMIFS('Factory Costs'!$C:$C,'Factory Costs'!$A:$A,"Frame",'Factory Costs'!$B:$B,B805))</f>
        <v>52</v>
      </c>
    </row>
    <row r="806" spans="1:3" x14ac:dyDescent="0.25">
      <c r="A806" s="1" t="s">
        <v>8971</v>
      </c>
      <c r="B806" s="1" t="s">
        <v>16379</v>
      </c>
      <c r="C806" s="3">
        <f>IF(B806="","",SUMIFS('Factory Costs'!$C:$C,'Factory Costs'!$A:$A,"Frame",'Factory Costs'!$B:$B,B806))</f>
        <v>45</v>
      </c>
    </row>
    <row r="807" spans="1:3" x14ac:dyDescent="0.25">
      <c r="A807" s="1" t="s">
        <v>8974</v>
      </c>
      <c r="B807" s="1" t="s">
        <v>16378</v>
      </c>
      <c r="C807" s="3">
        <f>IF(B807="","",SUMIFS('Factory Costs'!$C:$C,'Factory Costs'!$A:$A,"Frame",'Factory Costs'!$B:$B,B807))</f>
        <v>52</v>
      </c>
    </row>
    <row r="808" spans="1:3" x14ac:dyDescent="0.25">
      <c r="A808" s="1" t="s">
        <v>8977</v>
      </c>
      <c r="B808" s="1" t="s">
        <v>16378</v>
      </c>
      <c r="C808" s="3">
        <f>IF(B808="","",SUMIFS('Factory Costs'!$C:$C,'Factory Costs'!$A:$A,"Frame",'Factory Costs'!$B:$B,B808))</f>
        <v>52</v>
      </c>
    </row>
    <row r="809" spans="1:3" x14ac:dyDescent="0.25">
      <c r="A809" s="1" t="s">
        <v>8980</v>
      </c>
      <c r="B809" s="1" t="s">
        <v>16377</v>
      </c>
      <c r="C809" s="3">
        <f>IF(B809="","",SUMIFS('Factory Costs'!$C:$C,'Factory Costs'!$A:$A,"Frame",'Factory Costs'!$B:$B,B809))</f>
        <v>39</v>
      </c>
    </row>
    <row r="810" spans="1:3" x14ac:dyDescent="0.25">
      <c r="A810" s="1" t="s">
        <v>8983</v>
      </c>
      <c r="B810" s="1" t="s">
        <v>16377</v>
      </c>
      <c r="C810" s="3">
        <f>IF(B810="","",SUMIFS('Factory Costs'!$C:$C,'Factory Costs'!$A:$A,"Frame",'Factory Costs'!$B:$B,B810))</f>
        <v>39</v>
      </c>
    </row>
    <row r="811" spans="1:3" x14ac:dyDescent="0.25">
      <c r="A811" s="1" t="s">
        <v>8986</v>
      </c>
      <c r="B811" s="1" t="s">
        <v>16377</v>
      </c>
      <c r="C811" s="3">
        <f>IF(B811="","",SUMIFS('Factory Costs'!$C:$C,'Factory Costs'!$A:$A,"Frame",'Factory Costs'!$B:$B,B811))</f>
        <v>39</v>
      </c>
    </row>
    <row r="812" spans="1:3" x14ac:dyDescent="0.25">
      <c r="A812" s="1" t="s">
        <v>8989</v>
      </c>
      <c r="B812" s="1" t="s">
        <v>16378</v>
      </c>
      <c r="C812" s="3">
        <f>IF(B812="","",SUMIFS('Factory Costs'!$C:$C,'Factory Costs'!$A:$A,"Frame",'Factory Costs'!$B:$B,B812))</f>
        <v>52</v>
      </c>
    </row>
    <row r="813" spans="1:3" x14ac:dyDescent="0.25">
      <c r="A813" s="1" t="s">
        <v>8992</v>
      </c>
      <c r="B813" s="1" t="s">
        <v>16377</v>
      </c>
      <c r="C813" s="3">
        <f>IF(B813="","",SUMIFS('Factory Costs'!$C:$C,'Factory Costs'!$A:$A,"Frame",'Factory Costs'!$B:$B,B813))</f>
        <v>39</v>
      </c>
    </row>
    <row r="814" spans="1:3" x14ac:dyDescent="0.25">
      <c r="A814" s="1" t="s">
        <v>8995</v>
      </c>
      <c r="B814" s="1" t="s">
        <v>16379</v>
      </c>
      <c r="C814" s="3">
        <f>IF(B814="","",SUMIFS('Factory Costs'!$C:$C,'Factory Costs'!$A:$A,"Frame",'Factory Costs'!$B:$B,B814))</f>
        <v>45</v>
      </c>
    </row>
    <row r="815" spans="1:3" x14ac:dyDescent="0.25">
      <c r="A815" s="1" t="s">
        <v>8998</v>
      </c>
      <c r="B815" s="1" t="s">
        <v>16379</v>
      </c>
      <c r="C815" s="3">
        <f>IF(B815="","",SUMIFS('Factory Costs'!$C:$C,'Factory Costs'!$A:$A,"Frame",'Factory Costs'!$B:$B,B815))</f>
        <v>45</v>
      </c>
    </row>
    <row r="816" spans="1:3" x14ac:dyDescent="0.25">
      <c r="A816" s="1" t="s">
        <v>9001</v>
      </c>
      <c r="B816" s="1" t="s">
        <v>16378</v>
      </c>
      <c r="C816" s="3">
        <f>IF(B816="","",SUMIFS('Factory Costs'!$C:$C,'Factory Costs'!$A:$A,"Frame",'Factory Costs'!$B:$B,B816))</f>
        <v>52</v>
      </c>
    </row>
    <row r="817" spans="1:3" x14ac:dyDescent="0.25">
      <c r="A817" s="1" t="s">
        <v>9004</v>
      </c>
      <c r="B817" s="1" t="s">
        <v>16378</v>
      </c>
      <c r="C817" s="3">
        <f>IF(B817="","",SUMIFS('Factory Costs'!$C:$C,'Factory Costs'!$A:$A,"Frame",'Factory Costs'!$B:$B,B817))</f>
        <v>52</v>
      </c>
    </row>
    <row r="818" spans="1:3" x14ac:dyDescent="0.25">
      <c r="A818" s="1" t="s">
        <v>9007</v>
      </c>
      <c r="B818" s="1" t="s">
        <v>16377</v>
      </c>
      <c r="C818" s="3">
        <f>IF(B818="","",SUMIFS('Factory Costs'!$C:$C,'Factory Costs'!$A:$A,"Frame",'Factory Costs'!$B:$B,B818))</f>
        <v>39</v>
      </c>
    </row>
    <row r="819" spans="1:3" x14ac:dyDescent="0.25">
      <c r="A819" s="1" t="s">
        <v>9010</v>
      </c>
      <c r="B819" s="1" t="s">
        <v>16377</v>
      </c>
      <c r="C819" s="3">
        <f>IF(B819="","",SUMIFS('Factory Costs'!$C:$C,'Factory Costs'!$A:$A,"Frame",'Factory Costs'!$B:$B,B819))</f>
        <v>39</v>
      </c>
    </row>
    <row r="820" spans="1:3" x14ac:dyDescent="0.25">
      <c r="A820" s="1" t="s">
        <v>9013</v>
      </c>
      <c r="B820" s="1" t="s">
        <v>16377</v>
      </c>
      <c r="C820" s="3">
        <f>IF(B820="","",SUMIFS('Factory Costs'!$C:$C,'Factory Costs'!$A:$A,"Frame",'Factory Costs'!$B:$B,B820))</f>
        <v>39</v>
      </c>
    </row>
    <row r="821" spans="1:3" x14ac:dyDescent="0.25">
      <c r="A821" s="1" t="s">
        <v>9016</v>
      </c>
      <c r="B821" s="1" t="s">
        <v>16377</v>
      </c>
      <c r="C821" s="3">
        <f>IF(B821="","",SUMIFS('Factory Costs'!$C:$C,'Factory Costs'!$A:$A,"Frame",'Factory Costs'!$B:$B,B821))</f>
        <v>39</v>
      </c>
    </row>
    <row r="822" spans="1:3" x14ac:dyDescent="0.25">
      <c r="A822" s="1" t="s">
        <v>9019</v>
      </c>
      <c r="B822" s="1" t="s">
        <v>16379</v>
      </c>
      <c r="C822" s="3">
        <f>IF(B822="","",SUMIFS('Factory Costs'!$C:$C,'Factory Costs'!$A:$A,"Frame",'Factory Costs'!$B:$B,B822))</f>
        <v>45</v>
      </c>
    </row>
    <row r="823" spans="1:3" x14ac:dyDescent="0.25">
      <c r="A823" s="1" t="s">
        <v>9022</v>
      </c>
      <c r="B823" s="1" t="s">
        <v>16378</v>
      </c>
      <c r="C823" s="3">
        <f>IF(B823="","",SUMIFS('Factory Costs'!$C:$C,'Factory Costs'!$A:$A,"Frame",'Factory Costs'!$B:$B,B823))</f>
        <v>52</v>
      </c>
    </row>
    <row r="824" spans="1:3" x14ac:dyDescent="0.25">
      <c r="A824" s="1" t="s">
        <v>9025</v>
      </c>
      <c r="B824" s="1" t="s">
        <v>16378</v>
      </c>
      <c r="C824" s="3">
        <f>IF(B824="","",SUMIFS('Factory Costs'!$C:$C,'Factory Costs'!$A:$A,"Frame",'Factory Costs'!$B:$B,B824))</f>
        <v>52</v>
      </c>
    </row>
    <row r="825" spans="1:3" x14ac:dyDescent="0.25">
      <c r="A825" s="1" t="s">
        <v>9028</v>
      </c>
      <c r="B825" s="1" t="s">
        <v>16378</v>
      </c>
      <c r="C825" s="3">
        <f>IF(B825="","",SUMIFS('Factory Costs'!$C:$C,'Factory Costs'!$A:$A,"Frame",'Factory Costs'!$B:$B,B825))</f>
        <v>52</v>
      </c>
    </row>
    <row r="826" spans="1:3" x14ac:dyDescent="0.25">
      <c r="A826" s="1" t="s">
        <v>9031</v>
      </c>
      <c r="B826" s="1" t="s">
        <v>16379</v>
      </c>
      <c r="C826" s="3">
        <f>IF(B826="","",SUMIFS('Factory Costs'!$C:$C,'Factory Costs'!$A:$A,"Frame",'Factory Costs'!$B:$B,B826))</f>
        <v>45</v>
      </c>
    </row>
    <row r="827" spans="1:3" x14ac:dyDescent="0.25">
      <c r="A827" s="1" t="s">
        <v>9034</v>
      </c>
      <c r="B827" s="1" t="s">
        <v>16379</v>
      </c>
      <c r="C827" s="3">
        <f>IF(B827="","",SUMIFS('Factory Costs'!$C:$C,'Factory Costs'!$A:$A,"Frame",'Factory Costs'!$B:$B,B827))</f>
        <v>45</v>
      </c>
    </row>
    <row r="828" spans="1:3" x14ac:dyDescent="0.25">
      <c r="A828" s="1" t="s">
        <v>9037</v>
      </c>
      <c r="B828" s="1" t="s">
        <v>16379</v>
      </c>
      <c r="C828" s="3">
        <f>IF(B828="","",SUMIFS('Factory Costs'!$C:$C,'Factory Costs'!$A:$A,"Frame",'Factory Costs'!$B:$B,B828))</f>
        <v>45</v>
      </c>
    </row>
    <row r="829" spans="1:3" x14ac:dyDescent="0.25">
      <c r="A829" s="1" t="s">
        <v>9040</v>
      </c>
      <c r="B829" s="1" t="s">
        <v>16377</v>
      </c>
      <c r="C829" s="3">
        <f>IF(B829="","",SUMIFS('Factory Costs'!$C:$C,'Factory Costs'!$A:$A,"Frame",'Factory Costs'!$B:$B,B829))</f>
        <v>39</v>
      </c>
    </row>
    <row r="830" spans="1:3" x14ac:dyDescent="0.25">
      <c r="A830" s="1" t="s">
        <v>9043</v>
      </c>
      <c r="B830" s="1" t="s">
        <v>16377</v>
      </c>
      <c r="C830" s="3">
        <f>IF(B830="","",SUMIFS('Factory Costs'!$C:$C,'Factory Costs'!$A:$A,"Frame",'Factory Costs'!$B:$B,B830))</f>
        <v>39</v>
      </c>
    </row>
    <row r="831" spans="1:3" x14ac:dyDescent="0.25">
      <c r="A831" s="1" t="s">
        <v>9046</v>
      </c>
      <c r="B831" s="1" t="s">
        <v>16377</v>
      </c>
      <c r="C831" s="3">
        <f>IF(B831="","",SUMIFS('Factory Costs'!$C:$C,'Factory Costs'!$A:$A,"Frame",'Factory Costs'!$B:$B,B831))</f>
        <v>39</v>
      </c>
    </row>
    <row r="832" spans="1:3" x14ac:dyDescent="0.25">
      <c r="A832" s="1" t="s">
        <v>9049</v>
      </c>
      <c r="B832" s="1" t="s">
        <v>16377</v>
      </c>
      <c r="C832" s="3">
        <f>IF(B832="","",SUMIFS('Factory Costs'!$C:$C,'Factory Costs'!$A:$A,"Frame",'Factory Costs'!$B:$B,B832))</f>
        <v>39</v>
      </c>
    </row>
    <row r="833" spans="1:3" x14ac:dyDescent="0.25">
      <c r="A833" s="1" t="s">
        <v>9052</v>
      </c>
      <c r="B833" s="1" t="s">
        <v>16378</v>
      </c>
      <c r="C833" s="3">
        <f>IF(B833="","",SUMIFS('Factory Costs'!$C:$C,'Factory Costs'!$A:$A,"Frame",'Factory Costs'!$B:$B,B833))</f>
        <v>52</v>
      </c>
    </row>
    <row r="834" spans="1:3" x14ac:dyDescent="0.25">
      <c r="A834" s="1" t="s">
        <v>9055</v>
      </c>
      <c r="B834" s="1" t="s">
        <v>16377</v>
      </c>
      <c r="C834" s="3">
        <f>IF(B834="","",SUMIFS('Factory Costs'!$C:$C,'Factory Costs'!$A:$A,"Frame",'Factory Costs'!$B:$B,B834))</f>
        <v>39</v>
      </c>
    </row>
    <row r="835" spans="1:3" x14ac:dyDescent="0.25">
      <c r="A835" s="1" t="s">
        <v>9058</v>
      </c>
      <c r="B835" s="1" t="s">
        <v>16378</v>
      </c>
      <c r="C835" s="3">
        <f>IF(B835="","",SUMIFS('Factory Costs'!$C:$C,'Factory Costs'!$A:$A,"Frame",'Factory Costs'!$B:$B,B835))</f>
        <v>52</v>
      </c>
    </row>
    <row r="836" spans="1:3" x14ac:dyDescent="0.25">
      <c r="A836" s="1" t="s">
        <v>9061</v>
      </c>
      <c r="B836" s="1" t="s">
        <v>16377</v>
      </c>
      <c r="C836" s="3">
        <f>IF(B836="","",SUMIFS('Factory Costs'!$C:$C,'Factory Costs'!$A:$A,"Frame",'Factory Costs'!$B:$B,B836))</f>
        <v>39</v>
      </c>
    </row>
    <row r="837" spans="1:3" x14ac:dyDescent="0.25">
      <c r="A837" s="1" t="s">
        <v>9064</v>
      </c>
      <c r="B837" s="1" t="s">
        <v>16379</v>
      </c>
      <c r="C837" s="3">
        <f>IF(B837="","",SUMIFS('Factory Costs'!$C:$C,'Factory Costs'!$A:$A,"Frame",'Factory Costs'!$B:$B,B837))</f>
        <v>45</v>
      </c>
    </row>
    <row r="838" spans="1:3" x14ac:dyDescent="0.25">
      <c r="A838" s="1" t="s">
        <v>9067</v>
      </c>
      <c r="B838" s="1" t="s">
        <v>16377</v>
      </c>
      <c r="C838" s="3">
        <f>IF(B838="","",SUMIFS('Factory Costs'!$C:$C,'Factory Costs'!$A:$A,"Frame",'Factory Costs'!$B:$B,B838))</f>
        <v>39</v>
      </c>
    </row>
    <row r="839" spans="1:3" x14ac:dyDescent="0.25">
      <c r="A839" s="1" t="s">
        <v>9070</v>
      </c>
      <c r="B839" s="1" t="s">
        <v>16378</v>
      </c>
      <c r="C839" s="3">
        <f>IF(B839="","",SUMIFS('Factory Costs'!$C:$C,'Factory Costs'!$A:$A,"Frame",'Factory Costs'!$B:$B,B839))</f>
        <v>52</v>
      </c>
    </row>
    <row r="840" spans="1:3" x14ac:dyDescent="0.25">
      <c r="A840" s="1" t="s">
        <v>9073</v>
      </c>
      <c r="B840" s="1" t="s">
        <v>16377</v>
      </c>
      <c r="C840" s="3">
        <f>IF(B840="","",SUMIFS('Factory Costs'!$C:$C,'Factory Costs'!$A:$A,"Frame",'Factory Costs'!$B:$B,B840))</f>
        <v>39</v>
      </c>
    </row>
    <row r="841" spans="1:3" x14ac:dyDescent="0.25">
      <c r="A841" s="1" t="s">
        <v>9076</v>
      </c>
      <c r="B841" s="1" t="s">
        <v>16378</v>
      </c>
      <c r="C841" s="3">
        <f>IF(B841="","",SUMIFS('Factory Costs'!$C:$C,'Factory Costs'!$A:$A,"Frame",'Factory Costs'!$B:$B,B841))</f>
        <v>52</v>
      </c>
    </row>
    <row r="842" spans="1:3" x14ac:dyDescent="0.25">
      <c r="A842" s="1" t="s">
        <v>9079</v>
      </c>
      <c r="B842" s="1" t="s">
        <v>16377</v>
      </c>
      <c r="C842" s="3">
        <f>IF(B842="","",SUMIFS('Factory Costs'!$C:$C,'Factory Costs'!$A:$A,"Frame",'Factory Costs'!$B:$B,B842))</f>
        <v>39</v>
      </c>
    </row>
    <row r="843" spans="1:3" x14ac:dyDescent="0.25">
      <c r="A843" s="1" t="s">
        <v>9082</v>
      </c>
      <c r="B843" s="1" t="s">
        <v>16377</v>
      </c>
      <c r="C843" s="3">
        <f>IF(B843="","",SUMIFS('Factory Costs'!$C:$C,'Factory Costs'!$A:$A,"Frame",'Factory Costs'!$B:$B,B843))</f>
        <v>39</v>
      </c>
    </row>
    <row r="844" spans="1:3" x14ac:dyDescent="0.25">
      <c r="A844" s="1" t="s">
        <v>9085</v>
      </c>
      <c r="B844" s="1" t="s">
        <v>16379</v>
      </c>
      <c r="C844" s="3">
        <f>IF(B844="","",SUMIFS('Factory Costs'!$C:$C,'Factory Costs'!$A:$A,"Frame",'Factory Costs'!$B:$B,B844))</f>
        <v>45</v>
      </c>
    </row>
    <row r="845" spans="1:3" x14ac:dyDescent="0.25">
      <c r="A845" s="1" t="s">
        <v>9088</v>
      </c>
      <c r="B845" s="1" t="s">
        <v>16377</v>
      </c>
      <c r="C845" s="3">
        <f>IF(B845="","",SUMIFS('Factory Costs'!$C:$C,'Factory Costs'!$A:$A,"Frame",'Factory Costs'!$B:$B,B845))</f>
        <v>39</v>
      </c>
    </row>
    <row r="846" spans="1:3" x14ac:dyDescent="0.25">
      <c r="A846" s="1" t="s">
        <v>9091</v>
      </c>
      <c r="B846" s="1" t="s">
        <v>16378</v>
      </c>
      <c r="C846" s="3">
        <f>IF(B846="","",SUMIFS('Factory Costs'!$C:$C,'Factory Costs'!$A:$A,"Frame",'Factory Costs'!$B:$B,B846))</f>
        <v>52</v>
      </c>
    </row>
    <row r="847" spans="1:3" x14ac:dyDescent="0.25">
      <c r="A847" s="1" t="s">
        <v>9094</v>
      </c>
      <c r="B847" s="1" t="s">
        <v>16377</v>
      </c>
      <c r="C847" s="3">
        <f>IF(B847="","",SUMIFS('Factory Costs'!$C:$C,'Factory Costs'!$A:$A,"Frame",'Factory Costs'!$B:$B,B847))</f>
        <v>39</v>
      </c>
    </row>
    <row r="848" spans="1:3" x14ac:dyDescent="0.25">
      <c r="A848" s="1" t="s">
        <v>9097</v>
      </c>
      <c r="B848" s="1" t="s">
        <v>16377</v>
      </c>
      <c r="C848" s="3">
        <f>IF(B848="","",SUMIFS('Factory Costs'!$C:$C,'Factory Costs'!$A:$A,"Frame",'Factory Costs'!$B:$B,B848))</f>
        <v>39</v>
      </c>
    </row>
    <row r="849" spans="1:3" x14ac:dyDescent="0.25">
      <c r="A849" s="1" t="s">
        <v>9100</v>
      </c>
      <c r="B849" s="1" t="s">
        <v>16378</v>
      </c>
      <c r="C849" s="3">
        <f>IF(B849="","",SUMIFS('Factory Costs'!$C:$C,'Factory Costs'!$A:$A,"Frame",'Factory Costs'!$B:$B,B849))</f>
        <v>52</v>
      </c>
    </row>
    <row r="850" spans="1:3" x14ac:dyDescent="0.25">
      <c r="A850" s="1" t="s">
        <v>9103</v>
      </c>
      <c r="B850" s="1" t="s">
        <v>16377</v>
      </c>
      <c r="C850" s="3">
        <f>IF(B850="","",SUMIFS('Factory Costs'!$C:$C,'Factory Costs'!$A:$A,"Frame",'Factory Costs'!$B:$B,B850))</f>
        <v>39</v>
      </c>
    </row>
    <row r="851" spans="1:3" x14ac:dyDescent="0.25">
      <c r="A851" s="1" t="s">
        <v>9106</v>
      </c>
      <c r="B851" s="1" t="s">
        <v>16378</v>
      </c>
      <c r="C851" s="3">
        <f>IF(B851="","",SUMIFS('Factory Costs'!$C:$C,'Factory Costs'!$A:$A,"Frame",'Factory Costs'!$B:$B,B851))</f>
        <v>52</v>
      </c>
    </row>
    <row r="852" spans="1:3" x14ac:dyDescent="0.25">
      <c r="A852" s="1" t="s">
        <v>9109</v>
      </c>
      <c r="B852" s="1" t="s">
        <v>16378</v>
      </c>
      <c r="C852" s="3">
        <f>IF(B852="","",SUMIFS('Factory Costs'!$C:$C,'Factory Costs'!$A:$A,"Frame",'Factory Costs'!$B:$B,B852))</f>
        <v>52</v>
      </c>
    </row>
    <row r="853" spans="1:3" x14ac:dyDescent="0.25">
      <c r="A853" s="1" t="s">
        <v>9112</v>
      </c>
      <c r="B853" s="1" t="s">
        <v>16377</v>
      </c>
      <c r="C853" s="3">
        <f>IF(B853="","",SUMIFS('Factory Costs'!$C:$C,'Factory Costs'!$A:$A,"Frame",'Factory Costs'!$B:$B,B853))</f>
        <v>39</v>
      </c>
    </row>
    <row r="854" spans="1:3" x14ac:dyDescent="0.25">
      <c r="A854" s="1" t="s">
        <v>9115</v>
      </c>
      <c r="B854" s="1" t="s">
        <v>16377</v>
      </c>
      <c r="C854" s="3">
        <f>IF(B854="","",SUMIFS('Factory Costs'!$C:$C,'Factory Costs'!$A:$A,"Frame",'Factory Costs'!$B:$B,B854))</f>
        <v>39</v>
      </c>
    </row>
    <row r="855" spans="1:3" x14ac:dyDescent="0.25">
      <c r="A855" s="1" t="s">
        <v>9118</v>
      </c>
      <c r="B855" s="1" t="s">
        <v>16378</v>
      </c>
      <c r="C855" s="3">
        <f>IF(B855="","",SUMIFS('Factory Costs'!$C:$C,'Factory Costs'!$A:$A,"Frame",'Factory Costs'!$B:$B,B855))</f>
        <v>52</v>
      </c>
    </row>
    <row r="856" spans="1:3" x14ac:dyDescent="0.25">
      <c r="A856" s="1" t="s">
        <v>9121</v>
      </c>
      <c r="B856" s="1" t="s">
        <v>16378</v>
      </c>
      <c r="C856" s="3">
        <f>IF(B856="","",SUMIFS('Factory Costs'!$C:$C,'Factory Costs'!$A:$A,"Frame",'Factory Costs'!$B:$B,B856))</f>
        <v>52</v>
      </c>
    </row>
    <row r="857" spans="1:3" x14ac:dyDescent="0.25">
      <c r="A857" s="1" t="s">
        <v>9124</v>
      </c>
      <c r="B857" s="1" t="s">
        <v>16379</v>
      </c>
      <c r="C857" s="3">
        <f>IF(B857="","",SUMIFS('Factory Costs'!$C:$C,'Factory Costs'!$A:$A,"Frame",'Factory Costs'!$B:$B,B857))</f>
        <v>45</v>
      </c>
    </row>
    <row r="858" spans="1:3" x14ac:dyDescent="0.25">
      <c r="A858" s="1" t="s">
        <v>9127</v>
      </c>
      <c r="B858" s="1" t="s">
        <v>16378</v>
      </c>
      <c r="C858" s="3">
        <f>IF(B858="","",SUMIFS('Factory Costs'!$C:$C,'Factory Costs'!$A:$A,"Frame",'Factory Costs'!$B:$B,B858))</f>
        <v>52</v>
      </c>
    </row>
    <row r="859" spans="1:3" x14ac:dyDescent="0.25">
      <c r="A859" s="1" t="s">
        <v>9130</v>
      </c>
      <c r="B859" s="1" t="s">
        <v>16377</v>
      </c>
      <c r="C859" s="3">
        <f>IF(B859="","",SUMIFS('Factory Costs'!$C:$C,'Factory Costs'!$A:$A,"Frame",'Factory Costs'!$B:$B,B859))</f>
        <v>39</v>
      </c>
    </row>
    <row r="860" spans="1:3" x14ac:dyDescent="0.25">
      <c r="A860" s="1" t="s">
        <v>9133</v>
      </c>
      <c r="B860" s="1" t="s">
        <v>16377</v>
      </c>
      <c r="C860" s="3">
        <f>IF(B860="","",SUMIFS('Factory Costs'!$C:$C,'Factory Costs'!$A:$A,"Frame",'Factory Costs'!$B:$B,B860))</f>
        <v>39</v>
      </c>
    </row>
    <row r="861" spans="1:3" x14ac:dyDescent="0.25">
      <c r="A861" s="1" t="s">
        <v>9136</v>
      </c>
      <c r="B861" s="1" t="s">
        <v>16379</v>
      </c>
      <c r="C861" s="3">
        <f>IF(B861="","",SUMIFS('Factory Costs'!$C:$C,'Factory Costs'!$A:$A,"Frame",'Factory Costs'!$B:$B,B861))</f>
        <v>45</v>
      </c>
    </row>
    <row r="862" spans="1:3" x14ac:dyDescent="0.25">
      <c r="A862" s="1" t="s">
        <v>9139</v>
      </c>
      <c r="B862" s="1" t="s">
        <v>16379</v>
      </c>
      <c r="C862" s="3">
        <f>IF(B862="","",SUMIFS('Factory Costs'!$C:$C,'Factory Costs'!$A:$A,"Frame",'Factory Costs'!$B:$B,B862))</f>
        <v>45</v>
      </c>
    </row>
    <row r="863" spans="1:3" x14ac:dyDescent="0.25">
      <c r="A863" s="1" t="s">
        <v>9142</v>
      </c>
      <c r="B863" s="1" t="s">
        <v>16378</v>
      </c>
      <c r="C863" s="3">
        <f>IF(B863="","",SUMIFS('Factory Costs'!$C:$C,'Factory Costs'!$A:$A,"Frame",'Factory Costs'!$B:$B,B863))</f>
        <v>52</v>
      </c>
    </row>
    <row r="864" spans="1:3" x14ac:dyDescent="0.25">
      <c r="A864" s="1" t="s">
        <v>9145</v>
      </c>
      <c r="B864" s="1" t="s">
        <v>16377</v>
      </c>
      <c r="C864" s="3">
        <f>IF(B864="","",SUMIFS('Factory Costs'!$C:$C,'Factory Costs'!$A:$A,"Frame",'Factory Costs'!$B:$B,B864))</f>
        <v>39</v>
      </c>
    </row>
    <row r="865" spans="1:3" x14ac:dyDescent="0.25">
      <c r="A865" s="1" t="s">
        <v>9148</v>
      </c>
      <c r="B865" s="1" t="s">
        <v>16379</v>
      </c>
      <c r="C865" s="3">
        <f>IF(B865="","",SUMIFS('Factory Costs'!$C:$C,'Factory Costs'!$A:$A,"Frame",'Factory Costs'!$B:$B,B865))</f>
        <v>45</v>
      </c>
    </row>
    <row r="866" spans="1:3" x14ac:dyDescent="0.25">
      <c r="A866" s="1" t="s">
        <v>9151</v>
      </c>
      <c r="B866" s="1" t="s">
        <v>16377</v>
      </c>
      <c r="C866" s="3">
        <f>IF(B866="","",SUMIFS('Factory Costs'!$C:$C,'Factory Costs'!$A:$A,"Frame",'Factory Costs'!$B:$B,B866))</f>
        <v>39</v>
      </c>
    </row>
    <row r="867" spans="1:3" x14ac:dyDescent="0.25">
      <c r="A867" s="1" t="s">
        <v>9154</v>
      </c>
      <c r="B867" s="1" t="s">
        <v>16379</v>
      </c>
      <c r="C867" s="3">
        <f>IF(B867="","",SUMIFS('Factory Costs'!$C:$C,'Factory Costs'!$A:$A,"Frame",'Factory Costs'!$B:$B,B867))</f>
        <v>45</v>
      </c>
    </row>
    <row r="868" spans="1:3" x14ac:dyDescent="0.25">
      <c r="A868" s="1" t="s">
        <v>9157</v>
      </c>
      <c r="B868" s="1" t="s">
        <v>16378</v>
      </c>
      <c r="C868" s="3">
        <f>IF(B868="","",SUMIFS('Factory Costs'!$C:$C,'Factory Costs'!$A:$A,"Frame",'Factory Costs'!$B:$B,B868))</f>
        <v>52</v>
      </c>
    </row>
    <row r="869" spans="1:3" x14ac:dyDescent="0.25">
      <c r="A869" s="1" t="s">
        <v>9160</v>
      </c>
      <c r="B869" s="1" t="s">
        <v>16377</v>
      </c>
      <c r="C869" s="3">
        <f>IF(B869="","",SUMIFS('Factory Costs'!$C:$C,'Factory Costs'!$A:$A,"Frame",'Factory Costs'!$B:$B,B869))</f>
        <v>39</v>
      </c>
    </row>
    <row r="870" spans="1:3" x14ac:dyDescent="0.25">
      <c r="A870" s="1" t="s">
        <v>9163</v>
      </c>
      <c r="B870" s="1" t="s">
        <v>16379</v>
      </c>
      <c r="C870" s="3">
        <f>IF(B870="","",SUMIFS('Factory Costs'!$C:$C,'Factory Costs'!$A:$A,"Frame",'Factory Costs'!$B:$B,B870))</f>
        <v>45</v>
      </c>
    </row>
    <row r="871" spans="1:3" x14ac:dyDescent="0.25">
      <c r="A871" s="1" t="s">
        <v>9166</v>
      </c>
      <c r="B871" s="1" t="s">
        <v>16377</v>
      </c>
      <c r="C871" s="3">
        <f>IF(B871="","",SUMIFS('Factory Costs'!$C:$C,'Factory Costs'!$A:$A,"Frame",'Factory Costs'!$B:$B,B871))</f>
        <v>39</v>
      </c>
    </row>
    <row r="872" spans="1:3" x14ac:dyDescent="0.25">
      <c r="A872" s="1" t="s">
        <v>9169</v>
      </c>
      <c r="B872" s="1" t="s">
        <v>16378</v>
      </c>
      <c r="C872" s="3">
        <f>IF(B872="","",SUMIFS('Factory Costs'!$C:$C,'Factory Costs'!$A:$A,"Frame",'Factory Costs'!$B:$B,B872))</f>
        <v>52</v>
      </c>
    </row>
    <row r="873" spans="1:3" x14ac:dyDescent="0.25">
      <c r="A873" s="1" t="s">
        <v>9172</v>
      </c>
      <c r="B873" s="1" t="s">
        <v>16378</v>
      </c>
      <c r="C873" s="3">
        <f>IF(B873="","",SUMIFS('Factory Costs'!$C:$C,'Factory Costs'!$A:$A,"Frame",'Factory Costs'!$B:$B,B873))</f>
        <v>52</v>
      </c>
    </row>
    <row r="874" spans="1:3" x14ac:dyDescent="0.25">
      <c r="A874" s="1" t="s">
        <v>9175</v>
      </c>
      <c r="B874" s="1" t="s">
        <v>16378</v>
      </c>
      <c r="C874" s="3">
        <f>IF(B874="","",SUMIFS('Factory Costs'!$C:$C,'Factory Costs'!$A:$A,"Frame",'Factory Costs'!$B:$B,B874))</f>
        <v>52</v>
      </c>
    </row>
    <row r="875" spans="1:3" x14ac:dyDescent="0.25">
      <c r="A875" s="1" t="s">
        <v>9178</v>
      </c>
      <c r="B875" s="1" t="s">
        <v>16377</v>
      </c>
      <c r="C875" s="3">
        <f>IF(B875="","",SUMIFS('Factory Costs'!$C:$C,'Factory Costs'!$A:$A,"Frame",'Factory Costs'!$B:$B,B875))</f>
        <v>39</v>
      </c>
    </row>
    <row r="876" spans="1:3" x14ac:dyDescent="0.25">
      <c r="A876" s="1" t="s">
        <v>9181</v>
      </c>
      <c r="B876" s="1" t="s">
        <v>16378</v>
      </c>
      <c r="C876" s="3">
        <f>IF(B876="","",SUMIFS('Factory Costs'!$C:$C,'Factory Costs'!$A:$A,"Frame",'Factory Costs'!$B:$B,B876))</f>
        <v>52</v>
      </c>
    </row>
    <row r="877" spans="1:3" x14ac:dyDescent="0.25">
      <c r="A877" s="1" t="s">
        <v>9184</v>
      </c>
      <c r="B877" s="1" t="s">
        <v>16377</v>
      </c>
      <c r="C877" s="3">
        <f>IF(B877="","",SUMIFS('Factory Costs'!$C:$C,'Factory Costs'!$A:$A,"Frame",'Factory Costs'!$B:$B,B877))</f>
        <v>39</v>
      </c>
    </row>
    <row r="878" spans="1:3" x14ac:dyDescent="0.25">
      <c r="A878" s="1" t="s">
        <v>9187</v>
      </c>
      <c r="B878" s="1" t="s">
        <v>16379</v>
      </c>
      <c r="C878" s="3">
        <f>IF(B878="","",SUMIFS('Factory Costs'!$C:$C,'Factory Costs'!$A:$A,"Frame",'Factory Costs'!$B:$B,B878))</f>
        <v>45</v>
      </c>
    </row>
    <row r="879" spans="1:3" x14ac:dyDescent="0.25">
      <c r="A879" s="1" t="s">
        <v>9190</v>
      </c>
      <c r="B879" s="1" t="s">
        <v>16378</v>
      </c>
      <c r="C879" s="3">
        <f>IF(B879="","",SUMIFS('Factory Costs'!$C:$C,'Factory Costs'!$A:$A,"Frame",'Factory Costs'!$B:$B,B879))</f>
        <v>52</v>
      </c>
    </row>
    <row r="880" spans="1:3" x14ac:dyDescent="0.25">
      <c r="A880" s="1" t="s">
        <v>9193</v>
      </c>
      <c r="B880" s="1" t="s">
        <v>16379</v>
      </c>
      <c r="C880" s="3">
        <f>IF(B880="","",SUMIFS('Factory Costs'!$C:$C,'Factory Costs'!$A:$A,"Frame",'Factory Costs'!$B:$B,B880))</f>
        <v>45</v>
      </c>
    </row>
    <row r="881" spans="1:3" x14ac:dyDescent="0.25">
      <c r="A881" s="1" t="s">
        <v>9196</v>
      </c>
      <c r="B881" s="1" t="s">
        <v>16379</v>
      </c>
      <c r="C881" s="3">
        <f>IF(B881="","",SUMIFS('Factory Costs'!$C:$C,'Factory Costs'!$A:$A,"Frame",'Factory Costs'!$B:$B,B881))</f>
        <v>45</v>
      </c>
    </row>
    <row r="882" spans="1:3" x14ac:dyDescent="0.25">
      <c r="A882" s="1" t="s">
        <v>9199</v>
      </c>
      <c r="B882" s="1" t="s">
        <v>16377</v>
      </c>
      <c r="C882" s="3">
        <f>IF(B882="","",SUMIFS('Factory Costs'!$C:$C,'Factory Costs'!$A:$A,"Frame",'Factory Costs'!$B:$B,B882))</f>
        <v>39</v>
      </c>
    </row>
    <row r="883" spans="1:3" x14ac:dyDescent="0.25">
      <c r="A883" s="1" t="s">
        <v>9202</v>
      </c>
      <c r="B883" s="1" t="s">
        <v>16379</v>
      </c>
      <c r="C883" s="3">
        <f>IF(B883="","",SUMIFS('Factory Costs'!$C:$C,'Factory Costs'!$A:$A,"Frame",'Factory Costs'!$B:$B,B883))</f>
        <v>45</v>
      </c>
    </row>
    <row r="884" spans="1:3" x14ac:dyDescent="0.25">
      <c r="A884" s="1" t="s">
        <v>9205</v>
      </c>
      <c r="B884" s="1" t="s">
        <v>16378</v>
      </c>
      <c r="C884" s="3">
        <f>IF(B884="","",SUMIFS('Factory Costs'!$C:$C,'Factory Costs'!$A:$A,"Frame",'Factory Costs'!$B:$B,B884))</f>
        <v>52</v>
      </c>
    </row>
    <row r="885" spans="1:3" x14ac:dyDescent="0.25">
      <c r="A885" s="1" t="s">
        <v>9208</v>
      </c>
      <c r="B885" s="1" t="s">
        <v>16377</v>
      </c>
      <c r="C885" s="3">
        <f>IF(B885="","",SUMIFS('Factory Costs'!$C:$C,'Factory Costs'!$A:$A,"Frame",'Factory Costs'!$B:$B,B885))</f>
        <v>39</v>
      </c>
    </row>
    <row r="886" spans="1:3" x14ac:dyDescent="0.25">
      <c r="A886" s="1" t="s">
        <v>9211</v>
      </c>
      <c r="B886" s="1" t="s">
        <v>16378</v>
      </c>
      <c r="C886" s="3">
        <f>IF(B886="","",SUMIFS('Factory Costs'!$C:$C,'Factory Costs'!$A:$A,"Frame",'Factory Costs'!$B:$B,B886))</f>
        <v>52</v>
      </c>
    </row>
    <row r="887" spans="1:3" x14ac:dyDescent="0.25">
      <c r="A887" s="1" t="s">
        <v>9214</v>
      </c>
      <c r="B887" s="1" t="s">
        <v>16378</v>
      </c>
      <c r="C887" s="3">
        <f>IF(B887="","",SUMIFS('Factory Costs'!$C:$C,'Factory Costs'!$A:$A,"Frame",'Factory Costs'!$B:$B,B887))</f>
        <v>52</v>
      </c>
    </row>
    <row r="888" spans="1:3" x14ac:dyDescent="0.25">
      <c r="A888" s="1" t="s">
        <v>9217</v>
      </c>
      <c r="B888" s="1" t="s">
        <v>16377</v>
      </c>
      <c r="C888" s="3">
        <f>IF(B888="","",SUMIFS('Factory Costs'!$C:$C,'Factory Costs'!$A:$A,"Frame",'Factory Costs'!$B:$B,B888))</f>
        <v>39</v>
      </c>
    </row>
    <row r="889" spans="1:3" x14ac:dyDescent="0.25">
      <c r="A889" s="1" t="s">
        <v>9220</v>
      </c>
      <c r="B889" s="1" t="s">
        <v>16378</v>
      </c>
      <c r="C889" s="3">
        <f>IF(B889="","",SUMIFS('Factory Costs'!$C:$C,'Factory Costs'!$A:$A,"Frame",'Factory Costs'!$B:$B,B889))</f>
        <v>52</v>
      </c>
    </row>
    <row r="890" spans="1:3" x14ac:dyDescent="0.25">
      <c r="A890" s="1" t="s">
        <v>9223</v>
      </c>
      <c r="B890" s="1" t="s">
        <v>16378</v>
      </c>
      <c r="C890" s="3">
        <f>IF(B890="","",SUMIFS('Factory Costs'!$C:$C,'Factory Costs'!$A:$A,"Frame",'Factory Costs'!$B:$B,B890))</f>
        <v>52</v>
      </c>
    </row>
    <row r="891" spans="1:3" x14ac:dyDescent="0.25">
      <c r="A891" s="1" t="s">
        <v>9226</v>
      </c>
      <c r="B891" s="1" t="s">
        <v>16377</v>
      </c>
      <c r="C891" s="3">
        <f>IF(B891="","",SUMIFS('Factory Costs'!$C:$C,'Factory Costs'!$A:$A,"Frame",'Factory Costs'!$B:$B,B891))</f>
        <v>39</v>
      </c>
    </row>
    <row r="892" spans="1:3" x14ac:dyDescent="0.25">
      <c r="A892" s="1" t="s">
        <v>9229</v>
      </c>
      <c r="B892" s="1" t="s">
        <v>16379</v>
      </c>
      <c r="C892" s="3">
        <f>IF(B892="","",SUMIFS('Factory Costs'!$C:$C,'Factory Costs'!$A:$A,"Frame",'Factory Costs'!$B:$B,B892))</f>
        <v>45</v>
      </c>
    </row>
    <row r="893" spans="1:3" x14ac:dyDescent="0.25">
      <c r="A893" s="1" t="s">
        <v>9232</v>
      </c>
      <c r="B893" s="1" t="s">
        <v>16379</v>
      </c>
      <c r="C893" s="3">
        <f>IF(B893="","",SUMIFS('Factory Costs'!$C:$C,'Factory Costs'!$A:$A,"Frame",'Factory Costs'!$B:$B,B893))</f>
        <v>45</v>
      </c>
    </row>
    <row r="894" spans="1:3" x14ac:dyDescent="0.25">
      <c r="A894" s="1" t="s">
        <v>9235</v>
      </c>
      <c r="B894" s="1" t="s">
        <v>16377</v>
      </c>
      <c r="C894" s="3">
        <f>IF(B894="","",SUMIFS('Factory Costs'!$C:$C,'Factory Costs'!$A:$A,"Frame",'Factory Costs'!$B:$B,B894))</f>
        <v>39</v>
      </c>
    </row>
    <row r="895" spans="1:3" x14ac:dyDescent="0.25">
      <c r="A895" s="1" t="s">
        <v>9238</v>
      </c>
      <c r="B895" s="1" t="s">
        <v>16377</v>
      </c>
      <c r="C895" s="3">
        <f>IF(B895="","",SUMIFS('Factory Costs'!$C:$C,'Factory Costs'!$A:$A,"Frame",'Factory Costs'!$B:$B,B895))</f>
        <v>39</v>
      </c>
    </row>
    <row r="896" spans="1:3" x14ac:dyDescent="0.25">
      <c r="A896" s="1" t="s">
        <v>9241</v>
      </c>
      <c r="B896" s="1" t="s">
        <v>16379</v>
      </c>
      <c r="C896" s="3">
        <f>IF(B896="","",SUMIFS('Factory Costs'!$C:$C,'Factory Costs'!$A:$A,"Frame",'Factory Costs'!$B:$B,B896))</f>
        <v>45</v>
      </c>
    </row>
    <row r="897" spans="1:3" x14ac:dyDescent="0.25">
      <c r="A897" s="1" t="s">
        <v>9244</v>
      </c>
      <c r="B897" s="1" t="s">
        <v>16377</v>
      </c>
      <c r="C897" s="3">
        <f>IF(B897="","",SUMIFS('Factory Costs'!$C:$C,'Factory Costs'!$A:$A,"Frame",'Factory Costs'!$B:$B,B897))</f>
        <v>39</v>
      </c>
    </row>
    <row r="898" spans="1:3" x14ac:dyDescent="0.25">
      <c r="A898" s="1" t="s">
        <v>9247</v>
      </c>
      <c r="B898" s="1" t="s">
        <v>16379</v>
      </c>
      <c r="C898" s="3">
        <f>IF(B898="","",SUMIFS('Factory Costs'!$C:$C,'Factory Costs'!$A:$A,"Frame",'Factory Costs'!$B:$B,B898))</f>
        <v>45</v>
      </c>
    </row>
    <row r="899" spans="1:3" x14ac:dyDescent="0.25">
      <c r="A899" s="1" t="s">
        <v>9250</v>
      </c>
      <c r="B899" s="1" t="s">
        <v>16377</v>
      </c>
      <c r="C899" s="3">
        <f>IF(B899="","",SUMIFS('Factory Costs'!$C:$C,'Factory Costs'!$A:$A,"Frame",'Factory Costs'!$B:$B,B899))</f>
        <v>39</v>
      </c>
    </row>
    <row r="900" spans="1:3" x14ac:dyDescent="0.25">
      <c r="A900" s="1" t="s">
        <v>9253</v>
      </c>
      <c r="B900" s="1" t="s">
        <v>16377</v>
      </c>
      <c r="C900" s="3">
        <f>IF(B900="","",SUMIFS('Factory Costs'!$C:$C,'Factory Costs'!$A:$A,"Frame",'Factory Costs'!$B:$B,B900))</f>
        <v>39</v>
      </c>
    </row>
    <row r="901" spans="1:3" x14ac:dyDescent="0.25">
      <c r="A901" s="1" t="s">
        <v>9256</v>
      </c>
      <c r="B901" s="1" t="s">
        <v>16377</v>
      </c>
      <c r="C901" s="3">
        <f>IF(B901="","",SUMIFS('Factory Costs'!$C:$C,'Factory Costs'!$A:$A,"Frame",'Factory Costs'!$B:$B,B901))</f>
        <v>39</v>
      </c>
    </row>
    <row r="902" spans="1:3" x14ac:dyDescent="0.25">
      <c r="A902" s="1" t="s">
        <v>9259</v>
      </c>
      <c r="B902" s="1" t="s">
        <v>16377</v>
      </c>
      <c r="C902" s="3">
        <f>IF(B902="","",SUMIFS('Factory Costs'!$C:$C,'Factory Costs'!$A:$A,"Frame",'Factory Costs'!$B:$B,B902))</f>
        <v>39</v>
      </c>
    </row>
    <row r="903" spans="1:3" x14ac:dyDescent="0.25">
      <c r="A903" s="1" t="s">
        <v>9262</v>
      </c>
      <c r="B903" s="1" t="s">
        <v>16377</v>
      </c>
      <c r="C903" s="3">
        <f>IF(B903="","",SUMIFS('Factory Costs'!$C:$C,'Factory Costs'!$A:$A,"Frame",'Factory Costs'!$B:$B,B903))</f>
        <v>39</v>
      </c>
    </row>
    <row r="904" spans="1:3" x14ac:dyDescent="0.25">
      <c r="A904" s="1" t="s">
        <v>9265</v>
      </c>
      <c r="B904" s="1" t="s">
        <v>16378</v>
      </c>
      <c r="C904" s="3">
        <f>IF(B904="","",SUMIFS('Factory Costs'!$C:$C,'Factory Costs'!$A:$A,"Frame",'Factory Costs'!$B:$B,B904))</f>
        <v>52</v>
      </c>
    </row>
    <row r="905" spans="1:3" x14ac:dyDescent="0.25">
      <c r="A905" s="1" t="s">
        <v>9268</v>
      </c>
      <c r="B905" s="1" t="s">
        <v>16379</v>
      </c>
      <c r="C905" s="3">
        <f>IF(B905="","",SUMIFS('Factory Costs'!$C:$C,'Factory Costs'!$A:$A,"Frame",'Factory Costs'!$B:$B,B905))</f>
        <v>45</v>
      </c>
    </row>
    <row r="906" spans="1:3" x14ac:dyDescent="0.25">
      <c r="A906" s="1" t="s">
        <v>9271</v>
      </c>
      <c r="B906" s="1" t="s">
        <v>16379</v>
      </c>
      <c r="C906" s="3">
        <f>IF(B906="","",SUMIFS('Factory Costs'!$C:$C,'Factory Costs'!$A:$A,"Frame",'Factory Costs'!$B:$B,B906))</f>
        <v>45</v>
      </c>
    </row>
    <row r="907" spans="1:3" x14ac:dyDescent="0.25">
      <c r="A907" s="1" t="s">
        <v>9274</v>
      </c>
      <c r="B907" s="1" t="s">
        <v>16377</v>
      </c>
      <c r="C907" s="3">
        <f>IF(B907="","",SUMIFS('Factory Costs'!$C:$C,'Factory Costs'!$A:$A,"Frame",'Factory Costs'!$B:$B,B907))</f>
        <v>39</v>
      </c>
    </row>
    <row r="908" spans="1:3" x14ac:dyDescent="0.25">
      <c r="A908" s="1" t="s">
        <v>9277</v>
      </c>
      <c r="B908" s="1" t="s">
        <v>16377</v>
      </c>
      <c r="C908" s="3">
        <f>IF(B908="","",SUMIFS('Factory Costs'!$C:$C,'Factory Costs'!$A:$A,"Frame",'Factory Costs'!$B:$B,B908))</f>
        <v>39</v>
      </c>
    </row>
    <row r="909" spans="1:3" x14ac:dyDescent="0.25">
      <c r="A909" s="1" t="s">
        <v>9280</v>
      </c>
      <c r="B909" s="1" t="s">
        <v>16377</v>
      </c>
      <c r="C909" s="3">
        <f>IF(B909="","",SUMIFS('Factory Costs'!$C:$C,'Factory Costs'!$A:$A,"Frame",'Factory Costs'!$B:$B,B909))</f>
        <v>39</v>
      </c>
    </row>
    <row r="910" spans="1:3" x14ac:dyDescent="0.25">
      <c r="A910" s="1" t="s">
        <v>9283</v>
      </c>
      <c r="B910" s="1" t="s">
        <v>16377</v>
      </c>
      <c r="C910" s="3">
        <f>IF(B910="","",SUMIFS('Factory Costs'!$C:$C,'Factory Costs'!$A:$A,"Frame",'Factory Costs'!$B:$B,B910))</f>
        <v>39</v>
      </c>
    </row>
    <row r="911" spans="1:3" x14ac:dyDescent="0.25">
      <c r="A911" s="1" t="s">
        <v>9286</v>
      </c>
      <c r="B911" s="1" t="s">
        <v>16379</v>
      </c>
      <c r="C911" s="3">
        <f>IF(B911="","",SUMIFS('Factory Costs'!$C:$C,'Factory Costs'!$A:$A,"Frame",'Factory Costs'!$B:$B,B911))</f>
        <v>45</v>
      </c>
    </row>
    <row r="912" spans="1:3" x14ac:dyDescent="0.25">
      <c r="A912" s="1" t="s">
        <v>9289</v>
      </c>
      <c r="B912" s="1" t="s">
        <v>16379</v>
      </c>
      <c r="C912" s="3">
        <f>IF(B912="","",SUMIFS('Factory Costs'!$C:$C,'Factory Costs'!$A:$A,"Frame",'Factory Costs'!$B:$B,B912))</f>
        <v>45</v>
      </c>
    </row>
    <row r="913" spans="1:3" x14ac:dyDescent="0.25">
      <c r="A913" s="1" t="s">
        <v>9292</v>
      </c>
      <c r="B913" s="1" t="s">
        <v>16377</v>
      </c>
      <c r="C913" s="3">
        <f>IF(B913="","",SUMIFS('Factory Costs'!$C:$C,'Factory Costs'!$A:$A,"Frame",'Factory Costs'!$B:$B,B913))</f>
        <v>39</v>
      </c>
    </row>
    <row r="914" spans="1:3" x14ac:dyDescent="0.25">
      <c r="A914" s="1" t="s">
        <v>9295</v>
      </c>
      <c r="B914" s="1" t="s">
        <v>16379</v>
      </c>
      <c r="C914" s="3">
        <f>IF(B914="","",SUMIFS('Factory Costs'!$C:$C,'Factory Costs'!$A:$A,"Frame",'Factory Costs'!$B:$B,B914))</f>
        <v>45</v>
      </c>
    </row>
    <row r="915" spans="1:3" x14ac:dyDescent="0.25">
      <c r="A915" s="1" t="s">
        <v>9298</v>
      </c>
      <c r="B915" s="1" t="s">
        <v>16377</v>
      </c>
      <c r="C915" s="3">
        <f>IF(B915="","",SUMIFS('Factory Costs'!$C:$C,'Factory Costs'!$A:$A,"Frame",'Factory Costs'!$B:$B,B915))</f>
        <v>39</v>
      </c>
    </row>
    <row r="916" spans="1:3" x14ac:dyDescent="0.25">
      <c r="A916" s="1" t="s">
        <v>9301</v>
      </c>
      <c r="B916" s="1" t="s">
        <v>16378</v>
      </c>
      <c r="C916" s="3">
        <f>IF(B916="","",SUMIFS('Factory Costs'!$C:$C,'Factory Costs'!$A:$A,"Frame",'Factory Costs'!$B:$B,B916))</f>
        <v>52</v>
      </c>
    </row>
    <row r="917" spans="1:3" x14ac:dyDescent="0.25">
      <c r="A917" s="1" t="s">
        <v>9304</v>
      </c>
      <c r="B917" s="1" t="s">
        <v>16379</v>
      </c>
      <c r="C917" s="3">
        <f>IF(B917="","",SUMIFS('Factory Costs'!$C:$C,'Factory Costs'!$A:$A,"Frame",'Factory Costs'!$B:$B,B917))</f>
        <v>45</v>
      </c>
    </row>
    <row r="918" spans="1:3" x14ac:dyDescent="0.25">
      <c r="A918" s="1" t="s">
        <v>9307</v>
      </c>
      <c r="B918" s="1" t="s">
        <v>16377</v>
      </c>
      <c r="C918" s="3">
        <f>IF(B918="","",SUMIFS('Factory Costs'!$C:$C,'Factory Costs'!$A:$A,"Frame",'Factory Costs'!$B:$B,B918))</f>
        <v>39</v>
      </c>
    </row>
    <row r="919" spans="1:3" x14ac:dyDescent="0.25">
      <c r="A919" s="1" t="s">
        <v>9310</v>
      </c>
      <c r="B919" s="1" t="s">
        <v>16377</v>
      </c>
      <c r="C919" s="3">
        <f>IF(B919="","",SUMIFS('Factory Costs'!$C:$C,'Factory Costs'!$A:$A,"Frame",'Factory Costs'!$B:$B,B919))</f>
        <v>39</v>
      </c>
    </row>
    <row r="920" spans="1:3" x14ac:dyDescent="0.25">
      <c r="A920" s="1" t="s">
        <v>9313</v>
      </c>
      <c r="B920" s="1" t="s">
        <v>16377</v>
      </c>
      <c r="C920" s="3">
        <f>IF(B920="","",SUMIFS('Factory Costs'!$C:$C,'Factory Costs'!$A:$A,"Frame",'Factory Costs'!$B:$B,B920))</f>
        <v>39</v>
      </c>
    </row>
    <row r="921" spans="1:3" x14ac:dyDescent="0.25">
      <c r="A921" s="1" t="s">
        <v>9316</v>
      </c>
      <c r="B921" s="1" t="s">
        <v>16377</v>
      </c>
      <c r="C921" s="3">
        <f>IF(B921="","",SUMIFS('Factory Costs'!$C:$C,'Factory Costs'!$A:$A,"Frame",'Factory Costs'!$B:$B,B921))</f>
        <v>39</v>
      </c>
    </row>
    <row r="922" spans="1:3" x14ac:dyDescent="0.25">
      <c r="A922" s="1" t="s">
        <v>9319</v>
      </c>
      <c r="B922" s="1" t="s">
        <v>16377</v>
      </c>
      <c r="C922" s="3">
        <f>IF(B922="","",SUMIFS('Factory Costs'!$C:$C,'Factory Costs'!$A:$A,"Frame",'Factory Costs'!$B:$B,B922))</f>
        <v>39</v>
      </c>
    </row>
    <row r="923" spans="1:3" x14ac:dyDescent="0.25">
      <c r="A923" s="1" t="s">
        <v>9322</v>
      </c>
      <c r="B923" s="1" t="s">
        <v>16379</v>
      </c>
      <c r="C923" s="3">
        <f>IF(B923="","",SUMIFS('Factory Costs'!$C:$C,'Factory Costs'!$A:$A,"Frame",'Factory Costs'!$B:$B,B923))</f>
        <v>45</v>
      </c>
    </row>
    <row r="924" spans="1:3" x14ac:dyDescent="0.25">
      <c r="A924" s="1" t="s">
        <v>9325</v>
      </c>
      <c r="B924" s="1" t="s">
        <v>16379</v>
      </c>
      <c r="C924" s="3">
        <f>IF(B924="","",SUMIFS('Factory Costs'!$C:$C,'Factory Costs'!$A:$A,"Frame",'Factory Costs'!$B:$B,B924))</f>
        <v>45</v>
      </c>
    </row>
    <row r="925" spans="1:3" x14ac:dyDescent="0.25">
      <c r="A925" s="1" t="s">
        <v>9328</v>
      </c>
      <c r="B925" s="1" t="s">
        <v>16377</v>
      </c>
      <c r="C925" s="3">
        <f>IF(B925="","",SUMIFS('Factory Costs'!$C:$C,'Factory Costs'!$A:$A,"Frame",'Factory Costs'!$B:$B,B925))</f>
        <v>39</v>
      </c>
    </row>
    <row r="926" spans="1:3" x14ac:dyDescent="0.25">
      <c r="A926" s="1" t="s">
        <v>9331</v>
      </c>
      <c r="B926" s="1" t="s">
        <v>16378</v>
      </c>
      <c r="C926" s="3">
        <f>IF(B926="","",SUMIFS('Factory Costs'!$C:$C,'Factory Costs'!$A:$A,"Frame",'Factory Costs'!$B:$B,B926))</f>
        <v>52</v>
      </c>
    </row>
    <row r="927" spans="1:3" x14ac:dyDescent="0.25">
      <c r="A927" s="1" t="s">
        <v>9334</v>
      </c>
      <c r="B927" s="1" t="s">
        <v>16377</v>
      </c>
      <c r="C927" s="3">
        <f>IF(B927="","",SUMIFS('Factory Costs'!$C:$C,'Factory Costs'!$A:$A,"Frame",'Factory Costs'!$B:$B,B927))</f>
        <v>39</v>
      </c>
    </row>
    <row r="928" spans="1:3" x14ac:dyDescent="0.25">
      <c r="A928" s="1" t="s">
        <v>9337</v>
      </c>
      <c r="B928" s="1" t="s">
        <v>16377</v>
      </c>
      <c r="C928" s="3">
        <f>IF(B928="","",SUMIFS('Factory Costs'!$C:$C,'Factory Costs'!$A:$A,"Frame",'Factory Costs'!$B:$B,B928))</f>
        <v>39</v>
      </c>
    </row>
    <row r="929" spans="1:3" x14ac:dyDescent="0.25">
      <c r="A929" s="1" t="s">
        <v>9340</v>
      </c>
      <c r="B929" s="1" t="s">
        <v>16377</v>
      </c>
      <c r="C929" s="3">
        <f>IF(B929="","",SUMIFS('Factory Costs'!$C:$C,'Factory Costs'!$A:$A,"Frame",'Factory Costs'!$B:$B,B929))</f>
        <v>39</v>
      </c>
    </row>
    <row r="930" spans="1:3" x14ac:dyDescent="0.25">
      <c r="A930" s="1" t="s">
        <v>9343</v>
      </c>
      <c r="B930" s="1" t="s">
        <v>16378</v>
      </c>
      <c r="C930" s="3">
        <f>IF(B930="","",SUMIFS('Factory Costs'!$C:$C,'Factory Costs'!$A:$A,"Frame",'Factory Costs'!$B:$B,B930))</f>
        <v>52</v>
      </c>
    </row>
    <row r="931" spans="1:3" x14ac:dyDescent="0.25">
      <c r="A931" s="1" t="s">
        <v>9346</v>
      </c>
      <c r="B931" s="1" t="s">
        <v>16379</v>
      </c>
      <c r="C931" s="3">
        <f>IF(B931="","",SUMIFS('Factory Costs'!$C:$C,'Factory Costs'!$A:$A,"Frame",'Factory Costs'!$B:$B,B931))</f>
        <v>45</v>
      </c>
    </row>
    <row r="932" spans="1:3" x14ac:dyDescent="0.25">
      <c r="A932" s="1" t="s">
        <v>9349</v>
      </c>
      <c r="B932" s="1" t="s">
        <v>16377</v>
      </c>
      <c r="C932" s="3">
        <f>IF(B932="","",SUMIFS('Factory Costs'!$C:$C,'Factory Costs'!$A:$A,"Frame",'Factory Costs'!$B:$B,B932))</f>
        <v>39</v>
      </c>
    </row>
    <row r="933" spans="1:3" x14ac:dyDescent="0.25">
      <c r="A933" s="1" t="s">
        <v>9352</v>
      </c>
      <c r="B933" s="1" t="s">
        <v>16377</v>
      </c>
      <c r="C933" s="3">
        <f>IF(B933="","",SUMIFS('Factory Costs'!$C:$C,'Factory Costs'!$A:$A,"Frame",'Factory Costs'!$B:$B,B933))</f>
        <v>39</v>
      </c>
    </row>
    <row r="934" spans="1:3" x14ac:dyDescent="0.25">
      <c r="A934" s="1" t="s">
        <v>9355</v>
      </c>
      <c r="B934" s="1" t="s">
        <v>16377</v>
      </c>
      <c r="C934" s="3">
        <f>IF(B934="","",SUMIFS('Factory Costs'!$C:$C,'Factory Costs'!$A:$A,"Frame",'Factory Costs'!$B:$B,B934))</f>
        <v>39</v>
      </c>
    </row>
    <row r="935" spans="1:3" x14ac:dyDescent="0.25">
      <c r="A935" s="1" t="s">
        <v>9358</v>
      </c>
      <c r="B935" s="1" t="s">
        <v>16379</v>
      </c>
      <c r="C935" s="3">
        <f>IF(B935="","",SUMIFS('Factory Costs'!$C:$C,'Factory Costs'!$A:$A,"Frame",'Factory Costs'!$B:$B,B935))</f>
        <v>45</v>
      </c>
    </row>
    <row r="936" spans="1:3" x14ac:dyDescent="0.25">
      <c r="A936" s="1" t="s">
        <v>9361</v>
      </c>
      <c r="B936" s="1" t="s">
        <v>16379</v>
      </c>
      <c r="C936" s="3">
        <f>IF(B936="","",SUMIFS('Factory Costs'!$C:$C,'Factory Costs'!$A:$A,"Frame",'Factory Costs'!$B:$B,B936))</f>
        <v>45</v>
      </c>
    </row>
    <row r="937" spans="1:3" x14ac:dyDescent="0.25">
      <c r="A937" s="1" t="s">
        <v>9364</v>
      </c>
      <c r="B937" s="1" t="s">
        <v>16378</v>
      </c>
      <c r="C937" s="3">
        <f>IF(B937="","",SUMIFS('Factory Costs'!$C:$C,'Factory Costs'!$A:$A,"Frame",'Factory Costs'!$B:$B,B937))</f>
        <v>52</v>
      </c>
    </row>
    <row r="938" spans="1:3" x14ac:dyDescent="0.25">
      <c r="A938" s="1" t="s">
        <v>9367</v>
      </c>
      <c r="B938" s="1" t="s">
        <v>16379</v>
      </c>
      <c r="C938" s="3">
        <f>IF(B938="","",SUMIFS('Factory Costs'!$C:$C,'Factory Costs'!$A:$A,"Frame",'Factory Costs'!$B:$B,B938))</f>
        <v>45</v>
      </c>
    </row>
    <row r="939" spans="1:3" x14ac:dyDescent="0.25">
      <c r="A939" s="1" t="s">
        <v>9370</v>
      </c>
      <c r="B939" s="1" t="s">
        <v>16379</v>
      </c>
      <c r="C939" s="3">
        <f>IF(B939="","",SUMIFS('Factory Costs'!$C:$C,'Factory Costs'!$A:$A,"Frame",'Factory Costs'!$B:$B,B939))</f>
        <v>45</v>
      </c>
    </row>
    <row r="940" spans="1:3" x14ac:dyDescent="0.25">
      <c r="A940" s="1" t="s">
        <v>9373</v>
      </c>
      <c r="B940" s="1" t="s">
        <v>16377</v>
      </c>
      <c r="C940" s="3">
        <f>IF(B940="","",SUMIFS('Factory Costs'!$C:$C,'Factory Costs'!$A:$A,"Frame",'Factory Costs'!$B:$B,B940))</f>
        <v>39</v>
      </c>
    </row>
    <row r="941" spans="1:3" x14ac:dyDescent="0.25">
      <c r="A941" s="1" t="s">
        <v>9376</v>
      </c>
      <c r="B941" s="1" t="s">
        <v>16379</v>
      </c>
      <c r="C941" s="3">
        <f>IF(B941="","",SUMIFS('Factory Costs'!$C:$C,'Factory Costs'!$A:$A,"Frame",'Factory Costs'!$B:$B,B941))</f>
        <v>45</v>
      </c>
    </row>
    <row r="942" spans="1:3" x14ac:dyDescent="0.25">
      <c r="A942" s="1" t="s">
        <v>9379</v>
      </c>
      <c r="B942" s="1" t="s">
        <v>16378</v>
      </c>
      <c r="C942" s="3">
        <f>IF(B942="","",SUMIFS('Factory Costs'!$C:$C,'Factory Costs'!$A:$A,"Frame",'Factory Costs'!$B:$B,B942))</f>
        <v>52</v>
      </c>
    </row>
    <row r="943" spans="1:3" x14ac:dyDescent="0.25">
      <c r="A943" s="1" t="s">
        <v>9382</v>
      </c>
      <c r="B943" s="1" t="s">
        <v>16377</v>
      </c>
      <c r="C943" s="3">
        <f>IF(B943="","",SUMIFS('Factory Costs'!$C:$C,'Factory Costs'!$A:$A,"Frame",'Factory Costs'!$B:$B,B943))</f>
        <v>39</v>
      </c>
    </row>
    <row r="944" spans="1:3" x14ac:dyDescent="0.25">
      <c r="A944" s="1" t="s">
        <v>9385</v>
      </c>
      <c r="B944" s="1" t="s">
        <v>16379</v>
      </c>
      <c r="C944" s="3">
        <f>IF(B944="","",SUMIFS('Factory Costs'!$C:$C,'Factory Costs'!$A:$A,"Frame",'Factory Costs'!$B:$B,B944))</f>
        <v>45</v>
      </c>
    </row>
    <row r="945" spans="1:3" x14ac:dyDescent="0.25">
      <c r="A945" s="1" t="s">
        <v>9388</v>
      </c>
      <c r="B945" s="1" t="s">
        <v>16377</v>
      </c>
      <c r="C945" s="3">
        <f>IF(B945="","",SUMIFS('Factory Costs'!$C:$C,'Factory Costs'!$A:$A,"Frame",'Factory Costs'!$B:$B,B945))</f>
        <v>39</v>
      </c>
    </row>
    <row r="946" spans="1:3" x14ac:dyDescent="0.25">
      <c r="A946" s="1" t="s">
        <v>9391</v>
      </c>
      <c r="B946" s="1" t="s">
        <v>16379</v>
      </c>
      <c r="C946" s="3">
        <f>IF(B946="","",SUMIFS('Factory Costs'!$C:$C,'Factory Costs'!$A:$A,"Frame",'Factory Costs'!$B:$B,B946))</f>
        <v>45</v>
      </c>
    </row>
    <row r="947" spans="1:3" x14ac:dyDescent="0.25">
      <c r="A947" s="1" t="s">
        <v>9394</v>
      </c>
      <c r="B947" s="1" t="s">
        <v>16378</v>
      </c>
      <c r="C947" s="3">
        <f>IF(B947="","",SUMIFS('Factory Costs'!$C:$C,'Factory Costs'!$A:$A,"Frame",'Factory Costs'!$B:$B,B947))</f>
        <v>52</v>
      </c>
    </row>
    <row r="948" spans="1:3" x14ac:dyDescent="0.25">
      <c r="A948" s="1" t="s">
        <v>9397</v>
      </c>
      <c r="B948" s="1" t="s">
        <v>16379</v>
      </c>
      <c r="C948" s="3">
        <f>IF(B948="","",SUMIFS('Factory Costs'!$C:$C,'Factory Costs'!$A:$A,"Frame",'Factory Costs'!$B:$B,B948))</f>
        <v>45</v>
      </c>
    </row>
    <row r="949" spans="1:3" x14ac:dyDescent="0.25">
      <c r="A949" s="1" t="s">
        <v>9400</v>
      </c>
      <c r="B949" s="1" t="s">
        <v>16379</v>
      </c>
      <c r="C949" s="3">
        <f>IF(B949="","",SUMIFS('Factory Costs'!$C:$C,'Factory Costs'!$A:$A,"Frame",'Factory Costs'!$B:$B,B949))</f>
        <v>45</v>
      </c>
    </row>
    <row r="950" spans="1:3" x14ac:dyDescent="0.25">
      <c r="A950" s="1" t="s">
        <v>9403</v>
      </c>
      <c r="B950" s="1" t="s">
        <v>16378</v>
      </c>
      <c r="C950" s="3">
        <f>IF(B950="","",SUMIFS('Factory Costs'!$C:$C,'Factory Costs'!$A:$A,"Frame",'Factory Costs'!$B:$B,B950))</f>
        <v>52</v>
      </c>
    </row>
    <row r="951" spans="1:3" x14ac:dyDescent="0.25">
      <c r="A951" s="1" t="s">
        <v>9406</v>
      </c>
      <c r="B951" s="1" t="s">
        <v>16377</v>
      </c>
      <c r="C951" s="3">
        <f>IF(B951="","",SUMIFS('Factory Costs'!$C:$C,'Factory Costs'!$A:$A,"Frame",'Factory Costs'!$B:$B,B951))</f>
        <v>39</v>
      </c>
    </row>
    <row r="952" spans="1:3" x14ac:dyDescent="0.25">
      <c r="A952" s="1" t="s">
        <v>9409</v>
      </c>
      <c r="B952" s="1" t="s">
        <v>16377</v>
      </c>
      <c r="C952" s="3">
        <f>IF(B952="","",SUMIFS('Factory Costs'!$C:$C,'Factory Costs'!$A:$A,"Frame",'Factory Costs'!$B:$B,B952))</f>
        <v>39</v>
      </c>
    </row>
    <row r="953" spans="1:3" x14ac:dyDescent="0.25">
      <c r="A953" s="1" t="s">
        <v>9412</v>
      </c>
      <c r="B953" s="1" t="s">
        <v>16379</v>
      </c>
      <c r="C953" s="3">
        <f>IF(B953="","",SUMIFS('Factory Costs'!$C:$C,'Factory Costs'!$A:$A,"Frame",'Factory Costs'!$B:$B,B953))</f>
        <v>45</v>
      </c>
    </row>
    <row r="954" spans="1:3" x14ac:dyDescent="0.25">
      <c r="A954" s="1" t="s">
        <v>9415</v>
      </c>
      <c r="B954" s="1" t="s">
        <v>16377</v>
      </c>
      <c r="C954" s="3">
        <f>IF(B954="","",SUMIFS('Factory Costs'!$C:$C,'Factory Costs'!$A:$A,"Frame",'Factory Costs'!$B:$B,B954))</f>
        <v>39</v>
      </c>
    </row>
    <row r="955" spans="1:3" x14ac:dyDescent="0.25">
      <c r="A955" s="1" t="s">
        <v>9418</v>
      </c>
      <c r="B955" s="1" t="s">
        <v>16377</v>
      </c>
      <c r="C955" s="3">
        <f>IF(B955="","",SUMIFS('Factory Costs'!$C:$C,'Factory Costs'!$A:$A,"Frame",'Factory Costs'!$B:$B,B955))</f>
        <v>39</v>
      </c>
    </row>
    <row r="956" spans="1:3" x14ac:dyDescent="0.25">
      <c r="A956" s="1" t="s">
        <v>9421</v>
      </c>
      <c r="B956" s="1" t="s">
        <v>16379</v>
      </c>
      <c r="C956" s="3">
        <f>IF(B956="","",SUMIFS('Factory Costs'!$C:$C,'Factory Costs'!$A:$A,"Frame",'Factory Costs'!$B:$B,B956))</f>
        <v>45</v>
      </c>
    </row>
    <row r="957" spans="1:3" x14ac:dyDescent="0.25">
      <c r="A957" s="1" t="s">
        <v>9424</v>
      </c>
      <c r="B957" s="1" t="s">
        <v>16378</v>
      </c>
      <c r="C957" s="3">
        <f>IF(B957="","",SUMIFS('Factory Costs'!$C:$C,'Factory Costs'!$A:$A,"Frame",'Factory Costs'!$B:$B,B957))</f>
        <v>52</v>
      </c>
    </row>
    <row r="958" spans="1:3" x14ac:dyDescent="0.25">
      <c r="A958" s="1" t="s">
        <v>9427</v>
      </c>
      <c r="B958" s="1" t="s">
        <v>16377</v>
      </c>
      <c r="C958" s="3">
        <f>IF(B958="","",SUMIFS('Factory Costs'!$C:$C,'Factory Costs'!$A:$A,"Frame",'Factory Costs'!$B:$B,B958))</f>
        <v>39</v>
      </c>
    </row>
    <row r="959" spans="1:3" x14ac:dyDescent="0.25">
      <c r="A959" s="1" t="s">
        <v>9430</v>
      </c>
      <c r="B959" s="1" t="s">
        <v>16379</v>
      </c>
      <c r="C959" s="3">
        <f>IF(B959="","",SUMIFS('Factory Costs'!$C:$C,'Factory Costs'!$A:$A,"Frame",'Factory Costs'!$B:$B,B959))</f>
        <v>45</v>
      </c>
    </row>
    <row r="960" spans="1:3" x14ac:dyDescent="0.25">
      <c r="A960" s="1" t="s">
        <v>9433</v>
      </c>
      <c r="B960" s="1" t="s">
        <v>16377</v>
      </c>
      <c r="C960" s="3">
        <f>IF(B960="","",SUMIFS('Factory Costs'!$C:$C,'Factory Costs'!$A:$A,"Frame",'Factory Costs'!$B:$B,B960))</f>
        <v>39</v>
      </c>
    </row>
    <row r="961" spans="1:3" x14ac:dyDescent="0.25">
      <c r="A961" s="1" t="s">
        <v>9436</v>
      </c>
      <c r="B961" s="1" t="s">
        <v>16378</v>
      </c>
      <c r="C961" s="3">
        <f>IF(B961="","",SUMIFS('Factory Costs'!$C:$C,'Factory Costs'!$A:$A,"Frame",'Factory Costs'!$B:$B,B961))</f>
        <v>52</v>
      </c>
    </row>
    <row r="962" spans="1:3" x14ac:dyDescent="0.25">
      <c r="A962" s="1" t="s">
        <v>9439</v>
      </c>
      <c r="B962" s="1" t="s">
        <v>16378</v>
      </c>
      <c r="C962" s="3">
        <f>IF(B962="","",SUMIFS('Factory Costs'!$C:$C,'Factory Costs'!$A:$A,"Frame",'Factory Costs'!$B:$B,B962))</f>
        <v>52</v>
      </c>
    </row>
    <row r="963" spans="1:3" x14ac:dyDescent="0.25">
      <c r="A963" s="1" t="s">
        <v>9442</v>
      </c>
      <c r="B963" s="1" t="s">
        <v>16378</v>
      </c>
      <c r="C963" s="3">
        <f>IF(B963="","",SUMIFS('Factory Costs'!$C:$C,'Factory Costs'!$A:$A,"Frame",'Factory Costs'!$B:$B,B963))</f>
        <v>52</v>
      </c>
    </row>
    <row r="964" spans="1:3" x14ac:dyDescent="0.25">
      <c r="A964" s="1" t="s">
        <v>9445</v>
      </c>
      <c r="B964" s="1" t="s">
        <v>16377</v>
      </c>
      <c r="C964" s="3">
        <f>IF(B964="","",SUMIFS('Factory Costs'!$C:$C,'Factory Costs'!$A:$A,"Frame",'Factory Costs'!$B:$B,B964))</f>
        <v>39</v>
      </c>
    </row>
    <row r="965" spans="1:3" x14ac:dyDescent="0.25">
      <c r="A965" s="1" t="s">
        <v>9448</v>
      </c>
      <c r="B965" s="1" t="s">
        <v>16378</v>
      </c>
      <c r="C965" s="3">
        <f>IF(B965="","",SUMIFS('Factory Costs'!$C:$C,'Factory Costs'!$A:$A,"Frame",'Factory Costs'!$B:$B,B965))</f>
        <v>52</v>
      </c>
    </row>
    <row r="966" spans="1:3" x14ac:dyDescent="0.25">
      <c r="A966" s="1" t="s">
        <v>9451</v>
      </c>
      <c r="B966" s="1" t="s">
        <v>16378</v>
      </c>
      <c r="C966" s="3">
        <f>IF(B966="","",SUMIFS('Factory Costs'!$C:$C,'Factory Costs'!$A:$A,"Frame",'Factory Costs'!$B:$B,B966))</f>
        <v>52</v>
      </c>
    </row>
    <row r="967" spans="1:3" x14ac:dyDescent="0.25">
      <c r="A967" s="1" t="s">
        <v>9454</v>
      </c>
      <c r="B967" s="1" t="s">
        <v>16378</v>
      </c>
      <c r="C967" s="3">
        <f>IF(B967="","",SUMIFS('Factory Costs'!$C:$C,'Factory Costs'!$A:$A,"Frame",'Factory Costs'!$B:$B,B967))</f>
        <v>52</v>
      </c>
    </row>
    <row r="968" spans="1:3" x14ac:dyDescent="0.25">
      <c r="A968" s="1" t="s">
        <v>9457</v>
      </c>
      <c r="B968" s="1" t="s">
        <v>16377</v>
      </c>
      <c r="C968" s="3">
        <f>IF(B968="","",SUMIFS('Factory Costs'!$C:$C,'Factory Costs'!$A:$A,"Frame",'Factory Costs'!$B:$B,B968))</f>
        <v>39</v>
      </c>
    </row>
    <row r="969" spans="1:3" x14ac:dyDescent="0.25">
      <c r="A969" s="1" t="s">
        <v>9460</v>
      </c>
      <c r="B969" s="1" t="s">
        <v>16379</v>
      </c>
      <c r="C969" s="3">
        <f>IF(B969="","",SUMIFS('Factory Costs'!$C:$C,'Factory Costs'!$A:$A,"Frame",'Factory Costs'!$B:$B,B969))</f>
        <v>45</v>
      </c>
    </row>
    <row r="970" spans="1:3" x14ac:dyDescent="0.25">
      <c r="A970" s="1" t="s">
        <v>9463</v>
      </c>
      <c r="B970" s="1" t="s">
        <v>16378</v>
      </c>
      <c r="C970" s="3">
        <f>IF(B970="","",SUMIFS('Factory Costs'!$C:$C,'Factory Costs'!$A:$A,"Frame",'Factory Costs'!$B:$B,B970))</f>
        <v>52</v>
      </c>
    </row>
    <row r="971" spans="1:3" x14ac:dyDescent="0.25">
      <c r="A971" s="1" t="s">
        <v>9466</v>
      </c>
      <c r="B971" s="1" t="s">
        <v>16377</v>
      </c>
      <c r="C971" s="3">
        <f>IF(B971="","",SUMIFS('Factory Costs'!$C:$C,'Factory Costs'!$A:$A,"Frame",'Factory Costs'!$B:$B,B971))</f>
        <v>39</v>
      </c>
    </row>
    <row r="972" spans="1:3" x14ac:dyDescent="0.25">
      <c r="A972" s="1" t="s">
        <v>9469</v>
      </c>
      <c r="B972" s="1" t="s">
        <v>16379</v>
      </c>
      <c r="C972" s="3">
        <f>IF(B972="","",SUMIFS('Factory Costs'!$C:$C,'Factory Costs'!$A:$A,"Frame",'Factory Costs'!$B:$B,B972))</f>
        <v>45</v>
      </c>
    </row>
    <row r="973" spans="1:3" x14ac:dyDescent="0.25">
      <c r="A973" s="1" t="s">
        <v>9472</v>
      </c>
      <c r="B973" s="1" t="s">
        <v>16378</v>
      </c>
      <c r="C973" s="3">
        <f>IF(B973="","",SUMIFS('Factory Costs'!$C:$C,'Factory Costs'!$A:$A,"Frame",'Factory Costs'!$B:$B,B973))</f>
        <v>52</v>
      </c>
    </row>
    <row r="974" spans="1:3" x14ac:dyDescent="0.25">
      <c r="A974" s="1" t="s">
        <v>9475</v>
      </c>
      <c r="B974" s="1" t="s">
        <v>16377</v>
      </c>
      <c r="C974" s="3">
        <f>IF(B974="","",SUMIFS('Factory Costs'!$C:$C,'Factory Costs'!$A:$A,"Frame",'Factory Costs'!$B:$B,B974))</f>
        <v>39</v>
      </c>
    </row>
    <row r="975" spans="1:3" x14ac:dyDescent="0.25">
      <c r="A975" s="1" t="s">
        <v>9478</v>
      </c>
      <c r="B975" s="1" t="s">
        <v>16377</v>
      </c>
      <c r="C975" s="3">
        <f>IF(B975="","",SUMIFS('Factory Costs'!$C:$C,'Factory Costs'!$A:$A,"Frame",'Factory Costs'!$B:$B,B975))</f>
        <v>39</v>
      </c>
    </row>
    <row r="976" spans="1:3" x14ac:dyDescent="0.25">
      <c r="A976" s="1" t="s">
        <v>9481</v>
      </c>
      <c r="B976" s="1" t="s">
        <v>16379</v>
      </c>
      <c r="C976" s="3">
        <f>IF(B976="","",SUMIFS('Factory Costs'!$C:$C,'Factory Costs'!$A:$A,"Frame",'Factory Costs'!$B:$B,B976))</f>
        <v>45</v>
      </c>
    </row>
    <row r="977" spans="1:3" x14ac:dyDescent="0.25">
      <c r="A977" s="1" t="s">
        <v>9484</v>
      </c>
      <c r="B977" s="1" t="s">
        <v>16377</v>
      </c>
      <c r="C977" s="3">
        <f>IF(B977="","",SUMIFS('Factory Costs'!$C:$C,'Factory Costs'!$A:$A,"Frame",'Factory Costs'!$B:$B,B977))</f>
        <v>39</v>
      </c>
    </row>
    <row r="978" spans="1:3" x14ac:dyDescent="0.25">
      <c r="A978" s="1" t="s">
        <v>9487</v>
      </c>
      <c r="B978" s="1" t="s">
        <v>16379</v>
      </c>
      <c r="C978" s="3">
        <f>IF(B978="","",SUMIFS('Factory Costs'!$C:$C,'Factory Costs'!$A:$A,"Frame",'Factory Costs'!$B:$B,B978))</f>
        <v>45</v>
      </c>
    </row>
    <row r="979" spans="1:3" x14ac:dyDescent="0.25">
      <c r="A979" s="1" t="s">
        <v>9490</v>
      </c>
      <c r="B979" s="1" t="s">
        <v>16379</v>
      </c>
      <c r="C979" s="3">
        <f>IF(B979="","",SUMIFS('Factory Costs'!$C:$C,'Factory Costs'!$A:$A,"Frame",'Factory Costs'!$B:$B,B979))</f>
        <v>45</v>
      </c>
    </row>
    <row r="980" spans="1:3" x14ac:dyDescent="0.25">
      <c r="A980" s="1" t="s">
        <v>9493</v>
      </c>
      <c r="B980" s="1" t="s">
        <v>16379</v>
      </c>
      <c r="C980" s="3">
        <f>IF(B980="","",SUMIFS('Factory Costs'!$C:$C,'Factory Costs'!$A:$A,"Frame",'Factory Costs'!$B:$B,B980))</f>
        <v>45</v>
      </c>
    </row>
    <row r="981" spans="1:3" x14ac:dyDescent="0.25">
      <c r="A981" s="1" t="s">
        <v>9496</v>
      </c>
      <c r="B981" s="1" t="s">
        <v>16378</v>
      </c>
      <c r="C981" s="3">
        <f>IF(B981="","",SUMIFS('Factory Costs'!$C:$C,'Factory Costs'!$A:$A,"Frame",'Factory Costs'!$B:$B,B981))</f>
        <v>52</v>
      </c>
    </row>
    <row r="982" spans="1:3" x14ac:dyDescent="0.25">
      <c r="A982" s="1" t="s">
        <v>9499</v>
      </c>
      <c r="B982" s="1" t="s">
        <v>16377</v>
      </c>
      <c r="C982" s="3">
        <f>IF(B982="","",SUMIFS('Factory Costs'!$C:$C,'Factory Costs'!$A:$A,"Frame",'Factory Costs'!$B:$B,B982))</f>
        <v>39</v>
      </c>
    </row>
    <row r="983" spans="1:3" x14ac:dyDescent="0.25">
      <c r="A983" s="1" t="s">
        <v>9502</v>
      </c>
      <c r="B983" s="1" t="s">
        <v>16377</v>
      </c>
      <c r="C983" s="3">
        <f>IF(B983="","",SUMIFS('Factory Costs'!$C:$C,'Factory Costs'!$A:$A,"Frame",'Factory Costs'!$B:$B,B983))</f>
        <v>39</v>
      </c>
    </row>
    <row r="984" spans="1:3" x14ac:dyDescent="0.25">
      <c r="A984" s="1" t="s">
        <v>9505</v>
      </c>
      <c r="B984" s="1" t="s">
        <v>16379</v>
      </c>
      <c r="C984" s="3">
        <f>IF(B984="","",SUMIFS('Factory Costs'!$C:$C,'Factory Costs'!$A:$A,"Frame",'Factory Costs'!$B:$B,B984))</f>
        <v>45</v>
      </c>
    </row>
    <row r="985" spans="1:3" x14ac:dyDescent="0.25">
      <c r="A985" s="1" t="s">
        <v>9508</v>
      </c>
      <c r="B985" s="1" t="s">
        <v>16377</v>
      </c>
      <c r="C985" s="3">
        <f>IF(B985="","",SUMIFS('Factory Costs'!$C:$C,'Factory Costs'!$A:$A,"Frame",'Factory Costs'!$B:$B,B985))</f>
        <v>39</v>
      </c>
    </row>
    <row r="986" spans="1:3" x14ac:dyDescent="0.25">
      <c r="A986" s="1" t="s">
        <v>9511</v>
      </c>
      <c r="B986" s="1" t="s">
        <v>16377</v>
      </c>
      <c r="C986" s="3">
        <f>IF(B986="","",SUMIFS('Factory Costs'!$C:$C,'Factory Costs'!$A:$A,"Frame",'Factory Costs'!$B:$B,B986))</f>
        <v>39</v>
      </c>
    </row>
    <row r="987" spans="1:3" x14ac:dyDescent="0.25">
      <c r="A987" s="1" t="s">
        <v>9514</v>
      </c>
      <c r="B987" s="1" t="s">
        <v>16378</v>
      </c>
      <c r="C987" s="3">
        <f>IF(B987="","",SUMIFS('Factory Costs'!$C:$C,'Factory Costs'!$A:$A,"Frame",'Factory Costs'!$B:$B,B987))</f>
        <v>52</v>
      </c>
    </row>
    <row r="988" spans="1:3" x14ac:dyDescent="0.25">
      <c r="A988" s="1" t="s">
        <v>9517</v>
      </c>
      <c r="B988" s="1" t="s">
        <v>16379</v>
      </c>
      <c r="C988" s="3">
        <f>IF(B988="","",SUMIFS('Factory Costs'!$C:$C,'Factory Costs'!$A:$A,"Frame",'Factory Costs'!$B:$B,B988))</f>
        <v>45</v>
      </c>
    </row>
    <row r="989" spans="1:3" x14ac:dyDescent="0.25">
      <c r="A989" s="1" t="s">
        <v>9520</v>
      </c>
      <c r="B989" s="1" t="s">
        <v>16377</v>
      </c>
      <c r="C989" s="3">
        <f>IF(B989="","",SUMIFS('Factory Costs'!$C:$C,'Factory Costs'!$A:$A,"Frame",'Factory Costs'!$B:$B,B989))</f>
        <v>39</v>
      </c>
    </row>
    <row r="990" spans="1:3" x14ac:dyDescent="0.25">
      <c r="A990" s="1" t="s">
        <v>9523</v>
      </c>
      <c r="B990" s="1" t="s">
        <v>16378</v>
      </c>
      <c r="C990" s="3">
        <f>IF(B990="","",SUMIFS('Factory Costs'!$C:$C,'Factory Costs'!$A:$A,"Frame",'Factory Costs'!$B:$B,B990))</f>
        <v>52</v>
      </c>
    </row>
    <row r="991" spans="1:3" x14ac:dyDescent="0.25">
      <c r="A991" s="1" t="s">
        <v>9526</v>
      </c>
      <c r="B991" s="1" t="s">
        <v>16378</v>
      </c>
      <c r="C991" s="3">
        <f>IF(B991="","",SUMIFS('Factory Costs'!$C:$C,'Factory Costs'!$A:$A,"Frame",'Factory Costs'!$B:$B,B991))</f>
        <v>52</v>
      </c>
    </row>
    <row r="992" spans="1:3" x14ac:dyDescent="0.25">
      <c r="A992" s="1" t="s">
        <v>9529</v>
      </c>
      <c r="B992" s="1" t="s">
        <v>16377</v>
      </c>
      <c r="C992" s="3">
        <f>IF(B992="","",SUMIFS('Factory Costs'!$C:$C,'Factory Costs'!$A:$A,"Frame",'Factory Costs'!$B:$B,B992))</f>
        <v>39</v>
      </c>
    </row>
    <row r="993" spans="1:3" x14ac:dyDescent="0.25">
      <c r="A993" s="1" t="s">
        <v>9532</v>
      </c>
      <c r="B993" s="1" t="s">
        <v>16377</v>
      </c>
      <c r="C993" s="3">
        <f>IF(B993="","",SUMIFS('Factory Costs'!$C:$C,'Factory Costs'!$A:$A,"Frame",'Factory Costs'!$B:$B,B993))</f>
        <v>39</v>
      </c>
    </row>
    <row r="994" spans="1:3" x14ac:dyDescent="0.25">
      <c r="A994" s="1" t="s">
        <v>9535</v>
      </c>
      <c r="B994" s="1" t="s">
        <v>16377</v>
      </c>
      <c r="C994" s="3">
        <f>IF(B994="","",SUMIFS('Factory Costs'!$C:$C,'Factory Costs'!$A:$A,"Frame",'Factory Costs'!$B:$B,B994))</f>
        <v>39</v>
      </c>
    </row>
    <row r="995" spans="1:3" x14ac:dyDescent="0.25">
      <c r="A995" s="1" t="s">
        <v>9538</v>
      </c>
      <c r="B995" s="1" t="s">
        <v>16379</v>
      </c>
      <c r="C995" s="3">
        <f>IF(B995="","",SUMIFS('Factory Costs'!$C:$C,'Factory Costs'!$A:$A,"Frame",'Factory Costs'!$B:$B,B995))</f>
        <v>45</v>
      </c>
    </row>
    <row r="996" spans="1:3" x14ac:dyDescent="0.25">
      <c r="A996" s="1" t="s">
        <v>9541</v>
      </c>
      <c r="B996" s="1" t="s">
        <v>16378</v>
      </c>
      <c r="C996" s="3">
        <f>IF(B996="","",SUMIFS('Factory Costs'!$C:$C,'Factory Costs'!$A:$A,"Frame",'Factory Costs'!$B:$B,B996))</f>
        <v>52</v>
      </c>
    </row>
    <row r="997" spans="1:3" x14ac:dyDescent="0.25">
      <c r="A997" s="1" t="s">
        <v>9544</v>
      </c>
      <c r="B997" s="1" t="s">
        <v>16379</v>
      </c>
      <c r="C997" s="3">
        <f>IF(B997="","",SUMIFS('Factory Costs'!$C:$C,'Factory Costs'!$A:$A,"Frame",'Factory Costs'!$B:$B,B997))</f>
        <v>45</v>
      </c>
    </row>
    <row r="998" spans="1:3" x14ac:dyDescent="0.25">
      <c r="A998" s="1" t="s">
        <v>9547</v>
      </c>
      <c r="B998" s="1" t="s">
        <v>16379</v>
      </c>
      <c r="C998" s="3">
        <f>IF(B998="","",SUMIFS('Factory Costs'!$C:$C,'Factory Costs'!$A:$A,"Frame",'Factory Costs'!$B:$B,B998))</f>
        <v>45</v>
      </c>
    </row>
    <row r="999" spans="1:3" x14ac:dyDescent="0.25">
      <c r="A999" s="1" t="s">
        <v>9550</v>
      </c>
      <c r="B999" s="1" t="s">
        <v>16379</v>
      </c>
      <c r="C999" s="3">
        <f>IF(B999="","",SUMIFS('Factory Costs'!$C:$C,'Factory Costs'!$A:$A,"Frame",'Factory Costs'!$B:$B,B999))</f>
        <v>45</v>
      </c>
    </row>
    <row r="1000" spans="1:3" x14ac:dyDescent="0.25">
      <c r="A1000" s="1" t="s">
        <v>9553</v>
      </c>
      <c r="B1000" s="1" t="s">
        <v>16378</v>
      </c>
      <c r="C1000" s="3">
        <f>IF(B1000="","",SUMIFS('Factory Costs'!$C:$C,'Factory Costs'!$A:$A,"Frame",'Factory Costs'!$B:$B,B1000))</f>
        <v>52</v>
      </c>
    </row>
    <row r="1001" spans="1:3" x14ac:dyDescent="0.25">
      <c r="A1001" s="1" t="s">
        <v>9556</v>
      </c>
      <c r="B1001" s="1" t="s">
        <v>16377</v>
      </c>
      <c r="C1001" s="3">
        <f>IF(B1001="","",SUMIFS('Factory Costs'!$C:$C,'Factory Costs'!$A:$A,"Frame",'Factory Costs'!$B:$B,B1001))</f>
        <v>39</v>
      </c>
    </row>
    <row r="1002" spans="1:3" x14ac:dyDescent="0.25">
      <c r="A1002" s="1" t="s">
        <v>9559</v>
      </c>
      <c r="B1002" s="1" t="s">
        <v>16379</v>
      </c>
      <c r="C1002" s="3">
        <f>IF(B1002="","",SUMIFS('Factory Costs'!$C:$C,'Factory Costs'!$A:$A,"Frame",'Factory Costs'!$B:$B,B1002))</f>
        <v>45</v>
      </c>
    </row>
    <row r="1003" spans="1:3" x14ac:dyDescent="0.25">
      <c r="A1003" s="1" t="s">
        <v>9562</v>
      </c>
      <c r="B1003" s="1" t="s">
        <v>16378</v>
      </c>
      <c r="C1003" s="3">
        <f>IF(B1003="","",SUMIFS('Factory Costs'!$C:$C,'Factory Costs'!$A:$A,"Frame",'Factory Costs'!$B:$B,B1003))</f>
        <v>52</v>
      </c>
    </row>
    <row r="1004" spans="1:3" x14ac:dyDescent="0.25">
      <c r="A1004" s="1" t="s">
        <v>9565</v>
      </c>
      <c r="B1004" s="1" t="s">
        <v>16377</v>
      </c>
      <c r="C1004" s="3">
        <f>IF(B1004="","",SUMIFS('Factory Costs'!$C:$C,'Factory Costs'!$A:$A,"Frame",'Factory Costs'!$B:$B,B1004))</f>
        <v>39</v>
      </c>
    </row>
    <row r="1005" spans="1:3" x14ac:dyDescent="0.25">
      <c r="A1005" s="1" t="s">
        <v>9568</v>
      </c>
      <c r="B1005" s="1" t="s">
        <v>16377</v>
      </c>
      <c r="C1005" s="3">
        <f>IF(B1005="","",SUMIFS('Factory Costs'!$C:$C,'Factory Costs'!$A:$A,"Frame",'Factory Costs'!$B:$B,B1005))</f>
        <v>39</v>
      </c>
    </row>
    <row r="1006" spans="1:3" x14ac:dyDescent="0.25">
      <c r="A1006" s="1" t="s">
        <v>9571</v>
      </c>
      <c r="B1006" s="1" t="s">
        <v>16377</v>
      </c>
      <c r="C1006" s="3">
        <f>IF(B1006="","",SUMIFS('Factory Costs'!$C:$C,'Factory Costs'!$A:$A,"Frame",'Factory Costs'!$B:$B,B1006))</f>
        <v>39</v>
      </c>
    </row>
    <row r="1007" spans="1:3" x14ac:dyDescent="0.25">
      <c r="A1007" s="1" t="s">
        <v>9574</v>
      </c>
      <c r="B1007" s="1" t="s">
        <v>16378</v>
      </c>
      <c r="C1007" s="3">
        <f>IF(B1007="","",SUMIFS('Factory Costs'!$C:$C,'Factory Costs'!$A:$A,"Frame",'Factory Costs'!$B:$B,B1007))</f>
        <v>52</v>
      </c>
    </row>
    <row r="1008" spans="1:3" x14ac:dyDescent="0.25">
      <c r="A1008" s="1" t="s">
        <v>9577</v>
      </c>
      <c r="B1008" s="1" t="s">
        <v>16377</v>
      </c>
      <c r="C1008" s="3">
        <f>IF(B1008="","",SUMIFS('Factory Costs'!$C:$C,'Factory Costs'!$A:$A,"Frame",'Factory Costs'!$B:$B,B1008))</f>
        <v>39</v>
      </c>
    </row>
    <row r="1009" spans="1:3" x14ac:dyDescent="0.25">
      <c r="A1009" s="1" t="s">
        <v>9580</v>
      </c>
      <c r="B1009" s="1" t="s">
        <v>16378</v>
      </c>
      <c r="C1009" s="3">
        <f>IF(B1009="","",SUMIFS('Factory Costs'!$C:$C,'Factory Costs'!$A:$A,"Frame",'Factory Costs'!$B:$B,B1009))</f>
        <v>52</v>
      </c>
    </row>
    <row r="1010" spans="1:3" x14ac:dyDescent="0.25">
      <c r="A1010" s="1" t="s">
        <v>9583</v>
      </c>
      <c r="B1010" s="1" t="s">
        <v>16379</v>
      </c>
      <c r="C1010" s="3">
        <f>IF(B1010="","",SUMIFS('Factory Costs'!$C:$C,'Factory Costs'!$A:$A,"Frame",'Factory Costs'!$B:$B,B1010))</f>
        <v>45</v>
      </c>
    </row>
    <row r="1011" spans="1:3" x14ac:dyDescent="0.25">
      <c r="A1011" s="1" t="s">
        <v>9586</v>
      </c>
      <c r="B1011" s="1" t="s">
        <v>16377</v>
      </c>
      <c r="C1011" s="3">
        <f>IF(B1011="","",SUMIFS('Factory Costs'!$C:$C,'Factory Costs'!$A:$A,"Frame",'Factory Costs'!$B:$B,B1011))</f>
        <v>39</v>
      </c>
    </row>
    <row r="1012" spans="1:3" x14ac:dyDescent="0.25">
      <c r="A1012" s="1" t="s">
        <v>9589</v>
      </c>
      <c r="B1012" s="1" t="s">
        <v>16378</v>
      </c>
      <c r="C1012" s="3">
        <f>IF(B1012="","",SUMIFS('Factory Costs'!$C:$C,'Factory Costs'!$A:$A,"Frame",'Factory Costs'!$B:$B,B1012))</f>
        <v>52</v>
      </c>
    </row>
    <row r="1013" spans="1:3" x14ac:dyDescent="0.25">
      <c r="A1013" s="1" t="s">
        <v>9592</v>
      </c>
      <c r="B1013" s="1" t="s">
        <v>16377</v>
      </c>
      <c r="C1013" s="3">
        <f>IF(B1013="","",SUMIFS('Factory Costs'!$C:$C,'Factory Costs'!$A:$A,"Frame",'Factory Costs'!$B:$B,B1013))</f>
        <v>39</v>
      </c>
    </row>
    <row r="1014" spans="1:3" x14ac:dyDescent="0.25">
      <c r="A1014" s="1" t="s">
        <v>9595</v>
      </c>
      <c r="B1014" s="1" t="s">
        <v>16378</v>
      </c>
      <c r="C1014" s="3">
        <f>IF(B1014="","",SUMIFS('Factory Costs'!$C:$C,'Factory Costs'!$A:$A,"Frame",'Factory Costs'!$B:$B,B1014))</f>
        <v>52</v>
      </c>
    </row>
    <row r="1015" spans="1:3" x14ac:dyDescent="0.25">
      <c r="A1015" s="1" t="s">
        <v>9598</v>
      </c>
      <c r="B1015" s="1" t="s">
        <v>16377</v>
      </c>
      <c r="C1015" s="3">
        <f>IF(B1015="","",SUMIFS('Factory Costs'!$C:$C,'Factory Costs'!$A:$A,"Frame",'Factory Costs'!$B:$B,B1015))</f>
        <v>39</v>
      </c>
    </row>
    <row r="1016" spans="1:3" x14ac:dyDescent="0.25">
      <c r="A1016" s="1" t="s">
        <v>9601</v>
      </c>
      <c r="B1016" s="1" t="s">
        <v>16377</v>
      </c>
      <c r="C1016" s="3">
        <f>IF(B1016="","",SUMIFS('Factory Costs'!$C:$C,'Factory Costs'!$A:$A,"Frame",'Factory Costs'!$B:$B,B1016))</f>
        <v>39</v>
      </c>
    </row>
    <row r="1017" spans="1:3" x14ac:dyDescent="0.25">
      <c r="A1017" s="1" t="s">
        <v>9604</v>
      </c>
      <c r="B1017" s="1" t="s">
        <v>16378</v>
      </c>
      <c r="C1017" s="3">
        <f>IF(B1017="","",SUMIFS('Factory Costs'!$C:$C,'Factory Costs'!$A:$A,"Frame",'Factory Costs'!$B:$B,B1017))</f>
        <v>52</v>
      </c>
    </row>
    <row r="1018" spans="1:3" x14ac:dyDescent="0.25">
      <c r="A1018" s="1" t="s">
        <v>9607</v>
      </c>
      <c r="B1018" s="1" t="s">
        <v>16377</v>
      </c>
      <c r="C1018" s="3">
        <f>IF(B1018="","",SUMIFS('Factory Costs'!$C:$C,'Factory Costs'!$A:$A,"Frame",'Factory Costs'!$B:$B,B1018))</f>
        <v>39</v>
      </c>
    </row>
    <row r="1019" spans="1:3" x14ac:dyDescent="0.25">
      <c r="A1019" s="1" t="s">
        <v>9610</v>
      </c>
      <c r="B1019" s="1" t="s">
        <v>16378</v>
      </c>
      <c r="C1019" s="3">
        <f>IF(B1019="","",SUMIFS('Factory Costs'!$C:$C,'Factory Costs'!$A:$A,"Frame",'Factory Costs'!$B:$B,B1019))</f>
        <v>52</v>
      </c>
    </row>
    <row r="1020" spans="1:3" x14ac:dyDescent="0.25">
      <c r="A1020" s="1" t="s">
        <v>9613</v>
      </c>
      <c r="B1020" s="1" t="s">
        <v>16377</v>
      </c>
      <c r="C1020" s="3">
        <f>IF(B1020="","",SUMIFS('Factory Costs'!$C:$C,'Factory Costs'!$A:$A,"Frame",'Factory Costs'!$B:$B,B1020))</f>
        <v>39</v>
      </c>
    </row>
    <row r="1021" spans="1:3" x14ac:dyDescent="0.25">
      <c r="A1021" s="1" t="s">
        <v>9616</v>
      </c>
      <c r="B1021" s="1" t="s">
        <v>16379</v>
      </c>
      <c r="C1021" s="3">
        <f>IF(B1021="","",SUMIFS('Factory Costs'!$C:$C,'Factory Costs'!$A:$A,"Frame",'Factory Costs'!$B:$B,B1021))</f>
        <v>45</v>
      </c>
    </row>
    <row r="1022" spans="1:3" x14ac:dyDescent="0.25">
      <c r="A1022" s="1" t="s">
        <v>9619</v>
      </c>
      <c r="B1022" s="1" t="s">
        <v>16377</v>
      </c>
      <c r="C1022" s="3">
        <f>IF(B1022="","",SUMIFS('Factory Costs'!$C:$C,'Factory Costs'!$A:$A,"Frame",'Factory Costs'!$B:$B,B1022))</f>
        <v>39</v>
      </c>
    </row>
    <row r="1023" spans="1:3" x14ac:dyDescent="0.25">
      <c r="A1023" s="1" t="s">
        <v>9622</v>
      </c>
      <c r="B1023" s="1" t="s">
        <v>16378</v>
      </c>
      <c r="C1023" s="3">
        <f>IF(B1023="","",SUMIFS('Factory Costs'!$C:$C,'Factory Costs'!$A:$A,"Frame",'Factory Costs'!$B:$B,B1023))</f>
        <v>52</v>
      </c>
    </row>
    <row r="1024" spans="1:3" x14ac:dyDescent="0.25">
      <c r="A1024" s="1" t="s">
        <v>9625</v>
      </c>
      <c r="B1024" s="1" t="s">
        <v>16379</v>
      </c>
      <c r="C1024" s="3">
        <f>IF(B1024="","",SUMIFS('Factory Costs'!$C:$C,'Factory Costs'!$A:$A,"Frame",'Factory Costs'!$B:$B,B1024))</f>
        <v>45</v>
      </c>
    </row>
    <row r="1025" spans="1:3" x14ac:dyDescent="0.25">
      <c r="A1025" s="1" t="s">
        <v>9628</v>
      </c>
      <c r="B1025" s="1" t="s">
        <v>16378</v>
      </c>
      <c r="C1025" s="3">
        <f>IF(B1025="","",SUMIFS('Factory Costs'!$C:$C,'Factory Costs'!$A:$A,"Frame",'Factory Costs'!$B:$B,B1025))</f>
        <v>52</v>
      </c>
    </row>
    <row r="1026" spans="1:3" x14ac:dyDescent="0.25">
      <c r="A1026" s="1" t="s">
        <v>9631</v>
      </c>
      <c r="B1026" s="1" t="s">
        <v>16379</v>
      </c>
      <c r="C1026" s="3">
        <f>IF(B1026="","",SUMIFS('Factory Costs'!$C:$C,'Factory Costs'!$A:$A,"Frame",'Factory Costs'!$B:$B,B1026))</f>
        <v>45</v>
      </c>
    </row>
    <row r="1027" spans="1:3" x14ac:dyDescent="0.25">
      <c r="A1027" s="1" t="s">
        <v>9634</v>
      </c>
      <c r="B1027" s="1" t="s">
        <v>16379</v>
      </c>
      <c r="C1027" s="3">
        <f>IF(B1027="","",SUMIFS('Factory Costs'!$C:$C,'Factory Costs'!$A:$A,"Frame",'Factory Costs'!$B:$B,B1027))</f>
        <v>45</v>
      </c>
    </row>
    <row r="1028" spans="1:3" x14ac:dyDescent="0.25">
      <c r="A1028" s="1" t="s">
        <v>9637</v>
      </c>
      <c r="B1028" s="1" t="s">
        <v>16377</v>
      </c>
      <c r="C1028" s="3">
        <f>IF(B1028="","",SUMIFS('Factory Costs'!$C:$C,'Factory Costs'!$A:$A,"Frame",'Factory Costs'!$B:$B,B1028))</f>
        <v>39</v>
      </c>
    </row>
    <row r="1029" spans="1:3" x14ac:dyDescent="0.25">
      <c r="A1029" s="1" t="s">
        <v>9640</v>
      </c>
      <c r="B1029" s="1" t="s">
        <v>16379</v>
      </c>
      <c r="C1029" s="3">
        <f>IF(B1029="","",SUMIFS('Factory Costs'!$C:$C,'Factory Costs'!$A:$A,"Frame",'Factory Costs'!$B:$B,B1029))</f>
        <v>45</v>
      </c>
    </row>
    <row r="1030" spans="1:3" x14ac:dyDescent="0.25">
      <c r="A1030" s="1" t="s">
        <v>9643</v>
      </c>
      <c r="B1030" s="1" t="s">
        <v>16378</v>
      </c>
      <c r="C1030" s="3">
        <f>IF(B1030="","",SUMIFS('Factory Costs'!$C:$C,'Factory Costs'!$A:$A,"Frame",'Factory Costs'!$B:$B,B1030))</f>
        <v>52</v>
      </c>
    </row>
    <row r="1031" spans="1:3" x14ac:dyDescent="0.25">
      <c r="A1031" s="1" t="s">
        <v>9646</v>
      </c>
      <c r="B1031" s="1" t="s">
        <v>16378</v>
      </c>
      <c r="C1031" s="3">
        <f>IF(B1031="","",SUMIFS('Factory Costs'!$C:$C,'Factory Costs'!$A:$A,"Frame",'Factory Costs'!$B:$B,B1031))</f>
        <v>52</v>
      </c>
    </row>
    <row r="1032" spans="1:3" x14ac:dyDescent="0.25">
      <c r="A1032" s="1" t="s">
        <v>9649</v>
      </c>
      <c r="B1032" s="1" t="s">
        <v>16378</v>
      </c>
      <c r="C1032" s="3">
        <f>IF(B1032="","",SUMIFS('Factory Costs'!$C:$C,'Factory Costs'!$A:$A,"Frame",'Factory Costs'!$B:$B,B1032))</f>
        <v>52</v>
      </c>
    </row>
    <row r="1033" spans="1:3" x14ac:dyDescent="0.25">
      <c r="A1033" s="1" t="s">
        <v>9652</v>
      </c>
      <c r="B1033" s="1" t="s">
        <v>16377</v>
      </c>
      <c r="C1033" s="3">
        <f>IF(B1033="","",SUMIFS('Factory Costs'!$C:$C,'Factory Costs'!$A:$A,"Frame",'Factory Costs'!$B:$B,B1033))</f>
        <v>39</v>
      </c>
    </row>
    <row r="1034" spans="1:3" x14ac:dyDescent="0.25">
      <c r="A1034" s="1" t="s">
        <v>9655</v>
      </c>
      <c r="B1034" s="1" t="s">
        <v>16377</v>
      </c>
      <c r="C1034" s="3">
        <f>IF(B1034="","",SUMIFS('Factory Costs'!$C:$C,'Factory Costs'!$A:$A,"Frame",'Factory Costs'!$B:$B,B1034))</f>
        <v>39</v>
      </c>
    </row>
    <row r="1035" spans="1:3" x14ac:dyDescent="0.25">
      <c r="A1035" s="1" t="s">
        <v>9658</v>
      </c>
      <c r="B1035" s="1" t="s">
        <v>16377</v>
      </c>
      <c r="C1035" s="3">
        <f>IF(B1035="","",SUMIFS('Factory Costs'!$C:$C,'Factory Costs'!$A:$A,"Frame",'Factory Costs'!$B:$B,B1035))</f>
        <v>39</v>
      </c>
    </row>
    <row r="1036" spans="1:3" x14ac:dyDescent="0.25">
      <c r="A1036" s="1" t="s">
        <v>9661</v>
      </c>
      <c r="B1036" s="1" t="s">
        <v>16379</v>
      </c>
      <c r="C1036" s="3">
        <f>IF(B1036="","",SUMIFS('Factory Costs'!$C:$C,'Factory Costs'!$A:$A,"Frame",'Factory Costs'!$B:$B,B1036))</f>
        <v>45</v>
      </c>
    </row>
    <row r="1037" spans="1:3" x14ac:dyDescent="0.25">
      <c r="A1037" s="1" t="s">
        <v>9664</v>
      </c>
      <c r="B1037" s="1" t="s">
        <v>16379</v>
      </c>
      <c r="C1037" s="3">
        <f>IF(B1037="","",SUMIFS('Factory Costs'!$C:$C,'Factory Costs'!$A:$A,"Frame",'Factory Costs'!$B:$B,B1037))</f>
        <v>45</v>
      </c>
    </row>
    <row r="1038" spans="1:3" x14ac:dyDescent="0.25">
      <c r="A1038" s="1" t="s">
        <v>9667</v>
      </c>
      <c r="B1038" s="1" t="s">
        <v>16379</v>
      </c>
      <c r="C1038" s="3">
        <f>IF(B1038="","",SUMIFS('Factory Costs'!$C:$C,'Factory Costs'!$A:$A,"Frame",'Factory Costs'!$B:$B,B1038))</f>
        <v>45</v>
      </c>
    </row>
    <row r="1039" spans="1:3" x14ac:dyDescent="0.25">
      <c r="A1039" s="1" t="s">
        <v>9670</v>
      </c>
      <c r="B1039" s="1" t="s">
        <v>16377</v>
      </c>
      <c r="C1039" s="3">
        <f>IF(B1039="","",SUMIFS('Factory Costs'!$C:$C,'Factory Costs'!$A:$A,"Frame",'Factory Costs'!$B:$B,B1039))</f>
        <v>39</v>
      </c>
    </row>
    <row r="1040" spans="1:3" x14ac:dyDescent="0.25">
      <c r="A1040" s="1" t="s">
        <v>9673</v>
      </c>
      <c r="B1040" s="1" t="s">
        <v>16379</v>
      </c>
      <c r="C1040" s="3">
        <f>IF(B1040="","",SUMIFS('Factory Costs'!$C:$C,'Factory Costs'!$A:$A,"Frame",'Factory Costs'!$B:$B,B1040))</f>
        <v>45</v>
      </c>
    </row>
    <row r="1041" spans="1:3" x14ac:dyDescent="0.25">
      <c r="A1041" s="1" t="s">
        <v>9676</v>
      </c>
      <c r="B1041" s="1" t="s">
        <v>16378</v>
      </c>
      <c r="C1041" s="3">
        <f>IF(B1041="","",SUMIFS('Factory Costs'!$C:$C,'Factory Costs'!$A:$A,"Frame",'Factory Costs'!$B:$B,B1041))</f>
        <v>52</v>
      </c>
    </row>
    <row r="1042" spans="1:3" x14ac:dyDescent="0.25">
      <c r="A1042" s="1" t="s">
        <v>9679</v>
      </c>
      <c r="B1042" s="1" t="s">
        <v>16377</v>
      </c>
      <c r="C1042" s="3">
        <f>IF(B1042="","",SUMIFS('Factory Costs'!$C:$C,'Factory Costs'!$A:$A,"Frame",'Factory Costs'!$B:$B,B1042))</f>
        <v>39</v>
      </c>
    </row>
    <row r="1043" spans="1:3" x14ac:dyDescent="0.25">
      <c r="A1043" s="1" t="s">
        <v>9682</v>
      </c>
      <c r="B1043" s="1" t="s">
        <v>16379</v>
      </c>
      <c r="C1043" s="3">
        <f>IF(B1043="","",SUMIFS('Factory Costs'!$C:$C,'Factory Costs'!$A:$A,"Frame",'Factory Costs'!$B:$B,B1043))</f>
        <v>45</v>
      </c>
    </row>
    <row r="1044" spans="1:3" x14ac:dyDescent="0.25">
      <c r="A1044" s="1" t="s">
        <v>9685</v>
      </c>
      <c r="B1044" s="1" t="s">
        <v>16378</v>
      </c>
      <c r="C1044" s="3">
        <f>IF(B1044="","",SUMIFS('Factory Costs'!$C:$C,'Factory Costs'!$A:$A,"Frame",'Factory Costs'!$B:$B,B1044))</f>
        <v>52</v>
      </c>
    </row>
    <row r="1045" spans="1:3" x14ac:dyDescent="0.25">
      <c r="A1045" s="1" t="s">
        <v>9688</v>
      </c>
      <c r="B1045" s="1" t="s">
        <v>16377</v>
      </c>
      <c r="C1045" s="3">
        <f>IF(B1045="","",SUMIFS('Factory Costs'!$C:$C,'Factory Costs'!$A:$A,"Frame",'Factory Costs'!$B:$B,B1045))</f>
        <v>39</v>
      </c>
    </row>
    <row r="1046" spans="1:3" x14ac:dyDescent="0.25">
      <c r="A1046" s="1" t="s">
        <v>9691</v>
      </c>
      <c r="B1046" s="1" t="s">
        <v>16378</v>
      </c>
      <c r="C1046" s="3">
        <f>IF(B1046="","",SUMIFS('Factory Costs'!$C:$C,'Factory Costs'!$A:$A,"Frame",'Factory Costs'!$B:$B,B1046))</f>
        <v>52</v>
      </c>
    </row>
    <row r="1047" spans="1:3" x14ac:dyDescent="0.25">
      <c r="A1047" s="1" t="s">
        <v>9694</v>
      </c>
      <c r="B1047" s="1" t="s">
        <v>16379</v>
      </c>
      <c r="C1047" s="3">
        <f>IF(B1047="","",SUMIFS('Factory Costs'!$C:$C,'Factory Costs'!$A:$A,"Frame",'Factory Costs'!$B:$B,B1047))</f>
        <v>45</v>
      </c>
    </row>
    <row r="1048" spans="1:3" x14ac:dyDescent="0.25">
      <c r="A1048" s="1" t="s">
        <v>9697</v>
      </c>
      <c r="B1048" s="1" t="s">
        <v>16379</v>
      </c>
      <c r="C1048" s="3">
        <f>IF(B1048="","",SUMIFS('Factory Costs'!$C:$C,'Factory Costs'!$A:$A,"Frame",'Factory Costs'!$B:$B,B1048))</f>
        <v>45</v>
      </c>
    </row>
    <row r="1049" spans="1:3" x14ac:dyDescent="0.25">
      <c r="A1049" s="1" t="s">
        <v>9700</v>
      </c>
      <c r="B1049" s="1" t="s">
        <v>16379</v>
      </c>
      <c r="C1049" s="3">
        <f>IF(B1049="","",SUMIFS('Factory Costs'!$C:$C,'Factory Costs'!$A:$A,"Frame",'Factory Costs'!$B:$B,B1049))</f>
        <v>45</v>
      </c>
    </row>
    <row r="1050" spans="1:3" x14ac:dyDescent="0.25">
      <c r="A1050" s="1" t="s">
        <v>9703</v>
      </c>
      <c r="B1050" s="1" t="s">
        <v>16377</v>
      </c>
      <c r="C1050" s="3">
        <f>IF(B1050="","",SUMIFS('Factory Costs'!$C:$C,'Factory Costs'!$A:$A,"Frame",'Factory Costs'!$B:$B,B1050))</f>
        <v>39</v>
      </c>
    </row>
    <row r="1051" spans="1:3" x14ac:dyDescent="0.25">
      <c r="A1051" s="1" t="s">
        <v>9706</v>
      </c>
      <c r="B1051" s="1" t="s">
        <v>16379</v>
      </c>
      <c r="C1051" s="3">
        <f>IF(B1051="","",SUMIFS('Factory Costs'!$C:$C,'Factory Costs'!$A:$A,"Frame",'Factory Costs'!$B:$B,B1051))</f>
        <v>45</v>
      </c>
    </row>
    <row r="1052" spans="1:3" x14ac:dyDescent="0.25">
      <c r="A1052" s="1" t="s">
        <v>9709</v>
      </c>
      <c r="B1052" s="1" t="s">
        <v>16377</v>
      </c>
      <c r="C1052" s="3">
        <f>IF(B1052="","",SUMIFS('Factory Costs'!$C:$C,'Factory Costs'!$A:$A,"Frame",'Factory Costs'!$B:$B,B1052))</f>
        <v>39</v>
      </c>
    </row>
    <row r="1053" spans="1:3" x14ac:dyDescent="0.25">
      <c r="A1053" s="1" t="s">
        <v>9712</v>
      </c>
      <c r="B1053" s="1" t="s">
        <v>16378</v>
      </c>
      <c r="C1053" s="3">
        <f>IF(B1053="","",SUMIFS('Factory Costs'!$C:$C,'Factory Costs'!$A:$A,"Frame",'Factory Costs'!$B:$B,B1053))</f>
        <v>52</v>
      </c>
    </row>
    <row r="1054" spans="1:3" x14ac:dyDescent="0.25">
      <c r="A1054" s="1" t="s">
        <v>9715</v>
      </c>
      <c r="B1054" s="1" t="s">
        <v>16377</v>
      </c>
      <c r="C1054" s="3">
        <f>IF(B1054="","",SUMIFS('Factory Costs'!$C:$C,'Factory Costs'!$A:$A,"Frame",'Factory Costs'!$B:$B,B1054))</f>
        <v>39</v>
      </c>
    </row>
    <row r="1055" spans="1:3" x14ac:dyDescent="0.25">
      <c r="A1055" s="1" t="s">
        <v>9718</v>
      </c>
      <c r="B1055" s="1" t="s">
        <v>16378</v>
      </c>
      <c r="C1055" s="3">
        <f>IF(B1055="","",SUMIFS('Factory Costs'!$C:$C,'Factory Costs'!$A:$A,"Frame",'Factory Costs'!$B:$B,B1055))</f>
        <v>52</v>
      </c>
    </row>
    <row r="1056" spans="1:3" x14ac:dyDescent="0.25">
      <c r="A1056" s="1" t="s">
        <v>9721</v>
      </c>
      <c r="B1056" s="1" t="s">
        <v>16377</v>
      </c>
      <c r="C1056" s="3">
        <f>IF(B1056="","",SUMIFS('Factory Costs'!$C:$C,'Factory Costs'!$A:$A,"Frame",'Factory Costs'!$B:$B,B1056))</f>
        <v>39</v>
      </c>
    </row>
    <row r="1057" spans="1:3" x14ac:dyDescent="0.25">
      <c r="A1057" s="1" t="s">
        <v>9724</v>
      </c>
      <c r="B1057" s="1" t="s">
        <v>16377</v>
      </c>
      <c r="C1057" s="3">
        <f>IF(B1057="","",SUMIFS('Factory Costs'!$C:$C,'Factory Costs'!$A:$A,"Frame",'Factory Costs'!$B:$B,B1057))</f>
        <v>39</v>
      </c>
    </row>
    <row r="1058" spans="1:3" x14ac:dyDescent="0.25">
      <c r="A1058" s="1" t="s">
        <v>9727</v>
      </c>
      <c r="B1058" s="1" t="s">
        <v>16378</v>
      </c>
      <c r="C1058" s="3">
        <f>IF(B1058="","",SUMIFS('Factory Costs'!$C:$C,'Factory Costs'!$A:$A,"Frame",'Factory Costs'!$B:$B,B1058))</f>
        <v>52</v>
      </c>
    </row>
    <row r="1059" spans="1:3" x14ac:dyDescent="0.25">
      <c r="A1059" s="1" t="s">
        <v>9730</v>
      </c>
      <c r="B1059" s="1" t="s">
        <v>16377</v>
      </c>
      <c r="C1059" s="3">
        <f>IF(B1059="","",SUMIFS('Factory Costs'!$C:$C,'Factory Costs'!$A:$A,"Frame",'Factory Costs'!$B:$B,B1059))</f>
        <v>39</v>
      </c>
    </row>
    <row r="1060" spans="1:3" x14ac:dyDescent="0.25">
      <c r="A1060" s="1" t="s">
        <v>9733</v>
      </c>
      <c r="B1060" s="1" t="s">
        <v>16377</v>
      </c>
      <c r="C1060" s="3">
        <f>IF(B1060="","",SUMIFS('Factory Costs'!$C:$C,'Factory Costs'!$A:$A,"Frame",'Factory Costs'!$B:$B,B1060))</f>
        <v>39</v>
      </c>
    </row>
    <row r="1061" spans="1:3" x14ac:dyDescent="0.25">
      <c r="A1061" s="1" t="s">
        <v>9736</v>
      </c>
      <c r="B1061" s="1" t="s">
        <v>16377</v>
      </c>
      <c r="C1061" s="3">
        <f>IF(B1061="","",SUMIFS('Factory Costs'!$C:$C,'Factory Costs'!$A:$A,"Frame",'Factory Costs'!$B:$B,B1061))</f>
        <v>39</v>
      </c>
    </row>
    <row r="1062" spans="1:3" x14ac:dyDescent="0.25">
      <c r="A1062" s="1" t="s">
        <v>9739</v>
      </c>
      <c r="B1062" s="1" t="s">
        <v>16377</v>
      </c>
      <c r="C1062" s="3">
        <f>IF(B1062="","",SUMIFS('Factory Costs'!$C:$C,'Factory Costs'!$A:$A,"Frame",'Factory Costs'!$B:$B,B1062))</f>
        <v>39</v>
      </c>
    </row>
    <row r="1063" spans="1:3" x14ac:dyDescent="0.25">
      <c r="A1063" s="1" t="s">
        <v>9742</v>
      </c>
      <c r="B1063" s="1" t="s">
        <v>16377</v>
      </c>
      <c r="C1063" s="3">
        <f>IF(B1063="","",SUMIFS('Factory Costs'!$C:$C,'Factory Costs'!$A:$A,"Frame",'Factory Costs'!$B:$B,B1063))</f>
        <v>39</v>
      </c>
    </row>
    <row r="1064" spans="1:3" x14ac:dyDescent="0.25">
      <c r="A1064" s="1" t="s">
        <v>9745</v>
      </c>
      <c r="B1064" s="1" t="s">
        <v>16379</v>
      </c>
      <c r="C1064" s="3">
        <f>IF(B1064="","",SUMIFS('Factory Costs'!$C:$C,'Factory Costs'!$A:$A,"Frame",'Factory Costs'!$B:$B,B1064))</f>
        <v>45</v>
      </c>
    </row>
    <row r="1065" spans="1:3" x14ac:dyDescent="0.25">
      <c r="A1065" s="1" t="s">
        <v>9748</v>
      </c>
      <c r="B1065" s="1" t="s">
        <v>16379</v>
      </c>
      <c r="C1065" s="3">
        <f>IF(B1065="","",SUMIFS('Factory Costs'!$C:$C,'Factory Costs'!$A:$A,"Frame",'Factory Costs'!$B:$B,B1065))</f>
        <v>45</v>
      </c>
    </row>
    <row r="1066" spans="1:3" x14ac:dyDescent="0.25">
      <c r="A1066" s="1" t="s">
        <v>9751</v>
      </c>
      <c r="B1066" s="1" t="s">
        <v>16378</v>
      </c>
      <c r="C1066" s="3">
        <f>IF(B1066="","",SUMIFS('Factory Costs'!$C:$C,'Factory Costs'!$A:$A,"Frame",'Factory Costs'!$B:$B,B1066))</f>
        <v>52</v>
      </c>
    </row>
    <row r="1067" spans="1:3" x14ac:dyDescent="0.25">
      <c r="A1067" s="1" t="s">
        <v>9754</v>
      </c>
      <c r="B1067" s="1" t="s">
        <v>16378</v>
      </c>
      <c r="C1067" s="3">
        <f>IF(B1067="","",SUMIFS('Factory Costs'!$C:$C,'Factory Costs'!$A:$A,"Frame",'Factory Costs'!$B:$B,B1067))</f>
        <v>52</v>
      </c>
    </row>
    <row r="1068" spans="1:3" x14ac:dyDescent="0.25">
      <c r="A1068" s="1" t="s">
        <v>9757</v>
      </c>
      <c r="B1068" s="1" t="s">
        <v>16377</v>
      </c>
      <c r="C1068" s="3">
        <f>IF(B1068="","",SUMIFS('Factory Costs'!$C:$C,'Factory Costs'!$A:$A,"Frame",'Factory Costs'!$B:$B,B1068))</f>
        <v>39</v>
      </c>
    </row>
    <row r="1069" spans="1:3" x14ac:dyDescent="0.25">
      <c r="A1069" s="1" t="s">
        <v>9760</v>
      </c>
      <c r="B1069" s="1" t="s">
        <v>16379</v>
      </c>
      <c r="C1069" s="3">
        <f>IF(B1069="","",SUMIFS('Factory Costs'!$C:$C,'Factory Costs'!$A:$A,"Frame",'Factory Costs'!$B:$B,B1069))</f>
        <v>45</v>
      </c>
    </row>
    <row r="1070" spans="1:3" x14ac:dyDescent="0.25">
      <c r="A1070" s="1" t="s">
        <v>9763</v>
      </c>
      <c r="B1070" s="1" t="s">
        <v>16377</v>
      </c>
      <c r="C1070" s="3">
        <f>IF(B1070="","",SUMIFS('Factory Costs'!$C:$C,'Factory Costs'!$A:$A,"Frame",'Factory Costs'!$B:$B,B1070))</f>
        <v>39</v>
      </c>
    </row>
    <row r="1071" spans="1:3" x14ac:dyDescent="0.25">
      <c r="A1071" s="1" t="s">
        <v>9766</v>
      </c>
      <c r="B1071" s="1" t="s">
        <v>16379</v>
      </c>
      <c r="C1071" s="3">
        <f>IF(B1071="","",SUMIFS('Factory Costs'!$C:$C,'Factory Costs'!$A:$A,"Frame",'Factory Costs'!$B:$B,B1071))</f>
        <v>45</v>
      </c>
    </row>
    <row r="1072" spans="1:3" x14ac:dyDescent="0.25">
      <c r="A1072" s="1" t="s">
        <v>9769</v>
      </c>
      <c r="B1072" s="1" t="s">
        <v>16377</v>
      </c>
      <c r="C1072" s="3">
        <f>IF(B1072="","",SUMIFS('Factory Costs'!$C:$C,'Factory Costs'!$A:$A,"Frame",'Factory Costs'!$B:$B,B1072))</f>
        <v>39</v>
      </c>
    </row>
    <row r="1073" spans="1:3" x14ac:dyDescent="0.25">
      <c r="A1073" s="1" t="s">
        <v>9772</v>
      </c>
      <c r="B1073" s="1" t="s">
        <v>16379</v>
      </c>
      <c r="C1073" s="3">
        <f>IF(B1073="","",SUMIFS('Factory Costs'!$C:$C,'Factory Costs'!$A:$A,"Frame",'Factory Costs'!$B:$B,B1073))</f>
        <v>45</v>
      </c>
    </row>
    <row r="1074" spans="1:3" x14ac:dyDescent="0.25">
      <c r="A1074" s="1" t="s">
        <v>9775</v>
      </c>
      <c r="B1074" s="1" t="s">
        <v>16378</v>
      </c>
      <c r="C1074" s="3">
        <f>IF(B1074="","",SUMIFS('Factory Costs'!$C:$C,'Factory Costs'!$A:$A,"Frame",'Factory Costs'!$B:$B,B1074))</f>
        <v>52</v>
      </c>
    </row>
    <row r="1075" spans="1:3" x14ac:dyDescent="0.25">
      <c r="A1075" s="1" t="s">
        <v>9778</v>
      </c>
      <c r="B1075" s="1" t="s">
        <v>16377</v>
      </c>
      <c r="C1075" s="3">
        <f>IF(B1075="","",SUMIFS('Factory Costs'!$C:$C,'Factory Costs'!$A:$A,"Frame",'Factory Costs'!$B:$B,B1075))</f>
        <v>39</v>
      </c>
    </row>
    <row r="1076" spans="1:3" x14ac:dyDescent="0.25">
      <c r="A1076" s="1" t="s">
        <v>9781</v>
      </c>
      <c r="B1076" s="1" t="s">
        <v>16377</v>
      </c>
      <c r="C1076" s="3">
        <f>IF(B1076="","",SUMIFS('Factory Costs'!$C:$C,'Factory Costs'!$A:$A,"Frame",'Factory Costs'!$B:$B,B1076))</f>
        <v>39</v>
      </c>
    </row>
    <row r="1077" spans="1:3" x14ac:dyDescent="0.25">
      <c r="A1077" s="1" t="s">
        <v>9784</v>
      </c>
      <c r="B1077" s="1" t="s">
        <v>16377</v>
      </c>
      <c r="C1077" s="3">
        <f>IF(B1077="","",SUMIFS('Factory Costs'!$C:$C,'Factory Costs'!$A:$A,"Frame",'Factory Costs'!$B:$B,B1077))</f>
        <v>39</v>
      </c>
    </row>
    <row r="1078" spans="1:3" x14ac:dyDescent="0.25">
      <c r="A1078" s="1" t="s">
        <v>9787</v>
      </c>
      <c r="B1078" s="1" t="s">
        <v>16379</v>
      </c>
      <c r="C1078" s="3">
        <f>IF(B1078="","",SUMIFS('Factory Costs'!$C:$C,'Factory Costs'!$A:$A,"Frame",'Factory Costs'!$B:$B,B1078))</f>
        <v>45</v>
      </c>
    </row>
    <row r="1079" spans="1:3" x14ac:dyDescent="0.25">
      <c r="A1079" s="1" t="s">
        <v>9790</v>
      </c>
      <c r="B1079" s="1" t="s">
        <v>16378</v>
      </c>
      <c r="C1079" s="3">
        <f>IF(B1079="","",SUMIFS('Factory Costs'!$C:$C,'Factory Costs'!$A:$A,"Frame",'Factory Costs'!$B:$B,B1079))</f>
        <v>52</v>
      </c>
    </row>
    <row r="1080" spans="1:3" x14ac:dyDescent="0.25">
      <c r="A1080" s="1" t="s">
        <v>9793</v>
      </c>
      <c r="B1080" s="1" t="s">
        <v>16377</v>
      </c>
      <c r="C1080" s="3">
        <f>IF(B1080="","",SUMIFS('Factory Costs'!$C:$C,'Factory Costs'!$A:$A,"Frame",'Factory Costs'!$B:$B,B1080))</f>
        <v>39</v>
      </c>
    </row>
    <row r="1081" spans="1:3" x14ac:dyDescent="0.25">
      <c r="A1081" s="1" t="s">
        <v>9796</v>
      </c>
      <c r="B1081" s="1" t="s">
        <v>16378</v>
      </c>
      <c r="C1081" s="3">
        <f>IF(B1081="","",SUMIFS('Factory Costs'!$C:$C,'Factory Costs'!$A:$A,"Frame",'Factory Costs'!$B:$B,B1081))</f>
        <v>52</v>
      </c>
    </row>
    <row r="1082" spans="1:3" x14ac:dyDescent="0.25">
      <c r="A1082" s="1" t="s">
        <v>9799</v>
      </c>
      <c r="B1082" s="1" t="s">
        <v>16377</v>
      </c>
      <c r="C1082" s="3">
        <f>IF(B1082="","",SUMIFS('Factory Costs'!$C:$C,'Factory Costs'!$A:$A,"Frame",'Factory Costs'!$B:$B,B1082))</f>
        <v>39</v>
      </c>
    </row>
    <row r="1083" spans="1:3" x14ac:dyDescent="0.25">
      <c r="A1083" s="1" t="s">
        <v>9802</v>
      </c>
      <c r="B1083" s="1" t="s">
        <v>16377</v>
      </c>
      <c r="C1083" s="3">
        <f>IF(B1083="","",SUMIFS('Factory Costs'!$C:$C,'Factory Costs'!$A:$A,"Frame",'Factory Costs'!$B:$B,B1083))</f>
        <v>39</v>
      </c>
    </row>
    <row r="1084" spans="1:3" x14ac:dyDescent="0.25">
      <c r="A1084" s="1" t="s">
        <v>9805</v>
      </c>
      <c r="B1084" s="1" t="s">
        <v>16379</v>
      </c>
      <c r="C1084" s="3">
        <f>IF(B1084="","",SUMIFS('Factory Costs'!$C:$C,'Factory Costs'!$A:$A,"Frame",'Factory Costs'!$B:$B,B1084))</f>
        <v>45</v>
      </c>
    </row>
    <row r="1085" spans="1:3" x14ac:dyDescent="0.25">
      <c r="A1085" s="1" t="s">
        <v>9808</v>
      </c>
      <c r="B1085" s="1" t="s">
        <v>16378</v>
      </c>
      <c r="C1085" s="3">
        <f>IF(B1085="","",SUMIFS('Factory Costs'!$C:$C,'Factory Costs'!$A:$A,"Frame",'Factory Costs'!$B:$B,B1085))</f>
        <v>52</v>
      </c>
    </row>
    <row r="1086" spans="1:3" x14ac:dyDescent="0.25">
      <c r="A1086" s="1" t="s">
        <v>9811</v>
      </c>
      <c r="B1086" s="1" t="s">
        <v>16377</v>
      </c>
      <c r="C1086" s="3">
        <f>IF(B1086="","",SUMIFS('Factory Costs'!$C:$C,'Factory Costs'!$A:$A,"Frame",'Factory Costs'!$B:$B,B1086))</f>
        <v>39</v>
      </c>
    </row>
    <row r="1087" spans="1:3" x14ac:dyDescent="0.25">
      <c r="A1087" s="1" t="s">
        <v>9814</v>
      </c>
      <c r="B1087" s="1" t="s">
        <v>16378</v>
      </c>
      <c r="C1087" s="3">
        <f>IF(B1087="","",SUMIFS('Factory Costs'!$C:$C,'Factory Costs'!$A:$A,"Frame",'Factory Costs'!$B:$B,B1087))</f>
        <v>52</v>
      </c>
    </row>
    <row r="1088" spans="1:3" x14ac:dyDescent="0.25">
      <c r="A1088" s="1" t="s">
        <v>9817</v>
      </c>
      <c r="B1088" s="1" t="s">
        <v>16377</v>
      </c>
      <c r="C1088" s="3">
        <f>IF(B1088="","",SUMIFS('Factory Costs'!$C:$C,'Factory Costs'!$A:$A,"Frame",'Factory Costs'!$B:$B,B1088))</f>
        <v>39</v>
      </c>
    </row>
    <row r="1089" spans="1:3" x14ac:dyDescent="0.25">
      <c r="A1089" s="1" t="s">
        <v>9820</v>
      </c>
      <c r="B1089" s="1" t="s">
        <v>16377</v>
      </c>
      <c r="C1089" s="3">
        <f>IF(B1089="","",SUMIFS('Factory Costs'!$C:$C,'Factory Costs'!$A:$A,"Frame",'Factory Costs'!$B:$B,B1089))</f>
        <v>39</v>
      </c>
    </row>
    <row r="1090" spans="1:3" x14ac:dyDescent="0.25">
      <c r="A1090" s="1" t="s">
        <v>9823</v>
      </c>
      <c r="B1090" s="1" t="s">
        <v>16378</v>
      </c>
      <c r="C1090" s="3">
        <f>IF(B1090="","",SUMIFS('Factory Costs'!$C:$C,'Factory Costs'!$A:$A,"Frame",'Factory Costs'!$B:$B,B1090))</f>
        <v>52</v>
      </c>
    </row>
    <row r="1091" spans="1:3" x14ac:dyDescent="0.25">
      <c r="A1091" s="1" t="s">
        <v>9826</v>
      </c>
      <c r="B1091" s="1" t="s">
        <v>16377</v>
      </c>
      <c r="C1091" s="3">
        <f>IF(B1091="","",SUMIFS('Factory Costs'!$C:$C,'Factory Costs'!$A:$A,"Frame",'Factory Costs'!$B:$B,B1091))</f>
        <v>39</v>
      </c>
    </row>
    <row r="1092" spans="1:3" x14ac:dyDescent="0.25">
      <c r="A1092" s="1" t="s">
        <v>9829</v>
      </c>
      <c r="B1092" s="1" t="s">
        <v>16379</v>
      </c>
      <c r="C1092" s="3">
        <f>IF(B1092="","",SUMIFS('Factory Costs'!$C:$C,'Factory Costs'!$A:$A,"Frame",'Factory Costs'!$B:$B,B1092))</f>
        <v>45</v>
      </c>
    </row>
    <row r="1093" spans="1:3" x14ac:dyDescent="0.25">
      <c r="A1093" s="1" t="s">
        <v>9832</v>
      </c>
      <c r="B1093" s="1" t="s">
        <v>16379</v>
      </c>
      <c r="C1093" s="3">
        <f>IF(B1093="","",SUMIFS('Factory Costs'!$C:$C,'Factory Costs'!$A:$A,"Frame",'Factory Costs'!$B:$B,B1093))</f>
        <v>45</v>
      </c>
    </row>
    <row r="1094" spans="1:3" x14ac:dyDescent="0.25">
      <c r="A1094" s="1" t="s">
        <v>9835</v>
      </c>
      <c r="B1094" s="1" t="s">
        <v>16378</v>
      </c>
      <c r="C1094" s="3">
        <f>IF(B1094="","",SUMIFS('Factory Costs'!$C:$C,'Factory Costs'!$A:$A,"Frame",'Factory Costs'!$B:$B,B1094))</f>
        <v>52</v>
      </c>
    </row>
    <row r="1095" spans="1:3" x14ac:dyDescent="0.25">
      <c r="A1095" s="1" t="s">
        <v>9838</v>
      </c>
      <c r="B1095" s="1" t="s">
        <v>16377</v>
      </c>
      <c r="C1095" s="3">
        <f>IF(B1095="","",SUMIFS('Factory Costs'!$C:$C,'Factory Costs'!$A:$A,"Frame",'Factory Costs'!$B:$B,B1095))</f>
        <v>39</v>
      </c>
    </row>
    <row r="1096" spans="1:3" x14ac:dyDescent="0.25">
      <c r="A1096" s="1" t="s">
        <v>9841</v>
      </c>
      <c r="B1096" s="1" t="s">
        <v>16378</v>
      </c>
      <c r="C1096" s="3">
        <f>IF(B1096="","",SUMIFS('Factory Costs'!$C:$C,'Factory Costs'!$A:$A,"Frame",'Factory Costs'!$B:$B,B1096))</f>
        <v>52</v>
      </c>
    </row>
    <row r="1097" spans="1:3" x14ac:dyDescent="0.25">
      <c r="A1097" s="1" t="s">
        <v>9844</v>
      </c>
      <c r="B1097" s="1" t="s">
        <v>16379</v>
      </c>
      <c r="C1097" s="3">
        <f>IF(B1097="","",SUMIFS('Factory Costs'!$C:$C,'Factory Costs'!$A:$A,"Frame",'Factory Costs'!$B:$B,B1097))</f>
        <v>45</v>
      </c>
    </row>
    <row r="1098" spans="1:3" x14ac:dyDescent="0.25">
      <c r="A1098" s="1" t="s">
        <v>9847</v>
      </c>
      <c r="B1098" s="1" t="s">
        <v>16377</v>
      </c>
      <c r="C1098" s="3">
        <f>IF(B1098="","",SUMIFS('Factory Costs'!$C:$C,'Factory Costs'!$A:$A,"Frame",'Factory Costs'!$B:$B,B1098))</f>
        <v>39</v>
      </c>
    </row>
    <row r="1099" spans="1:3" x14ac:dyDescent="0.25">
      <c r="A1099" s="1" t="s">
        <v>9850</v>
      </c>
      <c r="B1099" s="1" t="s">
        <v>16377</v>
      </c>
      <c r="C1099" s="3">
        <f>IF(B1099="","",SUMIFS('Factory Costs'!$C:$C,'Factory Costs'!$A:$A,"Frame",'Factory Costs'!$B:$B,B1099))</f>
        <v>39</v>
      </c>
    </row>
    <row r="1100" spans="1:3" x14ac:dyDescent="0.25">
      <c r="A1100" s="1" t="s">
        <v>9853</v>
      </c>
      <c r="B1100" s="1" t="s">
        <v>16378</v>
      </c>
      <c r="C1100" s="3">
        <f>IF(B1100="","",SUMIFS('Factory Costs'!$C:$C,'Factory Costs'!$A:$A,"Frame",'Factory Costs'!$B:$B,B1100))</f>
        <v>52</v>
      </c>
    </row>
    <row r="1101" spans="1:3" x14ac:dyDescent="0.25">
      <c r="A1101" s="1" t="s">
        <v>9856</v>
      </c>
      <c r="B1101" s="1" t="s">
        <v>16378</v>
      </c>
      <c r="C1101" s="3">
        <f>IF(B1101="","",SUMIFS('Factory Costs'!$C:$C,'Factory Costs'!$A:$A,"Frame",'Factory Costs'!$B:$B,B1101))</f>
        <v>52</v>
      </c>
    </row>
    <row r="1102" spans="1:3" x14ac:dyDescent="0.25">
      <c r="A1102" s="1" t="s">
        <v>9859</v>
      </c>
      <c r="B1102" s="1" t="s">
        <v>16377</v>
      </c>
      <c r="C1102" s="3">
        <f>IF(B1102="","",SUMIFS('Factory Costs'!$C:$C,'Factory Costs'!$A:$A,"Frame",'Factory Costs'!$B:$B,B1102))</f>
        <v>39</v>
      </c>
    </row>
    <row r="1103" spans="1:3" x14ac:dyDescent="0.25">
      <c r="A1103" s="1" t="s">
        <v>9862</v>
      </c>
      <c r="B1103" s="1" t="s">
        <v>16377</v>
      </c>
      <c r="C1103" s="3">
        <f>IF(B1103="","",SUMIFS('Factory Costs'!$C:$C,'Factory Costs'!$A:$A,"Frame",'Factory Costs'!$B:$B,B1103))</f>
        <v>39</v>
      </c>
    </row>
    <row r="1104" spans="1:3" x14ac:dyDescent="0.25">
      <c r="A1104" s="1" t="s">
        <v>9865</v>
      </c>
      <c r="B1104" s="1" t="s">
        <v>16379</v>
      </c>
      <c r="C1104" s="3">
        <f>IF(B1104="","",SUMIFS('Factory Costs'!$C:$C,'Factory Costs'!$A:$A,"Frame",'Factory Costs'!$B:$B,B1104))</f>
        <v>45</v>
      </c>
    </row>
    <row r="1105" spans="1:3" x14ac:dyDescent="0.25">
      <c r="A1105" s="1" t="s">
        <v>9868</v>
      </c>
      <c r="B1105" s="1" t="s">
        <v>16378</v>
      </c>
      <c r="C1105" s="3">
        <f>IF(B1105="","",SUMIFS('Factory Costs'!$C:$C,'Factory Costs'!$A:$A,"Frame",'Factory Costs'!$B:$B,B1105))</f>
        <v>52</v>
      </c>
    </row>
    <row r="1106" spans="1:3" x14ac:dyDescent="0.25">
      <c r="A1106" s="1" t="s">
        <v>9871</v>
      </c>
      <c r="B1106" s="1" t="s">
        <v>16378</v>
      </c>
      <c r="C1106" s="3">
        <f>IF(B1106="","",SUMIFS('Factory Costs'!$C:$C,'Factory Costs'!$A:$A,"Frame",'Factory Costs'!$B:$B,B1106))</f>
        <v>52</v>
      </c>
    </row>
    <row r="1107" spans="1:3" x14ac:dyDescent="0.25">
      <c r="A1107" s="1" t="s">
        <v>9874</v>
      </c>
      <c r="B1107" s="1" t="s">
        <v>16377</v>
      </c>
      <c r="C1107" s="3">
        <f>IF(B1107="","",SUMIFS('Factory Costs'!$C:$C,'Factory Costs'!$A:$A,"Frame",'Factory Costs'!$B:$B,B1107))</f>
        <v>39</v>
      </c>
    </row>
    <row r="1108" spans="1:3" x14ac:dyDescent="0.25">
      <c r="A1108" s="1" t="s">
        <v>9877</v>
      </c>
      <c r="B1108" s="1" t="s">
        <v>16379</v>
      </c>
      <c r="C1108" s="3">
        <f>IF(B1108="","",SUMIFS('Factory Costs'!$C:$C,'Factory Costs'!$A:$A,"Frame",'Factory Costs'!$B:$B,B1108))</f>
        <v>45</v>
      </c>
    </row>
    <row r="1109" spans="1:3" x14ac:dyDescent="0.25">
      <c r="A1109" s="1" t="s">
        <v>9880</v>
      </c>
      <c r="B1109" s="1" t="s">
        <v>16378</v>
      </c>
      <c r="C1109" s="3">
        <f>IF(B1109="","",SUMIFS('Factory Costs'!$C:$C,'Factory Costs'!$A:$A,"Frame",'Factory Costs'!$B:$B,B1109))</f>
        <v>52</v>
      </c>
    </row>
    <row r="1110" spans="1:3" x14ac:dyDescent="0.25">
      <c r="A1110" s="1" t="s">
        <v>9883</v>
      </c>
      <c r="B1110" s="1" t="s">
        <v>16379</v>
      </c>
      <c r="C1110" s="3">
        <f>IF(B1110="","",SUMIFS('Factory Costs'!$C:$C,'Factory Costs'!$A:$A,"Frame",'Factory Costs'!$B:$B,B1110))</f>
        <v>45</v>
      </c>
    </row>
    <row r="1111" spans="1:3" x14ac:dyDescent="0.25">
      <c r="A1111" s="1" t="s">
        <v>9886</v>
      </c>
      <c r="B1111" s="1" t="s">
        <v>16379</v>
      </c>
      <c r="C1111" s="3">
        <f>IF(B1111="","",SUMIFS('Factory Costs'!$C:$C,'Factory Costs'!$A:$A,"Frame",'Factory Costs'!$B:$B,B1111))</f>
        <v>45</v>
      </c>
    </row>
    <row r="1112" spans="1:3" x14ac:dyDescent="0.25">
      <c r="A1112" s="1" t="s">
        <v>9889</v>
      </c>
      <c r="B1112" s="1" t="s">
        <v>16379</v>
      </c>
      <c r="C1112" s="3">
        <f>IF(B1112="","",SUMIFS('Factory Costs'!$C:$C,'Factory Costs'!$A:$A,"Frame",'Factory Costs'!$B:$B,B1112))</f>
        <v>45</v>
      </c>
    </row>
    <row r="1113" spans="1:3" x14ac:dyDescent="0.25">
      <c r="A1113" s="1" t="s">
        <v>9892</v>
      </c>
      <c r="B1113" s="1" t="s">
        <v>16379</v>
      </c>
      <c r="C1113" s="3">
        <f>IF(B1113="","",SUMIFS('Factory Costs'!$C:$C,'Factory Costs'!$A:$A,"Frame",'Factory Costs'!$B:$B,B1113))</f>
        <v>45</v>
      </c>
    </row>
    <row r="1114" spans="1:3" x14ac:dyDescent="0.25">
      <c r="A1114" s="1" t="s">
        <v>9895</v>
      </c>
      <c r="B1114" s="1" t="s">
        <v>16379</v>
      </c>
      <c r="C1114" s="3">
        <f>IF(B1114="","",SUMIFS('Factory Costs'!$C:$C,'Factory Costs'!$A:$A,"Frame",'Factory Costs'!$B:$B,B1114))</f>
        <v>45</v>
      </c>
    </row>
    <row r="1115" spans="1:3" x14ac:dyDescent="0.25">
      <c r="A1115" s="1" t="s">
        <v>9898</v>
      </c>
      <c r="B1115" s="1" t="s">
        <v>16378</v>
      </c>
      <c r="C1115" s="3">
        <f>IF(B1115="","",SUMIFS('Factory Costs'!$C:$C,'Factory Costs'!$A:$A,"Frame",'Factory Costs'!$B:$B,B1115))</f>
        <v>52</v>
      </c>
    </row>
    <row r="1116" spans="1:3" x14ac:dyDescent="0.25">
      <c r="A1116" s="1" t="s">
        <v>9901</v>
      </c>
      <c r="B1116" s="1" t="s">
        <v>16377</v>
      </c>
      <c r="C1116" s="3">
        <f>IF(B1116="","",SUMIFS('Factory Costs'!$C:$C,'Factory Costs'!$A:$A,"Frame",'Factory Costs'!$B:$B,B1116))</f>
        <v>39</v>
      </c>
    </row>
    <row r="1117" spans="1:3" x14ac:dyDescent="0.25">
      <c r="A1117" s="1" t="s">
        <v>9904</v>
      </c>
      <c r="B1117" s="1" t="s">
        <v>16377</v>
      </c>
      <c r="C1117" s="3">
        <f>IF(B1117="","",SUMIFS('Factory Costs'!$C:$C,'Factory Costs'!$A:$A,"Frame",'Factory Costs'!$B:$B,B1117))</f>
        <v>39</v>
      </c>
    </row>
    <row r="1118" spans="1:3" x14ac:dyDescent="0.25">
      <c r="A1118" s="1" t="s">
        <v>9907</v>
      </c>
      <c r="B1118" s="1" t="s">
        <v>16377</v>
      </c>
      <c r="C1118" s="3">
        <f>IF(B1118="","",SUMIFS('Factory Costs'!$C:$C,'Factory Costs'!$A:$A,"Frame",'Factory Costs'!$B:$B,B1118))</f>
        <v>39</v>
      </c>
    </row>
    <row r="1119" spans="1:3" x14ac:dyDescent="0.25">
      <c r="A1119" s="1" t="s">
        <v>9910</v>
      </c>
      <c r="B1119" s="1" t="s">
        <v>16377</v>
      </c>
      <c r="C1119" s="3">
        <f>IF(B1119="","",SUMIFS('Factory Costs'!$C:$C,'Factory Costs'!$A:$A,"Frame",'Factory Costs'!$B:$B,B1119))</f>
        <v>39</v>
      </c>
    </row>
    <row r="1120" spans="1:3" x14ac:dyDescent="0.25">
      <c r="A1120" s="1" t="s">
        <v>9913</v>
      </c>
      <c r="B1120" s="1" t="s">
        <v>16377</v>
      </c>
      <c r="C1120" s="3">
        <f>IF(B1120="","",SUMIFS('Factory Costs'!$C:$C,'Factory Costs'!$A:$A,"Frame",'Factory Costs'!$B:$B,B1120))</f>
        <v>39</v>
      </c>
    </row>
    <row r="1121" spans="1:3" x14ac:dyDescent="0.25">
      <c r="A1121" s="1" t="s">
        <v>9916</v>
      </c>
      <c r="B1121" s="1" t="s">
        <v>16378</v>
      </c>
      <c r="C1121" s="3">
        <f>IF(B1121="","",SUMIFS('Factory Costs'!$C:$C,'Factory Costs'!$A:$A,"Frame",'Factory Costs'!$B:$B,B1121))</f>
        <v>52</v>
      </c>
    </row>
    <row r="1122" spans="1:3" x14ac:dyDescent="0.25">
      <c r="A1122" s="1" t="s">
        <v>9919</v>
      </c>
      <c r="B1122" s="1" t="s">
        <v>16378</v>
      </c>
      <c r="C1122" s="3">
        <f>IF(B1122="","",SUMIFS('Factory Costs'!$C:$C,'Factory Costs'!$A:$A,"Frame",'Factory Costs'!$B:$B,B1122))</f>
        <v>52</v>
      </c>
    </row>
    <row r="1123" spans="1:3" x14ac:dyDescent="0.25">
      <c r="A1123" s="1" t="s">
        <v>9922</v>
      </c>
      <c r="B1123" s="1" t="s">
        <v>16378</v>
      </c>
      <c r="C1123" s="3">
        <f>IF(B1123="","",SUMIFS('Factory Costs'!$C:$C,'Factory Costs'!$A:$A,"Frame",'Factory Costs'!$B:$B,B1123))</f>
        <v>52</v>
      </c>
    </row>
    <row r="1124" spans="1:3" x14ac:dyDescent="0.25">
      <c r="A1124" s="1" t="s">
        <v>9925</v>
      </c>
      <c r="B1124" s="1" t="s">
        <v>16379</v>
      </c>
      <c r="C1124" s="3">
        <f>IF(B1124="","",SUMIFS('Factory Costs'!$C:$C,'Factory Costs'!$A:$A,"Frame",'Factory Costs'!$B:$B,B1124))</f>
        <v>45</v>
      </c>
    </row>
    <row r="1125" spans="1:3" x14ac:dyDescent="0.25">
      <c r="A1125" s="1" t="s">
        <v>9928</v>
      </c>
      <c r="B1125" s="1" t="s">
        <v>16378</v>
      </c>
      <c r="C1125" s="3">
        <f>IF(B1125="","",SUMIFS('Factory Costs'!$C:$C,'Factory Costs'!$A:$A,"Frame",'Factory Costs'!$B:$B,B1125))</f>
        <v>52</v>
      </c>
    </row>
    <row r="1126" spans="1:3" x14ac:dyDescent="0.25">
      <c r="A1126" s="1" t="s">
        <v>9931</v>
      </c>
      <c r="B1126" s="1" t="s">
        <v>16378</v>
      </c>
      <c r="C1126" s="3">
        <f>IF(B1126="","",SUMIFS('Factory Costs'!$C:$C,'Factory Costs'!$A:$A,"Frame",'Factory Costs'!$B:$B,B1126))</f>
        <v>52</v>
      </c>
    </row>
    <row r="1127" spans="1:3" x14ac:dyDescent="0.25">
      <c r="A1127" s="1" t="s">
        <v>9934</v>
      </c>
      <c r="B1127" s="1" t="s">
        <v>16377</v>
      </c>
      <c r="C1127" s="3">
        <f>IF(B1127="","",SUMIFS('Factory Costs'!$C:$C,'Factory Costs'!$A:$A,"Frame",'Factory Costs'!$B:$B,B1127))</f>
        <v>39</v>
      </c>
    </row>
    <row r="1128" spans="1:3" x14ac:dyDescent="0.25">
      <c r="A1128" s="1" t="s">
        <v>9937</v>
      </c>
      <c r="B1128" s="1" t="s">
        <v>16377</v>
      </c>
      <c r="C1128" s="3">
        <f>IF(B1128="","",SUMIFS('Factory Costs'!$C:$C,'Factory Costs'!$A:$A,"Frame",'Factory Costs'!$B:$B,B1128))</f>
        <v>39</v>
      </c>
    </row>
    <row r="1129" spans="1:3" x14ac:dyDescent="0.25">
      <c r="A1129" s="1" t="s">
        <v>9940</v>
      </c>
      <c r="B1129" s="1" t="s">
        <v>16379</v>
      </c>
      <c r="C1129" s="3">
        <f>IF(B1129="","",SUMIFS('Factory Costs'!$C:$C,'Factory Costs'!$A:$A,"Frame",'Factory Costs'!$B:$B,B1129))</f>
        <v>45</v>
      </c>
    </row>
    <row r="1130" spans="1:3" x14ac:dyDescent="0.25">
      <c r="A1130" s="1" t="s">
        <v>9943</v>
      </c>
      <c r="B1130" s="1" t="s">
        <v>16378</v>
      </c>
      <c r="C1130" s="3">
        <f>IF(B1130="","",SUMIFS('Factory Costs'!$C:$C,'Factory Costs'!$A:$A,"Frame",'Factory Costs'!$B:$B,B1130))</f>
        <v>52</v>
      </c>
    </row>
    <row r="1131" spans="1:3" x14ac:dyDescent="0.25">
      <c r="A1131" s="1" t="s">
        <v>9946</v>
      </c>
      <c r="B1131" s="1" t="s">
        <v>16378</v>
      </c>
      <c r="C1131" s="3">
        <f>IF(B1131="","",SUMIFS('Factory Costs'!$C:$C,'Factory Costs'!$A:$A,"Frame",'Factory Costs'!$B:$B,B1131))</f>
        <v>52</v>
      </c>
    </row>
    <row r="1132" spans="1:3" x14ac:dyDescent="0.25">
      <c r="A1132" s="1" t="s">
        <v>9949</v>
      </c>
      <c r="B1132" s="1" t="s">
        <v>16379</v>
      </c>
      <c r="C1132" s="3">
        <f>IF(B1132="","",SUMIFS('Factory Costs'!$C:$C,'Factory Costs'!$A:$A,"Frame",'Factory Costs'!$B:$B,B1132))</f>
        <v>45</v>
      </c>
    </row>
    <row r="1133" spans="1:3" x14ac:dyDescent="0.25">
      <c r="A1133" s="1" t="s">
        <v>9952</v>
      </c>
      <c r="B1133" s="1" t="s">
        <v>16378</v>
      </c>
      <c r="C1133" s="3">
        <f>IF(B1133="","",SUMIFS('Factory Costs'!$C:$C,'Factory Costs'!$A:$A,"Frame",'Factory Costs'!$B:$B,B1133))</f>
        <v>52</v>
      </c>
    </row>
    <row r="1134" spans="1:3" x14ac:dyDescent="0.25">
      <c r="A1134" s="1" t="s">
        <v>9955</v>
      </c>
      <c r="B1134" s="1" t="s">
        <v>16377</v>
      </c>
      <c r="C1134" s="3">
        <f>IF(B1134="","",SUMIFS('Factory Costs'!$C:$C,'Factory Costs'!$A:$A,"Frame",'Factory Costs'!$B:$B,B1134))</f>
        <v>39</v>
      </c>
    </row>
    <row r="1135" spans="1:3" x14ac:dyDescent="0.25">
      <c r="A1135" s="1" t="s">
        <v>9958</v>
      </c>
      <c r="B1135" s="1" t="s">
        <v>16377</v>
      </c>
      <c r="C1135" s="3">
        <f>IF(B1135="","",SUMIFS('Factory Costs'!$C:$C,'Factory Costs'!$A:$A,"Frame",'Factory Costs'!$B:$B,B1135))</f>
        <v>39</v>
      </c>
    </row>
    <row r="1136" spans="1:3" x14ac:dyDescent="0.25">
      <c r="A1136" s="1" t="s">
        <v>9961</v>
      </c>
      <c r="B1136" s="1" t="s">
        <v>16377</v>
      </c>
      <c r="C1136" s="3">
        <f>IF(B1136="","",SUMIFS('Factory Costs'!$C:$C,'Factory Costs'!$A:$A,"Frame",'Factory Costs'!$B:$B,B1136))</f>
        <v>39</v>
      </c>
    </row>
    <row r="1137" spans="1:3" x14ac:dyDescent="0.25">
      <c r="A1137" s="1" t="s">
        <v>9964</v>
      </c>
      <c r="B1137" s="1" t="s">
        <v>16377</v>
      </c>
      <c r="C1137" s="3">
        <f>IF(B1137="","",SUMIFS('Factory Costs'!$C:$C,'Factory Costs'!$A:$A,"Frame",'Factory Costs'!$B:$B,B1137))</f>
        <v>39</v>
      </c>
    </row>
    <row r="1138" spans="1:3" x14ac:dyDescent="0.25">
      <c r="A1138" s="1" t="s">
        <v>9967</v>
      </c>
      <c r="B1138" s="1" t="s">
        <v>16377</v>
      </c>
      <c r="C1138" s="3">
        <f>IF(B1138="","",SUMIFS('Factory Costs'!$C:$C,'Factory Costs'!$A:$A,"Frame",'Factory Costs'!$B:$B,B1138))</f>
        <v>39</v>
      </c>
    </row>
    <row r="1139" spans="1:3" x14ac:dyDescent="0.25">
      <c r="A1139" s="1" t="s">
        <v>9970</v>
      </c>
      <c r="B1139" s="1" t="s">
        <v>16377</v>
      </c>
      <c r="C1139" s="3">
        <f>IF(B1139="","",SUMIFS('Factory Costs'!$C:$C,'Factory Costs'!$A:$A,"Frame",'Factory Costs'!$B:$B,B1139))</f>
        <v>39</v>
      </c>
    </row>
    <row r="1140" spans="1:3" x14ac:dyDescent="0.25">
      <c r="A1140" s="1" t="s">
        <v>9973</v>
      </c>
      <c r="B1140" s="1" t="s">
        <v>16378</v>
      </c>
      <c r="C1140" s="3">
        <f>IF(B1140="","",SUMIFS('Factory Costs'!$C:$C,'Factory Costs'!$A:$A,"Frame",'Factory Costs'!$B:$B,B1140))</f>
        <v>52</v>
      </c>
    </row>
    <row r="1141" spans="1:3" x14ac:dyDescent="0.25">
      <c r="A1141" s="1" t="s">
        <v>9976</v>
      </c>
      <c r="B1141" s="1" t="s">
        <v>16379</v>
      </c>
      <c r="C1141" s="3">
        <f>IF(B1141="","",SUMIFS('Factory Costs'!$C:$C,'Factory Costs'!$A:$A,"Frame",'Factory Costs'!$B:$B,B1141))</f>
        <v>45</v>
      </c>
    </row>
    <row r="1142" spans="1:3" x14ac:dyDescent="0.25">
      <c r="A1142" s="1" t="s">
        <v>9979</v>
      </c>
      <c r="B1142" s="1" t="s">
        <v>16378</v>
      </c>
      <c r="C1142" s="3">
        <f>IF(B1142="","",SUMIFS('Factory Costs'!$C:$C,'Factory Costs'!$A:$A,"Frame",'Factory Costs'!$B:$B,B1142))</f>
        <v>52</v>
      </c>
    </row>
    <row r="1143" spans="1:3" x14ac:dyDescent="0.25">
      <c r="A1143" s="1" t="s">
        <v>9982</v>
      </c>
      <c r="B1143" s="1" t="s">
        <v>16379</v>
      </c>
      <c r="C1143" s="3">
        <f>IF(B1143="","",SUMIFS('Factory Costs'!$C:$C,'Factory Costs'!$A:$A,"Frame",'Factory Costs'!$B:$B,B1143))</f>
        <v>45</v>
      </c>
    </row>
    <row r="1144" spans="1:3" x14ac:dyDescent="0.25">
      <c r="A1144" s="1" t="s">
        <v>9985</v>
      </c>
      <c r="B1144" s="1" t="s">
        <v>16377</v>
      </c>
      <c r="C1144" s="3">
        <f>IF(B1144="","",SUMIFS('Factory Costs'!$C:$C,'Factory Costs'!$A:$A,"Frame",'Factory Costs'!$B:$B,B1144))</f>
        <v>39</v>
      </c>
    </row>
    <row r="1145" spans="1:3" x14ac:dyDescent="0.25">
      <c r="A1145" s="1" t="s">
        <v>9988</v>
      </c>
      <c r="B1145" s="1" t="s">
        <v>16377</v>
      </c>
      <c r="C1145" s="3">
        <f>IF(B1145="","",SUMIFS('Factory Costs'!$C:$C,'Factory Costs'!$A:$A,"Frame",'Factory Costs'!$B:$B,B1145))</f>
        <v>39</v>
      </c>
    </row>
    <row r="1146" spans="1:3" x14ac:dyDescent="0.25">
      <c r="A1146" s="1" t="s">
        <v>9991</v>
      </c>
      <c r="B1146" s="1" t="s">
        <v>16378</v>
      </c>
      <c r="C1146" s="3">
        <f>IF(B1146="","",SUMIFS('Factory Costs'!$C:$C,'Factory Costs'!$A:$A,"Frame",'Factory Costs'!$B:$B,B1146))</f>
        <v>52</v>
      </c>
    </row>
    <row r="1147" spans="1:3" x14ac:dyDescent="0.25">
      <c r="A1147" s="1" t="s">
        <v>9994</v>
      </c>
      <c r="B1147" s="1" t="s">
        <v>16377</v>
      </c>
      <c r="C1147" s="3">
        <f>IF(B1147="","",SUMIFS('Factory Costs'!$C:$C,'Factory Costs'!$A:$A,"Frame",'Factory Costs'!$B:$B,B1147))</f>
        <v>39</v>
      </c>
    </row>
    <row r="1148" spans="1:3" x14ac:dyDescent="0.25">
      <c r="A1148" s="1" t="s">
        <v>9997</v>
      </c>
      <c r="B1148" s="1" t="s">
        <v>16378</v>
      </c>
      <c r="C1148" s="3">
        <f>IF(B1148="","",SUMIFS('Factory Costs'!$C:$C,'Factory Costs'!$A:$A,"Frame",'Factory Costs'!$B:$B,B1148))</f>
        <v>52</v>
      </c>
    </row>
    <row r="1149" spans="1:3" x14ac:dyDescent="0.25">
      <c r="A1149" s="1" t="s">
        <v>10000</v>
      </c>
      <c r="B1149" s="1" t="s">
        <v>16379</v>
      </c>
      <c r="C1149" s="3">
        <f>IF(B1149="","",SUMIFS('Factory Costs'!$C:$C,'Factory Costs'!$A:$A,"Frame",'Factory Costs'!$B:$B,B1149))</f>
        <v>45</v>
      </c>
    </row>
    <row r="1150" spans="1:3" x14ac:dyDescent="0.25">
      <c r="A1150" s="1" t="s">
        <v>10003</v>
      </c>
      <c r="B1150" s="1" t="s">
        <v>16378</v>
      </c>
      <c r="C1150" s="3">
        <f>IF(B1150="","",SUMIFS('Factory Costs'!$C:$C,'Factory Costs'!$A:$A,"Frame",'Factory Costs'!$B:$B,B1150))</f>
        <v>52</v>
      </c>
    </row>
    <row r="1151" spans="1:3" x14ac:dyDescent="0.25">
      <c r="A1151" s="1" t="s">
        <v>10006</v>
      </c>
      <c r="B1151" s="1" t="s">
        <v>16378</v>
      </c>
      <c r="C1151" s="3">
        <f>IF(B1151="","",SUMIFS('Factory Costs'!$C:$C,'Factory Costs'!$A:$A,"Frame",'Factory Costs'!$B:$B,B1151))</f>
        <v>52</v>
      </c>
    </row>
    <row r="1152" spans="1:3" x14ac:dyDescent="0.25">
      <c r="A1152" s="1" t="s">
        <v>10009</v>
      </c>
      <c r="B1152" s="1" t="s">
        <v>16377</v>
      </c>
      <c r="C1152" s="3">
        <f>IF(B1152="","",SUMIFS('Factory Costs'!$C:$C,'Factory Costs'!$A:$A,"Frame",'Factory Costs'!$B:$B,B1152))</f>
        <v>39</v>
      </c>
    </row>
    <row r="1153" spans="1:3" x14ac:dyDescent="0.25">
      <c r="A1153" s="1" t="s">
        <v>10012</v>
      </c>
      <c r="B1153" s="1" t="s">
        <v>16379</v>
      </c>
      <c r="C1153" s="3">
        <f>IF(B1153="","",SUMIFS('Factory Costs'!$C:$C,'Factory Costs'!$A:$A,"Frame",'Factory Costs'!$B:$B,B1153))</f>
        <v>45</v>
      </c>
    </row>
    <row r="1154" spans="1:3" x14ac:dyDescent="0.25">
      <c r="A1154" s="1" t="s">
        <v>10015</v>
      </c>
      <c r="B1154" s="1" t="s">
        <v>16377</v>
      </c>
      <c r="C1154" s="3">
        <f>IF(B1154="","",SUMIFS('Factory Costs'!$C:$C,'Factory Costs'!$A:$A,"Frame",'Factory Costs'!$B:$B,B1154))</f>
        <v>39</v>
      </c>
    </row>
    <row r="1155" spans="1:3" x14ac:dyDescent="0.25">
      <c r="A1155" s="1" t="s">
        <v>10018</v>
      </c>
      <c r="B1155" s="1" t="s">
        <v>16377</v>
      </c>
      <c r="C1155" s="3">
        <f>IF(B1155="","",SUMIFS('Factory Costs'!$C:$C,'Factory Costs'!$A:$A,"Frame",'Factory Costs'!$B:$B,B1155))</f>
        <v>39</v>
      </c>
    </row>
    <row r="1156" spans="1:3" x14ac:dyDescent="0.25">
      <c r="A1156" s="1" t="s">
        <v>10021</v>
      </c>
      <c r="B1156" s="1" t="s">
        <v>16377</v>
      </c>
      <c r="C1156" s="3">
        <f>IF(B1156="","",SUMIFS('Factory Costs'!$C:$C,'Factory Costs'!$A:$A,"Frame",'Factory Costs'!$B:$B,B1156))</f>
        <v>39</v>
      </c>
    </row>
    <row r="1157" spans="1:3" x14ac:dyDescent="0.25">
      <c r="A1157" s="1" t="s">
        <v>10024</v>
      </c>
      <c r="B1157" s="1" t="s">
        <v>16377</v>
      </c>
      <c r="C1157" s="3">
        <f>IF(B1157="","",SUMIFS('Factory Costs'!$C:$C,'Factory Costs'!$A:$A,"Frame",'Factory Costs'!$B:$B,B1157))</f>
        <v>39</v>
      </c>
    </row>
    <row r="1158" spans="1:3" x14ac:dyDescent="0.25">
      <c r="A1158" s="1" t="s">
        <v>10027</v>
      </c>
      <c r="B1158" s="1" t="s">
        <v>16378</v>
      </c>
      <c r="C1158" s="3">
        <f>IF(B1158="","",SUMIFS('Factory Costs'!$C:$C,'Factory Costs'!$A:$A,"Frame",'Factory Costs'!$B:$B,B1158))</f>
        <v>52</v>
      </c>
    </row>
    <row r="1159" spans="1:3" x14ac:dyDescent="0.25">
      <c r="A1159" s="1" t="s">
        <v>10030</v>
      </c>
      <c r="B1159" s="1" t="s">
        <v>16377</v>
      </c>
      <c r="C1159" s="3">
        <f>IF(B1159="","",SUMIFS('Factory Costs'!$C:$C,'Factory Costs'!$A:$A,"Frame",'Factory Costs'!$B:$B,B1159))</f>
        <v>39</v>
      </c>
    </row>
    <row r="1160" spans="1:3" x14ac:dyDescent="0.25">
      <c r="A1160" s="1" t="s">
        <v>10033</v>
      </c>
      <c r="B1160" s="1" t="s">
        <v>16377</v>
      </c>
      <c r="C1160" s="3">
        <f>IF(B1160="","",SUMIFS('Factory Costs'!$C:$C,'Factory Costs'!$A:$A,"Frame",'Factory Costs'!$B:$B,B1160))</f>
        <v>39</v>
      </c>
    </row>
    <row r="1161" spans="1:3" x14ac:dyDescent="0.25">
      <c r="A1161" s="1" t="s">
        <v>10036</v>
      </c>
      <c r="B1161" s="1" t="s">
        <v>16378</v>
      </c>
      <c r="C1161" s="3">
        <f>IF(B1161="","",SUMIFS('Factory Costs'!$C:$C,'Factory Costs'!$A:$A,"Frame",'Factory Costs'!$B:$B,B1161))</f>
        <v>52</v>
      </c>
    </row>
    <row r="1162" spans="1:3" x14ac:dyDescent="0.25">
      <c r="A1162" s="1" t="s">
        <v>10039</v>
      </c>
      <c r="B1162" s="1" t="s">
        <v>16379</v>
      </c>
      <c r="C1162" s="3">
        <f>IF(B1162="","",SUMIFS('Factory Costs'!$C:$C,'Factory Costs'!$A:$A,"Frame",'Factory Costs'!$B:$B,B1162))</f>
        <v>45</v>
      </c>
    </row>
    <row r="1163" spans="1:3" x14ac:dyDescent="0.25">
      <c r="A1163" s="1" t="s">
        <v>10042</v>
      </c>
      <c r="B1163" s="1" t="s">
        <v>16378</v>
      </c>
      <c r="C1163" s="3">
        <f>IF(B1163="","",SUMIFS('Factory Costs'!$C:$C,'Factory Costs'!$A:$A,"Frame",'Factory Costs'!$B:$B,B1163))</f>
        <v>52</v>
      </c>
    </row>
    <row r="1164" spans="1:3" x14ac:dyDescent="0.25">
      <c r="A1164" s="1" t="s">
        <v>10045</v>
      </c>
      <c r="B1164" s="1" t="s">
        <v>16377</v>
      </c>
      <c r="C1164" s="3">
        <f>IF(B1164="","",SUMIFS('Factory Costs'!$C:$C,'Factory Costs'!$A:$A,"Frame",'Factory Costs'!$B:$B,B1164))</f>
        <v>39</v>
      </c>
    </row>
    <row r="1165" spans="1:3" x14ac:dyDescent="0.25">
      <c r="A1165" s="1" t="s">
        <v>10048</v>
      </c>
      <c r="B1165" s="1" t="s">
        <v>16379</v>
      </c>
      <c r="C1165" s="3">
        <f>IF(B1165="","",SUMIFS('Factory Costs'!$C:$C,'Factory Costs'!$A:$A,"Frame",'Factory Costs'!$B:$B,B1165))</f>
        <v>45</v>
      </c>
    </row>
    <row r="1166" spans="1:3" x14ac:dyDescent="0.25">
      <c r="A1166" s="1" t="s">
        <v>10051</v>
      </c>
      <c r="B1166" s="1" t="s">
        <v>16379</v>
      </c>
      <c r="C1166" s="3">
        <f>IF(B1166="","",SUMIFS('Factory Costs'!$C:$C,'Factory Costs'!$A:$A,"Frame",'Factory Costs'!$B:$B,B1166))</f>
        <v>45</v>
      </c>
    </row>
    <row r="1167" spans="1:3" x14ac:dyDescent="0.25">
      <c r="A1167" s="1" t="s">
        <v>10054</v>
      </c>
      <c r="B1167" s="1" t="s">
        <v>16377</v>
      </c>
      <c r="C1167" s="3">
        <f>IF(B1167="","",SUMIFS('Factory Costs'!$C:$C,'Factory Costs'!$A:$A,"Frame",'Factory Costs'!$B:$B,B1167))</f>
        <v>39</v>
      </c>
    </row>
    <row r="1168" spans="1:3" x14ac:dyDescent="0.25">
      <c r="A1168" s="1" t="s">
        <v>10057</v>
      </c>
      <c r="B1168" s="1" t="s">
        <v>16377</v>
      </c>
      <c r="C1168" s="3">
        <f>IF(B1168="","",SUMIFS('Factory Costs'!$C:$C,'Factory Costs'!$A:$A,"Frame",'Factory Costs'!$B:$B,B1168))</f>
        <v>39</v>
      </c>
    </row>
    <row r="1169" spans="1:3" x14ac:dyDescent="0.25">
      <c r="A1169" s="1" t="s">
        <v>10060</v>
      </c>
      <c r="B1169" s="1" t="s">
        <v>16379</v>
      </c>
      <c r="C1169" s="3">
        <f>IF(B1169="","",SUMIFS('Factory Costs'!$C:$C,'Factory Costs'!$A:$A,"Frame",'Factory Costs'!$B:$B,B1169))</f>
        <v>45</v>
      </c>
    </row>
    <row r="1170" spans="1:3" x14ac:dyDescent="0.25">
      <c r="A1170" s="1" t="s">
        <v>10063</v>
      </c>
      <c r="B1170" s="1" t="s">
        <v>16379</v>
      </c>
      <c r="C1170" s="3">
        <f>IF(B1170="","",SUMIFS('Factory Costs'!$C:$C,'Factory Costs'!$A:$A,"Frame",'Factory Costs'!$B:$B,B1170))</f>
        <v>45</v>
      </c>
    </row>
    <row r="1171" spans="1:3" x14ac:dyDescent="0.25">
      <c r="A1171" s="1" t="s">
        <v>10066</v>
      </c>
      <c r="B1171" s="1" t="s">
        <v>16378</v>
      </c>
      <c r="C1171" s="3">
        <f>IF(B1171="","",SUMIFS('Factory Costs'!$C:$C,'Factory Costs'!$A:$A,"Frame",'Factory Costs'!$B:$B,B1171))</f>
        <v>52</v>
      </c>
    </row>
    <row r="1172" spans="1:3" x14ac:dyDescent="0.25">
      <c r="A1172" s="1" t="s">
        <v>10069</v>
      </c>
      <c r="B1172" s="1" t="s">
        <v>16377</v>
      </c>
      <c r="C1172" s="3">
        <f>IF(B1172="","",SUMIFS('Factory Costs'!$C:$C,'Factory Costs'!$A:$A,"Frame",'Factory Costs'!$B:$B,B1172))</f>
        <v>39</v>
      </c>
    </row>
    <row r="1173" spans="1:3" x14ac:dyDescent="0.25">
      <c r="A1173" s="1" t="s">
        <v>10072</v>
      </c>
      <c r="B1173" s="1" t="s">
        <v>16377</v>
      </c>
      <c r="C1173" s="3">
        <f>IF(B1173="","",SUMIFS('Factory Costs'!$C:$C,'Factory Costs'!$A:$A,"Frame",'Factory Costs'!$B:$B,B1173))</f>
        <v>39</v>
      </c>
    </row>
    <row r="1174" spans="1:3" x14ac:dyDescent="0.25">
      <c r="A1174" s="1" t="s">
        <v>10075</v>
      </c>
      <c r="B1174" s="1" t="s">
        <v>16378</v>
      </c>
      <c r="C1174" s="3">
        <f>IF(B1174="","",SUMIFS('Factory Costs'!$C:$C,'Factory Costs'!$A:$A,"Frame",'Factory Costs'!$B:$B,B1174))</f>
        <v>52</v>
      </c>
    </row>
    <row r="1175" spans="1:3" x14ac:dyDescent="0.25">
      <c r="A1175" s="1" t="s">
        <v>10078</v>
      </c>
      <c r="B1175" s="1" t="s">
        <v>16377</v>
      </c>
      <c r="C1175" s="3">
        <f>IF(B1175="","",SUMIFS('Factory Costs'!$C:$C,'Factory Costs'!$A:$A,"Frame",'Factory Costs'!$B:$B,B1175))</f>
        <v>39</v>
      </c>
    </row>
    <row r="1176" spans="1:3" x14ac:dyDescent="0.25">
      <c r="A1176" s="1" t="s">
        <v>10081</v>
      </c>
      <c r="B1176" s="1" t="s">
        <v>16378</v>
      </c>
      <c r="C1176" s="3">
        <f>IF(B1176="","",SUMIFS('Factory Costs'!$C:$C,'Factory Costs'!$A:$A,"Frame",'Factory Costs'!$B:$B,B1176))</f>
        <v>52</v>
      </c>
    </row>
    <row r="1177" spans="1:3" x14ac:dyDescent="0.25">
      <c r="A1177" s="1" t="s">
        <v>10084</v>
      </c>
      <c r="B1177" s="1" t="s">
        <v>16379</v>
      </c>
      <c r="C1177" s="3">
        <f>IF(B1177="","",SUMIFS('Factory Costs'!$C:$C,'Factory Costs'!$A:$A,"Frame",'Factory Costs'!$B:$B,B1177))</f>
        <v>45</v>
      </c>
    </row>
    <row r="1178" spans="1:3" x14ac:dyDescent="0.25">
      <c r="A1178" s="1" t="s">
        <v>10087</v>
      </c>
      <c r="B1178" s="1" t="s">
        <v>16379</v>
      </c>
      <c r="C1178" s="3">
        <f>IF(B1178="","",SUMIFS('Factory Costs'!$C:$C,'Factory Costs'!$A:$A,"Frame",'Factory Costs'!$B:$B,B1178))</f>
        <v>45</v>
      </c>
    </row>
    <row r="1179" spans="1:3" x14ac:dyDescent="0.25">
      <c r="A1179" s="1" t="s">
        <v>10090</v>
      </c>
      <c r="B1179" s="1" t="s">
        <v>16379</v>
      </c>
      <c r="C1179" s="3">
        <f>IF(B1179="","",SUMIFS('Factory Costs'!$C:$C,'Factory Costs'!$A:$A,"Frame",'Factory Costs'!$B:$B,B1179))</f>
        <v>45</v>
      </c>
    </row>
    <row r="1180" spans="1:3" x14ac:dyDescent="0.25">
      <c r="A1180" s="1" t="s">
        <v>10093</v>
      </c>
      <c r="B1180" s="1" t="s">
        <v>16377</v>
      </c>
      <c r="C1180" s="3">
        <f>IF(B1180="","",SUMIFS('Factory Costs'!$C:$C,'Factory Costs'!$A:$A,"Frame",'Factory Costs'!$B:$B,B1180))</f>
        <v>39</v>
      </c>
    </row>
    <row r="1181" spans="1:3" x14ac:dyDescent="0.25">
      <c r="A1181" s="1" t="s">
        <v>10096</v>
      </c>
      <c r="B1181" s="1" t="s">
        <v>16378</v>
      </c>
      <c r="C1181" s="3">
        <f>IF(B1181="","",SUMIFS('Factory Costs'!$C:$C,'Factory Costs'!$A:$A,"Frame",'Factory Costs'!$B:$B,B1181))</f>
        <v>52</v>
      </c>
    </row>
    <row r="1182" spans="1:3" x14ac:dyDescent="0.25">
      <c r="A1182" s="1" t="s">
        <v>10099</v>
      </c>
      <c r="B1182" s="1" t="s">
        <v>16379</v>
      </c>
      <c r="C1182" s="3">
        <f>IF(B1182="","",SUMIFS('Factory Costs'!$C:$C,'Factory Costs'!$A:$A,"Frame",'Factory Costs'!$B:$B,B1182))</f>
        <v>45</v>
      </c>
    </row>
    <row r="1183" spans="1:3" x14ac:dyDescent="0.25">
      <c r="A1183" s="1" t="s">
        <v>10102</v>
      </c>
      <c r="B1183" s="1" t="s">
        <v>16378</v>
      </c>
      <c r="C1183" s="3">
        <f>IF(B1183="","",SUMIFS('Factory Costs'!$C:$C,'Factory Costs'!$A:$A,"Frame",'Factory Costs'!$B:$B,B1183))</f>
        <v>52</v>
      </c>
    </row>
    <row r="1184" spans="1:3" x14ac:dyDescent="0.25">
      <c r="A1184" s="1" t="s">
        <v>10105</v>
      </c>
      <c r="B1184" s="1" t="s">
        <v>16379</v>
      </c>
      <c r="C1184" s="3">
        <f>IF(B1184="","",SUMIFS('Factory Costs'!$C:$C,'Factory Costs'!$A:$A,"Frame",'Factory Costs'!$B:$B,B1184))</f>
        <v>45</v>
      </c>
    </row>
    <row r="1185" spans="1:3" x14ac:dyDescent="0.25">
      <c r="A1185" s="1" t="s">
        <v>10108</v>
      </c>
      <c r="B1185" s="1" t="s">
        <v>16377</v>
      </c>
      <c r="C1185" s="3">
        <f>IF(B1185="","",SUMIFS('Factory Costs'!$C:$C,'Factory Costs'!$A:$A,"Frame",'Factory Costs'!$B:$B,B1185))</f>
        <v>39</v>
      </c>
    </row>
    <row r="1186" spans="1:3" x14ac:dyDescent="0.25">
      <c r="A1186" s="1" t="s">
        <v>10111</v>
      </c>
      <c r="B1186" s="1" t="s">
        <v>16377</v>
      </c>
      <c r="C1186" s="3">
        <f>IF(B1186="","",SUMIFS('Factory Costs'!$C:$C,'Factory Costs'!$A:$A,"Frame",'Factory Costs'!$B:$B,B1186))</f>
        <v>39</v>
      </c>
    </row>
    <row r="1187" spans="1:3" x14ac:dyDescent="0.25">
      <c r="A1187" s="1" t="s">
        <v>10114</v>
      </c>
      <c r="B1187" s="1" t="s">
        <v>16378</v>
      </c>
      <c r="C1187" s="3">
        <f>IF(B1187="","",SUMIFS('Factory Costs'!$C:$C,'Factory Costs'!$A:$A,"Frame",'Factory Costs'!$B:$B,B1187))</f>
        <v>52</v>
      </c>
    </row>
    <row r="1188" spans="1:3" x14ac:dyDescent="0.25">
      <c r="A1188" s="1" t="s">
        <v>10117</v>
      </c>
      <c r="B1188" s="1" t="s">
        <v>16379</v>
      </c>
      <c r="C1188" s="3">
        <f>IF(B1188="","",SUMIFS('Factory Costs'!$C:$C,'Factory Costs'!$A:$A,"Frame",'Factory Costs'!$B:$B,B1188))</f>
        <v>45</v>
      </c>
    </row>
    <row r="1189" spans="1:3" x14ac:dyDescent="0.25">
      <c r="A1189" s="1" t="s">
        <v>10120</v>
      </c>
      <c r="B1189" s="1" t="s">
        <v>16378</v>
      </c>
      <c r="C1189" s="3">
        <f>IF(B1189="","",SUMIFS('Factory Costs'!$C:$C,'Factory Costs'!$A:$A,"Frame",'Factory Costs'!$B:$B,B1189))</f>
        <v>52</v>
      </c>
    </row>
    <row r="1190" spans="1:3" x14ac:dyDescent="0.25">
      <c r="A1190" s="1" t="s">
        <v>10123</v>
      </c>
      <c r="B1190" s="1" t="s">
        <v>16377</v>
      </c>
      <c r="C1190" s="3">
        <f>IF(B1190="","",SUMIFS('Factory Costs'!$C:$C,'Factory Costs'!$A:$A,"Frame",'Factory Costs'!$B:$B,B1190))</f>
        <v>39</v>
      </c>
    </row>
    <row r="1191" spans="1:3" x14ac:dyDescent="0.25">
      <c r="A1191" s="1" t="s">
        <v>10126</v>
      </c>
      <c r="B1191" s="1" t="s">
        <v>16379</v>
      </c>
      <c r="C1191" s="3">
        <f>IF(B1191="","",SUMIFS('Factory Costs'!$C:$C,'Factory Costs'!$A:$A,"Frame",'Factory Costs'!$B:$B,B1191))</f>
        <v>45</v>
      </c>
    </row>
    <row r="1192" spans="1:3" x14ac:dyDescent="0.25">
      <c r="A1192" s="1" t="s">
        <v>10129</v>
      </c>
      <c r="B1192" s="1" t="s">
        <v>16377</v>
      </c>
      <c r="C1192" s="3">
        <f>IF(B1192="","",SUMIFS('Factory Costs'!$C:$C,'Factory Costs'!$A:$A,"Frame",'Factory Costs'!$B:$B,B1192))</f>
        <v>39</v>
      </c>
    </row>
    <row r="1193" spans="1:3" x14ac:dyDescent="0.25">
      <c r="A1193" s="1" t="s">
        <v>10132</v>
      </c>
      <c r="B1193" s="1" t="s">
        <v>16378</v>
      </c>
      <c r="C1193" s="3">
        <f>IF(B1193="","",SUMIFS('Factory Costs'!$C:$C,'Factory Costs'!$A:$A,"Frame",'Factory Costs'!$B:$B,B1193))</f>
        <v>52</v>
      </c>
    </row>
    <row r="1194" spans="1:3" x14ac:dyDescent="0.25">
      <c r="A1194" s="1" t="s">
        <v>10135</v>
      </c>
      <c r="B1194" s="1" t="s">
        <v>16379</v>
      </c>
      <c r="C1194" s="3">
        <f>IF(B1194="","",SUMIFS('Factory Costs'!$C:$C,'Factory Costs'!$A:$A,"Frame",'Factory Costs'!$B:$B,B1194))</f>
        <v>45</v>
      </c>
    </row>
    <row r="1195" spans="1:3" x14ac:dyDescent="0.25">
      <c r="A1195" s="1" t="s">
        <v>10138</v>
      </c>
      <c r="B1195" s="1" t="s">
        <v>16378</v>
      </c>
      <c r="C1195" s="3">
        <f>IF(B1195="","",SUMIFS('Factory Costs'!$C:$C,'Factory Costs'!$A:$A,"Frame",'Factory Costs'!$B:$B,B1195))</f>
        <v>52</v>
      </c>
    </row>
    <row r="1196" spans="1:3" x14ac:dyDescent="0.25">
      <c r="A1196" s="1" t="s">
        <v>10141</v>
      </c>
      <c r="B1196" s="1" t="s">
        <v>16379</v>
      </c>
      <c r="C1196" s="3">
        <f>IF(B1196="","",SUMIFS('Factory Costs'!$C:$C,'Factory Costs'!$A:$A,"Frame",'Factory Costs'!$B:$B,B1196))</f>
        <v>45</v>
      </c>
    </row>
    <row r="1197" spans="1:3" x14ac:dyDescent="0.25">
      <c r="A1197" s="1" t="s">
        <v>10144</v>
      </c>
      <c r="B1197" s="1" t="s">
        <v>16378</v>
      </c>
      <c r="C1197" s="3">
        <f>IF(B1197="","",SUMIFS('Factory Costs'!$C:$C,'Factory Costs'!$A:$A,"Frame",'Factory Costs'!$B:$B,B1197))</f>
        <v>52</v>
      </c>
    </row>
    <row r="1198" spans="1:3" x14ac:dyDescent="0.25">
      <c r="A1198" s="1" t="s">
        <v>10147</v>
      </c>
      <c r="B1198" s="1" t="s">
        <v>16378</v>
      </c>
      <c r="C1198" s="3">
        <f>IF(B1198="","",SUMIFS('Factory Costs'!$C:$C,'Factory Costs'!$A:$A,"Frame",'Factory Costs'!$B:$B,B1198))</f>
        <v>52</v>
      </c>
    </row>
    <row r="1199" spans="1:3" x14ac:dyDescent="0.25">
      <c r="A1199" s="1" t="s">
        <v>10150</v>
      </c>
      <c r="B1199" s="1" t="s">
        <v>16379</v>
      </c>
      <c r="C1199" s="3">
        <f>IF(B1199="","",SUMIFS('Factory Costs'!$C:$C,'Factory Costs'!$A:$A,"Frame",'Factory Costs'!$B:$B,B1199))</f>
        <v>45</v>
      </c>
    </row>
    <row r="1200" spans="1:3" x14ac:dyDescent="0.25">
      <c r="A1200" s="1" t="s">
        <v>10153</v>
      </c>
      <c r="B1200" s="1" t="s">
        <v>16378</v>
      </c>
      <c r="C1200" s="3">
        <f>IF(B1200="","",SUMIFS('Factory Costs'!$C:$C,'Factory Costs'!$A:$A,"Frame",'Factory Costs'!$B:$B,B1200))</f>
        <v>52</v>
      </c>
    </row>
    <row r="1201" spans="1:3" x14ac:dyDescent="0.25">
      <c r="A1201" s="1" t="s">
        <v>10156</v>
      </c>
      <c r="B1201" s="1" t="s">
        <v>16377</v>
      </c>
      <c r="C1201" s="3">
        <f>IF(B1201="","",SUMIFS('Factory Costs'!$C:$C,'Factory Costs'!$A:$A,"Frame",'Factory Costs'!$B:$B,B1201))</f>
        <v>39</v>
      </c>
    </row>
    <row r="1202" spans="1:3" x14ac:dyDescent="0.25">
      <c r="A1202" s="1" t="s">
        <v>10159</v>
      </c>
      <c r="B1202" s="1" t="s">
        <v>16377</v>
      </c>
      <c r="C1202" s="3">
        <f>IF(B1202="","",SUMIFS('Factory Costs'!$C:$C,'Factory Costs'!$A:$A,"Frame",'Factory Costs'!$B:$B,B1202))</f>
        <v>39</v>
      </c>
    </row>
    <row r="1203" spans="1:3" x14ac:dyDescent="0.25">
      <c r="A1203" s="1" t="s">
        <v>10162</v>
      </c>
      <c r="B1203" s="1" t="s">
        <v>16379</v>
      </c>
      <c r="C1203" s="3">
        <f>IF(B1203="","",SUMIFS('Factory Costs'!$C:$C,'Factory Costs'!$A:$A,"Frame",'Factory Costs'!$B:$B,B1203))</f>
        <v>45</v>
      </c>
    </row>
    <row r="1204" spans="1:3" x14ac:dyDescent="0.25">
      <c r="A1204" s="1" t="s">
        <v>10165</v>
      </c>
      <c r="B1204" s="1" t="s">
        <v>16379</v>
      </c>
      <c r="C1204" s="3">
        <f>IF(B1204="","",SUMIFS('Factory Costs'!$C:$C,'Factory Costs'!$A:$A,"Frame",'Factory Costs'!$B:$B,B1204))</f>
        <v>45</v>
      </c>
    </row>
    <row r="1205" spans="1:3" x14ac:dyDescent="0.25">
      <c r="A1205" s="1" t="s">
        <v>10168</v>
      </c>
      <c r="B1205" s="1" t="s">
        <v>16377</v>
      </c>
      <c r="C1205" s="3">
        <f>IF(B1205="","",SUMIFS('Factory Costs'!$C:$C,'Factory Costs'!$A:$A,"Frame",'Factory Costs'!$B:$B,B1205))</f>
        <v>39</v>
      </c>
    </row>
    <row r="1206" spans="1:3" x14ac:dyDescent="0.25">
      <c r="A1206" s="1" t="s">
        <v>10171</v>
      </c>
      <c r="B1206" s="1" t="s">
        <v>16377</v>
      </c>
      <c r="C1206" s="3">
        <f>IF(B1206="","",SUMIFS('Factory Costs'!$C:$C,'Factory Costs'!$A:$A,"Frame",'Factory Costs'!$B:$B,B1206))</f>
        <v>39</v>
      </c>
    </row>
    <row r="1207" spans="1:3" x14ac:dyDescent="0.25">
      <c r="A1207" s="1" t="s">
        <v>10174</v>
      </c>
      <c r="B1207" s="1" t="s">
        <v>16377</v>
      </c>
      <c r="C1207" s="3">
        <f>IF(B1207="","",SUMIFS('Factory Costs'!$C:$C,'Factory Costs'!$A:$A,"Frame",'Factory Costs'!$B:$B,B1207))</f>
        <v>39</v>
      </c>
    </row>
    <row r="1208" spans="1:3" x14ac:dyDescent="0.25">
      <c r="A1208" s="1" t="s">
        <v>10177</v>
      </c>
      <c r="B1208" s="1" t="s">
        <v>16377</v>
      </c>
      <c r="C1208" s="3">
        <f>IF(B1208="","",SUMIFS('Factory Costs'!$C:$C,'Factory Costs'!$A:$A,"Frame",'Factory Costs'!$B:$B,B1208))</f>
        <v>39</v>
      </c>
    </row>
    <row r="1209" spans="1:3" x14ac:dyDescent="0.25">
      <c r="A1209" s="1" t="s">
        <v>10180</v>
      </c>
      <c r="B1209" s="1" t="s">
        <v>16379</v>
      </c>
      <c r="C1209" s="3">
        <f>IF(B1209="","",SUMIFS('Factory Costs'!$C:$C,'Factory Costs'!$A:$A,"Frame",'Factory Costs'!$B:$B,B1209))</f>
        <v>45</v>
      </c>
    </row>
    <row r="1210" spans="1:3" x14ac:dyDescent="0.25">
      <c r="A1210" s="1" t="s">
        <v>10183</v>
      </c>
      <c r="B1210" s="1" t="s">
        <v>16379</v>
      </c>
      <c r="C1210" s="3">
        <f>IF(B1210="","",SUMIFS('Factory Costs'!$C:$C,'Factory Costs'!$A:$A,"Frame",'Factory Costs'!$B:$B,B1210))</f>
        <v>45</v>
      </c>
    </row>
    <row r="1211" spans="1:3" x14ac:dyDescent="0.25">
      <c r="A1211" s="1" t="s">
        <v>10186</v>
      </c>
      <c r="B1211" s="1" t="s">
        <v>16379</v>
      </c>
      <c r="C1211" s="3">
        <f>IF(B1211="","",SUMIFS('Factory Costs'!$C:$C,'Factory Costs'!$A:$A,"Frame",'Factory Costs'!$B:$B,B1211))</f>
        <v>45</v>
      </c>
    </row>
    <row r="1212" spans="1:3" x14ac:dyDescent="0.25">
      <c r="A1212" s="1" t="s">
        <v>10189</v>
      </c>
      <c r="B1212" s="1" t="s">
        <v>16379</v>
      </c>
      <c r="C1212" s="3">
        <f>IF(B1212="","",SUMIFS('Factory Costs'!$C:$C,'Factory Costs'!$A:$A,"Frame",'Factory Costs'!$B:$B,B1212))</f>
        <v>45</v>
      </c>
    </row>
    <row r="1213" spans="1:3" x14ac:dyDescent="0.25">
      <c r="A1213" s="1" t="s">
        <v>10192</v>
      </c>
      <c r="B1213" s="1" t="s">
        <v>16377</v>
      </c>
      <c r="C1213" s="3">
        <f>IF(B1213="","",SUMIFS('Factory Costs'!$C:$C,'Factory Costs'!$A:$A,"Frame",'Factory Costs'!$B:$B,B1213))</f>
        <v>39</v>
      </c>
    </row>
    <row r="1214" spans="1:3" x14ac:dyDescent="0.25">
      <c r="A1214" s="1" t="s">
        <v>10195</v>
      </c>
      <c r="B1214" s="1" t="s">
        <v>16377</v>
      </c>
      <c r="C1214" s="3">
        <f>IF(B1214="","",SUMIFS('Factory Costs'!$C:$C,'Factory Costs'!$A:$A,"Frame",'Factory Costs'!$B:$B,B1214))</f>
        <v>39</v>
      </c>
    </row>
    <row r="1215" spans="1:3" x14ac:dyDescent="0.25">
      <c r="A1215" s="1" t="s">
        <v>10198</v>
      </c>
      <c r="B1215" s="1" t="s">
        <v>16379</v>
      </c>
      <c r="C1215" s="3">
        <f>IF(B1215="","",SUMIFS('Factory Costs'!$C:$C,'Factory Costs'!$A:$A,"Frame",'Factory Costs'!$B:$B,B1215))</f>
        <v>45</v>
      </c>
    </row>
    <row r="1216" spans="1:3" x14ac:dyDescent="0.25">
      <c r="A1216" s="1" t="s">
        <v>10201</v>
      </c>
      <c r="B1216" s="1" t="s">
        <v>16379</v>
      </c>
      <c r="C1216" s="3">
        <f>IF(B1216="","",SUMIFS('Factory Costs'!$C:$C,'Factory Costs'!$A:$A,"Frame",'Factory Costs'!$B:$B,B1216))</f>
        <v>45</v>
      </c>
    </row>
    <row r="1217" spans="1:3" x14ac:dyDescent="0.25">
      <c r="A1217" s="1" t="s">
        <v>10204</v>
      </c>
      <c r="B1217" s="1" t="s">
        <v>16378</v>
      </c>
      <c r="C1217" s="3">
        <f>IF(B1217="","",SUMIFS('Factory Costs'!$C:$C,'Factory Costs'!$A:$A,"Frame",'Factory Costs'!$B:$B,B1217))</f>
        <v>52</v>
      </c>
    </row>
    <row r="1218" spans="1:3" x14ac:dyDescent="0.25">
      <c r="A1218" s="1" t="s">
        <v>10207</v>
      </c>
      <c r="B1218" s="1" t="s">
        <v>16377</v>
      </c>
      <c r="C1218" s="3">
        <f>IF(B1218="","",SUMIFS('Factory Costs'!$C:$C,'Factory Costs'!$A:$A,"Frame",'Factory Costs'!$B:$B,B1218))</f>
        <v>39</v>
      </c>
    </row>
    <row r="1219" spans="1:3" x14ac:dyDescent="0.25">
      <c r="A1219" s="1" t="s">
        <v>10210</v>
      </c>
      <c r="B1219" s="1" t="s">
        <v>16377</v>
      </c>
      <c r="C1219" s="3">
        <f>IF(B1219="","",SUMIFS('Factory Costs'!$C:$C,'Factory Costs'!$A:$A,"Frame",'Factory Costs'!$B:$B,B1219))</f>
        <v>39</v>
      </c>
    </row>
    <row r="1220" spans="1:3" x14ac:dyDescent="0.25">
      <c r="A1220" s="1" t="s">
        <v>10213</v>
      </c>
      <c r="B1220" s="1" t="s">
        <v>16378</v>
      </c>
      <c r="C1220" s="3">
        <f>IF(B1220="","",SUMIFS('Factory Costs'!$C:$C,'Factory Costs'!$A:$A,"Frame",'Factory Costs'!$B:$B,B1220))</f>
        <v>52</v>
      </c>
    </row>
    <row r="1221" spans="1:3" x14ac:dyDescent="0.25">
      <c r="A1221" s="1" t="s">
        <v>10216</v>
      </c>
      <c r="B1221" s="1" t="s">
        <v>16379</v>
      </c>
      <c r="C1221" s="3">
        <f>IF(B1221="","",SUMIFS('Factory Costs'!$C:$C,'Factory Costs'!$A:$A,"Frame",'Factory Costs'!$B:$B,B1221))</f>
        <v>45</v>
      </c>
    </row>
    <row r="1222" spans="1:3" x14ac:dyDescent="0.25">
      <c r="A1222" s="1" t="s">
        <v>10219</v>
      </c>
      <c r="B1222" s="1" t="s">
        <v>16379</v>
      </c>
      <c r="C1222" s="3">
        <f>IF(B1222="","",SUMIFS('Factory Costs'!$C:$C,'Factory Costs'!$A:$A,"Frame",'Factory Costs'!$B:$B,B1222))</f>
        <v>45</v>
      </c>
    </row>
    <row r="1223" spans="1:3" x14ac:dyDescent="0.25">
      <c r="A1223" s="1" t="s">
        <v>10222</v>
      </c>
      <c r="B1223" s="1" t="s">
        <v>16379</v>
      </c>
      <c r="C1223" s="3">
        <f>IF(B1223="","",SUMIFS('Factory Costs'!$C:$C,'Factory Costs'!$A:$A,"Frame",'Factory Costs'!$B:$B,B1223))</f>
        <v>45</v>
      </c>
    </row>
    <row r="1224" spans="1:3" x14ac:dyDescent="0.25">
      <c r="A1224" s="1" t="s">
        <v>10225</v>
      </c>
      <c r="B1224" s="1" t="s">
        <v>16379</v>
      </c>
      <c r="C1224" s="3">
        <f>IF(B1224="","",SUMIFS('Factory Costs'!$C:$C,'Factory Costs'!$A:$A,"Frame",'Factory Costs'!$B:$B,B1224))</f>
        <v>45</v>
      </c>
    </row>
    <row r="1225" spans="1:3" x14ac:dyDescent="0.25">
      <c r="A1225" s="1" t="s">
        <v>10228</v>
      </c>
      <c r="B1225" s="1" t="s">
        <v>16379</v>
      </c>
      <c r="C1225" s="3">
        <f>IF(B1225="","",SUMIFS('Factory Costs'!$C:$C,'Factory Costs'!$A:$A,"Frame",'Factory Costs'!$B:$B,B1225))</f>
        <v>45</v>
      </c>
    </row>
    <row r="1226" spans="1:3" x14ac:dyDescent="0.25">
      <c r="A1226" s="1" t="s">
        <v>10231</v>
      </c>
      <c r="B1226" s="1" t="s">
        <v>16377</v>
      </c>
      <c r="C1226" s="3">
        <f>IF(B1226="","",SUMIFS('Factory Costs'!$C:$C,'Factory Costs'!$A:$A,"Frame",'Factory Costs'!$B:$B,B1226))</f>
        <v>39</v>
      </c>
    </row>
    <row r="1227" spans="1:3" x14ac:dyDescent="0.25">
      <c r="A1227" s="1" t="s">
        <v>10234</v>
      </c>
      <c r="B1227" s="1" t="s">
        <v>16379</v>
      </c>
      <c r="C1227" s="3">
        <f>IF(B1227="","",SUMIFS('Factory Costs'!$C:$C,'Factory Costs'!$A:$A,"Frame",'Factory Costs'!$B:$B,B1227))</f>
        <v>45</v>
      </c>
    </row>
    <row r="1228" spans="1:3" x14ac:dyDescent="0.25">
      <c r="A1228" s="1" t="s">
        <v>10237</v>
      </c>
      <c r="B1228" s="1" t="s">
        <v>16377</v>
      </c>
      <c r="C1228" s="3">
        <f>IF(B1228="","",SUMIFS('Factory Costs'!$C:$C,'Factory Costs'!$A:$A,"Frame",'Factory Costs'!$B:$B,B1228))</f>
        <v>39</v>
      </c>
    </row>
    <row r="1229" spans="1:3" x14ac:dyDescent="0.25">
      <c r="A1229" s="1" t="s">
        <v>10240</v>
      </c>
      <c r="B1229" s="1" t="s">
        <v>16379</v>
      </c>
      <c r="C1229" s="3">
        <f>IF(B1229="","",SUMIFS('Factory Costs'!$C:$C,'Factory Costs'!$A:$A,"Frame",'Factory Costs'!$B:$B,B1229))</f>
        <v>45</v>
      </c>
    </row>
    <row r="1230" spans="1:3" x14ac:dyDescent="0.25">
      <c r="A1230" s="1" t="s">
        <v>10243</v>
      </c>
      <c r="B1230" s="1" t="s">
        <v>16377</v>
      </c>
      <c r="C1230" s="3">
        <f>IF(B1230="","",SUMIFS('Factory Costs'!$C:$C,'Factory Costs'!$A:$A,"Frame",'Factory Costs'!$B:$B,B1230))</f>
        <v>39</v>
      </c>
    </row>
    <row r="1231" spans="1:3" x14ac:dyDescent="0.25">
      <c r="A1231" s="1" t="s">
        <v>10246</v>
      </c>
      <c r="B1231" s="1" t="s">
        <v>16378</v>
      </c>
      <c r="C1231" s="3">
        <f>IF(B1231="","",SUMIFS('Factory Costs'!$C:$C,'Factory Costs'!$A:$A,"Frame",'Factory Costs'!$B:$B,B1231))</f>
        <v>52</v>
      </c>
    </row>
    <row r="1232" spans="1:3" x14ac:dyDescent="0.25">
      <c r="A1232" s="1" t="s">
        <v>10249</v>
      </c>
      <c r="B1232" s="1" t="s">
        <v>16377</v>
      </c>
      <c r="C1232" s="3">
        <f>IF(B1232="","",SUMIFS('Factory Costs'!$C:$C,'Factory Costs'!$A:$A,"Frame",'Factory Costs'!$B:$B,B1232))</f>
        <v>39</v>
      </c>
    </row>
    <row r="1233" spans="1:3" x14ac:dyDescent="0.25">
      <c r="A1233" s="1" t="s">
        <v>10252</v>
      </c>
      <c r="B1233" s="1" t="s">
        <v>16377</v>
      </c>
      <c r="C1233" s="3">
        <f>IF(B1233="","",SUMIFS('Factory Costs'!$C:$C,'Factory Costs'!$A:$A,"Frame",'Factory Costs'!$B:$B,B1233))</f>
        <v>39</v>
      </c>
    </row>
    <row r="1234" spans="1:3" x14ac:dyDescent="0.25">
      <c r="A1234" s="1" t="s">
        <v>10255</v>
      </c>
      <c r="B1234" s="1" t="s">
        <v>16379</v>
      </c>
      <c r="C1234" s="3">
        <f>IF(B1234="","",SUMIFS('Factory Costs'!$C:$C,'Factory Costs'!$A:$A,"Frame",'Factory Costs'!$B:$B,B1234))</f>
        <v>45</v>
      </c>
    </row>
    <row r="1235" spans="1:3" x14ac:dyDescent="0.25">
      <c r="A1235" s="1" t="s">
        <v>10258</v>
      </c>
      <c r="B1235" s="1" t="s">
        <v>16379</v>
      </c>
      <c r="C1235" s="3">
        <f>IF(B1235="","",SUMIFS('Factory Costs'!$C:$C,'Factory Costs'!$A:$A,"Frame",'Factory Costs'!$B:$B,B1235))</f>
        <v>45</v>
      </c>
    </row>
    <row r="1236" spans="1:3" x14ac:dyDescent="0.25">
      <c r="A1236" s="1" t="s">
        <v>10261</v>
      </c>
      <c r="B1236" s="1" t="s">
        <v>16377</v>
      </c>
      <c r="C1236" s="3">
        <f>IF(B1236="","",SUMIFS('Factory Costs'!$C:$C,'Factory Costs'!$A:$A,"Frame",'Factory Costs'!$B:$B,B1236))</f>
        <v>39</v>
      </c>
    </row>
    <row r="1237" spans="1:3" x14ac:dyDescent="0.25">
      <c r="A1237" s="1" t="s">
        <v>10264</v>
      </c>
      <c r="B1237" s="1" t="s">
        <v>16377</v>
      </c>
      <c r="C1237" s="3">
        <f>IF(B1237="","",SUMIFS('Factory Costs'!$C:$C,'Factory Costs'!$A:$A,"Frame",'Factory Costs'!$B:$B,B1237))</f>
        <v>39</v>
      </c>
    </row>
    <row r="1238" spans="1:3" x14ac:dyDescent="0.25">
      <c r="A1238" s="1" t="s">
        <v>10267</v>
      </c>
      <c r="B1238" s="1" t="s">
        <v>16377</v>
      </c>
      <c r="C1238" s="3">
        <f>IF(B1238="","",SUMIFS('Factory Costs'!$C:$C,'Factory Costs'!$A:$A,"Frame",'Factory Costs'!$B:$B,B1238))</f>
        <v>39</v>
      </c>
    </row>
    <row r="1239" spans="1:3" x14ac:dyDescent="0.25">
      <c r="A1239" s="1" t="s">
        <v>10270</v>
      </c>
      <c r="B1239" s="1" t="s">
        <v>16379</v>
      </c>
      <c r="C1239" s="3">
        <f>IF(B1239="","",SUMIFS('Factory Costs'!$C:$C,'Factory Costs'!$A:$A,"Frame",'Factory Costs'!$B:$B,B1239))</f>
        <v>45</v>
      </c>
    </row>
    <row r="1240" spans="1:3" x14ac:dyDescent="0.25">
      <c r="A1240" s="1" t="s">
        <v>10273</v>
      </c>
      <c r="B1240" s="1" t="s">
        <v>16378</v>
      </c>
      <c r="C1240" s="3">
        <f>IF(B1240="","",SUMIFS('Factory Costs'!$C:$C,'Factory Costs'!$A:$A,"Frame",'Factory Costs'!$B:$B,B1240))</f>
        <v>52</v>
      </c>
    </row>
    <row r="1241" spans="1:3" x14ac:dyDescent="0.25">
      <c r="A1241" s="1" t="s">
        <v>10276</v>
      </c>
      <c r="B1241" s="1" t="s">
        <v>16377</v>
      </c>
      <c r="C1241" s="3">
        <f>IF(B1241="","",SUMIFS('Factory Costs'!$C:$C,'Factory Costs'!$A:$A,"Frame",'Factory Costs'!$B:$B,B1241))</f>
        <v>39</v>
      </c>
    </row>
    <row r="1242" spans="1:3" x14ac:dyDescent="0.25">
      <c r="A1242" s="1" t="s">
        <v>10279</v>
      </c>
      <c r="B1242" s="1" t="s">
        <v>16377</v>
      </c>
      <c r="C1242" s="3">
        <f>IF(B1242="","",SUMIFS('Factory Costs'!$C:$C,'Factory Costs'!$A:$A,"Frame",'Factory Costs'!$B:$B,B1242))</f>
        <v>39</v>
      </c>
    </row>
    <row r="1243" spans="1:3" x14ac:dyDescent="0.25">
      <c r="A1243" s="1" t="s">
        <v>10282</v>
      </c>
      <c r="B1243" s="1" t="s">
        <v>16377</v>
      </c>
      <c r="C1243" s="3">
        <f>IF(B1243="","",SUMIFS('Factory Costs'!$C:$C,'Factory Costs'!$A:$A,"Frame",'Factory Costs'!$B:$B,B1243))</f>
        <v>39</v>
      </c>
    </row>
    <row r="1244" spans="1:3" x14ac:dyDescent="0.25">
      <c r="A1244" s="1" t="s">
        <v>10285</v>
      </c>
      <c r="B1244" s="1" t="s">
        <v>16379</v>
      </c>
      <c r="C1244" s="3">
        <f>IF(B1244="","",SUMIFS('Factory Costs'!$C:$C,'Factory Costs'!$A:$A,"Frame",'Factory Costs'!$B:$B,B1244))</f>
        <v>45</v>
      </c>
    </row>
    <row r="1245" spans="1:3" x14ac:dyDescent="0.25">
      <c r="A1245" s="1" t="s">
        <v>10288</v>
      </c>
      <c r="B1245" s="1" t="s">
        <v>16379</v>
      </c>
      <c r="C1245" s="3">
        <f>IF(B1245="","",SUMIFS('Factory Costs'!$C:$C,'Factory Costs'!$A:$A,"Frame",'Factory Costs'!$B:$B,B1245))</f>
        <v>45</v>
      </c>
    </row>
    <row r="1246" spans="1:3" x14ac:dyDescent="0.25">
      <c r="A1246" s="1" t="s">
        <v>10291</v>
      </c>
      <c r="B1246" s="1" t="s">
        <v>16377</v>
      </c>
      <c r="C1246" s="3">
        <f>IF(B1246="","",SUMIFS('Factory Costs'!$C:$C,'Factory Costs'!$A:$A,"Frame",'Factory Costs'!$B:$B,B1246))</f>
        <v>39</v>
      </c>
    </row>
    <row r="1247" spans="1:3" x14ac:dyDescent="0.25">
      <c r="A1247" s="1" t="s">
        <v>10294</v>
      </c>
      <c r="B1247" s="1" t="s">
        <v>16379</v>
      </c>
      <c r="C1247" s="3">
        <f>IF(B1247="","",SUMIFS('Factory Costs'!$C:$C,'Factory Costs'!$A:$A,"Frame",'Factory Costs'!$B:$B,B1247))</f>
        <v>45</v>
      </c>
    </row>
    <row r="1248" spans="1:3" x14ac:dyDescent="0.25">
      <c r="A1248" s="1" t="s">
        <v>10297</v>
      </c>
      <c r="B1248" s="1" t="s">
        <v>16377</v>
      </c>
      <c r="C1248" s="3">
        <f>IF(B1248="","",SUMIFS('Factory Costs'!$C:$C,'Factory Costs'!$A:$A,"Frame",'Factory Costs'!$B:$B,B1248))</f>
        <v>39</v>
      </c>
    </row>
    <row r="1249" spans="1:3" x14ac:dyDescent="0.25">
      <c r="A1249" s="1" t="s">
        <v>10300</v>
      </c>
      <c r="B1249" s="1" t="s">
        <v>16377</v>
      </c>
      <c r="C1249" s="3">
        <f>IF(B1249="","",SUMIFS('Factory Costs'!$C:$C,'Factory Costs'!$A:$A,"Frame",'Factory Costs'!$B:$B,B1249))</f>
        <v>39</v>
      </c>
    </row>
    <row r="1250" spans="1:3" x14ac:dyDescent="0.25">
      <c r="A1250" s="1" t="s">
        <v>10303</v>
      </c>
      <c r="B1250" s="1" t="s">
        <v>16379</v>
      </c>
      <c r="C1250" s="3">
        <f>IF(B1250="","",SUMIFS('Factory Costs'!$C:$C,'Factory Costs'!$A:$A,"Frame",'Factory Costs'!$B:$B,B1250))</f>
        <v>45</v>
      </c>
    </row>
    <row r="1251" spans="1:3" x14ac:dyDescent="0.25">
      <c r="A1251" s="1" t="s">
        <v>10306</v>
      </c>
      <c r="B1251" s="1" t="s">
        <v>16379</v>
      </c>
      <c r="C1251" s="3">
        <f>IF(B1251="","",SUMIFS('Factory Costs'!$C:$C,'Factory Costs'!$A:$A,"Frame",'Factory Costs'!$B:$B,B1251))</f>
        <v>45</v>
      </c>
    </row>
    <row r="1252" spans="1:3" x14ac:dyDescent="0.25">
      <c r="A1252" s="1" t="s">
        <v>10309</v>
      </c>
      <c r="B1252" s="1" t="s">
        <v>16377</v>
      </c>
      <c r="C1252" s="3">
        <f>IF(B1252="","",SUMIFS('Factory Costs'!$C:$C,'Factory Costs'!$A:$A,"Frame",'Factory Costs'!$B:$B,B1252))</f>
        <v>39</v>
      </c>
    </row>
    <row r="1253" spans="1:3" x14ac:dyDescent="0.25">
      <c r="A1253" s="1" t="s">
        <v>10312</v>
      </c>
      <c r="B1253" s="1" t="s">
        <v>16379</v>
      </c>
      <c r="C1253" s="3">
        <f>IF(B1253="","",SUMIFS('Factory Costs'!$C:$C,'Factory Costs'!$A:$A,"Frame",'Factory Costs'!$B:$B,B1253))</f>
        <v>45</v>
      </c>
    </row>
    <row r="1254" spans="1:3" x14ac:dyDescent="0.25">
      <c r="A1254" s="1" t="s">
        <v>10315</v>
      </c>
      <c r="B1254" s="1" t="s">
        <v>16377</v>
      </c>
      <c r="C1254" s="3">
        <f>IF(B1254="","",SUMIFS('Factory Costs'!$C:$C,'Factory Costs'!$A:$A,"Frame",'Factory Costs'!$B:$B,B1254))</f>
        <v>39</v>
      </c>
    </row>
    <row r="1255" spans="1:3" x14ac:dyDescent="0.25">
      <c r="A1255" s="1" t="s">
        <v>10318</v>
      </c>
      <c r="B1255" s="1" t="s">
        <v>16377</v>
      </c>
      <c r="C1255" s="3">
        <f>IF(B1255="","",SUMIFS('Factory Costs'!$C:$C,'Factory Costs'!$A:$A,"Frame",'Factory Costs'!$B:$B,B1255))</f>
        <v>39</v>
      </c>
    </row>
    <row r="1256" spans="1:3" x14ac:dyDescent="0.25">
      <c r="A1256" s="1" t="s">
        <v>10321</v>
      </c>
      <c r="B1256" s="1" t="s">
        <v>16377</v>
      </c>
      <c r="C1256" s="3">
        <f>IF(B1256="","",SUMIFS('Factory Costs'!$C:$C,'Factory Costs'!$A:$A,"Frame",'Factory Costs'!$B:$B,B1256))</f>
        <v>39</v>
      </c>
    </row>
    <row r="1257" spans="1:3" x14ac:dyDescent="0.25">
      <c r="A1257" s="1" t="s">
        <v>10324</v>
      </c>
      <c r="B1257" s="1" t="s">
        <v>16379</v>
      </c>
      <c r="C1257" s="3">
        <f>IF(B1257="","",SUMIFS('Factory Costs'!$C:$C,'Factory Costs'!$A:$A,"Frame",'Factory Costs'!$B:$B,B1257))</f>
        <v>45</v>
      </c>
    </row>
    <row r="1258" spans="1:3" x14ac:dyDescent="0.25">
      <c r="A1258" s="1" t="s">
        <v>10327</v>
      </c>
      <c r="B1258" s="1" t="s">
        <v>16378</v>
      </c>
      <c r="C1258" s="3">
        <f>IF(B1258="","",SUMIFS('Factory Costs'!$C:$C,'Factory Costs'!$A:$A,"Frame",'Factory Costs'!$B:$B,B1258))</f>
        <v>52</v>
      </c>
    </row>
    <row r="1259" spans="1:3" x14ac:dyDescent="0.25">
      <c r="A1259" s="1" t="s">
        <v>10330</v>
      </c>
      <c r="B1259" s="1" t="s">
        <v>16379</v>
      </c>
      <c r="C1259" s="3">
        <f>IF(B1259="","",SUMIFS('Factory Costs'!$C:$C,'Factory Costs'!$A:$A,"Frame",'Factory Costs'!$B:$B,B1259))</f>
        <v>45</v>
      </c>
    </row>
    <row r="1260" spans="1:3" x14ac:dyDescent="0.25">
      <c r="A1260" s="1" t="s">
        <v>10333</v>
      </c>
      <c r="B1260" s="1" t="s">
        <v>16379</v>
      </c>
      <c r="C1260" s="3">
        <f>IF(B1260="","",SUMIFS('Factory Costs'!$C:$C,'Factory Costs'!$A:$A,"Frame",'Factory Costs'!$B:$B,B1260))</f>
        <v>45</v>
      </c>
    </row>
    <row r="1261" spans="1:3" x14ac:dyDescent="0.25">
      <c r="A1261" s="1" t="s">
        <v>10336</v>
      </c>
      <c r="B1261" s="1" t="s">
        <v>16379</v>
      </c>
      <c r="C1261" s="3">
        <f>IF(B1261="","",SUMIFS('Factory Costs'!$C:$C,'Factory Costs'!$A:$A,"Frame",'Factory Costs'!$B:$B,B1261))</f>
        <v>45</v>
      </c>
    </row>
    <row r="1262" spans="1:3" x14ac:dyDescent="0.25">
      <c r="A1262" s="1" t="s">
        <v>10339</v>
      </c>
      <c r="B1262" s="1" t="s">
        <v>16379</v>
      </c>
      <c r="C1262" s="3">
        <f>IF(B1262="","",SUMIFS('Factory Costs'!$C:$C,'Factory Costs'!$A:$A,"Frame",'Factory Costs'!$B:$B,B1262))</f>
        <v>45</v>
      </c>
    </row>
    <row r="1263" spans="1:3" x14ac:dyDescent="0.25">
      <c r="A1263" s="1" t="s">
        <v>10342</v>
      </c>
      <c r="B1263" s="1" t="s">
        <v>16379</v>
      </c>
      <c r="C1263" s="3">
        <f>IF(B1263="","",SUMIFS('Factory Costs'!$C:$C,'Factory Costs'!$A:$A,"Frame",'Factory Costs'!$B:$B,B1263))</f>
        <v>45</v>
      </c>
    </row>
    <row r="1264" spans="1:3" x14ac:dyDescent="0.25">
      <c r="A1264" s="1" t="s">
        <v>10345</v>
      </c>
      <c r="B1264" s="1" t="s">
        <v>16379</v>
      </c>
      <c r="C1264" s="3">
        <f>IF(B1264="","",SUMIFS('Factory Costs'!$C:$C,'Factory Costs'!$A:$A,"Frame",'Factory Costs'!$B:$B,B1264))</f>
        <v>45</v>
      </c>
    </row>
    <row r="1265" spans="1:3" x14ac:dyDescent="0.25">
      <c r="A1265" s="1" t="s">
        <v>10348</v>
      </c>
      <c r="B1265" s="1" t="s">
        <v>16378</v>
      </c>
      <c r="C1265" s="3">
        <f>IF(B1265="","",SUMIFS('Factory Costs'!$C:$C,'Factory Costs'!$A:$A,"Frame",'Factory Costs'!$B:$B,B1265))</f>
        <v>52</v>
      </c>
    </row>
    <row r="1266" spans="1:3" x14ac:dyDescent="0.25">
      <c r="A1266" s="1" t="s">
        <v>10351</v>
      </c>
      <c r="B1266" s="1" t="s">
        <v>16377</v>
      </c>
      <c r="C1266" s="3">
        <f>IF(B1266="","",SUMIFS('Factory Costs'!$C:$C,'Factory Costs'!$A:$A,"Frame",'Factory Costs'!$B:$B,B1266))</f>
        <v>39</v>
      </c>
    </row>
    <row r="1267" spans="1:3" x14ac:dyDescent="0.25">
      <c r="A1267" s="1" t="s">
        <v>10354</v>
      </c>
      <c r="B1267" s="1" t="s">
        <v>16379</v>
      </c>
      <c r="C1267" s="3">
        <f>IF(B1267="","",SUMIFS('Factory Costs'!$C:$C,'Factory Costs'!$A:$A,"Frame",'Factory Costs'!$B:$B,B1267))</f>
        <v>45</v>
      </c>
    </row>
    <row r="1268" spans="1:3" x14ac:dyDescent="0.25">
      <c r="A1268" s="1" t="s">
        <v>10357</v>
      </c>
      <c r="B1268" s="1" t="s">
        <v>16377</v>
      </c>
      <c r="C1268" s="3">
        <f>IF(B1268="","",SUMIFS('Factory Costs'!$C:$C,'Factory Costs'!$A:$A,"Frame",'Factory Costs'!$B:$B,B1268))</f>
        <v>39</v>
      </c>
    </row>
    <row r="1269" spans="1:3" x14ac:dyDescent="0.25">
      <c r="A1269" s="1" t="s">
        <v>10360</v>
      </c>
      <c r="B1269" s="1" t="s">
        <v>16377</v>
      </c>
      <c r="C1269" s="3">
        <f>IF(B1269="","",SUMIFS('Factory Costs'!$C:$C,'Factory Costs'!$A:$A,"Frame",'Factory Costs'!$B:$B,B1269))</f>
        <v>39</v>
      </c>
    </row>
    <row r="1270" spans="1:3" x14ac:dyDescent="0.25">
      <c r="A1270" s="1" t="s">
        <v>10363</v>
      </c>
      <c r="B1270" s="1" t="s">
        <v>16378</v>
      </c>
      <c r="C1270" s="3">
        <f>IF(B1270="","",SUMIFS('Factory Costs'!$C:$C,'Factory Costs'!$A:$A,"Frame",'Factory Costs'!$B:$B,B1270))</f>
        <v>52</v>
      </c>
    </row>
    <row r="1271" spans="1:3" x14ac:dyDescent="0.25">
      <c r="A1271" s="1" t="s">
        <v>10366</v>
      </c>
      <c r="B1271" s="1" t="s">
        <v>16377</v>
      </c>
      <c r="C1271" s="3">
        <f>IF(B1271="","",SUMIFS('Factory Costs'!$C:$C,'Factory Costs'!$A:$A,"Frame",'Factory Costs'!$B:$B,B1271))</f>
        <v>39</v>
      </c>
    </row>
    <row r="1272" spans="1:3" x14ac:dyDescent="0.25">
      <c r="A1272" s="1" t="s">
        <v>10369</v>
      </c>
      <c r="B1272" s="1" t="s">
        <v>16377</v>
      </c>
      <c r="C1272" s="3">
        <f>IF(B1272="","",SUMIFS('Factory Costs'!$C:$C,'Factory Costs'!$A:$A,"Frame",'Factory Costs'!$B:$B,B1272))</f>
        <v>39</v>
      </c>
    </row>
    <row r="1273" spans="1:3" x14ac:dyDescent="0.25">
      <c r="A1273" s="1" t="s">
        <v>10372</v>
      </c>
      <c r="B1273" s="1" t="s">
        <v>16379</v>
      </c>
      <c r="C1273" s="3">
        <f>IF(B1273="","",SUMIFS('Factory Costs'!$C:$C,'Factory Costs'!$A:$A,"Frame",'Factory Costs'!$B:$B,B1273))</f>
        <v>45</v>
      </c>
    </row>
    <row r="1274" spans="1:3" x14ac:dyDescent="0.25">
      <c r="A1274" s="1" t="s">
        <v>10375</v>
      </c>
      <c r="B1274" s="1" t="s">
        <v>16378</v>
      </c>
      <c r="C1274" s="3">
        <f>IF(B1274="","",SUMIFS('Factory Costs'!$C:$C,'Factory Costs'!$A:$A,"Frame",'Factory Costs'!$B:$B,B1274))</f>
        <v>52</v>
      </c>
    </row>
    <row r="1275" spans="1:3" x14ac:dyDescent="0.25">
      <c r="A1275" s="1" t="s">
        <v>10378</v>
      </c>
      <c r="B1275" s="1" t="s">
        <v>16378</v>
      </c>
      <c r="C1275" s="3">
        <f>IF(B1275="","",SUMIFS('Factory Costs'!$C:$C,'Factory Costs'!$A:$A,"Frame",'Factory Costs'!$B:$B,B1275))</f>
        <v>52</v>
      </c>
    </row>
    <row r="1276" spans="1:3" x14ac:dyDescent="0.25">
      <c r="A1276" s="1" t="s">
        <v>10381</v>
      </c>
      <c r="B1276" s="1" t="s">
        <v>16378</v>
      </c>
      <c r="C1276" s="3">
        <f>IF(B1276="","",SUMIFS('Factory Costs'!$C:$C,'Factory Costs'!$A:$A,"Frame",'Factory Costs'!$B:$B,B1276))</f>
        <v>52</v>
      </c>
    </row>
    <row r="1277" spans="1:3" x14ac:dyDescent="0.25">
      <c r="A1277" s="1" t="s">
        <v>10384</v>
      </c>
      <c r="B1277" s="1" t="s">
        <v>16377</v>
      </c>
      <c r="C1277" s="3">
        <f>IF(B1277="","",SUMIFS('Factory Costs'!$C:$C,'Factory Costs'!$A:$A,"Frame",'Factory Costs'!$B:$B,B1277))</f>
        <v>39</v>
      </c>
    </row>
    <row r="1278" spans="1:3" x14ac:dyDescent="0.25">
      <c r="A1278" s="1" t="s">
        <v>10387</v>
      </c>
      <c r="B1278" s="1" t="s">
        <v>16378</v>
      </c>
      <c r="C1278" s="3">
        <f>IF(B1278="","",SUMIFS('Factory Costs'!$C:$C,'Factory Costs'!$A:$A,"Frame",'Factory Costs'!$B:$B,B1278))</f>
        <v>52</v>
      </c>
    </row>
    <row r="1279" spans="1:3" x14ac:dyDescent="0.25">
      <c r="A1279" s="1" t="s">
        <v>10390</v>
      </c>
      <c r="B1279" s="1" t="s">
        <v>16379</v>
      </c>
      <c r="C1279" s="3">
        <f>IF(B1279="","",SUMIFS('Factory Costs'!$C:$C,'Factory Costs'!$A:$A,"Frame",'Factory Costs'!$B:$B,B1279))</f>
        <v>45</v>
      </c>
    </row>
    <row r="1280" spans="1:3" x14ac:dyDescent="0.25">
      <c r="A1280" s="1" t="s">
        <v>10393</v>
      </c>
      <c r="B1280" s="1" t="s">
        <v>16378</v>
      </c>
      <c r="C1280" s="3">
        <f>IF(B1280="","",SUMIFS('Factory Costs'!$C:$C,'Factory Costs'!$A:$A,"Frame",'Factory Costs'!$B:$B,B1280))</f>
        <v>52</v>
      </c>
    </row>
    <row r="1281" spans="1:3" x14ac:dyDescent="0.25">
      <c r="A1281" s="1" t="s">
        <v>10396</v>
      </c>
      <c r="B1281" s="1" t="s">
        <v>16379</v>
      </c>
      <c r="C1281" s="3">
        <f>IF(B1281="","",SUMIFS('Factory Costs'!$C:$C,'Factory Costs'!$A:$A,"Frame",'Factory Costs'!$B:$B,B1281))</f>
        <v>45</v>
      </c>
    </row>
    <row r="1282" spans="1:3" x14ac:dyDescent="0.25">
      <c r="A1282" s="1" t="s">
        <v>10399</v>
      </c>
      <c r="B1282" s="1" t="s">
        <v>16378</v>
      </c>
      <c r="C1282" s="3">
        <f>IF(B1282="","",SUMIFS('Factory Costs'!$C:$C,'Factory Costs'!$A:$A,"Frame",'Factory Costs'!$B:$B,B1282))</f>
        <v>52</v>
      </c>
    </row>
    <row r="1283" spans="1:3" x14ac:dyDescent="0.25">
      <c r="A1283" s="1" t="s">
        <v>10402</v>
      </c>
      <c r="B1283" s="1" t="s">
        <v>16378</v>
      </c>
      <c r="C1283" s="3">
        <f>IF(B1283="","",SUMIFS('Factory Costs'!$C:$C,'Factory Costs'!$A:$A,"Frame",'Factory Costs'!$B:$B,B1283))</f>
        <v>52</v>
      </c>
    </row>
    <row r="1284" spans="1:3" x14ac:dyDescent="0.25">
      <c r="A1284" s="1" t="s">
        <v>10405</v>
      </c>
      <c r="B1284" s="1" t="s">
        <v>16379</v>
      </c>
      <c r="C1284" s="3">
        <f>IF(B1284="","",SUMIFS('Factory Costs'!$C:$C,'Factory Costs'!$A:$A,"Frame",'Factory Costs'!$B:$B,B1284))</f>
        <v>45</v>
      </c>
    </row>
    <row r="1285" spans="1:3" x14ac:dyDescent="0.25">
      <c r="A1285" s="1" t="s">
        <v>10408</v>
      </c>
      <c r="B1285" s="1" t="s">
        <v>16377</v>
      </c>
      <c r="C1285" s="3">
        <f>IF(B1285="","",SUMIFS('Factory Costs'!$C:$C,'Factory Costs'!$A:$A,"Frame",'Factory Costs'!$B:$B,B1285))</f>
        <v>39</v>
      </c>
    </row>
    <row r="1286" spans="1:3" x14ac:dyDescent="0.25">
      <c r="A1286" s="1" t="s">
        <v>10411</v>
      </c>
      <c r="B1286" s="1" t="s">
        <v>16377</v>
      </c>
      <c r="C1286" s="3">
        <f>IF(B1286="","",SUMIFS('Factory Costs'!$C:$C,'Factory Costs'!$A:$A,"Frame",'Factory Costs'!$B:$B,B1286))</f>
        <v>39</v>
      </c>
    </row>
    <row r="1287" spans="1:3" x14ac:dyDescent="0.25">
      <c r="A1287" s="1" t="s">
        <v>10414</v>
      </c>
      <c r="B1287" s="1" t="s">
        <v>16378</v>
      </c>
      <c r="C1287" s="3">
        <f>IF(B1287="","",SUMIFS('Factory Costs'!$C:$C,'Factory Costs'!$A:$A,"Frame",'Factory Costs'!$B:$B,B1287))</f>
        <v>52</v>
      </c>
    </row>
    <row r="1288" spans="1:3" x14ac:dyDescent="0.25">
      <c r="A1288" s="1" t="s">
        <v>10417</v>
      </c>
      <c r="B1288" s="1" t="s">
        <v>16378</v>
      </c>
      <c r="C1288" s="3">
        <f>IF(B1288="","",SUMIFS('Factory Costs'!$C:$C,'Factory Costs'!$A:$A,"Frame",'Factory Costs'!$B:$B,B1288))</f>
        <v>52</v>
      </c>
    </row>
    <row r="1289" spans="1:3" x14ac:dyDescent="0.25">
      <c r="A1289" s="1" t="s">
        <v>10420</v>
      </c>
      <c r="B1289" s="1" t="s">
        <v>16378</v>
      </c>
      <c r="C1289" s="3">
        <f>IF(B1289="","",SUMIFS('Factory Costs'!$C:$C,'Factory Costs'!$A:$A,"Frame",'Factory Costs'!$B:$B,B1289))</f>
        <v>52</v>
      </c>
    </row>
    <row r="1290" spans="1:3" x14ac:dyDescent="0.25">
      <c r="A1290" s="1" t="s">
        <v>10423</v>
      </c>
      <c r="B1290" s="1" t="s">
        <v>16378</v>
      </c>
      <c r="C1290" s="3">
        <f>IF(B1290="","",SUMIFS('Factory Costs'!$C:$C,'Factory Costs'!$A:$A,"Frame",'Factory Costs'!$B:$B,B1290))</f>
        <v>52</v>
      </c>
    </row>
    <row r="1291" spans="1:3" x14ac:dyDescent="0.25">
      <c r="A1291" s="1" t="s">
        <v>10426</v>
      </c>
      <c r="B1291" s="1" t="s">
        <v>16377</v>
      </c>
      <c r="C1291" s="3">
        <f>IF(B1291="","",SUMIFS('Factory Costs'!$C:$C,'Factory Costs'!$A:$A,"Frame",'Factory Costs'!$B:$B,B1291))</f>
        <v>39</v>
      </c>
    </row>
    <row r="1292" spans="1:3" x14ac:dyDescent="0.25">
      <c r="A1292" s="1" t="s">
        <v>10429</v>
      </c>
      <c r="B1292" s="1" t="s">
        <v>16378</v>
      </c>
      <c r="C1292" s="3">
        <f>IF(B1292="","",SUMIFS('Factory Costs'!$C:$C,'Factory Costs'!$A:$A,"Frame",'Factory Costs'!$B:$B,B1292))</f>
        <v>52</v>
      </c>
    </row>
    <row r="1293" spans="1:3" x14ac:dyDescent="0.25">
      <c r="A1293" s="1" t="s">
        <v>10432</v>
      </c>
      <c r="B1293" s="1" t="s">
        <v>16378</v>
      </c>
      <c r="C1293" s="3">
        <f>IF(B1293="","",SUMIFS('Factory Costs'!$C:$C,'Factory Costs'!$A:$A,"Frame",'Factory Costs'!$B:$B,B1293))</f>
        <v>52</v>
      </c>
    </row>
    <row r="1294" spans="1:3" x14ac:dyDescent="0.25">
      <c r="A1294" s="1" t="s">
        <v>10435</v>
      </c>
      <c r="B1294" s="1" t="s">
        <v>16377</v>
      </c>
      <c r="C1294" s="3">
        <f>IF(B1294="","",SUMIFS('Factory Costs'!$C:$C,'Factory Costs'!$A:$A,"Frame",'Factory Costs'!$B:$B,B1294))</f>
        <v>39</v>
      </c>
    </row>
    <row r="1295" spans="1:3" x14ac:dyDescent="0.25">
      <c r="A1295" s="1" t="s">
        <v>10438</v>
      </c>
      <c r="B1295" s="1" t="s">
        <v>16378</v>
      </c>
      <c r="C1295" s="3">
        <f>IF(B1295="","",SUMIFS('Factory Costs'!$C:$C,'Factory Costs'!$A:$A,"Frame",'Factory Costs'!$B:$B,B1295))</f>
        <v>52</v>
      </c>
    </row>
    <row r="1296" spans="1:3" x14ac:dyDescent="0.25">
      <c r="A1296" s="1" t="s">
        <v>10441</v>
      </c>
      <c r="B1296" s="1" t="s">
        <v>16377</v>
      </c>
      <c r="C1296" s="3">
        <f>IF(B1296="","",SUMIFS('Factory Costs'!$C:$C,'Factory Costs'!$A:$A,"Frame",'Factory Costs'!$B:$B,B1296))</f>
        <v>39</v>
      </c>
    </row>
    <row r="1297" spans="1:3" x14ac:dyDescent="0.25">
      <c r="A1297" s="1" t="s">
        <v>10444</v>
      </c>
      <c r="B1297" s="1" t="s">
        <v>16378</v>
      </c>
      <c r="C1297" s="3">
        <f>IF(B1297="","",SUMIFS('Factory Costs'!$C:$C,'Factory Costs'!$A:$A,"Frame",'Factory Costs'!$B:$B,B1297))</f>
        <v>52</v>
      </c>
    </row>
    <row r="1298" spans="1:3" x14ac:dyDescent="0.25">
      <c r="A1298" s="1" t="s">
        <v>10447</v>
      </c>
      <c r="B1298" s="1" t="s">
        <v>16377</v>
      </c>
      <c r="C1298" s="3">
        <f>IF(B1298="","",SUMIFS('Factory Costs'!$C:$C,'Factory Costs'!$A:$A,"Frame",'Factory Costs'!$B:$B,B1298))</f>
        <v>39</v>
      </c>
    </row>
    <row r="1299" spans="1:3" x14ac:dyDescent="0.25">
      <c r="A1299" s="1" t="s">
        <v>10450</v>
      </c>
      <c r="B1299" s="1" t="s">
        <v>16379</v>
      </c>
      <c r="C1299" s="3">
        <f>IF(B1299="","",SUMIFS('Factory Costs'!$C:$C,'Factory Costs'!$A:$A,"Frame",'Factory Costs'!$B:$B,B1299))</f>
        <v>45</v>
      </c>
    </row>
    <row r="1300" spans="1:3" x14ac:dyDescent="0.25">
      <c r="A1300" s="1" t="s">
        <v>10453</v>
      </c>
      <c r="B1300" s="1" t="s">
        <v>16377</v>
      </c>
      <c r="C1300" s="3">
        <f>IF(B1300="","",SUMIFS('Factory Costs'!$C:$C,'Factory Costs'!$A:$A,"Frame",'Factory Costs'!$B:$B,B1300))</f>
        <v>39</v>
      </c>
    </row>
    <row r="1301" spans="1:3" x14ac:dyDescent="0.25">
      <c r="A1301" s="1" t="s">
        <v>10456</v>
      </c>
      <c r="B1301" s="1" t="s">
        <v>16377</v>
      </c>
      <c r="C1301" s="3">
        <f>IF(B1301="","",SUMIFS('Factory Costs'!$C:$C,'Factory Costs'!$A:$A,"Frame",'Factory Costs'!$B:$B,B1301))</f>
        <v>39</v>
      </c>
    </row>
    <row r="1302" spans="1:3" x14ac:dyDescent="0.25">
      <c r="A1302" s="1" t="s">
        <v>10459</v>
      </c>
      <c r="B1302" s="1" t="s">
        <v>16378</v>
      </c>
      <c r="C1302" s="3">
        <f>IF(B1302="","",SUMIFS('Factory Costs'!$C:$C,'Factory Costs'!$A:$A,"Frame",'Factory Costs'!$B:$B,B1302))</f>
        <v>52</v>
      </c>
    </row>
    <row r="1303" spans="1:3" x14ac:dyDescent="0.25">
      <c r="A1303" s="1" t="s">
        <v>10462</v>
      </c>
      <c r="B1303" s="1" t="s">
        <v>16377</v>
      </c>
      <c r="C1303" s="3">
        <f>IF(B1303="","",SUMIFS('Factory Costs'!$C:$C,'Factory Costs'!$A:$A,"Frame",'Factory Costs'!$B:$B,B1303))</f>
        <v>39</v>
      </c>
    </row>
    <row r="1304" spans="1:3" x14ac:dyDescent="0.25">
      <c r="A1304" s="1" t="s">
        <v>10465</v>
      </c>
      <c r="B1304" s="1" t="s">
        <v>16377</v>
      </c>
      <c r="C1304" s="3">
        <f>IF(B1304="","",SUMIFS('Factory Costs'!$C:$C,'Factory Costs'!$A:$A,"Frame",'Factory Costs'!$B:$B,B1304))</f>
        <v>39</v>
      </c>
    </row>
    <row r="1305" spans="1:3" x14ac:dyDescent="0.25">
      <c r="A1305" s="1" t="s">
        <v>10468</v>
      </c>
      <c r="B1305" s="1" t="s">
        <v>16378</v>
      </c>
      <c r="C1305" s="3">
        <f>IF(B1305="","",SUMIFS('Factory Costs'!$C:$C,'Factory Costs'!$A:$A,"Frame",'Factory Costs'!$B:$B,B1305))</f>
        <v>52</v>
      </c>
    </row>
    <row r="1306" spans="1:3" x14ac:dyDescent="0.25">
      <c r="A1306" s="1" t="s">
        <v>10471</v>
      </c>
      <c r="B1306" s="1" t="s">
        <v>16378</v>
      </c>
      <c r="C1306" s="3">
        <f>IF(B1306="","",SUMIFS('Factory Costs'!$C:$C,'Factory Costs'!$A:$A,"Frame",'Factory Costs'!$B:$B,B1306))</f>
        <v>52</v>
      </c>
    </row>
    <row r="1307" spans="1:3" x14ac:dyDescent="0.25">
      <c r="A1307" s="1" t="s">
        <v>10474</v>
      </c>
      <c r="B1307" s="1" t="s">
        <v>16377</v>
      </c>
      <c r="C1307" s="3">
        <f>IF(B1307="","",SUMIFS('Factory Costs'!$C:$C,'Factory Costs'!$A:$A,"Frame",'Factory Costs'!$B:$B,B1307))</f>
        <v>39</v>
      </c>
    </row>
    <row r="1308" spans="1:3" x14ac:dyDescent="0.25">
      <c r="A1308" s="1" t="s">
        <v>10477</v>
      </c>
      <c r="B1308" s="1" t="s">
        <v>16379</v>
      </c>
      <c r="C1308" s="3">
        <f>IF(B1308="","",SUMIFS('Factory Costs'!$C:$C,'Factory Costs'!$A:$A,"Frame",'Factory Costs'!$B:$B,B1308))</f>
        <v>45</v>
      </c>
    </row>
    <row r="1309" spans="1:3" x14ac:dyDescent="0.25">
      <c r="A1309" s="1" t="s">
        <v>10480</v>
      </c>
      <c r="B1309" s="1" t="s">
        <v>16379</v>
      </c>
      <c r="C1309" s="3">
        <f>IF(B1309="","",SUMIFS('Factory Costs'!$C:$C,'Factory Costs'!$A:$A,"Frame",'Factory Costs'!$B:$B,B1309))</f>
        <v>45</v>
      </c>
    </row>
    <row r="1310" spans="1:3" x14ac:dyDescent="0.25">
      <c r="A1310" s="1" t="s">
        <v>10483</v>
      </c>
      <c r="B1310" s="1" t="s">
        <v>16379</v>
      </c>
      <c r="C1310" s="3">
        <f>IF(B1310="","",SUMIFS('Factory Costs'!$C:$C,'Factory Costs'!$A:$A,"Frame",'Factory Costs'!$B:$B,B1310))</f>
        <v>45</v>
      </c>
    </row>
    <row r="1311" spans="1:3" x14ac:dyDescent="0.25">
      <c r="A1311" s="1" t="s">
        <v>10486</v>
      </c>
      <c r="B1311" s="1" t="s">
        <v>16379</v>
      </c>
      <c r="C1311" s="3">
        <f>IF(B1311="","",SUMIFS('Factory Costs'!$C:$C,'Factory Costs'!$A:$A,"Frame",'Factory Costs'!$B:$B,B1311))</f>
        <v>45</v>
      </c>
    </row>
    <row r="1312" spans="1:3" x14ac:dyDescent="0.25">
      <c r="A1312" s="1" t="s">
        <v>10489</v>
      </c>
      <c r="B1312" s="1" t="s">
        <v>16378</v>
      </c>
      <c r="C1312" s="3">
        <f>IF(B1312="","",SUMIFS('Factory Costs'!$C:$C,'Factory Costs'!$A:$A,"Frame",'Factory Costs'!$B:$B,B1312))</f>
        <v>52</v>
      </c>
    </row>
    <row r="1313" spans="1:3" x14ac:dyDescent="0.25">
      <c r="A1313" s="1" t="s">
        <v>10492</v>
      </c>
      <c r="B1313" s="1" t="s">
        <v>16377</v>
      </c>
      <c r="C1313" s="3">
        <f>IF(B1313="","",SUMIFS('Factory Costs'!$C:$C,'Factory Costs'!$A:$A,"Frame",'Factory Costs'!$B:$B,B1313))</f>
        <v>39</v>
      </c>
    </row>
    <row r="1314" spans="1:3" x14ac:dyDescent="0.25">
      <c r="A1314" s="1" t="s">
        <v>10495</v>
      </c>
      <c r="B1314" s="1" t="s">
        <v>16378</v>
      </c>
      <c r="C1314" s="3">
        <f>IF(B1314="","",SUMIFS('Factory Costs'!$C:$C,'Factory Costs'!$A:$A,"Frame",'Factory Costs'!$B:$B,B1314))</f>
        <v>52</v>
      </c>
    </row>
    <row r="1315" spans="1:3" x14ac:dyDescent="0.25">
      <c r="A1315" s="1" t="s">
        <v>10498</v>
      </c>
      <c r="B1315" s="1" t="s">
        <v>16378</v>
      </c>
      <c r="C1315" s="3">
        <f>IF(B1315="","",SUMIFS('Factory Costs'!$C:$C,'Factory Costs'!$A:$A,"Frame",'Factory Costs'!$B:$B,B1315))</f>
        <v>52</v>
      </c>
    </row>
    <row r="1316" spans="1:3" x14ac:dyDescent="0.25">
      <c r="A1316" s="1" t="s">
        <v>10501</v>
      </c>
      <c r="B1316" s="1" t="s">
        <v>16379</v>
      </c>
      <c r="C1316" s="3">
        <f>IF(B1316="","",SUMIFS('Factory Costs'!$C:$C,'Factory Costs'!$A:$A,"Frame",'Factory Costs'!$B:$B,B1316))</f>
        <v>45</v>
      </c>
    </row>
    <row r="1317" spans="1:3" x14ac:dyDescent="0.25">
      <c r="A1317" s="1" t="s">
        <v>10504</v>
      </c>
      <c r="B1317" s="1" t="s">
        <v>16379</v>
      </c>
      <c r="C1317" s="3">
        <f>IF(B1317="","",SUMIFS('Factory Costs'!$C:$C,'Factory Costs'!$A:$A,"Frame",'Factory Costs'!$B:$B,B1317))</f>
        <v>45</v>
      </c>
    </row>
    <row r="1318" spans="1:3" x14ac:dyDescent="0.25">
      <c r="A1318" s="1" t="s">
        <v>10507</v>
      </c>
      <c r="B1318" s="1" t="s">
        <v>16379</v>
      </c>
      <c r="C1318" s="3">
        <f>IF(B1318="","",SUMIFS('Factory Costs'!$C:$C,'Factory Costs'!$A:$A,"Frame",'Factory Costs'!$B:$B,B1318))</f>
        <v>45</v>
      </c>
    </row>
    <row r="1319" spans="1:3" x14ac:dyDescent="0.25">
      <c r="A1319" s="1" t="s">
        <v>10510</v>
      </c>
      <c r="B1319" s="1" t="s">
        <v>16377</v>
      </c>
      <c r="C1319" s="3">
        <f>IF(B1319="","",SUMIFS('Factory Costs'!$C:$C,'Factory Costs'!$A:$A,"Frame",'Factory Costs'!$B:$B,B1319))</f>
        <v>39</v>
      </c>
    </row>
    <row r="1320" spans="1:3" x14ac:dyDescent="0.25">
      <c r="A1320" s="1" t="s">
        <v>10513</v>
      </c>
      <c r="B1320" s="1" t="s">
        <v>16377</v>
      </c>
      <c r="C1320" s="3">
        <f>IF(B1320="","",SUMIFS('Factory Costs'!$C:$C,'Factory Costs'!$A:$A,"Frame",'Factory Costs'!$B:$B,B1320))</f>
        <v>39</v>
      </c>
    </row>
    <row r="1321" spans="1:3" x14ac:dyDescent="0.25">
      <c r="A1321" s="1" t="s">
        <v>10516</v>
      </c>
      <c r="B1321" s="1" t="s">
        <v>16379</v>
      </c>
      <c r="C1321" s="3">
        <f>IF(B1321="","",SUMIFS('Factory Costs'!$C:$C,'Factory Costs'!$A:$A,"Frame",'Factory Costs'!$B:$B,B1321))</f>
        <v>45</v>
      </c>
    </row>
    <row r="1322" spans="1:3" x14ac:dyDescent="0.25">
      <c r="A1322" s="1" t="s">
        <v>10519</v>
      </c>
      <c r="B1322" s="1" t="s">
        <v>16377</v>
      </c>
      <c r="C1322" s="3">
        <f>IF(B1322="","",SUMIFS('Factory Costs'!$C:$C,'Factory Costs'!$A:$A,"Frame",'Factory Costs'!$B:$B,B1322))</f>
        <v>39</v>
      </c>
    </row>
    <row r="1323" spans="1:3" x14ac:dyDescent="0.25">
      <c r="A1323" s="1" t="s">
        <v>10522</v>
      </c>
      <c r="B1323" s="1" t="s">
        <v>16378</v>
      </c>
      <c r="C1323" s="3">
        <f>IF(B1323="","",SUMIFS('Factory Costs'!$C:$C,'Factory Costs'!$A:$A,"Frame",'Factory Costs'!$B:$B,B1323))</f>
        <v>52</v>
      </c>
    </row>
    <row r="1324" spans="1:3" x14ac:dyDescent="0.25">
      <c r="A1324" s="1" t="s">
        <v>10525</v>
      </c>
      <c r="B1324" s="1" t="s">
        <v>16377</v>
      </c>
      <c r="C1324" s="3">
        <f>IF(B1324="","",SUMIFS('Factory Costs'!$C:$C,'Factory Costs'!$A:$A,"Frame",'Factory Costs'!$B:$B,B1324))</f>
        <v>39</v>
      </c>
    </row>
    <row r="1325" spans="1:3" x14ac:dyDescent="0.25">
      <c r="A1325" s="1" t="s">
        <v>10528</v>
      </c>
      <c r="B1325" s="1" t="s">
        <v>16378</v>
      </c>
      <c r="C1325" s="3">
        <f>IF(B1325="","",SUMIFS('Factory Costs'!$C:$C,'Factory Costs'!$A:$A,"Frame",'Factory Costs'!$B:$B,B1325))</f>
        <v>52</v>
      </c>
    </row>
    <row r="1326" spans="1:3" x14ac:dyDescent="0.25">
      <c r="A1326" s="1" t="s">
        <v>10531</v>
      </c>
      <c r="B1326" s="1" t="s">
        <v>16377</v>
      </c>
      <c r="C1326" s="3">
        <f>IF(B1326="","",SUMIFS('Factory Costs'!$C:$C,'Factory Costs'!$A:$A,"Frame",'Factory Costs'!$B:$B,B1326))</f>
        <v>39</v>
      </c>
    </row>
    <row r="1327" spans="1:3" x14ac:dyDescent="0.25">
      <c r="A1327" s="1" t="s">
        <v>10534</v>
      </c>
      <c r="B1327" s="1" t="s">
        <v>16379</v>
      </c>
      <c r="C1327" s="3">
        <f>IF(B1327="","",SUMIFS('Factory Costs'!$C:$C,'Factory Costs'!$A:$A,"Frame",'Factory Costs'!$B:$B,B1327))</f>
        <v>45</v>
      </c>
    </row>
    <row r="1328" spans="1:3" x14ac:dyDescent="0.25">
      <c r="A1328" s="1" t="s">
        <v>10537</v>
      </c>
      <c r="B1328" s="1" t="s">
        <v>16379</v>
      </c>
      <c r="C1328" s="3">
        <f>IF(B1328="","",SUMIFS('Factory Costs'!$C:$C,'Factory Costs'!$A:$A,"Frame",'Factory Costs'!$B:$B,B1328))</f>
        <v>45</v>
      </c>
    </row>
    <row r="1329" spans="1:3" x14ac:dyDescent="0.25">
      <c r="A1329" s="1" t="s">
        <v>10540</v>
      </c>
      <c r="B1329" s="1" t="s">
        <v>16379</v>
      </c>
      <c r="C1329" s="3">
        <f>IF(B1329="","",SUMIFS('Factory Costs'!$C:$C,'Factory Costs'!$A:$A,"Frame",'Factory Costs'!$B:$B,B1329))</f>
        <v>45</v>
      </c>
    </row>
    <row r="1330" spans="1:3" x14ac:dyDescent="0.25">
      <c r="A1330" s="1" t="s">
        <v>10543</v>
      </c>
      <c r="B1330" s="1" t="s">
        <v>16379</v>
      </c>
      <c r="C1330" s="3">
        <f>IF(B1330="","",SUMIFS('Factory Costs'!$C:$C,'Factory Costs'!$A:$A,"Frame",'Factory Costs'!$B:$B,B1330))</f>
        <v>45</v>
      </c>
    </row>
    <row r="1331" spans="1:3" x14ac:dyDescent="0.25">
      <c r="A1331" s="1" t="s">
        <v>10546</v>
      </c>
      <c r="B1331" s="1" t="s">
        <v>16377</v>
      </c>
      <c r="C1331" s="3">
        <f>IF(B1331="","",SUMIFS('Factory Costs'!$C:$C,'Factory Costs'!$A:$A,"Frame",'Factory Costs'!$B:$B,B1331))</f>
        <v>39</v>
      </c>
    </row>
    <row r="1332" spans="1:3" x14ac:dyDescent="0.25">
      <c r="A1332" s="1" t="s">
        <v>10549</v>
      </c>
      <c r="B1332" s="1" t="s">
        <v>16377</v>
      </c>
      <c r="C1332" s="3">
        <f>IF(B1332="","",SUMIFS('Factory Costs'!$C:$C,'Factory Costs'!$A:$A,"Frame",'Factory Costs'!$B:$B,B1332))</f>
        <v>39</v>
      </c>
    </row>
    <row r="1333" spans="1:3" x14ac:dyDescent="0.25">
      <c r="A1333" s="1" t="s">
        <v>10552</v>
      </c>
      <c r="B1333" s="1" t="s">
        <v>16378</v>
      </c>
      <c r="C1333" s="3">
        <f>IF(B1333="","",SUMIFS('Factory Costs'!$C:$C,'Factory Costs'!$A:$A,"Frame",'Factory Costs'!$B:$B,B1333))</f>
        <v>52</v>
      </c>
    </row>
    <row r="1334" spans="1:3" x14ac:dyDescent="0.25">
      <c r="A1334" s="1" t="s">
        <v>10555</v>
      </c>
      <c r="B1334" s="1" t="s">
        <v>16377</v>
      </c>
      <c r="C1334" s="3">
        <f>IF(B1334="","",SUMIFS('Factory Costs'!$C:$C,'Factory Costs'!$A:$A,"Frame",'Factory Costs'!$B:$B,B1334))</f>
        <v>39</v>
      </c>
    </row>
    <row r="1335" spans="1:3" x14ac:dyDescent="0.25">
      <c r="A1335" s="1" t="s">
        <v>10558</v>
      </c>
      <c r="B1335" s="1" t="s">
        <v>16377</v>
      </c>
      <c r="C1335" s="3">
        <f>IF(B1335="","",SUMIFS('Factory Costs'!$C:$C,'Factory Costs'!$A:$A,"Frame",'Factory Costs'!$B:$B,B1335))</f>
        <v>39</v>
      </c>
    </row>
    <row r="1336" spans="1:3" x14ac:dyDescent="0.25">
      <c r="A1336" s="1" t="s">
        <v>10561</v>
      </c>
      <c r="B1336" s="1" t="s">
        <v>16377</v>
      </c>
      <c r="C1336" s="3">
        <f>IF(B1336="","",SUMIFS('Factory Costs'!$C:$C,'Factory Costs'!$A:$A,"Frame",'Factory Costs'!$B:$B,B1336))</f>
        <v>39</v>
      </c>
    </row>
    <row r="1337" spans="1:3" x14ac:dyDescent="0.25">
      <c r="A1337" s="1" t="s">
        <v>10564</v>
      </c>
      <c r="B1337" s="1" t="s">
        <v>16379</v>
      </c>
      <c r="C1337" s="3">
        <f>IF(B1337="","",SUMIFS('Factory Costs'!$C:$C,'Factory Costs'!$A:$A,"Frame",'Factory Costs'!$B:$B,B1337))</f>
        <v>45</v>
      </c>
    </row>
    <row r="1338" spans="1:3" x14ac:dyDescent="0.25">
      <c r="A1338" s="1" t="s">
        <v>10567</v>
      </c>
      <c r="B1338" s="1" t="s">
        <v>16377</v>
      </c>
      <c r="C1338" s="3">
        <f>IF(B1338="","",SUMIFS('Factory Costs'!$C:$C,'Factory Costs'!$A:$A,"Frame",'Factory Costs'!$B:$B,B1338))</f>
        <v>39</v>
      </c>
    </row>
    <row r="1339" spans="1:3" x14ac:dyDescent="0.25">
      <c r="A1339" s="1" t="s">
        <v>10570</v>
      </c>
      <c r="B1339" s="1" t="s">
        <v>16377</v>
      </c>
      <c r="C1339" s="3">
        <f>IF(B1339="","",SUMIFS('Factory Costs'!$C:$C,'Factory Costs'!$A:$A,"Frame",'Factory Costs'!$B:$B,B1339))</f>
        <v>39</v>
      </c>
    </row>
    <row r="1340" spans="1:3" x14ac:dyDescent="0.25">
      <c r="A1340" s="1" t="s">
        <v>10573</v>
      </c>
      <c r="B1340" s="1" t="s">
        <v>16379</v>
      </c>
      <c r="C1340" s="3">
        <f>IF(B1340="","",SUMIFS('Factory Costs'!$C:$C,'Factory Costs'!$A:$A,"Frame",'Factory Costs'!$B:$B,B1340))</f>
        <v>45</v>
      </c>
    </row>
    <row r="1341" spans="1:3" x14ac:dyDescent="0.25">
      <c r="A1341" s="1" t="s">
        <v>10576</v>
      </c>
      <c r="B1341" s="1" t="s">
        <v>16379</v>
      </c>
      <c r="C1341" s="3">
        <f>IF(B1341="","",SUMIFS('Factory Costs'!$C:$C,'Factory Costs'!$A:$A,"Frame",'Factory Costs'!$B:$B,B1341))</f>
        <v>45</v>
      </c>
    </row>
    <row r="1342" spans="1:3" x14ac:dyDescent="0.25">
      <c r="A1342" s="1" t="s">
        <v>10579</v>
      </c>
      <c r="B1342" s="1" t="s">
        <v>16378</v>
      </c>
      <c r="C1342" s="3">
        <f>IF(B1342="","",SUMIFS('Factory Costs'!$C:$C,'Factory Costs'!$A:$A,"Frame",'Factory Costs'!$B:$B,B1342))</f>
        <v>52</v>
      </c>
    </row>
    <row r="1343" spans="1:3" x14ac:dyDescent="0.25">
      <c r="A1343" s="1" t="s">
        <v>10582</v>
      </c>
      <c r="B1343" s="1" t="s">
        <v>16378</v>
      </c>
      <c r="C1343" s="3">
        <f>IF(B1343="","",SUMIFS('Factory Costs'!$C:$C,'Factory Costs'!$A:$A,"Frame",'Factory Costs'!$B:$B,B1343))</f>
        <v>52</v>
      </c>
    </row>
    <row r="1344" spans="1:3" x14ac:dyDescent="0.25">
      <c r="A1344" s="1" t="s">
        <v>10585</v>
      </c>
      <c r="B1344" s="1" t="s">
        <v>16379</v>
      </c>
      <c r="C1344" s="3">
        <f>IF(B1344="","",SUMIFS('Factory Costs'!$C:$C,'Factory Costs'!$A:$A,"Frame",'Factory Costs'!$B:$B,B1344))</f>
        <v>45</v>
      </c>
    </row>
    <row r="1345" spans="1:3" x14ac:dyDescent="0.25">
      <c r="A1345" s="1" t="s">
        <v>10588</v>
      </c>
      <c r="B1345" s="1" t="s">
        <v>16377</v>
      </c>
      <c r="C1345" s="3">
        <f>IF(B1345="","",SUMIFS('Factory Costs'!$C:$C,'Factory Costs'!$A:$A,"Frame",'Factory Costs'!$B:$B,B1345))</f>
        <v>39</v>
      </c>
    </row>
    <row r="1346" spans="1:3" x14ac:dyDescent="0.25">
      <c r="A1346" s="1" t="s">
        <v>10591</v>
      </c>
      <c r="B1346" s="1" t="s">
        <v>16377</v>
      </c>
      <c r="C1346" s="3">
        <f>IF(B1346="","",SUMIFS('Factory Costs'!$C:$C,'Factory Costs'!$A:$A,"Frame",'Factory Costs'!$B:$B,B1346))</f>
        <v>39</v>
      </c>
    </row>
    <row r="1347" spans="1:3" x14ac:dyDescent="0.25">
      <c r="A1347" s="1" t="s">
        <v>10594</v>
      </c>
      <c r="B1347" s="1" t="s">
        <v>16379</v>
      </c>
      <c r="C1347" s="3">
        <f>IF(B1347="","",SUMIFS('Factory Costs'!$C:$C,'Factory Costs'!$A:$A,"Frame",'Factory Costs'!$B:$B,B1347))</f>
        <v>45</v>
      </c>
    </row>
    <row r="1348" spans="1:3" x14ac:dyDescent="0.25">
      <c r="A1348" s="1" t="s">
        <v>10597</v>
      </c>
      <c r="B1348" s="1" t="s">
        <v>16377</v>
      </c>
      <c r="C1348" s="3">
        <f>IF(B1348="","",SUMIFS('Factory Costs'!$C:$C,'Factory Costs'!$A:$A,"Frame",'Factory Costs'!$B:$B,B1348))</f>
        <v>39</v>
      </c>
    </row>
    <row r="1349" spans="1:3" x14ac:dyDescent="0.25">
      <c r="A1349" s="1" t="s">
        <v>10600</v>
      </c>
      <c r="B1349" s="1" t="s">
        <v>16379</v>
      </c>
      <c r="C1349" s="3">
        <f>IF(B1349="","",SUMIFS('Factory Costs'!$C:$C,'Factory Costs'!$A:$A,"Frame",'Factory Costs'!$B:$B,B1349))</f>
        <v>45</v>
      </c>
    </row>
    <row r="1350" spans="1:3" x14ac:dyDescent="0.25">
      <c r="A1350" s="1" t="s">
        <v>10603</v>
      </c>
      <c r="B1350" s="1" t="s">
        <v>16379</v>
      </c>
      <c r="C1350" s="3">
        <f>IF(B1350="","",SUMIFS('Factory Costs'!$C:$C,'Factory Costs'!$A:$A,"Frame",'Factory Costs'!$B:$B,B1350))</f>
        <v>45</v>
      </c>
    </row>
    <row r="1351" spans="1:3" x14ac:dyDescent="0.25">
      <c r="A1351" s="1" t="s">
        <v>10606</v>
      </c>
      <c r="B1351" s="1" t="s">
        <v>16378</v>
      </c>
      <c r="C1351" s="3">
        <f>IF(B1351="","",SUMIFS('Factory Costs'!$C:$C,'Factory Costs'!$A:$A,"Frame",'Factory Costs'!$B:$B,B1351))</f>
        <v>52</v>
      </c>
    </row>
    <row r="1352" spans="1:3" x14ac:dyDescent="0.25">
      <c r="A1352" s="1" t="s">
        <v>10609</v>
      </c>
      <c r="B1352" s="1" t="s">
        <v>16377</v>
      </c>
      <c r="C1352" s="3">
        <f>IF(B1352="","",SUMIFS('Factory Costs'!$C:$C,'Factory Costs'!$A:$A,"Frame",'Factory Costs'!$B:$B,B1352))</f>
        <v>39</v>
      </c>
    </row>
    <row r="1353" spans="1:3" x14ac:dyDescent="0.25">
      <c r="A1353" s="1" t="s">
        <v>10612</v>
      </c>
      <c r="B1353" s="1" t="s">
        <v>16377</v>
      </c>
      <c r="C1353" s="3">
        <f>IF(B1353="","",SUMIFS('Factory Costs'!$C:$C,'Factory Costs'!$A:$A,"Frame",'Factory Costs'!$B:$B,B1353))</f>
        <v>39</v>
      </c>
    </row>
    <row r="1354" spans="1:3" x14ac:dyDescent="0.25">
      <c r="A1354" s="1" t="s">
        <v>10615</v>
      </c>
      <c r="B1354" s="1" t="s">
        <v>16378</v>
      </c>
      <c r="C1354" s="3">
        <f>IF(B1354="","",SUMIFS('Factory Costs'!$C:$C,'Factory Costs'!$A:$A,"Frame",'Factory Costs'!$B:$B,B1354))</f>
        <v>52</v>
      </c>
    </row>
    <row r="1355" spans="1:3" x14ac:dyDescent="0.25">
      <c r="A1355" s="1" t="s">
        <v>10618</v>
      </c>
      <c r="B1355" s="1" t="s">
        <v>16379</v>
      </c>
      <c r="C1355" s="3">
        <f>IF(B1355="","",SUMIFS('Factory Costs'!$C:$C,'Factory Costs'!$A:$A,"Frame",'Factory Costs'!$B:$B,B1355))</f>
        <v>45</v>
      </c>
    </row>
    <row r="1356" spans="1:3" x14ac:dyDescent="0.25">
      <c r="A1356" s="1" t="s">
        <v>10621</v>
      </c>
      <c r="B1356" s="1" t="s">
        <v>16379</v>
      </c>
      <c r="C1356" s="3">
        <f>IF(B1356="","",SUMIFS('Factory Costs'!$C:$C,'Factory Costs'!$A:$A,"Frame",'Factory Costs'!$B:$B,B1356))</f>
        <v>45</v>
      </c>
    </row>
    <row r="1357" spans="1:3" x14ac:dyDescent="0.25">
      <c r="A1357" s="1" t="s">
        <v>10624</v>
      </c>
      <c r="B1357" s="1" t="s">
        <v>16377</v>
      </c>
      <c r="C1357" s="3">
        <f>IF(B1357="","",SUMIFS('Factory Costs'!$C:$C,'Factory Costs'!$A:$A,"Frame",'Factory Costs'!$B:$B,B1357))</f>
        <v>39</v>
      </c>
    </row>
    <row r="1358" spans="1:3" x14ac:dyDescent="0.25">
      <c r="A1358" s="1" t="s">
        <v>10627</v>
      </c>
      <c r="B1358" s="1" t="s">
        <v>16379</v>
      </c>
      <c r="C1358" s="3">
        <f>IF(B1358="","",SUMIFS('Factory Costs'!$C:$C,'Factory Costs'!$A:$A,"Frame",'Factory Costs'!$B:$B,B1358))</f>
        <v>45</v>
      </c>
    </row>
    <row r="1359" spans="1:3" x14ac:dyDescent="0.25">
      <c r="A1359" s="1" t="s">
        <v>10630</v>
      </c>
      <c r="B1359" s="1" t="s">
        <v>16377</v>
      </c>
      <c r="C1359" s="3">
        <f>IF(B1359="","",SUMIFS('Factory Costs'!$C:$C,'Factory Costs'!$A:$A,"Frame",'Factory Costs'!$B:$B,B1359))</f>
        <v>39</v>
      </c>
    </row>
    <row r="1360" spans="1:3" x14ac:dyDescent="0.25">
      <c r="A1360" s="1" t="s">
        <v>10633</v>
      </c>
      <c r="B1360" s="1" t="s">
        <v>16377</v>
      </c>
      <c r="C1360" s="3">
        <f>IF(B1360="","",SUMIFS('Factory Costs'!$C:$C,'Factory Costs'!$A:$A,"Frame",'Factory Costs'!$B:$B,B1360))</f>
        <v>39</v>
      </c>
    </row>
    <row r="1361" spans="1:3" x14ac:dyDescent="0.25">
      <c r="A1361" s="1" t="s">
        <v>10636</v>
      </c>
      <c r="B1361" s="1" t="s">
        <v>16378</v>
      </c>
      <c r="C1361" s="3">
        <f>IF(B1361="","",SUMIFS('Factory Costs'!$C:$C,'Factory Costs'!$A:$A,"Frame",'Factory Costs'!$B:$B,B1361))</f>
        <v>52</v>
      </c>
    </row>
    <row r="1362" spans="1:3" x14ac:dyDescent="0.25">
      <c r="A1362" s="1" t="s">
        <v>10639</v>
      </c>
      <c r="B1362" s="1" t="s">
        <v>16379</v>
      </c>
      <c r="C1362" s="3">
        <f>IF(B1362="","",SUMIFS('Factory Costs'!$C:$C,'Factory Costs'!$A:$A,"Frame",'Factory Costs'!$B:$B,B1362))</f>
        <v>45</v>
      </c>
    </row>
    <row r="1363" spans="1:3" x14ac:dyDescent="0.25">
      <c r="A1363" s="1" t="s">
        <v>10642</v>
      </c>
      <c r="B1363" s="1" t="s">
        <v>16378</v>
      </c>
      <c r="C1363" s="3">
        <f>IF(B1363="","",SUMIFS('Factory Costs'!$C:$C,'Factory Costs'!$A:$A,"Frame",'Factory Costs'!$B:$B,B1363))</f>
        <v>52</v>
      </c>
    </row>
    <row r="1364" spans="1:3" x14ac:dyDescent="0.25">
      <c r="A1364" s="1" t="s">
        <v>10645</v>
      </c>
      <c r="B1364" s="1" t="s">
        <v>16379</v>
      </c>
      <c r="C1364" s="3">
        <f>IF(B1364="","",SUMIFS('Factory Costs'!$C:$C,'Factory Costs'!$A:$A,"Frame",'Factory Costs'!$B:$B,B1364))</f>
        <v>45</v>
      </c>
    </row>
    <row r="1365" spans="1:3" x14ac:dyDescent="0.25">
      <c r="A1365" s="1" t="s">
        <v>10648</v>
      </c>
      <c r="B1365" s="1" t="s">
        <v>16379</v>
      </c>
      <c r="C1365" s="3">
        <f>IF(B1365="","",SUMIFS('Factory Costs'!$C:$C,'Factory Costs'!$A:$A,"Frame",'Factory Costs'!$B:$B,B1365))</f>
        <v>45</v>
      </c>
    </row>
    <row r="1366" spans="1:3" x14ac:dyDescent="0.25">
      <c r="A1366" s="1" t="s">
        <v>10651</v>
      </c>
      <c r="B1366" s="1" t="s">
        <v>16377</v>
      </c>
      <c r="C1366" s="3">
        <f>IF(B1366="","",SUMIFS('Factory Costs'!$C:$C,'Factory Costs'!$A:$A,"Frame",'Factory Costs'!$B:$B,B1366))</f>
        <v>39</v>
      </c>
    </row>
    <row r="1367" spans="1:3" x14ac:dyDescent="0.25">
      <c r="A1367" s="1" t="s">
        <v>10654</v>
      </c>
      <c r="B1367" s="1" t="s">
        <v>16379</v>
      </c>
      <c r="C1367" s="3">
        <f>IF(B1367="","",SUMIFS('Factory Costs'!$C:$C,'Factory Costs'!$A:$A,"Frame",'Factory Costs'!$B:$B,B1367))</f>
        <v>45</v>
      </c>
    </row>
    <row r="1368" spans="1:3" x14ac:dyDescent="0.25">
      <c r="A1368" s="1" t="s">
        <v>10657</v>
      </c>
      <c r="B1368" s="1" t="s">
        <v>16378</v>
      </c>
      <c r="C1368" s="3">
        <f>IF(B1368="","",SUMIFS('Factory Costs'!$C:$C,'Factory Costs'!$A:$A,"Frame",'Factory Costs'!$B:$B,B1368))</f>
        <v>52</v>
      </c>
    </row>
    <row r="1369" spans="1:3" x14ac:dyDescent="0.25">
      <c r="A1369" s="1" t="s">
        <v>10660</v>
      </c>
      <c r="B1369" s="1" t="s">
        <v>16377</v>
      </c>
      <c r="C1369" s="3">
        <f>IF(B1369="","",SUMIFS('Factory Costs'!$C:$C,'Factory Costs'!$A:$A,"Frame",'Factory Costs'!$B:$B,B1369))</f>
        <v>39</v>
      </c>
    </row>
    <row r="1370" spans="1:3" x14ac:dyDescent="0.25">
      <c r="A1370" s="1" t="s">
        <v>10663</v>
      </c>
      <c r="B1370" s="1" t="s">
        <v>16377</v>
      </c>
      <c r="C1370" s="3">
        <f>IF(B1370="","",SUMIFS('Factory Costs'!$C:$C,'Factory Costs'!$A:$A,"Frame",'Factory Costs'!$B:$B,B1370))</f>
        <v>39</v>
      </c>
    </row>
    <row r="1371" spans="1:3" x14ac:dyDescent="0.25">
      <c r="A1371" s="1" t="s">
        <v>10666</v>
      </c>
      <c r="B1371" s="1" t="s">
        <v>16378</v>
      </c>
      <c r="C1371" s="3">
        <f>IF(B1371="","",SUMIFS('Factory Costs'!$C:$C,'Factory Costs'!$A:$A,"Frame",'Factory Costs'!$B:$B,B1371))</f>
        <v>52</v>
      </c>
    </row>
    <row r="1372" spans="1:3" x14ac:dyDescent="0.25">
      <c r="A1372" s="1" t="s">
        <v>10669</v>
      </c>
      <c r="B1372" s="1" t="s">
        <v>16378</v>
      </c>
      <c r="C1372" s="3">
        <f>IF(B1372="","",SUMIFS('Factory Costs'!$C:$C,'Factory Costs'!$A:$A,"Frame",'Factory Costs'!$B:$B,B1372))</f>
        <v>52</v>
      </c>
    </row>
    <row r="1373" spans="1:3" x14ac:dyDescent="0.25">
      <c r="A1373" s="1" t="s">
        <v>10672</v>
      </c>
      <c r="B1373" s="1" t="s">
        <v>16379</v>
      </c>
      <c r="C1373" s="3">
        <f>IF(B1373="","",SUMIFS('Factory Costs'!$C:$C,'Factory Costs'!$A:$A,"Frame",'Factory Costs'!$B:$B,B1373))</f>
        <v>45</v>
      </c>
    </row>
    <row r="1374" spans="1:3" x14ac:dyDescent="0.25">
      <c r="A1374" s="1" t="s">
        <v>10675</v>
      </c>
      <c r="B1374" s="1" t="s">
        <v>16379</v>
      </c>
      <c r="C1374" s="3">
        <f>IF(B1374="","",SUMIFS('Factory Costs'!$C:$C,'Factory Costs'!$A:$A,"Frame",'Factory Costs'!$B:$B,B1374))</f>
        <v>45</v>
      </c>
    </row>
    <row r="1375" spans="1:3" x14ac:dyDescent="0.25">
      <c r="A1375" s="1" t="s">
        <v>10678</v>
      </c>
      <c r="B1375" s="1" t="s">
        <v>16377</v>
      </c>
      <c r="C1375" s="3">
        <f>IF(B1375="","",SUMIFS('Factory Costs'!$C:$C,'Factory Costs'!$A:$A,"Frame",'Factory Costs'!$B:$B,B1375))</f>
        <v>39</v>
      </c>
    </row>
    <row r="1376" spans="1:3" x14ac:dyDescent="0.25">
      <c r="A1376" s="1" t="s">
        <v>10681</v>
      </c>
      <c r="B1376" s="1" t="s">
        <v>16378</v>
      </c>
      <c r="C1376" s="3">
        <f>IF(B1376="","",SUMIFS('Factory Costs'!$C:$C,'Factory Costs'!$A:$A,"Frame",'Factory Costs'!$B:$B,B1376))</f>
        <v>52</v>
      </c>
    </row>
    <row r="1377" spans="1:3" x14ac:dyDescent="0.25">
      <c r="A1377" s="1" t="s">
        <v>10684</v>
      </c>
      <c r="B1377" s="1" t="s">
        <v>16377</v>
      </c>
      <c r="C1377" s="3">
        <f>IF(B1377="","",SUMIFS('Factory Costs'!$C:$C,'Factory Costs'!$A:$A,"Frame",'Factory Costs'!$B:$B,B1377))</f>
        <v>39</v>
      </c>
    </row>
    <row r="1378" spans="1:3" x14ac:dyDescent="0.25">
      <c r="A1378" s="1" t="s">
        <v>10687</v>
      </c>
      <c r="B1378" s="1" t="s">
        <v>16379</v>
      </c>
      <c r="C1378" s="3">
        <f>IF(B1378="","",SUMIFS('Factory Costs'!$C:$C,'Factory Costs'!$A:$A,"Frame",'Factory Costs'!$B:$B,B1378))</f>
        <v>45</v>
      </c>
    </row>
    <row r="1379" spans="1:3" x14ac:dyDescent="0.25">
      <c r="A1379" s="1" t="s">
        <v>10690</v>
      </c>
      <c r="B1379" s="1" t="s">
        <v>16378</v>
      </c>
      <c r="C1379" s="3">
        <f>IF(B1379="","",SUMIFS('Factory Costs'!$C:$C,'Factory Costs'!$A:$A,"Frame",'Factory Costs'!$B:$B,B1379))</f>
        <v>52</v>
      </c>
    </row>
    <row r="1380" spans="1:3" x14ac:dyDescent="0.25">
      <c r="A1380" s="1" t="s">
        <v>10693</v>
      </c>
      <c r="B1380" s="1" t="s">
        <v>16377</v>
      </c>
      <c r="C1380" s="3">
        <f>IF(B1380="","",SUMIFS('Factory Costs'!$C:$C,'Factory Costs'!$A:$A,"Frame",'Factory Costs'!$B:$B,B1380))</f>
        <v>39</v>
      </c>
    </row>
    <row r="1381" spans="1:3" x14ac:dyDescent="0.25">
      <c r="A1381" s="1" t="s">
        <v>10696</v>
      </c>
      <c r="B1381" s="1" t="s">
        <v>16377</v>
      </c>
      <c r="C1381" s="3">
        <f>IF(B1381="","",SUMIFS('Factory Costs'!$C:$C,'Factory Costs'!$A:$A,"Frame",'Factory Costs'!$B:$B,B1381))</f>
        <v>39</v>
      </c>
    </row>
    <row r="1382" spans="1:3" x14ac:dyDescent="0.25">
      <c r="A1382" s="1" t="s">
        <v>10699</v>
      </c>
      <c r="B1382" s="1" t="s">
        <v>16377</v>
      </c>
      <c r="C1382" s="3">
        <f>IF(B1382="","",SUMIFS('Factory Costs'!$C:$C,'Factory Costs'!$A:$A,"Frame",'Factory Costs'!$B:$B,B1382))</f>
        <v>39</v>
      </c>
    </row>
    <row r="1383" spans="1:3" x14ac:dyDescent="0.25">
      <c r="A1383" s="1" t="s">
        <v>10702</v>
      </c>
      <c r="B1383" s="1" t="s">
        <v>16379</v>
      </c>
      <c r="C1383" s="3">
        <f>IF(B1383="","",SUMIFS('Factory Costs'!$C:$C,'Factory Costs'!$A:$A,"Frame",'Factory Costs'!$B:$B,B1383))</f>
        <v>45</v>
      </c>
    </row>
    <row r="1384" spans="1:3" x14ac:dyDescent="0.25">
      <c r="A1384" s="1" t="s">
        <v>10705</v>
      </c>
      <c r="B1384" s="1" t="s">
        <v>16377</v>
      </c>
      <c r="C1384" s="3">
        <f>IF(B1384="","",SUMIFS('Factory Costs'!$C:$C,'Factory Costs'!$A:$A,"Frame",'Factory Costs'!$B:$B,B1384))</f>
        <v>39</v>
      </c>
    </row>
    <row r="1385" spans="1:3" x14ac:dyDescent="0.25">
      <c r="A1385" s="1" t="s">
        <v>10708</v>
      </c>
      <c r="B1385" s="1" t="s">
        <v>16379</v>
      </c>
      <c r="C1385" s="3">
        <f>IF(B1385="","",SUMIFS('Factory Costs'!$C:$C,'Factory Costs'!$A:$A,"Frame",'Factory Costs'!$B:$B,B1385))</f>
        <v>45</v>
      </c>
    </row>
    <row r="1386" spans="1:3" x14ac:dyDescent="0.25">
      <c r="A1386" s="1" t="s">
        <v>10711</v>
      </c>
      <c r="B1386" s="1" t="s">
        <v>16377</v>
      </c>
      <c r="C1386" s="3">
        <f>IF(B1386="","",SUMIFS('Factory Costs'!$C:$C,'Factory Costs'!$A:$A,"Frame",'Factory Costs'!$B:$B,B1386))</f>
        <v>39</v>
      </c>
    </row>
    <row r="1387" spans="1:3" x14ac:dyDescent="0.25">
      <c r="A1387" s="1" t="s">
        <v>10714</v>
      </c>
      <c r="B1387" s="1" t="s">
        <v>16378</v>
      </c>
      <c r="C1387" s="3">
        <f>IF(B1387="","",SUMIFS('Factory Costs'!$C:$C,'Factory Costs'!$A:$A,"Frame",'Factory Costs'!$B:$B,B1387))</f>
        <v>52</v>
      </c>
    </row>
    <row r="1388" spans="1:3" x14ac:dyDescent="0.25">
      <c r="A1388" s="1" t="s">
        <v>10717</v>
      </c>
      <c r="B1388" s="1" t="s">
        <v>16377</v>
      </c>
      <c r="C1388" s="3">
        <f>IF(B1388="","",SUMIFS('Factory Costs'!$C:$C,'Factory Costs'!$A:$A,"Frame",'Factory Costs'!$B:$B,B1388))</f>
        <v>39</v>
      </c>
    </row>
    <row r="1389" spans="1:3" x14ac:dyDescent="0.25">
      <c r="A1389" s="1" t="s">
        <v>10720</v>
      </c>
      <c r="B1389" s="1" t="s">
        <v>16378</v>
      </c>
      <c r="C1389" s="3">
        <f>IF(B1389="","",SUMIFS('Factory Costs'!$C:$C,'Factory Costs'!$A:$A,"Frame",'Factory Costs'!$B:$B,B1389))</f>
        <v>52</v>
      </c>
    </row>
    <row r="1390" spans="1:3" x14ac:dyDescent="0.25">
      <c r="A1390" s="1" t="s">
        <v>10723</v>
      </c>
      <c r="B1390" s="1" t="s">
        <v>16377</v>
      </c>
      <c r="C1390" s="3">
        <f>IF(B1390="","",SUMIFS('Factory Costs'!$C:$C,'Factory Costs'!$A:$A,"Frame",'Factory Costs'!$B:$B,B1390))</f>
        <v>39</v>
      </c>
    </row>
    <row r="1391" spans="1:3" x14ac:dyDescent="0.25">
      <c r="A1391" s="1" t="s">
        <v>10726</v>
      </c>
      <c r="B1391" s="1" t="s">
        <v>16379</v>
      </c>
      <c r="C1391" s="3">
        <f>IF(B1391="","",SUMIFS('Factory Costs'!$C:$C,'Factory Costs'!$A:$A,"Frame",'Factory Costs'!$B:$B,B1391))</f>
        <v>45</v>
      </c>
    </row>
    <row r="1392" spans="1:3" x14ac:dyDescent="0.25">
      <c r="A1392" s="1" t="s">
        <v>10729</v>
      </c>
      <c r="B1392" s="1" t="s">
        <v>16377</v>
      </c>
      <c r="C1392" s="3">
        <f>IF(B1392="","",SUMIFS('Factory Costs'!$C:$C,'Factory Costs'!$A:$A,"Frame",'Factory Costs'!$B:$B,B1392))</f>
        <v>39</v>
      </c>
    </row>
    <row r="1393" spans="1:3" x14ac:dyDescent="0.25">
      <c r="A1393" s="1" t="s">
        <v>10732</v>
      </c>
      <c r="B1393" s="1" t="s">
        <v>16377</v>
      </c>
      <c r="C1393" s="3">
        <f>IF(B1393="","",SUMIFS('Factory Costs'!$C:$C,'Factory Costs'!$A:$A,"Frame",'Factory Costs'!$B:$B,B1393))</f>
        <v>39</v>
      </c>
    </row>
    <row r="1394" spans="1:3" x14ac:dyDescent="0.25">
      <c r="A1394" s="1" t="s">
        <v>10735</v>
      </c>
      <c r="B1394" s="1" t="s">
        <v>16377</v>
      </c>
      <c r="C1394" s="3">
        <f>IF(B1394="","",SUMIFS('Factory Costs'!$C:$C,'Factory Costs'!$A:$A,"Frame",'Factory Costs'!$B:$B,B1394))</f>
        <v>39</v>
      </c>
    </row>
    <row r="1395" spans="1:3" x14ac:dyDescent="0.25">
      <c r="A1395" s="1" t="s">
        <v>10738</v>
      </c>
      <c r="B1395" s="1" t="s">
        <v>16378</v>
      </c>
      <c r="C1395" s="3">
        <f>IF(B1395="","",SUMIFS('Factory Costs'!$C:$C,'Factory Costs'!$A:$A,"Frame",'Factory Costs'!$B:$B,B1395))</f>
        <v>52</v>
      </c>
    </row>
    <row r="1396" spans="1:3" x14ac:dyDescent="0.25">
      <c r="A1396" s="1" t="s">
        <v>10741</v>
      </c>
      <c r="B1396" s="1" t="s">
        <v>16377</v>
      </c>
      <c r="C1396" s="3">
        <f>IF(B1396="","",SUMIFS('Factory Costs'!$C:$C,'Factory Costs'!$A:$A,"Frame",'Factory Costs'!$B:$B,B1396))</f>
        <v>39</v>
      </c>
    </row>
    <row r="1397" spans="1:3" x14ac:dyDescent="0.25">
      <c r="A1397" s="1" t="s">
        <v>10744</v>
      </c>
      <c r="B1397" s="1" t="s">
        <v>16379</v>
      </c>
      <c r="C1397" s="3">
        <f>IF(B1397="","",SUMIFS('Factory Costs'!$C:$C,'Factory Costs'!$A:$A,"Frame",'Factory Costs'!$B:$B,B1397))</f>
        <v>45</v>
      </c>
    </row>
    <row r="1398" spans="1:3" x14ac:dyDescent="0.25">
      <c r="A1398" s="1" t="s">
        <v>10747</v>
      </c>
      <c r="B1398" s="1" t="s">
        <v>16378</v>
      </c>
      <c r="C1398" s="3">
        <f>IF(B1398="","",SUMIFS('Factory Costs'!$C:$C,'Factory Costs'!$A:$A,"Frame",'Factory Costs'!$B:$B,B1398))</f>
        <v>52</v>
      </c>
    </row>
    <row r="1399" spans="1:3" x14ac:dyDescent="0.25">
      <c r="A1399" s="1" t="s">
        <v>10750</v>
      </c>
      <c r="B1399" s="1" t="s">
        <v>16378</v>
      </c>
      <c r="C1399" s="3">
        <f>IF(B1399="","",SUMIFS('Factory Costs'!$C:$C,'Factory Costs'!$A:$A,"Frame",'Factory Costs'!$B:$B,B1399))</f>
        <v>52</v>
      </c>
    </row>
    <row r="1400" spans="1:3" x14ac:dyDescent="0.25">
      <c r="A1400" s="1" t="s">
        <v>10753</v>
      </c>
      <c r="B1400" s="1" t="s">
        <v>16379</v>
      </c>
      <c r="C1400" s="3">
        <f>IF(B1400="","",SUMIFS('Factory Costs'!$C:$C,'Factory Costs'!$A:$A,"Frame",'Factory Costs'!$B:$B,B1400))</f>
        <v>45</v>
      </c>
    </row>
    <row r="1401" spans="1:3" x14ac:dyDescent="0.25">
      <c r="A1401" s="1" t="s">
        <v>10756</v>
      </c>
      <c r="B1401" s="1" t="s">
        <v>16378</v>
      </c>
      <c r="C1401" s="3">
        <f>IF(B1401="","",SUMIFS('Factory Costs'!$C:$C,'Factory Costs'!$A:$A,"Frame",'Factory Costs'!$B:$B,B1401))</f>
        <v>52</v>
      </c>
    </row>
    <row r="1402" spans="1:3" x14ac:dyDescent="0.25">
      <c r="A1402" s="1" t="s">
        <v>10759</v>
      </c>
      <c r="B1402" s="1" t="s">
        <v>16378</v>
      </c>
      <c r="C1402" s="3">
        <f>IF(B1402="","",SUMIFS('Factory Costs'!$C:$C,'Factory Costs'!$A:$A,"Frame",'Factory Costs'!$B:$B,B1402))</f>
        <v>52</v>
      </c>
    </row>
    <row r="1403" spans="1:3" x14ac:dyDescent="0.25">
      <c r="A1403" s="1" t="s">
        <v>10762</v>
      </c>
      <c r="B1403" s="1" t="s">
        <v>16377</v>
      </c>
      <c r="C1403" s="3">
        <f>IF(B1403="","",SUMIFS('Factory Costs'!$C:$C,'Factory Costs'!$A:$A,"Frame",'Factory Costs'!$B:$B,B1403))</f>
        <v>39</v>
      </c>
    </row>
    <row r="1404" spans="1:3" x14ac:dyDescent="0.25">
      <c r="A1404" s="1" t="s">
        <v>10765</v>
      </c>
      <c r="B1404" s="1" t="s">
        <v>16377</v>
      </c>
      <c r="C1404" s="3">
        <f>IF(B1404="","",SUMIFS('Factory Costs'!$C:$C,'Factory Costs'!$A:$A,"Frame",'Factory Costs'!$B:$B,B1404))</f>
        <v>39</v>
      </c>
    </row>
    <row r="1405" spans="1:3" x14ac:dyDescent="0.25">
      <c r="A1405" s="1" t="s">
        <v>10768</v>
      </c>
      <c r="B1405" s="1" t="s">
        <v>16378</v>
      </c>
      <c r="C1405" s="3">
        <f>IF(B1405="","",SUMIFS('Factory Costs'!$C:$C,'Factory Costs'!$A:$A,"Frame",'Factory Costs'!$B:$B,B1405))</f>
        <v>52</v>
      </c>
    </row>
    <row r="1406" spans="1:3" x14ac:dyDescent="0.25">
      <c r="A1406" s="1" t="s">
        <v>10771</v>
      </c>
      <c r="B1406" s="1" t="s">
        <v>16379</v>
      </c>
      <c r="C1406" s="3">
        <f>IF(B1406="","",SUMIFS('Factory Costs'!$C:$C,'Factory Costs'!$A:$A,"Frame",'Factory Costs'!$B:$B,B1406))</f>
        <v>45</v>
      </c>
    </row>
    <row r="1407" spans="1:3" x14ac:dyDescent="0.25">
      <c r="A1407" s="1" t="s">
        <v>10774</v>
      </c>
      <c r="B1407" s="1" t="s">
        <v>16377</v>
      </c>
      <c r="C1407" s="3">
        <f>IF(B1407="","",SUMIFS('Factory Costs'!$C:$C,'Factory Costs'!$A:$A,"Frame",'Factory Costs'!$B:$B,B1407))</f>
        <v>39</v>
      </c>
    </row>
    <row r="1408" spans="1:3" x14ac:dyDescent="0.25">
      <c r="A1408" s="1" t="s">
        <v>10777</v>
      </c>
      <c r="B1408" s="1" t="s">
        <v>16378</v>
      </c>
      <c r="C1408" s="3">
        <f>IF(B1408="","",SUMIFS('Factory Costs'!$C:$C,'Factory Costs'!$A:$A,"Frame",'Factory Costs'!$B:$B,B1408))</f>
        <v>52</v>
      </c>
    </row>
    <row r="1409" spans="1:3" x14ac:dyDescent="0.25">
      <c r="A1409" s="1" t="s">
        <v>10780</v>
      </c>
      <c r="B1409" s="1" t="s">
        <v>16377</v>
      </c>
      <c r="C1409" s="3">
        <f>IF(B1409="","",SUMIFS('Factory Costs'!$C:$C,'Factory Costs'!$A:$A,"Frame",'Factory Costs'!$B:$B,B1409))</f>
        <v>39</v>
      </c>
    </row>
    <row r="1410" spans="1:3" x14ac:dyDescent="0.25">
      <c r="A1410" s="1" t="s">
        <v>10783</v>
      </c>
      <c r="B1410" s="1" t="s">
        <v>16378</v>
      </c>
      <c r="C1410" s="3">
        <f>IF(B1410="","",SUMIFS('Factory Costs'!$C:$C,'Factory Costs'!$A:$A,"Frame",'Factory Costs'!$B:$B,B1410))</f>
        <v>52</v>
      </c>
    </row>
    <row r="1411" spans="1:3" x14ac:dyDescent="0.25">
      <c r="A1411" s="1" t="s">
        <v>10786</v>
      </c>
      <c r="B1411" s="1" t="s">
        <v>16379</v>
      </c>
      <c r="C1411" s="3">
        <f>IF(B1411="","",SUMIFS('Factory Costs'!$C:$C,'Factory Costs'!$A:$A,"Frame",'Factory Costs'!$B:$B,B1411))</f>
        <v>45</v>
      </c>
    </row>
    <row r="1412" spans="1:3" x14ac:dyDescent="0.25">
      <c r="A1412" s="1" t="s">
        <v>10789</v>
      </c>
      <c r="B1412" s="1" t="s">
        <v>16379</v>
      </c>
      <c r="C1412" s="3">
        <f>IF(B1412="","",SUMIFS('Factory Costs'!$C:$C,'Factory Costs'!$A:$A,"Frame",'Factory Costs'!$B:$B,B1412))</f>
        <v>45</v>
      </c>
    </row>
    <row r="1413" spans="1:3" x14ac:dyDescent="0.25">
      <c r="A1413" s="1" t="s">
        <v>10792</v>
      </c>
      <c r="B1413" s="1" t="s">
        <v>16379</v>
      </c>
      <c r="C1413" s="3">
        <f>IF(B1413="","",SUMIFS('Factory Costs'!$C:$C,'Factory Costs'!$A:$A,"Frame",'Factory Costs'!$B:$B,B1413))</f>
        <v>45</v>
      </c>
    </row>
    <row r="1414" spans="1:3" x14ac:dyDescent="0.25">
      <c r="A1414" s="1" t="s">
        <v>10795</v>
      </c>
      <c r="B1414" s="1" t="s">
        <v>16378</v>
      </c>
      <c r="C1414" s="3">
        <f>IF(B1414="","",SUMIFS('Factory Costs'!$C:$C,'Factory Costs'!$A:$A,"Frame",'Factory Costs'!$B:$B,B1414))</f>
        <v>52</v>
      </c>
    </row>
    <row r="1415" spans="1:3" x14ac:dyDescent="0.25">
      <c r="A1415" s="1" t="s">
        <v>10798</v>
      </c>
      <c r="B1415" s="1" t="s">
        <v>16377</v>
      </c>
      <c r="C1415" s="3">
        <f>IF(B1415="","",SUMIFS('Factory Costs'!$C:$C,'Factory Costs'!$A:$A,"Frame",'Factory Costs'!$B:$B,B1415))</f>
        <v>39</v>
      </c>
    </row>
    <row r="1416" spans="1:3" x14ac:dyDescent="0.25">
      <c r="A1416" s="1" t="s">
        <v>10801</v>
      </c>
      <c r="B1416" s="1" t="s">
        <v>16378</v>
      </c>
      <c r="C1416" s="3">
        <f>IF(B1416="","",SUMIFS('Factory Costs'!$C:$C,'Factory Costs'!$A:$A,"Frame",'Factory Costs'!$B:$B,B1416))</f>
        <v>52</v>
      </c>
    </row>
    <row r="1417" spans="1:3" x14ac:dyDescent="0.25">
      <c r="A1417" s="1" t="s">
        <v>10804</v>
      </c>
      <c r="B1417" s="1" t="s">
        <v>16379</v>
      </c>
      <c r="C1417" s="3">
        <f>IF(B1417="","",SUMIFS('Factory Costs'!$C:$C,'Factory Costs'!$A:$A,"Frame",'Factory Costs'!$B:$B,B1417))</f>
        <v>45</v>
      </c>
    </row>
    <row r="1418" spans="1:3" x14ac:dyDescent="0.25">
      <c r="A1418" s="1" t="s">
        <v>10807</v>
      </c>
      <c r="B1418" s="1" t="s">
        <v>16379</v>
      </c>
      <c r="C1418" s="3">
        <f>IF(B1418="","",SUMIFS('Factory Costs'!$C:$C,'Factory Costs'!$A:$A,"Frame",'Factory Costs'!$B:$B,B1418))</f>
        <v>45</v>
      </c>
    </row>
    <row r="1419" spans="1:3" x14ac:dyDescent="0.25">
      <c r="A1419" s="1" t="s">
        <v>10810</v>
      </c>
      <c r="B1419" s="1" t="s">
        <v>16377</v>
      </c>
      <c r="C1419" s="3">
        <f>IF(B1419="","",SUMIFS('Factory Costs'!$C:$C,'Factory Costs'!$A:$A,"Frame",'Factory Costs'!$B:$B,B1419))</f>
        <v>39</v>
      </c>
    </row>
    <row r="1420" spans="1:3" x14ac:dyDescent="0.25">
      <c r="A1420" s="1" t="s">
        <v>10813</v>
      </c>
      <c r="B1420" s="1" t="s">
        <v>16377</v>
      </c>
      <c r="C1420" s="3">
        <f>IF(B1420="","",SUMIFS('Factory Costs'!$C:$C,'Factory Costs'!$A:$A,"Frame",'Factory Costs'!$B:$B,B1420))</f>
        <v>39</v>
      </c>
    </row>
    <row r="1421" spans="1:3" x14ac:dyDescent="0.25">
      <c r="A1421" s="1" t="s">
        <v>10816</v>
      </c>
      <c r="B1421" s="1" t="s">
        <v>16379</v>
      </c>
      <c r="C1421" s="3">
        <f>IF(B1421="","",SUMIFS('Factory Costs'!$C:$C,'Factory Costs'!$A:$A,"Frame",'Factory Costs'!$B:$B,B1421))</f>
        <v>45</v>
      </c>
    </row>
    <row r="1422" spans="1:3" x14ac:dyDescent="0.25">
      <c r="A1422" s="1" t="s">
        <v>10819</v>
      </c>
      <c r="B1422" s="1" t="s">
        <v>16379</v>
      </c>
      <c r="C1422" s="3">
        <f>IF(B1422="","",SUMIFS('Factory Costs'!$C:$C,'Factory Costs'!$A:$A,"Frame",'Factory Costs'!$B:$B,B1422))</f>
        <v>45</v>
      </c>
    </row>
    <row r="1423" spans="1:3" x14ac:dyDescent="0.25">
      <c r="A1423" s="1" t="s">
        <v>10822</v>
      </c>
      <c r="B1423" s="1" t="s">
        <v>16379</v>
      </c>
      <c r="C1423" s="3">
        <f>IF(B1423="","",SUMIFS('Factory Costs'!$C:$C,'Factory Costs'!$A:$A,"Frame",'Factory Costs'!$B:$B,B1423))</f>
        <v>45</v>
      </c>
    </row>
    <row r="1424" spans="1:3" x14ac:dyDescent="0.25">
      <c r="A1424" s="1" t="s">
        <v>10825</v>
      </c>
      <c r="B1424" s="1" t="s">
        <v>16378</v>
      </c>
      <c r="C1424" s="3">
        <f>IF(B1424="","",SUMIFS('Factory Costs'!$C:$C,'Factory Costs'!$A:$A,"Frame",'Factory Costs'!$B:$B,B1424))</f>
        <v>52</v>
      </c>
    </row>
    <row r="1425" spans="1:3" x14ac:dyDescent="0.25">
      <c r="A1425" s="1" t="s">
        <v>10828</v>
      </c>
      <c r="B1425" s="1" t="s">
        <v>16378</v>
      </c>
      <c r="C1425" s="3">
        <f>IF(B1425="","",SUMIFS('Factory Costs'!$C:$C,'Factory Costs'!$A:$A,"Frame",'Factory Costs'!$B:$B,B1425))</f>
        <v>52</v>
      </c>
    </row>
    <row r="1426" spans="1:3" x14ac:dyDescent="0.25">
      <c r="A1426" s="1" t="s">
        <v>10831</v>
      </c>
      <c r="B1426" s="1" t="s">
        <v>16379</v>
      </c>
      <c r="C1426" s="3">
        <f>IF(B1426="","",SUMIFS('Factory Costs'!$C:$C,'Factory Costs'!$A:$A,"Frame",'Factory Costs'!$B:$B,B1426))</f>
        <v>45</v>
      </c>
    </row>
    <row r="1427" spans="1:3" x14ac:dyDescent="0.25">
      <c r="A1427" s="1" t="s">
        <v>10834</v>
      </c>
      <c r="B1427" s="1" t="s">
        <v>16378</v>
      </c>
      <c r="C1427" s="3">
        <f>IF(B1427="","",SUMIFS('Factory Costs'!$C:$C,'Factory Costs'!$A:$A,"Frame",'Factory Costs'!$B:$B,B1427))</f>
        <v>52</v>
      </c>
    </row>
    <row r="1428" spans="1:3" x14ac:dyDescent="0.25">
      <c r="A1428" s="1" t="s">
        <v>10837</v>
      </c>
      <c r="B1428" s="1" t="s">
        <v>16377</v>
      </c>
      <c r="C1428" s="3">
        <f>IF(B1428="","",SUMIFS('Factory Costs'!$C:$C,'Factory Costs'!$A:$A,"Frame",'Factory Costs'!$B:$B,B1428))</f>
        <v>39</v>
      </c>
    </row>
    <row r="1429" spans="1:3" x14ac:dyDescent="0.25">
      <c r="A1429" s="1" t="s">
        <v>10840</v>
      </c>
      <c r="B1429" s="1" t="s">
        <v>16379</v>
      </c>
      <c r="C1429" s="3">
        <f>IF(B1429="","",SUMIFS('Factory Costs'!$C:$C,'Factory Costs'!$A:$A,"Frame",'Factory Costs'!$B:$B,B1429))</f>
        <v>45</v>
      </c>
    </row>
    <row r="1430" spans="1:3" x14ac:dyDescent="0.25">
      <c r="A1430" s="1" t="s">
        <v>10843</v>
      </c>
      <c r="B1430" s="1" t="s">
        <v>16378</v>
      </c>
      <c r="C1430" s="3">
        <f>IF(B1430="","",SUMIFS('Factory Costs'!$C:$C,'Factory Costs'!$A:$A,"Frame",'Factory Costs'!$B:$B,B1430))</f>
        <v>52</v>
      </c>
    </row>
    <row r="1431" spans="1:3" x14ac:dyDescent="0.25">
      <c r="A1431" s="1" t="s">
        <v>10846</v>
      </c>
      <c r="B1431" s="1" t="s">
        <v>16378</v>
      </c>
      <c r="C1431" s="3">
        <f>IF(B1431="","",SUMIFS('Factory Costs'!$C:$C,'Factory Costs'!$A:$A,"Frame",'Factory Costs'!$B:$B,B1431))</f>
        <v>52</v>
      </c>
    </row>
    <row r="1432" spans="1:3" x14ac:dyDescent="0.25">
      <c r="A1432" s="1" t="s">
        <v>10849</v>
      </c>
      <c r="B1432" s="1" t="s">
        <v>16378</v>
      </c>
      <c r="C1432" s="3">
        <f>IF(B1432="","",SUMIFS('Factory Costs'!$C:$C,'Factory Costs'!$A:$A,"Frame",'Factory Costs'!$B:$B,B1432))</f>
        <v>52</v>
      </c>
    </row>
    <row r="1433" spans="1:3" x14ac:dyDescent="0.25">
      <c r="A1433" s="1" t="s">
        <v>10852</v>
      </c>
      <c r="B1433" s="1" t="s">
        <v>16379</v>
      </c>
      <c r="C1433" s="3">
        <f>IF(B1433="","",SUMIFS('Factory Costs'!$C:$C,'Factory Costs'!$A:$A,"Frame",'Factory Costs'!$B:$B,B1433))</f>
        <v>45</v>
      </c>
    </row>
    <row r="1434" spans="1:3" x14ac:dyDescent="0.25">
      <c r="A1434" s="1" t="s">
        <v>10855</v>
      </c>
      <c r="B1434" s="1" t="s">
        <v>16379</v>
      </c>
      <c r="C1434" s="3">
        <f>IF(B1434="","",SUMIFS('Factory Costs'!$C:$C,'Factory Costs'!$A:$A,"Frame",'Factory Costs'!$B:$B,B1434))</f>
        <v>45</v>
      </c>
    </row>
    <row r="1435" spans="1:3" x14ac:dyDescent="0.25">
      <c r="A1435" s="1" t="s">
        <v>10858</v>
      </c>
      <c r="B1435" s="1" t="s">
        <v>16379</v>
      </c>
      <c r="C1435" s="3">
        <f>IF(B1435="","",SUMIFS('Factory Costs'!$C:$C,'Factory Costs'!$A:$A,"Frame",'Factory Costs'!$B:$B,B1435))</f>
        <v>45</v>
      </c>
    </row>
    <row r="1436" spans="1:3" x14ac:dyDescent="0.25">
      <c r="A1436" s="1" t="s">
        <v>10861</v>
      </c>
      <c r="B1436" s="1" t="s">
        <v>16379</v>
      </c>
      <c r="C1436" s="3">
        <f>IF(B1436="","",SUMIFS('Factory Costs'!$C:$C,'Factory Costs'!$A:$A,"Frame",'Factory Costs'!$B:$B,B1436))</f>
        <v>45</v>
      </c>
    </row>
    <row r="1437" spans="1:3" x14ac:dyDescent="0.25">
      <c r="A1437" s="1" t="s">
        <v>10864</v>
      </c>
      <c r="B1437" s="1" t="s">
        <v>16379</v>
      </c>
      <c r="C1437" s="3">
        <f>IF(B1437="","",SUMIFS('Factory Costs'!$C:$C,'Factory Costs'!$A:$A,"Frame",'Factory Costs'!$B:$B,B1437))</f>
        <v>45</v>
      </c>
    </row>
    <row r="1438" spans="1:3" x14ac:dyDescent="0.25">
      <c r="A1438" s="1" t="s">
        <v>10867</v>
      </c>
      <c r="B1438" s="1" t="s">
        <v>16378</v>
      </c>
      <c r="C1438" s="3">
        <f>IF(B1438="","",SUMIFS('Factory Costs'!$C:$C,'Factory Costs'!$A:$A,"Frame",'Factory Costs'!$B:$B,B1438))</f>
        <v>52</v>
      </c>
    </row>
    <row r="1439" spans="1:3" x14ac:dyDescent="0.25">
      <c r="A1439" s="1" t="s">
        <v>10870</v>
      </c>
      <c r="B1439" s="1" t="s">
        <v>16377</v>
      </c>
      <c r="C1439" s="3">
        <f>IF(B1439="","",SUMIFS('Factory Costs'!$C:$C,'Factory Costs'!$A:$A,"Frame",'Factory Costs'!$B:$B,B1439))</f>
        <v>39</v>
      </c>
    </row>
    <row r="1440" spans="1:3" x14ac:dyDescent="0.25">
      <c r="A1440" s="1" t="s">
        <v>10873</v>
      </c>
      <c r="B1440" s="1" t="s">
        <v>16378</v>
      </c>
      <c r="C1440" s="3">
        <f>IF(B1440="","",SUMIFS('Factory Costs'!$C:$C,'Factory Costs'!$A:$A,"Frame",'Factory Costs'!$B:$B,B1440))</f>
        <v>52</v>
      </c>
    </row>
    <row r="1441" spans="1:3" x14ac:dyDescent="0.25">
      <c r="A1441" s="1" t="s">
        <v>10876</v>
      </c>
      <c r="B1441" s="1" t="s">
        <v>16378</v>
      </c>
      <c r="C1441" s="3">
        <f>IF(B1441="","",SUMIFS('Factory Costs'!$C:$C,'Factory Costs'!$A:$A,"Frame",'Factory Costs'!$B:$B,B1441))</f>
        <v>52</v>
      </c>
    </row>
    <row r="1442" spans="1:3" x14ac:dyDescent="0.25">
      <c r="A1442" s="1" t="s">
        <v>10879</v>
      </c>
      <c r="B1442" s="1" t="s">
        <v>16377</v>
      </c>
      <c r="C1442" s="3">
        <f>IF(B1442="","",SUMIFS('Factory Costs'!$C:$C,'Factory Costs'!$A:$A,"Frame",'Factory Costs'!$B:$B,B1442))</f>
        <v>39</v>
      </c>
    </row>
    <row r="1443" spans="1:3" x14ac:dyDescent="0.25">
      <c r="A1443" s="1" t="s">
        <v>10882</v>
      </c>
      <c r="B1443" s="1" t="s">
        <v>16378</v>
      </c>
      <c r="C1443" s="3">
        <f>IF(B1443="","",SUMIFS('Factory Costs'!$C:$C,'Factory Costs'!$A:$A,"Frame",'Factory Costs'!$B:$B,B1443))</f>
        <v>52</v>
      </c>
    </row>
    <row r="1444" spans="1:3" x14ac:dyDescent="0.25">
      <c r="A1444" s="1" t="s">
        <v>10885</v>
      </c>
      <c r="B1444" s="1" t="s">
        <v>16379</v>
      </c>
      <c r="C1444" s="3">
        <f>IF(B1444="","",SUMIFS('Factory Costs'!$C:$C,'Factory Costs'!$A:$A,"Frame",'Factory Costs'!$B:$B,B1444))</f>
        <v>45</v>
      </c>
    </row>
    <row r="1445" spans="1:3" x14ac:dyDescent="0.25">
      <c r="A1445" s="1" t="s">
        <v>10888</v>
      </c>
      <c r="B1445" s="1" t="s">
        <v>16379</v>
      </c>
      <c r="C1445" s="3">
        <f>IF(B1445="","",SUMIFS('Factory Costs'!$C:$C,'Factory Costs'!$A:$A,"Frame",'Factory Costs'!$B:$B,B1445))</f>
        <v>45</v>
      </c>
    </row>
    <row r="1446" spans="1:3" x14ac:dyDescent="0.25">
      <c r="A1446" s="1" t="s">
        <v>10891</v>
      </c>
      <c r="B1446" s="1" t="s">
        <v>16379</v>
      </c>
      <c r="C1446" s="3">
        <f>IF(B1446="","",SUMIFS('Factory Costs'!$C:$C,'Factory Costs'!$A:$A,"Frame",'Factory Costs'!$B:$B,B1446))</f>
        <v>45</v>
      </c>
    </row>
    <row r="1447" spans="1:3" x14ac:dyDescent="0.25">
      <c r="A1447" s="1" t="s">
        <v>10894</v>
      </c>
      <c r="B1447" s="1" t="s">
        <v>16378</v>
      </c>
      <c r="C1447" s="3">
        <f>IF(B1447="","",SUMIFS('Factory Costs'!$C:$C,'Factory Costs'!$A:$A,"Frame",'Factory Costs'!$B:$B,B1447))</f>
        <v>52</v>
      </c>
    </row>
    <row r="1448" spans="1:3" x14ac:dyDescent="0.25">
      <c r="A1448" s="1" t="s">
        <v>10897</v>
      </c>
      <c r="B1448" s="1" t="s">
        <v>16378</v>
      </c>
      <c r="C1448" s="3">
        <f>IF(B1448="","",SUMIFS('Factory Costs'!$C:$C,'Factory Costs'!$A:$A,"Frame",'Factory Costs'!$B:$B,B1448))</f>
        <v>52</v>
      </c>
    </row>
    <row r="1449" spans="1:3" x14ac:dyDescent="0.25">
      <c r="A1449" s="1" t="s">
        <v>10900</v>
      </c>
      <c r="B1449" s="1" t="s">
        <v>16377</v>
      </c>
      <c r="C1449" s="3">
        <f>IF(B1449="","",SUMIFS('Factory Costs'!$C:$C,'Factory Costs'!$A:$A,"Frame",'Factory Costs'!$B:$B,B1449))</f>
        <v>39</v>
      </c>
    </row>
    <row r="1450" spans="1:3" x14ac:dyDescent="0.25">
      <c r="A1450" s="1" t="s">
        <v>10903</v>
      </c>
      <c r="B1450" s="1" t="s">
        <v>16377</v>
      </c>
      <c r="C1450" s="3">
        <f>IF(B1450="","",SUMIFS('Factory Costs'!$C:$C,'Factory Costs'!$A:$A,"Frame",'Factory Costs'!$B:$B,B1450))</f>
        <v>39</v>
      </c>
    </row>
    <row r="1451" spans="1:3" x14ac:dyDescent="0.25">
      <c r="A1451" s="1" t="s">
        <v>10906</v>
      </c>
      <c r="B1451" s="1" t="s">
        <v>16377</v>
      </c>
      <c r="C1451" s="3">
        <f>IF(B1451="","",SUMIFS('Factory Costs'!$C:$C,'Factory Costs'!$A:$A,"Frame",'Factory Costs'!$B:$B,B1451))</f>
        <v>39</v>
      </c>
    </row>
    <row r="1452" spans="1:3" x14ac:dyDescent="0.25">
      <c r="A1452" s="1" t="s">
        <v>10909</v>
      </c>
      <c r="B1452" s="1" t="s">
        <v>16378</v>
      </c>
      <c r="C1452" s="3">
        <f>IF(B1452="","",SUMIFS('Factory Costs'!$C:$C,'Factory Costs'!$A:$A,"Frame",'Factory Costs'!$B:$B,B1452))</f>
        <v>52</v>
      </c>
    </row>
    <row r="1453" spans="1:3" x14ac:dyDescent="0.25">
      <c r="A1453" s="1" t="s">
        <v>10912</v>
      </c>
      <c r="B1453" s="1" t="s">
        <v>16377</v>
      </c>
      <c r="C1453" s="3">
        <f>IF(B1453="","",SUMIFS('Factory Costs'!$C:$C,'Factory Costs'!$A:$A,"Frame",'Factory Costs'!$B:$B,B1453))</f>
        <v>39</v>
      </c>
    </row>
    <row r="1454" spans="1:3" x14ac:dyDescent="0.25">
      <c r="A1454" s="1" t="s">
        <v>10915</v>
      </c>
      <c r="B1454" s="1" t="s">
        <v>16379</v>
      </c>
      <c r="C1454" s="3">
        <f>IF(B1454="","",SUMIFS('Factory Costs'!$C:$C,'Factory Costs'!$A:$A,"Frame",'Factory Costs'!$B:$B,B1454))</f>
        <v>45</v>
      </c>
    </row>
    <row r="1455" spans="1:3" x14ac:dyDescent="0.25">
      <c r="A1455" s="1" t="s">
        <v>10918</v>
      </c>
      <c r="B1455" s="1" t="s">
        <v>16379</v>
      </c>
      <c r="C1455" s="3">
        <f>IF(B1455="","",SUMIFS('Factory Costs'!$C:$C,'Factory Costs'!$A:$A,"Frame",'Factory Costs'!$B:$B,B1455))</f>
        <v>45</v>
      </c>
    </row>
    <row r="1456" spans="1:3" x14ac:dyDescent="0.25">
      <c r="A1456" s="1" t="s">
        <v>10921</v>
      </c>
      <c r="B1456" s="1" t="s">
        <v>16378</v>
      </c>
      <c r="C1456" s="3">
        <f>IF(B1456="","",SUMIFS('Factory Costs'!$C:$C,'Factory Costs'!$A:$A,"Frame",'Factory Costs'!$B:$B,B1456))</f>
        <v>52</v>
      </c>
    </row>
    <row r="1457" spans="1:3" x14ac:dyDescent="0.25">
      <c r="A1457" s="1" t="s">
        <v>10924</v>
      </c>
      <c r="B1457" s="1" t="s">
        <v>16379</v>
      </c>
      <c r="C1457" s="3">
        <f>IF(B1457="","",SUMIFS('Factory Costs'!$C:$C,'Factory Costs'!$A:$A,"Frame",'Factory Costs'!$B:$B,B1457))</f>
        <v>45</v>
      </c>
    </row>
    <row r="1458" spans="1:3" x14ac:dyDescent="0.25">
      <c r="A1458" s="1" t="s">
        <v>10927</v>
      </c>
      <c r="B1458" s="1" t="s">
        <v>16377</v>
      </c>
      <c r="C1458" s="3">
        <f>IF(B1458="","",SUMIFS('Factory Costs'!$C:$C,'Factory Costs'!$A:$A,"Frame",'Factory Costs'!$B:$B,B1458))</f>
        <v>39</v>
      </c>
    </row>
    <row r="1459" spans="1:3" x14ac:dyDescent="0.25">
      <c r="A1459" s="1" t="s">
        <v>10930</v>
      </c>
      <c r="B1459" s="1" t="s">
        <v>16377</v>
      </c>
      <c r="C1459" s="3">
        <f>IF(B1459="","",SUMIFS('Factory Costs'!$C:$C,'Factory Costs'!$A:$A,"Frame",'Factory Costs'!$B:$B,B1459))</f>
        <v>39</v>
      </c>
    </row>
    <row r="1460" spans="1:3" x14ac:dyDescent="0.25">
      <c r="A1460" s="1" t="s">
        <v>10933</v>
      </c>
      <c r="B1460" s="1" t="s">
        <v>16378</v>
      </c>
      <c r="C1460" s="3">
        <f>IF(B1460="","",SUMIFS('Factory Costs'!$C:$C,'Factory Costs'!$A:$A,"Frame",'Factory Costs'!$B:$B,B1460))</f>
        <v>52</v>
      </c>
    </row>
    <row r="1461" spans="1:3" x14ac:dyDescent="0.25">
      <c r="A1461" s="1" t="s">
        <v>10936</v>
      </c>
      <c r="B1461" s="1" t="s">
        <v>16379</v>
      </c>
      <c r="C1461" s="3">
        <f>IF(B1461="","",SUMIFS('Factory Costs'!$C:$C,'Factory Costs'!$A:$A,"Frame",'Factory Costs'!$B:$B,B1461))</f>
        <v>45</v>
      </c>
    </row>
    <row r="1462" spans="1:3" x14ac:dyDescent="0.25">
      <c r="A1462" s="1" t="s">
        <v>10939</v>
      </c>
      <c r="B1462" s="1" t="s">
        <v>16377</v>
      </c>
      <c r="C1462" s="3">
        <f>IF(B1462="","",SUMIFS('Factory Costs'!$C:$C,'Factory Costs'!$A:$A,"Frame",'Factory Costs'!$B:$B,B1462))</f>
        <v>39</v>
      </c>
    </row>
    <row r="1463" spans="1:3" x14ac:dyDescent="0.25">
      <c r="A1463" s="1" t="s">
        <v>10942</v>
      </c>
      <c r="B1463" s="1" t="s">
        <v>16377</v>
      </c>
      <c r="C1463" s="3">
        <f>IF(B1463="","",SUMIFS('Factory Costs'!$C:$C,'Factory Costs'!$A:$A,"Frame",'Factory Costs'!$B:$B,B1463))</f>
        <v>39</v>
      </c>
    </row>
    <row r="1464" spans="1:3" x14ac:dyDescent="0.25">
      <c r="A1464" s="1" t="s">
        <v>10945</v>
      </c>
      <c r="B1464" s="1" t="s">
        <v>16379</v>
      </c>
      <c r="C1464" s="3">
        <f>IF(B1464="","",SUMIFS('Factory Costs'!$C:$C,'Factory Costs'!$A:$A,"Frame",'Factory Costs'!$B:$B,B1464))</f>
        <v>45</v>
      </c>
    </row>
    <row r="1465" spans="1:3" x14ac:dyDescent="0.25">
      <c r="A1465" s="1" t="s">
        <v>10948</v>
      </c>
      <c r="B1465" s="1" t="s">
        <v>16379</v>
      </c>
      <c r="C1465" s="3">
        <f>IF(B1465="","",SUMIFS('Factory Costs'!$C:$C,'Factory Costs'!$A:$A,"Frame",'Factory Costs'!$B:$B,B1465))</f>
        <v>45</v>
      </c>
    </row>
    <row r="1466" spans="1:3" x14ac:dyDescent="0.25">
      <c r="A1466" s="1" t="s">
        <v>10951</v>
      </c>
      <c r="B1466" s="1" t="s">
        <v>16377</v>
      </c>
      <c r="C1466" s="3">
        <f>IF(B1466="","",SUMIFS('Factory Costs'!$C:$C,'Factory Costs'!$A:$A,"Frame",'Factory Costs'!$B:$B,B1466))</f>
        <v>39</v>
      </c>
    </row>
    <row r="1467" spans="1:3" x14ac:dyDescent="0.25">
      <c r="A1467" s="1" t="s">
        <v>10954</v>
      </c>
      <c r="B1467" s="1" t="s">
        <v>16378</v>
      </c>
      <c r="C1467" s="3">
        <f>IF(B1467="","",SUMIFS('Factory Costs'!$C:$C,'Factory Costs'!$A:$A,"Frame",'Factory Costs'!$B:$B,B1467))</f>
        <v>52</v>
      </c>
    </row>
    <row r="1468" spans="1:3" x14ac:dyDescent="0.25">
      <c r="A1468" s="1" t="s">
        <v>10957</v>
      </c>
      <c r="B1468" s="1" t="s">
        <v>16379</v>
      </c>
      <c r="C1468" s="3">
        <f>IF(B1468="","",SUMIFS('Factory Costs'!$C:$C,'Factory Costs'!$A:$A,"Frame",'Factory Costs'!$B:$B,B1468))</f>
        <v>45</v>
      </c>
    </row>
    <row r="1469" spans="1:3" x14ac:dyDescent="0.25">
      <c r="A1469" s="1" t="s">
        <v>10960</v>
      </c>
      <c r="B1469" s="1" t="s">
        <v>16379</v>
      </c>
      <c r="C1469" s="3">
        <f>IF(B1469="","",SUMIFS('Factory Costs'!$C:$C,'Factory Costs'!$A:$A,"Frame",'Factory Costs'!$B:$B,B1469))</f>
        <v>45</v>
      </c>
    </row>
    <row r="1470" spans="1:3" x14ac:dyDescent="0.25">
      <c r="A1470" s="1" t="s">
        <v>10963</v>
      </c>
      <c r="B1470" s="1" t="s">
        <v>16377</v>
      </c>
      <c r="C1470" s="3">
        <f>IF(B1470="","",SUMIFS('Factory Costs'!$C:$C,'Factory Costs'!$A:$A,"Frame",'Factory Costs'!$B:$B,B1470))</f>
        <v>39</v>
      </c>
    </row>
    <row r="1471" spans="1:3" x14ac:dyDescent="0.25">
      <c r="A1471" s="1" t="s">
        <v>10966</v>
      </c>
      <c r="B1471" s="1" t="s">
        <v>16378</v>
      </c>
      <c r="C1471" s="3">
        <f>IF(B1471="","",SUMIFS('Factory Costs'!$C:$C,'Factory Costs'!$A:$A,"Frame",'Factory Costs'!$B:$B,B1471))</f>
        <v>52</v>
      </c>
    </row>
    <row r="1472" spans="1:3" x14ac:dyDescent="0.25">
      <c r="A1472" s="1" t="s">
        <v>10969</v>
      </c>
      <c r="B1472" s="1" t="s">
        <v>16379</v>
      </c>
      <c r="C1472" s="3">
        <f>IF(B1472="","",SUMIFS('Factory Costs'!$C:$C,'Factory Costs'!$A:$A,"Frame",'Factory Costs'!$B:$B,B1472))</f>
        <v>45</v>
      </c>
    </row>
    <row r="1473" spans="1:3" x14ac:dyDescent="0.25">
      <c r="A1473" s="1" t="s">
        <v>10972</v>
      </c>
      <c r="B1473" s="1" t="s">
        <v>16377</v>
      </c>
      <c r="C1473" s="3">
        <f>IF(B1473="","",SUMIFS('Factory Costs'!$C:$C,'Factory Costs'!$A:$A,"Frame",'Factory Costs'!$B:$B,B1473))</f>
        <v>39</v>
      </c>
    </row>
    <row r="1474" spans="1:3" x14ac:dyDescent="0.25">
      <c r="A1474" s="1" t="s">
        <v>10975</v>
      </c>
      <c r="B1474" s="1" t="s">
        <v>16377</v>
      </c>
      <c r="C1474" s="3">
        <f>IF(B1474="","",SUMIFS('Factory Costs'!$C:$C,'Factory Costs'!$A:$A,"Frame",'Factory Costs'!$B:$B,B1474))</f>
        <v>39</v>
      </c>
    </row>
    <row r="1475" spans="1:3" x14ac:dyDescent="0.25">
      <c r="A1475" s="1" t="s">
        <v>10978</v>
      </c>
      <c r="B1475" s="1" t="s">
        <v>16378</v>
      </c>
      <c r="C1475" s="3">
        <f>IF(B1475="","",SUMIFS('Factory Costs'!$C:$C,'Factory Costs'!$A:$A,"Frame",'Factory Costs'!$B:$B,B1475))</f>
        <v>52</v>
      </c>
    </row>
    <row r="1476" spans="1:3" x14ac:dyDescent="0.25">
      <c r="A1476" s="1" t="s">
        <v>10981</v>
      </c>
      <c r="B1476" s="1" t="s">
        <v>16379</v>
      </c>
      <c r="C1476" s="3">
        <f>IF(B1476="","",SUMIFS('Factory Costs'!$C:$C,'Factory Costs'!$A:$A,"Frame",'Factory Costs'!$B:$B,B1476))</f>
        <v>45</v>
      </c>
    </row>
    <row r="1477" spans="1:3" x14ac:dyDescent="0.25">
      <c r="A1477" s="1" t="s">
        <v>10984</v>
      </c>
      <c r="B1477" s="1" t="s">
        <v>16377</v>
      </c>
      <c r="C1477" s="3">
        <f>IF(B1477="","",SUMIFS('Factory Costs'!$C:$C,'Factory Costs'!$A:$A,"Frame",'Factory Costs'!$B:$B,B1477))</f>
        <v>39</v>
      </c>
    </row>
    <row r="1478" spans="1:3" x14ac:dyDescent="0.25">
      <c r="A1478" s="1" t="s">
        <v>10987</v>
      </c>
      <c r="B1478" s="1" t="s">
        <v>16379</v>
      </c>
      <c r="C1478" s="3">
        <f>IF(B1478="","",SUMIFS('Factory Costs'!$C:$C,'Factory Costs'!$A:$A,"Frame",'Factory Costs'!$B:$B,B1478))</f>
        <v>45</v>
      </c>
    </row>
    <row r="1479" spans="1:3" x14ac:dyDescent="0.25">
      <c r="A1479" s="1" t="s">
        <v>10990</v>
      </c>
      <c r="B1479" s="1" t="s">
        <v>16377</v>
      </c>
      <c r="C1479" s="3">
        <f>IF(B1479="","",SUMIFS('Factory Costs'!$C:$C,'Factory Costs'!$A:$A,"Frame",'Factory Costs'!$B:$B,B1479))</f>
        <v>39</v>
      </c>
    </row>
    <row r="1480" spans="1:3" x14ac:dyDescent="0.25">
      <c r="A1480" s="1" t="s">
        <v>10993</v>
      </c>
      <c r="B1480" s="1" t="s">
        <v>16377</v>
      </c>
      <c r="C1480" s="3">
        <f>IF(B1480="","",SUMIFS('Factory Costs'!$C:$C,'Factory Costs'!$A:$A,"Frame",'Factory Costs'!$B:$B,B1480))</f>
        <v>39</v>
      </c>
    </row>
    <row r="1481" spans="1:3" x14ac:dyDescent="0.25">
      <c r="A1481" s="1" t="s">
        <v>10996</v>
      </c>
      <c r="B1481" s="1" t="s">
        <v>16379</v>
      </c>
      <c r="C1481" s="3">
        <f>IF(B1481="","",SUMIFS('Factory Costs'!$C:$C,'Factory Costs'!$A:$A,"Frame",'Factory Costs'!$B:$B,B1481))</f>
        <v>45</v>
      </c>
    </row>
    <row r="1482" spans="1:3" x14ac:dyDescent="0.25">
      <c r="A1482" s="1" t="s">
        <v>10999</v>
      </c>
      <c r="B1482" s="1" t="s">
        <v>16377</v>
      </c>
      <c r="C1482" s="3">
        <f>IF(B1482="","",SUMIFS('Factory Costs'!$C:$C,'Factory Costs'!$A:$A,"Frame",'Factory Costs'!$B:$B,B1482))</f>
        <v>39</v>
      </c>
    </row>
    <row r="1483" spans="1:3" x14ac:dyDescent="0.25">
      <c r="A1483" s="1" t="s">
        <v>11002</v>
      </c>
      <c r="B1483" s="1" t="s">
        <v>16379</v>
      </c>
      <c r="C1483" s="3">
        <f>IF(B1483="","",SUMIFS('Factory Costs'!$C:$C,'Factory Costs'!$A:$A,"Frame",'Factory Costs'!$B:$B,B1483))</f>
        <v>45</v>
      </c>
    </row>
    <row r="1484" spans="1:3" x14ac:dyDescent="0.25">
      <c r="A1484" s="1" t="s">
        <v>11005</v>
      </c>
      <c r="B1484" s="1" t="s">
        <v>16377</v>
      </c>
      <c r="C1484" s="3">
        <f>IF(B1484="","",SUMIFS('Factory Costs'!$C:$C,'Factory Costs'!$A:$A,"Frame",'Factory Costs'!$B:$B,B1484))</f>
        <v>39</v>
      </c>
    </row>
    <row r="1485" spans="1:3" x14ac:dyDescent="0.25">
      <c r="A1485" s="1" t="s">
        <v>11008</v>
      </c>
      <c r="B1485" s="1" t="s">
        <v>16379</v>
      </c>
      <c r="C1485" s="3">
        <f>IF(B1485="","",SUMIFS('Factory Costs'!$C:$C,'Factory Costs'!$A:$A,"Frame",'Factory Costs'!$B:$B,B1485))</f>
        <v>45</v>
      </c>
    </row>
    <row r="1486" spans="1:3" x14ac:dyDescent="0.25">
      <c r="A1486" s="1" t="s">
        <v>11011</v>
      </c>
      <c r="B1486" s="1" t="s">
        <v>16378</v>
      </c>
      <c r="C1486" s="3">
        <f>IF(B1486="","",SUMIFS('Factory Costs'!$C:$C,'Factory Costs'!$A:$A,"Frame",'Factory Costs'!$B:$B,B1486))</f>
        <v>52</v>
      </c>
    </row>
    <row r="1487" spans="1:3" x14ac:dyDescent="0.25">
      <c r="A1487" s="1" t="s">
        <v>11014</v>
      </c>
      <c r="B1487" s="1" t="s">
        <v>16378</v>
      </c>
      <c r="C1487" s="3">
        <f>IF(B1487="","",SUMIFS('Factory Costs'!$C:$C,'Factory Costs'!$A:$A,"Frame",'Factory Costs'!$B:$B,B1487))</f>
        <v>52</v>
      </c>
    </row>
    <row r="1488" spans="1:3" x14ac:dyDescent="0.25">
      <c r="A1488" s="1" t="s">
        <v>11017</v>
      </c>
      <c r="B1488" s="1" t="s">
        <v>16377</v>
      </c>
      <c r="C1488" s="3">
        <f>IF(B1488="","",SUMIFS('Factory Costs'!$C:$C,'Factory Costs'!$A:$A,"Frame",'Factory Costs'!$B:$B,B1488))</f>
        <v>39</v>
      </c>
    </row>
    <row r="1489" spans="1:3" x14ac:dyDescent="0.25">
      <c r="A1489" s="1" t="s">
        <v>11020</v>
      </c>
      <c r="B1489" s="1" t="s">
        <v>16377</v>
      </c>
      <c r="C1489" s="3">
        <f>IF(B1489="","",SUMIFS('Factory Costs'!$C:$C,'Factory Costs'!$A:$A,"Frame",'Factory Costs'!$B:$B,B1489))</f>
        <v>39</v>
      </c>
    </row>
    <row r="1490" spans="1:3" x14ac:dyDescent="0.25">
      <c r="A1490" s="1" t="s">
        <v>11023</v>
      </c>
      <c r="B1490" s="1" t="s">
        <v>16377</v>
      </c>
      <c r="C1490" s="3">
        <f>IF(B1490="","",SUMIFS('Factory Costs'!$C:$C,'Factory Costs'!$A:$A,"Frame",'Factory Costs'!$B:$B,B1490))</f>
        <v>39</v>
      </c>
    </row>
    <row r="1491" spans="1:3" x14ac:dyDescent="0.25">
      <c r="A1491" s="1" t="s">
        <v>11026</v>
      </c>
      <c r="B1491" s="1" t="s">
        <v>16378</v>
      </c>
      <c r="C1491" s="3">
        <f>IF(B1491="","",SUMIFS('Factory Costs'!$C:$C,'Factory Costs'!$A:$A,"Frame",'Factory Costs'!$B:$B,B1491))</f>
        <v>52</v>
      </c>
    </row>
    <row r="1492" spans="1:3" x14ac:dyDescent="0.25">
      <c r="A1492" s="1" t="s">
        <v>11029</v>
      </c>
      <c r="B1492" s="1" t="s">
        <v>16379</v>
      </c>
      <c r="C1492" s="3">
        <f>IF(B1492="","",SUMIFS('Factory Costs'!$C:$C,'Factory Costs'!$A:$A,"Frame",'Factory Costs'!$B:$B,B1492))</f>
        <v>45</v>
      </c>
    </row>
    <row r="1493" spans="1:3" x14ac:dyDescent="0.25">
      <c r="A1493" s="1" t="s">
        <v>11032</v>
      </c>
      <c r="B1493" s="1" t="s">
        <v>16377</v>
      </c>
      <c r="C1493" s="3">
        <f>IF(B1493="","",SUMIFS('Factory Costs'!$C:$C,'Factory Costs'!$A:$A,"Frame",'Factory Costs'!$B:$B,B1493))</f>
        <v>39</v>
      </c>
    </row>
    <row r="1494" spans="1:3" x14ac:dyDescent="0.25">
      <c r="A1494" s="1" t="s">
        <v>11035</v>
      </c>
      <c r="B1494" s="1" t="s">
        <v>16378</v>
      </c>
      <c r="C1494" s="3">
        <f>IF(B1494="","",SUMIFS('Factory Costs'!$C:$C,'Factory Costs'!$A:$A,"Frame",'Factory Costs'!$B:$B,B1494))</f>
        <v>52</v>
      </c>
    </row>
    <row r="1495" spans="1:3" x14ac:dyDescent="0.25">
      <c r="A1495" s="1" t="s">
        <v>11038</v>
      </c>
      <c r="B1495" s="1" t="s">
        <v>16378</v>
      </c>
      <c r="C1495" s="3">
        <f>IF(B1495="","",SUMIFS('Factory Costs'!$C:$C,'Factory Costs'!$A:$A,"Frame",'Factory Costs'!$B:$B,B1495))</f>
        <v>52</v>
      </c>
    </row>
    <row r="1496" spans="1:3" x14ac:dyDescent="0.25">
      <c r="A1496" s="1" t="s">
        <v>11041</v>
      </c>
      <c r="B1496" s="1" t="s">
        <v>16377</v>
      </c>
      <c r="C1496" s="3">
        <f>IF(B1496="","",SUMIFS('Factory Costs'!$C:$C,'Factory Costs'!$A:$A,"Frame",'Factory Costs'!$B:$B,B1496))</f>
        <v>39</v>
      </c>
    </row>
    <row r="1497" spans="1:3" x14ac:dyDescent="0.25">
      <c r="A1497" s="1" t="s">
        <v>11044</v>
      </c>
      <c r="B1497" s="1" t="s">
        <v>16378</v>
      </c>
      <c r="C1497" s="3">
        <f>IF(B1497="","",SUMIFS('Factory Costs'!$C:$C,'Factory Costs'!$A:$A,"Frame",'Factory Costs'!$B:$B,B1497))</f>
        <v>52</v>
      </c>
    </row>
    <row r="1498" spans="1:3" x14ac:dyDescent="0.25">
      <c r="A1498" s="1" t="s">
        <v>11047</v>
      </c>
      <c r="B1498" s="1" t="s">
        <v>16378</v>
      </c>
      <c r="C1498" s="3">
        <f>IF(B1498="","",SUMIFS('Factory Costs'!$C:$C,'Factory Costs'!$A:$A,"Frame",'Factory Costs'!$B:$B,B1498))</f>
        <v>52</v>
      </c>
    </row>
    <row r="1499" spans="1:3" x14ac:dyDescent="0.25">
      <c r="A1499" s="1" t="s">
        <v>11050</v>
      </c>
      <c r="B1499" s="1" t="s">
        <v>16379</v>
      </c>
      <c r="C1499" s="3">
        <f>IF(B1499="","",SUMIFS('Factory Costs'!$C:$C,'Factory Costs'!$A:$A,"Frame",'Factory Costs'!$B:$B,B1499))</f>
        <v>45</v>
      </c>
    </row>
    <row r="1500" spans="1:3" x14ac:dyDescent="0.25">
      <c r="A1500" s="1" t="s">
        <v>11053</v>
      </c>
      <c r="B1500" s="1" t="s">
        <v>16377</v>
      </c>
      <c r="C1500" s="3">
        <f>IF(B1500="","",SUMIFS('Factory Costs'!$C:$C,'Factory Costs'!$A:$A,"Frame",'Factory Costs'!$B:$B,B1500))</f>
        <v>39</v>
      </c>
    </row>
    <row r="1501" spans="1:3" x14ac:dyDescent="0.25">
      <c r="A1501" s="1" t="s">
        <v>11056</v>
      </c>
      <c r="B1501" s="1" t="s">
        <v>16377</v>
      </c>
      <c r="C1501" s="3">
        <f>IF(B1501="","",SUMIFS('Factory Costs'!$C:$C,'Factory Costs'!$A:$A,"Frame",'Factory Costs'!$B:$B,B1501))</f>
        <v>39</v>
      </c>
    </row>
    <row r="1502" spans="1:3" x14ac:dyDescent="0.25">
      <c r="A1502" s="1" t="s">
        <v>11059</v>
      </c>
      <c r="B1502" s="1" t="s">
        <v>16378</v>
      </c>
      <c r="C1502" s="3">
        <f>IF(B1502="","",SUMIFS('Factory Costs'!$C:$C,'Factory Costs'!$A:$A,"Frame",'Factory Costs'!$B:$B,B1502))</f>
        <v>52</v>
      </c>
    </row>
    <row r="1503" spans="1:3" x14ac:dyDescent="0.25">
      <c r="A1503" s="1" t="s">
        <v>11062</v>
      </c>
      <c r="B1503" s="1" t="s">
        <v>16377</v>
      </c>
      <c r="C1503" s="3">
        <f>IF(B1503="","",SUMIFS('Factory Costs'!$C:$C,'Factory Costs'!$A:$A,"Frame",'Factory Costs'!$B:$B,B1503))</f>
        <v>39</v>
      </c>
    </row>
    <row r="1504" spans="1:3" x14ac:dyDescent="0.25">
      <c r="A1504" s="1" t="s">
        <v>11065</v>
      </c>
      <c r="B1504" s="1" t="s">
        <v>16377</v>
      </c>
      <c r="C1504" s="3">
        <f>IF(B1504="","",SUMIFS('Factory Costs'!$C:$C,'Factory Costs'!$A:$A,"Frame",'Factory Costs'!$B:$B,B1504))</f>
        <v>39</v>
      </c>
    </row>
    <row r="1505" spans="1:3" x14ac:dyDescent="0.25">
      <c r="A1505" s="1" t="s">
        <v>11068</v>
      </c>
      <c r="B1505" s="1" t="s">
        <v>16379</v>
      </c>
      <c r="C1505" s="3">
        <f>IF(B1505="","",SUMIFS('Factory Costs'!$C:$C,'Factory Costs'!$A:$A,"Frame",'Factory Costs'!$B:$B,B1505))</f>
        <v>45</v>
      </c>
    </row>
    <row r="1506" spans="1:3" x14ac:dyDescent="0.25">
      <c r="A1506" s="1" t="s">
        <v>11071</v>
      </c>
      <c r="B1506" s="1" t="s">
        <v>16377</v>
      </c>
      <c r="C1506" s="3">
        <f>IF(B1506="","",SUMIFS('Factory Costs'!$C:$C,'Factory Costs'!$A:$A,"Frame",'Factory Costs'!$B:$B,B1506))</f>
        <v>39</v>
      </c>
    </row>
    <row r="1507" spans="1:3" x14ac:dyDescent="0.25">
      <c r="A1507" s="1" t="s">
        <v>11074</v>
      </c>
      <c r="B1507" s="1" t="s">
        <v>16378</v>
      </c>
      <c r="C1507" s="3">
        <f>IF(B1507="","",SUMIFS('Factory Costs'!$C:$C,'Factory Costs'!$A:$A,"Frame",'Factory Costs'!$B:$B,B1507))</f>
        <v>52</v>
      </c>
    </row>
    <row r="1508" spans="1:3" x14ac:dyDescent="0.25">
      <c r="A1508" s="1" t="s">
        <v>11077</v>
      </c>
      <c r="B1508" s="1" t="s">
        <v>16379</v>
      </c>
      <c r="C1508" s="3">
        <f>IF(B1508="","",SUMIFS('Factory Costs'!$C:$C,'Factory Costs'!$A:$A,"Frame",'Factory Costs'!$B:$B,B1508))</f>
        <v>45</v>
      </c>
    </row>
    <row r="1509" spans="1:3" x14ac:dyDescent="0.25">
      <c r="A1509" s="1" t="s">
        <v>11080</v>
      </c>
      <c r="B1509" s="1" t="s">
        <v>16377</v>
      </c>
      <c r="C1509" s="3">
        <f>IF(B1509="","",SUMIFS('Factory Costs'!$C:$C,'Factory Costs'!$A:$A,"Frame",'Factory Costs'!$B:$B,B1509))</f>
        <v>39</v>
      </c>
    </row>
    <row r="1510" spans="1:3" x14ac:dyDescent="0.25">
      <c r="A1510" s="1" t="s">
        <v>11083</v>
      </c>
      <c r="B1510" s="1" t="s">
        <v>16377</v>
      </c>
      <c r="C1510" s="3">
        <f>IF(B1510="","",SUMIFS('Factory Costs'!$C:$C,'Factory Costs'!$A:$A,"Frame",'Factory Costs'!$B:$B,B1510))</f>
        <v>39</v>
      </c>
    </row>
    <row r="1511" spans="1:3" x14ac:dyDescent="0.25">
      <c r="A1511" s="1" t="s">
        <v>11086</v>
      </c>
      <c r="B1511" s="1" t="s">
        <v>16378</v>
      </c>
      <c r="C1511" s="3">
        <f>IF(B1511="","",SUMIFS('Factory Costs'!$C:$C,'Factory Costs'!$A:$A,"Frame",'Factory Costs'!$B:$B,B1511))</f>
        <v>52</v>
      </c>
    </row>
    <row r="1512" spans="1:3" x14ac:dyDescent="0.25">
      <c r="A1512" s="1" t="s">
        <v>11089</v>
      </c>
      <c r="B1512" s="1" t="s">
        <v>16379</v>
      </c>
      <c r="C1512" s="3">
        <f>IF(B1512="","",SUMIFS('Factory Costs'!$C:$C,'Factory Costs'!$A:$A,"Frame",'Factory Costs'!$B:$B,B1512))</f>
        <v>45</v>
      </c>
    </row>
    <row r="1513" spans="1:3" x14ac:dyDescent="0.25">
      <c r="A1513" s="1" t="s">
        <v>11092</v>
      </c>
      <c r="B1513" s="1" t="s">
        <v>16377</v>
      </c>
      <c r="C1513" s="3">
        <f>IF(B1513="","",SUMIFS('Factory Costs'!$C:$C,'Factory Costs'!$A:$A,"Frame",'Factory Costs'!$B:$B,B1513))</f>
        <v>39</v>
      </c>
    </row>
    <row r="1514" spans="1:3" x14ac:dyDescent="0.25">
      <c r="A1514" s="1" t="s">
        <v>11095</v>
      </c>
      <c r="B1514" s="1" t="s">
        <v>16379</v>
      </c>
      <c r="C1514" s="3">
        <f>IF(B1514="","",SUMIFS('Factory Costs'!$C:$C,'Factory Costs'!$A:$A,"Frame",'Factory Costs'!$B:$B,B1514))</f>
        <v>45</v>
      </c>
    </row>
    <row r="1515" spans="1:3" x14ac:dyDescent="0.25">
      <c r="A1515" s="1" t="s">
        <v>11098</v>
      </c>
      <c r="B1515" s="1" t="s">
        <v>16378</v>
      </c>
      <c r="C1515" s="3">
        <f>IF(B1515="","",SUMIFS('Factory Costs'!$C:$C,'Factory Costs'!$A:$A,"Frame",'Factory Costs'!$B:$B,B1515))</f>
        <v>52</v>
      </c>
    </row>
    <row r="1516" spans="1:3" x14ac:dyDescent="0.25">
      <c r="A1516" s="1" t="s">
        <v>11101</v>
      </c>
      <c r="B1516" s="1" t="s">
        <v>16379</v>
      </c>
      <c r="C1516" s="3">
        <f>IF(B1516="","",SUMIFS('Factory Costs'!$C:$C,'Factory Costs'!$A:$A,"Frame",'Factory Costs'!$B:$B,B1516))</f>
        <v>45</v>
      </c>
    </row>
    <row r="1517" spans="1:3" x14ac:dyDescent="0.25">
      <c r="A1517" s="1" t="s">
        <v>11104</v>
      </c>
      <c r="B1517" s="1" t="s">
        <v>16377</v>
      </c>
      <c r="C1517" s="3">
        <f>IF(B1517="","",SUMIFS('Factory Costs'!$C:$C,'Factory Costs'!$A:$A,"Frame",'Factory Costs'!$B:$B,B1517))</f>
        <v>39</v>
      </c>
    </row>
    <row r="1518" spans="1:3" x14ac:dyDescent="0.25">
      <c r="A1518" s="1" t="s">
        <v>11107</v>
      </c>
      <c r="B1518" s="1" t="s">
        <v>16379</v>
      </c>
      <c r="C1518" s="3">
        <f>IF(B1518="","",SUMIFS('Factory Costs'!$C:$C,'Factory Costs'!$A:$A,"Frame",'Factory Costs'!$B:$B,B1518))</f>
        <v>45</v>
      </c>
    </row>
    <row r="1519" spans="1:3" x14ac:dyDescent="0.25">
      <c r="A1519" s="1" t="s">
        <v>11110</v>
      </c>
      <c r="B1519" s="1" t="s">
        <v>16379</v>
      </c>
      <c r="C1519" s="3">
        <f>IF(B1519="","",SUMIFS('Factory Costs'!$C:$C,'Factory Costs'!$A:$A,"Frame",'Factory Costs'!$B:$B,B1519))</f>
        <v>45</v>
      </c>
    </row>
    <row r="1520" spans="1:3" x14ac:dyDescent="0.25">
      <c r="A1520" s="1" t="s">
        <v>11113</v>
      </c>
      <c r="B1520" s="1" t="s">
        <v>16378</v>
      </c>
      <c r="C1520" s="3">
        <f>IF(B1520="","",SUMIFS('Factory Costs'!$C:$C,'Factory Costs'!$A:$A,"Frame",'Factory Costs'!$B:$B,B1520))</f>
        <v>52</v>
      </c>
    </row>
    <row r="1521" spans="1:3" x14ac:dyDescent="0.25">
      <c r="A1521" s="1" t="s">
        <v>11116</v>
      </c>
      <c r="B1521" s="1" t="s">
        <v>16379</v>
      </c>
      <c r="C1521" s="3">
        <f>IF(B1521="","",SUMIFS('Factory Costs'!$C:$C,'Factory Costs'!$A:$A,"Frame",'Factory Costs'!$B:$B,B1521))</f>
        <v>45</v>
      </c>
    </row>
    <row r="1522" spans="1:3" x14ac:dyDescent="0.25">
      <c r="A1522" s="1" t="s">
        <v>11119</v>
      </c>
      <c r="B1522" s="1" t="s">
        <v>16378</v>
      </c>
      <c r="C1522" s="3">
        <f>IF(B1522="","",SUMIFS('Factory Costs'!$C:$C,'Factory Costs'!$A:$A,"Frame",'Factory Costs'!$B:$B,B1522))</f>
        <v>52</v>
      </c>
    </row>
    <row r="1523" spans="1:3" x14ac:dyDescent="0.25">
      <c r="A1523" s="1" t="s">
        <v>11122</v>
      </c>
      <c r="B1523" s="1" t="s">
        <v>16378</v>
      </c>
      <c r="C1523" s="3">
        <f>IF(B1523="","",SUMIFS('Factory Costs'!$C:$C,'Factory Costs'!$A:$A,"Frame",'Factory Costs'!$B:$B,B1523))</f>
        <v>52</v>
      </c>
    </row>
    <row r="1524" spans="1:3" x14ac:dyDescent="0.25">
      <c r="A1524" s="1" t="s">
        <v>11125</v>
      </c>
      <c r="B1524" s="1" t="s">
        <v>16378</v>
      </c>
      <c r="C1524" s="3">
        <f>IF(B1524="","",SUMIFS('Factory Costs'!$C:$C,'Factory Costs'!$A:$A,"Frame",'Factory Costs'!$B:$B,B1524))</f>
        <v>52</v>
      </c>
    </row>
    <row r="1525" spans="1:3" x14ac:dyDescent="0.25">
      <c r="A1525" s="1" t="s">
        <v>11128</v>
      </c>
      <c r="B1525" s="1" t="s">
        <v>16377</v>
      </c>
      <c r="C1525" s="3">
        <f>IF(B1525="","",SUMIFS('Factory Costs'!$C:$C,'Factory Costs'!$A:$A,"Frame",'Factory Costs'!$B:$B,B1525))</f>
        <v>39</v>
      </c>
    </row>
    <row r="1526" spans="1:3" x14ac:dyDescent="0.25">
      <c r="A1526" s="1" t="s">
        <v>11131</v>
      </c>
      <c r="B1526" s="1" t="s">
        <v>16377</v>
      </c>
      <c r="C1526" s="3">
        <f>IF(B1526="","",SUMIFS('Factory Costs'!$C:$C,'Factory Costs'!$A:$A,"Frame",'Factory Costs'!$B:$B,B1526))</f>
        <v>39</v>
      </c>
    </row>
    <row r="1527" spans="1:3" x14ac:dyDescent="0.25">
      <c r="A1527" s="1" t="s">
        <v>11134</v>
      </c>
      <c r="B1527" s="1" t="s">
        <v>16379</v>
      </c>
      <c r="C1527" s="3">
        <f>IF(B1527="","",SUMIFS('Factory Costs'!$C:$C,'Factory Costs'!$A:$A,"Frame",'Factory Costs'!$B:$B,B1527))</f>
        <v>45</v>
      </c>
    </row>
    <row r="1528" spans="1:3" x14ac:dyDescent="0.25">
      <c r="A1528" s="1" t="s">
        <v>11137</v>
      </c>
      <c r="B1528" s="1" t="s">
        <v>16378</v>
      </c>
      <c r="C1528" s="3">
        <f>IF(B1528="","",SUMIFS('Factory Costs'!$C:$C,'Factory Costs'!$A:$A,"Frame",'Factory Costs'!$B:$B,B1528))</f>
        <v>52</v>
      </c>
    </row>
    <row r="1529" spans="1:3" x14ac:dyDescent="0.25">
      <c r="A1529" s="1" t="s">
        <v>11140</v>
      </c>
      <c r="B1529" s="1" t="s">
        <v>16377</v>
      </c>
      <c r="C1529" s="3">
        <f>IF(B1529="","",SUMIFS('Factory Costs'!$C:$C,'Factory Costs'!$A:$A,"Frame",'Factory Costs'!$B:$B,B1529))</f>
        <v>39</v>
      </c>
    </row>
    <row r="1530" spans="1:3" x14ac:dyDescent="0.25">
      <c r="A1530" s="1" t="s">
        <v>11143</v>
      </c>
      <c r="B1530" s="1" t="s">
        <v>16378</v>
      </c>
      <c r="C1530" s="3">
        <f>IF(B1530="","",SUMIFS('Factory Costs'!$C:$C,'Factory Costs'!$A:$A,"Frame",'Factory Costs'!$B:$B,B1530))</f>
        <v>52</v>
      </c>
    </row>
    <row r="1531" spans="1:3" x14ac:dyDescent="0.25">
      <c r="A1531" s="1" t="s">
        <v>11146</v>
      </c>
      <c r="B1531" s="1" t="s">
        <v>16378</v>
      </c>
      <c r="C1531" s="3">
        <f>IF(B1531="","",SUMIFS('Factory Costs'!$C:$C,'Factory Costs'!$A:$A,"Frame",'Factory Costs'!$B:$B,B1531))</f>
        <v>52</v>
      </c>
    </row>
    <row r="1532" spans="1:3" x14ac:dyDescent="0.25">
      <c r="A1532" s="1" t="s">
        <v>11149</v>
      </c>
      <c r="B1532" s="1" t="s">
        <v>16377</v>
      </c>
      <c r="C1532" s="3">
        <f>IF(B1532="","",SUMIFS('Factory Costs'!$C:$C,'Factory Costs'!$A:$A,"Frame",'Factory Costs'!$B:$B,B1532))</f>
        <v>39</v>
      </c>
    </row>
    <row r="1533" spans="1:3" x14ac:dyDescent="0.25">
      <c r="A1533" s="1" t="s">
        <v>11152</v>
      </c>
      <c r="B1533" s="1" t="s">
        <v>16379</v>
      </c>
      <c r="C1533" s="3">
        <f>IF(B1533="","",SUMIFS('Factory Costs'!$C:$C,'Factory Costs'!$A:$A,"Frame",'Factory Costs'!$B:$B,B1533))</f>
        <v>45</v>
      </c>
    </row>
    <row r="1534" spans="1:3" x14ac:dyDescent="0.25">
      <c r="A1534" s="1" t="s">
        <v>11155</v>
      </c>
      <c r="B1534" s="1" t="s">
        <v>16379</v>
      </c>
      <c r="C1534" s="3">
        <f>IF(B1534="","",SUMIFS('Factory Costs'!$C:$C,'Factory Costs'!$A:$A,"Frame",'Factory Costs'!$B:$B,B1534))</f>
        <v>45</v>
      </c>
    </row>
    <row r="1535" spans="1:3" x14ac:dyDescent="0.25">
      <c r="A1535" s="1" t="s">
        <v>11158</v>
      </c>
      <c r="B1535" s="1" t="s">
        <v>16379</v>
      </c>
      <c r="C1535" s="3">
        <f>IF(B1535="","",SUMIFS('Factory Costs'!$C:$C,'Factory Costs'!$A:$A,"Frame",'Factory Costs'!$B:$B,B1535))</f>
        <v>45</v>
      </c>
    </row>
    <row r="1536" spans="1:3" x14ac:dyDescent="0.25">
      <c r="A1536" s="1" t="s">
        <v>11161</v>
      </c>
      <c r="B1536" s="1" t="s">
        <v>16379</v>
      </c>
      <c r="C1536" s="3">
        <f>IF(B1536="","",SUMIFS('Factory Costs'!$C:$C,'Factory Costs'!$A:$A,"Frame",'Factory Costs'!$B:$B,B1536))</f>
        <v>45</v>
      </c>
    </row>
    <row r="1537" spans="1:3" x14ac:dyDescent="0.25">
      <c r="A1537" s="1" t="s">
        <v>11164</v>
      </c>
      <c r="B1537" s="1" t="s">
        <v>16379</v>
      </c>
      <c r="C1537" s="3">
        <f>IF(B1537="","",SUMIFS('Factory Costs'!$C:$C,'Factory Costs'!$A:$A,"Frame",'Factory Costs'!$B:$B,B1537))</f>
        <v>45</v>
      </c>
    </row>
    <row r="1538" spans="1:3" x14ac:dyDescent="0.25">
      <c r="A1538" s="1" t="s">
        <v>11167</v>
      </c>
      <c r="B1538" s="1" t="s">
        <v>16379</v>
      </c>
      <c r="C1538" s="3">
        <f>IF(B1538="","",SUMIFS('Factory Costs'!$C:$C,'Factory Costs'!$A:$A,"Frame",'Factory Costs'!$B:$B,B1538))</f>
        <v>45</v>
      </c>
    </row>
    <row r="1539" spans="1:3" x14ac:dyDescent="0.25">
      <c r="A1539" s="1" t="s">
        <v>11170</v>
      </c>
      <c r="B1539" s="1" t="s">
        <v>16379</v>
      </c>
      <c r="C1539" s="3">
        <f>IF(B1539="","",SUMIFS('Factory Costs'!$C:$C,'Factory Costs'!$A:$A,"Frame",'Factory Costs'!$B:$B,B1539))</f>
        <v>45</v>
      </c>
    </row>
    <row r="1540" spans="1:3" x14ac:dyDescent="0.25">
      <c r="A1540" s="1" t="s">
        <v>11173</v>
      </c>
      <c r="B1540" s="1" t="s">
        <v>16378</v>
      </c>
      <c r="C1540" s="3">
        <f>IF(B1540="","",SUMIFS('Factory Costs'!$C:$C,'Factory Costs'!$A:$A,"Frame",'Factory Costs'!$B:$B,B1540))</f>
        <v>52</v>
      </c>
    </row>
    <row r="1541" spans="1:3" x14ac:dyDescent="0.25">
      <c r="A1541" s="1" t="s">
        <v>11176</v>
      </c>
      <c r="B1541" s="1" t="s">
        <v>16377</v>
      </c>
      <c r="C1541" s="3">
        <f>IF(B1541="","",SUMIFS('Factory Costs'!$C:$C,'Factory Costs'!$A:$A,"Frame",'Factory Costs'!$B:$B,B1541))</f>
        <v>39</v>
      </c>
    </row>
    <row r="1542" spans="1:3" x14ac:dyDescent="0.25">
      <c r="A1542" s="1" t="s">
        <v>11179</v>
      </c>
      <c r="B1542" s="1" t="s">
        <v>16377</v>
      </c>
      <c r="C1542" s="3">
        <f>IF(B1542="","",SUMIFS('Factory Costs'!$C:$C,'Factory Costs'!$A:$A,"Frame",'Factory Costs'!$B:$B,B1542))</f>
        <v>39</v>
      </c>
    </row>
    <row r="1543" spans="1:3" x14ac:dyDescent="0.25">
      <c r="A1543" s="1" t="s">
        <v>11182</v>
      </c>
      <c r="B1543" s="1" t="s">
        <v>16377</v>
      </c>
      <c r="C1543" s="3">
        <f>IF(B1543="","",SUMIFS('Factory Costs'!$C:$C,'Factory Costs'!$A:$A,"Frame",'Factory Costs'!$B:$B,B1543))</f>
        <v>39</v>
      </c>
    </row>
    <row r="1544" spans="1:3" x14ac:dyDescent="0.25">
      <c r="A1544" s="1" t="s">
        <v>11185</v>
      </c>
      <c r="B1544" s="1" t="s">
        <v>16379</v>
      </c>
      <c r="C1544" s="3">
        <f>IF(B1544="","",SUMIFS('Factory Costs'!$C:$C,'Factory Costs'!$A:$A,"Frame",'Factory Costs'!$B:$B,B1544))</f>
        <v>45</v>
      </c>
    </row>
    <row r="1545" spans="1:3" x14ac:dyDescent="0.25">
      <c r="A1545" s="1" t="s">
        <v>11188</v>
      </c>
      <c r="B1545" s="1" t="s">
        <v>16377</v>
      </c>
      <c r="C1545" s="3">
        <f>IF(B1545="","",SUMIFS('Factory Costs'!$C:$C,'Factory Costs'!$A:$A,"Frame",'Factory Costs'!$B:$B,B1545))</f>
        <v>39</v>
      </c>
    </row>
    <row r="1546" spans="1:3" x14ac:dyDescent="0.25">
      <c r="A1546" s="1" t="s">
        <v>11191</v>
      </c>
      <c r="B1546" s="1" t="s">
        <v>16377</v>
      </c>
      <c r="C1546" s="3">
        <f>IF(B1546="","",SUMIFS('Factory Costs'!$C:$C,'Factory Costs'!$A:$A,"Frame",'Factory Costs'!$B:$B,B1546))</f>
        <v>39</v>
      </c>
    </row>
    <row r="1547" spans="1:3" x14ac:dyDescent="0.25">
      <c r="A1547" s="1" t="s">
        <v>11194</v>
      </c>
      <c r="B1547" s="1" t="s">
        <v>16378</v>
      </c>
      <c r="C1547" s="3">
        <f>IF(B1547="","",SUMIFS('Factory Costs'!$C:$C,'Factory Costs'!$A:$A,"Frame",'Factory Costs'!$B:$B,B1547))</f>
        <v>52</v>
      </c>
    </row>
    <row r="1548" spans="1:3" x14ac:dyDescent="0.25">
      <c r="A1548" s="1" t="s">
        <v>11197</v>
      </c>
      <c r="B1548" s="1" t="s">
        <v>16377</v>
      </c>
      <c r="C1548" s="3">
        <f>IF(B1548="","",SUMIFS('Factory Costs'!$C:$C,'Factory Costs'!$A:$A,"Frame",'Factory Costs'!$B:$B,B1548))</f>
        <v>39</v>
      </c>
    </row>
    <row r="1549" spans="1:3" x14ac:dyDescent="0.25">
      <c r="A1549" s="1" t="s">
        <v>11200</v>
      </c>
      <c r="B1549" s="1" t="s">
        <v>16378</v>
      </c>
      <c r="C1549" s="3">
        <f>IF(B1549="","",SUMIFS('Factory Costs'!$C:$C,'Factory Costs'!$A:$A,"Frame",'Factory Costs'!$B:$B,B1549))</f>
        <v>52</v>
      </c>
    </row>
    <row r="1550" spans="1:3" x14ac:dyDescent="0.25">
      <c r="A1550" s="1" t="s">
        <v>11203</v>
      </c>
      <c r="B1550" s="1" t="s">
        <v>16377</v>
      </c>
      <c r="C1550" s="3">
        <f>IF(B1550="","",SUMIFS('Factory Costs'!$C:$C,'Factory Costs'!$A:$A,"Frame",'Factory Costs'!$B:$B,B1550))</f>
        <v>39</v>
      </c>
    </row>
    <row r="1551" spans="1:3" x14ac:dyDescent="0.25">
      <c r="A1551" s="1" t="s">
        <v>11206</v>
      </c>
      <c r="B1551" s="1" t="s">
        <v>16377</v>
      </c>
      <c r="C1551" s="3">
        <f>IF(B1551="","",SUMIFS('Factory Costs'!$C:$C,'Factory Costs'!$A:$A,"Frame",'Factory Costs'!$B:$B,B1551))</f>
        <v>39</v>
      </c>
    </row>
    <row r="1552" spans="1:3" x14ac:dyDescent="0.25">
      <c r="A1552" s="1" t="s">
        <v>11209</v>
      </c>
      <c r="B1552" s="1" t="s">
        <v>16377</v>
      </c>
      <c r="C1552" s="3">
        <f>IF(B1552="","",SUMIFS('Factory Costs'!$C:$C,'Factory Costs'!$A:$A,"Frame",'Factory Costs'!$B:$B,B1552))</f>
        <v>39</v>
      </c>
    </row>
    <row r="1553" spans="1:3" x14ac:dyDescent="0.25">
      <c r="A1553" s="1" t="s">
        <v>11212</v>
      </c>
      <c r="B1553" s="1" t="s">
        <v>16377</v>
      </c>
      <c r="C1553" s="3">
        <f>IF(B1553="","",SUMIFS('Factory Costs'!$C:$C,'Factory Costs'!$A:$A,"Frame",'Factory Costs'!$B:$B,B1553))</f>
        <v>39</v>
      </c>
    </row>
    <row r="1554" spans="1:3" x14ac:dyDescent="0.25">
      <c r="A1554" s="1" t="s">
        <v>11215</v>
      </c>
      <c r="B1554" s="1" t="s">
        <v>16379</v>
      </c>
      <c r="C1554" s="3">
        <f>IF(B1554="","",SUMIFS('Factory Costs'!$C:$C,'Factory Costs'!$A:$A,"Frame",'Factory Costs'!$B:$B,B1554))</f>
        <v>45</v>
      </c>
    </row>
    <row r="1555" spans="1:3" x14ac:dyDescent="0.25">
      <c r="A1555" s="1" t="s">
        <v>11218</v>
      </c>
      <c r="B1555" s="1" t="s">
        <v>16378</v>
      </c>
      <c r="C1555" s="3">
        <f>IF(B1555="","",SUMIFS('Factory Costs'!$C:$C,'Factory Costs'!$A:$A,"Frame",'Factory Costs'!$B:$B,B1555))</f>
        <v>52</v>
      </c>
    </row>
    <row r="1556" spans="1:3" x14ac:dyDescent="0.25">
      <c r="A1556" s="1" t="s">
        <v>11221</v>
      </c>
      <c r="B1556" s="1" t="s">
        <v>16377</v>
      </c>
      <c r="C1556" s="3">
        <f>IF(B1556="","",SUMIFS('Factory Costs'!$C:$C,'Factory Costs'!$A:$A,"Frame",'Factory Costs'!$B:$B,B1556))</f>
        <v>39</v>
      </c>
    </row>
    <row r="1557" spans="1:3" x14ac:dyDescent="0.25">
      <c r="A1557" s="1" t="s">
        <v>11224</v>
      </c>
      <c r="B1557" s="1" t="s">
        <v>16377</v>
      </c>
      <c r="C1557" s="3">
        <f>IF(B1557="","",SUMIFS('Factory Costs'!$C:$C,'Factory Costs'!$A:$A,"Frame",'Factory Costs'!$B:$B,B1557))</f>
        <v>39</v>
      </c>
    </row>
    <row r="1558" spans="1:3" x14ac:dyDescent="0.25">
      <c r="A1558" s="1" t="s">
        <v>11227</v>
      </c>
      <c r="B1558" s="1" t="s">
        <v>16379</v>
      </c>
      <c r="C1558" s="3">
        <f>IF(B1558="","",SUMIFS('Factory Costs'!$C:$C,'Factory Costs'!$A:$A,"Frame",'Factory Costs'!$B:$B,B1558))</f>
        <v>45</v>
      </c>
    </row>
    <row r="1559" spans="1:3" x14ac:dyDescent="0.25">
      <c r="A1559" s="1" t="s">
        <v>11230</v>
      </c>
      <c r="B1559" s="1" t="s">
        <v>16379</v>
      </c>
      <c r="C1559" s="3">
        <f>IF(B1559="","",SUMIFS('Factory Costs'!$C:$C,'Factory Costs'!$A:$A,"Frame",'Factory Costs'!$B:$B,B1559))</f>
        <v>45</v>
      </c>
    </row>
    <row r="1560" spans="1:3" x14ac:dyDescent="0.25">
      <c r="A1560" s="1" t="s">
        <v>11233</v>
      </c>
      <c r="B1560" s="1" t="s">
        <v>16377</v>
      </c>
      <c r="C1560" s="3">
        <f>IF(B1560="","",SUMIFS('Factory Costs'!$C:$C,'Factory Costs'!$A:$A,"Frame",'Factory Costs'!$B:$B,B1560))</f>
        <v>39</v>
      </c>
    </row>
    <row r="1561" spans="1:3" x14ac:dyDescent="0.25">
      <c r="A1561" s="1" t="s">
        <v>11236</v>
      </c>
      <c r="B1561" s="1" t="s">
        <v>16379</v>
      </c>
      <c r="C1561" s="3">
        <f>IF(B1561="","",SUMIFS('Factory Costs'!$C:$C,'Factory Costs'!$A:$A,"Frame",'Factory Costs'!$B:$B,B1561))</f>
        <v>45</v>
      </c>
    </row>
    <row r="1562" spans="1:3" x14ac:dyDescent="0.25">
      <c r="A1562" s="1" t="s">
        <v>11239</v>
      </c>
      <c r="B1562" s="1" t="s">
        <v>16377</v>
      </c>
      <c r="C1562" s="3">
        <f>IF(B1562="","",SUMIFS('Factory Costs'!$C:$C,'Factory Costs'!$A:$A,"Frame",'Factory Costs'!$B:$B,B1562))</f>
        <v>39</v>
      </c>
    </row>
    <row r="1563" spans="1:3" x14ac:dyDescent="0.25">
      <c r="A1563" s="1" t="s">
        <v>11242</v>
      </c>
      <c r="B1563" s="1" t="s">
        <v>16378</v>
      </c>
      <c r="C1563" s="3">
        <f>IF(B1563="","",SUMIFS('Factory Costs'!$C:$C,'Factory Costs'!$A:$A,"Frame",'Factory Costs'!$B:$B,B1563))</f>
        <v>52</v>
      </c>
    </row>
    <row r="1564" spans="1:3" x14ac:dyDescent="0.25">
      <c r="A1564" s="1" t="s">
        <v>11245</v>
      </c>
      <c r="B1564" s="1" t="s">
        <v>16378</v>
      </c>
      <c r="C1564" s="3">
        <f>IF(B1564="","",SUMIFS('Factory Costs'!$C:$C,'Factory Costs'!$A:$A,"Frame",'Factory Costs'!$B:$B,B1564))</f>
        <v>52</v>
      </c>
    </row>
    <row r="1565" spans="1:3" x14ac:dyDescent="0.25">
      <c r="A1565" s="1" t="s">
        <v>11248</v>
      </c>
      <c r="B1565" s="1" t="s">
        <v>16379</v>
      </c>
      <c r="C1565" s="3">
        <f>IF(B1565="","",SUMIFS('Factory Costs'!$C:$C,'Factory Costs'!$A:$A,"Frame",'Factory Costs'!$B:$B,B1565))</f>
        <v>45</v>
      </c>
    </row>
    <row r="1566" spans="1:3" x14ac:dyDescent="0.25">
      <c r="A1566" s="1" t="s">
        <v>11251</v>
      </c>
      <c r="B1566" s="1" t="s">
        <v>16377</v>
      </c>
      <c r="C1566" s="3">
        <f>IF(B1566="","",SUMIFS('Factory Costs'!$C:$C,'Factory Costs'!$A:$A,"Frame",'Factory Costs'!$B:$B,B1566))</f>
        <v>39</v>
      </c>
    </row>
    <row r="1567" spans="1:3" x14ac:dyDescent="0.25">
      <c r="A1567" s="1" t="s">
        <v>11254</v>
      </c>
      <c r="B1567" s="1" t="s">
        <v>16377</v>
      </c>
      <c r="C1567" s="3">
        <f>IF(B1567="","",SUMIFS('Factory Costs'!$C:$C,'Factory Costs'!$A:$A,"Frame",'Factory Costs'!$B:$B,B1567))</f>
        <v>39</v>
      </c>
    </row>
    <row r="1568" spans="1:3" x14ac:dyDescent="0.25">
      <c r="A1568" s="1" t="s">
        <v>11257</v>
      </c>
      <c r="B1568" s="1" t="s">
        <v>16377</v>
      </c>
      <c r="C1568" s="3">
        <f>IF(B1568="","",SUMIFS('Factory Costs'!$C:$C,'Factory Costs'!$A:$A,"Frame",'Factory Costs'!$B:$B,B1568))</f>
        <v>39</v>
      </c>
    </row>
    <row r="1569" spans="1:3" x14ac:dyDescent="0.25">
      <c r="A1569" s="1" t="s">
        <v>11260</v>
      </c>
      <c r="B1569" s="1" t="s">
        <v>16379</v>
      </c>
      <c r="C1569" s="3">
        <f>IF(B1569="","",SUMIFS('Factory Costs'!$C:$C,'Factory Costs'!$A:$A,"Frame",'Factory Costs'!$B:$B,B1569))</f>
        <v>45</v>
      </c>
    </row>
    <row r="1570" spans="1:3" x14ac:dyDescent="0.25">
      <c r="A1570" s="1" t="s">
        <v>11263</v>
      </c>
      <c r="B1570" s="1" t="s">
        <v>16377</v>
      </c>
      <c r="C1570" s="3">
        <f>IF(B1570="","",SUMIFS('Factory Costs'!$C:$C,'Factory Costs'!$A:$A,"Frame",'Factory Costs'!$B:$B,B1570))</f>
        <v>39</v>
      </c>
    </row>
    <row r="1571" spans="1:3" x14ac:dyDescent="0.25">
      <c r="A1571" s="1" t="s">
        <v>11266</v>
      </c>
      <c r="B1571" s="1" t="s">
        <v>16379</v>
      </c>
      <c r="C1571" s="3">
        <f>IF(B1571="","",SUMIFS('Factory Costs'!$C:$C,'Factory Costs'!$A:$A,"Frame",'Factory Costs'!$B:$B,B1571))</f>
        <v>45</v>
      </c>
    </row>
    <row r="1572" spans="1:3" x14ac:dyDescent="0.25">
      <c r="A1572" s="1" t="s">
        <v>11269</v>
      </c>
      <c r="B1572" s="1" t="s">
        <v>16379</v>
      </c>
      <c r="C1572" s="3">
        <f>IF(B1572="","",SUMIFS('Factory Costs'!$C:$C,'Factory Costs'!$A:$A,"Frame",'Factory Costs'!$B:$B,B1572))</f>
        <v>45</v>
      </c>
    </row>
    <row r="1573" spans="1:3" x14ac:dyDescent="0.25">
      <c r="A1573" s="1" t="s">
        <v>11272</v>
      </c>
      <c r="B1573" s="1" t="s">
        <v>16379</v>
      </c>
      <c r="C1573" s="3">
        <f>IF(B1573="","",SUMIFS('Factory Costs'!$C:$C,'Factory Costs'!$A:$A,"Frame",'Factory Costs'!$B:$B,B1573))</f>
        <v>45</v>
      </c>
    </row>
    <row r="1574" spans="1:3" x14ac:dyDescent="0.25">
      <c r="A1574" s="1" t="s">
        <v>11275</v>
      </c>
      <c r="B1574" s="1" t="s">
        <v>16378</v>
      </c>
      <c r="C1574" s="3">
        <f>IF(B1574="","",SUMIFS('Factory Costs'!$C:$C,'Factory Costs'!$A:$A,"Frame",'Factory Costs'!$B:$B,B1574))</f>
        <v>52</v>
      </c>
    </row>
    <row r="1575" spans="1:3" x14ac:dyDescent="0.25">
      <c r="A1575" s="1" t="s">
        <v>11278</v>
      </c>
      <c r="B1575" s="1" t="s">
        <v>16379</v>
      </c>
      <c r="C1575" s="3">
        <f>IF(B1575="","",SUMIFS('Factory Costs'!$C:$C,'Factory Costs'!$A:$A,"Frame",'Factory Costs'!$B:$B,B1575))</f>
        <v>45</v>
      </c>
    </row>
    <row r="1576" spans="1:3" x14ac:dyDescent="0.25">
      <c r="A1576" s="1" t="s">
        <v>11281</v>
      </c>
      <c r="B1576" s="1" t="s">
        <v>16379</v>
      </c>
      <c r="C1576" s="3">
        <f>IF(B1576="","",SUMIFS('Factory Costs'!$C:$C,'Factory Costs'!$A:$A,"Frame",'Factory Costs'!$B:$B,B1576))</f>
        <v>45</v>
      </c>
    </row>
    <row r="1577" spans="1:3" x14ac:dyDescent="0.25">
      <c r="A1577" s="1" t="s">
        <v>11284</v>
      </c>
      <c r="B1577" s="1" t="s">
        <v>16377</v>
      </c>
      <c r="C1577" s="3">
        <f>IF(B1577="","",SUMIFS('Factory Costs'!$C:$C,'Factory Costs'!$A:$A,"Frame",'Factory Costs'!$B:$B,B1577))</f>
        <v>39</v>
      </c>
    </row>
    <row r="1578" spans="1:3" x14ac:dyDescent="0.25">
      <c r="A1578" s="1" t="s">
        <v>11287</v>
      </c>
      <c r="B1578" s="1" t="s">
        <v>16377</v>
      </c>
      <c r="C1578" s="3">
        <f>IF(B1578="","",SUMIFS('Factory Costs'!$C:$C,'Factory Costs'!$A:$A,"Frame",'Factory Costs'!$B:$B,B1578))</f>
        <v>39</v>
      </c>
    </row>
    <row r="1579" spans="1:3" x14ac:dyDescent="0.25">
      <c r="A1579" s="1" t="s">
        <v>11290</v>
      </c>
      <c r="B1579" s="1" t="s">
        <v>16377</v>
      </c>
      <c r="C1579" s="3">
        <f>IF(B1579="","",SUMIFS('Factory Costs'!$C:$C,'Factory Costs'!$A:$A,"Frame",'Factory Costs'!$B:$B,B1579))</f>
        <v>39</v>
      </c>
    </row>
    <row r="1580" spans="1:3" x14ac:dyDescent="0.25">
      <c r="A1580" s="1" t="s">
        <v>11293</v>
      </c>
      <c r="B1580" s="1" t="s">
        <v>16378</v>
      </c>
      <c r="C1580" s="3">
        <f>IF(B1580="","",SUMIFS('Factory Costs'!$C:$C,'Factory Costs'!$A:$A,"Frame",'Factory Costs'!$B:$B,B1580))</f>
        <v>52</v>
      </c>
    </row>
    <row r="1581" spans="1:3" x14ac:dyDescent="0.25">
      <c r="A1581" s="1" t="s">
        <v>11296</v>
      </c>
      <c r="B1581" s="1" t="s">
        <v>16379</v>
      </c>
      <c r="C1581" s="3">
        <f>IF(B1581="","",SUMIFS('Factory Costs'!$C:$C,'Factory Costs'!$A:$A,"Frame",'Factory Costs'!$B:$B,B1581))</f>
        <v>45</v>
      </c>
    </row>
    <row r="1582" spans="1:3" x14ac:dyDescent="0.25">
      <c r="A1582" s="1" t="s">
        <v>11299</v>
      </c>
      <c r="B1582" s="1" t="s">
        <v>16377</v>
      </c>
      <c r="C1582" s="3">
        <f>IF(B1582="","",SUMIFS('Factory Costs'!$C:$C,'Factory Costs'!$A:$A,"Frame",'Factory Costs'!$B:$B,B1582))</f>
        <v>39</v>
      </c>
    </row>
    <row r="1583" spans="1:3" x14ac:dyDescent="0.25">
      <c r="A1583" s="1" t="s">
        <v>11302</v>
      </c>
      <c r="B1583" s="1" t="s">
        <v>16377</v>
      </c>
      <c r="C1583" s="3">
        <f>IF(B1583="","",SUMIFS('Factory Costs'!$C:$C,'Factory Costs'!$A:$A,"Frame",'Factory Costs'!$B:$B,B1583))</f>
        <v>39</v>
      </c>
    </row>
    <row r="1584" spans="1:3" x14ac:dyDescent="0.25">
      <c r="A1584" s="1" t="s">
        <v>11305</v>
      </c>
      <c r="B1584" s="1" t="s">
        <v>16377</v>
      </c>
      <c r="C1584" s="3">
        <f>IF(B1584="","",SUMIFS('Factory Costs'!$C:$C,'Factory Costs'!$A:$A,"Frame",'Factory Costs'!$B:$B,B1584))</f>
        <v>39</v>
      </c>
    </row>
    <row r="1585" spans="1:3" x14ac:dyDescent="0.25">
      <c r="A1585" s="1" t="s">
        <v>11308</v>
      </c>
      <c r="B1585" s="1" t="s">
        <v>16379</v>
      </c>
      <c r="C1585" s="3">
        <f>IF(B1585="","",SUMIFS('Factory Costs'!$C:$C,'Factory Costs'!$A:$A,"Frame",'Factory Costs'!$B:$B,B1585))</f>
        <v>45</v>
      </c>
    </row>
    <row r="1586" spans="1:3" x14ac:dyDescent="0.25">
      <c r="A1586" s="1" t="s">
        <v>11311</v>
      </c>
      <c r="B1586" s="1" t="s">
        <v>16379</v>
      </c>
      <c r="C1586" s="3">
        <f>IF(B1586="","",SUMIFS('Factory Costs'!$C:$C,'Factory Costs'!$A:$A,"Frame",'Factory Costs'!$B:$B,B1586))</f>
        <v>45</v>
      </c>
    </row>
    <row r="1587" spans="1:3" x14ac:dyDescent="0.25">
      <c r="A1587" s="1" t="s">
        <v>11314</v>
      </c>
      <c r="B1587" s="1" t="s">
        <v>16378</v>
      </c>
      <c r="C1587" s="3">
        <f>IF(B1587="","",SUMIFS('Factory Costs'!$C:$C,'Factory Costs'!$A:$A,"Frame",'Factory Costs'!$B:$B,B1587))</f>
        <v>52</v>
      </c>
    </row>
    <row r="1588" spans="1:3" x14ac:dyDescent="0.25">
      <c r="A1588" s="1" t="s">
        <v>11317</v>
      </c>
      <c r="B1588" s="1" t="s">
        <v>16378</v>
      </c>
      <c r="C1588" s="3">
        <f>IF(B1588="","",SUMIFS('Factory Costs'!$C:$C,'Factory Costs'!$A:$A,"Frame",'Factory Costs'!$B:$B,B1588))</f>
        <v>52</v>
      </c>
    </row>
    <row r="1589" spans="1:3" x14ac:dyDescent="0.25">
      <c r="A1589" s="1" t="s">
        <v>11320</v>
      </c>
      <c r="B1589" s="1" t="s">
        <v>16377</v>
      </c>
      <c r="C1589" s="3">
        <f>IF(B1589="","",SUMIFS('Factory Costs'!$C:$C,'Factory Costs'!$A:$A,"Frame",'Factory Costs'!$B:$B,B1589))</f>
        <v>39</v>
      </c>
    </row>
    <row r="1590" spans="1:3" x14ac:dyDescent="0.25">
      <c r="A1590" s="1" t="s">
        <v>11323</v>
      </c>
      <c r="B1590" s="1" t="s">
        <v>16378</v>
      </c>
      <c r="C1590" s="3">
        <f>IF(B1590="","",SUMIFS('Factory Costs'!$C:$C,'Factory Costs'!$A:$A,"Frame",'Factory Costs'!$B:$B,B1590))</f>
        <v>52</v>
      </c>
    </row>
    <row r="1591" spans="1:3" x14ac:dyDescent="0.25">
      <c r="A1591" s="1" t="s">
        <v>11326</v>
      </c>
      <c r="B1591" s="1" t="s">
        <v>16377</v>
      </c>
      <c r="C1591" s="3">
        <f>IF(B1591="","",SUMIFS('Factory Costs'!$C:$C,'Factory Costs'!$A:$A,"Frame",'Factory Costs'!$B:$B,B1591))</f>
        <v>39</v>
      </c>
    </row>
    <row r="1592" spans="1:3" x14ac:dyDescent="0.25">
      <c r="A1592" s="1" t="s">
        <v>11329</v>
      </c>
      <c r="B1592" s="1" t="s">
        <v>16377</v>
      </c>
      <c r="C1592" s="3">
        <f>IF(B1592="","",SUMIFS('Factory Costs'!$C:$C,'Factory Costs'!$A:$A,"Frame",'Factory Costs'!$B:$B,B1592))</f>
        <v>39</v>
      </c>
    </row>
    <row r="1593" spans="1:3" x14ac:dyDescent="0.25">
      <c r="A1593" s="1" t="s">
        <v>11332</v>
      </c>
      <c r="B1593" s="1" t="s">
        <v>16378</v>
      </c>
      <c r="C1593" s="3">
        <f>IF(B1593="","",SUMIFS('Factory Costs'!$C:$C,'Factory Costs'!$A:$A,"Frame",'Factory Costs'!$B:$B,B1593))</f>
        <v>52</v>
      </c>
    </row>
    <row r="1594" spans="1:3" x14ac:dyDescent="0.25">
      <c r="A1594" s="1" t="s">
        <v>11335</v>
      </c>
      <c r="B1594" s="1" t="s">
        <v>16379</v>
      </c>
      <c r="C1594" s="3">
        <f>IF(B1594="","",SUMIFS('Factory Costs'!$C:$C,'Factory Costs'!$A:$A,"Frame",'Factory Costs'!$B:$B,B1594))</f>
        <v>45</v>
      </c>
    </row>
    <row r="1595" spans="1:3" x14ac:dyDescent="0.25">
      <c r="A1595" s="1" t="s">
        <v>11338</v>
      </c>
      <c r="B1595" s="1" t="s">
        <v>16377</v>
      </c>
      <c r="C1595" s="3">
        <f>IF(B1595="","",SUMIFS('Factory Costs'!$C:$C,'Factory Costs'!$A:$A,"Frame",'Factory Costs'!$B:$B,B1595))</f>
        <v>39</v>
      </c>
    </row>
    <row r="1596" spans="1:3" x14ac:dyDescent="0.25">
      <c r="A1596" s="1" t="s">
        <v>11341</v>
      </c>
      <c r="B1596" s="1" t="s">
        <v>16379</v>
      </c>
      <c r="C1596" s="3">
        <f>IF(B1596="","",SUMIFS('Factory Costs'!$C:$C,'Factory Costs'!$A:$A,"Frame",'Factory Costs'!$B:$B,B1596))</f>
        <v>45</v>
      </c>
    </row>
    <row r="1597" spans="1:3" x14ac:dyDescent="0.25">
      <c r="A1597" s="1" t="s">
        <v>11344</v>
      </c>
      <c r="B1597" s="1" t="s">
        <v>16378</v>
      </c>
      <c r="C1597" s="3">
        <f>IF(B1597="","",SUMIFS('Factory Costs'!$C:$C,'Factory Costs'!$A:$A,"Frame",'Factory Costs'!$B:$B,B1597))</f>
        <v>52</v>
      </c>
    </row>
    <row r="1598" spans="1:3" x14ac:dyDescent="0.25">
      <c r="A1598" s="1" t="s">
        <v>11347</v>
      </c>
      <c r="B1598" s="1" t="s">
        <v>16379</v>
      </c>
      <c r="C1598" s="3">
        <f>IF(B1598="","",SUMIFS('Factory Costs'!$C:$C,'Factory Costs'!$A:$A,"Frame",'Factory Costs'!$B:$B,B1598))</f>
        <v>45</v>
      </c>
    </row>
    <row r="1599" spans="1:3" x14ac:dyDescent="0.25">
      <c r="A1599" s="1" t="s">
        <v>11350</v>
      </c>
      <c r="B1599" s="1" t="s">
        <v>16377</v>
      </c>
      <c r="C1599" s="3">
        <f>IF(B1599="","",SUMIFS('Factory Costs'!$C:$C,'Factory Costs'!$A:$A,"Frame",'Factory Costs'!$B:$B,B1599))</f>
        <v>39</v>
      </c>
    </row>
    <row r="1600" spans="1:3" x14ac:dyDescent="0.25">
      <c r="A1600" s="1" t="s">
        <v>11353</v>
      </c>
      <c r="B1600" s="1" t="s">
        <v>16379</v>
      </c>
      <c r="C1600" s="3">
        <f>IF(B1600="","",SUMIFS('Factory Costs'!$C:$C,'Factory Costs'!$A:$A,"Frame",'Factory Costs'!$B:$B,B1600))</f>
        <v>45</v>
      </c>
    </row>
    <row r="1601" spans="1:3" x14ac:dyDescent="0.25">
      <c r="A1601" s="1" t="s">
        <v>11356</v>
      </c>
      <c r="B1601" s="1" t="s">
        <v>16377</v>
      </c>
      <c r="C1601" s="3">
        <f>IF(B1601="","",SUMIFS('Factory Costs'!$C:$C,'Factory Costs'!$A:$A,"Frame",'Factory Costs'!$B:$B,B1601))</f>
        <v>39</v>
      </c>
    </row>
    <row r="1602" spans="1:3" x14ac:dyDescent="0.25">
      <c r="A1602" s="1" t="s">
        <v>11359</v>
      </c>
      <c r="B1602" s="1" t="s">
        <v>16377</v>
      </c>
      <c r="C1602" s="3">
        <f>IF(B1602="","",SUMIFS('Factory Costs'!$C:$C,'Factory Costs'!$A:$A,"Frame",'Factory Costs'!$B:$B,B1602))</f>
        <v>39</v>
      </c>
    </row>
    <row r="1603" spans="1:3" x14ac:dyDescent="0.25">
      <c r="A1603" s="1" t="s">
        <v>11362</v>
      </c>
      <c r="B1603" s="1" t="s">
        <v>16377</v>
      </c>
      <c r="C1603" s="3">
        <f>IF(B1603="","",SUMIFS('Factory Costs'!$C:$C,'Factory Costs'!$A:$A,"Frame",'Factory Costs'!$B:$B,B1603))</f>
        <v>39</v>
      </c>
    </row>
    <row r="1604" spans="1:3" x14ac:dyDescent="0.25">
      <c r="A1604" s="1" t="s">
        <v>11365</v>
      </c>
      <c r="B1604" s="1" t="s">
        <v>16377</v>
      </c>
      <c r="C1604" s="3">
        <f>IF(B1604="","",SUMIFS('Factory Costs'!$C:$C,'Factory Costs'!$A:$A,"Frame",'Factory Costs'!$B:$B,B1604))</f>
        <v>39</v>
      </c>
    </row>
    <row r="1605" spans="1:3" x14ac:dyDescent="0.25">
      <c r="A1605" s="1" t="s">
        <v>11368</v>
      </c>
      <c r="B1605" s="1" t="s">
        <v>16378</v>
      </c>
      <c r="C1605" s="3">
        <f>IF(B1605="","",SUMIFS('Factory Costs'!$C:$C,'Factory Costs'!$A:$A,"Frame",'Factory Costs'!$B:$B,B1605))</f>
        <v>52</v>
      </c>
    </row>
    <row r="1606" spans="1:3" x14ac:dyDescent="0.25">
      <c r="A1606" s="1" t="s">
        <v>11371</v>
      </c>
      <c r="B1606" s="1" t="s">
        <v>16379</v>
      </c>
      <c r="C1606" s="3">
        <f>IF(B1606="","",SUMIFS('Factory Costs'!$C:$C,'Factory Costs'!$A:$A,"Frame",'Factory Costs'!$B:$B,B1606))</f>
        <v>45</v>
      </c>
    </row>
    <row r="1607" spans="1:3" x14ac:dyDescent="0.25">
      <c r="A1607" s="1" t="s">
        <v>11374</v>
      </c>
      <c r="B1607" s="1" t="s">
        <v>16379</v>
      </c>
      <c r="C1607" s="3">
        <f>IF(B1607="","",SUMIFS('Factory Costs'!$C:$C,'Factory Costs'!$A:$A,"Frame",'Factory Costs'!$B:$B,B1607))</f>
        <v>45</v>
      </c>
    </row>
    <row r="1608" spans="1:3" x14ac:dyDescent="0.25">
      <c r="A1608" s="1" t="s">
        <v>11377</v>
      </c>
      <c r="B1608" s="1" t="s">
        <v>16377</v>
      </c>
      <c r="C1608" s="3">
        <f>IF(B1608="","",SUMIFS('Factory Costs'!$C:$C,'Factory Costs'!$A:$A,"Frame",'Factory Costs'!$B:$B,B1608))</f>
        <v>39</v>
      </c>
    </row>
    <row r="1609" spans="1:3" x14ac:dyDescent="0.25">
      <c r="A1609" s="1" t="s">
        <v>11380</v>
      </c>
      <c r="B1609" s="1" t="s">
        <v>16378</v>
      </c>
      <c r="C1609" s="3">
        <f>IF(B1609="","",SUMIFS('Factory Costs'!$C:$C,'Factory Costs'!$A:$A,"Frame",'Factory Costs'!$B:$B,B1609))</f>
        <v>52</v>
      </c>
    </row>
    <row r="1610" spans="1:3" x14ac:dyDescent="0.25">
      <c r="A1610" s="1" t="s">
        <v>11383</v>
      </c>
      <c r="B1610" s="1" t="s">
        <v>16377</v>
      </c>
      <c r="C1610" s="3">
        <f>IF(B1610="","",SUMIFS('Factory Costs'!$C:$C,'Factory Costs'!$A:$A,"Frame",'Factory Costs'!$B:$B,B1610))</f>
        <v>39</v>
      </c>
    </row>
    <row r="1611" spans="1:3" x14ac:dyDescent="0.25">
      <c r="A1611" s="1" t="s">
        <v>11386</v>
      </c>
      <c r="B1611" s="1" t="s">
        <v>16377</v>
      </c>
      <c r="C1611" s="3">
        <f>IF(B1611="","",SUMIFS('Factory Costs'!$C:$C,'Factory Costs'!$A:$A,"Frame",'Factory Costs'!$B:$B,B1611))</f>
        <v>39</v>
      </c>
    </row>
    <row r="1612" spans="1:3" x14ac:dyDescent="0.25">
      <c r="A1612" s="1" t="s">
        <v>11389</v>
      </c>
      <c r="B1612" s="1" t="s">
        <v>16379</v>
      </c>
      <c r="C1612" s="3">
        <f>IF(B1612="","",SUMIFS('Factory Costs'!$C:$C,'Factory Costs'!$A:$A,"Frame",'Factory Costs'!$B:$B,B1612))</f>
        <v>45</v>
      </c>
    </row>
    <row r="1613" spans="1:3" x14ac:dyDescent="0.25">
      <c r="A1613" s="1" t="s">
        <v>11392</v>
      </c>
      <c r="B1613" s="1" t="s">
        <v>16377</v>
      </c>
      <c r="C1613" s="3">
        <f>IF(B1613="","",SUMIFS('Factory Costs'!$C:$C,'Factory Costs'!$A:$A,"Frame",'Factory Costs'!$B:$B,B1613))</f>
        <v>39</v>
      </c>
    </row>
    <row r="1614" spans="1:3" x14ac:dyDescent="0.25">
      <c r="A1614" s="1" t="s">
        <v>11395</v>
      </c>
      <c r="B1614" s="1" t="s">
        <v>16379</v>
      </c>
      <c r="C1614" s="3">
        <f>IF(B1614="","",SUMIFS('Factory Costs'!$C:$C,'Factory Costs'!$A:$A,"Frame",'Factory Costs'!$B:$B,B1614))</f>
        <v>45</v>
      </c>
    </row>
    <row r="1615" spans="1:3" x14ac:dyDescent="0.25">
      <c r="A1615" s="1" t="s">
        <v>11398</v>
      </c>
      <c r="B1615" s="1" t="s">
        <v>16377</v>
      </c>
      <c r="C1615" s="3">
        <f>IF(B1615="","",SUMIFS('Factory Costs'!$C:$C,'Factory Costs'!$A:$A,"Frame",'Factory Costs'!$B:$B,B1615))</f>
        <v>39</v>
      </c>
    </row>
    <row r="1616" spans="1:3" x14ac:dyDescent="0.25">
      <c r="A1616" s="1" t="s">
        <v>11401</v>
      </c>
      <c r="B1616" s="1" t="s">
        <v>16378</v>
      </c>
      <c r="C1616" s="3">
        <f>IF(B1616="","",SUMIFS('Factory Costs'!$C:$C,'Factory Costs'!$A:$A,"Frame",'Factory Costs'!$B:$B,B1616))</f>
        <v>52</v>
      </c>
    </row>
    <row r="1617" spans="1:3" x14ac:dyDescent="0.25">
      <c r="A1617" s="1" t="s">
        <v>11404</v>
      </c>
      <c r="B1617" s="1" t="s">
        <v>16379</v>
      </c>
      <c r="C1617" s="3">
        <f>IF(B1617="","",SUMIFS('Factory Costs'!$C:$C,'Factory Costs'!$A:$A,"Frame",'Factory Costs'!$B:$B,B1617))</f>
        <v>45</v>
      </c>
    </row>
    <row r="1618" spans="1:3" x14ac:dyDescent="0.25">
      <c r="A1618" s="1" t="s">
        <v>11407</v>
      </c>
      <c r="B1618" s="1" t="s">
        <v>16377</v>
      </c>
      <c r="C1618" s="3">
        <f>IF(B1618="","",SUMIFS('Factory Costs'!$C:$C,'Factory Costs'!$A:$A,"Frame",'Factory Costs'!$B:$B,B1618))</f>
        <v>39</v>
      </c>
    </row>
    <row r="1619" spans="1:3" x14ac:dyDescent="0.25">
      <c r="A1619" s="1" t="s">
        <v>11410</v>
      </c>
      <c r="B1619" s="1" t="s">
        <v>16379</v>
      </c>
      <c r="C1619" s="3">
        <f>IF(B1619="","",SUMIFS('Factory Costs'!$C:$C,'Factory Costs'!$A:$A,"Frame",'Factory Costs'!$B:$B,B1619))</f>
        <v>45</v>
      </c>
    </row>
    <row r="1620" spans="1:3" x14ac:dyDescent="0.25">
      <c r="A1620" s="1" t="s">
        <v>11413</v>
      </c>
      <c r="B1620" s="1" t="s">
        <v>16377</v>
      </c>
      <c r="C1620" s="3">
        <f>IF(B1620="","",SUMIFS('Factory Costs'!$C:$C,'Factory Costs'!$A:$A,"Frame",'Factory Costs'!$B:$B,B1620))</f>
        <v>39</v>
      </c>
    </row>
    <row r="1621" spans="1:3" x14ac:dyDescent="0.25">
      <c r="A1621" s="1" t="s">
        <v>11416</v>
      </c>
      <c r="B1621" s="1" t="s">
        <v>16378</v>
      </c>
      <c r="C1621" s="3">
        <f>IF(B1621="","",SUMIFS('Factory Costs'!$C:$C,'Factory Costs'!$A:$A,"Frame",'Factory Costs'!$B:$B,B1621))</f>
        <v>52</v>
      </c>
    </row>
    <row r="1622" spans="1:3" x14ac:dyDescent="0.25">
      <c r="A1622" s="1" t="s">
        <v>11419</v>
      </c>
      <c r="B1622" s="1" t="s">
        <v>16379</v>
      </c>
      <c r="C1622" s="3">
        <f>IF(B1622="","",SUMIFS('Factory Costs'!$C:$C,'Factory Costs'!$A:$A,"Frame",'Factory Costs'!$B:$B,B1622))</f>
        <v>45</v>
      </c>
    </row>
    <row r="1623" spans="1:3" x14ac:dyDescent="0.25">
      <c r="A1623" s="1" t="s">
        <v>11422</v>
      </c>
      <c r="B1623" s="1" t="s">
        <v>16379</v>
      </c>
      <c r="C1623" s="3">
        <f>IF(B1623="","",SUMIFS('Factory Costs'!$C:$C,'Factory Costs'!$A:$A,"Frame",'Factory Costs'!$B:$B,B1623))</f>
        <v>45</v>
      </c>
    </row>
    <row r="1624" spans="1:3" x14ac:dyDescent="0.25">
      <c r="A1624" s="1" t="s">
        <v>11425</v>
      </c>
      <c r="B1624" s="1" t="s">
        <v>16379</v>
      </c>
      <c r="C1624" s="3">
        <f>IF(B1624="","",SUMIFS('Factory Costs'!$C:$C,'Factory Costs'!$A:$A,"Frame",'Factory Costs'!$B:$B,B1624))</f>
        <v>45</v>
      </c>
    </row>
    <row r="1625" spans="1:3" x14ac:dyDescent="0.25">
      <c r="A1625" s="1" t="s">
        <v>11428</v>
      </c>
      <c r="B1625" s="1" t="s">
        <v>16379</v>
      </c>
      <c r="C1625" s="3">
        <f>IF(B1625="","",SUMIFS('Factory Costs'!$C:$C,'Factory Costs'!$A:$A,"Frame",'Factory Costs'!$B:$B,B1625))</f>
        <v>45</v>
      </c>
    </row>
    <row r="1626" spans="1:3" x14ac:dyDescent="0.25">
      <c r="A1626" s="1" t="s">
        <v>11431</v>
      </c>
      <c r="B1626" s="1" t="s">
        <v>16379</v>
      </c>
      <c r="C1626" s="3">
        <f>IF(B1626="","",SUMIFS('Factory Costs'!$C:$C,'Factory Costs'!$A:$A,"Frame",'Factory Costs'!$B:$B,B1626))</f>
        <v>45</v>
      </c>
    </row>
    <row r="1627" spans="1:3" x14ac:dyDescent="0.25">
      <c r="A1627" s="1" t="s">
        <v>11434</v>
      </c>
      <c r="B1627" s="1" t="s">
        <v>16377</v>
      </c>
      <c r="C1627" s="3">
        <f>IF(B1627="","",SUMIFS('Factory Costs'!$C:$C,'Factory Costs'!$A:$A,"Frame",'Factory Costs'!$B:$B,B1627))</f>
        <v>39</v>
      </c>
    </row>
    <row r="1628" spans="1:3" x14ac:dyDescent="0.25">
      <c r="A1628" s="1" t="s">
        <v>11437</v>
      </c>
      <c r="B1628" s="1" t="s">
        <v>16377</v>
      </c>
      <c r="C1628" s="3">
        <f>IF(B1628="","",SUMIFS('Factory Costs'!$C:$C,'Factory Costs'!$A:$A,"Frame",'Factory Costs'!$B:$B,B1628))</f>
        <v>39</v>
      </c>
    </row>
    <row r="1629" spans="1:3" x14ac:dyDescent="0.25">
      <c r="A1629" s="1" t="s">
        <v>11440</v>
      </c>
      <c r="B1629" s="1" t="s">
        <v>16377</v>
      </c>
      <c r="C1629" s="3">
        <f>IF(B1629="","",SUMIFS('Factory Costs'!$C:$C,'Factory Costs'!$A:$A,"Frame",'Factory Costs'!$B:$B,B1629))</f>
        <v>39</v>
      </c>
    </row>
    <row r="1630" spans="1:3" x14ac:dyDescent="0.25">
      <c r="A1630" s="1" t="s">
        <v>11443</v>
      </c>
      <c r="B1630" s="1" t="s">
        <v>16379</v>
      </c>
      <c r="C1630" s="3">
        <f>IF(B1630="","",SUMIFS('Factory Costs'!$C:$C,'Factory Costs'!$A:$A,"Frame",'Factory Costs'!$B:$B,B1630))</f>
        <v>45</v>
      </c>
    </row>
    <row r="1631" spans="1:3" x14ac:dyDescent="0.25">
      <c r="A1631" s="1" t="s">
        <v>11446</v>
      </c>
      <c r="B1631" s="1" t="s">
        <v>16377</v>
      </c>
      <c r="C1631" s="3">
        <f>IF(B1631="","",SUMIFS('Factory Costs'!$C:$C,'Factory Costs'!$A:$A,"Frame",'Factory Costs'!$B:$B,B1631))</f>
        <v>39</v>
      </c>
    </row>
    <row r="1632" spans="1:3" x14ac:dyDescent="0.25">
      <c r="A1632" s="1" t="s">
        <v>11449</v>
      </c>
      <c r="B1632" s="1" t="s">
        <v>16377</v>
      </c>
      <c r="C1632" s="3">
        <f>IF(B1632="","",SUMIFS('Factory Costs'!$C:$C,'Factory Costs'!$A:$A,"Frame",'Factory Costs'!$B:$B,B1632))</f>
        <v>39</v>
      </c>
    </row>
    <row r="1633" spans="1:3" x14ac:dyDescent="0.25">
      <c r="A1633" s="1" t="s">
        <v>11452</v>
      </c>
      <c r="B1633" s="1" t="s">
        <v>16378</v>
      </c>
      <c r="C1633" s="3">
        <f>IF(B1633="","",SUMIFS('Factory Costs'!$C:$C,'Factory Costs'!$A:$A,"Frame",'Factory Costs'!$B:$B,B1633))</f>
        <v>52</v>
      </c>
    </row>
    <row r="1634" spans="1:3" x14ac:dyDescent="0.25">
      <c r="A1634" s="1" t="s">
        <v>11455</v>
      </c>
      <c r="B1634" s="1" t="s">
        <v>16379</v>
      </c>
      <c r="C1634" s="3">
        <f>IF(B1634="","",SUMIFS('Factory Costs'!$C:$C,'Factory Costs'!$A:$A,"Frame",'Factory Costs'!$B:$B,B1634))</f>
        <v>45</v>
      </c>
    </row>
    <row r="1635" spans="1:3" x14ac:dyDescent="0.25">
      <c r="A1635" s="1" t="s">
        <v>11458</v>
      </c>
      <c r="B1635" s="1" t="s">
        <v>16377</v>
      </c>
      <c r="C1635" s="3">
        <f>IF(B1635="","",SUMIFS('Factory Costs'!$C:$C,'Factory Costs'!$A:$A,"Frame",'Factory Costs'!$B:$B,B1635))</f>
        <v>39</v>
      </c>
    </row>
    <row r="1636" spans="1:3" x14ac:dyDescent="0.25">
      <c r="A1636" s="1" t="s">
        <v>11461</v>
      </c>
      <c r="B1636" s="1" t="s">
        <v>16379</v>
      </c>
      <c r="C1636" s="3">
        <f>IF(B1636="","",SUMIFS('Factory Costs'!$C:$C,'Factory Costs'!$A:$A,"Frame",'Factory Costs'!$B:$B,B1636))</f>
        <v>45</v>
      </c>
    </row>
    <row r="1637" spans="1:3" x14ac:dyDescent="0.25">
      <c r="A1637" s="1" t="s">
        <v>11464</v>
      </c>
      <c r="B1637" s="1" t="s">
        <v>16379</v>
      </c>
      <c r="C1637" s="3">
        <f>IF(B1637="","",SUMIFS('Factory Costs'!$C:$C,'Factory Costs'!$A:$A,"Frame",'Factory Costs'!$B:$B,B1637))</f>
        <v>45</v>
      </c>
    </row>
    <row r="1638" spans="1:3" x14ac:dyDescent="0.25">
      <c r="A1638" s="1" t="s">
        <v>11467</v>
      </c>
      <c r="B1638" s="1" t="s">
        <v>16379</v>
      </c>
      <c r="C1638" s="3">
        <f>IF(B1638="","",SUMIFS('Factory Costs'!$C:$C,'Factory Costs'!$A:$A,"Frame",'Factory Costs'!$B:$B,B1638))</f>
        <v>45</v>
      </c>
    </row>
    <row r="1639" spans="1:3" x14ac:dyDescent="0.25">
      <c r="A1639" s="1" t="s">
        <v>11470</v>
      </c>
      <c r="B1639" s="1" t="s">
        <v>16379</v>
      </c>
      <c r="C1639" s="3">
        <f>IF(B1639="","",SUMIFS('Factory Costs'!$C:$C,'Factory Costs'!$A:$A,"Frame",'Factory Costs'!$B:$B,B1639))</f>
        <v>45</v>
      </c>
    </row>
    <row r="1640" spans="1:3" x14ac:dyDescent="0.25">
      <c r="A1640" s="1" t="s">
        <v>11473</v>
      </c>
      <c r="B1640" s="1" t="s">
        <v>16378</v>
      </c>
      <c r="C1640" s="3">
        <f>IF(B1640="","",SUMIFS('Factory Costs'!$C:$C,'Factory Costs'!$A:$A,"Frame",'Factory Costs'!$B:$B,B1640))</f>
        <v>52</v>
      </c>
    </row>
    <row r="1641" spans="1:3" x14ac:dyDescent="0.25">
      <c r="A1641" s="1" t="s">
        <v>11476</v>
      </c>
      <c r="B1641" s="1" t="s">
        <v>16378</v>
      </c>
      <c r="C1641" s="3">
        <f>IF(B1641="","",SUMIFS('Factory Costs'!$C:$C,'Factory Costs'!$A:$A,"Frame",'Factory Costs'!$B:$B,B1641))</f>
        <v>52</v>
      </c>
    </row>
    <row r="1642" spans="1:3" x14ac:dyDescent="0.25">
      <c r="A1642" s="1" t="s">
        <v>11479</v>
      </c>
      <c r="B1642" s="1" t="s">
        <v>16377</v>
      </c>
      <c r="C1642" s="3">
        <f>IF(B1642="","",SUMIFS('Factory Costs'!$C:$C,'Factory Costs'!$A:$A,"Frame",'Factory Costs'!$B:$B,B1642))</f>
        <v>39</v>
      </c>
    </row>
    <row r="1643" spans="1:3" x14ac:dyDescent="0.25">
      <c r="A1643" s="1" t="s">
        <v>11482</v>
      </c>
      <c r="B1643" s="1" t="s">
        <v>16379</v>
      </c>
      <c r="C1643" s="3">
        <f>IF(B1643="","",SUMIFS('Factory Costs'!$C:$C,'Factory Costs'!$A:$A,"Frame",'Factory Costs'!$B:$B,B1643))</f>
        <v>45</v>
      </c>
    </row>
    <row r="1644" spans="1:3" x14ac:dyDescent="0.25">
      <c r="A1644" s="1" t="s">
        <v>11485</v>
      </c>
      <c r="B1644" s="1" t="s">
        <v>16377</v>
      </c>
      <c r="C1644" s="3">
        <f>IF(B1644="","",SUMIFS('Factory Costs'!$C:$C,'Factory Costs'!$A:$A,"Frame",'Factory Costs'!$B:$B,B1644))</f>
        <v>39</v>
      </c>
    </row>
    <row r="1645" spans="1:3" x14ac:dyDescent="0.25">
      <c r="A1645" s="1" t="s">
        <v>11488</v>
      </c>
      <c r="B1645" s="1" t="s">
        <v>16379</v>
      </c>
      <c r="C1645" s="3">
        <f>IF(B1645="","",SUMIFS('Factory Costs'!$C:$C,'Factory Costs'!$A:$A,"Frame",'Factory Costs'!$B:$B,B1645))</f>
        <v>45</v>
      </c>
    </row>
    <row r="1646" spans="1:3" x14ac:dyDescent="0.25">
      <c r="A1646" s="1" t="s">
        <v>11491</v>
      </c>
      <c r="B1646" s="1" t="s">
        <v>16377</v>
      </c>
      <c r="C1646" s="3">
        <f>IF(B1646="","",SUMIFS('Factory Costs'!$C:$C,'Factory Costs'!$A:$A,"Frame",'Factory Costs'!$B:$B,B1646))</f>
        <v>39</v>
      </c>
    </row>
    <row r="1647" spans="1:3" x14ac:dyDescent="0.25">
      <c r="A1647" s="1" t="s">
        <v>11494</v>
      </c>
      <c r="B1647" s="1" t="s">
        <v>16377</v>
      </c>
      <c r="C1647" s="3">
        <f>IF(B1647="","",SUMIFS('Factory Costs'!$C:$C,'Factory Costs'!$A:$A,"Frame",'Factory Costs'!$B:$B,B1647))</f>
        <v>39</v>
      </c>
    </row>
    <row r="1648" spans="1:3" x14ac:dyDescent="0.25">
      <c r="A1648" s="1" t="s">
        <v>11497</v>
      </c>
      <c r="B1648" s="1" t="s">
        <v>16378</v>
      </c>
      <c r="C1648" s="3">
        <f>IF(B1648="","",SUMIFS('Factory Costs'!$C:$C,'Factory Costs'!$A:$A,"Frame",'Factory Costs'!$B:$B,B1648))</f>
        <v>52</v>
      </c>
    </row>
    <row r="1649" spans="1:3" x14ac:dyDescent="0.25">
      <c r="A1649" s="1" t="s">
        <v>11500</v>
      </c>
      <c r="B1649" s="1" t="s">
        <v>16379</v>
      </c>
      <c r="C1649" s="3">
        <f>IF(B1649="","",SUMIFS('Factory Costs'!$C:$C,'Factory Costs'!$A:$A,"Frame",'Factory Costs'!$B:$B,B1649))</f>
        <v>45</v>
      </c>
    </row>
    <row r="1650" spans="1:3" x14ac:dyDescent="0.25">
      <c r="A1650" s="1" t="s">
        <v>11503</v>
      </c>
      <c r="B1650" s="1" t="s">
        <v>16377</v>
      </c>
      <c r="C1650" s="3">
        <f>IF(B1650="","",SUMIFS('Factory Costs'!$C:$C,'Factory Costs'!$A:$A,"Frame",'Factory Costs'!$B:$B,B1650))</f>
        <v>39</v>
      </c>
    </row>
    <row r="1651" spans="1:3" x14ac:dyDescent="0.25">
      <c r="A1651" s="1" t="s">
        <v>11506</v>
      </c>
      <c r="B1651" s="1" t="s">
        <v>16377</v>
      </c>
      <c r="C1651" s="3">
        <f>IF(B1651="","",SUMIFS('Factory Costs'!$C:$C,'Factory Costs'!$A:$A,"Frame",'Factory Costs'!$B:$B,B1651))</f>
        <v>39</v>
      </c>
    </row>
    <row r="1652" spans="1:3" x14ac:dyDescent="0.25">
      <c r="A1652" s="1" t="s">
        <v>11509</v>
      </c>
      <c r="B1652" s="1" t="s">
        <v>16377</v>
      </c>
      <c r="C1652" s="3">
        <f>IF(B1652="","",SUMIFS('Factory Costs'!$C:$C,'Factory Costs'!$A:$A,"Frame",'Factory Costs'!$B:$B,B1652))</f>
        <v>39</v>
      </c>
    </row>
    <row r="1653" spans="1:3" x14ac:dyDescent="0.25">
      <c r="A1653" s="1" t="s">
        <v>11512</v>
      </c>
      <c r="B1653" s="1" t="s">
        <v>16378</v>
      </c>
      <c r="C1653" s="3">
        <f>IF(B1653="","",SUMIFS('Factory Costs'!$C:$C,'Factory Costs'!$A:$A,"Frame",'Factory Costs'!$B:$B,B1653))</f>
        <v>52</v>
      </c>
    </row>
    <row r="1654" spans="1:3" x14ac:dyDescent="0.25">
      <c r="A1654" s="1" t="s">
        <v>11515</v>
      </c>
      <c r="B1654" s="1" t="s">
        <v>16379</v>
      </c>
      <c r="C1654" s="3">
        <f>IF(B1654="","",SUMIFS('Factory Costs'!$C:$C,'Factory Costs'!$A:$A,"Frame",'Factory Costs'!$B:$B,B1654))</f>
        <v>45</v>
      </c>
    </row>
    <row r="1655" spans="1:3" x14ac:dyDescent="0.25">
      <c r="A1655" s="1" t="s">
        <v>11518</v>
      </c>
      <c r="B1655" s="1" t="s">
        <v>16377</v>
      </c>
      <c r="C1655" s="3">
        <f>IF(B1655="","",SUMIFS('Factory Costs'!$C:$C,'Factory Costs'!$A:$A,"Frame",'Factory Costs'!$B:$B,B1655))</f>
        <v>39</v>
      </c>
    </row>
    <row r="1656" spans="1:3" x14ac:dyDescent="0.25">
      <c r="A1656" s="1" t="s">
        <v>11521</v>
      </c>
      <c r="B1656" s="1" t="s">
        <v>16378</v>
      </c>
      <c r="C1656" s="3">
        <f>IF(B1656="","",SUMIFS('Factory Costs'!$C:$C,'Factory Costs'!$A:$A,"Frame",'Factory Costs'!$B:$B,B1656))</f>
        <v>52</v>
      </c>
    </row>
    <row r="1657" spans="1:3" x14ac:dyDescent="0.25">
      <c r="A1657" s="1" t="s">
        <v>11524</v>
      </c>
      <c r="B1657" s="1" t="s">
        <v>16378</v>
      </c>
      <c r="C1657" s="3">
        <f>IF(B1657="","",SUMIFS('Factory Costs'!$C:$C,'Factory Costs'!$A:$A,"Frame",'Factory Costs'!$B:$B,B1657))</f>
        <v>52</v>
      </c>
    </row>
    <row r="1658" spans="1:3" x14ac:dyDescent="0.25">
      <c r="A1658" s="1" t="s">
        <v>11527</v>
      </c>
      <c r="B1658" s="1" t="s">
        <v>16377</v>
      </c>
      <c r="C1658" s="3">
        <f>IF(B1658="","",SUMIFS('Factory Costs'!$C:$C,'Factory Costs'!$A:$A,"Frame",'Factory Costs'!$B:$B,B1658))</f>
        <v>39</v>
      </c>
    </row>
    <row r="1659" spans="1:3" x14ac:dyDescent="0.25">
      <c r="A1659" s="1" t="s">
        <v>11530</v>
      </c>
      <c r="B1659" s="1" t="s">
        <v>16377</v>
      </c>
      <c r="C1659" s="3">
        <f>IF(B1659="","",SUMIFS('Factory Costs'!$C:$C,'Factory Costs'!$A:$A,"Frame",'Factory Costs'!$B:$B,B1659))</f>
        <v>39</v>
      </c>
    </row>
    <row r="1660" spans="1:3" x14ac:dyDescent="0.25">
      <c r="A1660" s="1" t="s">
        <v>11533</v>
      </c>
      <c r="B1660" s="1" t="s">
        <v>16378</v>
      </c>
      <c r="C1660" s="3">
        <f>IF(B1660="","",SUMIFS('Factory Costs'!$C:$C,'Factory Costs'!$A:$A,"Frame",'Factory Costs'!$B:$B,B1660))</f>
        <v>52</v>
      </c>
    </row>
    <row r="1661" spans="1:3" x14ac:dyDescent="0.25">
      <c r="A1661" s="1" t="s">
        <v>11536</v>
      </c>
      <c r="B1661" s="1" t="s">
        <v>16379</v>
      </c>
      <c r="C1661" s="3">
        <f>IF(B1661="","",SUMIFS('Factory Costs'!$C:$C,'Factory Costs'!$A:$A,"Frame",'Factory Costs'!$B:$B,B1661))</f>
        <v>45</v>
      </c>
    </row>
    <row r="1662" spans="1:3" x14ac:dyDescent="0.25">
      <c r="A1662" s="1" t="s">
        <v>11539</v>
      </c>
      <c r="B1662" s="1" t="s">
        <v>16379</v>
      </c>
      <c r="C1662" s="3">
        <f>IF(B1662="","",SUMIFS('Factory Costs'!$C:$C,'Factory Costs'!$A:$A,"Frame",'Factory Costs'!$B:$B,B1662))</f>
        <v>45</v>
      </c>
    </row>
    <row r="1663" spans="1:3" x14ac:dyDescent="0.25">
      <c r="A1663" s="1" t="s">
        <v>11542</v>
      </c>
      <c r="B1663" s="1" t="s">
        <v>16377</v>
      </c>
      <c r="C1663" s="3">
        <f>IF(B1663="","",SUMIFS('Factory Costs'!$C:$C,'Factory Costs'!$A:$A,"Frame",'Factory Costs'!$B:$B,B1663))</f>
        <v>39</v>
      </c>
    </row>
    <row r="1664" spans="1:3" x14ac:dyDescent="0.25">
      <c r="A1664" s="1" t="s">
        <v>11545</v>
      </c>
      <c r="B1664" s="1" t="s">
        <v>16377</v>
      </c>
      <c r="C1664" s="3">
        <f>IF(B1664="","",SUMIFS('Factory Costs'!$C:$C,'Factory Costs'!$A:$A,"Frame",'Factory Costs'!$B:$B,B1664))</f>
        <v>39</v>
      </c>
    </row>
    <row r="1665" spans="1:3" x14ac:dyDescent="0.25">
      <c r="A1665" s="1" t="s">
        <v>11548</v>
      </c>
      <c r="B1665" s="1" t="s">
        <v>16377</v>
      </c>
      <c r="C1665" s="3">
        <f>IF(B1665="","",SUMIFS('Factory Costs'!$C:$C,'Factory Costs'!$A:$A,"Frame",'Factory Costs'!$B:$B,B1665))</f>
        <v>39</v>
      </c>
    </row>
    <row r="1666" spans="1:3" x14ac:dyDescent="0.25">
      <c r="A1666" s="1" t="s">
        <v>11551</v>
      </c>
      <c r="B1666" s="1" t="s">
        <v>16379</v>
      </c>
      <c r="C1666" s="3">
        <f>IF(B1666="","",SUMIFS('Factory Costs'!$C:$C,'Factory Costs'!$A:$A,"Frame",'Factory Costs'!$B:$B,B1666))</f>
        <v>45</v>
      </c>
    </row>
    <row r="1667" spans="1:3" x14ac:dyDescent="0.25">
      <c r="A1667" s="1" t="s">
        <v>11554</v>
      </c>
      <c r="B1667" s="1" t="s">
        <v>16377</v>
      </c>
      <c r="C1667" s="3">
        <f>IF(B1667="","",SUMIFS('Factory Costs'!$C:$C,'Factory Costs'!$A:$A,"Frame",'Factory Costs'!$B:$B,B1667))</f>
        <v>39</v>
      </c>
    </row>
    <row r="1668" spans="1:3" x14ac:dyDescent="0.25">
      <c r="A1668" s="1" t="s">
        <v>11557</v>
      </c>
      <c r="B1668" s="1" t="s">
        <v>16377</v>
      </c>
      <c r="C1668" s="3">
        <f>IF(B1668="","",SUMIFS('Factory Costs'!$C:$C,'Factory Costs'!$A:$A,"Frame",'Factory Costs'!$B:$B,B1668))</f>
        <v>39</v>
      </c>
    </row>
    <row r="1669" spans="1:3" x14ac:dyDescent="0.25">
      <c r="A1669" s="1" t="s">
        <v>11560</v>
      </c>
      <c r="B1669" s="1" t="s">
        <v>16378</v>
      </c>
      <c r="C1669" s="3">
        <f>IF(B1669="","",SUMIFS('Factory Costs'!$C:$C,'Factory Costs'!$A:$A,"Frame",'Factory Costs'!$B:$B,B1669))</f>
        <v>52</v>
      </c>
    </row>
    <row r="1670" spans="1:3" x14ac:dyDescent="0.25">
      <c r="A1670" s="1" t="s">
        <v>11563</v>
      </c>
      <c r="B1670" s="1" t="s">
        <v>16378</v>
      </c>
      <c r="C1670" s="3">
        <f>IF(B1670="","",SUMIFS('Factory Costs'!$C:$C,'Factory Costs'!$A:$A,"Frame",'Factory Costs'!$B:$B,B1670))</f>
        <v>52</v>
      </c>
    </row>
    <row r="1671" spans="1:3" x14ac:dyDescent="0.25">
      <c r="A1671" s="1" t="s">
        <v>11566</v>
      </c>
      <c r="B1671" s="1" t="s">
        <v>16379</v>
      </c>
      <c r="C1671" s="3">
        <f>IF(B1671="","",SUMIFS('Factory Costs'!$C:$C,'Factory Costs'!$A:$A,"Frame",'Factory Costs'!$B:$B,B1671))</f>
        <v>45</v>
      </c>
    </row>
    <row r="1672" spans="1:3" x14ac:dyDescent="0.25">
      <c r="A1672" s="1" t="s">
        <v>11569</v>
      </c>
      <c r="B1672" s="1" t="s">
        <v>16379</v>
      </c>
      <c r="C1672" s="3">
        <f>IF(B1672="","",SUMIFS('Factory Costs'!$C:$C,'Factory Costs'!$A:$A,"Frame",'Factory Costs'!$B:$B,B1672))</f>
        <v>45</v>
      </c>
    </row>
    <row r="1673" spans="1:3" x14ac:dyDescent="0.25">
      <c r="A1673" s="1" t="s">
        <v>11572</v>
      </c>
      <c r="B1673" s="1" t="s">
        <v>16379</v>
      </c>
      <c r="C1673" s="3">
        <f>IF(B1673="","",SUMIFS('Factory Costs'!$C:$C,'Factory Costs'!$A:$A,"Frame",'Factory Costs'!$B:$B,B1673))</f>
        <v>45</v>
      </c>
    </row>
    <row r="1674" spans="1:3" x14ac:dyDescent="0.25">
      <c r="A1674" s="1" t="s">
        <v>11575</v>
      </c>
      <c r="B1674" s="1" t="s">
        <v>16377</v>
      </c>
      <c r="C1674" s="3">
        <f>IF(B1674="","",SUMIFS('Factory Costs'!$C:$C,'Factory Costs'!$A:$A,"Frame",'Factory Costs'!$B:$B,B1674))</f>
        <v>39</v>
      </c>
    </row>
    <row r="1675" spans="1:3" x14ac:dyDescent="0.25">
      <c r="A1675" s="1" t="s">
        <v>11578</v>
      </c>
      <c r="B1675" s="1" t="s">
        <v>16378</v>
      </c>
      <c r="C1675" s="3">
        <f>IF(B1675="","",SUMIFS('Factory Costs'!$C:$C,'Factory Costs'!$A:$A,"Frame",'Factory Costs'!$B:$B,B1675))</f>
        <v>52</v>
      </c>
    </row>
    <row r="1676" spans="1:3" x14ac:dyDescent="0.25">
      <c r="A1676" s="1" t="s">
        <v>11581</v>
      </c>
      <c r="B1676" s="1" t="s">
        <v>16377</v>
      </c>
      <c r="C1676" s="3">
        <f>IF(B1676="","",SUMIFS('Factory Costs'!$C:$C,'Factory Costs'!$A:$A,"Frame",'Factory Costs'!$B:$B,B1676))</f>
        <v>39</v>
      </c>
    </row>
    <row r="1677" spans="1:3" x14ac:dyDescent="0.25">
      <c r="A1677" s="1" t="s">
        <v>11584</v>
      </c>
      <c r="B1677" s="1" t="s">
        <v>16377</v>
      </c>
      <c r="C1677" s="3">
        <f>IF(B1677="","",SUMIFS('Factory Costs'!$C:$C,'Factory Costs'!$A:$A,"Frame",'Factory Costs'!$B:$B,B1677))</f>
        <v>39</v>
      </c>
    </row>
    <row r="1678" spans="1:3" x14ac:dyDescent="0.25">
      <c r="A1678" s="1" t="s">
        <v>11587</v>
      </c>
      <c r="B1678" s="1" t="s">
        <v>16377</v>
      </c>
      <c r="C1678" s="3">
        <f>IF(B1678="","",SUMIFS('Factory Costs'!$C:$C,'Factory Costs'!$A:$A,"Frame",'Factory Costs'!$B:$B,B1678))</f>
        <v>39</v>
      </c>
    </row>
    <row r="1679" spans="1:3" x14ac:dyDescent="0.25">
      <c r="A1679" s="1" t="s">
        <v>11590</v>
      </c>
      <c r="B1679" s="1" t="s">
        <v>16378</v>
      </c>
      <c r="C1679" s="3">
        <f>IF(B1679="","",SUMIFS('Factory Costs'!$C:$C,'Factory Costs'!$A:$A,"Frame",'Factory Costs'!$B:$B,B1679))</f>
        <v>52</v>
      </c>
    </row>
    <row r="1680" spans="1:3" x14ac:dyDescent="0.25">
      <c r="A1680" s="1" t="s">
        <v>11593</v>
      </c>
      <c r="B1680" s="1" t="s">
        <v>16377</v>
      </c>
      <c r="C1680" s="3">
        <f>IF(B1680="","",SUMIFS('Factory Costs'!$C:$C,'Factory Costs'!$A:$A,"Frame",'Factory Costs'!$B:$B,B1680))</f>
        <v>39</v>
      </c>
    </row>
    <row r="1681" spans="1:3" x14ac:dyDescent="0.25">
      <c r="A1681" s="1" t="s">
        <v>11596</v>
      </c>
      <c r="B1681" s="1" t="s">
        <v>16377</v>
      </c>
      <c r="C1681" s="3">
        <f>IF(B1681="","",SUMIFS('Factory Costs'!$C:$C,'Factory Costs'!$A:$A,"Frame",'Factory Costs'!$B:$B,B1681))</f>
        <v>39</v>
      </c>
    </row>
    <row r="1682" spans="1:3" x14ac:dyDescent="0.25">
      <c r="A1682" s="1" t="s">
        <v>11599</v>
      </c>
      <c r="B1682" s="1" t="s">
        <v>16378</v>
      </c>
      <c r="C1682" s="3">
        <f>IF(B1682="","",SUMIFS('Factory Costs'!$C:$C,'Factory Costs'!$A:$A,"Frame",'Factory Costs'!$B:$B,B1682))</f>
        <v>52</v>
      </c>
    </row>
    <row r="1683" spans="1:3" x14ac:dyDescent="0.25">
      <c r="A1683" s="1" t="s">
        <v>11602</v>
      </c>
      <c r="B1683" s="1" t="s">
        <v>16379</v>
      </c>
      <c r="C1683" s="3">
        <f>IF(B1683="","",SUMIFS('Factory Costs'!$C:$C,'Factory Costs'!$A:$A,"Frame",'Factory Costs'!$B:$B,B1683))</f>
        <v>45</v>
      </c>
    </row>
    <row r="1684" spans="1:3" x14ac:dyDescent="0.25">
      <c r="A1684" s="1" t="s">
        <v>11605</v>
      </c>
      <c r="B1684" s="1" t="s">
        <v>16379</v>
      </c>
      <c r="C1684" s="3">
        <f>IF(B1684="","",SUMIFS('Factory Costs'!$C:$C,'Factory Costs'!$A:$A,"Frame",'Factory Costs'!$B:$B,B1684))</f>
        <v>45</v>
      </c>
    </row>
    <row r="1685" spans="1:3" x14ac:dyDescent="0.25">
      <c r="A1685" s="1" t="s">
        <v>11608</v>
      </c>
      <c r="B1685" s="1" t="s">
        <v>16378</v>
      </c>
      <c r="C1685" s="3">
        <f>IF(B1685="","",SUMIFS('Factory Costs'!$C:$C,'Factory Costs'!$A:$A,"Frame",'Factory Costs'!$B:$B,B1685))</f>
        <v>52</v>
      </c>
    </row>
    <row r="1686" spans="1:3" x14ac:dyDescent="0.25">
      <c r="A1686" s="1" t="s">
        <v>11611</v>
      </c>
      <c r="B1686" s="1" t="s">
        <v>16377</v>
      </c>
      <c r="C1686" s="3">
        <f>IF(B1686="","",SUMIFS('Factory Costs'!$C:$C,'Factory Costs'!$A:$A,"Frame",'Factory Costs'!$B:$B,B1686))</f>
        <v>39</v>
      </c>
    </row>
    <row r="1687" spans="1:3" x14ac:dyDescent="0.25">
      <c r="A1687" s="1" t="s">
        <v>11614</v>
      </c>
      <c r="B1687" s="1" t="s">
        <v>16379</v>
      </c>
      <c r="C1687" s="3">
        <f>IF(B1687="","",SUMIFS('Factory Costs'!$C:$C,'Factory Costs'!$A:$A,"Frame",'Factory Costs'!$B:$B,B1687))</f>
        <v>45</v>
      </c>
    </row>
    <row r="1688" spans="1:3" x14ac:dyDescent="0.25">
      <c r="A1688" s="1" t="s">
        <v>11617</v>
      </c>
      <c r="B1688" s="1" t="s">
        <v>16379</v>
      </c>
      <c r="C1688" s="3">
        <f>IF(B1688="","",SUMIFS('Factory Costs'!$C:$C,'Factory Costs'!$A:$A,"Frame",'Factory Costs'!$B:$B,B1688))</f>
        <v>45</v>
      </c>
    </row>
    <row r="1689" spans="1:3" x14ac:dyDescent="0.25">
      <c r="A1689" s="1" t="s">
        <v>11620</v>
      </c>
      <c r="B1689" s="1" t="s">
        <v>16377</v>
      </c>
      <c r="C1689" s="3">
        <f>IF(B1689="","",SUMIFS('Factory Costs'!$C:$C,'Factory Costs'!$A:$A,"Frame",'Factory Costs'!$B:$B,B1689))</f>
        <v>39</v>
      </c>
    </row>
    <row r="1690" spans="1:3" x14ac:dyDescent="0.25">
      <c r="A1690" s="1" t="s">
        <v>11623</v>
      </c>
      <c r="B1690" s="1" t="s">
        <v>16377</v>
      </c>
      <c r="C1690" s="3">
        <f>IF(B1690="","",SUMIFS('Factory Costs'!$C:$C,'Factory Costs'!$A:$A,"Frame",'Factory Costs'!$B:$B,B1690))</f>
        <v>39</v>
      </c>
    </row>
    <row r="1691" spans="1:3" x14ac:dyDescent="0.25">
      <c r="A1691" s="1" t="s">
        <v>11626</v>
      </c>
      <c r="B1691" s="1" t="s">
        <v>16377</v>
      </c>
      <c r="C1691" s="3">
        <f>IF(B1691="","",SUMIFS('Factory Costs'!$C:$C,'Factory Costs'!$A:$A,"Frame",'Factory Costs'!$B:$B,B1691))</f>
        <v>39</v>
      </c>
    </row>
    <row r="1692" spans="1:3" x14ac:dyDescent="0.25">
      <c r="A1692" s="1" t="s">
        <v>11629</v>
      </c>
      <c r="B1692" s="1" t="s">
        <v>16379</v>
      </c>
      <c r="C1692" s="3">
        <f>IF(B1692="","",SUMIFS('Factory Costs'!$C:$C,'Factory Costs'!$A:$A,"Frame",'Factory Costs'!$B:$B,B1692))</f>
        <v>45</v>
      </c>
    </row>
    <row r="1693" spans="1:3" x14ac:dyDescent="0.25">
      <c r="A1693" s="1" t="s">
        <v>11632</v>
      </c>
      <c r="B1693" s="1" t="s">
        <v>16379</v>
      </c>
      <c r="C1693" s="3">
        <f>IF(B1693="","",SUMIFS('Factory Costs'!$C:$C,'Factory Costs'!$A:$A,"Frame",'Factory Costs'!$B:$B,B1693))</f>
        <v>45</v>
      </c>
    </row>
    <row r="1694" spans="1:3" x14ac:dyDescent="0.25">
      <c r="A1694" s="1" t="s">
        <v>11635</v>
      </c>
      <c r="B1694" s="1" t="s">
        <v>16378</v>
      </c>
      <c r="C1694" s="3">
        <f>IF(B1694="","",SUMIFS('Factory Costs'!$C:$C,'Factory Costs'!$A:$A,"Frame",'Factory Costs'!$B:$B,B1694))</f>
        <v>52</v>
      </c>
    </row>
    <row r="1695" spans="1:3" x14ac:dyDescent="0.25">
      <c r="A1695" s="1" t="s">
        <v>11638</v>
      </c>
      <c r="B1695" s="1" t="s">
        <v>16378</v>
      </c>
      <c r="C1695" s="3">
        <f>IF(B1695="","",SUMIFS('Factory Costs'!$C:$C,'Factory Costs'!$A:$A,"Frame",'Factory Costs'!$B:$B,B1695))</f>
        <v>52</v>
      </c>
    </row>
    <row r="1696" spans="1:3" x14ac:dyDescent="0.25">
      <c r="A1696" s="1" t="s">
        <v>11641</v>
      </c>
      <c r="B1696" s="1" t="s">
        <v>16377</v>
      </c>
      <c r="C1696" s="3">
        <f>IF(B1696="","",SUMIFS('Factory Costs'!$C:$C,'Factory Costs'!$A:$A,"Frame",'Factory Costs'!$B:$B,B1696))</f>
        <v>39</v>
      </c>
    </row>
    <row r="1697" spans="1:3" x14ac:dyDescent="0.25">
      <c r="A1697" s="1" t="s">
        <v>11644</v>
      </c>
      <c r="B1697" s="1" t="s">
        <v>16377</v>
      </c>
      <c r="C1697" s="3">
        <f>IF(B1697="","",SUMIFS('Factory Costs'!$C:$C,'Factory Costs'!$A:$A,"Frame",'Factory Costs'!$B:$B,B1697))</f>
        <v>39</v>
      </c>
    </row>
    <row r="1698" spans="1:3" x14ac:dyDescent="0.25">
      <c r="A1698" s="1" t="s">
        <v>11647</v>
      </c>
      <c r="B1698" s="1" t="s">
        <v>16378</v>
      </c>
      <c r="C1698" s="3">
        <f>IF(B1698="","",SUMIFS('Factory Costs'!$C:$C,'Factory Costs'!$A:$A,"Frame",'Factory Costs'!$B:$B,B1698))</f>
        <v>52</v>
      </c>
    </row>
    <row r="1699" spans="1:3" x14ac:dyDescent="0.25">
      <c r="A1699" s="1" t="s">
        <v>11650</v>
      </c>
      <c r="B1699" s="1" t="s">
        <v>16379</v>
      </c>
      <c r="C1699" s="3">
        <f>IF(B1699="","",SUMIFS('Factory Costs'!$C:$C,'Factory Costs'!$A:$A,"Frame",'Factory Costs'!$B:$B,B1699))</f>
        <v>45</v>
      </c>
    </row>
    <row r="1700" spans="1:3" x14ac:dyDescent="0.25">
      <c r="A1700" s="1" t="s">
        <v>11653</v>
      </c>
      <c r="B1700" s="1" t="s">
        <v>16378</v>
      </c>
      <c r="C1700" s="3">
        <f>IF(B1700="","",SUMIFS('Factory Costs'!$C:$C,'Factory Costs'!$A:$A,"Frame",'Factory Costs'!$B:$B,B1700))</f>
        <v>52</v>
      </c>
    </row>
    <row r="1701" spans="1:3" x14ac:dyDescent="0.25">
      <c r="A1701" s="1" t="s">
        <v>11656</v>
      </c>
      <c r="B1701" s="1" t="s">
        <v>16378</v>
      </c>
      <c r="C1701" s="3">
        <f>IF(B1701="","",SUMIFS('Factory Costs'!$C:$C,'Factory Costs'!$A:$A,"Frame",'Factory Costs'!$B:$B,B1701))</f>
        <v>52</v>
      </c>
    </row>
    <row r="1702" spans="1:3" x14ac:dyDescent="0.25">
      <c r="A1702" s="1" t="s">
        <v>11659</v>
      </c>
      <c r="B1702" s="1" t="s">
        <v>16377</v>
      </c>
      <c r="C1702" s="3">
        <f>IF(B1702="","",SUMIFS('Factory Costs'!$C:$C,'Factory Costs'!$A:$A,"Frame",'Factory Costs'!$B:$B,B1702))</f>
        <v>39</v>
      </c>
    </row>
    <row r="1703" spans="1:3" x14ac:dyDescent="0.25">
      <c r="A1703" s="1" t="s">
        <v>11662</v>
      </c>
      <c r="B1703" s="1" t="s">
        <v>16378</v>
      </c>
      <c r="C1703" s="3">
        <f>IF(B1703="","",SUMIFS('Factory Costs'!$C:$C,'Factory Costs'!$A:$A,"Frame",'Factory Costs'!$B:$B,B1703))</f>
        <v>52</v>
      </c>
    </row>
    <row r="1704" spans="1:3" x14ac:dyDescent="0.25">
      <c r="A1704" s="1" t="s">
        <v>11665</v>
      </c>
      <c r="B1704" s="1" t="s">
        <v>16378</v>
      </c>
      <c r="C1704" s="3">
        <f>IF(B1704="","",SUMIFS('Factory Costs'!$C:$C,'Factory Costs'!$A:$A,"Frame",'Factory Costs'!$B:$B,B1704))</f>
        <v>52</v>
      </c>
    </row>
    <row r="1705" spans="1:3" x14ac:dyDescent="0.25">
      <c r="A1705" s="1" t="s">
        <v>11668</v>
      </c>
      <c r="B1705" s="1" t="s">
        <v>16378</v>
      </c>
      <c r="C1705" s="3">
        <f>IF(B1705="","",SUMIFS('Factory Costs'!$C:$C,'Factory Costs'!$A:$A,"Frame",'Factory Costs'!$B:$B,B1705))</f>
        <v>52</v>
      </c>
    </row>
    <row r="1706" spans="1:3" x14ac:dyDescent="0.25">
      <c r="A1706" s="1" t="s">
        <v>11671</v>
      </c>
      <c r="B1706" s="1" t="s">
        <v>16377</v>
      </c>
      <c r="C1706" s="3">
        <f>IF(B1706="","",SUMIFS('Factory Costs'!$C:$C,'Factory Costs'!$A:$A,"Frame",'Factory Costs'!$B:$B,B1706))</f>
        <v>39</v>
      </c>
    </row>
    <row r="1707" spans="1:3" x14ac:dyDescent="0.25">
      <c r="A1707" s="1" t="s">
        <v>11674</v>
      </c>
      <c r="B1707" s="1" t="s">
        <v>16378</v>
      </c>
      <c r="C1707" s="3">
        <f>IF(B1707="","",SUMIFS('Factory Costs'!$C:$C,'Factory Costs'!$A:$A,"Frame",'Factory Costs'!$B:$B,B1707))</f>
        <v>52</v>
      </c>
    </row>
    <row r="1708" spans="1:3" x14ac:dyDescent="0.25">
      <c r="A1708" s="1" t="s">
        <v>11677</v>
      </c>
      <c r="B1708" s="1" t="s">
        <v>16378</v>
      </c>
      <c r="C1708" s="3">
        <f>IF(B1708="","",SUMIFS('Factory Costs'!$C:$C,'Factory Costs'!$A:$A,"Frame",'Factory Costs'!$B:$B,B1708))</f>
        <v>52</v>
      </c>
    </row>
    <row r="1709" spans="1:3" x14ac:dyDescent="0.25">
      <c r="A1709" s="1" t="s">
        <v>11680</v>
      </c>
      <c r="B1709" s="1" t="s">
        <v>16378</v>
      </c>
      <c r="C1709" s="3">
        <f>IF(B1709="","",SUMIFS('Factory Costs'!$C:$C,'Factory Costs'!$A:$A,"Frame",'Factory Costs'!$B:$B,B1709))</f>
        <v>52</v>
      </c>
    </row>
    <row r="1710" spans="1:3" x14ac:dyDescent="0.25">
      <c r="A1710" s="1" t="s">
        <v>11683</v>
      </c>
      <c r="B1710" s="1" t="s">
        <v>16378</v>
      </c>
      <c r="C1710" s="3">
        <f>IF(B1710="","",SUMIFS('Factory Costs'!$C:$C,'Factory Costs'!$A:$A,"Frame",'Factory Costs'!$B:$B,B1710))</f>
        <v>52</v>
      </c>
    </row>
    <row r="1711" spans="1:3" x14ac:dyDescent="0.25">
      <c r="A1711" s="1" t="s">
        <v>11686</v>
      </c>
      <c r="B1711" s="1" t="s">
        <v>16379</v>
      </c>
      <c r="C1711" s="3">
        <f>IF(B1711="","",SUMIFS('Factory Costs'!$C:$C,'Factory Costs'!$A:$A,"Frame",'Factory Costs'!$B:$B,B1711))</f>
        <v>45</v>
      </c>
    </row>
    <row r="1712" spans="1:3" x14ac:dyDescent="0.25">
      <c r="A1712" s="1" t="s">
        <v>11689</v>
      </c>
      <c r="B1712" s="1" t="s">
        <v>16377</v>
      </c>
      <c r="C1712" s="3">
        <f>IF(B1712="","",SUMIFS('Factory Costs'!$C:$C,'Factory Costs'!$A:$A,"Frame",'Factory Costs'!$B:$B,B1712))</f>
        <v>39</v>
      </c>
    </row>
    <row r="1713" spans="1:3" x14ac:dyDescent="0.25">
      <c r="A1713" s="1" t="s">
        <v>11692</v>
      </c>
      <c r="B1713" s="1" t="s">
        <v>16378</v>
      </c>
      <c r="C1713" s="3">
        <f>IF(B1713="","",SUMIFS('Factory Costs'!$C:$C,'Factory Costs'!$A:$A,"Frame",'Factory Costs'!$B:$B,B1713))</f>
        <v>52</v>
      </c>
    </row>
    <row r="1714" spans="1:3" x14ac:dyDescent="0.25">
      <c r="A1714" s="1" t="s">
        <v>11695</v>
      </c>
      <c r="B1714" s="1" t="s">
        <v>16378</v>
      </c>
      <c r="C1714" s="3">
        <f>IF(B1714="","",SUMIFS('Factory Costs'!$C:$C,'Factory Costs'!$A:$A,"Frame",'Factory Costs'!$B:$B,B1714))</f>
        <v>52</v>
      </c>
    </row>
    <row r="1715" spans="1:3" x14ac:dyDescent="0.25">
      <c r="A1715" s="1" t="s">
        <v>11698</v>
      </c>
      <c r="B1715" s="1" t="s">
        <v>16377</v>
      </c>
      <c r="C1715" s="3">
        <f>IF(B1715="","",SUMIFS('Factory Costs'!$C:$C,'Factory Costs'!$A:$A,"Frame",'Factory Costs'!$B:$B,B1715))</f>
        <v>39</v>
      </c>
    </row>
    <row r="1716" spans="1:3" x14ac:dyDescent="0.25">
      <c r="A1716" s="1" t="s">
        <v>11701</v>
      </c>
      <c r="B1716" s="1" t="s">
        <v>16377</v>
      </c>
      <c r="C1716" s="3">
        <f>IF(B1716="","",SUMIFS('Factory Costs'!$C:$C,'Factory Costs'!$A:$A,"Frame",'Factory Costs'!$B:$B,B1716))</f>
        <v>39</v>
      </c>
    </row>
    <row r="1717" spans="1:3" x14ac:dyDescent="0.25">
      <c r="A1717" s="1" t="s">
        <v>11704</v>
      </c>
      <c r="B1717" s="1" t="s">
        <v>16377</v>
      </c>
      <c r="C1717" s="3">
        <f>IF(B1717="","",SUMIFS('Factory Costs'!$C:$C,'Factory Costs'!$A:$A,"Frame",'Factory Costs'!$B:$B,B1717))</f>
        <v>39</v>
      </c>
    </row>
    <row r="1718" spans="1:3" x14ac:dyDescent="0.25">
      <c r="A1718" s="1" t="s">
        <v>11707</v>
      </c>
      <c r="B1718" s="1" t="s">
        <v>16377</v>
      </c>
      <c r="C1718" s="3">
        <f>IF(B1718="","",SUMIFS('Factory Costs'!$C:$C,'Factory Costs'!$A:$A,"Frame",'Factory Costs'!$B:$B,B1718))</f>
        <v>39</v>
      </c>
    </row>
    <row r="1719" spans="1:3" x14ac:dyDescent="0.25">
      <c r="A1719" s="1" t="s">
        <v>11710</v>
      </c>
      <c r="B1719" s="1" t="s">
        <v>16377</v>
      </c>
      <c r="C1719" s="3">
        <f>IF(B1719="","",SUMIFS('Factory Costs'!$C:$C,'Factory Costs'!$A:$A,"Frame",'Factory Costs'!$B:$B,B1719))</f>
        <v>39</v>
      </c>
    </row>
    <row r="1720" spans="1:3" x14ac:dyDescent="0.25">
      <c r="A1720" s="1" t="s">
        <v>11713</v>
      </c>
      <c r="B1720" s="1" t="s">
        <v>16379</v>
      </c>
      <c r="C1720" s="3">
        <f>IF(B1720="","",SUMIFS('Factory Costs'!$C:$C,'Factory Costs'!$A:$A,"Frame",'Factory Costs'!$B:$B,B1720))</f>
        <v>45</v>
      </c>
    </row>
    <row r="1721" spans="1:3" x14ac:dyDescent="0.25">
      <c r="A1721" s="1" t="s">
        <v>11716</v>
      </c>
      <c r="B1721" s="1" t="s">
        <v>16378</v>
      </c>
      <c r="C1721" s="3">
        <f>IF(B1721="","",SUMIFS('Factory Costs'!$C:$C,'Factory Costs'!$A:$A,"Frame",'Factory Costs'!$B:$B,B1721))</f>
        <v>52</v>
      </c>
    </row>
    <row r="1722" spans="1:3" x14ac:dyDescent="0.25">
      <c r="A1722" s="1" t="s">
        <v>11719</v>
      </c>
      <c r="B1722" s="1" t="s">
        <v>16377</v>
      </c>
      <c r="C1722" s="3">
        <f>IF(B1722="","",SUMIFS('Factory Costs'!$C:$C,'Factory Costs'!$A:$A,"Frame",'Factory Costs'!$B:$B,B1722))</f>
        <v>39</v>
      </c>
    </row>
    <row r="1723" spans="1:3" x14ac:dyDescent="0.25">
      <c r="A1723" s="1" t="s">
        <v>11722</v>
      </c>
      <c r="B1723" s="1" t="s">
        <v>16377</v>
      </c>
      <c r="C1723" s="3">
        <f>IF(B1723="","",SUMIFS('Factory Costs'!$C:$C,'Factory Costs'!$A:$A,"Frame",'Factory Costs'!$B:$B,B1723))</f>
        <v>39</v>
      </c>
    </row>
    <row r="1724" spans="1:3" x14ac:dyDescent="0.25">
      <c r="A1724" s="1" t="s">
        <v>11725</v>
      </c>
      <c r="B1724" s="1" t="s">
        <v>16379</v>
      </c>
      <c r="C1724" s="3">
        <f>IF(B1724="","",SUMIFS('Factory Costs'!$C:$C,'Factory Costs'!$A:$A,"Frame",'Factory Costs'!$B:$B,B1724))</f>
        <v>45</v>
      </c>
    </row>
    <row r="1725" spans="1:3" x14ac:dyDescent="0.25">
      <c r="A1725" s="1" t="s">
        <v>11728</v>
      </c>
      <c r="B1725" s="1" t="s">
        <v>16377</v>
      </c>
      <c r="C1725" s="3">
        <f>IF(B1725="","",SUMIFS('Factory Costs'!$C:$C,'Factory Costs'!$A:$A,"Frame",'Factory Costs'!$B:$B,B1725))</f>
        <v>39</v>
      </c>
    </row>
    <row r="1726" spans="1:3" x14ac:dyDescent="0.25">
      <c r="A1726" s="1" t="s">
        <v>11731</v>
      </c>
      <c r="B1726" s="1" t="s">
        <v>16378</v>
      </c>
      <c r="C1726" s="3">
        <f>IF(B1726="","",SUMIFS('Factory Costs'!$C:$C,'Factory Costs'!$A:$A,"Frame",'Factory Costs'!$B:$B,B1726))</f>
        <v>52</v>
      </c>
    </row>
    <row r="1727" spans="1:3" x14ac:dyDescent="0.25">
      <c r="A1727" s="1" t="s">
        <v>11734</v>
      </c>
      <c r="B1727" s="1" t="s">
        <v>16377</v>
      </c>
      <c r="C1727" s="3">
        <f>IF(B1727="","",SUMIFS('Factory Costs'!$C:$C,'Factory Costs'!$A:$A,"Frame",'Factory Costs'!$B:$B,B1727))</f>
        <v>39</v>
      </c>
    </row>
    <row r="1728" spans="1:3" x14ac:dyDescent="0.25">
      <c r="A1728" s="1" t="s">
        <v>11737</v>
      </c>
      <c r="B1728" s="1" t="s">
        <v>16379</v>
      </c>
      <c r="C1728" s="3">
        <f>IF(B1728="","",SUMIFS('Factory Costs'!$C:$C,'Factory Costs'!$A:$A,"Frame",'Factory Costs'!$B:$B,B1728))</f>
        <v>45</v>
      </c>
    </row>
    <row r="1729" spans="1:3" x14ac:dyDescent="0.25">
      <c r="A1729" s="1" t="s">
        <v>11740</v>
      </c>
      <c r="B1729" s="1" t="s">
        <v>16379</v>
      </c>
      <c r="C1729" s="3">
        <f>IF(B1729="","",SUMIFS('Factory Costs'!$C:$C,'Factory Costs'!$A:$A,"Frame",'Factory Costs'!$B:$B,B1729))</f>
        <v>45</v>
      </c>
    </row>
    <row r="1730" spans="1:3" x14ac:dyDescent="0.25">
      <c r="A1730" s="1" t="s">
        <v>11743</v>
      </c>
      <c r="B1730" s="1" t="s">
        <v>16378</v>
      </c>
      <c r="C1730" s="3">
        <f>IF(B1730="","",SUMIFS('Factory Costs'!$C:$C,'Factory Costs'!$A:$A,"Frame",'Factory Costs'!$B:$B,B1730))</f>
        <v>52</v>
      </c>
    </row>
    <row r="1731" spans="1:3" x14ac:dyDescent="0.25">
      <c r="A1731" s="1" t="s">
        <v>11746</v>
      </c>
      <c r="B1731" s="1" t="s">
        <v>16379</v>
      </c>
      <c r="C1731" s="3">
        <f>IF(B1731="","",SUMIFS('Factory Costs'!$C:$C,'Factory Costs'!$A:$A,"Frame",'Factory Costs'!$B:$B,B1731))</f>
        <v>45</v>
      </c>
    </row>
    <row r="1732" spans="1:3" x14ac:dyDescent="0.25">
      <c r="A1732" s="1" t="s">
        <v>11749</v>
      </c>
      <c r="B1732" s="1" t="s">
        <v>16377</v>
      </c>
      <c r="C1732" s="3">
        <f>IF(B1732="","",SUMIFS('Factory Costs'!$C:$C,'Factory Costs'!$A:$A,"Frame",'Factory Costs'!$B:$B,B1732))</f>
        <v>39</v>
      </c>
    </row>
    <row r="1733" spans="1:3" x14ac:dyDescent="0.25">
      <c r="A1733" s="1" t="s">
        <v>11752</v>
      </c>
      <c r="B1733" s="1" t="s">
        <v>16378</v>
      </c>
      <c r="C1733" s="3">
        <f>IF(B1733="","",SUMIFS('Factory Costs'!$C:$C,'Factory Costs'!$A:$A,"Frame",'Factory Costs'!$B:$B,B1733))</f>
        <v>52</v>
      </c>
    </row>
    <row r="1734" spans="1:3" x14ac:dyDescent="0.25">
      <c r="A1734" s="1" t="s">
        <v>11755</v>
      </c>
      <c r="B1734" s="1" t="s">
        <v>16379</v>
      </c>
      <c r="C1734" s="3">
        <f>IF(B1734="","",SUMIFS('Factory Costs'!$C:$C,'Factory Costs'!$A:$A,"Frame",'Factory Costs'!$B:$B,B1734))</f>
        <v>45</v>
      </c>
    </row>
    <row r="1735" spans="1:3" x14ac:dyDescent="0.25">
      <c r="A1735" s="1" t="s">
        <v>11758</v>
      </c>
      <c r="B1735" s="1" t="s">
        <v>16377</v>
      </c>
      <c r="C1735" s="3">
        <f>IF(B1735="","",SUMIFS('Factory Costs'!$C:$C,'Factory Costs'!$A:$A,"Frame",'Factory Costs'!$B:$B,B1735))</f>
        <v>39</v>
      </c>
    </row>
    <row r="1736" spans="1:3" x14ac:dyDescent="0.25">
      <c r="A1736" s="1" t="s">
        <v>11761</v>
      </c>
      <c r="B1736" s="1" t="s">
        <v>16377</v>
      </c>
      <c r="C1736" s="3">
        <f>IF(B1736="","",SUMIFS('Factory Costs'!$C:$C,'Factory Costs'!$A:$A,"Frame",'Factory Costs'!$B:$B,B1736))</f>
        <v>39</v>
      </c>
    </row>
    <row r="1737" spans="1:3" x14ac:dyDescent="0.25">
      <c r="A1737" s="1" t="s">
        <v>11764</v>
      </c>
      <c r="B1737" s="1" t="s">
        <v>16378</v>
      </c>
      <c r="C1737" s="3">
        <f>IF(B1737="","",SUMIFS('Factory Costs'!$C:$C,'Factory Costs'!$A:$A,"Frame",'Factory Costs'!$B:$B,B1737))</f>
        <v>52</v>
      </c>
    </row>
    <row r="1738" spans="1:3" x14ac:dyDescent="0.25">
      <c r="A1738" s="1" t="s">
        <v>11767</v>
      </c>
      <c r="B1738" s="1" t="s">
        <v>16377</v>
      </c>
      <c r="C1738" s="3">
        <f>IF(B1738="","",SUMIFS('Factory Costs'!$C:$C,'Factory Costs'!$A:$A,"Frame",'Factory Costs'!$B:$B,B1738))</f>
        <v>39</v>
      </c>
    </row>
    <row r="1739" spans="1:3" x14ac:dyDescent="0.25">
      <c r="A1739" s="1" t="s">
        <v>11770</v>
      </c>
      <c r="B1739" s="1" t="s">
        <v>16378</v>
      </c>
      <c r="C1739" s="3">
        <f>IF(B1739="","",SUMIFS('Factory Costs'!$C:$C,'Factory Costs'!$A:$A,"Frame",'Factory Costs'!$B:$B,B1739))</f>
        <v>52</v>
      </c>
    </row>
    <row r="1740" spans="1:3" x14ac:dyDescent="0.25">
      <c r="A1740" s="1" t="s">
        <v>11773</v>
      </c>
      <c r="B1740" s="1" t="s">
        <v>16379</v>
      </c>
      <c r="C1740" s="3">
        <f>IF(B1740="","",SUMIFS('Factory Costs'!$C:$C,'Factory Costs'!$A:$A,"Frame",'Factory Costs'!$B:$B,B1740))</f>
        <v>45</v>
      </c>
    </row>
    <row r="1741" spans="1:3" x14ac:dyDescent="0.25">
      <c r="A1741" s="1" t="s">
        <v>11776</v>
      </c>
      <c r="B1741" s="1" t="s">
        <v>16378</v>
      </c>
      <c r="C1741" s="3">
        <f>IF(B1741="","",SUMIFS('Factory Costs'!$C:$C,'Factory Costs'!$A:$A,"Frame",'Factory Costs'!$B:$B,B1741))</f>
        <v>52</v>
      </c>
    </row>
    <row r="1742" spans="1:3" x14ac:dyDescent="0.25">
      <c r="A1742" s="1" t="s">
        <v>11779</v>
      </c>
      <c r="B1742" s="1" t="s">
        <v>16377</v>
      </c>
      <c r="C1742" s="3">
        <f>IF(B1742="","",SUMIFS('Factory Costs'!$C:$C,'Factory Costs'!$A:$A,"Frame",'Factory Costs'!$B:$B,B1742))</f>
        <v>39</v>
      </c>
    </row>
    <row r="1743" spans="1:3" x14ac:dyDescent="0.25">
      <c r="A1743" s="1" t="s">
        <v>11782</v>
      </c>
      <c r="B1743" s="1" t="s">
        <v>16378</v>
      </c>
      <c r="C1743" s="3">
        <f>IF(B1743="","",SUMIFS('Factory Costs'!$C:$C,'Factory Costs'!$A:$A,"Frame",'Factory Costs'!$B:$B,B1743))</f>
        <v>52</v>
      </c>
    </row>
    <row r="1744" spans="1:3" x14ac:dyDescent="0.25">
      <c r="A1744" s="1" t="s">
        <v>11785</v>
      </c>
      <c r="B1744" s="1" t="s">
        <v>16379</v>
      </c>
      <c r="C1744" s="3">
        <f>IF(B1744="","",SUMIFS('Factory Costs'!$C:$C,'Factory Costs'!$A:$A,"Frame",'Factory Costs'!$B:$B,B1744))</f>
        <v>45</v>
      </c>
    </row>
    <row r="1745" spans="1:3" x14ac:dyDescent="0.25">
      <c r="A1745" s="1" t="s">
        <v>11788</v>
      </c>
      <c r="B1745" s="1" t="s">
        <v>16378</v>
      </c>
      <c r="C1745" s="3">
        <f>IF(B1745="","",SUMIFS('Factory Costs'!$C:$C,'Factory Costs'!$A:$A,"Frame",'Factory Costs'!$B:$B,B1745))</f>
        <v>52</v>
      </c>
    </row>
    <row r="1746" spans="1:3" x14ac:dyDescent="0.25">
      <c r="A1746" s="1" t="s">
        <v>11791</v>
      </c>
      <c r="B1746" s="1" t="s">
        <v>16378</v>
      </c>
      <c r="C1746" s="3">
        <f>IF(B1746="","",SUMIFS('Factory Costs'!$C:$C,'Factory Costs'!$A:$A,"Frame",'Factory Costs'!$B:$B,B1746))</f>
        <v>52</v>
      </c>
    </row>
    <row r="1747" spans="1:3" x14ac:dyDescent="0.25">
      <c r="A1747" s="1" t="s">
        <v>11794</v>
      </c>
      <c r="B1747" s="1" t="s">
        <v>16379</v>
      </c>
      <c r="C1747" s="3">
        <f>IF(B1747="","",SUMIFS('Factory Costs'!$C:$C,'Factory Costs'!$A:$A,"Frame",'Factory Costs'!$B:$B,B1747))</f>
        <v>45</v>
      </c>
    </row>
    <row r="1748" spans="1:3" x14ac:dyDescent="0.25">
      <c r="A1748" s="1" t="s">
        <v>11797</v>
      </c>
      <c r="B1748" s="1" t="s">
        <v>16379</v>
      </c>
      <c r="C1748" s="3">
        <f>IF(B1748="","",SUMIFS('Factory Costs'!$C:$C,'Factory Costs'!$A:$A,"Frame",'Factory Costs'!$B:$B,B1748))</f>
        <v>45</v>
      </c>
    </row>
    <row r="1749" spans="1:3" x14ac:dyDescent="0.25">
      <c r="A1749" s="1" t="s">
        <v>11800</v>
      </c>
      <c r="B1749" s="1" t="s">
        <v>16378</v>
      </c>
      <c r="C1749" s="3">
        <f>IF(B1749="","",SUMIFS('Factory Costs'!$C:$C,'Factory Costs'!$A:$A,"Frame",'Factory Costs'!$B:$B,B1749))</f>
        <v>52</v>
      </c>
    </row>
    <row r="1750" spans="1:3" x14ac:dyDescent="0.25">
      <c r="A1750" s="1" t="s">
        <v>11803</v>
      </c>
      <c r="B1750" s="1" t="s">
        <v>16377</v>
      </c>
      <c r="C1750" s="3">
        <f>IF(B1750="","",SUMIFS('Factory Costs'!$C:$C,'Factory Costs'!$A:$A,"Frame",'Factory Costs'!$B:$B,B1750))</f>
        <v>39</v>
      </c>
    </row>
    <row r="1751" spans="1:3" x14ac:dyDescent="0.25">
      <c r="A1751" s="1" t="s">
        <v>11806</v>
      </c>
      <c r="B1751" s="1" t="s">
        <v>16379</v>
      </c>
      <c r="C1751" s="3">
        <f>IF(B1751="","",SUMIFS('Factory Costs'!$C:$C,'Factory Costs'!$A:$A,"Frame",'Factory Costs'!$B:$B,B1751))</f>
        <v>45</v>
      </c>
    </row>
    <row r="1752" spans="1:3" x14ac:dyDescent="0.25">
      <c r="A1752" s="1" t="s">
        <v>11809</v>
      </c>
      <c r="B1752" s="1" t="s">
        <v>16378</v>
      </c>
      <c r="C1752" s="3">
        <f>IF(B1752="","",SUMIFS('Factory Costs'!$C:$C,'Factory Costs'!$A:$A,"Frame",'Factory Costs'!$B:$B,B1752))</f>
        <v>52</v>
      </c>
    </row>
    <row r="1753" spans="1:3" x14ac:dyDescent="0.25">
      <c r="A1753" s="1" t="s">
        <v>11812</v>
      </c>
      <c r="B1753" s="1" t="s">
        <v>16379</v>
      </c>
      <c r="C1753" s="3">
        <f>IF(B1753="","",SUMIFS('Factory Costs'!$C:$C,'Factory Costs'!$A:$A,"Frame",'Factory Costs'!$B:$B,B1753))</f>
        <v>45</v>
      </c>
    </row>
    <row r="1754" spans="1:3" x14ac:dyDescent="0.25">
      <c r="A1754" s="1" t="s">
        <v>11815</v>
      </c>
      <c r="B1754" s="1" t="s">
        <v>16379</v>
      </c>
      <c r="C1754" s="3">
        <f>IF(B1754="","",SUMIFS('Factory Costs'!$C:$C,'Factory Costs'!$A:$A,"Frame",'Factory Costs'!$B:$B,B1754))</f>
        <v>45</v>
      </c>
    </row>
    <row r="1755" spans="1:3" x14ac:dyDescent="0.25">
      <c r="A1755" s="1" t="s">
        <v>11818</v>
      </c>
      <c r="B1755" s="1" t="s">
        <v>16379</v>
      </c>
      <c r="C1755" s="3">
        <f>IF(B1755="","",SUMIFS('Factory Costs'!$C:$C,'Factory Costs'!$A:$A,"Frame",'Factory Costs'!$B:$B,B1755))</f>
        <v>45</v>
      </c>
    </row>
    <row r="1756" spans="1:3" x14ac:dyDescent="0.25">
      <c r="A1756" s="1" t="s">
        <v>11821</v>
      </c>
      <c r="B1756" s="1" t="s">
        <v>16379</v>
      </c>
      <c r="C1756" s="3">
        <f>IF(B1756="","",SUMIFS('Factory Costs'!$C:$C,'Factory Costs'!$A:$A,"Frame",'Factory Costs'!$B:$B,B1756))</f>
        <v>45</v>
      </c>
    </row>
    <row r="1757" spans="1:3" x14ac:dyDescent="0.25">
      <c r="A1757" s="1" t="s">
        <v>11824</v>
      </c>
      <c r="B1757" s="1" t="s">
        <v>16378</v>
      </c>
      <c r="C1757" s="3">
        <f>IF(B1757="","",SUMIFS('Factory Costs'!$C:$C,'Factory Costs'!$A:$A,"Frame",'Factory Costs'!$B:$B,B1757))</f>
        <v>52</v>
      </c>
    </row>
    <row r="1758" spans="1:3" x14ac:dyDescent="0.25">
      <c r="A1758" s="1" t="s">
        <v>11827</v>
      </c>
      <c r="B1758" s="1" t="s">
        <v>16377</v>
      </c>
      <c r="C1758" s="3">
        <f>IF(B1758="","",SUMIFS('Factory Costs'!$C:$C,'Factory Costs'!$A:$A,"Frame",'Factory Costs'!$B:$B,B1758))</f>
        <v>39</v>
      </c>
    </row>
    <row r="1759" spans="1:3" x14ac:dyDescent="0.25">
      <c r="A1759" s="1" t="s">
        <v>11830</v>
      </c>
      <c r="B1759" s="1" t="s">
        <v>16377</v>
      </c>
      <c r="C1759" s="3">
        <f>IF(B1759="","",SUMIFS('Factory Costs'!$C:$C,'Factory Costs'!$A:$A,"Frame",'Factory Costs'!$B:$B,B1759))</f>
        <v>39</v>
      </c>
    </row>
    <row r="1760" spans="1:3" x14ac:dyDescent="0.25">
      <c r="A1760" s="1" t="s">
        <v>11833</v>
      </c>
      <c r="B1760" s="1" t="s">
        <v>16378</v>
      </c>
      <c r="C1760" s="3">
        <f>IF(B1760="","",SUMIFS('Factory Costs'!$C:$C,'Factory Costs'!$A:$A,"Frame",'Factory Costs'!$B:$B,B1760))</f>
        <v>52</v>
      </c>
    </row>
    <row r="1761" spans="1:3" x14ac:dyDescent="0.25">
      <c r="A1761" s="1" t="s">
        <v>11836</v>
      </c>
      <c r="B1761" s="1" t="s">
        <v>16377</v>
      </c>
      <c r="C1761" s="3">
        <f>IF(B1761="","",SUMIFS('Factory Costs'!$C:$C,'Factory Costs'!$A:$A,"Frame",'Factory Costs'!$B:$B,B1761))</f>
        <v>39</v>
      </c>
    </row>
    <row r="1762" spans="1:3" x14ac:dyDescent="0.25">
      <c r="A1762" s="1" t="s">
        <v>11839</v>
      </c>
      <c r="B1762" s="1" t="s">
        <v>16377</v>
      </c>
      <c r="C1762" s="3">
        <f>IF(B1762="","",SUMIFS('Factory Costs'!$C:$C,'Factory Costs'!$A:$A,"Frame",'Factory Costs'!$B:$B,B1762))</f>
        <v>39</v>
      </c>
    </row>
    <row r="1763" spans="1:3" x14ac:dyDescent="0.25">
      <c r="A1763" s="1" t="s">
        <v>11842</v>
      </c>
      <c r="B1763" s="1" t="s">
        <v>16378</v>
      </c>
      <c r="C1763" s="3">
        <f>IF(B1763="","",SUMIFS('Factory Costs'!$C:$C,'Factory Costs'!$A:$A,"Frame",'Factory Costs'!$B:$B,B1763))</f>
        <v>52</v>
      </c>
    </row>
    <row r="1764" spans="1:3" x14ac:dyDescent="0.25">
      <c r="A1764" s="1" t="s">
        <v>11845</v>
      </c>
      <c r="B1764" s="1" t="s">
        <v>16379</v>
      </c>
      <c r="C1764" s="3">
        <f>IF(B1764="","",SUMIFS('Factory Costs'!$C:$C,'Factory Costs'!$A:$A,"Frame",'Factory Costs'!$B:$B,B1764))</f>
        <v>45</v>
      </c>
    </row>
    <row r="1765" spans="1:3" x14ac:dyDescent="0.25">
      <c r="A1765" s="1" t="s">
        <v>11848</v>
      </c>
      <c r="B1765" s="1" t="s">
        <v>16377</v>
      </c>
      <c r="C1765" s="3">
        <f>IF(B1765="","",SUMIFS('Factory Costs'!$C:$C,'Factory Costs'!$A:$A,"Frame",'Factory Costs'!$B:$B,B1765))</f>
        <v>39</v>
      </c>
    </row>
    <row r="1766" spans="1:3" x14ac:dyDescent="0.25">
      <c r="A1766" s="1" t="s">
        <v>11851</v>
      </c>
      <c r="B1766" s="1" t="s">
        <v>16379</v>
      </c>
      <c r="C1766" s="3">
        <f>IF(B1766="","",SUMIFS('Factory Costs'!$C:$C,'Factory Costs'!$A:$A,"Frame",'Factory Costs'!$B:$B,B1766))</f>
        <v>45</v>
      </c>
    </row>
    <row r="1767" spans="1:3" x14ac:dyDescent="0.25">
      <c r="A1767" s="1" t="s">
        <v>11854</v>
      </c>
      <c r="B1767" s="1" t="s">
        <v>16378</v>
      </c>
      <c r="C1767" s="3">
        <f>IF(B1767="","",SUMIFS('Factory Costs'!$C:$C,'Factory Costs'!$A:$A,"Frame",'Factory Costs'!$B:$B,B1767))</f>
        <v>52</v>
      </c>
    </row>
    <row r="1768" spans="1:3" x14ac:dyDescent="0.25">
      <c r="A1768" s="1" t="s">
        <v>11857</v>
      </c>
      <c r="B1768" s="1" t="s">
        <v>16377</v>
      </c>
      <c r="C1768" s="3">
        <f>IF(B1768="","",SUMIFS('Factory Costs'!$C:$C,'Factory Costs'!$A:$A,"Frame",'Factory Costs'!$B:$B,B1768))</f>
        <v>39</v>
      </c>
    </row>
    <row r="1769" spans="1:3" x14ac:dyDescent="0.25">
      <c r="A1769" s="1" t="s">
        <v>11860</v>
      </c>
      <c r="B1769" s="1" t="s">
        <v>16377</v>
      </c>
      <c r="C1769" s="3">
        <f>IF(B1769="","",SUMIFS('Factory Costs'!$C:$C,'Factory Costs'!$A:$A,"Frame",'Factory Costs'!$B:$B,B1769))</f>
        <v>39</v>
      </c>
    </row>
    <row r="1770" spans="1:3" x14ac:dyDescent="0.25">
      <c r="A1770" s="1" t="s">
        <v>11863</v>
      </c>
      <c r="B1770" s="1" t="s">
        <v>16377</v>
      </c>
      <c r="C1770" s="3">
        <f>IF(B1770="","",SUMIFS('Factory Costs'!$C:$C,'Factory Costs'!$A:$A,"Frame",'Factory Costs'!$B:$B,B1770))</f>
        <v>39</v>
      </c>
    </row>
    <row r="1771" spans="1:3" x14ac:dyDescent="0.25">
      <c r="A1771" s="1" t="s">
        <v>11866</v>
      </c>
      <c r="B1771" s="1" t="s">
        <v>16379</v>
      </c>
      <c r="C1771" s="3">
        <f>IF(B1771="","",SUMIFS('Factory Costs'!$C:$C,'Factory Costs'!$A:$A,"Frame",'Factory Costs'!$B:$B,B1771))</f>
        <v>45</v>
      </c>
    </row>
    <row r="1772" spans="1:3" x14ac:dyDescent="0.25">
      <c r="A1772" s="1" t="s">
        <v>11869</v>
      </c>
      <c r="B1772" s="1" t="s">
        <v>16378</v>
      </c>
      <c r="C1772" s="3">
        <f>IF(B1772="","",SUMIFS('Factory Costs'!$C:$C,'Factory Costs'!$A:$A,"Frame",'Factory Costs'!$B:$B,B1772))</f>
        <v>52</v>
      </c>
    </row>
    <row r="1773" spans="1:3" x14ac:dyDescent="0.25">
      <c r="A1773" s="1" t="s">
        <v>11872</v>
      </c>
      <c r="B1773" s="1" t="s">
        <v>16377</v>
      </c>
      <c r="C1773" s="3">
        <f>IF(B1773="","",SUMIFS('Factory Costs'!$C:$C,'Factory Costs'!$A:$A,"Frame",'Factory Costs'!$B:$B,B1773))</f>
        <v>39</v>
      </c>
    </row>
    <row r="1774" spans="1:3" x14ac:dyDescent="0.25">
      <c r="A1774" s="1" t="s">
        <v>11875</v>
      </c>
      <c r="B1774" s="1" t="s">
        <v>16379</v>
      </c>
      <c r="C1774" s="3">
        <f>IF(B1774="","",SUMIFS('Factory Costs'!$C:$C,'Factory Costs'!$A:$A,"Frame",'Factory Costs'!$B:$B,B1774))</f>
        <v>45</v>
      </c>
    </row>
    <row r="1775" spans="1:3" x14ac:dyDescent="0.25">
      <c r="A1775" s="1" t="s">
        <v>11878</v>
      </c>
      <c r="B1775" s="1" t="s">
        <v>16378</v>
      </c>
      <c r="C1775" s="3">
        <f>IF(B1775="","",SUMIFS('Factory Costs'!$C:$C,'Factory Costs'!$A:$A,"Frame",'Factory Costs'!$B:$B,B1775))</f>
        <v>52</v>
      </c>
    </row>
    <row r="1776" spans="1:3" x14ac:dyDescent="0.25">
      <c r="A1776" s="1" t="s">
        <v>11881</v>
      </c>
      <c r="B1776" s="1" t="s">
        <v>16378</v>
      </c>
      <c r="C1776" s="3">
        <f>IF(B1776="","",SUMIFS('Factory Costs'!$C:$C,'Factory Costs'!$A:$A,"Frame",'Factory Costs'!$B:$B,B1776))</f>
        <v>52</v>
      </c>
    </row>
    <row r="1777" spans="1:3" x14ac:dyDescent="0.25">
      <c r="A1777" s="1" t="s">
        <v>11884</v>
      </c>
      <c r="B1777" s="1" t="s">
        <v>16379</v>
      </c>
      <c r="C1777" s="3">
        <f>IF(B1777="","",SUMIFS('Factory Costs'!$C:$C,'Factory Costs'!$A:$A,"Frame",'Factory Costs'!$B:$B,B1777))</f>
        <v>45</v>
      </c>
    </row>
    <row r="1778" spans="1:3" x14ac:dyDescent="0.25">
      <c r="A1778" s="1" t="s">
        <v>11887</v>
      </c>
      <c r="B1778" s="1" t="s">
        <v>16379</v>
      </c>
      <c r="C1778" s="3">
        <f>IF(B1778="","",SUMIFS('Factory Costs'!$C:$C,'Factory Costs'!$A:$A,"Frame",'Factory Costs'!$B:$B,B1778))</f>
        <v>45</v>
      </c>
    </row>
    <row r="1779" spans="1:3" x14ac:dyDescent="0.25">
      <c r="A1779" s="1" t="s">
        <v>11890</v>
      </c>
      <c r="B1779" s="1" t="s">
        <v>16379</v>
      </c>
      <c r="C1779" s="3">
        <f>IF(B1779="","",SUMIFS('Factory Costs'!$C:$C,'Factory Costs'!$A:$A,"Frame",'Factory Costs'!$B:$B,B1779))</f>
        <v>45</v>
      </c>
    </row>
    <row r="1780" spans="1:3" x14ac:dyDescent="0.25">
      <c r="A1780" s="1" t="s">
        <v>11893</v>
      </c>
      <c r="B1780" s="1" t="s">
        <v>16377</v>
      </c>
      <c r="C1780" s="3">
        <f>IF(B1780="","",SUMIFS('Factory Costs'!$C:$C,'Factory Costs'!$A:$A,"Frame",'Factory Costs'!$B:$B,B1780))</f>
        <v>39</v>
      </c>
    </row>
    <row r="1781" spans="1:3" x14ac:dyDescent="0.25">
      <c r="A1781" s="1" t="s">
        <v>11896</v>
      </c>
      <c r="B1781" s="1" t="s">
        <v>16378</v>
      </c>
      <c r="C1781" s="3">
        <f>IF(B1781="","",SUMIFS('Factory Costs'!$C:$C,'Factory Costs'!$A:$A,"Frame",'Factory Costs'!$B:$B,B1781))</f>
        <v>52</v>
      </c>
    </row>
    <row r="1782" spans="1:3" x14ac:dyDescent="0.25">
      <c r="A1782" s="1" t="s">
        <v>11899</v>
      </c>
      <c r="B1782" s="1" t="s">
        <v>16378</v>
      </c>
      <c r="C1782" s="3">
        <f>IF(B1782="","",SUMIFS('Factory Costs'!$C:$C,'Factory Costs'!$A:$A,"Frame",'Factory Costs'!$B:$B,B1782))</f>
        <v>52</v>
      </c>
    </row>
    <row r="1783" spans="1:3" x14ac:dyDescent="0.25">
      <c r="A1783" s="1" t="s">
        <v>11902</v>
      </c>
      <c r="B1783" s="1" t="s">
        <v>16377</v>
      </c>
      <c r="C1783" s="3">
        <f>IF(B1783="","",SUMIFS('Factory Costs'!$C:$C,'Factory Costs'!$A:$A,"Frame",'Factory Costs'!$B:$B,B1783))</f>
        <v>39</v>
      </c>
    </row>
    <row r="1784" spans="1:3" x14ac:dyDescent="0.25">
      <c r="A1784" s="1" t="s">
        <v>11905</v>
      </c>
      <c r="B1784" s="1" t="s">
        <v>16378</v>
      </c>
      <c r="C1784" s="3">
        <f>IF(B1784="","",SUMIFS('Factory Costs'!$C:$C,'Factory Costs'!$A:$A,"Frame",'Factory Costs'!$B:$B,B1784))</f>
        <v>52</v>
      </c>
    </row>
    <row r="1785" spans="1:3" x14ac:dyDescent="0.25">
      <c r="A1785" s="1" t="s">
        <v>11908</v>
      </c>
      <c r="B1785" s="1" t="s">
        <v>16377</v>
      </c>
      <c r="C1785" s="3">
        <f>IF(B1785="","",SUMIFS('Factory Costs'!$C:$C,'Factory Costs'!$A:$A,"Frame",'Factory Costs'!$B:$B,B1785))</f>
        <v>39</v>
      </c>
    </row>
    <row r="1786" spans="1:3" x14ac:dyDescent="0.25">
      <c r="A1786" s="1" t="s">
        <v>11911</v>
      </c>
      <c r="B1786" s="1" t="s">
        <v>16377</v>
      </c>
      <c r="C1786" s="3">
        <f>IF(B1786="","",SUMIFS('Factory Costs'!$C:$C,'Factory Costs'!$A:$A,"Frame",'Factory Costs'!$B:$B,B1786))</f>
        <v>39</v>
      </c>
    </row>
    <row r="1787" spans="1:3" x14ac:dyDescent="0.25">
      <c r="A1787" s="1" t="s">
        <v>11914</v>
      </c>
      <c r="B1787" s="1" t="s">
        <v>16378</v>
      </c>
      <c r="C1787" s="3">
        <f>IF(B1787="","",SUMIFS('Factory Costs'!$C:$C,'Factory Costs'!$A:$A,"Frame",'Factory Costs'!$B:$B,B1787))</f>
        <v>52</v>
      </c>
    </row>
    <row r="1788" spans="1:3" x14ac:dyDescent="0.25">
      <c r="A1788" s="1" t="s">
        <v>11917</v>
      </c>
      <c r="B1788" s="1" t="s">
        <v>16378</v>
      </c>
      <c r="C1788" s="3">
        <f>IF(B1788="","",SUMIFS('Factory Costs'!$C:$C,'Factory Costs'!$A:$A,"Frame",'Factory Costs'!$B:$B,B1788))</f>
        <v>52</v>
      </c>
    </row>
    <row r="1789" spans="1:3" x14ac:dyDescent="0.25">
      <c r="A1789" s="1" t="s">
        <v>11920</v>
      </c>
      <c r="B1789" s="1" t="s">
        <v>16377</v>
      </c>
      <c r="C1789" s="3">
        <f>IF(B1789="","",SUMIFS('Factory Costs'!$C:$C,'Factory Costs'!$A:$A,"Frame",'Factory Costs'!$B:$B,B1789))</f>
        <v>39</v>
      </c>
    </row>
    <row r="1790" spans="1:3" x14ac:dyDescent="0.25">
      <c r="A1790" s="1" t="s">
        <v>11923</v>
      </c>
      <c r="B1790" s="1" t="s">
        <v>16377</v>
      </c>
      <c r="C1790" s="3">
        <f>IF(B1790="","",SUMIFS('Factory Costs'!$C:$C,'Factory Costs'!$A:$A,"Frame",'Factory Costs'!$B:$B,B1790))</f>
        <v>39</v>
      </c>
    </row>
    <row r="1791" spans="1:3" x14ac:dyDescent="0.25">
      <c r="A1791" s="1" t="s">
        <v>11926</v>
      </c>
      <c r="B1791" s="1" t="s">
        <v>16377</v>
      </c>
      <c r="C1791" s="3">
        <f>IF(B1791="","",SUMIFS('Factory Costs'!$C:$C,'Factory Costs'!$A:$A,"Frame",'Factory Costs'!$B:$B,B1791))</f>
        <v>39</v>
      </c>
    </row>
    <row r="1792" spans="1:3" x14ac:dyDescent="0.25">
      <c r="A1792" s="1" t="s">
        <v>11929</v>
      </c>
      <c r="B1792" s="1" t="s">
        <v>16378</v>
      </c>
      <c r="C1792" s="3">
        <f>IF(B1792="","",SUMIFS('Factory Costs'!$C:$C,'Factory Costs'!$A:$A,"Frame",'Factory Costs'!$B:$B,B1792))</f>
        <v>52</v>
      </c>
    </row>
    <row r="1793" spans="1:3" x14ac:dyDescent="0.25">
      <c r="A1793" s="1" t="s">
        <v>11932</v>
      </c>
      <c r="B1793" s="1" t="s">
        <v>16379</v>
      </c>
      <c r="C1793" s="3">
        <f>IF(B1793="","",SUMIFS('Factory Costs'!$C:$C,'Factory Costs'!$A:$A,"Frame",'Factory Costs'!$B:$B,B1793))</f>
        <v>45</v>
      </c>
    </row>
    <row r="1794" spans="1:3" x14ac:dyDescent="0.25">
      <c r="A1794" s="1" t="s">
        <v>11935</v>
      </c>
      <c r="B1794" s="1" t="s">
        <v>16378</v>
      </c>
      <c r="C1794" s="3">
        <f>IF(B1794="","",SUMIFS('Factory Costs'!$C:$C,'Factory Costs'!$A:$A,"Frame",'Factory Costs'!$B:$B,B1794))</f>
        <v>52</v>
      </c>
    </row>
    <row r="1795" spans="1:3" x14ac:dyDescent="0.25">
      <c r="A1795" s="1" t="s">
        <v>11938</v>
      </c>
      <c r="B1795" s="1" t="s">
        <v>16377</v>
      </c>
      <c r="C1795" s="3">
        <f>IF(B1795="","",SUMIFS('Factory Costs'!$C:$C,'Factory Costs'!$A:$A,"Frame",'Factory Costs'!$B:$B,B1795))</f>
        <v>39</v>
      </c>
    </row>
    <row r="1796" spans="1:3" x14ac:dyDescent="0.25">
      <c r="A1796" s="1" t="s">
        <v>11941</v>
      </c>
      <c r="B1796" s="1" t="s">
        <v>16377</v>
      </c>
      <c r="C1796" s="3">
        <f>IF(B1796="","",SUMIFS('Factory Costs'!$C:$C,'Factory Costs'!$A:$A,"Frame",'Factory Costs'!$B:$B,B1796))</f>
        <v>39</v>
      </c>
    </row>
    <row r="1797" spans="1:3" x14ac:dyDescent="0.25">
      <c r="A1797" s="1" t="s">
        <v>11944</v>
      </c>
      <c r="B1797" s="1" t="s">
        <v>16378</v>
      </c>
      <c r="C1797" s="3">
        <f>IF(B1797="","",SUMIFS('Factory Costs'!$C:$C,'Factory Costs'!$A:$A,"Frame",'Factory Costs'!$B:$B,B1797))</f>
        <v>52</v>
      </c>
    </row>
    <row r="1798" spans="1:3" x14ac:dyDescent="0.25">
      <c r="A1798" s="1" t="s">
        <v>11947</v>
      </c>
      <c r="B1798" s="1" t="s">
        <v>16379</v>
      </c>
      <c r="C1798" s="3">
        <f>IF(B1798="","",SUMIFS('Factory Costs'!$C:$C,'Factory Costs'!$A:$A,"Frame",'Factory Costs'!$B:$B,B1798))</f>
        <v>45</v>
      </c>
    </row>
    <row r="1799" spans="1:3" x14ac:dyDescent="0.25">
      <c r="A1799" s="1" t="s">
        <v>11950</v>
      </c>
      <c r="B1799" s="1" t="s">
        <v>16379</v>
      </c>
      <c r="C1799" s="3">
        <f>IF(B1799="","",SUMIFS('Factory Costs'!$C:$C,'Factory Costs'!$A:$A,"Frame",'Factory Costs'!$B:$B,B1799))</f>
        <v>45</v>
      </c>
    </row>
    <row r="1800" spans="1:3" x14ac:dyDescent="0.25">
      <c r="A1800" s="1" t="s">
        <v>11953</v>
      </c>
      <c r="B1800" s="1" t="s">
        <v>16377</v>
      </c>
      <c r="C1800" s="3">
        <f>IF(B1800="","",SUMIFS('Factory Costs'!$C:$C,'Factory Costs'!$A:$A,"Frame",'Factory Costs'!$B:$B,B1800))</f>
        <v>39</v>
      </c>
    </row>
    <row r="1801" spans="1:3" x14ac:dyDescent="0.25">
      <c r="A1801" s="1" t="s">
        <v>11956</v>
      </c>
      <c r="B1801" s="1" t="s">
        <v>16379</v>
      </c>
      <c r="C1801" s="3">
        <f>IF(B1801="","",SUMIFS('Factory Costs'!$C:$C,'Factory Costs'!$A:$A,"Frame",'Factory Costs'!$B:$B,B1801))</f>
        <v>45</v>
      </c>
    </row>
    <row r="1802" spans="1:3" x14ac:dyDescent="0.25">
      <c r="A1802" s="1" t="s">
        <v>11959</v>
      </c>
      <c r="B1802" s="1" t="s">
        <v>16378</v>
      </c>
      <c r="C1802" s="3">
        <f>IF(B1802="","",SUMIFS('Factory Costs'!$C:$C,'Factory Costs'!$A:$A,"Frame",'Factory Costs'!$B:$B,B1802))</f>
        <v>52</v>
      </c>
    </row>
    <row r="1803" spans="1:3" x14ac:dyDescent="0.25">
      <c r="A1803" s="1" t="s">
        <v>11962</v>
      </c>
      <c r="B1803" s="1" t="s">
        <v>16379</v>
      </c>
      <c r="C1803" s="3">
        <f>IF(B1803="","",SUMIFS('Factory Costs'!$C:$C,'Factory Costs'!$A:$A,"Frame",'Factory Costs'!$B:$B,B1803))</f>
        <v>45</v>
      </c>
    </row>
    <row r="1804" spans="1:3" x14ac:dyDescent="0.25">
      <c r="A1804" s="1" t="s">
        <v>11965</v>
      </c>
      <c r="B1804" s="1" t="s">
        <v>16379</v>
      </c>
      <c r="C1804" s="3">
        <f>IF(B1804="","",SUMIFS('Factory Costs'!$C:$C,'Factory Costs'!$A:$A,"Frame",'Factory Costs'!$B:$B,B1804))</f>
        <v>45</v>
      </c>
    </row>
    <row r="1805" spans="1:3" x14ac:dyDescent="0.25">
      <c r="A1805" s="1" t="s">
        <v>11968</v>
      </c>
      <c r="B1805" s="1" t="s">
        <v>16379</v>
      </c>
      <c r="C1805" s="3">
        <f>IF(B1805="","",SUMIFS('Factory Costs'!$C:$C,'Factory Costs'!$A:$A,"Frame",'Factory Costs'!$B:$B,B1805))</f>
        <v>45</v>
      </c>
    </row>
    <row r="1806" spans="1:3" x14ac:dyDescent="0.25">
      <c r="A1806" s="1" t="s">
        <v>11971</v>
      </c>
      <c r="B1806" s="1" t="s">
        <v>16379</v>
      </c>
      <c r="C1806" s="3">
        <f>IF(B1806="","",SUMIFS('Factory Costs'!$C:$C,'Factory Costs'!$A:$A,"Frame",'Factory Costs'!$B:$B,B1806))</f>
        <v>45</v>
      </c>
    </row>
    <row r="1807" spans="1:3" x14ac:dyDescent="0.25">
      <c r="A1807" s="1" t="s">
        <v>11974</v>
      </c>
      <c r="B1807" s="1" t="s">
        <v>16379</v>
      </c>
      <c r="C1807" s="3">
        <f>IF(B1807="","",SUMIFS('Factory Costs'!$C:$C,'Factory Costs'!$A:$A,"Frame",'Factory Costs'!$B:$B,B1807))</f>
        <v>45</v>
      </c>
    </row>
    <row r="1808" spans="1:3" x14ac:dyDescent="0.25">
      <c r="A1808" s="1" t="s">
        <v>11977</v>
      </c>
      <c r="B1808" s="1" t="s">
        <v>16378</v>
      </c>
      <c r="C1808" s="3">
        <f>IF(B1808="","",SUMIFS('Factory Costs'!$C:$C,'Factory Costs'!$A:$A,"Frame",'Factory Costs'!$B:$B,B1808))</f>
        <v>52</v>
      </c>
    </row>
    <row r="1809" spans="1:3" x14ac:dyDescent="0.25">
      <c r="A1809" s="1" t="s">
        <v>11980</v>
      </c>
      <c r="B1809" s="1" t="s">
        <v>16377</v>
      </c>
      <c r="C1809" s="3">
        <f>IF(B1809="","",SUMIFS('Factory Costs'!$C:$C,'Factory Costs'!$A:$A,"Frame",'Factory Costs'!$B:$B,B1809))</f>
        <v>39</v>
      </c>
    </row>
    <row r="1810" spans="1:3" x14ac:dyDescent="0.25">
      <c r="A1810" s="1" t="s">
        <v>11983</v>
      </c>
      <c r="B1810" s="1" t="s">
        <v>16377</v>
      </c>
      <c r="C1810" s="3">
        <f>IF(B1810="","",SUMIFS('Factory Costs'!$C:$C,'Factory Costs'!$A:$A,"Frame",'Factory Costs'!$B:$B,B1810))</f>
        <v>39</v>
      </c>
    </row>
    <row r="1811" spans="1:3" x14ac:dyDescent="0.25">
      <c r="A1811" s="1" t="s">
        <v>11986</v>
      </c>
      <c r="B1811" s="1" t="s">
        <v>16377</v>
      </c>
      <c r="C1811" s="3">
        <f>IF(B1811="","",SUMIFS('Factory Costs'!$C:$C,'Factory Costs'!$A:$A,"Frame",'Factory Costs'!$B:$B,B1811))</f>
        <v>39</v>
      </c>
    </row>
    <row r="1812" spans="1:3" x14ac:dyDescent="0.25">
      <c r="A1812" s="1" t="s">
        <v>11989</v>
      </c>
      <c r="B1812" s="1" t="s">
        <v>16377</v>
      </c>
      <c r="C1812" s="3">
        <f>IF(B1812="","",SUMIFS('Factory Costs'!$C:$C,'Factory Costs'!$A:$A,"Frame",'Factory Costs'!$B:$B,B1812))</f>
        <v>39</v>
      </c>
    </row>
    <row r="1813" spans="1:3" x14ac:dyDescent="0.25">
      <c r="A1813" s="1" t="s">
        <v>11992</v>
      </c>
      <c r="B1813" s="1" t="s">
        <v>16377</v>
      </c>
      <c r="C1813" s="3">
        <f>IF(B1813="","",SUMIFS('Factory Costs'!$C:$C,'Factory Costs'!$A:$A,"Frame",'Factory Costs'!$B:$B,B1813))</f>
        <v>39</v>
      </c>
    </row>
    <row r="1814" spans="1:3" x14ac:dyDescent="0.25">
      <c r="A1814" s="1" t="s">
        <v>11995</v>
      </c>
      <c r="B1814" s="1" t="s">
        <v>16377</v>
      </c>
      <c r="C1814" s="3">
        <f>IF(B1814="","",SUMIFS('Factory Costs'!$C:$C,'Factory Costs'!$A:$A,"Frame",'Factory Costs'!$B:$B,B1814))</f>
        <v>39</v>
      </c>
    </row>
    <row r="1815" spans="1:3" x14ac:dyDescent="0.25">
      <c r="A1815" s="1" t="s">
        <v>11998</v>
      </c>
      <c r="B1815" s="1" t="s">
        <v>16377</v>
      </c>
      <c r="C1815" s="3">
        <f>IF(B1815="","",SUMIFS('Factory Costs'!$C:$C,'Factory Costs'!$A:$A,"Frame",'Factory Costs'!$B:$B,B1815))</f>
        <v>39</v>
      </c>
    </row>
    <row r="1816" spans="1:3" x14ac:dyDescent="0.25">
      <c r="A1816" s="1" t="s">
        <v>12001</v>
      </c>
      <c r="B1816" s="1" t="s">
        <v>16379</v>
      </c>
      <c r="C1816" s="3">
        <f>IF(B1816="","",SUMIFS('Factory Costs'!$C:$C,'Factory Costs'!$A:$A,"Frame",'Factory Costs'!$B:$B,B1816))</f>
        <v>45</v>
      </c>
    </row>
    <row r="1817" spans="1:3" x14ac:dyDescent="0.25">
      <c r="A1817" s="1" t="s">
        <v>12004</v>
      </c>
      <c r="B1817" s="1" t="s">
        <v>16378</v>
      </c>
      <c r="C1817" s="3">
        <f>IF(B1817="","",SUMIFS('Factory Costs'!$C:$C,'Factory Costs'!$A:$A,"Frame",'Factory Costs'!$B:$B,B1817))</f>
        <v>52</v>
      </c>
    </row>
    <row r="1818" spans="1:3" x14ac:dyDescent="0.25">
      <c r="A1818" s="1" t="s">
        <v>12007</v>
      </c>
      <c r="B1818" s="1" t="s">
        <v>16379</v>
      </c>
      <c r="C1818" s="3">
        <f>IF(B1818="","",SUMIFS('Factory Costs'!$C:$C,'Factory Costs'!$A:$A,"Frame",'Factory Costs'!$B:$B,B1818))</f>
        <v>45</v>
      </c>
    </row>
    <row r="1819" spans="1:3" x14ac:dyDescent="0.25">
      <c r="A1819" s="1" t="s">
        <v>12010</v>
      </c>
      <c r="B1819" s="1" t="s">
        <v>16378</v>
      </c>
      <c r="C1819" s="3">
        <f>IF(B1819="","",SUMIFS('Factory Costs'!$C:$C,'Factory Costs'!$A:$A,"Frame",'Factory Costs'!$B:$B,B1819))</f>
        <v>52</v>
      </c>
    </row>
    <row r="1820" spans="1:3" x14ac:dyDescent="0.25">
      <c r="A1820" s="1" t="s">
        <v>12013</v>
      </c>
      <c r="B1820" s="1" t="s">
        <v>16377</v>
      </c>
      <c r="C1820" s="3">
        <f>IF(B1820="","",SUMIFS('Factory Costs'!$C:$C,'Factory Costs'!$A:$A,"Frame",'Factory Costs'!$B:$B,B1820))</f>
        <v>39</v>
      </c>
    </row>
    <row r="1821" spans="1:3" x14ac:dyDescent="0.25">
      <c r="A1821" s="1" t="s">
        <v>12016</v>
      </c>
      <c r="B1821" s="1" t="s">
        <v>16377</v>
      </c>
      <c r="C1821" s="3">
        <f>IF(B1821="","",SUMIFS('Factory Costs'!$C:$C,'Factory Costs'!$A:$A,"Frame",'Factory Costs'!$B:$B,B1821))</f>
        <v>39</v>
      </c>
    </row>
    <row r="1822" spans="1:3" x14ac:dyDescent="0.25">
      <c r="A1822" s="1" t="s">
        <v>12019</v>
      </c>
      <c r="B1822" s="1" t="s">
        <v>16379</v>
      </c>
      <c r="C1822" s="3">
        <f>IF(B1822="","",SUMIFS('Factory Costs'!$C:$C,'Factory Costs'!$A:$A,"Frame",'Factory Costs'!$B:$B,B1822))</f>
        <v>45</v>
      </c>
    </row>
    <row r="1823" spans="1:3" x14ac:dyDescent="0.25">
      <c r="A1823" s="1" t="s">
        <v>12022</v>
      </c>
      <c r="B1823" s="1" t="s">
        <v>16379</v>
      </c>
      <c r="C1823" s="3">
        <f>IF(B1823="","",SUMIFS('Factory Costs'!$C:$C,'Factory Costs'!$A:$A,"Frame",'Factory Costs'!$B:$B,B1823))</f>
        <v>45</v>
      </c>
    </row>
    <row r="1824" spans="1:3" x14ac:dyDescent="0.25">
      <c r="A1824" s="1" t="s">
        <v>12025</v>
      </c>
      <c r="B1824" s="1" t="s">
        <v>16378</v>
      </c>
      <c r="C1824" s="3">
        <f>IF(B1824="","",SUMIFS('Factory Costs'!$C:$C,'Factory Costs'!$A:$A,"Frame",'Factory Costs'!$B:$B,B1824))</f>
        <v>52</v>
      </c>
    </row>
    <row r="1825" spans="1:3" x14ac:dyDescent="0.25">
      <c r="A1825" s="1" t="s">
        <v>12028</v>
      </c>
      <c r="B1825" s="1" t="s">
        <v>16378</v>
      </c>
      <c r="C1825" s="3">
        <f>IF(B1825="","",SUMIFS('Factory Costs'!$C:$C,'Factory Costs'!$A:$A,"Frame",'Factory Costs'!$B:$B,B1825))</f>
        <v>52</v>
      </c>
    </row>
    <row r="1826" spans="1:3" x14ac:dyDescent="0.25">
      <c r="A1826" s="1" t="s">
        <v>12031</v>
      </c>
      <c r="B1826" s="1" t="s">
        <v>16379</v>
      </c>
      <c r="C1826" s="3">
        <f>IF(B1826="","",SUMIFS('Factory Costs'!$C:$C,'Factory Costs'!$A:$A,"Frame",'Factory Costs'!$B:$B,B1826))</f>
        <v>45</v>
      </c>
    </row>
    <row r="1827" spans="1:3" x14ac:dyDescent="0.25">
      <c r="A1827" s="1" t="s">
        <v>12034</v>
      </c>
      <c r="B1827" s="1" t="s">
        <v>16378</v>
      </c>
      <c r="C1827" s="3">
        <f>IF(B1827="","",SUMIFS('Factory Costs'!$C:$C,'Factory Costs'!$A:$A,"Frame",'Factory Costs'!$B:$B,B1827))</f>
        <v>52</v>
      </c>
    </row>
    <row r="1828" spans="1:3" x14ac:dyDescent="0.25">
      <c r="A1828" s="1" t="s">
        <v>12037</v>
      </c>
      <c r="B1828" s="1" t="s">
        <v>16377</v>
      </c>
      <c r="C1828" s="3">
        <f>IF(B1828="","",SUMIFS('Factory Costs'!$C:$C,'Factory Costs'!$A:$A,"Frame",'Factory Costs'!$B:$B,B1828))</f>
        <v>39</v>
      </c>
    </row>
    <row r="1829" spans="1:3" x14ac:dyDescent="0.25">
      <c r="A1829" s="1" t="s">
        <v>12040</v>
      </c>
      <c r="B1829" s="1" t="s">
        <v>16377</v>
      </c>
      <c r="C1829" s="3">
        <f>IF(B1829="","",SUMIFS('Factory Costs'!$C:$C,'Factory Costs'!$A:$A,"Frame",'Factory Costs'!$B:$B,B1829))</f>
        <v>39</v>
      </c>
    </row>
    <row r="1830" spans="1:3" x14ac:dyDescent="0.25">
      <c r="A1830" s="1" t="s">
        <v>12043</v>
      </c>
      <c r="B1830" s="1" t="s">
        <v>16377</v>
      </c>
      <c r="C1830" s="3">
        <f>IF(B1830="","",SUMIFS('Factory Costs'!$C:$C,'Factory Costs'!$A:$A,"Frame",'Factory Costs'!$B:$B,B1830))</f>
        <v>39</v>
      </c>
    </row>
    <row r="1831" spans="1:3" x14ac:dyDescent="0.25">
      <c r="A1831" s="1" t="s">
        <v>12046</v>
      </c>
      <c r="B1831" s="1" t="s">
        <v>16377</v>
      </c>
      <c r="C1831" s="3">
        <f>IF(B1831="","",SUMIFS('Factory Costs'!$C:$C,'Factory Costs'!$A:$A,"Frame",'Factory Costs'!$B:$B,B1831))</f>
        <v>39</v>
      </c>
    </row>
    <row r="1832" spans="1:3" x14ac:dyDescent="0.25">
      <c r="A1832" s="1" t="s">
        <v>12049</v>
      </c>
      <c r="B1832" s="1" t="s">
        <v>16379</v>
      </c>
      <c r="C1832" s="3">
        <f>IF(B1832="","",SUMIFS('Factory Costs'!$C:$C,'Factory Costs'!$A:$A,"Frame",'Factory Costs'!$B:$B,B1832))</f>
        <v>45</v>
      </c>
    </row>
    <row r="1833" spans="1:3" x14ac:dyDescent="0.25">
      <c r="A1833" s="1" t="s">
        <v>12052</v>
      </c>
      <c r="B1833" s="1" t="s">
        <v>16377</v>
      </c>
      <c r="C1833" s="3">
        <f>IF(B1833="","",SUMIFS('Factory Costs'!$C:$C,'Factory Costs'!$A:$A,"Frame",'Factory Costs'!$B:$B,B1833))</f>
        <v>39</v>
      </c>
    </row>
    <row r="1834" spans="1:3" x14ac:dyDescent="0.25">
      <c r="A1834" s="1" t="s">
        <v>12055</v>
      </c>
      <c r="B1834" s="1" t="s">
        <v>16377</v>
      </c>
      <c r="C1834" s="3">
        <f>IF(B1834="","",SUMIFS('Factory Costs'!$C:$C,'Factory Costs'!$A:$A,"Frame",'Factory Costs'!$B:$B,B1834))</f>
        <v>39</v>
      </c>
    </row>
    <row r="1835" spans="1:3" x14ac:dyDescent="0.25">
      <c r="A1835" s="1" t="s">
        <v>12058</v>
      </c>
      <c r="B1835" s="1" t="s">
        <v>16379</v>
      </c>
      <c r="C1835" s="3">
        <f>IF(B1835="","",SUMIFS('Factory Costs'!$C:$C,'Factory Costs'!$A:$A,"Frame",'Factory Costs'!$B:$B,B1835))</f>
        <v>45</v>
      </c>
    </row>
    <row r="1836" spans="1:3" x14ac:dyDescent="0.25">
      <c r="A1836" s="1" t="s">
        <v>12061</v>
      </c>
      <c r="B1836" s="1" t="s">
        <v>16379</v>
      </c>
      <c r="C1836" s="3">
        <f>IF(B1836="","",SUMIFS('Factory Costs'!$C:$C,'Factory Costs'!$A:$A,"Frame",'Factory Costs'!$B:$B,B1836))</f>
        <v>45</v>
      </c>
    </row>
    <row r="1837" spans="1:3" x14ac:dyDescent="0.25">
      <c r="A1837" s="1" t="s">
        <v>12064</v>
      </c>
      <c r="B1837" s="1" t="s">
        <v>16377</v>
      </c>
      <c r="C1837" s="3">
        <f>IF(B1837="","",SUMIFS('Factory Costs'!$C:$C,'Factory Costs'!$A:$A,"Frame",'Factory Costs'!$B:$B,B1837))</f>
        <v>39</v>
      </c>
    </row>
    <row r="1838" spans="1:3" x14ac:dyDescent="0.25">
      <c r="A1838" s="1" t="s">
        <v>12067</v>
      </c>
      <c r="B1838" s="1" t="s">
        <v>16378</v>
      </c>
      <c r="C1838" s="3">
        <f>IF(B1838="","",SUMIFS('Factory Costs'!$C:$C,'Factory Costs'!$A:$A,"Frame",'Factory Costs'!$B:$B,B1838))</f>
        <v>52</v>
      </c>
    </row>
    <row r="1839" spans="1:3" x14ac:dyDescent="0.25">
      <c r="A1839" s="1" t="s">
        <v>12070</v>
      </c>
      <c r="B1839" s="1" t="s">
        <v>16378</v>
      </c>
      <c r="C1839" s="3">
        <f>IF(B1839="","",SUMIFS('Factory Costs'!$C:$C,'Factory Costs'!$A:$A,"Frame",'Factory Costs'!$B:$B,B1839))</f>
        <v>52</v>
      </c>
    </row>
    <row r="1840" spans="1:3" x14ac:dyDescent="0.25">
      <c r="A1840" s="1" t="s">
        <v>12073</v>
      </c>
      <c r="B1840" s="1" t="s">
        <v>16378</v>
      </c>
      <c r="C1840" s="3">
        <f>IF(B1840="","",SUMIFS('Factory Costs'!$C:$C,'Factory Costs'!$A:$A,"Frame",'Factory Costs'!$B:$B,B1840))</f>
        <v>52</v>
      </c>
    </row>
    <row r="1841" spans="1:3" x14ac:dyDescent="0.25">
      <c r="A1841" s="1" t="s">
        <v>12076</v>
      </c>
      <c r="B1841" s="1" t="s">
        <v>16377</v>
      </c>
      <c r="C1841" s="3">
        <f>IF(B1841="","",SUMIFS('Factory Costs'!$C:$C,'Factory Costs'!$A:$A,"Frame",'Factory Costs'!$B:$B,B1841))</f>
        <v>39</v>
      </c>
    </row>
    <row r="1842" spans="1:3" x14ac:dyDescent="0.25">
      <c r="A1842" s="1" t="s">
        <v>12079</v>
      </c>
      <c r="B1842" s="1" t="s">
        <v>16377</v>
      </c>
      <c r="C1842" s="3">
        <f>IF(B1842="","",SUMIFS('Factory Costs'!$C:$C,'Factory Costs'!$A:$A,"Frame",'Factory Costs'!$B:$B,B1842))</f>
        <v>39</v>
      </c>
    </row>
    <row r="1843" spans="1:3" x14ac:dyDescent="0.25">
      <c r="A1843" s="1" t="s">
        <v>12082</v>
      </c>
      <c r="B1843" s="1" t="s">
        <v>16377</v>
      </c>
      <c r="C1843" s="3">
        <f>IF(B1843="","",SUMIFS('Factory Costs'!$C:$C,'Factory Costs'!$A:$A,"Frame",'Factory Costs'!$B:$B,B1843))</f>
        <v>39</v>
      </c>
    </row>
    <row r="1844" spans="1:3" x14ac:dyDescent="0.25">
      <c r="A1844" s="1" t="s">
        <v>12085</v>
      </c>
      <c r="B1844" s="1" t="s">
        <v>16377</v>
      </c>
      <c r="C1844" s="3">
        <f>IF(B1844="","",SUMIFS('Factory Costs'!$C:$C,'Factory Costs'!$A:$A,"Frame",'Factory Costs'!$B:$B,B1844))</f>
        <v>39</v>
      </c>
    </row>
    <row r="1845" spans="1:3" x14ac:dyDescent="0.25">
      <c r="A1845" s="1" t="s">
        <v>12088</v>
      </c>
      <c r="B1845" s="1" t="s">
        <v>16377</v>
      </c>
      <c r="C1845" s="3">
        <f>IF(B1845="","",SUMIFS('Factory Costs'!$C:$C,'Factory Costs'!$A:$A,"Frame",'Factory Costs'!$B:$B,B1845))</f>
        <v>39</v>
      </c>
    </row>
    <row r="1846" spans="1:3" x14ac:dyDescent="0.25">
      <c r="A1846" s="1" t="s">
        <v>12091</v>
      </c>
      <c r="B1846" s="1" t="s">
        <v>16377</v>
      </c>
      <c r="C1846" s="3">
        <f>IF(B1846="","",SUMIFS('Factory Costs'!$C:$C,'Factory Costs'!$A:$A,"Frame",'Factory Costs'!$B:$B,B1846))</f>
        <v>39</v>
      </c>
    </row>
    <row r="1847" spans="1:3" x14ac:dyDescent="0.25">
      <c r="A1847" s="1" t="s">
        <v>12094</v>
      </c>
      <c r="B1847" s="1" t="s">
        <v>16377</v>
      </c>
      <c r="C1847" s="3">
        <f>IF(B1847="","",SUMIFS('Factory Costs'!$C:$C,'Factory Costs'!$A:$A,"Frame",'Factory Costs'!$B:$B,B1847))</f>
        <v>39</v>
      </c>
    </row>
    <row r="1848" spans="1:3" x14ac:dyDescent="0.25">
      <c r="A1848" s="1" t="s">
        <v>12097</v>
      </c>
      <c r="B1848" s="1" t="s">
        <v>16379</v>
      </c>
      <c r="C1848" s="3">
        <f>IF(B1848="","",SUMIFS('Factory Costs'!$C:$C,'Factory Costs'!$A:$A,"Frame",'Factory Costs'!$B:$B,B1848))</f>
        <v>45</v>
      </c>
    </row>
    <row r="1849" spans="1:3" x14ac:dyDescent="0.25">
      <c r="A1849" s="1" t="s">
        <v>12100</v>
      </c>
      <c r="B1849" s="1" t="s">
        <v>16379</v>
      </c>
      <c r="C1849" s="3">
        <f>IF(B1849="","",SUMIFS('Factory Costs'!$C:$C,'Factory Costs'!$A:$A,"Frame",'Factory Costs'!$B:$B,B1849))</f>
        <v>45</v>
      </c>
    </row>
    <row r="1850" spans="1:3" x14ac:dyDescent="0.25">
      <c r="A1850" s="1" t="s">
        <v>12103</v>
      </c>
      <c r="B1850" s="1" t="s">
        <v>16379</v>
      </c>
      <c r="C1850" s="3">
        <f>IF(B1850="","",SUMIFS('Factory Costs'!$C:$C,'Factory Costs'!$A:$A,"Frame",'Factory Costs'!$B:$B,B1850))</f>
        <v>45</v>
      </c>
    </row>
    <row r="1851" spans="1:3" x14ac:dyDescent="0.25">
      <c r="A1851" s="1" t="s">
        <v>12106</v>
      </c>
      <c r="B1851" s="1" t="s">
        <v>16379</v>
      </c>
      <c r="C1851" s="3">
        <f>IF(B1851="","",SUMIFS('Factory Costs'!$C:$C,'Factory Costs'!$A:$A,"Frame",'Factory Costs'!$B:$B,B1851))</f>
        <v>45</v>
      </c>
    </row>
    <row r="1852" spans="1:3" x14ac:dyDescent="0.25">
      <c r="A1852" s="1" t="s">
        <v>12109</v>
      </c>
      <c r="B1852" s="1" t="s">
        <v>16377</v>
      </c>
      <c r="C1852" s="3">
        <f>IF(B1852="","",SUMIFS('Factory Costs'!$C:$C,'Factory Costs'!$A:$A,"Frame",'Factory Costs'!$B:$B,B1852))</f>
        <v>39</v>
      </c>
    </row>
    <row r="1853" spans="1:3" x14ac:dyDescent="0.25">
      <c r="A1853" s="1" t="s">
        <v>12112</v>
      </c>
      <c r="B1853" s="1" t="s">
        <v>16377</v>
      </c>
      <c r="C1853" s="3">
        <f>IF(B1853="","",SUMIFS('Factory Costs'!$C:$C,'Factory Costs'!$A:$A,"Frame",'Factory Costs'!$B:$B,B1853))</f>
        <v>39</v>
      </c>
    </row>
    <row r="1854" spans="1:3" x14ac:dyDescent="0.25">
      <c r="A1854" s="1" t="s">
        <v>12115</v>
      </c>
      <c r="B1854" s="1" t="s">
        <v>16378</v>
      </c>
      <c r="C1854" s="3">
        <f>IF(B1854="","",SUMIFS('Factory Costs'!$C:$C,'Factory Costs'!$A:$A,"Frame",'Factory Costs'!$B:$B,B1854))</f>
        <v>52</v>
      </c>
    </row>
    <row r="1855" spans="1:3" x14ac:dyDescent="0.25">
      <c r="A1855" s="1" t="s">
        <v>12118</v>
      </c>
      <c r="B1855" s="1" t="s">
        <v>16377</v>
      </c>
      <c r="C1855" s="3">
        <f>IF(B1855="","",SUMIFS('Factory Costs'!$C:$C,'Factory Costs'!$A:$A,"Frame",'Factory Costs'!$B:$B,B1855))</f>
        <v>39</v>
      </c>
    </row>
    <row r="1856" spans="1:3" x14ac:dyDescent="0.25">
      <c r="A1856" s="1" t="s">
        <v>12121</v>
      </c>
      <c r="B1856" s="1" t="s">
        <v>16378</v>
      </c>
      <c r="C1856" s="3">
        <f>IF(B1856="","",SUMIFS('Factory Costs'!$C:$C,'Factory Costs'!$A:$A,"Frame",'Factory Costs'!$B:$B,B1856))</f>
        <v>52</v>
      </c>
    </row>
    <row r="1857" spans="1:3" x14ac:dyDescent="0.25">
      <c r="A1857" s="1" t="s">
        <v>12124</v>
      </c>
      <c r="B1857" s="1" t="s">
        <v>16377</v>
      </c>
      <c r="C1857" s="3">
        <f>IF(B1857="","",SUMIFS('Factory Costs'!$C:$C,'Factory Costs'!$A:$A,"Frame",'Factory Costs'!$B:$B,B1857))</f>
        <v>39</v>
      </c>
    </row>
    <row r="1858" spans="1:3" x14ac:dyDescent="0.25">
      <c r="A1858" s="1" t="s">
        <v>12127</v>
      </c>
      <c r="B1858" s="1" t="s">
        <v>16379</v>
      </c>
      <c r="C1858" s="3">
        <f>IF(B1858="","",SUMIFS('Factory Costs'!$C:$C,'Factory Costs'!$A:$A,"Frame",'Factory Costs'!$B:$B,B1858))</f>
        <v>45</v>
      </c>
    </row>
    <row r="1859" spans="1:3" x14ac:dyDescent="0.25">
      <c r="A1859" s="1" t="s">
        <v>12130</v>
      </c>
      <c r="B1859" s="1" t="s">
        <v>16377</v>
      </c>
      <c r="C1859" s="3">
        <f>IF(B1859="","",SUMIFS('Factory Costs'!$C:$C,'Factory Costs'!$A:$A,"Frame",'Factory Costs'!$B:$B,B1859))</f>
        <v>39</v>
      </c>
    </row>
    <row r="1860" spans="1:3" x14ac:dyDescent="0.25">
      <c r="A1860" s="1" t="s">
        <v>12133</v>
      </c>
      <c r="B1860" s="1" t="s">
        <v>16377</v>
      </c>
      <c r="C1860" s="3">
        <f>IF(B1860="","",SUMIFS('Factory Costs'!$C:$C,'Factory Costs'!$A:$A,"Frame",'Factory Costs'!$B:$B,B1860))</f>
        <v>39</v>
      </c>
    </row>
    <row r="1861" spans="1:3" x14ac:dyDescent="0.25">
      <c r="A1861" s="1" t="s">
        <v>12136</v>
      </c>
      <c r="B1861" s="1" t="s">
        <v>16379</v>
      </c>
      <c r="C1861" s="3">
        <f>IF(B1861="","",SUMIFS('Factory Costs'!$C:$C,'Factory Costs'!$A:$A,"Frame",'Factory Costs'!$B:$B,B1861))</f>
        <v>45</v>
      </c>
    </row>
    <row r="1862" spans="1:3" x14ac:dyDescent="0.25">
      <c r="A1862" s="1" t="s">
        <v>12139</v>
      </c>
      <c r="B1862" s="1" t="s">
        <v>16379</v>
      </c>
      <c r="C1862" s="3">
        <f>IF(B1862="","",SUMIFS('Factory Costs'!$C:$C,'Factory Costs'!$A:$A,"Frame",'Factory Costs'!$B:$B,B1862))</f>
        <v>45</v>
      </c>
    </row>
    <row r="1863" spans="1:3" x14ac:dyDescent="0.25">
      <c r="A1863" s="1" t="s">
        <v>12142</v>
      </c>
      <c r="B1863" s="1" t="s">
        <v>16377</v>
      </c>
      <c r="C1863" s="3">
        <f>IF(B1863="","",SUMIFS('Factory Costs'!$C:$C,'Factory Costs'!$A:$A,"Frame",'Factory Costs'!$B:$B,B1863))</f>
        <v>39</v>
      </c>
    </row>
    <row r="1864" spans="1:3" x14ac:dyDescent="0.25">
      <c r="A1864" s="1" t="s">
        <v>12145</v>
      </c>
      <c r="B1864" s="1" t="s">
        <v>16377</v>
      </c>
      <c r="C1864" s="3">
        <f>IF(B1864="","",SUMIFS('Factory Costs'!$C:$C,'Factory Costs'!$A:$A,"Frame",'Factory Costs'!$B:$B,B1864))</f>
        <v>39</v>
      </c>
    </row>
    <row r="1865" spans="1:3" x14ac:dyDescent="0.25">
      <c r="A1865" s="1" t="s">
        <v>12148</v>
      </c>
      <c r="B1865" s="1" t="s">
        <v>16377</v>
      </c>
      <c r="C1865" s="3">
        <f>IF(B1865="","",SUMIFS('Factory Costs'!$C:$C,'Factory Costs'!$A:$A,"Frame",'Factory Costs'!$B:$B,B1865))</f>
        <v>39</v>
      </c>
    </row>
    <row r="1866" spans="1:3" x14ac:dyDescent="0.25">
      <c r="A1866" s="1" t="s">
        <v>12151</v>
      </c>
      <c r="B1866" s="1" t="s">
        <v>16379</v>
      </c>
      <c r="C1866" s="3">
        <f>IF(B1866="","",SUMIFS('Factory Costs'!$C:$C,'Factory Costs'!$A:$A,"Frame",'Factory Costs'!$B:$B,B1866))</f>
        <v>45</v>
      </c>
    </row>
    <row r="1867" spans="1:3" x14ac:dyDescent="0.25">
      <c r="A1867" s="1" t="s">
        <v>12154</v>
      </c>
      <c r="B1867" s="1" t="s">
        <v>16377</v>
      </c>
      <c r="C1867" s="3">
        <f>IF(B1867="","",SUMIFS('Factory Costs'!$C:$C,'Factory Costs'!$A:$A,"Frame",'Factory Costs'!$B:$B,B1867))</f>
        <v>39</v>
      </c>
    </row>
    <row r="1868" spans="1:3" x14ac:dyDescent="0.25">
      <c r="A1868" s="1" t="s">
        <v>12157</v>
      </c>
      <c r="B1868" s="1" t="s">
        <v>16377</v>
      </c>
      <c r="C1868" s="3">
        <f>IF(B1868="","",SUMIFS('Factory Costs'!$C:$C,'Factory Costs'!$A:$A,"Frame",'Factory Costs'!$B:$B,B1868))</f>
        <v>39</v>
      </c>
    </row>
    <row r="1869" spans="1:3" x14ac:dyDescent="0.25">
      <c r="A1869" s="1" t="s">
        <v>12160</v>
      </c>
      <c r="B1869" s="1" t="s">
        <v>16378</v>
      </c>
      <c r="C1869" s="3">
        <f>IF(B1869="","",SUMIFS('Factory Costs'!$C:$C,'Factory Costs'!$A:$A,"Frame",'Factory Costs'!$B:$B,B1869))</f>
        <v>52</v>
      </c>
    </row>
    <row r="1870" spans="1:3" x14ac:dyDescent="0.25">
      <c r="A1870" s="1" t="s">
        <v>12163</v>
      </c>
      <c r="B1870" s="1" t="s">
        <v>16378</v>
      </c>
      <c r="C1870" s="3">
        <f>IF(B1870="","",SUMIFS('Factory Costs'!$C:$C,'Factory Costs'!$A:$A,"Frame",'Factory Costs'!$B:$B,B1870))</f>
        <v>52</v>
      </c>
    </row>
    <row r="1871" spans="1:3" x14ac:dyDescent="0.25">
      <c r="A1871" s="1" t="s">
        <v>12166</v>
      </c>
      <c r="B1871" s="1" t="s">
        <v>16379</v>
      </c>
      <c r="C1871" s="3">
        <f>IF(B1871="","",SUMIFS('Factory Costs'!$C:$C,'Factory Costs'!$A:$A,"Frame",'Factory Costs'!$B:$B,B1871))</f>
        <v>45</v>
      </c>
    </row>
    <row r="1872" spans="1:3" x14ac:dyDescent="0.25">
      <c r="A1872" s="1" t="s">
        <v>12169</v>
      </c>
      <c r="B1872" s="1" t="s">
        <v>16377</v>
      </c>
      <c r="C1872" s="3">
        <f>IF(B1872="","",SUMIFS('Factory Costs'!$C:$C,'Factory Costs'!$A:$A,"Frame",'Factory Costs'!$B:$B,B1872))</f>
        <v>39</v>
      </c>
    </row>
    <row r="1873" spans="1:3" x14ac:dyDescent="0.25">
      <c r="A1873" s="1" t="s">
        <v>12172</v>
      </c>
      <c r="B1873" s="1" t="s">
        <v>16379</v>
      </c>
      <c r="C1873" s="3">
        <f>IF(B1873="","",SUMIFS('Factory Costs'!$C:$C,'Factory Costs'!$A:$A,"Frame",'Factory Costs'!$B:$B,B1873))</f>
        <v>45</v>
      </c>
    </row>
    <row r="1874" spans="1:3" x14ac:dyDescent="0.25">
      <c r="A1874" s="1" t="s">
        <v>12175</v>
      </c>
      <c r="B1874" s="1" t="s">
        <v>16379</v>
      </c>
      <c r="C1874" s="3">
        <f>IF(B1874="","",SUMIFS('Factory Costs'!$C:$C,'Factory Costs'!$A:$A,"Frame",'Factory Costs'!$B:$B,B1874))</f>
        <v>45</v>
      </c>
    </row>
    <row r="1875" spans="1:3" x14ac:dyDescent="0.25">
      <c r="A1875" s="1" t="s">
        <v>12178</v>
      </c>
      <c r="B1875" s="1" t="s">
        <v>16377</v>
      </c>
      <c r="C1875" s="3">
        <f>IF(B1875="","",SUMIFS('Factory Costs'!$C:$C,'Factory Costs'!$A:$A,"Frame",'Factory Costs'!$B:$B,B1875))</f>
        <v>39</v>
      </c>
    </row>
    <row r="1876" spans="1:3" x14ac:dyDescent="0.25">
      <c r="A1876" s="1" t="s">
        <v>12181</v>
      </c>
      <c r="B1876" s="1" t="s">
        <v>16377</v>
      </c>
      <c r="C1876" s="3">
        <f>IF(B1876="","",SUMIFS('Factory Costs'!$C:$C,'Factory Costs'!$A:$A,"Frame",'Factory Costs'!$B:$B,B1876))</f>
        <v>39</v>
      </c>
    </row>
    <row r="1877" spans="1:3" x14ac:dyDescent="0.25">
      <c r="A1877" s="1" t="s">
        <v>12184</v>
      </c>
      <c r="B1877" s="1" t="s">
        <v>16379</v>
      </c>
      <c r="C1877" s="3">
        <f>IF(B1877="","",SUMIFS('Factory Costs'!$C:$C,'Factory Costs'!$A:$A,"Frame",'Factory Costs'!$B:$B,B1877))</f>
        <v>45</v>
      </c>
    </row>
    <row r="1878" spans="1:3" x14ac:dyDescent="0.25">
      <c r="A1878" s="1" t="s">
        <v>12187</v>
      </c>
      <c r="B1878" s="1" t="s">
        <v>16377</v>
      </c>
      <c r="C1878" s="3">
        <f>IF(B1878="","",SUMIFS('Factory Costs'!$C:$C,'Factory Costs'!$A:$A,"Frame",'Factory Costs'!$B:$B,B1878))</f>
        <v>39</v>
      </c>
    </row>
    <row r="1879" spans="1:3" x14ac:dyDescent="0.25">
      <c r="A1879" s="1" t="s">
        <v>12190</v>
      </c>
      <c r="B1879" s="1" t="s">
        <v>16379</v>
      </c>
      <c r="C1879" s="3">
        <f>IF(B1879="","",SUMIFS('Factory Costs'!$C:$C,'Factory Costs'!$A:$A,"Frame",'Factory Costs'!$B:$B,B1879))</f>
        <v>45</v>
      </c>
    </row>
    <row r="1880" spans="1:3" x14ac:dyDescent="0.25">
      <c r="A1880" s="1" t="s">
        <v>12193</v>
      </c>
      <c r="B1880" s="1" t="s">
        <v>16377</v>
      </c>
      <c r="C1880" s="3">
        <f>IF(B1880="","",SUMIFS('Factory Costs'!$C:$C,'Factory Costs'!$A:$A,"Frame",'Factory Costs'!$B:$B,B1880))</f>
        <v>39</v>
      </c>
    </row>
    <row r="1881" spans="1:3" x14ac:dyDescent="0.25">
      <c r="A1881" s="1" t="s">
        <v>12196</v>
      </c>
      <c r="B1881" s="1" t="s">
        <v>16378</v>
      </c>
      <c r="C1881" s="3">
        <f>IF(B1881="","",SUMIFS('Factory Costs'!$C:$C,'Factory Costs'!$A:$A,"Frame",'Factory Costs'!$B:$B,B1881))</f>
        <v>52</v>
      </c>
    </row>
    <row r="1882" spans="1:3" x14ac:dyDescent="0.25">
      <c r="A1882" s="1" t="s">
        <v>12199</v>
      </c>
      <c r="B1882" s="1" t="s">
        <v>16379</v>
      </c>
      <c r="C1882" s="3">
        <f>IF(B1882="","",SUMIFS('Factory Costs'!$C:$C,'Factory Costs'!$A:$A,"Frame",'Factory Costs'!$B:$B,B1882))</f>
        <v>45</v>
      </c>
    </row>
    <row r="1883" spans="1:3" x14ac:dyDescent="0.25">
      <c r="A1883" s="1" t="s">
        <v>12202</v>
      </c>
      <c r="B1883" s="1" t="s">
        <v>16377</v>
      </c>
      <c r="C1883" s="3">
        <f>IF(B1883="","",SUMIFS('Factory Costs'!$C:$C,'Factory Costs'!$A:$A,"Frame",'Factory Costs'!$B:$B,B1883))</f>
        <v>39</v>
      </c>
    </row>
    <row r="1884" spans="1:3" x14ac:dyDescent="0.25">
      <c r="A1884" s="1" t="s">
        <v>12205</v>
      </c>
      <c r="B1884" s="1" t="s">
        <v>16377</v>
      </c>
      <c r="C1884" s="3">
        <f>IF(B1884="","",SUMIFS('Factory Costs'!$C:$C,'Factory Costs'!$A:$A,"Frame",'Factory Costs'!$B:$B,B1884))</f>
        <v>39</v>
      </c>
    </row>
    <row r="1885" spans="1:3" x14ac:dyDescent="0.25">
      <c r="A1885" s="1" t="s">
        <v>12208</v>
      </c>
      <c r="B1885" s="1" t="s">
        <v>16379</v>
      </c>
      <c r="C1885" s="3">
        <f>IF(B1885="","",SUMIFS('Factory Costs'!$C:$C,'Factory Costs'!$A:$A,"Frame",'Factory Costs'!$B:$B,B1885))</f>
        <v>45</v>
      </c>
    </row>
    <row r="1886" spans="1:3" x14ac:dyDescent="0.25">
      <c r="A1886" s="1" t="s">
        <v>12211</v>
      </c>
      <c r="B1886" s="1" t="s">
        <v>16379</v>
      </c>
      <c r="C1886" s="3">
        <f>IF(B1886="","",SUMIFS('Factory Costs'!$C:$C,'Factory Costs'!$A:$A,"Frame",'Factory Costs'!$B:$B,B1886))</f>
        <v>45</v>
      </c>
    </row>
    <row r="1887" spans="1:3" x14ac:dyDescent="0.25">
      <c r="A1887" s="1" t="s">
        <v>12214</v>
      </c>
      <c r="B1887" s="1" t="s">
        <v>16377</v>
      </c>
      <c r="C1887" s="3">
        <f>IF(B1887="","",SUMIFS('Factory Costs'!$C:$C,'Factory Costs'!$A:$A,"Frame",'Factory Costs'!$B:$B,B1887))</f>
        <v>39</v>
      </c>
    </row>
    <row r="1888" spans="1:3" x14ac:dyDescent="0.25">
      <c r="A1888" s="1" t="s">
        <v>12217</v>
      </c>
      <c r="B1888" s="1" t="s">
        <v>16377</v>
      </c>
      <c r="C1888" s="3">
        <f>IF(B1888="","",SUMIFS('Factory Costs'!$C:$C,'Factory Costs'!$A:$A,"Frame",'Factory Costs'!$B:$B,B1888))</f>
        <v>39</v>
      </c>
    </row>
    <row r="1889" spans="1:3" x14ac:dyDescent="0.25">
      <c r="A1889" s="1" t="s">
        <v>12220</v>
      </c>
      <c r="B1889" s="1" t="s">
        <v>16377</v>
      </c>
      <c r="C1889" s="3">
        <f>IF(B1889="","",SUMIFS('Factory Costs'!$C:$C,'Factory Costs'!$A:$A,"Frame",'Factory Costs'!$B:$B,B1889))</f>
        <v>39</v>
      </c>
    </row>
    <row r="1890" spans="1:3" x14ac:dyDescent="0.25">
      <c r="A1890" s="1" t="s">
        <v>12223</v>
      </c>
      <c r="B1890" s="1" t="s">
        <v>16377</v>
      </c>
      <c r="C1890" s="3">
        <f>IF(B1890="","",SUMIFS('Factory Costs'!$C:$C,'Factory Costs'!$A:$A,"Frame",'Factory Costs'!$B:$B,B1890))</f>
        <v>39</v>
      </c>
    </row>
    <row r="1891" spans="1:3" x14ac:dyDescent="0.25">
      <c r="A1891" s="1" t="s">
        <v>12226</v>
      </c>
      <c r="B1891" s="1" t="s">
        <v>16379</v>
      </c>
      <c r="C1891" s="3">
        <f>IF(B1891="","",SUMIFS('Factory Costs'!$C:$C,'Factory Costs'!$A:$A,"Frame",'Factory Costs'!$B:$B,B1891))</f>
        <v>45</v>
      </c>
    </row>
    <row r="1892" spans="1:3" x14ac:dyDescent="0.25">
      <c r="A1892" s="1" t="s">
        <v>12229</v>
      </c>
      <c r="B1892" s="1" t="s">
        <v>16377</v>
      </c>
      <c r="C1892" s="3">
        <f>IF(B1892="","",SUMIFS('Factory Costs'!$C:$C,'Factory Costs'!$A:$A,"Frame",'Factory Costs'!$B:$B,B1892))</f>
        <v>39</v>
      </c>
    </row>
    <row r="1893" spans="1:3" x14ac:dyDescent="0.25">
      <c r="A1893" s="1" t="s">
        <v>12232</v>
      </c>
      <c r="B1893" s="1" t="s">
        <v>16379</v>
      </c>
      <c r="C1893" s="3">
        <f>IF(B1893="","",SUMIFS('Factory Costs'!$C:$C,'Factory Costs'!$A:$A,"Frame",'Factory Costs'!$B:$B,B1893))</f>
        <v>45</v>
      </c>
    </row>
    <row r="1894" spans="1:3" x14ac:dyDescent="0.25">
      <c r="A1894" s="1" t="s">
        <v>12235</v>
      </c>
      <c r="B1894" s="1" t="s">
        <v>16377</v>
      </c>
      <c r="C1894" s="3">
        <f>IF(B1894="","",SUMIFS('Factory Costs'!$C:$C,'Factory Costs'!$A:$A,"Frame",'Factory Costs'!$B:$B,B1894))</f>
        <v>39</v>
      </c>
    </row>
    <row r="1895" spans="1:3" x14ac:dyDescent="0.25">
      <c r="A1895" s="1" t="s">
        <v>12238</v>
      </c>
      <c r="B1895" s="1" t="s">
        <v>16378</v>
      </c>
      <c r="C1895" s="3">
        <f>IF(B1895="","",SUMIFS('Factory Costs'!$C:$C,'Factory Costs'!$A:$A,"Frame",'Factory Costs'!$B:$B,B1895))</f>
        <v>52</v>
      </c>
    </row>
    <row r="1896" spans="1:3" x14ac:dyDescent="0.25">
      <c r="A1896" s="1" t="s">
        <v>12241</v>
      </c>
      <c r="B1896" s="1" t="s">
        <v>16377</v>
      </c>
      <c r="C1896" s="3">
        <f>IF(B1896="","",SUMIFS('Factory Costs'!$C:$C,'Factory Costs'!$A:$A,"Frame",'Factory Costs'!$B:$B,B1896))</f>
        <v>39</v>
      </c>
    </row>
    <row r="1897" spans="1:3" x14ac:dyDescent="0.25">
      <c r="A1897" s="1" t="s">
        <v>12244</v>
      </c>
      <c r="B1897" s="1" t="s">
        <v>16377</v>
      </c>
      <c r="C1897" s="3">
        <f>IF(B1897="","",SUMIFS('Factory Costs'!$C:$C,'Factory Costs'!$A:$A,"Frame",'Factory Costs'!$B:$B,B1897))</f>
        <v>39</v>
      </c>
    </row>
    <row r="1898" spans="1:3" x14ac:dyDescent="0.25">
      <c r="A1898" s="1" t="s">
        <v>12247</v>
      </c>
      <c r="B1898" s="1" t="s">
        <v>16378</v>
      </c>
      <c r="C1898" s="3">
        <f>IF(B1898="","",SUMIFS('Factory Costs'!$C:$C,'Factory Costs'!$A:$A,"Frame",'Factory Costs'!$B:$B,B1898))</f>
        <v>52</v>
      </c>
    </row>
    <row r="1899" spans="1:3" x14ac:dyDescent="0.25">
      <c r="A1899" s="1" t="s">
        <v>12250</v>
      </c>
      <c r="B1899" s="1" t="s">
        <v>16377</v>
      </c>
      <c r="C1899" s="3">
        <f>IF(B1899="","",SUMIFS('Factory Costs'!$C:$C,'Factory Costs'!$A:$A,"Frame",'Factory Costs'!$B:$B,B1899))</f>
        <v>39</v>
      </c>
    </row>
    <row r="1900" spans="1:3" x14ac:dyDescent="0.25">
      <c r="A1900" s="1" t="s">
        <v>12253</v>
      </c>
      <c r="B1900" s="1" t="s">
        <v>16377</v>
      </c>
      <c r="C1900" s="3">
        <f>IF(B1900="","",SUMIFS('Factory Costs'!$C:$C,'Factory Costs'!$A:$A,"Frame",'Factory Costs'!$B:$B,B1900))</f>
        <v>39</v>
      </c>
    </row>
    <row r="1901" spans="1:3" x14ac:dyDescent="0.25">
      <c r="A1901" s="1" t="s">
        <v>12256</v>
      </c>
      <c r="B1901" s="1" t="s">
        <v>16378</v>
      </c>
      <c r="C1901" s="3">
        <f>IF(B1901="","",SUMIFS('Factory Costs'!$C:$C,'Factory Costs'!$A:$A,"Frame",'Factory Costs'!$B:$B,B1901))</f>
        <v>52</v>
      </c>
    </row>
    <row r="1902" spans="1:3" x14ac:dyDescent="0.25">
      <c r="A1902" s="1" t="s">
        <v>12259</v>
      </c>
      <c r="B1902" s="1" t="s">
        <v>16378</v>
      </c>
      <c r="C1902" s="3">
        <f>IF(B1902="","",SUMIFS('Factory Costs'!$C:$C,'Factory Costs'!$A:$A,"Frame",'Factory Costs'!$B:$B,B1902))</f>
        <v>52</v>
      </c>
    </row>
    <row r="1903" spans="1:3" x14ac:dyDescent="0.25">
      <c r="A1903" s="1" t="s">
        <v>12262</v>
      </c>
      <c r="B1903" s="1" t="s">
        <v>16378</v>
      </c>
      <c r="C1903" s="3">
        <f>IF(B1903="","",SUMIFS('Factory Costs'!$C:$C,'Factory Costs'!$A:$A,"Frame",'Factory Costs'!$B:$B,B1903))</f>
        <v>52</v>
      </c>
    </row>
    <row r="1904" spans="1:3" x14ac:dyDescent="0.25">
      <c r="A1904" s="1" t="s">
        <v>12265</v>
      </c>
      <c r="B1904" s="1" t="s">
        <v>16379</v>
      </c>
      <c r="C1904" s="3">
        <f>IF(B1904="","",SUMIFS('Factory Costs'!$C:$C,'Factory Costs'!$A:$A,"Frame",'Factory Costs'!$B:$B,B1904))</f>
        <v>45</v>
      </c>
    </row>
    <row r="1905" spans="1:3" x14ac:dyDescent="0.25">
      <c r="A1905" s="1" t="s">
        <v>12268</v>
      </c>
      <c r="B1905" s="1" t="s">
        <v>16378</v>
      </c>
      <c r="C1905" s="3">
        <f>IF(B1905="","",SUMIFS('Factory Costs'!$C:$C,'Factory Costs'!$A:$A,"Frame",'Factory Costs'!$B:$B,B1905))</f>
        <v>52</v>
      </c>
    </row>
    <row r="1906" spans="1:3" x14ac:dyDescent="0.25">
      <c r="A1906" s="1" t="s">
        <v>12271</v>
      </c>
      <c r="B1906" s="1" t="s">
        <v>16378</v>
      </c>
      <c r="C1906" s="3">
        <f>IF(B1906="","",SUMIFS('Factory Costs'!$C:$C,'Factory Costs'!$A:$A,"Frame",'Factory Costs'!$B:$B,B1906))</f>
        <v>52</v>
      </c>
    </row>
    <row r="1907" spans="1:3" x14ac:dyDescent="0.25">
      <c r="A1907" s="1" t="s">
        <v>12274</v>
      </c>
      <c r="B1907" s="1" t="s">
        <v>16377</v>
      </c>
      <c r="C1907" s="3">
        <f>IF(B1907="","",SUMIFS('Factory Costs'!$C:$C,'Factory Costs'!$A:$A,"Frame",'Factory Costs'!$B:$B,B1907))</f>
        <v>39</v>
      </c>
    </row>
    <row r="1908" spans="1:3" x14ac:dyDescent="0.25">
      <c r="A1908" s="1" t="s">
        <v>12277</v>
      </c>
      <c r="B1908" s="1" t="s">
        <v>16379</v>
      </c>
      <c r="C1908" s="3">
        <f>IF(B1908="","",SUMIFS('Factory Costs'!$C:$C,'Factory Costs'!$A:$A,"Frame",'Factory Costs'!$B:$B,B1908))</f>
        <v>45</v>
      </c>
    </row>
    <row r="1909" spans="1:3" x14ac:dyDescent="0.25">
      <c r="A1909" s="1" t="s">
        <v>12280</v>
      </c>
      <c r="B1909" s="1" t="s">
        <v>16377</v>
      </c>
      <c r="C1909" s="3">
        <f>IF(B1909="","",SUMIFS('Factory Costs'!$C:$C,'Factory Costs'!$A:$A,"Frame",'Factory Costs'!$B:$B,B1909))</f>
        <v>39</v>
      </c>
    </row>
    <row r="1910" spans="1:3" x14ac:dyDescent="0.25">
      <c r="A1910" s="1" t="s">
        <v>12283</v>
      </c>
      <c r="B1910" s="1" t="s">
        <v>16379</v>
      </c>
      <c r="C1910" s="3">
        <f>IF(B1910="","",SUMIFS('Factory Costs'!$C:$C,'Factory Costs'!$A:$A,"Frame",'Factory Costs'!$B:$B,B1910))</f>
        <v>45</v>
      </c>
    </row>
    <row r="1911" spans="1:3" x14ac:dyDescent="0.25">
      <c r="A1911" s="1" t="s">
        <v>12286</v>
      </c>
      <c r="B1911" s="1" t="s">
        <v>16378</v>
      </c>
      <c r="C1911" s="3">
        <f>IF(B1911="","",SUMIFS('Factory Costs'!$C:$C,'Factory Costs'!$A:$A,"Frame",'Factory Costs'!$B:$B,B1911))</f>
        <v>52</v>
      </c>
    </row>
    <row r="1912" spans="1:3" x14ac:dyDescent="0.25">
      <c r="A1912" s="1" t="s">
        <v>12289</v>
      </c>
      <c r="B1912" s="1" t="s">
        <v>16377</v>
      </c>
      <c r="C1912" s="3">
        <f>IF(B1912="","",SUMIFS('Factory Costs'!$C:$C,'Factory Costs'!$A:$A,"Frame",'Factory Costs'!$B:$B,B1912))</f>
        <v>39</v>
      </c>
    </row>
    <row r="1913" spans="1:3" x14ac:dyDescent="0.25">
      <c r="A1913" s="1" t="s">
        <v>12292</v>
      </c>
      <c r="B1913" s="1" t="s">
        <v>16377</v>
      </c>
      <c r="C1913" s="3">
        <f>IF(B1913="","",SUMIFS('Factory Costs'!$C:$C,'Factory Costs'!$A:$A,"Frame",'Factory Costs'!$B:$B,B1913))</f>
        <v>39</v>
      </c>
    </row>
    <row r="1914" spans="1:3" x14ac:dyDescent="0.25">
      <c r="A1914" s="1" t="s">
        <v>12295</v>
      </c>
      <c r="B1914" s="1" t="s">
        <v>16377</v>
      </c>
      <c r="C1914" s="3">
        <f>IF(B1914="","",SUMIFS('Factory Costs'!$C:$C,'Factory Costs'!$A:$A,"Frame",'Factory Costs'!$B:$B,B1914))</f>
        <v>39</v>
      </c>
    </row>
    <row r="1915" spans="1:3" x14ac:dyDescent="0.25">
      <c r="A1915" s="1" t="s">
        <v>12298</v>
      </c>
      <c r="B1915" s="1" t="s">
        <v>16378</v>
      </c>
      <c r="C1915" s="3">
        <f>IF(B1915="","",SUMIFS('Factory Costs'!$C:$C,'Factory Costs'!$A:$A,"Frame",'Factory Costs'!$B:$B,B1915))</f>
        <v>52</v>
      </c>
    </row>
    <row r="1916" spans="1:3" x14ac:dyDescent="0.25">
      <c r="A1916" s="1" t="s">
        <v>12301</v>
      </c>
      <c r="B1916" s="1" t="s">
        <v>16378</v>
      </c>
      <c r="C1916" s="3">
        <f>IF(B1916="","",SUMIFS('Factory Costs'!$C:$C,'Factory Costs'!$A:$A,"Frame",'Factory Costs'!$B:$B,B1916))</f>
        <v>52</v>
      </c>
    </row>
    <row r="1917" spans="1:3" x14ac:dyDescent="0.25">
      <c r="A1917" s="1" t="s">
        <v>12304</v>
      </c>
      <c r="B1917" s="1" t="s">
        <v>16379</v>
      </c>
      <c r="C1917" s="3">
        <f>IF(B1917="","",SUMIFS('Factory Costs'!$C:$C,'Factory Costs'!$A:$A,"Frame",'Factory Costs'!$B:$B,B1917))</f>
        <v>45</v>
      </c>
    </row>
    <row r="1918" spans="1:3" x14ac:dyDescent="0.25">
      <c r="A1918" s="1" t="s">
        <v>12307</v>
      </c>
      <c r="B1918" s="1" t="s">
        <v>16377</v>
      </c>
      <c r="C1918" s="3">
        <f>IF(B1918="","",SUMIFS('Factory Costs'!$C:$C,'Factory Costs'!$A:$A,"Frame",'Factory Costs'!$B:$B,B1918))</f>
        <v>39</v>
      </c>
    </row>
    <row r="1919" spans="1:3" x14ac:dyDescent="0.25">
      <c r="A1919" s="1" t="s">
        <v>12310</v>
      </c>
      <c r="B1919" s="1" t="s">
        <v>16377</v>
      </c>
      <c r="C1919" s="3">
        <f>IF(B1919="","",SUMIFS('Factory Costs'!$C:$C,'Factory Costs'!$A:$A,"Frame",'Factory Costs'!$B:$B,B1919))</f>
        <v>39</v>
      </c>
    </row>
    <row r="1920" spans="1:3" x14ac:dyDescent="0.25">
      <c r="A1920" s="1" t="s">
        <v>12313</v>
      </c>
      <c r="B1920" s="1" t="s">
        <v>16379</v>
      </c>
      <c r="C1920" s="3">
        <f>IF(B1920="","",SUMIFS('Factory Costs'!$C:$C,'Factory Costs'!$A:$A,"Frame",'Factory Costs'!$B:$B,B1920))</f>
        <v>45</v>
      </c>
    </row>
    <row r="1921" spans="1:3" x14ac:dyDescent="0.25">
      <c r="A1921" s="1" t="s">
        <v>12316</v>
      </c>
      <c r="B1921" s="1" t="s">
        <v>16378</v>
      </c>
      <c r="C1921" s="3">
        <f>IF(B1921="","",SUMIFS('Factory Costs'!$C:$C,'Factory Costs'!$A:$A,"Frame",'Factory Costs'!$B:$B,B1921))</f>
        <v>52</v>
      </c>
    </row>
    <row r="1922" spans="1:3" x14ac:dyDescent="0.25">
      <c r="A1922" s="1" t="s">
        <v>12319</v>
      </c>
      <c r="B1922" s="1" t="s">
        <v>16379</v>
      </c>
      <c r="C1922" s="3">
        <f>IF(B1922="","",SUMIFS('Factory Costs'!$C:$C,'Factory Costs'!$A:$A,"Frame",'Factory Costs'!$B:$B,B1922))</f>
        <v>45</v>
      </c>
    </row>
    <row r="1923" spans="1:3" x14ac:dyDescent="0.25">
      <c r="A1923" s="1" t="s">
        <v>12322</v>
      </c>
      <c r="B1923" s="1" t="s">
        <v>16377</v>
      </c>
      <c r="C1923" s="3">
        <f>IF(B1923="","",SUMIFS('Factory Costs'!$C:$C,'Factory Costs'!$A:$A,"Frame",'Factory Costs'!$B:$B,B1923))</f>
        <v>39</v>
      </c>
    </row>
    <row r="1924" spans="1:3" x14ac:dyDescent="0.25">
      <c r="A1924" s="1" t="s">
        <v>12325</v>
      </c>
      <c r="B1924" s="1" t="s">
        <v>16378</v>
      </c>
      <c r="C1924" s="3">
        <f>IF(B1924="","",SUMIFS('Factory Costs'!$C:$C,'Factory Costs'!$A:$A,"Frame",'Factory Costs'!$B:$B,B1924))</f>
        <v>52</v>
      </c>
    </row>
    <row r="1925" spans="1:3" x14ac:dyDescent="0.25">
      <c r="A1925" s="1" t="s">
        <v>12328</v>
      </c>
      <c r="B1925" s="1" t="s">
        <v>16379</v>
      </c>
      <c r="C1925" s="3">
        <f>IF(B1925="","",SUMIFS('Factory Costs'!$C:$C,'Factory Costs'!$A:$A,"Frame",'Factory Costs'!$B:$B,B1925))</f>
        <v>45</v>
      </c>
    </row>
    <row r="1926" spans="1:3" x14ac:dyDescent="0.25">
      <c r="A1926" s="1" t="s">
        <v>12331</v>
      </c>
      <c r="B1926" s="1" t="s">
        <v>16379</v>
      </c>
      <c r="C1926" s="3">
        <f>IF(B1926="","",SUMIFS('Factory Costs'!$C:$C,'Factory Costs'!$A:$A,"Frame",'Factory Costs'!$B:$B,B1926))</f>
        <v>45</v>
      </c>
    </row>
    <row r="1927" spans="1:3" x14ac:dyDescent="0.25">
      <c r="A1927" s="1" t="s">
        <v>12334</v>
      </c>
      <c r="B1927" s="1" t="s">
        <v>16378</v>
      </c>
      <c r="C1927" s="3">
        <f>IF(B1927="","",SUMIFS('Factory Costs'!$C:$C,'Factory Costs'!$A:$A,"Frame",'Factory Costs'!$B:$B,B1927))</f>
        <v>52</v>
      </c>
    </row>
    <row r="1928" spans="1:3" x14ac:dyDescent="0.25">
      <c r="A1928" s="1" t="s">
        <v>12337</v>
      </c>
      <c r="B1928" s="1" t="s">
        <v>16379</v>
      </c>
      <c r="C1928" s="3">
        <f>IF(B1928="","",SUMIFS('Factory Costs'!$C:$C,'Factory Costs'!$A:$A,"Frame",'Factory Costs'!$B:$B,B1928))</f>
        <v>45</v>
      </c>
    </row>
    <row r="1929" spans="1:3" x14ac:dyDescent="0.25">
      <c r="A1929" s="1" t="s">
        <v>12340</v>
      </c>
      <c r="B1929" s="1" t="s">
        <v>16379</v>
      </c>
      <c r="C1929" s="3">
        <f>IF(B1929="","",SUMIFS('Factory Costs'!$C:$C,'Factory Costs'!$A:$A,"Frame",'Factory Costs'!$B:$B,B1929))</f>
        <v>45</v>
      </c>
    </row>
    <row r="1930" spans="1:3" x14ac:dyDescent="0.25">
      <c r="A1930" s="1" t="s">
        <v>12343</v>
      </c>
      <c r="B1930" s="1" t="s">
        <v>16379</v>
      </c>
      <c r="C1930" s="3">
        <f>IF(B1930="","",SUMIFS('Factory Costs'!$C:$C,'Factory Costs'!$A:$A,"Frame",'Factory Costs'!$B:$B,B1930))</f>
        <v>45</v>
      </c>
    </row>
    <row r="1931" spans="1:3" x14ac:dyDescent="0.25">
      <c r="A1931" s="1" t="s">
        <v>12346</v>
      </c>
      <c r="B1931" s="1" t="s">
        <v>16379</v>
      </c>
      <c r="C1931" s="3">
        <f>IF(B1931="","",SUMIFS('Factory Costs'!$C:$C,'Factory Costs'!$A:$A,"Frame",'Factory Costs'!$B:$B,B1931))</f>
        <v>45</v>
      </c>
    </row>
    <row r="1932" spans="1:3" x14ac:dyDescent="0.25">
      <c r="A1932" s="1" t="s">
        <v>12349</v>
      </c>
      <c r="B1932" s="1" t="s">
        <v>16378</v>
      </c>
      <c r="C1932" s="3">
        <f>IF(B1932="","",SUMIFS('Factory Costs'!$C:$C,'Factory Costs'!$A:$A,"Frame",'Factory Costs'!$B:$B,B1932))</f>
        <v>52</v>
      </c>
    </row>
    <row r="1933" spans="1:3" x14ac:dyDescent="0.25">
      <c r="A1933" s="1" t="s">
        <v>12352</v>
      </c>
      <c r="B1933" s="1" t="s">
        <v>16377</v>
      </c>
      <c r="C1933" s="3">
        <f>IF(B1933="","",SUMIFS('Factory Costs'!$C:$C,'Factory Costs'!$A:$A,"Frame",'Factory Costs'!$B:$B,B1933))</f>
        <v>39</v>
      </c>
    </row>
    <row r="1934" spans="1:3" x14ac:dyDescent="0.25">
      <c r="A1934" s="1" t="s">
        <v>12355</v>
      </c>
      <c r="B1934" s="1" t="s">
        <v>16377</v>
      </c>
      <c r="C1934" s="3">
        <f>IF(B1934="","",SUMIFS('Factory Costs'!$C:$C,'Factory Costs'!$A:$A,"Frame",'Factory Costs'!$B:$B,B1934))</f>
        <v>39</v>
      </c>
    </row>
    <row r="1935" spans="1:3" x14ac:dyDescent="0.25">
      <c r="A1935" s="1" t="s">
        <v>12358</v>
      </c>
      <c r="B1935" s="1" t="s">
        <v>16377</v>
      </c>
      <c r="C1935" s="3">
        <f>IF(B1935="","",SUMIFS('Factory Costs'!$C:$C,'Factory Costs'!$A:$A,"Frame",'Factory Costs'!$B:$B,B1935))</f>
        <v>39</v>
      </c>
    </row>
    <row r="1936" spans="1:3" x14ac:dyDescent="0.25">
      <c r="A1936" s="1" t="s">
        <v>12361</v>
      </c>
      <c r="B1936" s="1" t="s">
        <v>16378</v>
      </c>
      <c r="C1936" s="3">
        <f>IF(B1936="","",SUMIFS('Factory Costs'!$C:$C,'Factory Costs'!$A:$A,"Frame",'Factory Costs'!$B:$B,B1936))</f>
        <v>52</v>
      </c>
    </row>
    <row r="1937" spans="1:3" x14ac:dyDescent="0.25">
      <c r="A1937" s="1" t="s">
        <v>12364</v>
      </c>
      <c r="B1937" s="1" t="s">
        <v>16378</v>
      </c>
      <c r="C1937" s="3">
        <f>IF(B1937="","",SUMIFS('Factory Costs'!$C:$C,'Factory Costs'!$A:$A,"Frame",'Factory Costs'!$B:$B,B1937))</f>
        <v>52</v>
      </c>
    </row>
    <row r="1938" spans="1:3" x14ac:dyDescent="0.25">
      <c r="A1938" s="1" t="s">
        <v>12367</v>
      </c>
      <c r="B1938" s="1" t="s">
        <v>16377</v>
      </c>
      <c r="C1938" s="3">
        <f>IF(B1938="","",SUMIFS('Factory Costs'!$C:$C,'Factory Costs'!$A:$A,"Frame",'Factory Costs'!$B:$B,B1938))</f>
        <v>39</v>
      </c>
    </row>
    <row r="1939" spans="1:3" x14ac:dyDescent="0.25">
      <c r="A1939" s="1" t="s">
        <v>12370</v>
      </c>
      <c r="B1939" s="1" t="s">
        <v>16377</v>
      </c>
      <c r="C1939" s="3">
        <f>IF(B1939="","",SUMIFS('Factory Costs'!$C:$C,'Factory Costs'!$A:$A,"Frame",'Factory Costs'!$B:$B,B1939))</f>
        <v>39</v>
      </c>
    </row>
    <row r="1940" spans="1:3" x14ac:dyDescent="0.25">
      <c r="A1940" s="1" t="s">
        <v>12373</v>
      </c>
      <c r="B1940" s="1" t="s">
        <v>16378</v>
      </c>
      <c r="C1940" s="3">
        <f>IF(B1940="","",SUMIFS('Factory Costs'!$C:$C,'Factory Costs'!$A:$A,"Frame",'Factory Costs'!$B:$B,B1940))</f>
        <v>52</v>
      </c>
    </row>
    <row r="1941" spans="1:3" x14ac:dyDescent="0.25">
      <c r="A1941" s="1" t="s">
        <v>12376</v>
      </c>
      <c r="B1941" s="1" t="s">
        <v>16378</v>
      </c>
      <c r="C1941" s="3">
        <f>IF(B1941="","",SUMIFS('Factory Costs'!$C:$C,'Factory Costs'!$A:$A,"Frame",'Factory Costs'!$B:$B,B1941))</f>
        <v>52</v>
      </c>
    </row>
    <row r="1942" spans="1:3" x14ac:dyDescent="0.25">
      <c r="A1942" s="1" t="s">
        <v>12379</v>
      </c>
      <c r="B1942" s="1" t="s">
        <v>16379</v>
      </c>
      <c r="C1942" s="3">
        <f>IF(B1942="","",SUMIFS('Factory Costs'!$C:$C,'Factory Costs'!$A:$A,"Frame",'Factory Costs'!$B:$B,B1942))</f>
        <v>45</v>
      </c>
    </row>
    <row r="1943" spans="1:3" x14ac:dyDescent="0.25">
      <c r="A1943" s="1" t="s">
        <v>12382</v>
      </c>
      <c r="B1943" s="1" t="s">
        <v>16377</v>
      </c>
      <c r="C1943" s="3">
        <f>IF(B1943="","",SUMIFS('Factory Costs'!$C:$C,'Factory Costs'!$A:$A,"Frame",'Factory Costs'!$B:$B,B1943))</f>
        <v>39</v>
      </c>
    </row>
    <row r="1944" spans="1:3" x14ac:dyDescent="0.25">
      <c r="A1944" s="1" t="s">
        <v>12385</v>
      </c>
      <c r="B1944" s="1" t="s">
        <v>16378</v>
      </c>
      <c r="C1944" s="3">
        <f>IF(B1944="","",SUMIFS('Factory Costs'!$C:$C,'Factory Costs'!$A:$A,"Frame",'Factory Costs'!$B:$B,B1944))</f>
        <v>52</v>
      </c>
    </row>
    <row r="1945" spans="1:3" x14ac:dyDescent="0.25">
      <c r="A1945" s="1" t="s">
        <v>12388</v>
      </c>
      <c r="B1945" s="1" t="s">
        <v>16379</v>
      </c>
      <c r="C1945" s="3">
        <f>IF(B1945="","",SUMIFS('Factory Costs'!$C:$C,'Factory Costs'!$A:$A,"Frame",'Factory Costs'!$B:$B,B1945))</f>
        <v>45</v>
      </c>
    </row>
    <row r="1946" spans="1:3" x14ac:dyDescent="0.25">
      <c r="A1946" s="1" t="s">
        <v>12391</v>
      </c>
      <c r="B1946" s="1" t="s">
        <v>16379</v>
      </c>
      <c r="C1946" s="3">
        <f>IF(B1946="","",SUMIFS('Factory Costs'!$C:$C,'Factory Costs'!$A:$A,"Frame",'Factory Costs'!$B:$B,B1946))</f>
        <v>45</v>
      </c>
    </row>
    <row r="1947" spans="1:3" x14ac:dyDescent="0.25">
      <c r="A1947" s="1" t="s">
        <v>12394</v>
      </c>
      <c r="B1947" s="1" t="s">
        <v>16379</v>
      </c>
      <c r="C1947" s="3">
        <f>IF(B1947="","",SUMIFS('Factory Costs'!$C:$C,'Factory Costs'!$A:$A,"Frame",'Factory Costs'!$B:$B,B1947))</f>
        <v>45</v>
      </c>
    </row>
    <row r="1948" spans="1:3" x14ac:dyDescent="0.25">
      <c r="A1948" s="1" t="s">
        <v>12397</v>
      </c>
      <c r="B1948" s="1" t="s">
        <v>16377</v>
      </c>
      <c r="C1948" s="3">
        <f>IF(B1948="","",SUMIFS('Factory Costs'!$C:$C,'Factory Costs'!$A:$A,"Frame",'Factory Costs'!$B:$B,B1948))</f>
        <v>39</v>
      </c>
    </row>
    <row r="1949" spans="1:3" x14ac:dyDescent="0.25">
      <c r="A1949" s="1" t="s">
        <v>12400</v>
      </c>
      <c r="B1949" s="1" t="s">
        <v>16377</v>
      </c>
      <c r="C1949" s="3">
        <f>IF(B1949="","",SUMIFS('Factory Costs'!$C:$C,'Factory Costs'!$A:$A,"Frame",'Factory Costs'!$B:$B,B1949))</f>
        <v>39</v>
      </c>
    </row>
    <row r="1950" spans="1:3" x14ac:dyDescent="0.25">
      <c r="A1950" s="1" t="s">
        <v>12403</v>
      </c>
      <c r="B1950" s="1" t="s">
        <v>16377</v>
      </c>
      <c r="C1950" s="3">
        <f>IF(B1950="","",SUMIFS('Factory Costs'!$C:$C,'Factory Costs'!$A:$A,"Frame",'Factory Costs'!$B:$B,B1950))</f>
        <v>39</v>
      </c>
    </row>
    <row r="1951" spans="1:3" x14ac:dyDescent="0.25">
      <c r="A1951" s="1" t="s">
        <v>12406</v>
      </c>
      <c r="B1951" s="1" t="s">
        <v>16379</v>
      </c>
      <c r="C1951" s="3">
        <f>IF(B1951="","",SUMIFS('Factory Costs'!$C:$C,'Factory Costs'!$A:$A,"Frame",'Factory Costs'!$B:$B,B1951))</f>
        <v>45</v>
      </c>
    </row>
    <row r="1952" spans="1:3" x14ac:dyDescent="0.25">
      <c r="A1952" s="1" t="s">
        <v>12409</v>
      </c>
      <c r="B1952" s="1" t="s">
        <v>16377</v>
      </c>
      <c r="C1952" s="3">
        <f>IF(B1952="","",SUMIFS('Factory Costs'!$C:$C,'Factory Costs'!$A:$A,"Frame",'Factory Costs'!$B:$B,B1952))</f>
        <v>39</v>
      </c>
    </row>
    <row r="1953" spans="1:3" x14ac:dyDescent="0.25">
      <c r="A1953" s="1" t="s">
        <v>12412</v>
      </c>
      <c r="B1953" s="1" t="s">
        <v>16379</v>
      </c>
      <c r="C1953" s="3">
        <f>IF(B1953="","",SUMIFS('Factory Costs'!$C:$C,'Factory Costs'!$A:$A,"Frame",'Factory Costs'!$B:$B,B1953))</f>
        <v>45</v>
      </c>
    </row>
    <row r="1954" spans="1:3" x14ac:dyDescent="0.25">
      <c r="A1954" s="1" t="s">
        <v>12415</v>
      </c>
      <c r="B1954" s="1" t="s">
        <v>16378</v>
      </c>
      <c r="C1954" s="3">
        <f>IF(B1954="","",SUMIFS('Factory Costs'!$C:$C,'Factory Costs'!$A:$A,"Frame",'Factory Costs'!$B:$B,B1954))</f>
        <v>52</v>
      </c>
    </row>
    <row r="1955" spans="1:3" x14ac:dyDescent="0.25">
      <c r="A1955" s="1" t="s">
        <v>12418</v>
      </c>
      <c r="B1955" s="1" t="s">
        <v>16378</v>
      </c>
      <c r="C1955" s="3">
        <f>IF(B1955="","",SUMIFS('Factory Costs'!$C:$C,'Factory Costs'!$A:$A,"Frame",'Factory Costs'!$B:$B,B1955))</f>
        <v>52</v>
      </c>
    </row>
    <row r="1956" spans="1:3" x14ac:dyDescent="0.25">
      <c r="A1956" s="1" t="s">
        <v>12421</v>
      </c>
      <c r="B1956" s="1" t="s">
        <v>16379</v>
      </c>
      <c r="C1956" s="3">
        <f>IF(B1956="","",SUMIFS('Factory Costs'!$C:$C,'Factory Costs'!$A:$A,"Frame",'Factory Costs'!$B:$B,B1956))</f>
        <v>45</v>
      </c>
    </row>
    <row r="1957" spans="1:3" x14ac:dyDescent="0.25">
      <c r="A1957" s="1" t="s">
        <v>12424</v>
      </c>
      <c r="B1957" s="1" t="s">
        <v>16378</v>
      </c>
      <c r="C1957" s="3">
        <f>IF(B1957="","",SUMIFS('Factory Costs'!$C:$C,'Factory Costs'!$A:$A,"Frame",'Factory Costs'!$B:$B,B1957))</f>
        <v>52</v>
      </c>
    </row>
    <row r="1958" spans="1:3" x14ac:dyDescent="0.25">
      <c r="A1958" s="1" t="s">
        <v>12427</v>
      </c>
      <c r="B1958" s="1" t="s">
        <v>16377</v>
      </c>
      <c r="C1958" s="3">
        <f>IF(B1958="","",SUMIFS('Factory Costs'!$C:$C,'Factory Costs'!$A:$A,"Frame",'Factory Costs'!$B:$B,B1958))</f>
        <v>39</v>
      </c>
    </row>
    <row r="1959" spans="1:3" x14ac:dyDescent="0.25">
      <c r="A1959" s="1" t="s">
        <v>12430</v>
      </c>
      <c r="B1959" s="1" t="s">
        <v>16377</v>
      </c>
      <c r="C1959" s="3">
        <f>IF(B1959="","",SUMIFS('Factory Costs'!$C:$C,'Factory Costs'!$A:$A,"Frame",'Factory Costs'!$B:$B,B1959))</f>
        <v>39</v>
      </c>
    </row>
    <row r="1960" spans="1:3" x14ac:dyDescent="0.25">
      <c r="A1960" s="1" t="s">
        <v>12433</v>
      </c>
      <c r="B1960" s="1" t="s">
        <v>16377</v>
      </c>
      <c r="C1960" s="3">
        <f>IF(B1960="","",SUMIFS('Factory Costs'!$C:$C,'Factory Costs'!$A:$A,"Frame",'Factory Costs'!$B:$B,B1960))</f>
        <v>39</v>
      </c>
    </row>
    <row r="1961" spans="1:3" x14ac:dyDescent="0.25">
      <c r="A1961" s="1" t="s">
        <v>12436</v>
      </c>
      <c r="B1961" s="1" t="s">
        <v>16377</v>
      </c>
      <c r="C1961" s="3">
        <f>IF(B1961="","",SUMIFS('Factory Costs'!$C:$C,'Factory Costs'!$A:$A,"Frame",'Factory Costs'!$B:$B,B1961))</f>
        <v>39</v>
      </c>
    </row>
    <row r="1962" spans="1:3" x14ac:dyDescent="0.25">
      <c r="A1962" s="1" t="s">
        <v>12439</v>
      </c>
      <c r="B1962" s="1" t="s">
        <v>16379</v>
      </c>
      <c r="C1962" s="3">
        <f>IF(B1962="","",SUMIFS('Factory Costs'!$C:$C,'Factory Costs'!$A:$A,"Frame",'Factory Costs'!$B:$B,B1962))</f>
        <v>45</v>
      </c>
    </row>
    <row r="1963" spans="1:3" x14ac:dyDescent="0.25">
      <c r="A1963" s="1" t="s">
        <v>12442</v>
      </c>
      <c r="B1963" s="1" t="s">
        <v>16377</v>
      </c>
      <c r="C1963" s="3">
        <f>IF(B1963="","",SUMIFS('Factory Costs'!$C:$C,'Factory Costs'!$A:$A,"Frame",'Factory Costs'!$B:$B,B1963))</f>
        <v>39</v>
      </c>
    </row>
    <row r="1964" spans="1:3" x14ac:dyDescent="0.25">
      <c r="A1964" s="1" t="s">
        <v>12445</v>
      </c>
      <c r="B1964" s="1" t="s">
        <v>16377</v>
      </c>
      <c r="C1964" s="3">
        <f>IF(B1964="","",SUMIFS('Factory Costs'!$C:$C,'Factory Costs'!$A:$A,"Frame",'Factory Costs'!$B:$B,B1964))</f>
        <v>39</v>
      </c>
    </row>
    <row r="1965" spans="1:3" x14ac:dyDescent="0.25">
      <c r="A1965" s="1" t="s">
        <v>12448</v>
      </c>
      <c r="B1965" s="1" t="s">
        <v>16377</v>
      </c>
      <c r="C1965" s="3">
        <f>IF(B1965="","",SUMIFS('Factory Costs'!$C:$C,'Factory Costs'!$A:$A,"Frame",'Factory Costs'!$B:$B,B1965))</f>
        <v>39</v>
      </c>
    </row>
    <row r="1966" spans="1:3" x14ac:dyDescent="0.25">
      <c r="A1966" s="1" t="s">
        <v>12451</v>
      </c>
      <c r="B1966" s="1" t="s">
        <v>16378</v>
      </c>
      <c r="C1966" s="3">
        <f>IF(B1966="","",SUMIFS('Factory Costs'!$C:$C,'Factory Costs'!$A:$A,"Frame",'Factory Costs'!$B:$B,B1966))</f>
        <v>52</v>
      </c>
    </row>
    <row r="1967" spans="1:3" x14ac:dyDescent="0.25">
      <c r="A1967" s="1" t="s">
        <v>12454</v>
      </c>
      <c r="B1967" s="1" t="s">
        <v>16377</v>
      </c>
      <c r="C1967" s="3">
        <f>IF(B1967="","",SUMIFS('Factory Costs'!$C:$C,'Factory Costs'!$A:$A,"Frame",'Factory Costs'!$B:$B,B1967))</f>
        <v>39</v>
      </c>
    </row>
    <row r="1968" spans="1:3" x14ac:dyDescent="0.25">
      <c r="A1968" s="1" t="s">
        <v>12457</v>
      </c>
      <c r="B1968" s="1" t="s">
        <v>16377</v>
      </c>
      <c r="C1968" s="3">
        <f>IF(B1968="","",SUMIFS('Factory Costs'!$C:$C,'Factory Costs'!$A:$A,"Frame",'Factory Costs'!$B:$B,B1968))</f>
        <v>39</v>
      </c>
    </row>
    <row r="1969" spans="1:3" x14ac:dyDescent="0.25">
      <c r="A1969" s="1" t="s">
        <v>12460</v>
      </c>
      <c r="B1969" s="1" t="s">
        <v>16377</v>
      </c>
      <c r="C1969" s="3">
        <f>IF(B1969="","",SUMIFS('Factory Costs'!$C:$C,'Factory Costs'!$A:$A,"Frame",'Factory Costs'!$B:$B,B1969))</f>
        <v>39</v>
      </c>
    </row>
    <row r="1970" spans="1:3" x14ac:dyDescent="0.25">
      <c r="A1970" s="1" t="s">
        <v>12463</v>
      </c>
      <c r="B1970" s="1" t="s">
        <v>16377</v>
      </c>
      <c r="C1970" s="3">
        <f>IF(B1970="","",SUMIFS('Factory Costs'!$C:$C,'Factory Costs'!$A:$A,"Frame",'Factory Costs'!$B:$B,B1970))</f>
        <v>39</v>
      </c>
    </row>
    <row r="1971" spans="1:3" x14ac:dyDescent="0.25">
      <c r="A1971" s="1" t="s">
        <v>12466</v>
      </c>
      <c r="B1971" s="1" t="s">
        <v>16379</v>
      </c>
      <c r="C1971" s="3">
        <f>IF(B1971="","",SUMIFS('Factory Costs'!$C:$C,'Factory Costs'!$A:$A,"Frame",'Factory Costs'!$B:$B,B1971))</f>
        <v>45</v>
      </c>
    </row>
    <row r="1972" spans="1:3" x14ac:dyDescent="0.25">
      <c r="A1972" s="1" t="s">
        <v>12469</v>
      </c>
      <c r="B1972" s="1" t="s">
        <v>16377</v>
      </c>
      <c r="C1972" s="3">
        <f>IF(B1972="","",SUMIFS('Factory Costs'!$C:$C,'Factory Costs'!$A:$A,"Frame",'Factory Costs'!$B:$B,B1972))</f>
        <v>39</v>
      </c>
    </row>
    <row r="1973" spans="1:3" x14ac:dyDescent="0.25">
      <c r="A1973" s="1" t="s">
        <v>12472</v>
      </c>
      <c r="B1973" s="1" t="s">
        <v>16379</v>
      </c>
      <c r="C1973" s="3">
        <f>IF(B1973="","",SUMIFS('Factory Costs'!$C:$C,'Factory Costs'!$A:$A,"Frame",'Factory Costs'!$B:$B,B1973))</f>
        <v>45</v>
      </c>
    </row>
    <row r="1974" spans="1:3" x14ac:dyDescent="0.25">
      <c r="A1974" s="1" t="s">
        <v>12475</v>
      </c>
      <c r="B1974" s="1" t="s">
        <v>16378</v>
      </c>
      <c r="C1974" s="3">
        <f>IF(B1974="","",SUMIFS('Factory Costs'!$C:$C,'Factory Costs'!$A:$A,"Frame",'Factory Costs'!$B:$B,B1974))</f>
        <v>52</v>
      </c>
    </row>
    <row r="1975" spans="1:3" x14ac:dyDescent="0.25">
      <c r="A1975" s="1" t="s">
        <v>12478</v>
      </c>
      <c r="B1975" s="1" t="s">
        <v>16379</v>
      </c>
      <c r="C1975" s="3">
        <f>IF(B1975="","",SUMIFS('Factory Costs'!$C:$C,'Factory Costs'!$A:$A,"Frame",'Factory Costs'!$B:$B,B1975))</f>
        <v>45</v>
      </c>
    </row>
    <row r="1976" spans="1:3" x14ac:dyDescent="0.25">
      <c r="A1976" s="1" t="s">
        <v>12481</v>
      </c>
      <c r="B1976" s="1" t="s">
        <v>16378</v>
      </c>
      <c r="C1976" s="3">
        <f>IF(B1976="","",SUMIFS('Factory Costs'!$C:$C,'Factory Costs'!$A:$A,"Frame",'Factory Costs'!$B:$B,B1976))</f>
        <v>52</v>
      </c>
    </row>
    <row r="1977" spans="1:3" x14ac:dyDescent="0.25">
      <c r="A1977" s="1" t="s">
        <v>12484</v>
      </c>
      <c r="B1977" s="1" t="s">
        <v>16379</v>
      </c>
      <c r="C1977" s="3">
        <f>IF(B1977="","",SUMIFS('Factory Costs'!$C:$C,'Factory Costs'!$A:$A,"Frame",'Factory Costs'!$B:$B,B1977))</f>
        <v>45</v>
      </c>
    </row>
    <row r="1978" spans="1:3" x14ac:dyDescent="0.25">
      <c r="A1978" s="1" t="s">
        <v>12487</v>
      </c>
      <c r="B1978" s="1" t="s">
        <v>16379</v>
      </c>
      <c r="C1978" s="3">
        <f>IF(B1978="","",SUMIFS('Factory Costs'!$C:$C,'Factory Costs'!$A:$A,"Frame",'Factory Costs'!$B:$B,B1978))</f>
        <v>45</v>
      </c>
    </row>
    <row r="1979" spans="1:3" x14ac:dyDescent="0.25">
      <c r="A1979" s="1" t="s">
        <v>12490</v>
      </c>
      <c r="B1979" s="1" t="s">
        <v>16379</v>
      </c>
      <c r="C1979" s="3">
        <f>IF(B1979="","",SUMIFS('Factory Costs'!$C:$C,'Factory Costs'!$A:$A,"Frame",'Factory Costs'!$B:$B,B1979))</f>
        <v>45</v>
      </c>
    </row>
    <row r="1980" spans="1:3" x14ac:dyDescent="0.25">
      <c r="A1980" s="1" t="s">
        <v>12493</v>
      </c>
      <c r="B1980" s="1" t="s">
        <v>16378</v>
      </c>
      <c r="C1980" s="3">
        <f>IF(B1980="","",SUMIFS('Factory Costs'!$C:$C,'Factory Costs'!$A:$A,"Frame",'Factory Costs'!$B:$B,B1980))</f>
        <v>52</v>
      </c>
    </row>
    <row r="1981" spans="1:3" x14ac:dyDescent="0.25">
      <c r="A1981" s="1" t="s">
        <v>12496</v>
      </c>
      <c r="B1981" s="1" t="s">
        <v>16379</v>
      </c>
      <c r="C1981" s="3">
        <f>IF(B1981="","",SUMIFS('Factory Costs'!$C:$C,'Factory Costs'!$A:$A,"Frame",'Factory Costs'!$B:$B,B1981))</f>
        <v>45</v>
      </c>
    </row>
    <row r="1982" spans="1:3" x14ac:dyDescent="0.25">
      <c r="A1982" s="1" t="s">
        <v>12499</v>
      </c>
      <c r="B1982" s="1" t="s">
        <v>16379</v>
      </c>
      <c r="C1982" s="3">
        <f>IF(B1982="","",SUMIFS('Factory Costs'!$C:$C,'Factory Costs'!$A:$A,"Frame",'Factory Costs'!$B:$B,B1982))</f>
        <v>45</v>
      </c>
    </row>
    <row r="1983" spans="1:3" x14ac:dyDescent="0.25">
      <c r="A1983" s="1" t="s">
        <v>12502</v>
      </c>
      <c r="B1983" s="1" t="s">
        <v>16379</v>
      </c>
      <c r="C1983" s="3">
        <f>IF(B1983="","",SUMIFS('Factory Costs'!$C:$C,'Factory Costs'!$A:$A,"Frame",'Factory Costs'!$B:$B,B1983))</f>
        <v>45</v>
      </c>
    </row>
    <row r="1984" spans="1:3" x14ac:dyDescent="0.25">
      <c r="A1984" s="1" t="s">
        <v>12505</v>
      </c>
      <c r="B1984" s="1" t="s">
        <v>16379</v>
      </c>
      <c r="C1984" s="3">
        <f>IF(B1984="","",SUMIFS('Factory Costs'!$C:$C,'Factory Costs'!$A:$A,"Frame",'Factory Costs'!$B:$B,B1984))</f>
        <v>45</v>
      </c>
    </row>
    <row r="1985" spans="1:3" x14ac:dyDescent="0.25">
      <c r="A1985" s="1" t="s">
        <v>12508</v>
      </c>
      <c r="B1985" s="1" t="s">
        <v>16379</v>
      </c>
      <c r="C1985" s="3">
        <f>IF(B1985="","",SUMIFS('Factory Costs'!$C:$C,'Factory Costs'!$A:$A,"Frame",'Factory Costs'!$B:$B,B1985))</f>
        <v>45</v>
      </c>
    </row>
    <row r="1986" spans="1:3" x14ac:dyDescent="0.25">
      <c r="A1986" s="1" t="s">
        <v>12511</v>
      </c>
      <c r="B1986" s="1" t="s">
        <v>16377</v>
      </c>
      <c r="C1986" s="3">
        <f>IF(B1986="","",SUMIFS('Factory Costs'!$C:$C,'Factory Costs'!$A:$A,"Frame",'Factory Costs'!$B:$B,B1986))</f>
        <v>39</v>
      </c>
    </row>
    <row r="1987" spans="1:3" x14ac:dyDescent="0.25">
      <c r="A1987" s="1" t="s">
        <v>12514</v>
      </c>
      <c r="B1987" s="1" t="s">
        <v>16377</v>
      </c>
      <c r="C1987" s="3">
        <f>IF(B1987="","",SUMIFS('Factory Costs'!$C:$C,'Factory Costs'!$A:$A,"Frame",'Factory Costs'!$B:$B,B1987))</f>
        <v>39</v>
      </c>
    </row>
    <row r="1988" spans="1:3" x14ac:dyDescent="0.25">
      <c r="A1988" s="1" t="s">
        <v>12517</v>
      </c>
      <c r="B1988" s="1" t="s">
        <v>16377</v>
      </c>
      <c r="C1988" s="3">
        <f>IF(B1988="","",SUMIFS('Factory Costs'!$C:$C,'Factory Costs'!$A:$A,"Frame",'Factory Costs'!$B:$B,B1988))</f>
        <v>39</v>
      </c>
    </row>
    <row r="1989" spans="1:3" x14ac:dyDescent="0.25">
      <c r="A1989" s="1" t="s">
        <v>12520</v>
      </c>
      <c r="B1989" s="1" t="s">
        <v>16378</v>
      </c>
      <c r="C1989" s="3">
        <f>IF(B1989="","",SUMIFS('Factory Costs'!$C:$C,'Factory Costs'!$A:$A,"Frame",'Factory Costs'!$B:$B,B1989))</f>
        <v>52</v>
      </c>
    </row>
    <row r="1990" spans="1:3" x14ac:dyDescent="0.25">
      <c r="A1990" s="1" t="s">
        <v>12523</v>
      </c>
      <c r="B1990" s="1" t="s">
        <v>16379</v>
      </c>
      <c r="C1990" s="3">
        <f>IF(B1990="","",SUMIFS('Factory Costs'!$C:$C,'Factory Costs'!$A:$A,"Frame",'Factory Costs'!$B:$B,B1990))</f>
        <v>45</v>
      </c>
    </row>
    <row r="1991" spans="1:3" x14ac:dyDescent="0.25">
      <c r="A1991" s="1" t="s">
        <v>12526</v>
      </c>
      <c r="B1991" s="1" t="s">
        <v>16377</v>
      </c>
      <c r="C1991" s="3">
        <f>IF(B1991="","",SUMIFS('Factory Costs'!$C:$C,'Factory Costs'!$A:$A,"Frame",'Factory Costs'!$B:$B,B1991))</f>
        <v>39</v>
      </c>
    </row>
    <row r="1992" spans="1:3" x14ac:dyDescent="0.25">
      <c r="A1992" s="1" t="s">
        <v>12529</v>
      </c>
      <c r="B1992" s="1" t="s">
        <v>16377</v>
      </c>
      <c r="C1992" s="3">
        <f>IF(B1992="","",SUMIFS('Factory Costs'!$C:$C,'Factory Costs'!$A:$A,"Frame",'Factory Costs'!$B:$B,B1992))</f>
        <v>39</v>
      </c>
    </row>
    <row r="1993" spans="1:3" x14ac:dyDescent="0.25">
      <c r="A1993" s="1" t="s">
        <v>12532</v>
      </c>
      <c r="B1993" s="1" t="s">
        <v>16377</v>
      </c>
      <c r="C1993" s="3">
        <f>IF(B1993="","",SUMIFS('Factory Costs'!$C:$C,'Factory Costs'!$A:$A,"Frame",'Factory Costs'!$B:$B,B1993))</f>
        <v>39</v>
      </c>
    </row>
    <row r="1994" spans="1:3" x14ac:dyDescent="0.25">
      <c r="A1994" s="1" t="s">
        <v>12535</v>
      </c>
      <c r="B1994" s="1" t="s">
        <v>16377</v>
      </c>
      <c r="C1994" s="3">
        <f>IF(B1994="","",SUMIFS('Factory Costs'!$C:$C,'Factory Costs'!$A:$A,"Frame",'Factory Costs'!$B:$B,B1994))</f>
        <v>39</v>
      </c>
    </row>
    <row r="1995" spans="1:3" x14ac:dyDescent="0.25">
      <c r="A1995" s="1" t="s">
        <v>12538</v>
      </c>
      <c r="B1995" s="1" t="s">
        <v>16377</v>
      </c>
      <c r="C1995" s="3">
        <f>IF(B1995="","",SUMIFS('Factory Costs'!$C:$C,'Factory Costs'!$A:$A,"Frame",'Factory Costs'!$B:$B,B1995))</f>
        <v>39</v>
      </c>
    </row>
    <row r="1996" spans="1:3" x14ac:dyDescent="0.25">
      <c r="A1996" s="1" t="s">
        <v>12541</v>
      </c>
      <c r="B1996" s="1" t="s">
        <v>16378</v>
      </c>
      <c r="C1996" s="3">
        <f>IF(B1996="","",SUMIFS('Factory Costs'!$C:$C,'Factory Costs'!$A:$A,"Frame",'Factory Costs'!$B:$B,B1996))</f>
        <v>52</v>
      </c>
    </row>
    <row r="1997" spans="1:3" x14ac:dyDescent="0.25">
      <c r="A1997" s="1" t="s">
        <v>12544</v>
      </c>
      <c r="B1997" s="1" t="s">
        <v>16377</v>
      </c>
      <c r="C1997" s="3">
        <f>IF(B1997="","",SUMIFS('Factory Costs'!$C:$C,'Factory Costs'!$A:$A,"Frame",'Factory Costs'!$B:$B,B1997))</f>
        <v>39</v>
      </c>
    </row>
    <row r="1998" spans="1:3" x14ac:dyDescent="0.25">
      <c r="A1998" s="1" t="s">
        <v>12547</v>
      </c>
      <c r="B1998" s="1" t="s">
        <v>16377</v>
      </c>
      <c r="C1998" s="3">
        <f>IF(B1998="","",SUMIFS('Factory Costs'!$C:$C,'Factory Costs'!$A:$A,"Frame",'Factory Costs'!$B:$B,B1998))</f>
        <v>39</v>
      </c>
    </row>
    <row r="1999" spans="1:3" x14ac:dyDescent="0.25">
      <c r="A1999" s="1" t="s">
        <v>12550</v>
      </c>
      <c r="B1999" s="1" t="s">
        <v>16378</v>
      </c>
      <c r="C1999" s="3">
        <f>IF(B1999="","",SUMIFS('Factory Costs'!$C:$C,'Factory Costs'!$A:$A,"Frame",'Factory Costs'!$B:$B,B1999))</f>
        <v>52</v>
      </c>
    </row>
    <row r="2000" spans="1:3" x14ac:dyDescent="0.25">
      <c r="A2000" s="1" t="s">
        <v>12553</v>
      </c>
      <c r="B2000" s="1" t="s">
        <v>16378</v>
      </c>
      <c r="C2000" s="3">
        <f>IF(B2000="","",SUMIFS('Factory Costs'!$C:$C,'Factory Costs'!$A:$A,"Frame",'Factory Costs'!$B:$B,B2000))</f>
        <v>52</v>
      </c>
    </row>
    <row r="2001" spans="1:3" x14ac:dyDescent="0.25">
      <c r="A2001" s="1" t="s">
        <v>12556</v>
      </c>
      <c r="B2001" s="1" t="s">
        <v>16379</v>
      </c>
      <c r="C2001" s="3">
        <f>IF(B2001="","",SUMIFS('Factory Costs'!$C:$C,'Factory Costs'!$A:$A,"Frame",'Factory Costs'!$B:$B,B2001))</f>
        <v>45</v>
      </c>
    </row>
    <row r="2002" spans="1:3" x14ac:dyDescent="0.25">
      <c r="A2002" s="1" t="s">
        <v>12559</v>
      </c>
      <c r="B2002" s="1" t="s">
        <v>16378</v>
      </c>
      <c r="C2002" s="3">
        <f>IF(B2002="","",SUMIFS('Factory Costs'!$C:$C,'Factory Costs'!$A:$A,"Frame",'Factory Costs'!$B:$B,B2002))</f>
        <v>52</v>
      </c>
    </row>
    <row r="2003" spans="1:3" x14ac:dyDescent="0.25">
      <c r="A2003" s="1" t="s">
        <v>12562</v>
      </c>
      <c r="B2003" s="1" t="s">
        <v>16377</v>
      </c>
      <c r="C2003" s="3">
        <f>IF(B2003="","",SUMIFS('Factory Costs'!$C:$C,'Factory Costs'!$A:$A,"Frame",'Factory Costs'!$B:$B,B2003))</f>
        <v>39</v>
      </c>
    </row>
    <row r="2004" spans="1:3" x14ac:dyDescent="0.25">
      <c r="A2004" s="1" t="s">
        <v>12565</v>
      </c>
      <c r="B2004" s="1" t="s">
        <v>16379</v>
      </c>
      <c r="C2004" s="3">
        <f>IF(B2004="","",SUMIFS('Factory Costs'!$C:$C,'Factory Costs'!$A:$A,"Frame",'Factory Costs'!$B:$B,B2004))</f>
        <v>45</v>
      </c>
    </row>
    <row r="2005" spans="1:3" x14ac:dyDescent="0.25">
      <c r="A2005" s="1" t="s">
        <v>12568</v>
      </c>
      <c r="B2005" s="1" t="s">
        <v>16378</v>
      </c>
      <c r="C2005" s="3">
        <f>IF(B2005="","",SUMIFS('Factory Costs'!$C:$C,'Factory Costs'!$A:$A,"Frame",'Factory Costs'!$B:$B,B2005))</f>
        <v>52</v>
      </c>
    </row>
    <row r="2006" spans="1:3" x14ac:dyDescent="0.25">
      <c r="A2006" s="1" t="s">
        <v>12571</v>
      </c>
      <c r="B2006" s="1" t="s">
        <v>16378</v>
      </c>
      <c r="C2006" s="3">
        <f>IF(B2006="","",SUMIFS('Factory Costs'!$C:$C,'Factory Costs'!$A:$A,"Frame",'Factory Costs'!$B:$B,B2006))</f>
        <v>52</v>
      </c>
    </row>
    <row r="2007" spans="1:3" x14ac:dyDescent="0.25">
      <c r="A2007" s="1" t="s">
        <v>12574</v>
      </c>
      <c r="B2007" s="1" t="s">
        <v>16377</v>
      </c>
      <c r="C2007" s="3">
        <f>IF(B2007="","",SUMIFS('Factory Costs'!$C:$C,'Factory Costs'!$A:$A,"Frame",'Factory Costs'!$B:$B,B2007))</f>
        <v>39</v>
      </c>
    </row>
    <row r="2008" spans="1:3" x14ac:dyDescent="0.25">
      <c r="A2008" s="1" t="s">
        <v>12577</v>
      </c>
      <c r="B2008" s="1" t="s">
        <v>16377</v>
      </c>
      <c r="C2008" s="3">
        <f>IF(B2008="","",SUMIFS('Factory Costs'!$C:$C,'Factory Costs'!$A:$A,"Frame",'Factory Costs'!$B:$B,B2008))</f>
        <v>39</v>
      </c>
    </row>
    <row r="2009" spans="1:3" x14ac:dyDescent="0.25">
      <c r="A2009" s="1" t="s">
        <v>12580</v>
      </c>
      <c r="B2009" s="1" t="s">
        <v>16377</v>
      </c>
      <c r="C2009" s="3">
        <f>IF(B2009="","",SUMIFS('Factory Costs'!$C:$C,'Factory Costs'!$A:$A,"Frame",'Factory Costs'!$B:$B,B2009))</f>
        <v>39</v>
      </c>
    </row>
    <row r="2010" spans="1:3" x14ac:dyDescent="0.25">
      <c r="A2010" s="1" t="s">
        <v>12583</v>
      </c>
      <c r="B2010" s="1" t="s">
        <v>16377</v>
      </c>
      <c r="C2010" s="3">
        <f>IF(B2010="","",SUMIFS('Factory Costs'!$C:$C,'Factory Costs'!$A:$A,"Frame",'Factory Costs'!$B:$B,B2010))</f>
        <v>39</v>
      </c>
    </row>
    <row r="2011" spans="1:3" x14ac:dyDescent="0.25">
      <c r="A2011" s="1" t="s">
        <v>12586</v>
      </c>
      <c r="B2011" s="1" t="s">
        <v>16377</v>
      </c>
      <c r="C2011" s="3">
        <f>IF(B2011="","",SUMIFS('Factory Costs'!$C:$C,'Factory Costs'!$A:$A,"Frame",'Factory Costs'!$B:$B,B2011))</f>
        <v>39</v>
      </c>
    </row>
    <row r="2012" spans="1:3" x14ac:dyDescent="0.25">
      <c r="A2012" s="1" t="s">
        <v>12589</v>
      </c>
      <c r="B2012" s="1" t="s">
        <v>16377</v>
      </c>
      <c r="C2012" s="3">
        <f>IF(B2012="","",SUMIFS('Factory Costs'!$C:$C,'Factory Costs'!$A:$A,"Frame",'Factory Costs'!$B:$B,B2012))</f>
        <v>39</v>
      </c>
    </row>
    <row r="2013" spans="1:3" x14ac:dyDescent="0.25">
      <c r="A2013" s="1" t="s">
        <v>12592</v>
      </c>
      <c r="B2013" s="1" t="s">
        <v>16377</v>
      </c>
      <c r="C2013" s="3">
        <f>IF(B2013="","",SUMIFS('Factory Costs'!$C:$C,'Factory Costs'!$A:$A,"Frame",'Factory Costs'!$B:$B,B2013))</f>
        <v>39</v>
      </c>
    </row>
    <row r="2014" spans="1:3" x14ac:dyDescent="0.25">
      <c r="A2014" s="1" t="s">
        <v>12595</v>
      </c>
      <c r="B2014" s="1" t="s">
        <v>16377</v>
      </c>
      <c r="C2014" s="3">
        <f>IF(B2014="","",SUMIFS('Factory Costs'!$C:$C,'Factory Costs'!$A:$A,"Frame",'Factory Costs'!$B:$B,B2014))</f>
        <v>39</v>
      </c>
    </row>
    <row r="2015" spans="1:3" x14ac:dyDescent="0.25">
      <c r="A2015" s="1" t="s">
        <v>12598</v>
      </c>
      <c r="B2015" s="1" t="s">
        <v>16379</v>
      </c>
      <c r="C2015" s="3">
        <f>IF(B2015="","",SUMIFS('Factory Costs'!$C:$C,'Factory Costs'!$A:$A,"Frame",'Factory Costs'!$B:$B,B2015))</f>
        <v>45</v>
      </c>
    </row>
    <row r="2016" spans="1:3" x14ac:dyDescent="0.25">
      <c r="A2016" s="1" t="s">
        <v>12601</v>
      </c>
      <c r="B2016" s="1" t="s">
        <v>16378</v>
      </c>
      <c r="C2016" s="3">
        <f>IF(B2016="","",SUMIFS('Factory Costs'!$C:$C,'Factory Costs'!$A:$A,"Frame",'Factory Costs'!$B:$B,B2016))</f>
        <v>52</v>
      </c>
    </row>
    <row r="2017" spans="1:3" x14ac:dyDescent="0.25">
      <c r="A2017" s="1" t="s">
        <v>12604</v>
      </c>
      <c r="B2017" s="1" t="s">
        <v>16379</v>
      </c>
      <c r="C2017" s="3">
        <f>IF(B2017="","",SUMIFS('Factory Costs'!$C:$C,'Factory Costs'!$A:$A,"Frame",'Factory Costs'!$B:$B,B2017))</f>
        <v>45</v>
      </c>
    </row>
    <row r="2018" spans="1:3" x14ac:dyDescent="0.25">
      <c r="A2018" s="1" t="s">
        <v>12607</v>
      </c>
      <c r="B2018" s="1" t="s">
        <v>16377</v>
      </c>
      <c r="C2018" s="3">
        <f>IF(B2018="","",SUMIFS('Factory Costs'!$C:$C,'Factory Costs'!$A:$A,"Frame",'Factory Costs'!$B:$B,B2018))</f>
        <v>39</v>
      </c>
    </row>
    <row r="2019" spans="1:3" x14ac:dyDescent="0.25">
      <c r="A2019" s="1" t="s">
        <v>12610</v>
      </c>
      <c r="B2019" s="1" t="s">
        <v>16379</v>
      </c>
      <c r="C2019" s="3">
        <f>IF(B2019="","",SUMIFS('Factory Costs'!$C:$C,'Factory Costs'!$A:$A,"Frame",'Factory Costs'!$B:$B,B2019))</f>
        <v>45</v>
      </c>
    </row>
    <row r="2020" spans="1:3" x14ac:dyDescent="0.25">
      <c r="A2020" s="1" t="s">
        <v>12613</v>
      </c>
      <c r="B2020" s="1" t="s">
        <v>16377</v>
      </c>
      <c r="C2020" s="3">
        <f>IF(B2020="","",SUMIFS('Factory Costs'!$C:$C,'Factory Costs'!$A:$A,"Frame",'Factory Costs'!$B:$B,B2020))</f>
        <v>39</v>
      </c>
    </row>
    <row r="2021" spans="1:3" x14ac:dyDescent="0.25">
      <c r="A2021" s="1" t="s">
        <v>12616</v>
      </c>
      <c r="B2021" s="1" t="s">
        <v>16377</v>
      </c>
      <c r="C2021" s="3">
        <f>IF(B2021="","",SUMIFS('Factory Costs'!$C:$C,'Factory Costs'!$A:$A,"Frame",'Factory Costs'!$B:$B,B2021))</f>
        <v>39</v>
      </c>
    </row>
    <row r="2022" spans="1:3" x14ac:dyDescent="0.25">
      <c r="A2022" s="1" t="s">
        <v>12619</v>
      </c>
      <c r="B2022" s="1" t="s">
        <v>16378</v>
      </c>
      <c r="C2022" s="3">
        <f>IF(B2022="","",SUMIFS('Factory Costs'!$C:$C,'Factory Costs'!$A:$A,"Frame",'Factory Costs'!$B:$B,B2022))</f>
        <v>52</v>
      </c>
    </row>
    <row r="2023" spans="1:3" x14ac:dyDescent="0.25">
      <c r="A2023" s="1" t="s">
        <v>12622</v>
      </c>
      <c r="B2023" s="1" t="s">
        <v>16378</v>
      </c>
      <c r="C2023" s="3">
        <f>IF(B2023="","",SUMIFS('Factory Costs'!$C:$C,'Factory Costs'!$A:$A,"Frame",'Factory Costs'!$B:$B,B2023))</f>
        <v>52</v>
      </c>
    </row>
    <row r="2024" spans="1:3" x14ac:dyDescent="0.25">
      <c r="A2024" s="1" t="s">
        <v>12625</v>
      </c>
      <c r="B2024" s="1" t="s">
        <v>16378</v>
      </c>
      <c r="C2024" s="3">
        <f>IF(B2024="","",SUMIFS('Factory Costs'!$C:$C,'Factory Costs'!$A:$A,"Frame",'Factory Costs'!$B:$B,B2024))</f>
        <v>52</v>
      </c>
    </row>
    <row r="2025" spans="1:3" x14ac:dyDescent="0.25">
      <c r="A2025" s="1" t="s">
        <v>12628</v>
      </c>
      <c r="B2025" s="1" t="s">
        <v>16377</v>
      </c>
      <c r="C2025" s="3">
        <f>IF(B2025="","",SUMIFS('Factory Costs'!$C:$C,'Factory Costs'!$A:$A,"Frame",'Factory Costs'!$B:$B,B2025))</f>
        <v>39</v>
      </c>
    </row>
    <row r="2026" spans="1:3" x14ac:dyDescent="0.25">
      <c r="A2026" s="1" t="s">
        <v>12631</v>
      </c>
      <c r="B2026" s="1" t="s">
        <v>16378</v>
      </c>
      <c r="C2026" s="3">
        <f>IF(B2026="","",SUMIFS('Factory Costs'!$C:$C,'Factory Costs'!$A:$A,"Frame",'Factory Costs'!$B:$B,B2026))</f>
        <v>52</v>
      </c>
    </row>
    <row r="2027" spans="1:3" x14ac:dyDescent="0.25">
      <c r="A2027" s="1" t="s">
        <v>12634</v>
      </c>
      <c r="B2027" s="1" t="s">
        <v>16377</v>
      </c>
      <c r="C2027" s="3">
        <f>IF(B2027="","",SUMIFS('Factory Costs'!$C:$C,'Factory Costs'!$A:$A,"Frame",'Factory Costs'!$B:$B,B2027))</f>
        <v>39</v>
      </c>
    </row>
    <row r="2028" spans="1:3" x14ac:dyDescent="0.25">
      <c r="A2028" s="1" t="s">
        <v>12637</v>
      </c>
      <c r="B2028" s="1" t="s">
        <v>16378</v>
      </c>
      <c r="C2028" s="3">
        <f>IF(B2028="","",SUMIFS('Factory Costs'!$C:$C,'Factory Costs'!$A:$A,"Frame",'Factory Costs'!$B:$B,B2028))</f>
        <v>52</v>
      </c>
    </row>
    <row r="2029" spans="1:3" x14ac:dyDescent="0.25">
      <c r="A2029" s="1" t="s">
        <v>12640</v>
      </c>
      <c r="B2029" s="1" t="s">
        <v>16379</v>
      </c>
      <c r="C2029" s="3">
        <f>IF(B2029="","",SUMIFS('Factory Costs'!$C:$C,'Factory Costs'!$A:$A,"Frame",'Factory Costs'!$B:$B,B2029))</f>
        <v>45</v>
      </c>
    </row>
    <row r="2030" spans="1:3" x14ac:dyDescent="0.25">
      <c r="A2030" s="1" t="s">
        <v>12643</v>
      </c>
      <c r="B2030" s="1" t="s">
        <v>16377</v>
      </c>
      <c r="C2030" s="3">
        <f>IF(B2030="","",SUMIFS('Factory Costs'!$C:$C,'Factory Costs'!$A:$A,"Frame",'Factory Costs'!$B:$B,B2030))</f>
        <v>39</v>
      </c>
    </row>
    <row r="2031" spans="1:3" x14ac:dyDescent="0.25">
      <c r="A2031" s="1" t="s">
        <v>12646</v>
      </c>
      <c r="B2031" s="1" t="s">
        <v>16377</v>
      </c>
      <c r="C2031" s="3">
        <f>IF(B2031="","",SUMIFS('Factory Costs'!$C:$C,'Factory Costs'!$A:$A,"Frame",'Factory Costs'!$B:$B,B2031))</f>
        <v>39</v>
      </c>
    </row>
    <row r="2032" spans="1:3" x14ac:dyDescent="0.25">
      <c r="A2032" s="1" t="s">
        <v>12649</v>
      </c>
      <c r="B2032" s="1" t="s">
        <v>16377</v>
      </c>
      <c r="C2032" s="3">
        <f>IF(B2032="","",SUMIFS('Factory Costs'!$C:$C,'Factory Costs'!$A:$A,"Frame",'Factory Costs'!$B:$B,B2032))</f>
        <v>39</v>
      </c>
    </row>
    <row r="2033" spans="1:3" x14ac:dyDescent="0.25">
      <c r="A2033" s="1" t="s">
        <v>12652</v>
      </c>
      <c r="B2033" s="1" t="s">
        <v>16377</v>
      </c>
      <c r="C2033" s="3">
        <f>IF(B2033="","",SUMIFS('Factory Costs'!$C:$C,'Factory Costs'!$A:$A,"Frame",'Factory Costs'!$B:$B,B2033))</f>
        <v>39</v>
      </c>
    </row>
    <row r="2034" spans="1:3" x14ac:dyDescent="0.25">
      <c r="A2034" s="1" t="s">
        <v>12655</v>
      </c>
      <c r="B2034" s="1" t="s">
        <v>16379</v>
      </c>
      <c r="C2034" s="3">
        <f>IF(B2034="","",SUMIFS('Factory Costs'!$C:$C,'Factory Costs'!$A:$A,"Frame",'Factory Costs'!$B:$B,B2034))</f>
        <v>45</v>
      </c>
    </row>
    <row r="2035" spans="1:3" x14ac:dyDescent="0.25">
      <c r="A2035" s="1" t="s">
        <v>12658</v>
      </c>
      <c r="B2035" s="1" t="s">
        <v>16378</v>
      </c>
      <c r="C2035" s="3">
        <f>IF(B2035="","",SUMIFS('Factory Costs'!$C:$C,'Factory Costs'!$A:$A,"Frame",'Factory Costs'!$B:$B,B2035))</f>
        <v>52</v>
      </c>
    </row>
    <row r="2036" spans="1:3" x14ac:dyDescent="0.25">
      <c r="A2036" s="1" t="s">
        <v>12661</v>
      </c>
      <c r="B2036" s="1" t="s">
        <v>16377</v>
      </c>
      <c r="C2036" s="3">
        <f>IF(B2036="","",SUMIFS('Factory Costs'!$C:$C,'Factory Costs'!$A:$A,"Frame",'Factory Costs'!$B:$B,B2036))</f>
        <v>39</v>
      </c>
    </row>
    <row r="2037" spans="1:3" x14ac:dyDescent="0.25">
      <c r="A2037" s="1" t="s">
        <v>12664</v>
      </c>
      <c r="B2037" s="1" t="s">
        <v>16377</v>
      </c>
      <c r="C2037" s="3">
        <f>IF(B2037="","",SUMIFS('Factory Costs'!$C:$C,'Factory Costs'!$A:$A,"Frame",'Factory Costs'!$B:$B,B2037))</f>
        <v>39</v>
      </c>
    </row>
    <row r="2038" spans="1:3" x14ac:dyDescent="0.25">
      <c r="A2038" s="1" t="s">
        <v>12667</v>
      </c>
      <c r="B2038" s="1" t="s">
        <v>16378</v>
      </c>
      <c r="C2038" s="3">
        <f>IF(B2038="","",SUMIFS('Factory Costs'!$C:$C,'Factory Costs'!$A:$A,"Frame",'Factory Costs'!$B:$B,B2038))</f>
        <v>52</v>
      </c>
    </row>
    <row r="2039" spans="1:3" x14ac:dyDescent="0.25">
      <c r="A2039" s="1" t="s">
        <v>12670</v>
      </c>
      <c r="B2039" s="1" t="s">
        <v>16379</v>
      </c>
      <c r="C2039" s="3">
        <f>IF(B2039="","",SUMIFS('Factory Costs'!$C:$C,'Factory Costs'!$A:$A,"Frame",'Factory Costs'!$B:$B,B2039))</f>
        <v>45</v>
      </c>
    </row>
    <row r="2040" spans="1:3" x14ac:dyDescent="0.25">
      <c r="A2040" s="1" t="s">
        <v>12673</v>
      </c>
      <c r="B2040" s="1" t="s">
        <v>16379</v>
      </c>
      <c r="C2040" s="3">
        <f>IF(B2040="","",SUMIFS('Factory Costs'!$C:$C,'Factory Costs'!$A:$A,"Frame",'Factory Costs'!$B:$B,B2040))</f>
        <v>45</v>
      </c>
    </row>
    <row r="2041" spans="1:3" x14ac:dyDescent="0.25">
      <c r="A2041" s="1" t="s">
        <v>12676</v>
      </c>
      <c r="B2041" s="1" t="s">
        <v>16377</v>
      </c>
      <c r="C2041" s="3">
        <f>IF(B2041="","",SUMIFS('Factory Costs'!$C:$C,'Factory Costs'!$A:$A,"Frame",'Factory Costs'!$B:$B,B2041))</f>
        <v>39</v>
      </c>
    </row>
    <row r="2042" spans="1:3" x14ac:dyDescent="0.25">
      <c r="A2042" s="1" t="s">
        <v>12679</v>
      </c>
      <c r="B2042" s="1" t="s">
        <v>16378</v>
      </c>
      <c r="C2042" s="3">
        <f>IF(B2042="","",SUMIFS('Factory Costs'!$C:$C,'Factory Costs'!$A:$A,"Frame",'Factory Costs'!$B:$B,B2042))</f>
        <v>52</v>
      </c>
    </row>
    <row r="2043" spans="1:3" x14ac:dyDescent="0.25">
      <c r="A2043" s="1" t="s">
        <v>12682</v>
      </c>
      <c r="B2043" s="1" t="s">
        <v>16379</v>
      </c>
      <c r="C2043" s="3">
        <f>IF(B2043="","",SUMIFS('Factory Costs'!$C:$C,'Factory Costs'!$A:$A,"Frame",'Factory Costs'!$B:$B,B2043))</f>
        <v>45</v>
      </c>
    </row>
    <row r="2044" spans="1:3" x14ac:dyDescent="0.25">
      <c r="A2044" s="1" t="s">
        <v>12685</v>
      </c>
      <c r="B2044" s="1" t="s">
        <v>16379</v>
      </c>
      <c r="C2044" s="3">
        <f>IF(B2044="","",SUMIFS('Factory Costs'!$C:$C,'Factory Costs'!$A:$A,"Frame",'Factory Costs'!$B:$B,B2044))</f>
        <v>45</v>
      </c>
    </row>
    <row r="2045" spans="1:3" x14ac:dyDescent="0.25">
      <c r="A2045" s="1" t="s">
        <v>12688</v>
      </c>
      <c r="B2045" s="1" t="s">
        <v>16378</v>
      </c>
      <c r="C2045" s="3">
        <f>IF(B2045="","",SUMIFS('Factory Costs'!$C:$C,'Factory Costs'!$A:$A,"Frame",'Factory Costs'!$B:$B,B2045))</f>
        <v>52</v>
      </c>
    </row>
    <row r="2046" spans="1:3" x14ac:dyDescent="0.25">
      <c r="A2046" s="1" t="s">
        <v>12691</v>
      </c>
      <c r="B2046" s="1" t="s">
        <v>16379</v>
      </c>
      <c r="C2046" s="3">
        <f>IF(B2046="","",SUMIFS('Factory Costs'!$C:$C,'Factory Costs'!$A:$A,"Frame",'Factory Costs'!$B:$B,B2046))</f>
        <v>45</v>
      </c>
    </row>
    <row r="2047" spans="1:3" x14ac:dyDescent="0.25">
      <c r="A2047" s="1" t="s">
        <v>12694</v>
      </c>
      <c r="B2047" s="1" t="s">
        <v>16377</v>
      </c>
      <c r="C2047" s="3">
        <f>IF(B2047="","",SUMIFS('Factory Costs'!$C:$C,'Factory Costs'!$A:$A,"Frame",'Factory Costs'!$B:$B,B2047))</f>
        <v>39</v>
      </c>
    </row>
    <row r="2048" spans="1:3" x14ac:dyDescent="0.25">
      <c r="A2048" s="1" t="s">
        <v>12697</v>
      </c>
      <c r="B2048" s="1" t="s">
        <v>16379</v>
      </c>
      <c r="C2048" s="3">
        <f>IF(B2048="","",SUMIFS('Factory Costs'!$C:$C,'Factory Costs'!$A:$A,"Frame",'Factory Costs'!$B:$B,B2048))</f>
        <v>45</v>
      </c>
    </row>
    <row r="2049" spans="1:3" x14ac:dyDescent="0.25">
      <c r="A2049" s="1" t="s">
        <v>12700</v>
      </c>
      <c r="B2049" s="1" t="s">
        <v>16377</v>
      </c>
      <c r="C2049" s="3">
        <f>IF(B2049="","",SUMIFS('Factory Costs'!$C:$C,'Factory Costs'!$A:$A,"Frame",'Factory Costs'!$B:$B,B2049))</f>
        <v>39</v>
      </c>
    </row>
    <row r="2050" spans="1:3" x14ac:dyDescent="0.25">
      <c r="A2050" s="1" t="s">
        <v>12703</v>
      </c>
      <c r="B2050" s="1" t="s">
        <v>16377</v>
      </c>
      <c r="C2050" s="3">
        <f>IF(B2050="","",SUMIFS('Factory Costs'!$C:$C,'Factory Costs'!$A:$A,"Frame",'Factory Costs'!$B:$B,B2050))</f>
        <v>39</v>
      </c>
    </row>
    <row r="2051" spans="1:3" x14ac:dyDescent="0.25">
      <c r="A2051" s="1" t="s">
        <v>12706</v>
      </c>
      <c r="B2051" s="1" t="s">
        <v>16379</v>
      </c>
      <c r="C2051" s="3">
        <f>IF(B2051="","",SUMIFS('Factory Costs'!$C:$C,'Factory Costs'!$A:$A,"Frame",'Factory Costs'!$B:$B,B2051))</f>
        <v>45</v>
      </c>
    </row>
    <row r="2052" spans="1:3" x14ac:dyDescent="0.25">
      <c r="A2052" s="1" t="s">
        <v>12709</v>
      </c>
      <c r="B2052" s="1" t="s">
        <v>16377</v>
      </c>
      <c r="C2052" s="3">
        <f>IF(B2052="","",SUMIFS('Factory Costs'!$C:$C,'Factory Costs'!$A:$A,"Frame",'Factory Costs'!$B:$B,B2052))</f>
        <v>39</v>
      </c>
    </row>
    <row r="2053" spans="1:3" x14ac:dyDescent="0.25">
      <c r="A2053" s="1" t="s">
        <v>12712</v>
      </c>
      <c r="B2053" s="1" t="s">
        <v>16379</v>
      </c>
      <c r="C2053" s="3">
        <f>IF(B2053="","",SUMIFS('Factory Costs'!$C:$C,'Factory Costs'!$A:$A,"Frame",'Factory Costs'!$B:$B,B2053))</f>
        <v>45</v>
      </c>
    </row>
    <row r="2054" spans="1:3" x14ac:dyDescent="0.25">
      <c r="A2054" s="1" t="s">
        <v>12715</v>
      </c>
      <c r="B2054" s="1" t="s">
        <v>16378</v>
      </c>
      <c r="C2054" s="3">
        <f>IF(B2054="","",SUMIFS('Factory Costs'!$C:$C,'Factory Costs'!$A:$A,"Frame",'Factory Costs'!$B:$B,B2054))</f>
        <v>52</v>
      </c>
    </row>
    <row r="2055" spans="1:3" x14ac:dyDescent="0.25">
      <c r="A2055" s="1" t="s">
        <v>12718</v>
      </c>
      <c r="B2055" s="1" t="s">
        <v>16377</v>
      </c>
      <c r="C2055" s="3">
        <f>IF(B2055="","",SUMIFS('Factory Costs'!$C:$C,'Factory Costs'!$A:$A,"Frame",'Factory Costs'!$B:$B,B2055))</f>
        <v>39</v>
      </c>
    </row>
    <row r="2056" spans="1:3" x14ac:dyDescent="0.25">
      <c r="A2056" s="1" t="s">
        <v>12721</v>
      </c>
      <c r="B2056" s="1" t="s">
        <v>16378</v>
      </c>
      <c r="C2056" s="3">
        <f>IF(B2056="","",SUMIFS('Factory Costs'!$C:$C,'Factory Costs'!$A:$A,"Frame",'Factory Costs'!$B:$B,B2056))</f>
        <v>52</v>
      </c>
    </row>
    <row r="2057" spans="1:3" x14ac:dyDescent="0.25">
      <c r="A2057" s="1" t="s">
        <v>12724</v>
      </c>
      <c r="B2057" s="1" t="s">
        <v>16377</v>
      </c>
      <c r="C2057" s="3">
        <f>IF(B2057="","",SUMIFS('Factory Costs'!$C:$C,'Factory Costs'!$A:$A,"Frame",'Factory Costs'!$B:$B,B2057))</f>
        <v>39</v>
      </c>
    </row>
    <row r="2058" spans="1:3" x14ac:dyDescent="0.25">
      <c r="A2058" s="1" t="s">
        <v>12727</v>
      </c>
      <c r="B2058" s="1" t="s">
        <v>16379</v>
      </c>
      <c r="C2058" s="3">
        <f>IF(B2058="","",SUMIFS('Factory Costs'!$C:$C,'Factory Costs'!$A:$A,"Frame",'Factory Costs'!$B:$B,B2058))</f>
        <v>45</v>
      </c>
    </row>
    <row r="2059" spans="1:3" x14ac:dyDescent="0.25">
      <c r="A2059" s="1" t="s">
        <v>12730</v>
      </c>
      <c r="B2059" s="1" t="s">
        <v>16379</v>
      </c>
      <c r="C2059" s="3">
        <f>IF(B2059="","",SUMIFS('Factory Costs'!$C:$C,'Factory Costs'!$A:$A,"Frame",'Factory Costs'!$B:$B,B2059))</f>
        <v>45</v>
      </c>
    </row>
    <row r="2060" spans="1:3" x14ac:dyDescent="0.25">
      <c r="A2060" s="1" t="s">
        <v>12733</v>
      </c>
      <c r="B2060" s="1" t="s">
        <v>16377</v>
      </c>
      <c r="C2060" s="3">
        <f>IF(B2060="","",SUMIFS('Factory Costs'!$C:$C,'Factory Costs'!$A:$A,"Frame",'Factory Costs'!$B:$B,B2060))</f>
        <v>39</v>
      </c>
    </row>
    <row r="2061" spans="1:3" x14ac:dyDescent="0.25">
      <c r="A2061" s="1" t="s">
        <v>12736</v>
      </c>
      <c r="B2061" s="1" t="s">
        <v>16377</v>
      </c>
      <c r="C2061" s="3">
        <f>IF(B2061="","",SUMIFS('Factory Costs'!$C:$C,'Factory Costs'!$A:$A,"Frame",'Factory Costs'!$B:$B,B2061))</f>
        <v>39</v>
      </c>
    </row>
    <row r="2062" spans="1:3" x14ac:dyDescent="0.25">
      <c r="A2062" s="1" t="s">
        <v>12739</v>
      </c>
      <c r="B2062" s="1" t="s">
        <v>16378</v>
      </c>
      <c r="C2062" s="3">
        <f>IF(B2062="","",SUMIFS('Factory Costs'!$C:$C,'Factory Costs'!$A:$A,"Frame",'Factory Costs'!$B:$B,B2062))</f>
        <v>52</v>
      </c>
    </row>
    <row r="2063" spans="1:3" x14ac:dyDescent="0.25">
      <c r="A2063" s="1" t="s">
        <v>12742</v>
      </c>
      <c r="B2063" s="1" t="s">
        <v>16379</v>
      </c>
      <c r="C2063" s="3">
        <f>IF(B2063="","",SUMIFS('Factory Costs'!$C:$C,'Factory Costs'!$A:$A,"Frame",'Factory Costs'!$B:$B,B2063))</f>
        <v>45</v>
      </c>
    </row>
    <row r="2064" spans="1:3" x14ac:dyDescent="0.25">
      <c r="A2064" s="1" t="s">
        <v>12745</v>
      </c>
      <c r="B2064" s="1" t="s">
        <v>16379</v>
      </c>
      <c r="C2064" s="3">
        <f>IF(B2064="","",SUMIFS('Factory Costs'!$C:$C,'Factory Costs'!$A:$A,"Frame",'Factory Costs'!$B:$B,B2064))</f>
        <v>45</v>
      </c>
    </row>
    <row r="2065" spans="1:3" x14ac:dyDescent="0.25">
      <c r="A2065" s="1" t="s">
        <v>12748</v>
      </c>
      <c r="B2065" s="1" t="s">
        <v>16377</v>
      </c>
      <c r="C2065" s="3">
        <f>IF(B2065="","",SUMIFS('Factory Costs'!$C:$C,'Factory Costs'!$A:$A,"Frame",'Factory Costs'!$B:$B,B2065))</f>
        <v>39</v>
      </c>
    </row>
    <row r="2066" spans="1:3" x14ac:dyDescent="0.25">
      <c r="A2066" s="1" t="s">
        <v>12751</v>
      </c>
      <c r="B2066" s="1" t="s">
        <v>16377</v>
      </c>
      <c r="C2066" s="3">
        <f>IF(B2066="","",SUMIFS('Factory Costs'!$C:$C,'Factory Costs'!$A:$A,"Frame",'Factory Costs'!$B:$B,B2066))</f>
        <v>39</v>
      </c>
    </row>
    <row r="2067" spans="1:3" x14ac:dyDescent="0.25">
      <c r="A2067" s="1" t="s">
        <v>12754</v>
      </c>
      <c r="B2067" s="1" t="s">
        <v>16378</v>
      </c>
      <c r="C2067" s="3">
        <f>IF(B2067="","",SUMIFS('Factory Costs'!$C:$C,'Factory Costs'!$A:$A,"Frame",'Factory Costs'!$B:$B,B2067))</f>
        <v>52</v>
      </c>
    </row>
    <row r="2068" spans="1:3" x14ac:dyDescent="0.25">
      <c r="A2068" s="1" t="s">
        <v>12757</v>
      </c>
      <c r="B2068" s="1" t="s">
        <v>16379</v>
      </c>
      <c r="C2068" s="3">
        <f>IF(B2068="","",SUMIFS('Factory Costs'!$C:$C,'Factory Costs'!$A:$A,"Frame",'Factory Costs'!$B:$B,B2068))</f>
        <v>45</v>
      </c>
    </row>
    <row r="2069" spans="1:3" x14ac:dyDescent="0.25">
      <c r="A2069" s="1" t="s">
        <v>12760</v>
      </c>
      <c r="B2069" s="1" t="s">
        <v>16379</v>
      </c>
      <c r="C2069" s="3">
        <f>IF(B2069="","",SUMIFS('Factory Costs'!$C:$C,'Factory Costs'!$A:$A,"Frame",'Factory Costs'!$B:$B,B2069))</f>
        <v>45</v>
      </c>
    </row>
    <row r="2070" spans="1:3" x14ac:dyDescent="0.25">
      <c r="A2070" s="1" t="s">
        <v>12763</v>
      </c>
      <c r="B2070" s="1" t="s">
        <v>16379</v>
      </c>
      <c r="C2070" s="3">
        <f>IF(B2070="","",SUMIFS('Factory Costs'!$C:$C,'Factory Costs'!$A:$A,"Frame",'Factory Costs'!$B:$B,B2070))</f>
        <v>45</v>
      </c>
    </row>
    <row r="2071" spans="1:3" x14ac:dyDescent="0.25">
      <c r="A2071" s="1" t="s">
        <v>12766</v>
      </c>
      <c r="B2071" s="1" t="s">
        <v>16379</v>
      </c>
      <c r="C2071" s="3">
        <f>IF(B2071="","",SUMIFS('Factory Costs'!$C:$C,'Factory Costs'!$A:$A,"Frame",'Factory Costs'!$B:$B,B2071))</f>
        <v>45</v>
      </c>
    </row>
    <row r="2072" spans="1:3" x14ac:dyDescent="0.25">
      <c r="A2072" s="1" t="s">
        <v>12769</v>
      </c>
      <c r="B2072" s="1" t="s">
        <v>16379</v>
      </c>
      <c r="C2072" s="3">
        <f>IF(B2072="","",SUMIFS('Factory Costs'!$C:$C,'Factory Costs'!$A:$A,"Frame",'Factory Costs'!$B:$B,B2072))</f>
        <v>45</v>
      </c>
    </row>
    <row r="2073" spans="1:3" x14ac:dyDescent="0.25">
      <c r="A2073" s="1" t="s">
        <v>12772</v>
      </c>
      <c r="B2073" s="1" t="s">
        <v>16378</v>
      </c>
      <c r="C2073" s="3">
        <f>IF(B2073="","",SUMIFS('Factory Costs'!$C:$C,'Factory Costs'!$A:$A,"Frame",'Factory Costs'!$B:$B,B2073))</f>
        <v>52</v>
      </c>
    </row>
    <row r="2074" spans="1:3" x14ac:dyDescent="0.25">
      <c r="A2074" s="1" t="s">
        <v>12775</v>
      </c>
      <c r="B2074" s="1" t="s">
        <v>16379</v>
      </c>
      <c r="C2074" s="3">
        <f>IF(B2074="","",SUMIFS('Factory Costs'!$C:$C,'Factory Costs'!$A:$A,"Frame",'Factory Costs'!$B:$B,B2074))</f>
        <v>45</v>
      </c>
    </row>
    <row r="2075" spans="1:3" x14ac:dyDescent="0.25">
      <c r="A2075" s="1" t="s">
        <v>12778</v>
      </c>
      <c r="B2075" s="1" t="s">
        <v>16379</v>
      </c>
      <c r="C2075" s="3">
        <f>IF(B2075="","",SUMIFS('Factory Costs'!$C:$C,'Factory Costs'!$A:$A,"Frame",'Factory Costs'!$B:$B,B2075))</f>
        <v>45</v>
      </c>
    </row>
    <row r="2076" spans="1:3" x14ac:dyDescent="0.25">
      <c r="A2076" s="1" t="s">
        <v>12781</v>
      </c>
      <c r="B2076" s="1" t="s">
        <v>16378</v>
      </c>
      <c r="C2076" s="3">
        <f>IF(B2076="","",SUMIFS('Factory Costs'!$C:$C,'Factory Costs'!$A:$A,"Frame",'Factory Costs'!$B:$B,B2076))</f>
        <v>52</v>
      </c>
    </row>
    <row r="2077" spans="1:3" x14ac:dyDescent="0.25">
      <c r="A2077" s="1" t="s">
        <v>12784</v>
      </c>
      <c r="B2077" s="1" t="s">
        <v>16377</v>
      </c>
      <c r="C2077" s="3">
        <f>IF(B2077="","",SUMIFS('Factory Costs'!$C:$C,'Factory Costs'!$A:$A,"Frame",'Factory Costs'!$B:$B,B2077))</f>
        <v>39</v>
      </c>
    </row>
    <row r="2078" spans="1:3" x14ac:dyDescent="0.25">
      <c r="A2078" s="1" t="s">
        <v>12787</v>
      </c>
      <c r="B2078" s="1" t="s">
        <v>16379</v>
      </c>
      <c r="C2078" s="3">
        <f>IF(B2078="","",SUMIFS('Factory Costs'!$C:$C,'Factory Costs'!$A:$A,"Frame",'Factory Costs'!$B:$B,B2078))</f>
        <v>45</v>
      </c>
    </row>
    <row r="2079" spans="1:3" x14ac:dyDescent="0.25">
      <c r="A2079" s="1" t="s">
        <v>12790</v>
      </c>
      <c r="B2079" s="1" t="s">
        <v>16377</v>
      </c>
      <c r="C2079" s="3">
        <f>IF(B2079="","",SUMIFS('Factory Costs'!$C:$C,'Factory Costs'!$A:$A,"Frame",'Factory Costs'!$B:$B,B2079))</f>
        <v>39</v>
      </c>
    </row>
    <row r="2080" spans="1:3" x14ac:dyDescent="0.25">
      <c r="A2080" s="1" t="s">
        <v>12793</v>
      </c>
      <c r="B2080" s="1" t="s">
        <v>16377</v>
      </c>
      <c r="C2080" s="3">
        <f>IF(B2080="","",SUMIFS('Factory Costs'!$C:$C,'Factory Costs'!$A:$A,"Frame",'Factory Costs'!$B:$B,B2080))</f>
        <v>39</v>
      </c>
    </row>
    <row r="2081" spans="1:3" x14ac:dyDescent="0.25">
      <c r="A2081" s="1" t="s">
        <v>12796</v>
      </c>
      <c r="B2081" s="1" t="s">
        <v>16378</v>
      </c>
      <c r="C2081" s="3">
        <f>IF(B2081="","",SUMIFS('Factory Costs'!$C:$C,'Factory Costs'!$A:$A,"Frame",'Factory Costs'!$B:$B,B2081))</f>
        <v>52</v>
      </c>
    </row>
    <row r="2082" spans="1:3" x14ac:dyDescent="0.25">
      <c r="A2082" s="1" t="s">
        <v>12799</v>
      </c>
      <c r="B2082" s="1" t="s">
        <v>16377</v>
      </c>
      <c r="C2082" s="3">
        <f>IF(B2082="","",SUMIFS('Factory Costs'!$C:$C,'Factory Costs'!$A:$A,"Frame",'Factory Costs'!$B:$B,B2082))</f>
        <v>39</v>
      </c>
    </row>
    <row r="2083" spans="1:3" x14ac:dyDescent="0.25">
      <c r="A2083" s="1" t="s">
        <v>12802</v>
      </c>
      <c r="B2083" s="1" t="s">
        <v>16377</v>
      </c>
      <c r="C2083" s="3">
        <f>IF(B2083="","",SUMIFS('Factory Costs'!$C:$C,'Factory Costs'!$A:$A,"Frame",'Factory Costs'!$B:$B,B2083))</f>
        <v>39</v>
      </c>
    </row>
    <row r="2084" spans="1:3" x14ac:dyDescent="0.25">
      <c r="A2084" s="1" t="s">
        <v>12805</v>
      </c>
      <c r="B2084" s="1" t="s">
        <v>16377</v>
      </c>
      <c r="C2084" s="3">
        <f>IF(B2084="","",SUMIFS('Factory Costs'!$C:$C,'Factory Costs'!$A:$A,"Frame",'Factory Costs'!$B:$B,B2084))</f>
        <v>39</v>
      </c>
    </row>
    <row r="2085" spans="1:3" x14ac:dyDescent="0.25">
      <c r="A2085" s="1" t="s">
        <v>12808</v>
      </c>
      <c r="B2085" s="1" t="s">
        <v>16377</v>
      </c>
      <c r="C2085" s="3">
        <f>IF(B2085="","",SUMIFS('Factory Costs'!$C:$C,'Factory Costs'!$A:$A,"Frame",'Factory Costs'!$B:$B,B2085))</f>
        <v>39</v>
      </c>
    </row>
    <row r="2086" spans="1:3" x14ac:dyDescent="0.25">
      <c r="A2086" s="1" t="s">
        <v>12811</v>
      </c>
      <c r="B2086" s="1" t="s">
        <v>16378</v>
      </c>
      <c r="C2086" s="3">
        <f>IF(B2086="","",SUMIFS('Factory Costs'!$C:$C,'Factory Costs'!$A:$A,"Frame",'Factory Costs'!$B:$B,B2086))</f>
        <v>52</v>
      </c>
    </row>
    <row r="2087" spans="1:3" x14ac:dyDescent="0.25">
      <c r="A2087" s="1" t="s">
        <v>12814</v>
      </c>
      <c r="B2087" s="1" t="s">
        <v>16379</v>
      </c>
      <c r="C2087" s="3">
        <f>IF(B2087="","",SUMIFS('Factory Costs'!$C:$C,'Factory Costs'!$A:$A,"Frame",'Factory Costs'!$B:$B,B2087))</f>
        <v>45</v>
      </c>
    </row>
    <row r="2088" spans="1:3" x14ac:dyDescent="0.25">
      <c r="A2088" s="1" t="s">
        <v>12817</v>
      </c>
      <c r="B2088" s="1" t="s">
        <v>16379</v>
      </c>
      <c r="C2088" s="3">
        <f>IF(B2088="","",SUMIFS('Factory Costs'!$C:$C,'Factory Costs'!$A:$A,"Frame",'Factory Costs'!$B:$B,B2088))</f>
        <v>45</v>
      </c>
    </row>
    <row r="2089" spans="1:3" x14ac:dyDescent="0.25">
      <c r="A2089" s="1" t="s">
        <v>12820</v>
      </c>
      <c r="B2089" s="1" t="s">
        <v>16377</v>
      </c>
      <c r="C2089" s="3">
        <f>IF(B2089="","",SUMIFS('Factory Costs'!$C:$C,'Factory Costs'!$A:$A,"Frame",'Factory Costs'!$B:$B,B2089))</f>
        <v>39</v>
      </c>
    </row>
    <row r="2090" spans="1:3" x14ac:dyDescent="0.25">
      <c r="A2090" s="1" t="s">
        <v>12823</v>
      </c>
      <c r="B2090" s="1" t="s">
        <v>16377</v>
      </c>
      <c r="C2090" s="3">
        <f>IF(B2090="","",SUMIFS('Factory Costs'!$C:$C,'Factory Costs'!$A:$A,"Frame",'Factory Costs'!$B:$B,B2090))</f>
        <v>39</v>
      </c>
    </row>
    <row r="2091" spans="1:3" x14ac:dyDescent="0.25">
      <c r="A2091" s="1" t="s">
        <v>12826</v>
      </c>
      <c r="B2091" s="1" t="s">
        <v>16377</v>
      </c>
      <c r="C2091" s="3">
        <f>IF(B2091="","",SUMIFS('Factory Costs'!$C:$C,'Factory Costs'!$A:$A,"Frame",'Factory Costs'!$B:$B,B2091))</f>
        <v>39</v>
      </c>
    </row>
    <row r="2092" spans="1:3" x14ac:dyDescent="0.25">
      <c r="A2092" s="1" t="s">
        <v>12829</v>
      </c>
      <c r="B2092" s="1" t="s">
        <v>16377</v>
      </c>
      <c r="C2092" s="3">
        <f>IF(B2092="","",SUMIFS('Factory Costs'!$C:$C,'Factory Costs'!$A:$A,"Frame",'Factory Costs'!$B:$B,B2092))</f>
        <v>39</v>
      </c>
    </row>
    <row r="2093" spans="1:3" x14ac:dyDescent="0.25">
      <c r="A2093" s="1" t="s">
        <v>12832</v>
      </c>
      <c r="B2093" s="1" t="s">
        <v>16377</v>
      </c>
      <c r="C2093" s="3">
        <f>IF(B2093="","",SUMIFS('Factory Costs'!$C:$C,'Factory Costs'!$A:$A,"Frame",'Factory Costs'!$B:$B,B2093))</f>
        <v>39</v>
      </c>
    </row>
    <row r="2094" spans="1:3" x14ac:dyDescent="0.25">
      <c r="A2094" s="1" t="s">
        <v>12835</v>
      </c>
      <c r="B2094" s="1" t="s">
        <v>16378</v>
      </c>
      <c r="C2094" s="3">
        <f>IF(B2094="","",SUMIFS('Factory Costs'!$C:$C,'Factory Costs'!$A:$A,"Frame",'Factory Costs'!$B:$B,B2094))</f>
        <v>52</v>
      </c>
    </row>
    <row r="2095" spans="1:3" x14ac:dyDescent="0.25">
      <c r="A2095" s="1" t="s">
        <v>12838</v>
      </c>
      <c r="B2095" s="1" t="s">
        <v>16377</v>
      </c>
      <c r="C2095" s="3">
        <f>IF(B2095="","",SUMIFS('Factory Costs'!$C:$C,'Factory Costs'!$A:$A,"Frame",'Factory Costs'!$B:$B,B2095))</f>
        <v>39</v>
      </c>
    </row>
    <row r="2096" spans="1:3" x14ac:dyDescent="0.25">
      <c r="A2096" s="1" t="s">
        <v>12841</v>
      </c>
      <c r="B2096" s="1" t="s">
        <v>16379</v>
      </c>
      <c r="C2096" s="3">
        <f>IF(B2096="","",SUMIFS('Factory Costs'!$C:$C,'Factory Costs'!$A:$A,"Frame",'Factory Costs'!$B:$B,B2096))</f>
        <v>45</v>
      </c>
    </row>
    <row r="2097" spans="1:3" x14ac:dyDescent="0.25">
      <c r="A2097" s="1" t="s">
        <v>12844</v>
      </c>
      <c r="B2097" s="1" t="s">
        <v>16377</v>
      </c>
      <c r="C2097" s="3">
        <f>IF(B2097="","",SUMIFS('Factory Costs'!$C:$C,'Factory Costs'!$A:$A,"Frame",'Factory Costs'!$B:$B,B2097))</f>
        <v>39</v>
      </c>
    </row>
    <row r="2098" spans="1:3" x14ac:dyDescent="0.25">
      <c r="A2098" s="1" t="s">
        <v>12847</v>
      </c>
      <c r="B2098" s="1" t="s">
        <v>16378</v>
      </c>
      <c r="C2098" s="3">
        <f>IF(B2098="","",SUMIFS('Factory Costs'!$C:$C,'Factory Costs'!$A:$A,"Frame",'Factory Costs'!$B:$B,B2098))</f>
        <v>52</v>
      </c>
    </row>
    <row r="2099" spans="1:3" x14ac:dyDescent="0.25">
      <c r="A2099" s="1" t="s">
        <v>12850</v>
      </c>
      <c r="B2099" s="1" t="s">
        <v>16377</v>
      </c>
      <c r="C2099" s="3">
        <f>IF(B2099="","",SUMIFS('Factory Costs'!$C:$C,'Factory Costs'!$A:$A,"Frame",'Factory Costs'!$B:$B,B2099))</f>
        <v>39</v>
      </c>
    </row>
    <row r="2100" spans="1:3" x14ac:dyDescent="0.25">
      <c r="A2100" s="1" t="s">
        <v>12853</v>
      </c>
      <c r="B2100" s="1" t="s">
        <v>16378</v>
      </c>
      <c r="C2100" s="3">
        <f>IF(B2100="","",SUMIFS('Factory Costs'!$C:$C,'Factory Costs'!$A:$A,"Frame",'Factory Costs'!$B:$B,B2100))</f>
        <v>52</v>
      </c>
    </row>
    <row r="2101" spans="1:3" x14ac:dyDescent="0.25">
      <c r="A2101" s="1" t="s">
        <v>12856</v>
      </c>
      <c r="B2101" s="1" t="s">
        <v>16379</v>
      </c>
      <c r="C2101" s="3">
        <f>IF(B2101="","",SUMIFS('Factory Costs'!$C:$C,'Factory Costs'!$A:$A,"Frame",'Factory Costs'!$B:$B,B2101))</f>
        <v>45</v>
      </c>
    </row>
    <row r="2102" spans="1:3" x14ac:dyDescent="0.25">
      <c r="A2102" s="1" t="s">
        <v>12859</v>
      </c>
      <c r="B2102" s="1" t="s">
        <v>16378</v>
      </c>
      <c r="C2102" s="3">
        <f>IF(B2102="","",SUMIFS('Factory Costs'!$C:$C,'Factory Costs'!$A:$A,"Frame",'Factory Costs'!$B:$B,B2102))</f>
        <v>52</v>
      </c>
    </row>
    <row r="2103" spans="1:3" x14ac:dyDescent="0.25">
      <c r="A2103" s="1" t="s">
        <v>12862</v>
      </c>
      <c r="B2103" s="1" t="s">
        <v>16377</v>
      </c>
      <c r="C2103" s="3">
        <f>IF(B2103="","",SUMIFS('Factory Costs'!$C:$C,'Factory Costs'!$A:$A,"Frame",'Factory Costs'!$B:$B,B2103))</f>
        <v>39</v>
      </c>
    </row>
    <row r="2104" spans="1:3" x14ac:dyDescent="0.25">
      <c r="A2104" s="1" t="s">
        <v>12865</v>
      </c>
      <c r="B2104" s="1" t="s">
        <v>16379</v>
      </c>
      <c r="C2104" s="3">
        <f>IF(B2104="","",SUMIFS('Factory Costs'!$C:$C,'Factory Costs'!$A:$A,"Frame",'Factory Costs'!$B:$B,B2104))</f>
        <v>45</v>
      </c>
    </row>
    <row r="2105" spans="1:3" x14ac:dyDescent="0.25">
      <c r="A2105" s="1" t="s">
        <v>12868</v>
      </c>
      <c r="B2105" s="1" t="s">
        <v>16377</v>
      </c>
      <c r="C2105" s="3">
        <f>IF(B2105="","",SUMIFS('Factory Costs'!$C:$C,'Factory Costs'!$A:$A,"Frame",'Factory Costs'!$B:$B,B2105))</f>
        <v>39</v>
      </c>
    </row>
    <row r="2106" spans="1:3" x14ac:dyDescent="0.25">
      <c r="A2106" s="1" t="s">
        <v>12871</v>
      </c>
      <c r="B2106" s="1" t="s">
        <v>16377</v>
      </c>
      <c r="C2106" s="3">
        <f>IF(B2106="","",SUMIFS('Factory Costs'!$C:$C,'Factory Costs'!$A:$A,"Frame",'Factory Costs'!$B:$B,B2106))</f>
        <v>39</v>
      </c>
    </row>
    <row r="2107" spans="1:3" x14ac:dyDescent="0.25">
      <c r="A2107" s="1" t="s">
        <v>12874</v>
      </c>
      <c r="B2107" s="1" t="s">
        <v>16379</v>
      </c>
      <c r="C2107" s="3">
        <f>IF(B2107="","",SUMIFS('Factory Costs'!$C:$C,'Factory Costs'!$A:$A,"Frame",'Factory Costs'!$B:$B,B2107))</f>
        <v>45</v>
      </c>
    </row>
    <row r="2108" spans="1:3" x14ac:dyDescent="0.25">
      <c r="A2108" s="1" t="s">
        <v>12877</v>
      </c>
      <c r="B2108" s="1" t="s">
        <v>16377</v>
      </c>
      <c r="C2108" s="3">
        <f>IF(B2108="","",SUMIFS('Factory Costs'!$C:$C,'Factory Costs'!$A:$A,"Frame",'Factory Costs'!$B:$B,B2108))</f>
        <v>39</v>
      </c>
    </row>
    <row r="2109" spans="1:3" x14ac:dyDescent="0.25">
      <c r="A2109" s="1" t="s">
        <v>12880</v>
      </c>
      <c r="B2109" s="1" t="s">
        <v>16379</v>
      </c>
      <c r="C2109" s="3">
        <f>IF(B2109="","",SUMIFS('Factory Costs'!$C:$C,'Factory Costs'!$A:$A,"Frame",'Factory Costs'!$B:$B,B2109))</f>
        <v>45</v>
      </c>
    </row>
    <row r="2110" spans="1:3" x14ac:dyDescent="0.25">
      <c r="A2110" s="1" t="s">
        <v>12883</v>
      </c>
      <c r="B2110" s="1" t="s">
        <v>16377</v>
      </c>
      <c r="C2110" s="3">
        <f>IF(B2110="","",SUMIFS('Factory Costs'!$C:$C,'Factory Costs'!$A:$A,"Frame",'Factory Costs'!$B:$B,B2110))</f>
        <v>39</v>
      </c>
    </row>
    <row r="2111" spans="1:3" x14ac:dyDescent="0.25">
      <c r="A2111" s="1" t="s">
        <v>12886</v>
      </c>
      <c r="B2111" s="1" t="s">
        <v>16379</v>
      </c>
      <c r="C2111" s="3">
        <f>IF(B2111="","",SUMIFS('Factory Costs'!$C:$C,'Factory Costs'!$A:$A,"Frame",'Factory Costs'!$B:$B,B2111))</f>
        <v>45</v>
      </c>
    </row>
    <row r="2112" spans="1:3" x14ac:dyDescent="0.25">
      <c r="A2112" s="1" t="s">
        <v>12889</v>
      </c>
      <c r="B2112" s="1" t="s">
        <v>16379</v>
      </c>
      <c r="C2112" s="3">
        <f>IF(B2112="","",SUMIFS('Factory Costs'!$C:$C,'Factory Costs'!$A:$A,"Frame",'Factory Costs'!$B:$B,B2112))</f>
        <v>45</v>
      </c>
    </row>
    <row r="2113" spans="1:3" x14ac:dyDescent="0.25">
      <c r="A2113" s="1" t="s">
        <v>12892</v>
      </c>
      <c r="B2113" s="1" t="s">
        <v>16377</v>
      </c>
      <c r="C2113" s="3">
        <f>IF(B2113="","",SUMIFS('Factory Costs'!$C:$C,'Factory Costs'!$A:$A,"Frame",'Factory Costs'!$B:$B,B2113))</f>
        <v>39</v>
      </c>
    </row>
    <row r="2114" spans="1:3" x14ac:dyDescent="0.25">
      <c r="A2114" s="1" t="s">
        <v>12895</v>
      </c>
      <c r="B2114" s="1" t="s">
        <v>16377</v>
      </c>
      <c r="C2114" s="3">
        <f>IF(B2114="","",SUMIFS('Factory Costs'!$C:$C,'Factory Costs'!$A:$A,"Frame",'Factory Costs'!$B:$B,B2114))</f>
        <v>39</v>
      </c>
    </row>
    <row r="2115" spans="1:3" x14ac:dyDescent="0.25">
      <c r="A2115" s="1" t="s">
        <v>12898</v>
      </c>
      <c r="B2115" s="1" t="s">
        <v>16377</v>
      </c>
      <c r="C2115" s="3">
        <f>IF(B2115="","",SUMIFS('Factory Costs'!$C:$C,'Factory Costs'!$A:$A,"Frame",'Factory Costs'!$B:$B,B2115))</f>
        <v>39</v>
      </c>
    </row>
    <row r="2116" spans="1:3" x14ac:dyDescent="0.25">
      <c r="A2116" s="1" t="s">
        <v>12901</v>
      </c>
      <c r="B2116" s="1" t="s">
        <v>16377</v>
      </c>
      <c r="C2116" s="3">
        <f>IF(B2116="","",SUMIFS('Factory Costs'!$C:$C,'Factory Costs'!$A:$A,"Frame",'Factory Costs'!$B:$B,B2116))</f>
        <v>39</v>
      </c>
    </row>
    <row r="2117" spans="1:3" x14ac:dyDescent="0.25">
      <c r="A2117" s="1" t="s">
        <v>12904</v>
      </c>
      <c r="B2117" s="1" t="s">
        <v>16379</v>
      </c>
      <c r="C2117" s="3">
        <f>IF(B2117="","",SUMIFS('Factory Costs'!$C:$C,'Factory Costs'!$A:$A,"Frame",'Factory Costs'!$B:$B,B2117))</f>
        <v>45</v>
      </c>
    </row>
    <row r="2118" spans="1:3" x14ac:dyDescent="0.25">
      <c r="A2118" s="1" t="s">
        <v>12907</v>
      </c>
      <c r="B2118" s="1" t="s">
        <v>16379</v>
      </c>
      <c r="C2118" s="3">
        <f>IF(B2118="","",SUMIFS('Factory Costs'!$C:$C,'Factory Costs'!$A:$A,"Frame",'Factory Costs'!$B:$B,B2118))</f>
        <v>45</v>
      </c>
    </row>
    <row r="2119" spans="1:3" x14ac:dyDescent="0.25">
      <c r="A2119" s="1" t="s">
        <v>12910</v>
      </c>
      <c r="B2119" s="1" t="s">
        <v>16379</v>
      </c>
      <c r="C2119" s="3">
        <f>IF(B2119="","",SUMIFS('Factory Costs'!$C:$C,'Factory Costs'!$A:$A,"Frame",'Factory Costs'!$B:$B,B2119))</f>
        <v>45</v>
      </c>
    </row>
    <row r="2120" spans="1:3" x14ac:dyDescent="0.25">
      <c r="A2120" s="1" t="s">
        <v>12913</v>
      </c>
      <c r="B2120" s="1" t="s">
        <v>16378</v>
      </c>
      <c r="C2120" s="3">
        <f>IF(B2120="","",SUMIFS('Factory Costs'!$C:$C,'Factory Costs'!$A:$A,"Frame",'Factory Costs'!$B:$B,B2120))</f>
        <v>52</v>
      </c>
    </row>
    <row r="2121" spans="1:3" x14ac:dyDescent="0.25">
      <c r="A2121" s="1" t="s">
        <v>12916</v>
      </c>
      <c r="B2121" s="1" t="s">
        <v>16379</v>
      </c>
      <c r="C2121" s="3">
        <f>IF(B2121="","",SUMIFS('Factory Costs'!$C:$C,'Factory Costs'!$A:$A,"Frame",'Factory Costs'!$B:$B,B2121))</f>
        <v>45</v>
      </c>
    </row>
    <row r="2122" spans="1:3" x14ac:dyDescent="0.25">
      <c r="A2122" s="1" t="s">
        <v>12919</v>
      </c>
      <c r="B2122" s="1" t="s">
        <v>16378</v>
      </c>
      <c r="C2122" s="3">
        <f>IF(B2122="","",SUMIFS('Factory Costs'!$C:$C,'Factory Costs'!$A:$A,"Frame",'Factory Costs'!$B:$B,B2122))</f>
        <v>52</v>
      </c>
    </row>
    <row r="2123" spans="1:3" x14ac:dyDescent="0.25">
      <c r="A2123" s="1" t="s">
        <v>12922</v>
      </c>
      <c r="B2123" s="1" t="s">
        <v>16378</v>
      </c>
      <c r="C2123" s="3">
        <f>IF(B2123="","",SUMIFS('Factory Costs'!$C:$C,'Factory Costs'!$A:$A,"Frame",'Factory Costs'!$B:$B,B2123))</f>
        <v>52</v>
      </c>
    </row>
    <row r="2124" spans="1:3" x14ac:dyDescent="0.25">
      <c r="A2124" s="1" t="s">
        <v>12925</v>
      </c>
      <c r="B2124" s="1" t="s">
        <v>16377</v>
      </c>
      <c r="C2124" s="3">
        <f>IF(B2124="","",SUMIFS('Factory Costs'!$C:$C,'Factory Costs'!$A:$A,"Frame",'Factory Costs'!$B:$B,B2124))</f>
        <v>39</v>
      </c>
    </row>
    <row r="2125" spans="1:3" x14ac:dyDescent="0.25">
      <c r="A2125" s="1" t="s">
        <v>12928</v>
      </c>
      <c r="B2125" s="1" t="s">
        <v>16378</v>
      </c>
      <c r="C2125" s="3">
        <f>IF(B2125="","",SUMIFS('Factory Costs'!$C:$C,'Factory Costs'!$A:$A,"Frame",'Factory Costs'!$B:$B,B2125))</f>
        <v>52</v>
      </c>
    </row>
    <row r="2126" spans="1:3" x14ac:dyDescent="0.25">
      <c r="A2126" s="1" t="s">
        <v>12931</v>
      </c>
      <c r="B2126" s="1" t="s">
        <v>16379</v>
      </c>
      <c r="C2126" s="3">
        <f>IF(B2126="","",SUMIFS('Factory Costs'!$C:$C,'Factory Costs'!$A:$A,"Frame",'Factory Costs'!$B:$B,B2126))</f>
        <v>45</v>
      </c>
    </row>
    <row r="2127" spans="1:3" x14ac:dyDescent="0.25">
      <c r="A2127" s="1" t="s">
        <v>12934</v>
      </c>
      <c r="B2127" s="1" t="s">
        <v>16379</v>
      </c>
      <c r="C2127" s="3">
        <f>IF(B2127="","",SUMIFS('Factory Costs'!$C:$C,'Factory Costs'!$A:$A,"Frame",'Factory Costs'!$B:$B,B2127))</f>
        <v>45</v>
      </c>
    </row>
    <row r="2128" spans="1:3" x14ac:dyDescent="0.25">
      <c r="A2128" s="1" t="s">
        <v>12937</v>
      </c>
      <c r="B2128" s="1" t="s">
        <v>16379</v>
      </c>
      <c r="C2128" s="3">
        <f>IF(B2128="","",SUMIFS('Factory Costs'!$C:$C,'Factory Costs'!$A:$A,"Frame",'Factory Costs'!$B:$B,B2128))</f>
        <v>45</v>
      </c>
    </row>
    <row r="2129" spans="1:3" x14ac:dyDescent="0.25">
      <c r="A2129" s="1" t="s">
        <v>12940</v>
      </c>
      <c r="B2129" s="1" t="s">
        <v>16377</v>
      </c>
      <c r="C2129" s="3">
        <f>IF(B2129="","",SUMIFS('Factory Costs'!$C:$C,'Factory Costs'!$A:$A,"Frame",'Factory Costs'!$B:$B,B2129))</f>
        <v>39</v>
      </c>
    </row>
    <row r="2130" spans="1:3" x14ac:dyDescent="0.25">
      <c r="A2130" s="1" t="s">
        <v>12943</v>
      </c>
      <c r="B2130" s="1" t="s">
        <v>16377</v>
      </c>
      <c r="C2130" s="3">
        <f>IF(B2130="","",SUMIFS('Factory Costs'!$C:$C,'Factory Costs'!$A:$A,"Frame",'Factory Costs'!$B:$B,B2130))</f>
        <v>39</v>
      </c>
    </row>
    <row r="2131" spans="1:3" x14ac:dyDescent="0.25">
      <c r="A2131" s="1" t="s">
        <v>12946</v>
      </c>
      <c r="B2131" s="1" t="s">
        <v>16379</v>
      </c>
      <c r="C2131" s="3">
        <f>IF(B2131="","",SUMIFS('Factory Costs'!$C:$C,'Factory Costs'!$A:$A,"Frame",'Factory Costs'!$B:$B,B2131))</f>
        <v>45</v>
      </c>
    </row>
    <row r="2132" spans="1:3" x14ac:dyDescent="0.25">
      <c r="A2132" s="1" t="s">
        <v>12949</v>
      </c>
      <c r="B2132" s="1" t="s">
        <v>16379</v>
      </c>
      <c r="C2132" s="3">
        <f>IF(B2132="","",SUMIFS('Factory Costs'!$C:$C,'Factory Costs'!$A:$A,"Frame",'Factory Costs'!$B:$B,B2132))</f>
        <v>45</v>
      </c>
    </row>
    <row r="2133" spans="1:3" x14ac:dyDescent="0.25">
      <c r="A2133" s="1" t="s">
        <v>12952</v>
      </c>
      <c r="B2133" s="1" t="s">
        <v>16379</v>
      </c>
      <c r="C2133" s="3">
        <f>IF(B2133="","",SUMIFS('Factory Costs'!$C:$C,'Factory Costs'!$A:$A,"Frame",'Factory Costs'!$B:$B,B2133))</f>
        <v>45</v>
      </c>
    </row>
    <row r="2134" spans="1:3" x14ac:dyDescent="0.25">
      <c r="A2134" s="1" t="s">
        <v>12955</v>
      </c>
      <c r="B2134" s="1" t="s">
        <v>16377</v>
      </c>
      <c r="C2134" s="3">
        <f>IF(B2134="","",SUMIFS('Factory Costs'!$C:$C,'Factory Costs'!$A:$A,"Frame",'Factory Costs'!$B:$B,B2134))</f>
        <v>39</v>
      </c>
    </row>
    <row r="2135" spans="1:3" x14ac:dyDescent="0.25">
      <c r="A2135" s="1" t="s">
        <v>12958</v>
      </c>
      <c r="B2135" s="1" t="s">
        <v>16377</v>
      </c>
      <c r="C2135" s="3">
        <f>IF(B2135="","",SUMIFS('Factory Costs'!$C:$C,'Factory Costs'!$A:$A,"Frame",'Factory Costs'!$B:$B,B2135))</f>
        <v>39</v>
      </c>
    </row>
    <row r="2136" spans="1:3" x14ac:dyDescent="0.25">
      <c r="A2136" s="1" t="s">
        <v>12961</v>
      </c>
      <c r="B2136" s="1" t="s">
        <v>16377</v>
      </c>
      <c r="C2136" s="3">
        <f>IF(B2136="","",SUMIFS('Factory Costs'!$C:$C,'Factory Costs'!$A:$A,"Frame",'Factory Costs'!$B:$B,B2136))</f>
        <v>39</v>
      </c>
    </row>
    <row r="2137" spans="1:3" x14ac:dyDescent="0.25">
      <c r="A2137" s="1" t="s">
        <v>12964</v>
      </c>
      <c r="B2137" s="1" t="s">
        <v>16377</v>
      </c>
      <c r="C2137" s="3">
        <f>IF(B2137="","",SUMIFS('Factory Costs'!$C:$C,'Factory Costs'!$A:$A,"Frame",'Factory Costs'!$B:$B,B2137))</f>
        <v>39</v>
      </c>
    </row>
    <row r="2138" spans="1:3" x14ac:dyDescent="0.25">
      <c r="A2138" s="1" t="s">
        <v>12967</v>
      </c>
      <c r="B2138" s="1" t="s">
        <v>16377</v>
      </c>
      <c r="C2138" s="3">
        <f>IF(B2138="","",SUMIFS('Factory Costs'!$C:$C,'Factory Costs'!$A:$A,"Frame",'Factory Costs'!$B:$B,B2138))</f>
        <v>39</v>
      </c>
    </row>
    <row r="2139" spans="1:3" x14ac:dyDescent="0.25">
      <c r="A2139" s="1" t="s">
        <v>12970</v>
      </c>
      <c r="B2139" s="1" t="s">
        <v>16377</v>
      </c>
      <c r="C2139" s="3">
        <f>IF(B2139="","",SUMIFS('Factory Costs'!$C:$C,'Factory Costs'!$A:$A,"Frame",'Factory Costs'!$B:$B,B2139))</f>
        <v>39</v>
      </c>
    </row>
    <row r="2140" spans="1:3" x14ac:dyDescent="0.25">
      <c r="A2140" s="1" t="s">
        <v>12973</v>
      </c>
      <c r="B2140" s="1" t="s">
        <v>16377</v>
      </c>
      <c r="C2140" s="3">
        <f>IF(B2140="","",SUMIFS('Factory Costs'!$C:$C,'Factory Costs'!$A:$A,"Frame",'Factory Costs'!$B:$B,B2140))</f>
        <v>39</v>
      </c>
    </row>
    <row r="2141" spans="1:3" x14ac:dyDescent="0.25">
      <c r="A2141" s="1" t="s">
        <v>12976</v>
      </c>
      <c r="B2141" s="1" t="s">
        <v>16378</v>
      </c>
      <c r="C2141" s="3">
        <f>IF(B2141="","",SUMIFS('Factory Costs'!$C:$C,'Factory Costs'!$A:$A,"Frame",'Factory Costs'!$B:$B,B2141))</f>
        <v>52</v>
      </c>
    </row>
    <row r="2142" spans="1:3" x14ac:dyDescent="0.25">
      <c r="A2142" s="1" t="s">
        <v>12979</v>
      </c>
      <c r="B2142" s="1" t="s">
        <v>16379</v>
      </c>
      <c r="C2142" s="3">
        <f>IF(B2142="","",SUMIFS('Factory Costs'!$C:$C,'Factory Costs'!$A:$A,"Frame",'Factory Costs'!$B:$B,B2142))</f>
        <v>45</v>
      </c>
    </row>
    <row r="2143" spans="1:3" x14ac:dyDescent="0.25">
      <c r="A2143" s="1" t="s">
        <v>12982</v>
      </c>
      <c r="B2143" s="1" t="s">
        <v>16378</v>
      </c>
      <c r="C2143" s="3">
        <f>IF(B2143="","",SUMIFS('Factory Costs'!$C:$C,'Factory Costs'!$A:$A,"Frame",'Factory Costs'!$B:$B,B2143))</f>
        <v>52</v>
      </c>
    </row>
    <row r="2144" spans="1:3" x14ac:dyDescent="0.25">
      <c r="A2144" s="1" t="s">
        <v>12985</v>
      </c>
      <c r="B2144" s="1" t="s">
        <v>16379</v>
      </c>
      <c r="C2144" s="3">
        <f>IF(B2144="","",SUMIFS('Factory Costs'!$C:$C,'Factory Costs'!$A:$A,"Frame",'Factory Costs'!$B:$B,B2144))</f>
        <v>45</v>
      </c>
    </row>
    <row r="2145" spans="1:3" x14ac:dyDescent="0.25">
      <c r="A2145" s="1" t="s">
        <v>12988</v>
      </c>
      <c r="B2145" s="1" t="s">
        <v>16377</v>
      </c>
      <c r="C2145" s="3">
        <f>IF(B2145="","",SUMIFS('Factory Costs'!$C:$C,'Factory Costs'!$A:$A,"Frame",'Factory Costs'!$B:$B,B2145))</f>
        <v>39</v>
      </c>
    </row>
    <row r="2146" spans="1:3" x14ac:dyDescent="0.25">
      <c r="A2146" s="1" t="s">
        <v>12991</v>
      </c>
      <c r="B2146" s="1" t="s">
        <v>16377</v>
      </c>
      <c r="C2146" s="3">
        <f>IF(B2146="","",SUMIFS('Factory Costs'!$C:$C,'Factory Costs'!$A:$A,"Frame",'Factory Costs'!$B:$B,B2146))</f>
        <v>39</v>
      </c>
    </row>
    <row r="2147" spans="1:3" x14ac:dyDescent="0.25">
      <c r="A2147" s="1" t="s">
        <v>12994</v>
      </c>
      <c r="B2147" s="1" t="s">
        <v>16379</v>
      </c>
      <c r="C2147" s="3">
        <f>IF(B2147="","",SUMIFS('Factory Costs'!$C:$C,'Factory Costs'!$A:$A,"Frame",'Factory Costs'!$B:$B,B2147))</f>
        <v>45</v>
      </c>
    </row>
    <row r="2148" spans="1:3" x14ac:dyDescent="0.25">
      <c r="A2148" s="1" t="s">
        <v>12997</v>
      </c>
      <c r="B2148" s="1" t="s">
        <v>16377</v>
      </c>
      <c r="C2148" s="3">
        <f>IF(B2148="","",SUMIFS('Factory Costs'!$C:$C,'Factory Costs'!$A:$A,"Frame",'Factory Costs'!$B:$B,B2148))</f>
        <v>39</v>
      </c>
    </row>
    <row r="2149" spans="1:3" x14ac:dyDescent="0.25">
      <c r="A2149" s="1" t="s">
        <v>13000</v>
      </c>
      <c r="B2149" s="1" t="s">
        <v>16378</v>
      </c>
      <c r="C2149" s="3">
        <f>IF(B2149="","",SUMIFS('Factory Costs'!$C:$C,'Factory Costs'!$A:$A,"Frame",'Factory Costs'!$B:$B,B2149))</f>
        <v>52</v>
      </c>
    </row>
    <row r="2150" spans="1:3" x14ac:dyDescent="0.25">
      <c r="A2150" s="1" t="s">
        <v>13003</v>
      </c>
      <c r="B2150" s="1" t="s">
        <v>16378</v>
      </c>
      <c r="C2150" s="3">
        <f>IF(B2150="","",SUMIFS('Factory Costs'!$C:$C,'Factory Costs'!$A:$A,"Frame",'Factory Costs'!$B:$B,B2150))</f>
        <v>52</v>
      </c>
    </row>
    <row r="2151" spans="1:3" x14ac:dyDescent="0.25">
      <c r="A2151" s="1" t="s">
        <v>13006</v>
      </c>
      <c r="B2151" s="1" t="s">
        <v>16377</v>
      </c>
      <c r="C2151" s="3">
        <f>IF(B2151="","",SUMIFS('Factory Costs'!$C:$C,'Factory Costs'!$A:$A,"Frame",'Factory Costs'!$B:$B,B2151))</f>
        <v>39</v>
      </c>
    </row>
    <row r="2152" spans="1:3" x14ac:dyDescent="0.25">
      <c r="A2152" s="1" t="s">
        <v>13009</v>
      </c>
      <c r="B2152" s="1" t="s">
        <v>16379</v>
      </c>
      <c r="C2152" s="3">
        <f>IF(B2152="","",SUMIFS('Factory Costs'!$C:$C,'Factory Costs'!$A:$A,"Frame",'Factory Costs'!$B:$B,B2152))</f>
        <v>45</v>
      </c>
    </row>
    <row r="2153" spans="1:3" x14ac:dyDescent="0.25">
      <c r="A2153" s="1" t="s">
        <v>13012</v>
      </c>
      <c r="B2153" s="1" t="s">
        <v>16378</v>
      </c>
      <c r="C2153" s="3">
        <f>IF(B2153="","",SUMIFS('Factory Costs'!$C:$C,'Factory Costs'!$A:$A,"Frame",'Factory Costs'!$B:$B,B2153))</f>
        <v>52</v>
      </c>
    </row>
    <row r="2154" spans="1:3" x14ac:dyDescent="0.25">
      <c r="A2154" s="1" t="s">
        <v>13015</v>
      </c>
      <c r="B2154" s="1" t="s">
        <v>16379</v>
      </c>
      <c r="C2154" s="3">
        <f>IF(B2154="","",SUMIFS('Factory Costs'!$C:$C,'Factory Costs'!$A:$A,"Frame",'Factory Costs'!$B:$B,B2154))</f>
        <v>45</v>
      </c>
    </row>
    <row r="2155" spans="1:3" x14ac:dyDescent="0.25">
      <c r="A2155" s="1" t="s">
        <v>13018</v>
      </c>
      <c r="B2155" s="1" t="s">
        <v>16377</v>
      </c>
      <c r="C2155" s="3">
        <f>IF(B2155="","",SUMIFS('Factory Costs'!$C:$C,'Factory Costs'!$A:$A,"Frame",'Factory Costs'!$B:$B,B2155))</f>
        <v>39</v>
      </c>
    </row>
    <row r="2156" spans="1:3" x14ac:dyDescent="0.25">
      <c r="A2156" s="1" t="s">
        <v>13021</v>
      </c>
      <c r="B2156" s="1" t="s">
        <v>16377</v>
      </c>
      <c r="C2156" s="3">
        <f>IF(B2156="","",SUMIFS('Factory Costs'!$C:$C,'Factory Costs'!$A:$A,"Frame",'Factory Costs'!$B:$B,B2156))</f>
        <v>39</v>
      </c>
    </row>
    <row r="2157" spans="1:3" x14ac:dyDescent="0.25">
      <c r="A2157" s="1" t="s">
        <v>13024</v>
      </c>
      <c r="B2157" s="1" t="s">
        <v>16377</v>
      </c>
      <c r="C2157" s="3">
        <f>IF(B2157="","",SUMIFS('Factory Costs'!$C:$C,'Factory Costs'!$A:$A,"Frame",'Factory Costs'!$B:$B,B2157))</f>
        <v>39</v>
      </c>
    </row>
    <row r="2158" spans="1:3" x14ac:dyDescent="0.25">
      <c r="A2158" s="1" t="s">
        <v>13027</v>
      </c>
      <c r="B2158" s="1" t="s">
        <v>16378</v>
      </c>
      <c r="C2158" s="3">
        <f>IF(B2158="","",SUMIFS('Factory Costs'!$C:$C,'Factory Costs'!$A:$A,"Frame",'Factory Costs'!$B:$B,B2158))</f>
        <v>52</v>
      </c>
    </row>
    <row r="2159" spans="1:3" x14ac:dyDescent="0.25">
      <c r="A2159" s="1" t="s">
        <v>13030</v>
      </c>
      <c r="B2159" s="1" t="s">
        <v>16377</v>
      </c>
      <c r="C2159" s="3">
        <f>IF(B2159="","",SUMIFS('Factory Costs'!$C:$C,'Factory Costs'!$A:$A,"Frame",'Factory Costs'!$B:$B,B2159))</f>
        <v>39</v>
      </c>
    </row>
    <row r="2160" spans="1:3" x14ac:dyDescent="0.25">
      <c r="A2160" s="1" t="s">
        <v>13033</v>
      </c>
      <c r="B2160" s="1" t="s">
        <v>16377</v>
      </c>
      <c r="C2160" s="3">
        <f>IF(B2160="","",SUMIFS('Factory Costs'!$C:$C,'Factory Costs'!$A:$A,"Frame",'Factory Costs'!$B:$B,B2160))</f>
        <v>39</v>
      </c>
    </row>
    <row r="2161" spans="1:3" x14ac:dyDescent="0.25">
      <c r="A2161" s="1" t="s">
        <v>13036</v>
      </c>
      <c r="B2161" s="1" t="s">
        <v>16377</v>
      </c>
      <c r="C2161" s="3">
        <f>IF(B2161="","",SUMIFS('Factory Costs'!$C:$C,'Factory Costs'!$A:$A,"Frame",'Factory Costs'!$B:$B,B2161))</f>
        <v>39</v>
      </c>
    </row>
    <row r="2162" spans="1:3" x14ac:dyDescent="0.25">
      <c r="A2162" s="1" t="s">
        <v>13039</v>
      </c>
      <c r="B2162" s="1" t="s">
        <v>16379</v>
      </c>
      <c r="C2162" s="3">
        <f>IF(B2162="","",SUMIFS('Factory Costs'!$C:$C,'Factory Costs'!$A:$A,"Frame",'Factory Costs'!$B:$B,B2162))</f>
        <v>45</v>
      </c>
    </row>
    <row r="2163" spans="1:3" x14ac:dyDescent="0.25">
      <c r="A2163" s="1" t="s">
        <v>13042</v>
      </c>
      <c r="B2163" s="1" t="s">
        <v>16378</v>
      </c>
      <c r="C2163" s="3">
        <f>IF(B2163="","",SUMIFS('Factory Costs'!$C:$C,'Factory Costs'!$A:$A,"Frame",'Factory Costs'!$B:$B,B2163))</f>
        <v>52</v>
      </c>
    </row>
    <row r="2164" spans="1:3" x14ac:dyDescent="0.25">
      <c r="A2164" s="1" t="s">
        <v>13045</v>
      </c>
      <c r="B2164" s="1" t="s">
        <v>16377</v>
      </c>
      <c r="C2164" s="3">
        <f>IF(B2164="","",SUMIFS('Factory Costs'!$C:$C,'Factory Costs'!$A:$A,"Frame",'Factory Costs'!$B:$B,B2164))</f>
        <v>39</v>
      </c>
    </row>
    <row r="2165" spans="1:3" x14ac:dyDescent="0.25">
      <c r="A2165" s="1" t="s">
        <v>13048</v>
      </c>
      <c r="B2165" s="1" t="s">
        <v>16377</v>
      </c>
      <c r="C2165" s="3">
        <f>IF(B2165="","",SUMIFS('Factory Costs'!$C:$C,'Factory Costs'!$A:$A,"Frame",'Factory Costs'!$B:$B,B2165))</f>
        <v>39</v>
      </c>
    </row>
    <row r="2166" spans="1:3" x14ac:dyDescent="0.25">
      <c r="A2166" s="1" t="s">
        <v>13051</v>
      </c>
      <c r="B2166" s="1" t="s">
        <v>16377</v>
      </c>
      <c r="C2166" s="3">
        <f>IF(B2166="","",SUMIFS('Factory Costs'!$C:$C,'Factory Costs'!$A:$A,"Frame",'Factory Costs'!$B:$B,B2166))</f>
        <v>39</v>
      </c>
    </row>
    <row r="2167" spans="1:3" x14ac:dyDescent="0.25">
      <c r="A2167" s="1" t="s">
        <v>13054</v>
      </c>
      <c r="B2167" s="1" t="s">
        <v>16378</v>
      </c>
      <c r="C2167" s="3">
        <f>IF(B2167="","",SUMIFS('Factory Costs'!$C:$C,'Factory Costs'!$A:$A,"Frame",'Factory Costs'!$B:$B,B2167))</f>
        <v>52</v>
      </c>
    </row>
    <row r="2168" spans="1:3" x14ac:dyDescent="0.25">
      <c r="A2168" s="1" t="s">
        <v>13057</v>
      </c>
      <c r="B2168" s="1" t="s">
        <v>16377</v>
      </c>
      <c r="C2168" s="3">
        <f>IF(B2168="","",SUMIFS('Factory Costs'!$C:$C,'Factory Costs'!$A:$A,"Frame",'Factory Costs'!$B:$B,B2168))</f>
        <v>39</v>
      </c>
    </row>
    <row r="2169" spans="1:3" x14ac:dyDescent="0.25">
      <c r="A2169" s="1" t="s">
        <v>13060</v>
      </c>
      <c r="B2169" s="1" t="s">
        <v>16379</v>
      </c>
      <c r="C2169" s="3">
        <f>IF(B2169="","",SUMIFS('Factory Costs'!$C:$C,'Factory Costs'!$A:$A,"Frame",'Factory Costs'!$B:$B,B2169))</f>
        <v>45</v>
      </c>
    </row>
    <row r="2170" spans="1:3" x14ac:dyDescent="0.25">
      <c r="A2170" s="1" t="s">
        <v>13063</v>
      </c>
      <c r="B2170" s="1" t="s">
        <v>16377</v>
      </c>
      <c r="C2170" s="3">
        <f>IF(B2170="","",SUMIFS('Factory Costs'!$C:$C,'Factory Costs'!$A:$A,"Frame",'Factory Costs'!$B:$B,B2170))</f>
        <v>39</v>
      </c>
    </row>
    <row r="2171" spans="1:3" x14ac:dyDescent="0.25">
      <c r="A2171" s="1" t="s">
        <v>13066</v>
      </c>
      <c r="B2171" s="1" t="s">
        <v>16377</v>
      </c>
      <c r="C2171" s="3">
        <f>IF(B2171="","",SUMIFS('Factory Costs'!$C:$C,'Factory Costs'!$A:$A,"Frame",'Factory Costs'!$B:$B,B2171))</f>
        <v>39</v>
      </c>
    </row>
    <row r="2172" spans="1:3" x14ac:dyDescent="0.25">
      <c r="A2172" s="1" t="s">
        <v>13069</v>
      </c>
      <c r="B2172" s="1" t="s">
        <v>16378</v>
      </c>
      <c r="C2172" s="3">
        <f>IF(B2172="","",SUMIFS('Factory Costs'!$C:$C,'Factory Costs'!$A:$A,"Frame",'Factory Costs'!$B:$B,B2172))</f>
        <v>52</v>
      </c>
    </row>
    <row r="2173" spans="1:3" x14ac:dyDescent="0.25">
      <c r="A2173" s="1" t="s">
        <v>13072</v>
      </c>
      <c r="B2173" s="1" t="s">
        <v>16377</v>
      </c>
      <c r="C2173" s="3">
        <f>IF(B2173="","",SUMIFS('Factory Costs'!$C:$C,'Factory Costs'!$A:$A,"Frame",'Factory Costs'!$B:$B,B2173))</f>
        <v>39</v>
      </c>
    </row>
    <row r="2174" spans="1:3" x14ac:dyDescent="0.25">
      <c r="A2174" s="1" t="s">
        <v>13075</v>
      </c>
      <c r="B2174" s="1" t="s">
        <v>16379</v>
      </c>
      <c r="C2174" s="3">
        <f>IF(B2174="","",SUMIFS('Factory Costs'!$C:$C,'Factory Costs'!$A:$A,"Frame",'Factory Costs'!$B:$B,B2174))</f>
        <v>45</v>
      </c>
    </row>
    <row r="2175" spans="1:3" x14ac:dyDescent="0.25">
      <c r="A2175" s="1" t="s">
        <v>13078</v>
      </c>
      <c r="B2175" s="1" t="s">
        <v>16379</v>
      </c>
      <c r="C2175" s="3">
        <f>IF(B2175="","",SUMIFS('Factory Costs'!$C:$C,'Factory Costs'!$A:$A,"Frame",'Factory Costs'!$B:$B,B2175))</f>
        <v>45</v>
      </c>
    </row>
    <row r="2176" spans="1:3" x14ac:dyDescent="0.25">
      <c r="A2176" s="1" t="s">
        <v>13081</v>
      </c>
      <c r="B2176" s="1" t="s">
        <v>16378</v>
      </c>
      <c r="C2176" s="3">
        <f>IF(B2176="","",SUMIFS('Factory Costs'!$C:$C,'Factory Costs'!$A:$A,"Frame",'Factory Costs'!$B:$B,B2176))</f>
        <v>52</v>
      </c>
    </row>
    <row r="2177" spans="1:3" x14ac:dyDescent="0.25">
      <c r="A2177" s="1" t="s">
        <v>13084</v>
      </c>
      <c r="B2177" s="1" t="s">
        <v>16378</v>
      </c>
      <c r="C2177" s="3">
        <f>IF(B2177="","",SUMIFS('Factory Costs'!$C:$C,'Factory Costs'!$A:$A,"Frame",'Factory Costs'!$B:$B,B2177))</f>
        <v>52</v>
      </c>
    </row>
    <row r="2178" spans="1:3" x14ac:dyDescent="0.25">
      <c r="A2178" s="1" t="s">
        <v>13087</v>
      </c>
      <c r="B2178" s="1" t="s">
        <v>16377</v>
      </c>
      <c r="C2178" s="3">
        <f>IF(B2178="","",SUMIFS('Factory Costs'!$C:$C,'Factory Costs'!$A:$A,"Frame",'Factory Costs'!$B:$B,B2178))</f>
        <v>39</v>
      </c>
    </row>
    <row r="2179" spans="1:3" x14ac:dyDescent="0.25">
      <c r="A2179" s="1" t="s">
        <v>13090</v>
      </c>
      <c r="B2179" s="1" t="s">
        <v>16379</v>
      </c>
      <c r="C2179" s="3">
        <f>IF(B2179="","",SUMIFS('Factory Costs'!$C:$C,'Factory Costs'!$A:$A,"Frame",'Factory Costs'!$B:$B,B2179))</f>
        <v>45</v>
      </c>
    </row>
    <row r="2180" spans="1:3" x14ac:dyDescent="0.25">
      <c r="A2180" s="1" t="s">
        <v>13093</v>
      </c>
      <c r="B2180" s="1" t="s">
        <v>16377</v>
      </c>
      <c r="C2180" s="3">
        <f>IF(B2180="","",SUMIFS('Factory Costs'!$C:$C,'Factory Costs'!$A:$A,"Frame",'Factory Costs'!$B:$B,B2180))</f>
        <v>39</v>
      </c>
    </row>
    <row r="2181" spans="1:3" x14ac:dyDescent="0.25">
      <c r="A2181" s="1" t="s">
        <v>13096</v>
      </c>
      <c r="B2181" s="1" t="s">
        <v>16377</v>
      </c>
      <c r="C2181" s="3">
        <f>IF(B2181="","",SUMIFS('Factory Costs'!$C:$C,'Factory Costs'!$A:$A,"Frame",'Factory Costs'!$B:$B,B2181))</f>
        <v>39</v>
      </c>
    </row>
    <row r="2182" spans="1:3" x14ac:dyDescent="0.25">
      <c r="A2182" s="1" t="s">
        <v>13099</v>
      </c>
      <c r="B2182" s="1" t="s">
        <v>16379</v>
      </c>
      <c r="C2182" s="3">
        <f>IF(B2182="","",SUMIFS('Factory Costs'!$C:$C,'Factory Costs'!$A:$A,"Frame",'Factory Costs'!$B:$B,B2182))</f>
        <v>45</v>
      </c>
    </row>
    <row r="2183" spans="1:3" x14ac:dyDescent="0.25">
      <c r="A2183" s="1" t="s">
        <v>13102</v>
      </c>
      <c r="B2183" s="1" t="s">
        <v>16379</v>
      </c>
      <c r="C2183" s="3">
        <f>IF(B2183="","",SUMIFS('Factory Costs'!$C:$C,'Factory Costs'!$A:$A,"Frame",'Factory Costs'!$B:$B,B2183))</f>
        <v>45</v>
      </c>
    </row>
    <row r="2184" spans="1:3" x14ac:dyDescent="0.25">
      <c r="A2184" s="1" t="s">
        <v>13105</v>
      </c>
      <c r="B2184" s="1" t="s">
        <v>16378</v>
      </c>
      <c r="C2184" s="3">
        <f>IF(B2184="","",SUMIFS('Factory Costs'!$C:$C,'Factory Costs'!$A:$A,"Frame",'Factory Costs'!$B:$B,B2184))</f>
        <v>52</v>
      </c>
    </row>
    <row r="2185" spans="1:3" x14ac:dyDescent="0.25">
      <c r="A2185" s="1" t="s">
        <v>13108</v>
      </c>
      <c r="B2185" s="1" t="s">
        <v>16377</v>
      </c>
      <c r="C2185" s="3">
        <f>IF(B2185="","",SUMIFS('Factory Costs'!$C:$C,'Factory Costs'!$A:$A,"Frame",'Factory Costs'!$B:$B,B2185))</f>
        <v>39</v>
      </c>
    </row>
    <row r="2186" spans="1:3" x14ac:dyDescent="0.25">
      <c r="A2186" s="1" t="s">
        <v>13111</v>
      </c>
      <c r="B2186" s="1" t="s">
        <v>16379</v>
      </c>
      <c r="C2186" s="3">
        <f>IF(B2186="","",SUMIFS('Factory Costs'!$C:$C,'Factory Costs'!$A:$A,"Frame",'Factory Costs'!$B:$B,B2186))</f>
        <v>45</v>
      </c>
    </row>
    <row r="2187" spans="1:3" x14ac:dyDescent="0.25">
      <c r="A2187" s="1" t="s">
        <v>13114</v>
      </c>
      <c r="B2187" s="1" t="s">
        <v>16379</v>
      </c>
      <c r="C2187" s="3">
        <f>IF(B2187="","",SUMIFS('Factory Costs'!$C:$C,'Factory Costs'!$A:$A,"Frame",'Factory Costs'!$B:$B,B2187))</f>
        <v>45</v>
      </c>
    </row>
    <row r="2188" spans="1:3" x14ac:dyDescent="0.25">
      <c r="A2188" s="1" t="s">
        <v>13117</v>
      </c>
      <c r="B2188" s="1" t="s">
        <v>16377</v>
      </c>
      <c r="C2188" s="3">
        <f>IF(B2188="","",SUMIFS('Factory Costs'!$C:$C,'Factory Costs'!$A:$A,"Frame",'Factory Costs'!$B:$B,B2188))</f>
        <v>39</v>
      </c>
    </row>
    <row r="2189" spans="1:3" x14ac:dyDescent="0.25">
      <c r="A2189" s="1" t="s">
        <v>13120</v>
      </c>
      <c r="B2189" s="1" t="s">
        <v>16379</v>
      </c>
      <c r="C2189" s="3">
        <f>IF(B2189="","",SUMIFS('Factory Costs'!$C:$C,'Factory Costs'!$A:$A,"Frame",'Factory Costs'!$B:$B,B2189))</f>
        <v>45</v>
      </c>
    </row>
    <row r="2190" spans="1:3" x14ac:dyDescent="0.25">
      <c r="A2190" s="1" t="s">
        <v>13123</v>
      </c>
      <c r="B2190" s="1" t="s">
        <v>16377</v>
      </c>
      <c r="C2190" s="3">
        <f>IF(B2190="","",SUMIFS('Factory Costs'!$C:$C,'Factory Costs'!$A:$A,"Frame",'Factory Costs'!$B:$B,B2190))</f>
        <v>39</v>
      </c>
    </row>
    <row r="2191" spans="1:3" x14ac:dyDescent="0.25">
      <c r="A2191" s="1" t="s">
        <v>13126</v>
      </c>
      <c r="B2191" s="1" t="s">
        <v>16378</v>
      </c>
      <c r="C2191" s="3">
        <f>IF(B2191="","",SUMIFS('Factory Costs'!$C:$C,'Factory Costs'!$A:$A,"Frame",'Factory Costs'!$B:$B,B2191))</f>
        <v>52</v>
      </c>
    </row>
    <row r="2192" spans="1:3" x14ac:dyDescent="0.25">
      <c r="A2192" s="1" t="s">
        <v>13129</v>
      </c>
      <c r="B2192" s="1" t="s">
        <v>16377</v>
      </c>
      <c r="C2192" s="3">
        <f>IF(B2192="","",SUMIFS('Factory Costs'!$C:$C,'Factory Costs'!$A:$A,"Frame",'Factory Costs'!$B:$B,B2192))</f>
        <v>39</v>
      </c>
    </row>
    <row r="2193" spans="1:3" x14ac:dyDescent="0.25">
      <c r="A2193" s="1" t="s">
        <v>13132</v>
      </c>
      <c r="B2193" s="1" t="s">
        <v>16378</v>
      </c>
      <c r="C2193" s="3">
        <f>IF(B2193="","",SUMIFS('Factory Costs'!$C:$C,'Factory Costs'!$A:$A,"Frame",'Factory Costs'!$B:$B,B2193))</f>
        <v>52</v>
      </c>
    </row>
    <row r="2194" spans="1:3" x14ac:dyDescent="0.25">
      <c r="A2194" s="1" t="s">
        <v>13135</v>
      </c>
      <c r="B2194" s="1" t="s">
        <v>16378</v>
      </c>
      <c r="C2194" s="3">
        <f>IF(B2194="","",SUMIFS('Factory Costs'!$C:$C,'Factory Costs'!$A:$A,"Frame",'Factory Costs'!$B:$B,B2194))</f>
        <v>52</v>
      </c>
    </row>
    <row r="2195" spans="1:3" x14ac:dyDescent="0.25">
      <c r="A2195" s="1" t="s">
        <v>13138</v>
      </c>
      <c r="B2195" s="1" t="s">
        <v>16377</v>
      </c>
      <c r="C2195" s="3">
        <f>IF(B2195="","",SUMIFS('Factory Costs'!$C:$C,'Factory Costs'!$A:$A,"Frame",'Factory Costs'!$B:$B,B2195))</f>
        <v>39</v>
      </c>
    </row>
    <row r="2196" spans="1:3" x14ac:dyDescent="0.25">
      <c r="A2196" s="1" t="s">
        <v>13141</v>
      </c>
      <c r="B2196" s="1" t="s">
        <v>16379</v>
      </c>
      <c r="C2196" s="3">
        <f>IF(B2196="","",SUMIFS('Factory Costs'!$C:$C,'Factory Costs'!$A:$A,"Frame",'Factory Costs'!$B:$B,B2196))</f>
        <v>45</v>
      </c>
    </row>
    <row r="2197" spans="1:3" x14ac:dyDescent="0.25">
      <c r="A2197" s="1" t="s">
        <v>13144</v>
      </c>
      <c r="B2197" s="1" t="s">
        <v>16377</v>
      </c>
      <c r="C2197" s="3">
        <f>IF(B2197="","",SUMIFS('Factory Costs'!$C:$C,'Factory Costs'!$A:$A,"Frame",'Factory Costs'!$B:$B,B2197))</f>
        <v>39</v>
      </c>
    </row>
    <row r="2198" spans="1:3" x14ac:dyDescent="0.25">
      <c r="A2198" s="1" t="s">
        <v>13147</v>
      </c>
      <c r="B2198" s="1" t="s">
        <v>16378</v>
      </c>
      <c r="C2198" s="3">
        <f>IF(B2198="","",SUMIFS('Factory Costs'!$C:$C,'Factory Costs'!$A:$A,"Frame",'Factory Costs'!$B:$B,B2198))</f>
        <v>52</v>
      </c>
    </row>
    <row r="2199" spans="1:3" x14ac:dyDescent="0.25">
      <c r="A2199" s="1" t="s">
        <v>13150</v>
      </c>
      <c r="B2199" s="1" t="s">
        <v>16377</v>
      </c>
      <c r="C2199" s="3">
        <f>IF(B2199="","",SUMIFS('Factory Costs'!$C:$C,'Factory Costs'!$A:$A,"Frame",'Factory Costs'!$B:$B,B2199))</f>
        <v>39</v>
      </c>
    </row>
    <row r="2200" spans="1:3" x14ac:dyDescent="0.25">
      <c r="A2200" s="1" t="s">
        <v>13153</v>
      </c>
      <c r="B2200" s="1" t="s">
        <v>16379</v>
      </c>
      <c r="C2200" s="3">
        <f>IF(B2200="","",SUMIFS('Factory Costs'!$C:$C,'Factory Costs'!$A:$A,"Frame",'Factory Costs'!$B:$B,B2200))</f>
        <v>45</v>
      </c>
    </row>
    <row r="2201" spans="1:3" x14ac:dyDescent="0.25">
      <c r="A2201" s="1" t="s">
        <v>13156</v>
      </c>
      <c r="B2201" s="1" t="s">
        <v>16377</v>
      </c>
      <c r="C2201" s="3">
        <f>IF(B2201="","",SUMIFS('Factory Costs'!$C:$C,'Factory Costs'!$A:$A,"Frame",'Factory Costs'!$B:$B,B2201))</f>
        <v>39</v>
      </c>
    </row>
    <row r="2202" spans="1:3" x14ac:dyDescent="0.25">
      <c r="A2202" s="1" t="s">
        <v>13159</v>
      </c>
      <c r="B2202" s="1" t="s">
        <v>16377</v>
      </c>
      <c r="C2202" s="3">
        <f>IF(B2202="","",SUMIFS('Factory Costs'!$C:$C,'Factory Costs'!$A:$A,"Frame",'Factory Costs'!$B:$B,B2202))</f>
        <v>39</v>
      </c>
    </row>
    <row r="2203" spans="1:3" x14ac:dyDescent="0.25">
      <c r="A2203" s="1" t="s">
        <v>13162</v>
      </c>
      <c r="B2203" s="1" t="s">
        <v>16378</v>
      </c>
      <c r="C2203" s="3">
        <f>IF(B2203="","",SUMIFS('Factory Costs'!$C:$C,'Factory Costs'!$A:$A,"Frame",'Factory Costs'!$B:$B,B2203))</f>
        <v>52</v>
      </c>
    </row>
    <row r="2204" spans="1:3" x14ac:dyDescent="0.25">
      <c r="A2204" s="1" t="s">
        <v>13165</v>
      </c>
      <c r="B2204" s="1" t="s">
        <v>16379</v>
      </c>
      <c r="C2204" s="3">
        <f>IF(B2204="","",SUMIFS('Factory Costs'!$C:$C,'Factory Costs'!$A:$A,"Frame",'Factory Costs'!$B:$B,B2204))</f>
        <v>45</v>
      </c>
    </row>
    <row r="2205" spans="1:3" x14ac:dyDescent="0.25">
      <c r="A2205" s="1" t="s">
        <v>13168</v>
      </c>
      <c r="B2205" s="1" t="s">
        <v>16378</v>
      </c>
      <c r="C2205" s="3">
        <f>IF(B2205="","",SUMIFS('Factory Costs'!$C:$C,'Factory Costs'!$A:$A,"Frame",'Factory Costs'!$B:$B,B2205))</f>
        <v>52</v>
      </c>
    </row>
    <row r="2206" spans="1:3" x14ac:dyDescent="0.25">
      <c r="A2206" s="1" t="s">
        <v>13171</v>
      </c>
      <c r="B2206" s="1" t="s">
        <v>16377</v>
      </c>
      <c r="C2206" s="3">
        <f>IF(B2206="","",SUMIFS('Factory Costs'!$C:$C,'Factory Costs'!$A:$A,"Frame",'Factory Costs'!$B:$B,B2206))</f>
        <v>39</v>
      </c>
    </row>
    <row r="2207" spans="1:3" x14ac:dyDescent="0.25">
      <c r="A2207" s="1" t="s">
        <v>13174</v>
      </c>
      <c r="B2207" s="1" t="s">
        <v>16379</v>
      </c>
      <c r="C2207" s="3">
        <f>IF(B2207="","",SUMIFS('Factory Costs'!$C:$C,'Factory Costs'!$A:$A,"Frame",'Factory Costs'!$B:$B,B2207))</f>
        <v>45</v>
      </c>
    </row>
    <row r="2208" spans="1:3" x14ac:dyDescent="0.25">
      <c r="A2208" s="1" t="s">
        <v>13177</v>
      </c>
      <c r="B2208" s="1" t="s">
        <v>16378</v>
      </c>
      <c r="C2208" s="3">
        <f>IF(B2208="","",SUMIFS('Factory Costs'!$C:$C,'Factory Costs'!$A:$A,"Frame",'Factory Costs'!$B:$B,B2208))</f>
        <v>52</v>
      </c>
    </row>
    <row r="2209" spans="1:3" x14ac:dyDescent="0.25">
      <c r="A2209" s="1" t="s">
        <v>13180</v>
      </c>
      <c r="B2209" s="1" t="s">
        <v>16379</v>
      </c>
      <c r="C2209" s="3">
        <f>IF(B2209="","",SUMIFS('Factory Costs'!$C:$C,'Factory Costs'!$A:$A,"Frame",'Factory Costs'!$B:$B,B2209))</f>
        <v>45</v>
      </c>
    </row>
    <row r="2210" spans="1:3" x14ac:dyDescent="0.25">
      <c r="A2210" s="1" t="s">
        <v>13183</v>
      </c>
      <c r="B2210" s="1" t="s">
        <v>16377</v>
      </c>
      <c r="C2210" s="3">
        <f>IF(B2210="","",SUMIFS('Factory Costs'!$C:$C,'Factory Costs'!$A:$A,"Frame",'Factory Costs'!$B:$B,B2210))</f>
        <v>39</v>
      </c>
    </row>
    <row r="2211" spans="1:3" x14ac:dyDescent="0.25">
      <c r="A2211" s="1" t="s">
        <v>13186</v>
      </c>
      <c r="B2211" s="1" t="s">
        <v>16378</v>
      </c>
      <c r="C2211" s="3">
        <f>IF(B2211="","",SUMIFS('Factory Costs'!$C:$C,'Factory Costs'!$A:$A,"Frame",'Factory Costs'!$B:$B,B2211))</f>
        <v>52</v>
      </c>
    </row>
    <row r="2212" spans="1:3" x14ac:dyDescent="0.25">
      <c r="A2212" s="1" t="s">
        <v>13189</v>
      </c>
      <c r="B2212" s="1" t="s">
        <v>16378</v>
      </c>
      <c r="C2212" s="3">
        <f>IF(B2212="","",SUMIFS('Factory Costs'!$C:$C,'Factory Costs'!$A:$A,"Frame",'Factory Costs'!$B:$B,B2212))</f>
        <v>52</v>
      </c>
    </row>
    <row r="2213" spans="1:3" x14ac:dyDescent="0.25">
      <c r="A2213" s="1" t="s">
        <v>13192</v>
      </c>
      <c r="B2213" s="1" t="s">
        <v>16379</v>
      </c>
      <c r="C2213" s="3">
        <f>IF(B2213="","",SUMIFS('Factory Costs'!$C:$C,'Factory Costs'!$A:$A,"Frame",'Factory Costs'!$B:$B,B2213))</f>
        <v>45</v>
      </c>
    </row>
    <row r="2214" spans="1:3" x14ac:dyDescent="0.25">
      <c r="A2214" s="1" t="s">
        <v>13195</v>
      </c>
      <c r="B2214" s="1" t="s">
        <v>16377</v>
      </c>
      <c r="C2214" s="3">
        <f>IF(B2214="","",SUMIFS('Factory Costs'!$C:$C,'Factory Costs'!$A:$A,"Frame",'Factory Costs'!$B:$B,B2214))</f>
        <v>39</v>
      </c>
    </row>
    <row r="2215" spans="1:3" x14ac:dyDescent="0.25">
      <c r="A2215" s="1" t="s">
        <v>13198</v>
      </c>
      <c r="B2215" s="1" t="s">
        <v>16378</v>
      </c>
      <c r="C2215" s="3">
        <f>IF(B2215="","",SUMIFS('Factory Costs'!$C:$C,'Factory Costs'!$A:$A,"Frame",'Factory Costs'!$B:$B,B2215))</f>
        <v>52</v>
      </c>
    </row>
    <row r="2216" spans="1:3" x14ac:dyDescent="0.25">
      <c r="A2216" s="1" t="s">
        <v>13201</v>
      </c>
      <c r="B2216" s="1" t="s">
        <v>16378</v>
      </c>
      <c r="C2216" s="3">
        <f>IF(B2216="","",SUMIFS('Factory Costs'!$C:$C,'Factory Costs'!$A:$A,"Frame",'Factory Costs'!$B:$B,B2216))</f>
        <v>52</v>
      </c>
    </row>
    <row r="2217" spans="1:3" x14ac:dyDescent="0.25">
      <c r="A2217" s="1" t="s">
        <v>13204</v>
      </c>
      <c r="B2217" s="1" t="s">
        <v>16377</v>
      </c>
      <c r="C2217" s="3">
        <f>IF(B2217="","",SUMIFS('Factory Costs'!$C:$C,'Factory Costs'!$A:$A,"Frame",'Factory Costs'!$B:$B,B2217))</f>
        <v>39</v>
      </c>
    </row>
    <row r="2218" spans="1:3" x14ac:dyDescent="0.25">
      <c r="A2218" s="1" t="s">
        <v>13207</v>
      </c>
      <c r="B2218" s="1" t="s">
        <v>16377</v>
      </c>
      <c r="C2218" s="3">
        <f>IF(B2218="","",SUMIFS('Factory Costs'!$C:$C,'Factory Costs'!$A:$A,"Frame",'Factory Costs'!$B:$B,B2218))</f>
        <v>39</v>
      </c>
    </row>
    <row r="2219" spans="1:3" x14ac:dyDescent="0.25">
      <c r="A2219" s="1" t="s">
        <v>13210</v>
      </c>
      <c r="B2219" s="1" t="s">
        <v>16377</v>
      </c>
      <c r="C2219" s="3">
        <f>IF(B2219="","",SUMIFS('Factory Costs'!$C:$C,'Factory Costs'!$A:$A,"Frame",'Factory Costs'!$B:$B,B2219))</f>
        <v>39</v>
      </c>
    </row>
    <row r="2220" spans="1:3" x14ac:dyDescent="0.25">
      <c r="A2220" s="1" t="s">
        <v>13213</v>
      </c>
      <c r="B2220" s="1" t="s">
        <v>16377</v>
      </c>
      <c r="C2220" s="3">
        <f>IF(B2220="","",SUMIFS('Factory Costs'!$C:$C,'Factory Costs'!$A:$A,"Frame",'Factory Costs'!$B:$B,B2220))</f>
        <v>39</v>
      </c>
    </row>
    <row r="2221" spans="1:3" x14ac:dyDescent="0.25">
      <c r="A2221" s="1" t="s">
        <v>13216</v>
      </c>
      <c r="B2221" s="1" t="s">
        <v>16377</v>
      </c>
      <c r="C2221" s="3">
        <f>IF(B2221="","",SUMIFS('Factory Costs'!$C:$C,'Factory Costs'!$A:$A,"Frame",'Factory Costs'!$B:$B,B2221))</f>
        <v>39</v>
      </c>
    </row>
    <row r="2222" spans="1:3" x14ac:dyDescent="0.25">
      <c r="A2222" s="1" t="s">
        <v>13219</v>
      </c>
      <c r="B2222" s="1" t="s">
        <v>16378</v>
      </c>
      <c r="C2222" s="3">
        <f>IF(B2222="","",SUMIFS('Factory Costs'!$C:$C,'Factory Costs'!$A:$A,"Frame",'Factory Costs'!$B:$B,B2222))</f>
        <v>52</v>
      </c>
    </row>
    <row r="2223" spans="1:3" x14ac:dyDescent="0.25">
      <c r="A2223" s="1" t="s">
        <v>13222</v>
      </c>
      <c r="B2223" s="1" t="s">
        <v>16377</v>
      </c>
      <c r="C2223" s="3">
        <f>IF(B2223="","",SUMIFS('Factory Costs'!$C:$C,'Factory Costs'!$A:$A,"Frame",'Factory Costs'!$B:$B,B2223))</f>
        <v>39</v>
      </c>
    </row>
    <row r="2224" spans="1:3" x14ac:dyDescent="0.25">
      <c r="A2224" s="1" t="s">
        <v>13225</v>
      </c>
      <c r="B2224" s="1" t="s">
        <v>16379</v>
      </c>
      <c r="C2224" s="3">
        <f>IF(B2224="","",SUMIFS('Factory Costs'!$C:$C,'Factory Costs'!$A:$A,"Frame",'Factory Costs'!$B:$B,B2224))</f>
        <v>45</v>
      </c>
    </row>
    <row r="2225" spans="1:3" x14ac:dyDescent="0.25">
      <c r="A2225" s="1" t="s">
        <v>13228</v>
      </c>
      <c r="B2225" s="1" t="s">
        <v>16378</v>
      </c>
      <c r="C2225" s="3">
        <f>IF(B2225="","",SUMIFS('Factory Costs'!$C:$C,'Factory Costs'!$A:$A,"Frame",'Factory Costs'!$B:$B,B2225))</f>
        <v>52</v>
      </c>
    </row>
    <row r="2226" spans="1:3" x14ac:dyDescent="0.25">
      <c r="A2226" s="1" t="s">
        <v>13231</v>
      </c>
      <c r="B2226" s="1" t="s">
        <v>16378</v>
      </c>
      <c r="C2226" s="3">
        <f>IF(B2226="","",SUMIFS('Factory Costs'!$C:$C,'Factory Costs'!$A:$A,"Frame",'Factory Costs'!$B:$B,B2226))</f>
        <v>52</v>
      </c>
    </row>
    <row r="2227" spans="1:3" x14ac:dyDescent="0.25">
      <c r="A2227" s="1" t="s">
        <v>13234</v>
      </c>
      <c r="B2227" s="1" t="s">
        <v>16379</v>
      </c>
      <c r="C2227" s="3">
        <f>IF(B2227="","",SUMIFS('Factory Costs'!$C:$C,'Factory Costs'!$A:$A,"Frame",'Factory Costs'!$B:$B,B2227))</f>
        <v>45</v>
      </c>
    </row>
    <row r="2228" spans="1:3" x14ac:dyDescent="0.25">
      <c r="A2228" s="1" t="s">
        <v>13237</v>
      </c>
      <c r="B2228" s="1" t="s">
        <v>16378</v>
      </c>
      <c r="C2228" s="3">
        <f>IF(B2228="","",SUMIFS('Factory Costs'!$C:$C,'Factory Costs'!$A:$A,"Frame",'Factory Costs'!$B:$B,B2228))</f>
        <v>52</v>
      </c>
    </row>
    <row r="2229" spans="1:3" x14ac:dyDescent="0.25">
      <c r="A2229" s="1" t="s">
        <v>13240</v>
      </c>
      <c r="B2229" s="1" t="s">
        <v>16379</v>
      </c>
      <c r="C2229" s="3">
        <f>IF(B2229="","",SUMIFS('Factory Costs'!$C:$C,'Factory Costs'!$A:$A,"Frame",'Factory Costs'!$B:$B,B2229))</f>
        <v>45</v>
      </c>
    </row>
    <row r="2230" spans="1:3" x14ac:dyDescent="0.25">
      <c r="A2230" s="1" t="s">
        <v>13243</v>
      </c>
      <c r="B2230" s="1" t="s">
        <v>16377</v>
      </c>
      <c r="C2230" s="3">
        <f>IF(B2230="","",SUMIFS('Factory Costs'!$C:$C,'Factory Costs'!$A:$A,"Frame",'Factory Costs'!$B:$B,B2230))</f>
        <v>39</v>
      </c>
    </row>
    <row r="2231" spans="1:3" x14ac:dyDescent="0.25">
      <c r="A2231" s="1" t="s">
        <v>13246</v>
      </c>
      <c r="B2231" s="1" t="s">
        <v>16379</v>
      </c>
      <c r="C2231" s="3">
        <f>IF(B2231="","",SUMIFS('Factory Costs'!$C:$C,'Factory Costs'!$A:$A,"Frame",'Factory Costs'!$B:$B,B2231))</f>
        <v>45</v>
      </c>
    </row>
    <row r="2232" spans="1:3" x14ac:dyDescent="0.25">
      <c r="A2232" s="1" t="s">
        <v>13249</v>
      </c>
      <c r="B2232" s="1" t="s">
        <v>16377</v>
      </c>
      <c r="C2232" s="3">
        <f>IF(B2232="","",SUMIFS('Factory Costs'!$C:$C,'Factory Costs'!$A:$A,"Frame",'Factory Costs'!$B:$B,B2232))</f>
        <v>39</v>
      </c>
    </row>
    <row r="2233" spans="1:3" x14ac:dyDescent="0.25">
      <c r="A2233" s="1" t="s">
        <v>13252</v>
      </c>
      <c r="B2233" s="1" t="s">
        <v>16379</v>
      </c>
      <c r="C2233" s="3">
        <f>IF(B2233="","",SUMIFS('Factory Costs'!$C:$C,'Factory Costs'!$A:$A,"Frame",'Factory Costs'!$B:$B,B2233))</f>
        <v>45</v>
      </c>
    </row>
    <row r="2234" spans="1:3" x14ac:dyDescent="0.25">
      <c r="A2234" s="1" t="s">
        <v>13255</v>
      </c>
      <c r="B2234" s="1" t="s">
        <v>16379</v>
      </c>
      <c r="C2234" s="3">
        <f>IF(B2234="","",SUMIFS('Factory Costs'!$C:$C,'Factory Costs'!$A:$A,"Frame",'Factory Costs'!$B:$B,B2234))</f>
        <v>45</v>
      </c>
    </row>
    <row r="2235" spans="1:3" x14ac:dyDescent="0.25">
      <c r="A2235" s="1" t="s">
        <v>13258</v>
      </c>
      <c r="B2235" s="1" t="s">
        <v>16378</v>
      </c>
      <c r="C2235" s="3">
        <f>IF(B2235="","",SUMIFS('Factory Costs'!$C:$C,'Factory Costs'!$A:$A,"Frame",'Factory Costs'!$B:$B,B2235))</f>
        <v>52</v>
      </c>
    </row>
    <row r="2236" spans="1:3" x14ac:dyDescent="0.25">
      <c r="A2236" s="1" t="s">
        <v>13261</v>
      </c>
      <c r="B2236" s="1" t="s">
        <v>16378</v>
      </c>
      <c r="C2236" s="3">
        <f>IF(B2236="","",SUMIFS('Factory Costs'!$C:$C,'Factory Costs'!$A:$A,"Frame",'Factory Costs'!$B:$B,B2236))</f>
        <v>52</v>
      </c>
    </row>
    <row r="2237" spans="1:3" x14ac:dyDescent="0.25">
      <c r="A2237" s="1" t="s">
        <v>13264</v>
      </c>
      <c r="B2237" s="1" t="s">
        <v>16379</v>
      </c>
      <c r="C2237" s="3">
        <f>IF(B2237="","",SUMIFS('Factory Costs'!$C:$C,'Factory Costs'!$A:$A,"Frame",'Factory Costs'!$B:$B,B2237))</f>
        <v>45</v>
      </c>
    </row>
    <row r="2238" spans="1:3" x14ac:dyDescent="0.25">
      <c r="A2238" s="1" t="s">
        <v>13267</v>
      </c>
      <c r="B2238" s="1" t="s">
        <v>16379</v>
      </c>
      <c r="C2238" s="3">
        <f>IF(B2238="","",SUMIFS('Factory Costs'!$C:$C,'Factory Costs'!$A:$A,"Frame",'Factory Costs'!$B:$B,B2238))</f>
        <v>45</v>
      </c>
    </row>
    <row r="2239" spans="1:3" x14ac:dyDescent="0.25">
      <c r="A2239" s="1" t="s">
        <v>13270</v>
      </c>
      <c r="B2239" s="1" t="s">
        <v>16377</v>
      </c>
      <c r="C2239" s="3">
        <f>IF(B2239="","",SUMIFS('Factory Costs'!$C:$C,'Factory Costs'!$A:$A,"Frame",'Factory Costs'!$B:$B,B2239))</f>
        <v>39</v>
      </c>
    </row>
    <row r="2240" spans="1:3" x14ac:dyDescent="0.25">
      <c r="A2240" s="1" t="s">
        <v>13273</v>
      </c>
      <c r="B2240" s="1" t="s">
        <v>16377</v>
      </c>
      <c r="C2240" s="3">
        <f>IF(B2240="","",SUMIFS('Factory Costs'!$C:$C,'Factory Costs'!$A:$A,"Frame",'Factory Costs'!$B:$B,B2240))</f>
        <v>39</v>
      </c>
    </row>
    <row r="2241" spans="1:3" x14ac:dyDescent="0.25">
      <c r="A2241" s="1" t="s">
        <v>13276</v>
      </c>
      <c r="B2241" s="1" t="s">
        <v>16377</v>
      </c>
      <c r="C2241" s="3">
        <f>IF(B2241="","",SUMIFS('Factory Costs'!$C:$C,'Factory Costs'!$A:$A,"Frame",'Factory Costs'!$B:$B,B2241))</f>
        <v>39</v>
      </c>
    </row>
    <row r="2242" spans="1:3" x14ac:dyDescent="0.25">
      <c r="A2242" s="1" t="s">
        <v>13279</v>
      </c>
      <c r="B2242" s="1" t="s">
        <v>16379</v>
      </c>
      <c r="C2242" s="3">
        <f>IF(B2242="","",SUMIFS('Factory Costs'!$C:$C,'Factory Costs'!$A:$A,"Frame",'Factory Costs'!$B:$B,B2242))</f>
        <v>45</v>
      </c>
    </row>
    <row r="2243" spans="1:3" x14ac:dyDescent="0.25">
      <c r="A2243" s="1" t="s">
        <v>13282</v>
      </c>
      <c r="B2243" s="1" t="s">
        <v>16377</v>
      </c>
      <c r="C2243" s="3">
        <f>IF(B2243="","",SUMIFS('Factory Costs'!$C:$C,'Factory Costs'!$A:$A,"Frame",'Factory Costs'!$B:$B,B2243))</f>
        <v>39</v>
      </c>
    </row>
    <row r="2244" spans="1:3" x14ac:dyDescent="0.25">
      <c r="A2244" s="1" t="s">
        <v>13285</v>
      </c>
      <c r="B2244" s="1" t="s">
        <v>16378</v>
      </c>
      <c r="C2244" s="3">
        <f>IF(B2244="","",SUMIFS('Factory Costs'!$C:$C,'Factory Costs'!$A:$A,"Frame",'Factory Costs'!$B:$B,B2244))</f>
        <v>52</v>
      </c>
    </row>
    <row r="2245" spans="1:3" x14ac:dyDescent="0.25">
      <c r="A2245" s="1" t="s">
        <v>13288</v>
      </c>
      <c r="B2245" s="1" t="s">
        <v>16377</v>
      </c>
      <c r="C2245" s="3">
        <f>IF(B2245="","",SUMIFS('Factory Costs'!$C:$C,'Factory Costs'!$A:$A,"Frame",'Factory Costs'!$B:$B,B2245))</f>
        <v>39</v>
      </c>
    </row>
    <row r="2246" spans="1:3" x14ac:dyDescent="0.25">
      <c r="A2246" s="1" t="s">
        <v>13291</v>
      </c>
      <c r="B2246" s="1" t="s">
        <v>16378</v>
      </c>
      <c r="C2246" s="3">
        <f>IF(B2246="","",SUMIFS('Factory Costs'!$C:$C,'Factory Costs'!$A:$A,"Frame",'Factory Costs'!$B:$B,B2246))</f>
        <v>52</v>
      </c>
    </row>
    <row r="2247" spans="1:3" x14ac:dyDescent="0.25">
      <c r="A2247" s="1" t="s">
        <v>13294</v>
      </c>
      <c r="B2247" s="1" t="s">
        <v>16377</v>
      </c>
      <c r="C2247" s="3">
        <f>IF(B2247="","",SUMIFS('Factory Costs'!$C:$C,'Factory Costs'!$A:$A,"Frame",'Factory Costs'!$B:$B,B2247))</f>
        <v>39</v>
      </c>
    </row>
    <row r="2248" spans="1:3" x14ac:dyDescent="0.25">
      <c r="A2248" s="1" t="s">
        <v>13297</v>
      </c>
      <c r="B2248" s="1" t="s">
        <v>16378</v>
      </c>
      <c r="C2248" s="3">
        <f>IF(B2248="","",SUMIFS('Factory Costs'!$C:$C,'Factory Costs'!$A:$A,"Frame",'Factory Costs'!$B:$B,B2248))</f>
        <v>52</v>
      </c>
    </row>
    <row r="2249" spans="1:3" x14ac:dyDescent="0.25">
      <c r="A2249" s="1" t="s">
        <v>13300</v>
      </c>
      <c r="B2249" s="1" t="s">
        <v>16377</v>
      </c>
      <c r="C2249" s="3">
        <f>IF(B2249="","",SUMIFS('Factory Costs'!$C:$C,'Factory Costs'!$A:$A,"Frame",'Factory Costs'!$B:$B,B2249))</f>
        <v>39</v>
      </c>
    </row>
    <row r="2250" spans="1:3" x14ac:dyDescent="0.25">
      <c r="A2250" s="1" t="s">
        <v>13303</v>
      </c>
      <c r="B2250" s="1" t="s">
        <v>16379</v>
      </c>
      <c r="C2250" s="3">
        <f>IF(B2250="","",SUMIFS('Factory Costs'!$C:$C,'Factory Costs'!$A:$A,"Frame",'Factory Costs'!$B:$B,B2250))</f>
        <v>45</v>
      </c>
    </row>
    <row r="2251" spans="1:3" x14ac:dyDescent="0.25">
      <c r="A2251" s="1" t="s">
        <v>13306</v>
      </c>
      <c r="B2251" s="1" t="s">
        <v>16377</v>
      </c>
      <c r="C2251" s="3">
        <f>IF(B2251="","",SUMIFS('Factory Costs'!$C:$C,'Factory Costs'!$A:$A,"Frame",'Factory Costs'!$B:$B,B2251))</f>
        <v>39</v>
      </c>
    </row>
    <row r="2252" spans="1:3" x14ac:dyDescent="0.25">
      <c r="A2252" s="1" t="s">
        <v>13309</v>
      </c>
      <c r="B2252" s="1" t="s">
        <v>16377</v>
      </c>
      <c r="C2252" s="3">
        <f>IF(B2252="","",SUMIFS('Factory Costs'!$C:$C,'Factory Costs'!$A:$A,"Frame",'Factory Costs'!$B:$B,B2252))</f>
        <v>39</v>
      </c>
    </row>
    <row r="2253" spans="1:3" x14ac:dyDescent="0.25">
      <c r="A2253" s="1" t="s">
        <v>13312</v>
      </c>
      <c r="B2253" s="1" t="s">
        <v>16377</v>
      </c>
      <c r="C2253" s="3">
        <f>IF(B2253="","",SUMIFS('Factory Costs'!$C:$C,'Factory Costs'!$A:$A,"Frame",'Factory Costs'!$B:$B,B2253))</f>
        <v>39</v>
      </c>
    </row>
    <row r="2254" spans="1:3" x14ac:dyDescent="0.25">
      <c r="A2254" s="1" t="s">
        <v>13315</v>
      </c>
      <c r="B2254" s="1" t="s">
        <v>16377</v>
      </c>
      <c r="C2254" s="3">
        <f>IF(B2254="","",SUMIFS('Factory Costs'!$C:$C,'Factory Costs'!$A:$A,"Frame",'Factory Costs'!$B:$B,B2254))</f>
        <v>39</v>
      </c>
    </row>
    <row r="2255" spans="1:3" x14ac:dyDescent="0.25">
      <c r="A2255" s="1" t="s">
        <v>13318</v>
      </c>
      <c r="B2255" s="1" t="s">
        <v>16377</v>
      </c>
      <c r="C2255" s="3">
        <f>IF(B2255="","",SUMIFS('Factory Costs'!$C:$C,'Factory Costs'!$A:$A,"Frame",'Factory Costs'!$B:$B,B2255))</f>
        <v>39</v>
      </c>
    </row>
    <row r="2256" spans="1:3" x14ac:dyDescent="0.25">
      <c r="A2256" s="1" t="s">
        <v>13321</v>
      </c>
      <c r="B2256" s="1" t="s">
        <v>16379</v>
      </c>
      <c r="C2256" s="3">
        <f>IF(B2256="","",SUMIFS('Factory Costs'!$C:$C,'Factory Costs'!$A:$A,"Frame",'Factory Costs'!$B:$B,B2256))</f>
        <v>45</v>
      </c>
    </row>
    <row r="2257" spans="1:3" x14ac:dyDescent="0.25">
      <c r="A2257" s="1" t="s">
        <v>13324</v>
      </c>
      <c r="B2257" s="1" t="s">
        <v>16377</v>
      </c>
      <c r="C2257" s="3">
        <f>IF(B2257="","",SUMIFS('Factory Costs'!$C:$C,'Factory Costs'!$A:$A,"Frame",'Factory Costs'!$B:$B,B2257))</f>
        <v>39</v>
      </c>
    </row>
    <row r="2258" spans="1:3" x14ac:dyDescent="0.25">
      <c r="A2258" s="1" t="s">
        <v>13327</v>
      </c>
      <c r="B2258" s="1" t="s">
        <v>16377</v>
      </c>
      <c r="C2258" s="3">
        <f>IF(B2258="","",SUMIFS('Factory Costs'!$C:$C,'Factory Costs'!$A:$A,"Frame",'Factory Costs'!$B:$B,B2258))</f>
        <v>39</v>
      </c>
    </row>
    <row r="2259" spans="1:3" x14ac:dyDescent="0.25">
      <c r="A2259" s="1" t="s">
        <v>13330</v>
      </c>
      <c r="B2259" s="1" t="s">
        <v>16379</v>
      </c>
      <c r="C2259" s="3">
        <f>IF(B2259="","",SUMIFS('Factory Costs'!$C:$C,'Factory Costs'!$A:$A,"Frame",'Factory Costs'!$B:$B,B2259))</f>
        <v>45</v>
      </c>
    </row>
    <row r="2260" spans="1:3" x14ac:dyDescent="0.25">
      <c r="A2260" s="1" t="s">
        <v>13333</v>
      </c>
      <c r="B2260" s="1" t="s">
        <v>16379</v>
      </c>
      <c r="C2260" s="3">
        <f>IF(B2260="","",SUMIFS('Factory Costs'!$C:$C,'Factory Costs'!$A:$A,"Frame",'Factory Costs'!$B:$B,B2260))</f>
        <v>45</v>
      </c>
    </row>
    <row r="2261" spans="1:3" x14ac:dyDescent="0.25">
      <c r="A2261" s="1" t="s">
        <v>13336</v>
      </c>
      <c r="B2261" s="1" t="s">
        <v>16378</v>
      </c>
      <c r="C2261" s="3">
        <f>IF(B2261="","",SUMIFS('Factory Costs'!$C:$C,'Factory Costs'!$A:$A,"Frame",'Factory Costs'!$B:$B,B2261))</f>
        <v>52</v>
      </c>
    </row>
    <row r="2262" spans="1:3" x14ac:dyDescent="0.25">
      <c r="A2262" s="1" t="s">
        <v>13339</v>
      </c>
      <c r="B2262" s="1" t="s">
        <v>16377</v>
      </c>
      <c r="C2262" s="3">
        <f>IF(B2262="","",SUMIFS('Factory Costs'!$C:$C,'Factory Costs'!$A:$A,"Frame",'Factory Costs'!$B:$B,B2262))</f>
        <v>39</v>
      </c>
    </row>
    <row r="2263" spans="1:3" x14ac:dyDescent="0.25">
      <c r="A2263" s="1" t="s">
        <v>13342</v>
      </c>
      <c r="B2263" s="1" t="s">
        <v>16378</v>
      </c>
      <c r="C2263" s="3">
        <f>IF(B2263="","",SUMIFS('Factory Costs'!$C:$C,'Factory Costs'!$A:$A,"Frame",'Factory Costs'!$B:$B,B2263))</f>
        <v>52</v>
      </c>
    </row>
    <row r="2264" spans="1:3" x14ac:dyDescent="0.25">
      <c r="A2264" s="1" t="s">
        <v>13345</v>
      </c>
      <c r="B2264" s="1" t="s">
        <v>16377</v>
      </c>
      <c r="C2264" s="3">
        <f>IF(B2264="","",SUMIFS('Factory Costs'!$C:$C,'Factory Costs'!$A:$A,"Frame",'Factory Costs'!$B:$B,B2264))</f>
        <v>39</v>
      </c>
    </row>
    <row r="2265" spans="1:3" x14ac:dyDescent="0.25">
      <c r="A2265" s="1" t="s">
        <v>13348</v>
      </c>
      <c r="B2265" s="1" t="s">
        <v>16377</v>
      </c>
      <c r="C2265" s="3">
        <f>IF(B2265="","",SUMIFS('Factory Costs'!$C:$C,'Factory Costs'!$A:$A,"Frame",'Factory Costs'!$B:$B,B2265))</f>
        <v>39</v>
      </c>
    </row>
    <row r="2266" spans="1:3" x14ac:dyDescent="0.25">
      <c r="A2266" s="1" t="s">
        <v>13351</v>
      </c>
      <c r="B2266" s="1" t="s">
        <v>16377</v>
      </c>
      <c r="C2266" s="3">
        <f>IF(B2266="","",SUMIFS('Factory Costs'!$C:$C,'Factory Costs'!$A:$A,"Frame",'Factory Costs'!$B:$B,B2266))</f>
        <v>39</v>
      </c>
    </row>
    <row r="2267" spans="1:3" x14ac:dyDescent="0.25">
      <c r="A2267" s="1" t="s">
        <v>13354</v>
      </c>
      <c r="B2267" s="1" t="s">
        <v>16379</v>
      </c>
      <c r="C2267" s="3">
        <f>IF(B2267="","",SUMIFS('Factory Costs'!$C:$C,'Factory Costs'!$A:$A,"Frame",'Factory Costs'!$B:$B,B2267))</f>
        <v>45</v>
      </c>
    </row>
    <row r="2268" spans="1:3" x14ac:dyDescent="0.25">
      <c r="A2268" s="1" t="s">
        <v>13357</v>
      </c>
      <c r="B2268" s="1" t="s">
        <v>16378</v>
      </c>
      <c r="C2268" s="3">
        <f>IF(B2268="","",SUMIFS('Factory Costs'!$C:$C,'Factory Costs'!$A:$A,"Frame",'Factory Costs'!$B:$B,B2268))</f>
        <v>52</v>
      </c>
    </row>
    <row r="2269" spans="1:3" x14ac:dyDescent="0.25">
      <c r="A2269" s="1" t="s">
        <v>13360</v>
      </c>
      <c r="B2269" s="1" t="s">
        <v>16378</v>
      </c>
      <c r="C2269" s="3">
        <f>IF(B2269="","",SUMIFS('Factory Costs'!$C:$C,'Factory Costs'!$A:$A,"Frame",'Factory Costs'!$B:$B,B2269))</f>
        <v>52</v>
      </c>
    </row>
    <row r="2270" spans="1:3" x14ac:dyDescent="0.25">
      <c r="A2270" s="1" t="s">
        <v>13363</v>
      </c>
      <c r="B2270" s="1" t="s">
        <v>16377</v>
      </c>
      <c r="C2270" s="3">
        <f>IF(B2270="","",SUMIFS('Factory Costs'!$C:$C,'Factory Costs'!$A:$A,"Frame",'Factory Costs'!$B:$B,B2270))</f>
        <v>39</v>
      </c>
    </row>
    <row r="2271" spans="1:3" x14ac:dyDescent="0.25">
      <c r="A2271" s="1" t="s">
        <v>13366</v>
      </c>
      <c r="B2271" s="1" t="s">
        <v>16377</v>
      </c>
      <c r="C2271" s="3">
        <f>IF(B2271="","",SUMIFS('Factory Costs'!$C:$C,'Factory Costs'!$A:$A,"Frame",'Factory Costs'!$B:$B,B2271))</f>
        <v>39</v>
      </c>
    </row>
    <row r="2272" spans="1:3" x14ac:dyDescent="0.25">
      <c r="A2272" s="1" t="s">
        <v>13369</v>
      </c>
      <c r="B2272" s="1" t="s">
        <v>16379</v>
      </c>
      <c r="C2272" s="3">
        <f>IF(B2272="","",SUMIFS('Factory Costs'!$C:$C,'Factory Costs'!$A:$A,"Frame",'Factory Costs'!$B:$B,B2272))</f>
        <v>45</v>
      </c>
    </row>
    <row r="2273" spans="1:3" x14ac:dyDescent="0.25">
      <c r="A2273" s="1" t="s">
        <v>13372</v>
      </c>
      <c r="B2273" s="1" t="s">
        <v>16379</v>
      </c>
      <c r="C2273" s="3">
        <f>IF(B2273="","",SUMIFS('Factory Costs'!$C:$C,'Factory Costs'!$A:$A,"Frame",'Factory Costs'!$B:$B,B2273))</f>
        <v>45</v>
      </c>
    </row>
    <row r="2274" spans="1:3" x14ac:dyDescent="0.25">
      <c r="A2274" s="1" t="s">
        <v>13375</v>
      </c>
      <c r="B2274" s="1" t="s">
        <v>16377</v>
      </c>
      <c r="C2274" s="3">
        <f>IF(B2274="","",SUMIFS('Factory Costs'!$C:$C,'Factory Costs'!$A:$A,"Frame",'Factory Costs'!$B:$B,B2274))</f>
        <v>39</v>
      </c>
    </row>
    <row r="2275" spans="1:3" x14ac:dyDescent="0.25">
      <c r="A2275" s="1" t="s">
        <v>13378</v>
      </c>
      <c r="B2275" s="1" t="s">
        <v>16379</v>
      </c>
      <c r="C2275" s="3">
        <f>IF(B2275="","",SUMIFS('Factory Costs'!$C:$C,'Factory Costs'!$A:$A,"Frame",'Factory Costs'!$B:$B,B2275))</f>
        <v>45</v>
      </c>
    </row>
    <row r="2276" spans="1:3" x14ac:dyDescent="0.25">
      <c r="A2276" s="1" t="s">
        <v>13381</v>
      </c>
      <c r="B2276" s="1" t="s">
        <v>16377</v>
      </c>
      <c r="C2276" s="3">
        <f>IF(B2276="","",SUMIFS('Factory Costs'!$C:$C,'Factory Costs'!$A:$A,"Frame",'Factory Costs'!$B:$B,B2276))</f>
        <v>39</v>
      </c>
    </row>
    <row r="2277" spans="1:3" x14ac:dyDescent="0.25">
      <c r="A2277" s="1" t="s">
        <v>13384</v>
      </c>
      <c r="B2277" s="1" t="s">
        <v>16377</v>
      </c>
      <c r="C2277" s="3">
        <f>IF(B2277="","",SUMIFS('Factory Costs'!$C:$C,'Factory Costs'!$A:$A,"Frame",'Factory Costs'!$B:$B,B2277))</f>
        <v>39</v>
      </c>
    </row>
    <row r="2278" spans="1:3" x14ac:dyDescent="0.25">
      <c r="A2278" s="1" t="s">
        <v>13387</v>
      </c>
      <c r="B2278" s="1" t="s">
        <v>16377</v>
      </c>
      <c r="C2278" s="3">
        <f>IF(B2278="","",SUMIFS('Factory Costs'!$C:$C,'Factory Costs'!$A:$A,"Frame",'Factory Costs'!$B:$B,B2278))</f>
        <v>39</v>
      </c>
    </row>
    <row r="2279" spans="1:3" x14ac:dyDescent="0.25">
      <c r="A2279" s="1" t="s">
        <v>13390</v>
      </c>
      <c r="B2279" s="1" t="s">
        <v>16377</v>
      </c>
      <c r="C2279" s="3">
        <f>IF(B2279="","",SUMIFS('Factory Costs'!$C:$C,'Factory Costs'!$A:$A,"Frame",'Factory Costs'!$B:$B,B2279))</f>
        <v>39</v>
      </c>
    </row>
    <row r="2280" spans="1:3" x14ac:dyDescent="0.25">
      <c r="A2280" s="1" t="s">
        <v>13393</v>
      </c>
      <c r="B2280" s="1" t="s">
        <v>16377</v>
      </c>
      <c r="C2280" s="3">
        <f>IF(B2280="","",SUMIFS('Factory Costs'!$C:$C,'Factory Costs'!$A:$A,"Frame",'Factory Costs'!$B:$B,B2280))</f>
        <v>39</v>
      </c>
    </row>
    <row r="2281" spans="1:3" x14ac:dyDescent="0.25">
      <c r="A2281" s="1" t="s">
        <v>13396</v>
      </c>
      <c r="B2281" s="1" t="s">
        <v>16378</v>
      </c>
      <c r="C2281" s="3">
        <f>IF(B2281="","",SUMIFS('Factory Costs'!$C:$C,'Factory Costs'!$A:$A,"Frame",'Factory Costs'!$B:$B,B2281))</f>
        <v>52</v>
      </c>
    </row>
    <row r="2282" spans="1:3" x14ac:dyDescent="0.25">
      <c r="A2282" s="1" t="s">
        <v>13399</v>
      </c>
      <c r="B2282" s="1" t="s">
        <v>16377</v>
      </c>
      <c r="C2282" s="3">
        <f>IF(B2282="","",SUMIFS('Factory Costs'!$C:$C,'Factory Costs'!$A:$A,"Frame",'Factory Costs'!$B:$B,B2282))</f>
        <v>39</v>
      </c>
    </row>
    <row r="2283" spans="1:3" x14ac:dyDescent="0.25">
      <c r="A2283" s="1" t="s">
        <v>13402</v>
      </c>
      <c r="B2283" s="1" t="s">
        <v>16378</v>
      </c>
      <c r="C2283" s="3">
        <f>IF(B2283="","",SUMIFS('Factory Costs'!$C:$C,'Factory Costs'!$A:$A,"Frame",'Factory Costs'!$B:$B,B2283))</f>
        <v>52</v>
      </c>
    </row>
    <row r="2284" spans="1:3" x14ac:dyDescent="0.25">
      <c r="A2284" s="1" t="s">
        <v>13405</v>
      </c>
      <c r="B2284" s="1" t="s">
        <v>16377</v>
      </c>
      <c r="C2284" s="3">
        <f>IF(B2284="","",SUMIFS('Factory Costs'!$C:$C,'Factory Costs'!$A:$A,"Frame",'Factory Costs'!$B:$B,B2284))</f>
        <v>39</v>
      </c>
    </row>
    <row r="2285" spans="1:3" x14ac:dyDescent="0.25">
      <c r="A2285" s="1" t="s">
        <v>13408</v>
      </c>
      <c r="B2285" s="1" t="s">
        <v>16377</v>
      </c>
      <c r="C2285" s="3">
        <f>IF(B2285="","",SUMIFS('Factory Costs'!$C:$C,'Factory Costs'!$A:$A,"Frame",'Factory Costs'!$B:$B,B2285))</f>
        <v>39</v>
      </c>
    </row>
    <row r="2286" spans="1:3" x14ac:dyDescent="0.25">
      <c r="A2286" s="1" t="s">
        <v>13411</v>
      </c>
      <c r="B2286" s="1" t="s">
        <v>16379</v>
      </c>
      <c r="C2286" s="3">
        <f>IF(B2286="","",SUMIFS('Factory Costs'!$C:$C,'Factory Costs'!$A:$A,"Frame",'Factory Costs'!$B:$B,B2286))</f>
        <v>45</v>
      </c>
    </row>
    <row r="2287" spans="1:3" x14ac:dyDescent="0.25">
      <c r="A2287" s="1" t="s">
        <v>13414</v>
      </c>
      <c r="B2287" s="1" t="s">
        <v>16377</v>
      </c>
      <c r="C2287" s="3">
        <f>IF(B2287="","",SUMIFS('Factory Costs'!$C:$C,'Factory Costs'!$A:$A,"Frame",'Factory Costs'!$B:$B,B2287))</f>
        <v>39</v>
      </c>
    </row>
    <row r="2288" spans="1:3" x14ac:dyDescent="0.25">
      <c r="A2288" s="1" t="s">
        <v>13417</v>
      </c>
      <c r="B2288" s="1" t="s">
        <v>16379</v>
      </c>
      <c r="C2288" s="3">
        <f>IF(B2288="","",SUMIFS('Factory Costs'!$C:$C,'Factory Costs'!$A:$A,"Frame",'Factory Costs'!$B:$B,B2288))</f>
        <v>45</v>
      </c>
    </row>
    <row r="2289" spans="1:3" x14ac:dyDescent="0.25">
      <c r="A2289" s="1" t="s">
        <v>13420</v>
      </c>
      <c r="B2289" s="1" t="s">
        <v>16377</v>
      </c>
      <c r="C2289" s="3">
        <f>IF(B2289="","",SUMIFS('Factory Costs'!$C:$C,'Factory Costs'!$A:$A,"Frame",'Factory Costs'!$B:$B,B2289))</f>
        <v>39</v>
      </c>
    </row>
    <row r="2290" spans="1:3" x14ac:dyDescent="0.25">
      <c r="A2290" s="1" t="s">
        <v>13423</v>
      </c>
      <c r="B2290" s="1" t="s">
        <v>16377</v>
      </c>
      <c r="C2290" s="3">
        <f>IF(B2290="","",SUMIFS('Factory Costs'!$C:$C,'Factory Costs'!$A:$A,"Frame",'Factory Costs'!$B:$B,B2290))</f>
        <v>39</v>
      </c>
    </row>
    <row r="2291" spans="1:3" x14ac:dyDescent="0.25">
      <c r="A2291" s="1" t="s">
        <v>13426</v>
      </c>
      <c r="B2291" s="1" t="s">
        <v>16377</v>
      </c>
      <c r="C2291" s="3">
        <f>IF(B2291="","",SUMIFS('Factory Costs'!$C:$C,'Factory Costs'!$A:$A,"Frame",'Factory Costs'!$B:$B,B2291))</f>
        <v>39</v>
      </c>
    </row>
    <row r="2292" spans="1:3" x14ac:dyDescent="0.25">
      <c r="A2292" s="1" t="s">
        <v>13429</v>
      </c>
      <c r="B2292" s="1" t="s">
        <v>16377</v>
      </c>
      <c r="C2292" s="3">
        <f>IF(B2292="","",SUMIFS('Factory Costs'!$C:$C,'Factory Costs'!$A:$A,"Frame",'Factory Costs'!$B:$B,B2292))</f>
        <v>39</v>
      </c>
    </row>
    <row r="2293" spans="1:3" x14ac:dyDescent="0.25">
      <c r="A2293" s="1" t="s">
        <v>13432</v>
      </c>
      <c r="B2293" s="1" t="s">
        <v>16377</v>
      </c>
      <c r="C2293" s="3">
        <f>IF(B2293="","",SUMIFS('Factory Costs'!$C:$C,'Factory Costs'!$A:$A,"Frame",'Factory Costs'!$B:$B,B2293))</f>
        <v>39</v>
      </c>
    </row>
    <row r="2294" spans="1:3" x14ac:dyDescent="0.25">
      <c r="A2294" s="1" t="s">
        <v>13435</v>
      </c>
      <c r="B2294" s="1" t="s">
        <v>16378</v>
      </c>
      <c r="C2294" s="3">
        <f>IF(B2294="","",SUMIFS('Factory Costs'!$C:$C,'Factory Costs'!$A:$A,"Frame",'Factory Costs'!$B:$B,B2294))</f>
        <v>52</v>
      </c>
    </row>
    <row r="2295" spans="1:3" x14ac:dyDescent="0.25">
      <c r="A2295" s="1" t="s">
        <v>13438</v>
      </c>
      <c r="B2295" s="1" t="s">
        <v>16378</v>
      </c>
      <c r="C2295" s="3">
        <f>IF(B2295="","",SUMIFS('Factory Costs'!$C:$C,'Factory Costs'!$A:$A,"Frame",'Factory Costs'!$B:$B,B2295))</f>
        <v>52</v>
      </c>
    </row>
    <row r="2296" spans="1:3" x14ac:dyDescent="0.25">
      <c r="A2296" s="1" t="s">
        <v>13441</v>
      </c>
      <c r="B2296" s="1" t="s">
        <v>16379</v>
      </c>
      <c r="C2296" s="3">
        <f>IF(B2296="","",SUMIFS('Factory Costs'!$C:$C,'Factory Costs'!$A:$A,"Frame",'Factory Costs'!$B:$B,B2296))</f>
        <v>45</v>
      </c>
    </row>
    <row r="2297" spans="1:3" x14ac:dyDescent="0.25">
      <c r="A2297" s="1" t="s">
        <v>13444</v>
      </c>
      <c r="B2297" s="1" t="s">
        <v>16377</v>
      </c>
      <c r="C2297" s="3">
        <f>IF(B2297="","",SUMIFS('Factory Costs'!$C:$C,'Factory Costs'!$A:$A,"Frame",'Factory Costs'!$B:$B,B2297))</f>
        <v>39</v>
      </c>
    </row>
    <row r="2298" spans="1:3" x14ac:dyDescent="0.25">
      <c r="A2298" s="1" t="s">
        <v>13447</v>
      </c>
      <c r="B2298" s="1" t="s">
        <v>16378</v>
      </c>
      <c r="C2298" s="3">
        <f>IF(B2298="","",SUMIFS('Factory Costs'!$C:$C,'Factory Costs'!$A:$A,"Frame",'Factory Costs'!$B:$B,B2298))</f>
        <v>52</v>
      </c>
    </row>
    <row r="2299" spans="1:3" x14ac:dyDescent="0.25">
      <c r="A2299" s="1" t="s">
        <v>13450</v>
      </c>
      <c r="B2299" s="1" t="s">
        <v>16377</v>
      </c>
      <c r="C2299" s="3">
        <f>IF(B2299="","",SUMIFS('Factory Costs'!$C:$C,'Factory Costs'!$A:$A,"Frame",'Factory Costs'!$B:$B,B2299))</f>
        <v>39</v>
      </c>
    </row>
    <row r="2300" spans="1:3" x14ac:dyDescent="0.25">
      <c r="A2300" s="1" t="s">
        <v>13453</v>
      </c>
      <c r="B2300" s="1" t="s">
        <v>16378</v>
      </c>
      <c r="C2300" s="3">
        <f>IF(B2300="","",SUMIFS('Factory Costs'!$C:$C,'Factory Costs'!$A:$A,"Frame",'Factory Costs'!$B:$B,B2300))</f>
        <v>52</v>
      </c>
    </row>
    <row r="2301" spans="1:3" x14ac:dyDescent="0.25">
      <c r="A2301" s="1" t="s">
        <v>13456</v>
      </c>
      <c r="B2301" s="1" t="s">
        <v>16379</v>
      </c>
      <c r="C2301" s="3">
        <f>IF(B2301="","",SUMIFS('Factory Costs'!$C:$C,'Factory Costs'!$A:$A,"Frame",'Factory Costs'!$B:$B,B2301))</f>
        <v>45</v>
      </c>
    </row>
    <row r="2302" spans="1:3" x14ac:dyDescent="0.25">
      <c r="A2302" s="1" t="s">
        <v>13459</v>
      </c>
      <c r="B2302" s="1" t="s">
        <v>16377</v>
      </c>
      <c r="C2302" s="3">
        <f>IF(B2302="","",SUMIFS('Factory Costs'!$C:$C,'Factory Costs'!$A:$A,"Frame",'Factory Costs'!$B:$B,B2302))</f>
        <v>39</v>
      </c>
    </row>
    <row r="2303" spans="1:3" x14ac:dyDescent="0.25">
      <c r="A2303" s="1" t="s">
        <v>13462</v>
      </c>
      <c r="B2303" s="1" t="s">
        <v>16377</v>
      </c>
      <c r="C2303" s="3">
        <f>IF(B2303="","",SUMIFS('Factory Costs'!$C:$C,'Factory Costs'!$A:$A,"Frame",'Factory Costs'!$B:$B,B2303))</f>
        <v>39</v>
      </c>
    </row>
    <row r="2304" spans="1:3" x14ac:dyDescent="0.25">
      <c r="A2304" s="1" t="s">
        <v>13465</v>
      </c>
      <c r="B2304" s="1" t="s">
        <v>16379</v>
      </c>
      <c r="C2304" s="3">
        <f>IF(B2304="","",SUMIFS('Factory Costs'!$C:$C,'Factory Costs'!$A:$A,"Frame",'Factory Costs'!$B:$B,B2304))</f>
        <v>45</v>
      </c>
    </row>
    <row r="2305" spans="1:3" x14ac:dyDescent="0.25">
      <c r="A2305" s="1" t="s">
        <v>13468</v>
      </c>
      <c r="B2305" s="1" t="s">
        <v>16377</v>
      </c>
      <c r="C2305" s="3">
        <f>IF(B2305="","",SUMIFS('Factory Costs'!$C:$C,'Factory Costs'!$A:$A,"Frame",'Factory Costs'!$B:$B,B2305))</f>
        <v>39</v>
      </c>
    </row>
    <row r="2306" spans="1:3" x14ac:dyDescent="0.25">
      <c r="A2306" s="1" t="s">
        <v>13471</v>
      </c>
      <c r="B2306" s="1" t="s">
        <v>16378</v>
      </c>
      <c r="C2306" s="3">
        <f>IF(B2306="","",SUMIFS('Factory Costs'!$C:$C,'Factory Costs'!$A:$A,"Frame",'Factory Costs'!$B:$B,B2306))</f>
        <v>52</v>
      </c>
    </row>
    <row r="2307" spans="1:3" x14ac:dyDescent="0.25">
      <c r="A2307" s="1" t="s">
        <v>13474</v>
      </c>
      <c r="B2307" s="1" t="s">
        <v>16377</v>
      </c>
      <c r="C2307" s="3">
        <f>IF(B2307="","",SUMIFS('Factory Costs'!$C:$C,'Factory Costs'!$A:$A,"Frame",'Factory Costs'!$B:$B,B2307))</f>
        <v>39</v>
      </c>
    </row>
    <row r="2308" spans="1:3" x14ac:dyDescent="0.25">
      <c r="A2308" s="1" t="s">
        <v>13477</v>
      </c>
      <c r="B2308" s="1" t="s">
        <v>16377</v>
      </c>
      <c r="C2308" s="3">
        <f>IF(B2308="","",SUMIFS('Factory Costs'!$C:$C,'Factory Costs'!$A:$A,"Frame",'Factory Costs'!$B:$B,B2308))</f>
        <v>39</v>
      </c>
    </row>
    <row r="2309" spans="1:3" x14ac:dyDescent="0.25">
      <c r="A2309" s="1" t="s">
        <v>13480</v>
      </c>
      <c r="B2309" s="1" t="s">
        <v>16377</v>
      </c>
      <c r="C2309" s="3">
        <f>IF(B2309="","",SUMIFS('Factory Costs'!$C:$C,'Factory Costs'!$A:$A,"Frame",'Factory Costs'!$B:$B,B2309))</f>
        <v>39</v>
      </c>
    </row>
    <row r="2310" spans="1:3" x14ac:dyDescent="0.25">
      <c r="A2310" s="1" t="s">
        <v>13483</v>
      </c>
      <c r="B2310" s="1" t="s">
        <v>16379</v>
      </c>
      <c r="C2310" s="3">
        <f>IF(B2310="","",SUMIFS('Factory Costs'!$C:$C,'Factory Costs'!$A:$A,"Frame",'Factory Costs'!$B:$B,B2310))</f>
        <v>45</v>
      </c>
    </row>
    <row r="2311" spans="1:3" x14ac:dyDescent="0.25">
      <c r="A2311" s="1" t="s">
        <v>13486</v>
      </c>
      <c r="B2311" s="1" t="s">
        <v>16377</v>
      </c>
      <c r="C2311" s="3">
        <f>IF(B2311="","",SUMIFS('Factory Costs'!$C:$C,'Factory Costs'!$A:$A,"Frame",'Factory Costs'!$B:$B,B2311))</f>
        <v>39</v>
      </c>
    </row>
    <row r="2312" spans="1:3" x14ac:dyDescent="0.25">
      <c r="A2312" s="1" t="s">
        <v>13489</v>
      </c>
      <c r="B2312" s="1" t="s">
        <v>16377</v>
      </c>
      <c r="C2312" s="3">
        <f>IF(B2312="","",SUMIFS('Factory Costs'!$C:$C,'Factory Costs'!$A:$A,"Frame",'Factory Costs'!$B:$B,B2312))</f>
        <v>39</v>
      </c>
    </row>
    <row r="2313" spans="1:3" x14ac:dyDescent="0.25">
      <c r="A2313" s="1" t="s">
        <v>13492</v>
      </c>
      <c r="B2313" s="1" t="s">
        <v>16379</v>
      </c>
      <c r="C2313" s="3">
        <f>IF(B2313="","",SUMIFS('Factory Costs'!$C:$C,'Factory Costs'!$A:$A,"Frame",'Factory Costs'!$B:$B,B2313))</f>
        <v>45</v>
      </c>
    </row>
    <row r="2314" spans="1:3" x14ac:dyDescent="0.25">
      <c r="A2314" s="1" t="s">
        <v>13495</v>
      </c>
      <c r="B2314" s="1" t="s">
        <v>16377</v>
      </c>
      <c r="C2314" s="3">
        <f>IF(B2314="","",SUMIFS('Factory Costs'!$C:$C,'Factory Costs'!$A:$A,"Frame",'Factory Costs'!$B:$B,B2314))</f>
        <v>39</v>
      </c>
    </row>
    <row r="2315" spans="1:3" x14ac:dyDescent="0.25">
      <c r="A2315" s="1" t="s">
        <v>13498</v>
      </c>
      <c r="B2315" s="1" t="s">
        <v>16377</v>
      </c>
      <c r="C2315" s="3">
        <f>IF(B2315="","",SUMIFS('Factory Costs'!$C:$C,'Factory Costs'!$A:$A,"Frame",'Factory Costs'!$B:$B,B2315))</f>
        <v>39</v>
      </c>
    </row>
    <row r="2316" spans="1:3" x14ac:dyDescent="0.25">
      <c r="A2316" s="1" t="s">
        <v>13501</v>
      </c>
      <c r="B2316" s="1" t="s">
        <v>16379</v>
      </c>
      <c r="C2316" s="3">
        <f>IF(B2316="","",SUMIFS('Factory Costs'!$C:$C,'Factory Costs'!$A:$A,"Frame",'Factory Costs'!$B:$B,B2316))</f>
        <v>45</v>
      </c>
    </row>
    <row r="2317" spans="1:3" x14ac:dyDescent="0.25">
      <c r="A2317" s="1" t="s">
        <v>13504</v>
      </c>
      <c r="B2317" s="1" t="s">
        <v>16377</v>
      </c>
      <c r="C2317" s="3">
        <f>IF(B2317="","",SUMIFS('Factory Costs'!$C:$C,'Factory Costs'!$A:$A,"Frame",'Factory Costs'!$B:$B,B2317))</f>
        <v>39</v>
      </c>
    </row>
    <row r="2318" spans="1:3" x14ac:dyDescent="0.25">
      <c r="A2318" s="1" t="s">
        <v>13507</v>
      </c>
      <c r="B2318" s="1" t="s">
        <v>16378</v>
      </c>
      <c r="C2318" s="3">
        <f>IF(B2318="","",SUMIFS('Factory Costs'!$C:$C,'Factory Costs'!$A:$A,"Frame",'Factory Costs'!$B:$B,B2318))</f>
        <v>52</v>
      </c>
    </row>
    <row r="2319" spans="1:3" x14ac:dyDescent="0.25">
      <c r="A2319" s="1" t="s">
        <v>13510</v>
      </c>
      <c r="B2319" s="1" t="s">
        <v>16379</v>
      </c>
      <c r="C2319" s="3">
        <f>IF(B2319="","",SUMIFS('Factory Costs'!$C:$C,'Factory Costs'!$A:$A,"Frame",'Factory Costs'!$B:$B,B2319))</f>
        <v>45</v>
      </c>
    </row>
    <row r="2320" spans="1:3" x14ac:dyDescent="0.25">
      <c r="A2320" s="1" t="s">
        <v>13513</v>
      </c>
      <c r="B2320" s="1" t="s">
        <v>16379</v>
      </c>
      <c r="C2320" s="3">
        <f>IF(B2320="","",SUMIFS('Factory Costs'!$C:$C,'Factory Costs'!$A:$A,"Frame",'Factory Costs'!$B:$B,B2320))</f>
        <v>45</v>
      </c>
    </row>
    <row r="2321" spans="1:3" x14ac:dyDescent="0.25">
      <c r="A2321" s="1" t="s">
        <v>13516</v>
      </c>
      <c r="B2321" s="1" t="s">
        <v>16377</v>
      </c>
      <c r="C2321" s="3">
        <f>IF(B2321="","",SUMIFS('Factory Costs'!$C:$C,'Factory Costs'!$A:$A,"Frame",'Factory Costs'!$B:$B,B2321))</f>
        <v>39</v>
      </c>
    </row>
    <row r="2322" spans="1:3" x14ac:dyDescent="0.25">
      <c r="A2322" s="1" t="s">
        <v>13519</v>
      </c>
      <c r="B2322" s="1" t="s">
        <v>16378</v>
      </c>
      <c r="C2322" s="3">
        <f>IF(B2322="","",SUMIFS('Factory Costs'!$C:$C,'Factory Costs'!$A:$A,"Frame",'Factory Costs'!$B:$B,B2322))</f>
        <v>52</v>
      </c>
    </row>
    <row r="2323" spans="1:3" x14ac:dyDescent="0.25">
      <c r="A2323" s="1" t="s">
        <v>13522</v>
      </c>
      <c r="B2323" s="1" t="s">
        <v>16379</v>
      </c>
      <c r="C2323" s="3">
        <f>IF(B2323="","",SUMIFS('Factory Costs'!$C:$C,'Factory Costs'!$A:$A,"Frame",'Factory Costs'!$B:$B,B2323))</f>
        <v>45</v>
      </c>
    </row>
    <row r="2324" spans="1:3" x14ac:dyDescent="0.25">
      <c r="A2324" s="1" t="s">
        <v>13525</v>
      </c>
      <c r="B2324" s="1" t="s">
        <v>16379</v>
      </c>
      <c r="C2324" s="3">
        <f>IF(B2324="","",SUMIFS('Factory Costs'!$C:$C,'Factory Costs'!$A:$A,"Frame",'Factory Costs'!$B:$B,B2324))</f>
        <v>45</v>
      </c>
    </row>
    <row r="2325" spans="1:3" x14ac:dyDescent="0.25">
      <c r="A2325" s="1" t="s">
        <v>13528</v>
      </c>
      <c r="B2325" s="1" t="s">
        <v>16379</v>
      </c>
      <c r="C2325" s="3">
        <f>IF(B2325="","",SUMIFS('Factory Costs'!$C:$C,'Factory Costs'!$A:$A,"Frame",'Factory Costs'!$B:$B,B2325))</f>
        <v>45</v>
      </c>
    </row>
    <row r="2326" spans="1:3" x14ac:dyDescent="0.25">
      <c r="A2326" s="1" t="s">
        <v>13531</v>
      </c>
      <c r="B2326" s="1" t="s">
        <v>16379</v>
      </c>
      <c r="C2326" s="3">
        <f>IF(B2326="","",SUMIFS('Factory Costs'!$C:$C,'Factory Costs'!$A:$A,"Frame",'Factory Costs'!$B:$B,B2326))</f>
        <v>45</v>
      </c>
    </row>
    <row r="2327" spans="1:3" x14ac:dyDescent="0.25">
      <c r="A2327" s="1" t="s">
        <v>13534</v>
      </c>
      <c r="B2327" s="1" t="s">
        <v>16377</v>
      </c>
      <c r="C2327" s="3">
        <f>IF(B2327="","",SUMIFS('Factory Costs'!$C:$C,'Factory Costs'!$A:$A,"Frame",'Factory Costs'!$B:$B,B2327))</f>
        <v>39</v>
      </c>
    </row>
    <row r="2328" spans="1:3" x14ac:dyDescent="0.25">
      <c r="A2328" s="1" t="s">
        <v>13537</v>
      </c>
      <c r="B2328" s="1" t="s">
        <v>16377</v>
      </c>
      <c r="C2328" s="3">
        <f>IF(B2328="","",SUMIFS('Factory Costs'!$C:$C,'Factory Costs'!$A:$A,"Frame",'Factory Costs'!$B:$B,B2328))</f>
        <v>39</v>
      </c>
    </row>
    <row r="2329" spans="1:3" x14ac:dyDescent="0.25">
      <c r="A2329" s="1" t="s">
        <v>13540</v>
      </c>
      <c r="B2329" s="1" t="s">
        <v>16378</v>
      </c>
      <c r="C2329" s="3">
        <f>IF(B2329="","",SUMIFS('Factory Costs'!$C:$C,'Factory Costs'!$A:$A,"Frame",'Factory Costs'!$B:$B,B2329))</f>
        <v>52</v>
      </c>
    </row>
    <row r="2330" spans="1:3" x14ac:dyDescent="0.25">
      <c r="A2330" s="1" t="s">
        <v>13543</v>
      </c>
      <c r="B2330" s="1" t="s">
        <v>16378</v>
      </c>
      <c r="C2330" s="3">
        <f>IF(B2330="","",SUMIFS('Factory Costs'!$C:$C,'Factory Costs'!$A:$A,"Frame",'Factory Costs'!$B:$B,B2330))</f>
        <v>52</v>
      </c>
    </row>
    <row r="2331" spans="1:3" x14ac:dyDescent="0.25">
      <c r="A2331" s="1" t="s">
        <v>13546</v>
      </c>
      <c r="B2331" s="1" t="s">
        <v>16378</v>
      </c>
      <c r="C2331" s="3">
        <f>IF(B2331="","",SUMIFS('Factory Costs'!$C:$C,'Factory Costs'!$A:$A,"Frame",'Factory Costs'!$B:$B,B2331))</f>
        <v>52</v>
      </c>
    </row>
    <row r="2332" spans="1:3" x14ac:dyDescent="0.25">
      <c r="A2332" s="1" t="s">
        <v>13549</v>
      </c>
      <c r="B2332" s="1" t="s">
        <v>16377</v>
      </c>
      <c r="C2332" s="3">
        <f>IF(B2332="","",SUMIFS('Factory Costs'!$C:$C,'Factory Costs'!$A:$A,"Frame",'Factory Costs'!$B:$B,B2332))</f>
        <v>39</v>
      </c>
    </row>
    <row r="2333" spans="1:3" x14ac:dyDescent="0.25">
      <c r="A2333" s="1" t="s">
        <v>13552</v>
      </c>
      <c r="B2333" s="1" t="s">
        <v>16377</v>
      </c>
      <c r="C2333" s="3">
        <f>IF(B2333="","",SUMIFS('Factory Costs'!$C:$C,'Factory Costs'!$A:$A,"Frame",'Factory Costs'!$B:$B,B2333))</f>
        <v>39</v>
      </c>
    </row>
    <row r="2334" spans="1:3" x14ac:dyDescent="0.25">
      <c r="A2334" s="1" t="s">
        <v>13555</v>
      </c>
      <c r="B2334" s="1" t="s">
        <v>16377</v>
      </c>
      <c r="C2334" s="3">
        <f>IF(B2334="","",SUMIFS('Factory Costs'!$C:$C,'Factory Costs'!$A:$A,"Frame",'Factory Costs'!$B:$B,B2334))</f>
        <v>39</v>
      </c>
    </row>
    <row r="2335" spans="1:3" x14ac:dyDescent="0.25">
      <c r="A2335" s="1" t="s">
        <v>13558</v>
      </c>
      <c r="B2335" s="1" t="s">
        <v>16377</v>
      </c>
      <c r="C2335" s="3">
        <f>IF(B2335="","",SUMIFS('Factory Costs'!$C:$C,'Factory Costs'!$A:$A,"Frame",'Factory Costs'!$B:$B,B2335))</f>
        <v>39</v>
      </c>
    </row>
    <row r="2336" spans="1:3" x14ac:dyDescent="0.25">
      <c r="A2336" s="1" t="s">
        <v>13561</v>
      </c>
      <c r="B2336" s="1" t="s">
        <v>16379</v>
      </c>
      <c r="C2336" s="3">
        <f>IF(B2336="","",SUMIFS('Factory Costs'!$C:$C,'Factory Costs'!$A:$A,"Frame",'Factory Costs'!$B:$B,B2336))</f>
        <v>45</v>
      </c>
    </row>
    <row r="2337" spans="1:3" x14ac:dyDescent="0.25">
      <c r="A2337" s="1" t="s">
        <v>13564</v>
      </c>
      <c r="B2337" s="1" t="s">
        <v>16377</v>
      </c>
      <c r="C2337" s="3">
        <f>IF(B2337="","",SUMIFS('Factory Costs'!$C:$C,'Factory Costs'!$A:$A,"Frame",'Factory Costs'!$B:$B,B2337))</f>
        <v>39</v>
      </c>
    </row>
    <row r="2338" spans="1:3" x14ac:dyDescent="0.25">
      <c r="A2338" s="1" t="s">
        <v>13567</v>
      </c>
      <c r="B2338" s="1" t="s">
        <v>16379</v>
      </c>
      <c r="C2338" s="3">
        <f>IF(B2338="","",SUMIFS('Factory Costs'!$C:$C,'Factory Costs'!$A:$A,"Frame",'Factory Costs'!$B:$B,B2338))</f>
        <v>45</v>
      </c>
    </row>
    <row r="2339" spans="1:3" x14ac:dyDescent="0.25">
      <c r="A2339" s="1" t="s">
        <v>13570</v>
      </c>
      <c r="B2339" s="1" t="s">
        <v>16379</v>
      </c>
      <c r="C2339" s="3">
        <f>IF(B2339="","",SUMIFS('Factory Costs'!$C:$C,'Factory Costs'!$A:$A,"Frame",'Factory Costs'!$B:$B,B2339))</f>
        <v>45</v>
      </c>
    </row>
    <row r="2340" spans="1:3" x14ac:dyDescent="0.25">
      <c r="A2340" s="1" t="s">
        <v>13573</v>
      </c>
      <c r="B2340" s="1" t="s">
        <v>16377</v>
      </c>
      <c r="C2340" s="3">
        <f>IF(B2340="","",SUMIFS('Factory Costs'!$C:$C,'Factory Costs'!$A:$A,"Frame",'Factory Costs'!$B:$B,B2340))</f>
        <v>39</v>
      </c>
    </row>
    <row r="2341" spans="1:3" x14ac:dyDescent="0.25">
      <c r="A2341" s="1" t="s">
        <v>13576</v>
      </c>
      <c r="B2341" s="1" t="s">
        <v>16377</v>
      </c>
      <c r="C2341" s="3">
        <f>IF(B2341="","",SUMIFS('Factory Costs'!$C:$C,'Factory Costs'!$A:$A,"Frame",'Factory Costs'!$B:$B,B2341))</f>
        <v>39</v>
      </c>
    </row>
    <row r="2342" spans="1:3" x14ac:dyDescent="0.25">
      <c r="A2342" s="1" t="s">
        <v>13579</v>
      </c>
      <c r="B2342" s="1" t="s">
        <v>16377</v>
      </c>
      <c r="C2342" s="3">
        <f>IF(B2342="","",SUMIFS('Factory Costs'!$C:$C,'Factory Costs'!$A:$A,"Frame",'Factory Costs'!$B:$B,B2342))</f>
        <v>39</v>
      </c>
    </row>
    <row r="2343" spans="1:3" x14ac:dyDescent="0.25">
      <c r="A2343" s="1" t="s">
        <v>13582</v>
      </c>
      <c r="B2343" s="1" t="s">
        <v>16379</v>
      </c>
      <c r="C2343" s="3">
        <f>IF(B2343="","",SUMIFS('Factory Costs'!$C:$C,'Factory Costs'!$A:$A,"Frame",'Factory Costs'!$B:$B,B2343))</f>
        <v>45</v>
      </c>
    </row>
    <row r="2344" spans="1:3" x14ac:dyDescent="0.25">
      <c r="A2344" s="1" t="s">
        <v>13585</v>
      </c>
      <c r="B2344" s="1" t="s">
        <v>16377</v>
      </c>
      <c r="C2344" s="3">
        <f>IF(B2344="","",SUMIFS('Factory Costs'!$C:$C,'Factory Costs'!$A:$A,"Frame",'Factory Costs'!$B:$B,B2344))</f>
        <v>39</v>
      </c>
    </row>
    <row r="2345" spans="1:3" x14ac:dyDescent="0.25">
      <c r="A2345" s="1" t="s">
        <v>13588</v>
      </c>
      <c r="B2345" s="1" t="s">
        <v>16378</v>
      </c>
      <c r="C2345" s="3">
        <f>IF(B2345="","",SUMIFS('Factory Costs'!$C:$C,'Factory Costs'!$A:$A,"Frame",'Factory Costs'!$B:$B,B2345))</f>
        <v>52</v>
      </c>
    </row>
    <row r="2346" spans="1:3" x14ac:dyDescent="0.25">
      <c r="A2346" s="1" t="s">
        <v>13591</v>
      </c>
      <c r="B2346" s="1" t="s">
        <v>16378</v>
      </c>
      <c r="C2346" s="3">
        <f>IF(B2346="","",SUMIFS('Factory Costs'!$C:$C,'Factory Costs'!$A:$A,"Frame",'Factory Costs'!$B:$B,B2346))</f>
        <v>52</v>
      </c>
    </row>
    <row r="2347" spans="1:3" x14ac:dyDescent="0.25">
      <c r="A2347" s="1" t="s">
        <v>13594</v>
      </c>
      <c r="B2347" s="1" t="s">
        <v>16378</v>
      </c>
      <c r="C2347" s="3">
        <f>IF(B2347="","",SUMIFS('Factory Costs'!$C:$C,'Factory Costs'!$A:$A,"Frame",'Factory Costs'!$B:$B,B2347))</f>
        <v>52</v>
      </c>
    </row>
    <row r="2348" spans="1:3" x14ac:dyDescent="0.25">
      <c r="A2348" s="1" t="s">
        <v>13597</v>
      </c>
      <c r="B2348" s="1" t="s">
        <v>16379</v>
      </c>
      <c r="C2348" s="3">
        <f>IF(B2348="","",SUMIFS('Factory Costs'!$C:$C,'Factory Costs'!$A:$A,"Frame",'Factory Costs'!$B:$B,B2348))</f>
        <v>45</v>
      </c>
    </row>
    <row r="2349" spans="1:3" x14ac:dyDescent="0.25">
      <c r="A2349" s="1" t="s">
        <v>13600</v>
      </c>
      <c r="B2349" s="1" t="s">
        <v>16377</v>
      </c>
      <c r="C2349" s="3">
        <f>IF(B2349="","",SUMIFS('Factory Costs'!$C:$C,'Factory Costs'!$A:$A,"Frame",'Factory Costs'!$B:$B,B2349))</f>
        <v>39</v>
      </c>
    </row>
    <row r="2350" spans="1:3" x14ac:dyDescent="0.25">
      <c r="A2350" s="1" t="s">
        <v>13603</v>
      </c>
      <c r="B2350" s="1" t="s">
        <v>16377</v>
      </c>
      <c r="C2350" s="3">
        <f>IF(B2350="","",SUMIFS('Factory Costs'!$C:$C,'Factory Costs'!$A:$A,"Frame",'Factory Costs'!$B:$B,B2350))</f>
        <v>39</v>
      </c>
    </row>
    <row r="2351" spans="1:3" x14ac:dyDescent="0.25">
      <c r="A2351" s="1" t="s">
        <v>13606</v>
      </c>
      <c r="B2351" s="1" t="s">
        <v>16379</v>
      </c>
      <c r="C2351" s="3">
        <f>IF(B2351="","",SUMIFS('Factory Costs'!$C:$C,'Factory Costs'!$A:$A,"Frame",'Factory Costs'!$B:$B,B2351))</f>
        <v>45</v>
      </c>
    </row>
    <row r="2352" spans="1:3" x14ac:dyDescent="0.25">
      <c r="A2352" s="1" t="s">
        <v>13609</v>
      </c>
      <c r="B2352" s="1" t="s">
        <v>16377</v>
      </c>
      <c r="C2352" s="3">
        <f>IF(B2352="","",SUMIFS('Factory Costs'!$C:$C,'Factory Costs'!$A:$A,"Frame",'Factory Costs'!$B:$B,B2352))</f>
        <v>39</v>
      </c>
    </row>
    <row r="2353" spans="1:3" x14ac:dyDescent="0.25">
      <c r="A2353" s="1" t="s">
        <v>13612</v>
      </c>
      <c r="B2353" s="1" t="s">
        <v>16377</v>
      </c>
      <c r="C2353" s="3">
        <f>IF(B2353="","",SUMIFS('Factory Costs'!$C:$C,'Factory Costs'!$A:$A,"Frame",'Factory Costs'!$B:$B,B2353))</f>
        <v>39</v>
      </c>
    </row>
    <row r="2354" spans="1:3" x14ac:dyDescent="0.25">
      <c r="A2354" s="1" t="s">
        <v>13615</v>
      </c>
      <c r="B2354" s="1" t="s">
        <v>16378</v>
      </c>
      <c r="C2354" s="3">
        <f>IF(B2354="","",SUMIFS('Factory Costs'!$C:$C,'Factory Costs'!$A:$A,"Frame",'Factory Costs'!$B:$B,B2354))</f>
        <v>52</v>
      </c>
    </row>
    <row r="2355" spans="1:3" x14ac:dyDescent="0.25">
      <c r="A2355" s="1" t="s">
        <v>13618</v>
      </c>
      <c r="B2355" s="1" t="s">
        <v>16379</v>
      </c>
      <c r="C2355" s="3">
        <f>IF(B2355="","",SUMIFS('Factory Costs'!$C:$C,'Factory Costs'!$A:$A,"Frame",'Factory Costs'!$B:$B,B2355))</f>
        <v>45</v>
      </c>
    </row>
    <row r="2356" spans="1:3" x14ac:dyDescent="0.25">
      <c r="A2356" s="1" t="s">
        <v>13621</v>
      </c>
      <c r="B2356" s="1" t="s">
        <v>16377</v>
      </c>
      <c r="C2356" s="3">
        <f>IF(B2356="","",SUMIFS('Factory Costs'!$C:$C,'Factory Costs'!$A:$A,"Frame",'Factory Costs'!$B:$B,B2356))</f>
        <v>39</v>
      </c>
    </row>
    <row r="2357" spans="1:3" x14ac:dyDescent="0.25">
      <c r="A2357" s="1" t="s">
        <v>13624</v>
      </c>
      <c r="B2357" s="1" t="s">
        <v>16377</v>
      </c>
      <c r="C2357" s="3">
        <f>IF(B2357="","",SUMIFS('Factory Costs'!$C:$C,'Factory Costs'!$A:$A,"Frame",'Factory Costs'!$B:$B,B2357))</f>
        <v>39</v>
      </c>
    </row>
    <row r="2358" spans="1:3" x14ac:dyDescent="0.25">
      <c r="A2358" s="1" t="s">
        <v>13627</v>
      </c>
      <c r="B2358" s="1" t="s">
        <v>16378</v>
      </c>
      <c r="C2358" s="3">
        <f>IF(B2358="","",SUMIFS('Factory Costs'!$C:$C,'Factory Costs'!$A:$A,"Frame",'Factory Costs'!$B:$B,B2358))</f>
        <v>52</v>
      </c>
    </row>
    <row r="2359" spans="1:3" x14ac:dyDescent="0.25">
      <c r="A2359" s="1" t="s">
        <v>13630</v>
      </c>
      <c r="B2359" s="1" t="s">
        <v>16377</v>
      </c>
      <c r="C2359" s="3">
        <f>IF(B2359="","",SUMIFS('Factory Costs'!$C:$C,'Factory Costs'!$A:$A,"Frame",'Factory Costs'!$B:$B,B2359))</f>
        <v>39</v>
      </c>
    </row>
    <row r="2360" spans="1:3" x14ac:dyDescent="0.25">
      <c r="A2360" s="1" t="s">
        <v>13633</v>
      </c>
      <c r="B2360" s="1" t="s">
        <v>16379</v>
      </c>
      <c r="C2360" s="3">
        <f>IF(B2360="","",SUMIFS('Factory Costs'!$C:$C,'Factory Costs'!$A:$A,"Frame",'Factory Costs'!$B:$B,B2360))</f>
        <v>45</v>
      </c>
    </row>
    <row r="2361" spans="1:3" x14ac:dyDescent="0.25">
      <c r="A2361" s="1" t="s">
        <v>13636</v>
      </c>
      <c r="B2361" s="1" t="s">
        <v>16377</v>
      </c>
      <c r="C2361" s="3">
        <f>IF(B2361="","",SUMIFS('Factory Costs'!$C:$C,'Factory Costs'!$A:$A,"Frame",'Factory Costs'!$B:$B,B2361))</f>
        <v>39</v>
      </c>
    </row>
    <row r="2362" spans="1:3" x14ac:dyDescent="0.25">
      <c r="A2362" s="1" t="s">
        <v>13639</v>
      </c>
      <c r="B2362" s="1" t="s">
        <v>16377</v>
      </c>
      <c r="C2362" s="3">
        <f>IF(B2362="","",SUMIFS('Factory Costs'!$C:$C,'Factory Costs'!$A:$A,"Frame",'Factory Costs'!$B:$B,B2362))</f>
        <v>39</v>
      </c>
    </row>
    <row r="2363" spans="1:3" x14ac:dyDescent="0.25">
      <c r="A2363" s="1" t="s">
        <v>13642</v>
      </c>
      <c r="B2363" s="1" t="s">
        <v>16378</v>
      </c>
      <c r="C2363" s="3">
        <f>IF(B2363="","",SUMIFS('Factory Costs'!$C:$C,'Factory Costs'!$A:$A,"Frame",'Factory Costs'!$B:$B,B2363))</f>
        <v>52</v>
      </c>
    </row>
    <row r="2364" spans="1:3" x14ac:dyDescent="0.25">
      <c r="A2364" s="1" t="s">
        <v>13645</v>
      </c>
      <c r="B2364" s="1" t="s">
        <v>16379</v>
      </c>
      <c r="C2364" s="3">
        <f>IF(B2364="","",SUMIFS('Factory Costs'!$C:$C,'Factory Costs'!$A:$A,"Frame",'Factory Costs'!$B:$B,B2364))</f>
        <v>45</v>
      </c>
    </row>
    <row r="2365" spans="1:3" x14ac:dyDescent="0.25">
      <c r="A2365" s="1" t="s">
        <v>13648</v>
      </c>
      <c r="B2365" s="1" t="s">
        <v>16378</v>
      </c>
      <c r="C2365" s="3">
        <f>IF(B2365="","",SUMIFS('Factory Costs'!$C:$C,'Factory Costs'!$A:$A,"Frame",'Factory Costs'!$B:$B,B2365))</f>
        <v>52</v>
      </c>
    </row>
    <row r="2366" spans="1:3" x14ac:dyDescent="0.25">
      <c r="A2366" s="1" t="s">
        <v>13651</v>
      </c>
      <c r="B2366" s="1" t="s">
        <v>16377</v>
      </c>
      <c r="C2366" s="3">
        <f>IF(B2366="","",SUMIFS('Factory Costs'!$C:$C,'Factory Costs'!$A:$A,"Frame",'Factory Costs'!$B:$B,B2366))</f>
        <v>39</v>
      </c>
    </row>
    <row r="2367" spans="1:3" x14ac:dyDescent="0.25">
      <c r="A2367" s="1" t="s">
        <v>13654</v>
      </c>
      <c r="B2367" s="1" t="s">
        <v>16378</v>
      </c>
      <c r="C2367" s="3">
        <f>IF(B2367="","",SUMIFS('Factory Costs'!$C:$C,'Factory Costs'!$A:$A,"Frame",'Factory Costs'!$B:$B,B2367))</f>
        <v>52</v>
      </c>
    </row>
    <row r="2368" spans="1:3" x14ac:dyDescent="0.25">
      <c r="A2368" s="1" t="s">
        <v>13657</v>
      </c>
      <c r="B2368" s="1" t="s">
        <v>16377</v>
      </c>
      <c r="C2368" s="3">
        <f>IF(B2368="","",SUMIFS('Factory Costs'!$C:$C,'Factory Costs'!$A:$A,"Frame",'Factory Costs'!$B:$B,B2368))</f>
        <v>39</v>
      </c>
    </row>
    <row r="2369" spans="1:3" x14ac:dyDescent="0.25">
      <c r="A2369" s="1" t="s">
        <v>13660</v>
      </c>
      <c r="B2369" s="1" t="s">
        <v>16377</v>
      </c>
      <c r="C2369" s="3">
        <f>IF(B2369="","",SUMIFS('Factory Costs'!$C:$C,'Factory Costs'!$A:$A,"Frame",'Factory Costs'!$B:$B,B2369))</f>
        <v>39</v>
      </c>
    </row>
    <row r="2370" spans="1:3" x14ac:dyDescent="0.25">
      <c r="A2370" s="1" t="s">
        <v>13663</v>
      </c>
      <c r="B2370" s="1" t="s">
        <v>16377</v>
      </c>
      <c r="C2370" s="3">
        <f>IF(B2370="","",SUMIFS('Factory Costs'!$C:$C,'Factory Costs'!$A:$A,"Frame",'Factory Costs'!$B:$B,B2370))</f>
        <v>39</v>
      </c>
    </row>
    <row r="2371" spans="1:3" x14ac:dyDescent="0.25">
      <c r="A2371" s="1" t="s">
        <v>13666</v>
      </c>
      <c r="B2371" s="1" t="s">
        <v>16378</v>
      </c>
      <c r="C2371" s="3">
        <f>IF(B2371="","",SUMIFS('Factory Costs'!$C:$C,'Factory Costs'!$A:$A,"Frame",'Factory Costs'!$B:$B,B2371))</f>
        <v>52</v>
      </c>
    </row>
    <row r="2372" spans="1:3" x14ac:dyDescent="0.25">
      <c r="A2372" s="1" t="s">
        <v>13669</v>
      </c>
      <c r="B2372" s="1" t="s">
        <v>16378</v>
      </c>
      <c r="C2372" s="3">
        <f>IF(B2372="","",SUMIFS('Factory Costs'!$C:$C,'Factory Costs'!$A:$A,"Frame",'Factory Costs'!$B:$B,B2372))</f>
        <v>52</v>
      </c>
    </row>
    <row r="2373" spans="1:3" x14ac:dyDescent="0.25">
      <c r="A2373" s="1" t="s">
        <v>13672</v>
      </c>
      <c r="B2373" s="1" t="s">
        <v>16377</v>
      </c>
      <c r="C2373" s="3">
        <f>IF(B2373="","",SUMIFS('Factory Costs'!$C:$C,'Factory Costs'!$A:$A,"Frame",'Factory Costs'!$B:$B,B2373))</f>
        <v>39</v>
      </c>
    </row>
    <row r="2374" spans="1:3" x14ac:dyDescent="0.25">
      <c r="A2374" s="1" t="s">
        <v>13675</v>
      </c>
      <c r="B2374" s="1" t="s">
        <v>16377</v>
      </c>
      <c r="C2374" s="3">
        <f>IF(B2374="","",SUMIFS('Factory Costs'!$C:$C,'Factory Costs'!$A:$A,"Frame",'Factory Costs'!$B:$B,B2374))</f>
        <v>39</v>
      </c>
    </row>
    <row r="2375" spans="1:3" x14ac:dyDescent="0.25">
      <c r="A2375" s="1" t="s">
        <v>13678</v>
      </c>
      <c r="B2375" s="1" t="s">
        <v>16377</v>
      </c>
      <c r="C2375" s="3">
        <f>IF(B2375="","",SUMIFS('Factory Costs'!$C:$C,'Factory Costs'!$A:$A,"Frame",'Factory Costs'!$B:$B,B2375))</f>
        <v>39</v>
      </c>
    </row>
    <row r="2376" spans="1:3" x14ac:dyDescent="0.25">
      <c r="A2376" s="1" t="s">
        <v>13681</v>
      </c>
      <c r="B2376" s="1" t="s">
        <v>16379</v>
      </c>
      <c r="C2376" s="3">
        <f>IF(B2376="","",SUMIFS('Factory Costs'!$C:$C,'Factory Costs'!$A:$A,"Frame",'Factory Costs'!$B:$B,B2376))</f>
        <v>45</v>
      </c>
    </row>
    <row r="2377" spans="1:3" x14ac:dyDescent="0.25">
      <c r="A2377" s="1" t="s">
        <v>13684</v>
      </c>
      <c r="B2377" s="1" t="s">
        <v>16379</v>
      </c>
      <c r="C2377" s="3">
        <f>IF(B2377="","",SUMIFS('Factory Costs'!$C:$C,'Factory Costs'!$A:$A,"Frame",'Factory Costs'!$B:$B,B2377))</f>
        <v>45</v>
      </c>
    </row>
    <row r="2378" spans="1:3" x14ac:dyDescent="0.25">
      <c r="A2378" s="1" t="s">
        <v>13687</v>
      </c>
      <c r="B2378" s="1" t="s">
        <v>16378</v>
      </c>
      <c r="C2378" s="3">
        <f>IF(B2378="","",SUMIFS('Factory Costs'!$C:$C,'Factory Costs'!$A:$A,"Frame",'Factory Costs'!$B:$B,B2378))</f>
        <v>52</v>
      </c>
    </row>
    <row r="2379" spans="1:3" x14ac:dyDescent="0.25">
      <c r="A2379" s="1" t="s">
        <v>13690</v>
      </c>
      <c r="B2379" s="1" t="s">
        <v>16377</v>
      </c>
      <c r="C2379" s="3">
        <f>IF(B2379="","",SUMIFS('Factory Costs'!$C:$C,'Factory Costs'!$A:$A,"Frame",'Factory Costs'!$B:$B,B2379))</f>
        <v>39</v>
      </c>
    </row>
    <row r="2380" spans="1:3" x14ac:dyDescent="0.25">
      <c r="A2380" s="1" t="s">
        <v>13693</v>
      </c>
      <c r="B2380" s="1" t="s">
        <v>16377</v>
      </c>
      <c r="C2380" s="3">
        <f>IF(B2380="","",SUMIFS('Factory Costs'!$C:$C,'Factory Costs'!$A:$A,"Frame",'Factory Costs'!$B:$B,B2380))</f>
        <v>39</v>
      </c>
    </row>
    <row r="2381" spans="1:3" x14ac:dyDescent="0.25">
      <c r="A2381" s="1" t="s">
        <v>13696</v>
      </c>
      <c r="B2381" s="1" t="s">
        <v>16377</v>
      </c>
      <c r="C2381" s="3">
        <f>IF(B2381="","",SUMIFS('Factory Costs'!$C:$C,'Factory Costs'!$A:$A,"Frame",'Factory Costs'!$B:$B,B2381))</f>
        <v>39</v>
      </c>
    </row>
    <row r="2382" spans="1:3" x14ac:dyDescent="0.25">
      <c r="A2382" s="1" t="s">
        <v>13699</v>
      </c>
      <c r="B2382" s="1" t="s">
        <v>16377</v>
      </c>
      <c r="C2382" s="3">
        <f>IF(B2382="","",SUMIFS('Factory Costs'!$C:$C,'Factory Costs'!$A:$A,"Frame",'Factory Costs'!$B:$B,B2382))</f>
        <v>39</v>
      </c>
    </row>
    <row r="2383" spans="1:3" x14ac:dyDescent="0.25">
      <c r="A2383" s="1" t="s">
        <v>13702</v>
      </c>
      <c r="B2383" s="1" t="s">
        <v>16379</v>
      </c>
      <c r="C2383" s="3">
        <f>IF(B2383="","",SUMIFS('Factory Costs'!$C:$C,'Factory Costs'!$A:$A,"Frame",'Factory Costs'!$B:$B,B2383))</f>
        <v>45</v>
      </c>
    </row>
    <row r="2384" spans="1:3" x14ac:dyDescent="0.25">
      <c r="A2384" s="1" t="s">
        <v>13705</v>
      </c>
      <c r="B2384" s="1" t="s">
        <v>16379</v>
      </c>
      <c r="C2384" s="3">
        <f>IF(B2384="","",SUMIFS('Factory Costs'!$C:$C,'Factory Costs'!$A:$A,"Frame",'Factory Costs'!$B:$B,B2384))</f>
        <v>45</v>
      </c>
    </row>
    <row r="2385" spans="1:3" x14ac:dyDescent="0.25">
      <c r="A2385" s="1" t="s">
        <v>13708</v>
      </c>
      <c r="B2385" s="1" t="s">
        <v>16377</v>
      </c>
      <c r="C2385" s="3">
        <f>IF(B2385="","",SUMIFS('Factory Costs'!$C:$C,'Factory Costs'!$A:$A,"Frame",'Factory Costs'!$B:$B,B2385))</f>
        <v>39</v>
      </c>
    </row>
    <row r="2386" spans="1:3" x14ac:dyDescent="0.25">
      <c r="A2386" s="1" t="s">
        <v>13711</v>
      </c>
      <c r="B2386" s="1" t="s">
        <v>16377</v>
      </c>
      <c r="C2386" s="3">
        <f>IF(B2386="","",SUMIFS('Factory Costs'!$C:$C,'Factory Costs'!$A:$A,"Frame",'Factory Costs'!$B:$B,B2386))</f>
        <v>39</v>
      </c>
    </row>
    <row r="2387" spans="1:3" x14ac:dyDescent="0.25">
      <c r="A2387" s="1" t="s">
        <v>13714</v>
      </c>
      <c r="B2387" s="1" t="s">
        <v>16378</v>
      </c>
      <c r="C2387" s="3">
        <f>IF(B2387="","",SUMIFS('Factory Costs'!$C:$C,'Factory Costs'!$A:$A,"Frame",'Factory Costs'!$B:$B,B2387))</f>
        <v>52</v>
      </c>
    </row>
    <row r="2388" spans="1:3" x14ac:dyDescent="0.25">
      <c r="A2388" s="1" t="s">
        <v>13717</v>
      </c>
      <c r="B2388" s="1" t="s">
        <v>16377</v>
      </c>
      <c r="C2388" s="3">
        <f>IF(B2388="","",SUMIFS('Factory Costs'!$C:$C,'Factory Costs'!$A:$A,"Frame",'Factory Costs'!$B:$B,B2388))</f>
        <v>39</v>
      </c>
    </row>
    <row r="2389" spans="1:3" x14ac:dyDescent="0.25">
      <c r="A2389" s="1" t="s">
        <v>13720</v>
      </c>
      <c r="B2389" s="1" t="s">
        <v>16377</v>
      </c>
      <c r="C2389" s="3">
        <f>IF(B2389="","",SUMIFS('Factory Costs'!$C:$C,'Factory Costs'!$A:$A,"Frame",'Factory Costs'!$B:$B,B2389))</f>
        <v>39</v>
      </c>
    </row>
    <row r="2390" spans="1:3" x14ac:dyDescent="0.25">
      <c r="A2390" s="1" t="s">
        <v>13723</v>
      </c>
      <c r="B2390" s="1" t="s">
        <v>16377</v>
      </c>
      <c r="C2390" s="3">
        <f>IF(B2390="","",SUMIFS('Factory Costs'!$C:$C,'Factory Costs'!$A:$A,"Frame",'Factory Costs'!$B:$B,B2390))</f>
        <v>39</v>
      </c>
    </row>
    <row r="2391" spans="1:3" x14ac:dyDescent="0.25">
      <c r="A2391" s="1" t="s">
        <v>13726</v>
      </c>
      <c r="B2391" s="1" t="s">
        <v>16377</v>
      </c>
      <c r="C2391" s="3">
        <f>IF(B2391="","",SUMIFS('Factory Costs'!$C:$C,'Factory Costs'!$A:$A,"Frame",'Factory Costs'!$B:$B,B2391))</f>
        <v>39</v>
      </c>
    </row>
    <row r="2392" spans="1:3" x14ac:dyDescent="0.25">
      <c r="A2392" s="1" t="s">
        <v>13729</v>
      </c>
      <c r="B2392" s="1" t="s">
        <v>16378</v>
      </c>
      <c r="C2392" s="3">
        <f>IF(B2392="","",SUMIFS('Factory Costs'!$C:$C,'Factory Costs'!$A:$A,"Frame",'Factory Costs'!$B:$B,B2392))</f>
        <v>52</v>
      </c>
    </row>
    <row r="2393" spans="1:3" x14ac:dyDescent="0.25">
      <c r="A2393" s="1" t="s">
        <v>13732</v>
      </c>
      <c r="B2393" s="1" t="s">
        <v>16377</v>
      </c>
      <c r="C2393" s="3">
        <f>IF(B2393="","",SUMIFS('Factory Costs'!$C:$C,'Factory Costs'!$A:$A,"Frame",'Factory Costs'!$B:$B,B2393))</f>
        <v>39</v>
      </c>
    </row>
    <row r="2394" spans="1:3" x14ac:dyDescent="0.25">
      <c r="A2394" s="1" t="s">
        <v>13735</v>
      </c>
      <c r="B2394" s="1" t="s">
        <v>16377</v>
      </c>
      <c r="C2394" s="3">
        <f>IF(B2394="","",SUMIFS('Factory Costs'!$C:$C,'Factory Costs'!$A:$A,"Frame",'Factory Costs'!$B:$B,B2394))</f>
        <v>39</v>
      </c>
    </row>
    <row r="2395" spans="1:3" x14ac:dyDescent="0.25">
      <c r="A2395" s="1" t="s">
        <v>13738</v>
      </c>
      <c r="B2395" s="1" t="s">
        <v>16378</v>
      </c>
      <c r="C2395" s="3">
        <f>IF(B2395="","",SUMIFS('Factory Costs'!$C:$C,'Factory Costs'!$A:$A,"Frame",'Factory Costs'!$B:$B,B2395))</f>
        <v>52</v>
      </c>
    </row>
    <row r="2396" spans="1:3" x14ac:dyDescent="0.25">
      <c r="A2396" s="1" t="s">
        <v>13741</v>
      </c>
      <c r="B2396" s="1" t="s">
        <v>16379</v>
      </c>
      <c r="C2396" s="3">
        <f>IF(B2396="","",SUMIFS('Factory Costs'!$C:$C,'Factory Costs'!$A:$A,"Frame",'Factory Costs'!$B:$B,B2396))</f>
        <v>45</v>
      </c>
    </row>
    <row r="2397" spans="1:3" x14ac:dyDescent="0.25">
      <c r="A2397" s="1" t="s">
        <v>13744</v>
      </c>
      <c r="B2397" s="1" t="s">
        <v>16378</v>
      </c>
      <c r="C2397" s="3">
        <f>IF(B2397="","",SUMIFS('Factory Costs'!$C:$C,'Factory Costs'!$A:$A,"Frame",'Factory Costs'!$B:$B,B2397))</f>
        <v>52</v>
      </c>
    </row>
    <row r="2398" spans="1:3" x14ac:dyDescent="0.25">
      <c r="A2398" s="1" t="s">
        <v>13747</v>
      </c>
      <c r="B2398" s="1" t="s">
        <v>16377</v>
      </c>
      <c r="C2398" s="3">
        <f>IF(B2398="","",SUMIFS('Factory Costs'!$C:$C,'Factory Costs'!$A:$A,"Frame",'Factory Costs'!$B:$B,B2398))</f>
        <v>39</v>
      </c>
    </row>
    <row r="2399" spans="1:3" x14ac:dyDescent="0.25">
      <c r="A2399" s="1" t="s">
        <v>13750</v>
      </c>
      <c r="B2399" s="1" t="s">
        <v>16378</v>
      </c>
      <c r="C2399" s="3">
        <f>IF(B2399="","",SUMIFS('Factory Costs'!$C:$C,'Factory Costs'!$A:$A,"Frame",'Factory Costs'!$B:$B,B2399))</f>
        <v>52</v>
      </c>
    </row>
    <row r="2400" spans="1:3" x14ac:dyDescent="0.25">
      <c r="A2400" s="1" t="s">
        <v>13753</v>
      </c>
      <c r="B2400" s="1" t="s">
        <v>16379</v>
      </c>
      <c r="C2400" s="3">
        <f>IF(B2400="","",SUMIFS('Factory Costs'!$C:$C,'Factory Costs'!$A:$A,"Frame",'Factory Costs'!$B:$B,B2400))</f>
        <v>45</v>
      </c>
    </row>
    <row r="2401" spans="1:3" x14ac:dyDescent="0.25">
      <c r="A2401" s="1" t="s">
        <v>13756</v>
      </c>
      <c r="B2401" s="1" t="s">
        <v>16378</v>
      </c>
      <c r="C2401" s="3">
        <f>IF(B2401="","",SUMIFS('Factory Costs'!$C:$C,'Factory Costs'!$A:$A,"Frame",'Factory Costs'!$B:$B,B2401))</f>
        <v>52</v>
      </c>
    </row>
    <row r="2402" spans="1:3" x14ac:dyDescent="0.25">
      <c r="A2402" s="1" t="s">
        <v>13759</v>
      </c>
      <c r="B2402" s="1" t="s">
        <v>16377</v>
      </c>
      <c r="C2402" s="3">
        <f>IF(B2402="","",SUMIFS('Factory Costs'!$C:$C,'Factory Costs'!$A:$A,"Frame",'Factory Costs'!$B:$B,B2402))</f>
        <v>39</v>
      </c>
    </row>
    <row r="2403" spans="1:3" x14ac:dyDescent="0.25">
      <c r="A2403" s="1" t="s">
        <v>13762</v>
      </c>
      <c r="B2403" s="1" t="s">
        <v>16378</v>
      </c>
      <c r="C2403" s="3">
        <f>IF(B2403="","",SUMIFS('Factory Costs'!$C:$C,'Factory Costs'!$A:$A,"Frame",'Factory Costs'!$B:$B,B2403))</f>
        <v>52</v>
      </c>
    </row>
    <row r="2404" spans="1:3" x14ac:dyDescent="0.25">
      <c r="A2404" s="1" t="s">
        <v>13765</v>
      </c>
      <c r="B2404" s="1" t="s">
        <v>16378</v>
      </c>
      <c r="C2404" s="3">
        <f>IF(B2404="","",SUMIFS('Factory Costs'!$C:$C,'Factory Costs'!$A:$A,"Frame",'Factory Costs'!$B:$B,B2404))</f>
        <v>52</v>
      </c>
    </row>
    <row r="2405" spans="1:3" x14ac:dyDescent="0.25">
      <c r="A2405" s="1" t="s">
        <v>13768</v>
      </c>
      <c r="B2405" s="1" t="s">
        <v>16378</v>
      </c>
      <c r="C2405" s="3">
        <f>IF(B2405="","",SUMIFS('Factory Costs'!$C:$C,'Factory Costs'!$A:$A,"Frame",'Factory Costs'!$B:$B,B2405))</f>
        <v>52</v>
      </c>
    </row>
    <row r="2406" spans="1:3" x14ac:dyDescent="0.25">
      <c r="A2406" s="1" t="s">
        <v>13771</v>
      </c>
      <c r="B2406" s="1" t="s">
        <v>16377</v>
      </c>
      <c r="C2406" s="3">
        <f>IF(B2406="","",SUMIFS('Factory Costs'!$C:$C,'Factory Costs'!$A:$A,"Frame",'Factory Costs'!$B:$B,B2406))</f>
        <v>39</v>
      </c>
    </row>
    <row r="2407" spans="1:3" x14ac:dyDescent="0.25">
      <c r="A2407" s="1" t="s">
        <v>13774</v>
      </c>
      <c r="B2407" s="1" t="s">
        <v>16378</v>
      </c>
      <c r="C2407" s="3">
        <f>IF(B2407="","",SUMIFS('Factory Costs'!$C:$C,'Factory Costs'!$A:$A,"Frame",'Factory Costs'!$B:$B,B2407))</f>
        <v>52</v>
      </c>
    </row>
    <row r="2408" spans="1:3" x14ac:dyDescent="0.25">
      <c r="A2408" s="1" t="s">
        <v>13777</v>
      </c>
      <c r="B2408" s="1" t="s">
        <v>16377</v>
      </c>
      <c r="C2408" s="3">
        <f>IF(B2408="","",SUMIFS('Factory Costs'!$C:$C,'Factory Costs'!$A:$A,"Frame",'Factory Costs'!$B:$B,B2408))</f>
        <v>39</v>
      </c>
    </row>
    <row r="2409" spans="1:3" x14ac:dyDescent="0.25">
      <c r="A2409" s="1" t="s">
        <v>13780</v>
      </c>
      <c r="B2409" s="1" t="s">
        <v>16377</v>
      </c>
      <c r="C2409" s="3">
        <f>IF(B2409="","",SUMIFS('Factory Costs'!$C:$C,'Factory Costs'!$A:$A,"Frame",'Factory Costs'!$B:$B,B2409))</f>
        <v>39</v>
      </c>
    </row>
    <row r="2410" spans="1:3" x14ac:dyDescent="0.25">
      <c r="A2410" s="1" t="s">
        <v>13783</v>
      </c>
      <c r="B2410" s="1" t="s">
        <v>16377</v>
      </c>
      <c r="C2410" s="3">
        <f>IF(B2410="","",SUMIFS('Factory Costs'!$C:$C,'Factory Costs'!$A:$A,"Frame",'Factory Costs'!$B:$B,B2410))</f>
        <v>39</v>
      </c>
    </row>
    <row r="2411" spans="1:3" x14ac:dyDescent="0.25">
      <c r="A2411" s="1" t="s">
        <v>13786</v>
      </c>
      <c r="B2411" s="1" t="s">
        <v>16379</v>
      </c>
      <c r="C2411" s="3">
        <f>IF(B2411="","",SUMIFS('Factory Costs'!$C:$C,'Factory Costs'!$A:$A,"Frame",'Factory Costs'!$B:$B,B2411))</f>
        <v>45</v>
      </c>
    </row>
    <row r="2412" spans="1:3" x14ac:dyDescent="0.25">
      <c r="A2412" s="1" t="s">
        <v>13789</v>
      </c>
      <c r="B2412" s="1" t="s">
        <v>16379</v>
      </c>
      <c r="C2412" s="3">
        <f>IF(B2412="","",SUMIFS('Factory Costs'!$C:$C,'Factory Costs'!$A:$A,"Frame",'Factory Costs'!$B:$B,B2412))</f>
        <v>45</v>
      </c>
    </row>
    <row r="2413" spans="1:3" x14ac:dyDescent="0.25">
      <c r="A2413" s="1" t="s">
        <v>13792</v>
      </c>
      <c r="B2413" s="1" t="s">
        <v>16379</v>
      </c>
      <c r="C2413" s="3">
        <f>IF(B2413="","",SUMIFS('Factory Costs'!$C:$C,'Factory Costs'!$A:$A,"Frame",'Factory Costs'!$B:$B,B2413))</f>
        <v>45</v>
      </c>
    </row>
    <row r="2414" spans="1:3" x14ac:dyDescent="0.25">
      <c r="A2414" s="1" t="s">
        <v>13795</v>
      </c>
      <c r="B2414" s="1" t="s">
        <v>16377</v>
      </c>
      <c r="C2414" s="3">
        <f>IF(B2414="","",SUMIFS('Factory Costs'!$C:$C,'Factory Costs'!$A:$A,"Frame",'Factory Costs'!$B:$B,B2414))</f>
        <v>39</v>
      </c>
    </row>
    <row r="2415" spans="1:3" x14ac:dyDescent="0.25">
      <c r="A2415" s="1" t="s">
        <v>13798</v>
      </c>
      <c r="B2415" s="1" t="s">
        <v>16377</v>
      </c>
      <c r="C2415" s="3">
        <f>IF(B2415="","",SUMIFS('Factory Costs'!$C:$C,'Factory Costs'!$A:$A,"Frame",'Factory Costs'!$B:$B,B2415))</f>
        <v>39</v>
      </c>
    </row>
    <row r="2416" spans="1:3" x14ac:dyDescent="0.25">
      <c r="A2416" s="1" t="s">
        <v>13801</v>
      </c>
      <c r="B2416" s="1" t="s">
        <v>16379</v>
      </c>
      <c r="C2416" s="3">
        <f>IF(B2416="","",SUMIFS('Factory Costs'!$C:$C,'Factory Costs'!$A:$A,"Frame",'Factory Costs'!$B:$B,B2416))</f>
        <v>45</v>
      </c>
    </row>
    <row r="2417" spans="1:3" x14ac:dyDescent="0.25">
      <c r="A2417" s="1" t="s">
        <v>13804</v>
      </c>
      <c r="B2417" s="1" t="s">
        <v>16377</v>
      </c>
      <c r="C2417" s="3">
        <f>IF(B2417="","",SUMIFS('Factory Costs'!$C:$C,'Factory Costs'!$A:$A,"Frame",'Factory Costs'!$B:$B,B2417))</f>
        <v>39</v>
      </c>
    </row>
    <row r="2418" spans="1:3" x14ac:dyDescent="0.25">
      <c r="A2418" s="1" t="s">
        <v>13807</v>
      </c>
      <c r="B2418" s="1" t="s">
        <v>16377</v>
      </c>
      <c r="C2418" s="3">
        <f>IF(B2418="","",SUMIFS('Factory Costs'!$C:$C,'Factory Costs'!$A:$A,"Frame",'Factory Costs'!$B:$B,B2418))</f>
        <v>39</v>
      </c>
    </row>
    <row r="2419" spans="1:3" x14ac:dyDescent="0.25">
      <c r="A2419" s="1" t="s">
        <v>13810</v>
      </c>
      <c r="B2419" s="1" t="s">
        <v>16377</v>
      </c>
      <c r="C2419" s="3">
        <f>IF(B2419="","",SUMIFS('Factory Costs'!$C:$C,'Factory Costs'!$A:$A,"Frame",'Factory Costs'!$B:$B,B2419))</f>
        <v>39</v>
      </c>
    </row>
    <row r="2420" spans="1:3" x14ac:dyDescent="0.25">
      <c r="A2420" s="1" t="s">
        <v>13813</v>
      </c>
      <c r="B2420" s="1" t="s">
        <v>16377</v>
      </c>
      <c r="C2420" s="3">
        <f>IF(B2420="","",SUMIFS('Factory Costs'!$C:$C,'Factory Costs'!$A:$A,"Frame",'Factory Costs'!$B:$B,B2420))</f>
        <v>39</v>
      </c>
    </row>
    <row r="2421" spans="1:3" x14ac:dyDescent="0.25">
      <c r="A2421" s="1" t="s">
        <v>13816</v>
      </c>
      <c r="B2421" s="1" t="s">
        <v>16378</v>
      </c>
      <c r="C2421" s="3">
        <f>IF(B2421="","",SUMIFS('Factory Costs'!$C:$C,'Factory Costs'!$A:$A,"Frame",'Factory Costs'!$B:$B,B2421))</f>
        <v>52</v>
      </c>
    </row>
    <row r="2422" spans="1:3" x14ac:dyDescent="0.25">
      <c r="A2422" s="1" t="s">
        <v>13819</v>
      </c>
      <c r="B2422" s="1" t="s">
        <v>16379</v>
      </c>
      <c r="C2422" s="3">
        <f>IF(B2422="","",SUMIFS('Factory Costs'!$C:$C,'Factory Costs'!$A:$A,"Frame",'Factory Costs'!$B:$B,B2422))</f>
        <v>45</v>
      </c>
    </row>
    <row r="2423" spans="1:3" x14ac:dyDescent="0.25">
      <c r="A2423" s="1" t="s">
        <v>13822</v>
      </c>
      <c r="B2423" s="1" t="s">
        <v>16378</v>
      </c>
      <c r="C2423" s="3">
        <f>IF(B2423="","",SUMIFS('Factory Costs'!$C:$C,'Factory Costs'!$A:$A,"Frame",'Factory Costs'!$B:$B,B2423))</f>
        <v>52</v>
      </c>
    </row>
    <row r="2424" spans="1:3" x14ac:dyDescent="0.25">
      <c r="A2424" s="1" t="s">
        <v>13825</v>
      </c>
      <c r="B2424" s="1" t="s">
        <v>16377</v>
      </c>
      <c r="C2424" s="3">
        <f>IF(B2424="","",SUMIFS('Factory Costs'!$C:$C,'Factory Costs'!$A:$A,"Frame",'Factory Costs'!$B:$B,B2424))</f>
        <v>39</v>
      </c>
    </row>
    <row r="2425" spans="1:3" x14ac:dyDescent="0.25">
      <c r="A2425" s="1" t="s">
        <v>13828</v>
      </c>
      <c r="B2425" s="1" t="s">
        <v>16377</v>
      </c>
      <c r="C2425" s="3">
        <f>IF(B2425="","",SUMIFS('Factory Costs'!$C:$C,'Factory Costs'!$A:$A,"Frame",'Factory Costs'!$B:$B,B2425))</f>
        <v>39</v>
      </c>
    </row>
    <row r="2426" spans="1:3" x14ac:dyDescent="0.25">
      <c r="A2426" s="1" t="s">
        <v>13831</v>
      </c>
      <c r="B2426" s="1" t="s">
        <v>16379</v>
      </c>
      <c r="C2426" s="3">
        <f>IF(B2426="","",SUMIFS('Factory Costs'!$C:$C,'Factory Costs'!$A:$A,"Frame",'Factory Costs'!$B:$B,B2426))</f>
        <v>45</v>
      </c>
    </row>
    <row r="2427" spans="1:3" x14ac:dyDescent="0.25">
      <c r="A2427" s="1" t="s">
        <v>13834</v>
      </c>
      <c r="B2427" s="1" t="s">
        <v>16379</v>
      </c>
      <c r="C2427" s="3">
        <f>IF(B2427="","",SUMIFS('Factory Costs'!$C:$C,'Factory Costs'!$A:$A,"Frame",'Factory Costs'!$B:$B,B2427))</f>
        <v>45</v>
      </c>
    </row>
    <row r="2428" spans="1:3" x14ac:dyDescent="0.25">
      <c r="A2428" s="1" t="s">
        <v>13837</v>
      </c>
      <c r="B2428" s="1" t="s">
        <v>16378</v>
      </c>
      <c r="C2428" s="3">
        <f>IF(B2428="","",SUMIFS('Factory Costs'!$C:$C,'Factory Costs'!$A:$A,"Frame",'Factory Costs'!$B:$B,B2428))</f>
        <v>52</v>
      </c>
    </row>
    <row r="2429" spans="1:3" x14ac:dyDescent="0.25">
      <c r="A2429" s="1" t="s">
        <v>13840</v>
      </c>
      <c r="B2429" s="1" t="s">
        <v>16379</v>
      </c>
      <c r="C2429" s="3">
        <f>IF(B2429="","",SUMIFS('Factory Costs'!$C:$C,'Factory Costs'!$A:$A,"Frame",'Factory Costs'!$B:$B,B2429))</f>
        <v>45</v>
      </c>
    </row>
    <row r="2430" spans="1:3" x14ac:dyDescent="0.25">
      <c r="A2430" s="1" t="s">
        <v>13843</v>
      </c>
      <c r="B2430" s="1" t="s">
        <v>16378</v>
      </c>
      <c r="C2430" s="3">
        <f>IF(B2430="","",SUMIFS('Factory Costs'!$C:$C,'Factory Costs'!$A:$A,"Frame",'Factory Costs'!$B:$B,B2430))</f>
        <v>52</v>
      </c>
    </row>
    <row r="2431" spans="1:3" x14ac:dyDescent="0.25">
      <c r="A2431" s="1" t="s">
        <v>13846</v>
      </c>
      <c r="B2431" s="1" t="s">
        <v>16379</v>
      </c>
      <c r="C2431" s="3">
        <f>IF(B2431="","",SUMIFS('Factory Costs'!$C:$C,'Factory Costs'!$A:$A,"Frame",'Factory Costs'!$B:$B,B2431))</f>
        <v>45</v>
      </c>
    </row>
    <row r="2432" spans="1:3" x14ac:dyDescent="0.25">
      <c r="A2432" s="1" t="s">
        <v>13849</v>
      </c>
      <c r="B2432" s="1" t="s">
        <v>16379</v>
      </c>
      <c r="C2432" s="3">
        <f>IF(B2432="","",SUMIFS('Factory Costs'!$C:$C,'Factory Costs'!$A:$A,"Frame",'Factory Costs'!$B:$B,B2432))</f>
        <v>45</v>
      </c>
    </row>
    <row r="2433" spans="1:3" x14ac:dyDescent="0.25">
      <c r="A2433" s="1" t="s">
        <v>13852</v>
      </c>
      <c r="B2433" s="1" t="s">
        <v>16378</v>
      </c>
      <c r="C2433" s="3">
        <f>IF(B2433="","",SUMIFS('Factory Costs'!$C:$C,'Factory Costs'!$A:$A,"Frame",'Factory Costs'!$B:$B,B2433))</f>
        <v>52</v>
      </c>
    </row>
    <row r="2434" spans="1:3" x14ac:dyDescent="0.25">
      <c r="A2434" s="1" t="s">
        <v>13855</v>
      </c>
      <c r="B2434" s="1" t="s">
        <v>16377</v>
      </c>
      <c r="C2434" s="3">
        <f>IF(B2434="","",SUMIFS('Factory Costs'!$C:$C,'Factory Costs'!$A:$A,"Frame",'Factory Costs'!$B:$B,B2434))</f>
        <v>39</v>
      </c>
    </row>
    <row r="2435" spans="1:3" x14ac:dyDescent="0.25">
      <c r="A2435" s="1" t="s">
        <v>13858</v>
      </c>
      <c r="B2435" s="1" t="s">
        <v>16377</v>
      </c>
      <c r="C2435" s="3">
        <f>IF(B2435="","",SUMIFS('Factory Costs'!$C:$C,'Factory Costs'!$A:$A,"Frame",'Factory Costs'!$B:$B,B2435))</f>
        <v>39</v>
      </c>
    </row>
    <row r="2436" spans="1:3" x14ac:dyDescent="0.25">
      <c r="A2436" s="1" t="s">
        <v>13861</v>
      </c>
      <c r="B2436" s="1" t="s">
        <v>16377</v>
      </c>
      <c r="C2436" s="3">
        <f>IF(B2436="","",SUMIFS('Factory Costs'!$C:$C,'Factory Costs'!$A:$A,"Frame",'Factory Costs'!$B:$B,B2436))</f>
        <v>39</v>
      </c>
    </row>
    <row r="2437" spans="1:3" x14ac:dyDescent="0.25">
      <c r="A2437" s="1" t="s">
        <v>13864</v>
      </c>
      <c r="B2437" s="1" t="s">
        <v>16377</v>
      </c>
      <c r="C2437" s="3">
        <f>IF(B2437="","",SUMIFS('Factory Costs'!$C:$C,'Factory Costs'!$A:$A,"Frame",'Factory Costs'!$B:$B,B2437))</f>
        <v>39</v>
      </c>
    </row>
    <row r="2438" spans="1:3" x14ac:dyDescent="0.25">
      <c r="A2438" s="1" t="s">
        <v>13867</v>
      </c>
      <c r="B2438" s="1" t="s">
        <v>16378</v>
      </c>
      <c r="C2438" s="3">
        <f>IF(B2438="","",SUMIFS('Factory Costs'!$C:$C,'Factory Costs'!$A:$A,"Frame",'Factory Costs'!$B:$B,B2438))</f>
        <v>52</v>
      </c>
    </row>
    <row r="2439" spans="1:3" x14ac:dyDescent="0.25">
      <c r="A2439" s="1" t="s">
        <v>13870</v>
      </c>
      <c r="B2439" s="1" t="s">
        <v>16379</v>
      </c>
      <c r="C2439" s="3">
        <f>IF(B2439="","",SUMIFS('Factory Costs'!$C:$C,'Factory Costs'!$A:$A,"Frame",'Factory Costs'!$B:$B,B2439))</f>
        <v>45</v>
      </c>
    </row>
    <row r="2440" spans="1:3" x14ac:dyDescent="0.25">
      <c r="A2440" s="1" t="s">
        <v>13873</v>
      </c>
      <c r="B2440" s="1" t="s">
        <v>16379</v>
      </c>
      <c r="C2440" s="3">
        <f>IF(B2440="","",SUMIFS('Factory Costs'!$C:$C,'Factory Costs'!$A:$A,"Frame",'Factory Costs'!$B:$B,B2440))</f>
        <v>45</v>
      </c>
    </row>
    <row r="2441" spans="1:3" x14ac:dyDescent="0.25">
      <c r="A2441" s="1" t="s">
        <v>13876</v>
      </c>
      <c r="B2441" s="1" t="s">
        <v>16378</v>
      </c>
      <c r="C2441" s="3">
        <f>IF(B2441="","",SUMIFS('Factory Costs'!$C:$C,'Factory Costs'!$A:$A,"Frame",'Factory Costs'!$B:$B,B2441))</f>
        <v>52</v>
      </c>
    </row>
    <row r="2442" spans="1:3" x14ac:dyDescent="0.25">
      <c r="A2442" s="1" t="s">
        <v>13879</v>
      </c>
      <c r="B2442" s="1" t="s">
        <v>16378</v>
      </c>
      <c r="C2442" s="3">
        <f>IF(B2442="","",SUMIFS('Factory Costs'!$C:$C,'Factory Costs'!$A:$A,"Frame",'Factory Costs'!$B:$B,B2442))</f>
        <v>52</v>
      </c>
    </row>
    <row r="2443" spans="1:3" x14ac:dyDescent="0.25">
      <c r="A2443" s="1" t="s">
        <v>13882</v>
      </c>
      <c r="B2443" s="1" t="s">
        <v>16379</v>
      </c>
      <c r="C2443" s="3">
        <f>IF(B2443="","",SUMIFS('Factory Costs'!$C:$C,'Factory Costs'!$A:$A,"Frame",'Factory Costs'!$B:$B,B2443))</f>
        <v>45</v>
      </c>
    </row>
    <row r="2444" spans="1:3" x14ac:dyDescent="0.25">
      <c r="A2444" s="1" t="s">
        <v>13885</v>
      </c>
      <c r="B2444" s="1" t="s">
        <v>16378</v>
      </c>
      <c r="C2444" s="3">
        <f>IF(B2444="","",SUMIFS('Factory Costs'!$C:$C,'Factory Costs'!$A:$A,"Frame",'Factory Costs'!$B:$B,B2444))</f>
        <v>52</v>
      </c>
    </row>
    <row r="2445" spans="1:3" x14ac:dyDescent="0.25">
      <c r="A2445" s="1" t="s">
        <v>13888</v>
      </c>
      <c r="B2445" s="1" t="s">
        <v>16379</v>
      </c>
      <c r="C2445" s="3">
        <f>IF(B2445="","",SUMIFS('Factory Costs'!$C:$C,'Factory Costs'!$A:$A,"Frame",'Factory Costs'!$B:$B,B2445))</f>
        <v>45</v>
      </c>
    </row>
    <row r="2446" spans="1:3" x14ac:dyDescent="0.25">
      <c r="A2446" s="1" t="s">
        <v>13891</v>
      </c>
      <c r="B2446" s="1" t="s">
        <v>16377</v>
      </c>
      <c r="C2446" s="3">
        <f>IF(B2446="","",SUMIFS('Factory Costs'!$C:$C,'Factory Costs'!$A:$A,"Frame",'Factory Costs'!$B:$B,B2446))</f>
        <v>39</v>
      </c>
    </row>
    <row r="2447" spans="1:3" x14ac:dyDescent="0.25">
      <c r="A2447" s="1" t="s">
        <v>13894</v>
      </c>
      <c r="B2447" s="1" t="s">
        <v>16377</v>
      </c>
      <c r="C2447" s="3">
        <f>IF(B2447="","",SUMIFS('Factory Costs'!$C:$C,'Factory Costs'!$A:$A,"Frame",'Factory Costs'!$B:$B,B2447))</f>
        <v>39</v>
      </c>
    </row>
    <row r="2448" spans="1:3" x14ac:dyDescent="0.25">
      <c r="A2448" s="1" t="s">
        <v>13897</v>
      </c>
      <c r="B2448" s="1" t="s">
        <v>16379</v>
      </c>
      <c r="C2448" s="3">
        <f>IF(B2448="","",SUMIFS('Factory Costs'!$C:$C,'Factory Costs'!$A:$A,"Frame",'Factory Costs'!$B:$B,B2448))</f>
        <v>45</v>
      </c>
    </row>
    <row r="2449" spans="1:3" x14ac:dyDescent="0.25">
      <c r="A2449" s="1" t="s">
        <v>13900</v>
      </c>
      <c r="B2449" s="1" t="s">
        <v>16379</v>
      </c>
      <c r="C2449" s="3">
        <f>IF(B2449="","",SUMIFS('Factory Costs'!$C:$C,'Factory Costs'!$A:$A,"Frame",'Factory Costs'!$B:$B,B2449))</f>
        <v>45</v>
      </c>
    </row>
    <row r="2450" spans="1:3" x14ac:dyDescent="0.25">
      <c r="A2450" s="1" t="s">
        <v>13903</v>
      </c>
      <c r="B2450" s="1" t="s">
        <v>16378</v>
      </c>
      <c r="C2450" s="3">
        <f>IF(B2450="","",SUMIFS('Factory Costs'!$C:$C,'Factory Costs'!$A:$A,"Frame",'Factory Costs'!$B:$B,B2450))</f>
        <v>52</v>
      </c>
    </row>
    <row r="2451" spans="1:3" x14ac:dyDescent="0.25">
      <c r="A2451" s="1" t="s">
        <v>13906</v>
      </c>
      <c r="B2451" s="1" t="s">
        <v>16377</v>
      </c>
      <c r="C2451" s="3">
        <f>IF(B2451="","",SUMIFS('Factory Costs'!$C:$C,'Factory Costs'!$A:$A,"Frame",'Factory Costs'!$B:$B,B2451))</f>
        <v>39</v>
      </c>
    </row>
    <row r="2452" spans="1:3" x14ac:dyDescent="0.25">
      <c r="A2452" s="1" t="s">
        <v>13909</v>
      </c>
      <c r="B2452" s="1" t="s">
        <v>16377</v>
      </c>
      <c r="C2452" s="3">
        <f>IF(B2452="","",SUMIFS('Factory Costs'!$C:$C,'Factory Costs'!$A:$A,"Frame",'Factory Costs'!$B:$B,B2452))</f>
        <v>39</v>
      </c>
    </row>
    <row r="2453" spans="1:3" x14ac:dyDescent="0.25">
      <c r="A2453" s="1" t="s">
        <v>13912</v>
      </c>
      <c r="B2453" s="1" t="s">
        <v>16377</v>
      </c>
      <c r="C2453" s="3">
        <f>IF(B2453="","",SUMIFS('Factory Costs'!$C:$C,'Factory Costs'!$A:$A,"Frame",'Factory Costs'!$B:$B,B2453))</f>
        <v>39</v>
      </c>
    </row>
    <row r="2454" spans="1:3" x14ac:dyDescent="0.25">
      <c r="A2454" s="1" t="s">
        <v>13915</v>
      </c>
      <c r="B2454" s="1" t="s">
        <v>16377</v>
      </c>
      <c r="C2454" s="3">
        <f>IF(B2454="","",SUMIFS('Factory Costs'!$C:$C,'Factory Costs'!$A:$A,"Frame",'Factory Costs'!$B:$B,B2454))</f>
        <v>39</v>
      </c>
    </row>
    <row r="2455" spans="1:3" x14ac:dyDescent="0.25">
      <c r="A2455" s="1" t="s">
        <v>13918</v>
      </c>
      <c r="B2455" s="1" t="s">
        <v>16379</v>
      </c>
      <c r="C2455" s="3">
        <f>IF(B2455="","",SUMIFS('Factory Costs'!$C:$C,'Factory Costs'!$A:$A,"Frame",'Factory Costs'!$B:$B,B2455))</f>
        <v>45</v>
      </c>
    </row>
    <row r="2456" spans="1:3" x14ac:dyDescent="0.25">
      <c r="A2456" s="1" t="s">
        <v>13921</v>
      </c>
      <c r="B2456" s="1" t="s">
        <v>16379</v>
      </c>
      <c r="C2456" s="3">
        <f>IF(B2456="","",SUMIFS('Factory Costs'!$C:$C,'Factory Costs'!$A:$A,"Frame",'Factory Costs'!$B:$B,B2456))</f>
        <v>45</v>
      </c>
    </row>
    <row r="2457" spans="1:3" x14ac:dyDescent="0.25">
      <c r="A2457" s="1" t="s">
        <v>13924</v>
      </c>
      <c r="B2457" s="1" t="s">
        <v>16377</v>
      </c>
      <c r="C2457" s="3">
        <f>IF(B2457="","",SUMIFS('Factory Costs'!$C:$C,'Factory Costs'!$A:$A,"Frame",'Factory Costs'!$B:$B,B2457))</f>
        <v>39</v>
      </c>
    </row>
    <row r="2458" spans="1:3" x14ac:dyDescent="0.25">
      <c r="A2458" s="1" t="s">
        <v>13927</v>
      </c>
      <c r="B2458" s="1" t="s">
        <v>16377</v>
      </c>
      <c r="C2458" s="3">
        <f>IF(B2458="","",SUMIFS('Factory Costs'!$C:$C,'Factory Costs'!$A:$A,"Frame",'Factory Costs'!$B:$B,B2458))</f>
        <v>39</v>
      </c>
    </row>
    <row r="2459" spans="1:3" x14ac:dyDescent="0.25">
      <c r="A2459" s="1" t="s">
        <v>13930</v>
      </c>
      <c r="B2459" s="1" t="s">
        <v>16377</v>
      </c>
      <c r="C2459" s="3">
        <f>IF(B2459="","",SUMIFS('Factory Costs'!$C:$C,'Factory Costs'!$A:$A,"Frame",'Factory Costs'!$B:$B,B2459))</f>
        <v>39</v>
      </c>
    </row>
    <row r="2460" spans="1:3" x14ac:dyDescent="0.25">
      <c r="A2460" s="1" t="s">
        <v>13933</v>
      </c>
      <c r="B2460" s="1" t="s">
        <v>16378</v>
      </c>
      <c r="C2460" s="3">
        <f>IF(B2460="","",SUMIFS('Factory Costs'!$C:$C,'Factory Costs'!$A:$A,"Frame",'Factory Costs'!$B:$B,B2460))</f>
        <v>52</v>
      </c>
    </row>
    <row r="2461" spans="1:3" x14ac:dyDescent="0.25">
      <c r="A2461" s="1" t="s">
        <v>13936</v>
      </c>
      <c r="B2461" s="1" t="s">
        <v>16378</v>
      </c>
      <c r="C2461" s="3">
        <f>IF(B2461="","",SUMIFS('Factory Costs'!$C:$C,'Factory Costs'!$A:$A,"Frame",'Factory Costs'!$B:$B,B2461))</f>
        <v>52</v>
      </c>
    </row>
    <row r="2462" spans="1:3" x14ac:dyDescent="0.25">
      <c r="A2462" s="1" t="s">
        <v>13939</v>
      </c>
      <c r="B2462" s="1" t="s">
        <v>16377</v>
      </c>
      <c r="C2462" s="3">
        <f>IF(B2462="","",SUMIFS('Factory Costs'!$C:$C,'Factory Costs'!$A:$A,"Frame",'Factory Costs'!$B:$B,B2462))</f>
        <v>39</v>
      </c>
    </row>
    <row r="2463" spans="1:3" x14ac:dyDescent="0.25">
      <c r="A2463" s="1" t="s">
        <v>13942</v>
      </c>
      <c r="B2463" s="1" t="s">
        <v>16377</v>
      </c>
      <c r="C2463" s="3">
        <f>IF(B2463="","",SUMIFS('Factory Costs'!$C:$C,'Factory Costs'!$A:$A,"Frame",'Factory Costs'!$B:$B,B2463))</f>
        <v>39</v>
      </c>
    </row>
    <row r="2464" spans="1:3" x14ac:dyDescent="0.25">
      <c r="A2464" s="1" t="s">
        <v>13945</v>
      </c>
      <c r="B2464" s="1" t="s">
        <v>16377</v>
      </c>
      <c r="C2464" s="3">
        <f>IF(B2464="","",SUMIFS('Factory Costs'!$C:$C,'Factory Costs'!$A:$A,"Frame",'Factory Costs'!$B:$B,B2464))</f>
        <v>39</v>
      </c>
    </row>
    <row r="2465" spans="1:3" x14ac:dyDescent="0.25">
      <c r="A2465" s="1" t="s">
        <v>13948</v>
      </c>
      <c r="B2465" s="1" t="s">
        <v>16377</v>
      </c>
      <c r="C2465" s="3">
        <f>IF(B2465="","",SUMIFS('Factory Costs'!$C:$C,'Factory Costs'!$A:$A,"Frame",'Factory Costs'!$B:$B,B2465))</f>
        <v>39</v>
      </c>
    </row>
    <row r="2466" spans="1:3" x14ac:dyDescent="0.25">
      <c r="A2466" s="1" t="s">
        <v>13951</v>
      </c>
      <c r="B2466" s="1" t="s">
        <v>16379</v>
      </c>
      <c r="C2466" s="3">
        <f>IF(B2466="","",SUMIFS('Factory Costs'!$C:$C,'Factory Costs'!$A:$A,"Frame",'Factory Costs'!$B:$B,B2466))</f>
        <v>45</v>
      </c>
    </row>
    <row r="2467" spans="1:3" x14ac:dyDescent="0.25">
      <c r="A2467" s="1" t="s">
        <v>13954</v>
      </c>
      <c r="B2467" s="1" t="s">
        <v>16378</v>
      </c>
      <c r="C2467" s="3">
        <f>IF(B2467="","",SUMIFS('Factory Costs'!$C:$C,'Factory Costs'!$A:$A,"Frame",'Factory Costs'!$B:$B,B2467))</f>
        <v>52</v>
      </c>
    </row>
    <row r="2468" spans="1:3" x14ac:dyDescent="0.25">
      <c r="A2468" s="1" t="s">
        <v>13957</v>
      </c>
      <c r="B2468" s="1" t="s">
        <v>16379</v>
      </c>
      <c r="C2468" s="3">
        <f>IF(B2468="","",SUMIFS('Factory Costs'!$C:$C,'Factory Costs'!$A:$A,"Frame",'Factory Costs'!$B:$B,B2468))</f>
        <v>45</v>
      </c>
    </row>
    <row r="2469" spans="1:3" x14ac:dyDescent="0.25">
      <c r="A2469" s="1" t="s">
        <v>13960</v>
      </c>
      <c r="B2469" s="1" t="s">
        <v>16377</v>
      </c>
      <c r="C2469" s="3">
        <f>IF(B2469="","",SUMIFS('Factory Costs'!$C:$C,'Factory Costs'!$A:$A,"Frame",'Factory Costs'!$B:$B,B2469))</f>
        <v>39</v>
      </c>
    </row>
    <row r="2470" spans="1:3" x14ac:dyDescent="0.25">
      <c r="A2470" s="1" t="s">
        <v>13963</v>
      </c>
      <c r="B2470" s="1" t="s">
        <v>16379</v>
      </c>
      <c r="C2470" s="3">
        <f>IF(B2470="","",SUMIFS('Factory Costs'!$C:$C,'Factory Costs'!$A:$A,"Frame",'Factory Costs'!$B:$B,B2470))</f>
        <v>45</v>
      </c>
    </row>
    <row r="2471" spans="1:3" x14ac:dyDescent="0.25">
      <c r="A2471" s="1" t="s">
        <v>13966</v>
      </c>
      <c r="B2471" s="1" t="s">
        <v>16379</v>
      </c>
      <c r="C2471" s="3">
        <f>IF(B2471="","",SUMIFS('Factory Costs'!$C:$C,'Factory Costs'!$A:$A,"Frame",'Factory Costs'!$B:$B,B2471))</f>
        <v>45</v>
      </c>
    </row>
    <row r="2472" spans="1:3" x14ac:dyDescent="0.25">
      <c r="A2472" s="1" t="s">
        <v>13969</v>
      </c>
      <c r="B2472" s="1" t="s">
        <v>16377</v>
      </c>
      <c r="C2472" s="3">
        <f>IF(B2472="","",SUMIFS('Factory Costs'!$C:$C,'Factory Costs'!$A:$A,"Frame",'Factory Costs'!$B:$B,B2472))</f>
        <v>39</v>
      </c>
    </row>
    <row r="2473" spans="1:3" x14ac:dyDescent="0.25">
      <c r="A2473" s="1" t="s">
        <v>13972</v>
      </c>
      <c r="B2473" s="1" t="s">
        <v>16377</v>
      </c>
      <c r="C2473" s="3">
        <f>IF(B2473="","",SUMIFS('Factory Costs'!$C:$C,'Factory Costs'!$A:$A,"Frame",'Factory Costs'!$B:$B,B2473))</f>
        <v>39</v>
      </c>
    </row>
    <row r="2474" spans="1:3" x14ac:dyDescent="0.25">
      <c r="A2474" s="1" t="s">
        <v>13975</v>
      </c>
      <c r="B2474" s="1" t="s">
        <v>16379</v>
      </c>
      <c r="C2474" s="3">
        <f>IF(B2474="","",SUMIFS('Factory Costs'!$C:$C,'Factory Costs'!$A:$A,"Frame",'Factory Costs'!$B:$B,B2474))</f>
        <v>45</v>
      </c>
    </row>
    <row r="2475" spans="1:3" x14ac:dyDescent="0.25">
      <c r="A2475" s="1" t="s">
        <v>13978</v>
      </c>
      <c r="B2475" s="1" t="s">
        <v>16378</v>
      </c>
      <c r="C2475" s="3">
        <f>IF(B2475="","",SUMIFS('Factory Costs'!$C:$C,'Factory Costs'!$A:$A,"Frame",'Factory Costs'!$B:$B,B2475))</f>
        <v>52</v>
      </c>
    </row>
    <row r="2476" spans="1:3" x14ac:dyDescent="0.25">
      <c r="A2476" s="1" t="s">
        <v>13981</v>
      </c>
      <c r="B2476" s="1" t="s">
        <v>16377</v>
      </c>
      <c r="C2476" s="3">
        <f>IF(B2476="","",SUMIFS('Factory Costs'!$C:$C,'Factory Costs'!$A:$A,"Frame",'Factory Costs'!$B:$B,B2476))</f>
        <v>39</v>
      </c>
    </row>
    <row r="2477" spans="1:3" x14ac:dyDescent="0.25">
      <c r="A2477" s="1" t="s">
        <v>13984</v>
      </c>
      <c r="B2477" s="1" t="s">
        <v>16379</v>
      </c>
      <c r="C2477" s="3">
        <f>IF(B2477="","",SUMIFS('Factory Costs'!$C:$C,'Factory Costs'!$A:$A,"Frame",'Factory Costs'!$B:$B,B2477))</f>
        <v>45</v>
      </c>
    </row>
    <row r="2478" spans="1:3" x14ac:dyDescent="0.25">
      <c r="A2478" s="1" t="s">
        <v>13987</v>
      </c>
      <c r="B2478" s="1" t="s">
        <v>16378</v>
      </c>
      <c r="C2478" s="3">
        <f>IF(B2478="","",SUMIFS('Factory Costs'!$C:$C,'Factory Costs'!$A:$A,"Frame",'Factory Costs'!$B:$B,B2478))</f>
        <v>52</v>
      </c>
    </row>
    <row r="2479" spans="1:3" x14ac:dyDescent="0.25">
      <c r="A2479" s="1" t="s">
        <v>13990</v>
      </c>
      <c r="B2479" s="1" t="s">
        <v>16379</v>
      </c>
      <c r="C2479" s="3">
        <f>IF(B2479="","",SUMIFS('Factory Costs'!$C:$C,'Factory Costs'!$A:$A,"Frame",'Factory Costs'!$B:$B,B2479))</f>
        <v>45</v>
      </c>
    </row>
    <row r="2480" spans="1:3" x14ac:dyDescent="0.25">
      <c r="A2480" s="1" t="s">
        <v>13993</v>
      </c>
      <c r="B2480" s="1" t="s">
        <v>16379</v>
      </c>
      <c r="C2480" s="3">
        <f>IF(B2480="","",SUMIFS('Factory Costs'!$C:$C,'Factory Costs'!$A:$A,"Frame",'Factory Costs'!$B:$B,B2480))</f>
        <v>45</v>
      </c>
    </row>
    <row r="2481" spans="1:3" x14ac:dyDescent="0.25">
      <c r="A2481" s="1" t="s">
        <v>13996</v>
      </c>
      <c r="B2481" s="1" t="s">
        <v>16378</v>
      </c>
      <c r="C2481" s="3">
        <f>IF(B2481="","",SUMIFS('Factory Costs'!$C:$C,'Factory Costs'!$A:$A,"Frame",'Factory Costs'!$B:$B,B2481))</f>
        <v>52</v>
      </c>
    </row>
    <row r="2482" spans="1:3" x14ac:dyDescent="0.25">
      <c r="A2482" s="1" t="s">
        <v>13999</v>
      </c>
      <c r="B2482" s="1" t="s">
        <v>16377</v>
      </c>
      <c r="C2482" s="3">
        <f>IF(B2482="","",SUMIFS('Factory Costs'!$C:$C,'Factory Costs'!$A:$A,"Frame",'Factory Costs'!$B:$B,B2482))</f>
        <v>39</v>
      </c>
    </row>
    <row r="2483" spans="1:3" x14ac:dyDescent="0.25">
      <c r="A2483" s="1" t="s">
        <v>14002</v>
      </c>
      <c r="B2483" s="1" t="s">
        <v>16377</v>
      </c>
      <c r="C2483" s="3">
        <f>IF(B2483="","",SUMIFS('Factory Costs'!$C:$C,'Factory Costs'!$A:$A,"Frame",'Factory Costs'!$B:$B,B2483))</f>
        <v>39</v>
      </c>
    </row>
    <row r="2484" spans="1:3" x14ac:dyDescent="0.25">
      <c r="A2484" s="1" t="s">
        <v>14005</v>
      </c>
      <c r="B2484" s="1" t="s">
        <v>16377</v>
      </c>
      <c r="C2484" s="3">
        <f>IF(B2484="","",SUMIFS('Factory Costs'!$C:$C,'Factory Costs'!$A:$A,"Frame",'Factory Costs'!$B:$B,B2484))</f>
        <v>39</v>
      </c>
    </row>
    <row r="2485" spans="1:3" x14ac:dyDescent="0.25">
      <c r="A2485" s="1" t="s">
        <v>14008</v>
      </c>
      <c r="B2485" s="1" t="s">
        <v>16377</v>
      </c>
      <c r="C2485" s="3">
        <f>IF(B2485="","",SUMIFS('Factory Costs'!$C:$C,'Factory Costs'!$A:$A,"Frame",'Factory Costs'!$B:$B,B2485))</f>
        <v>39</v>
      </c>
    </row>
    <row r="2486" spans="1:3" x14ac:dyDescent="0.25">
      <c r="A2486" s="1" t="s">
        <v>14011</v>
      </c>
      <c r="B2486" s="1" t="s">
        <v>16377</v>
      </c>
      <c r="C2486" s="3">
        <f>IF(B2486="","",SUMIFS('Factory Costs'!$C:$C,'Factory Costs'!$A:$A,"Frame",'Factory Costs'!$B:$B,B2486))</f>
        <v>39</v>
      </c>
    </row>
    <row r="2487" spans="1:3" x14ac:dyDescent="0.25">
      <c r="A2487" s="1" t="s">
        <v>14014</v>
      </c>
      <c r="B2487" s="1" t="s">
        <v>16377</v>
      </c>
      <c r="C2487" s="3">
        <f>IF(B2487="","",SUMIFS('Factory Costs'!$C:$C,'Factory Costs'!$A:$A,"Frame",'Factory Costs'!$B:$B,B2487))</f>
        <v>39</v>
      </c>
    </row>
    <row r="2488" spans="1:3" x14ac:dyDescent="0.25">
      <c r="A2488" s="1" t="s">
        <v>14017</v>
      </c>
      <c r="B2488" s="1" t="s">
        <v>16379</v>
      </c>
      <c r="C2488" s="3">
        <f>IF(B2488="","",SUMIFS('Factory Costs'!$C:$C,'Factory Costs'!$A:$A,"Frame",'Factory Costs'!$B:$B,B2488))</f>
        <v>45</v>
      </c>
    </row>
    <row r="2489" spans="1:3" x14ac:dyDescent="0.25">
      <c r="A2489" s="1" t="s">
        <v>14020</v>
      </c>
      <c r="B2489" s="1" t="s">
        <v>16378</v>
      </c>
      <c r="C2489" s="3">
        <f>IF(B2489="","",SUMIFS('Factory Costs'!$C:$C,'Factory Costs'!$A:$A,"Frame",'Factory Costs'!$B:$B,B2489))</f>
        <v>52</v>
      </c>
    </row>
    <row r="2490" spans="1:3" x14ac:dyDescent="0.25">
      <c r="A2490" s="1" t="s">
        <v>14023</v>
      </c>
      <c r="B2490" s="1" t="s">
        <v>16377</v>
      </c>
      <c r="C2490" s="3">
        <f>IF(B2490="","",SUMIFS('Factory Costs'!$C:$C,'Factory Costs'!$A:$A,"Frame",'Factory Costs'!$B:$B,B2490))</f>
        <v>39</v>
      </c>
    </row>
    <row r="2491" spans="1:3" x14ac:dyDescent="0.25">
      <c r="A2491" s="1" t="s">
        <v>14026</v>
      </c>
      <c r="B2491" s="1" t="s">
        <v>16377</v>
      </c>
      <c r="C2491" s="3">
        <f>IF(B2491="","",SUMIFS('Factory Costs'!$C:$C,'Factory Costs'!$A:$A,"Frame",'Factory Costs'!$B:$B,B2491))</f>
        <v>39</v>
      </c>
    </row>
    <row r="2492" spans="1:3" x14ac:dyDescent="0.25">
      <c r="A2492" s="1" t="s">
        <v>14029</v>
      </c>
      <c r="B2492" s="1" t="s">
        <v>16379</v>
      </c>
      <c r="C2492" s="3">
        <f>IF(B2492="","",SUMIFS('Factory Costs'!$C:$C,'Factory Costs'!$A:$A,"Frame",'Factory Costs'!$B:$B,B2492))</f>
        <v>45</v>
      </c>
    </row>
    <row r="2493" spans="1:3" x14ac:dyDescent="0.25">
      <c r="A2493" s="1" t="s">
        <v>14032</v>
      </c>
      <c r="B2493" s="1" t="s">
        <v>16379</v>
      </c>
      <c r="C2493" s="3">
        <f>IF(B2493="","",SUMIFS('Factory Costs'!$C:$C,'Factory Costs'!$A:$A,"Frame",'Factory Costs'!$B:$B,B2493))</f>
        <v>45</v>
      </c>
    </row>
    <row r="2494" spans="1:3" x14ac:dyDescent="0.25">
      <c r="A2494" s="1" t="s">
        <v>14035</v>
      </c>
      <c r="B2494" s="1" t="s">
        <v>16378</v>
      </c>
      <c r="C2494" s="3">
        <f>IF(B2494="","",SUMIFS('Factory Costs'!$C:$C,'Factory Costs'!$A:$A,"Frame",'Factory Costs'!$B:$B,B2494))</f>
        <v>52</v>
      </c>
    </row>
    <row r="2495" spans="1:3" x14ac:dyDescent="0.25">
      <c r="A2495" s="1" t="s">
        <v>14038</v>
      </c>
      <c r="B2495" s="1" t="s">
        <v>16379</v>
      </c>
      <c r="C2495" s="3">
        <f>IF(B2495="","",SUMIFS('Factory Costs'!$C:$C,'Factory Costs'!$A:$A,"Frame",'Factory Costs'!$B:$B,B2495))</f>
        <v>45</v>
      </c>
    </row>
    <row r="2496" spans="1:3" x14ac:dyDescent="0.25">
      <c r="A2496" s="1" t="s">
        <v>14041</v>
      </c>
      <c r="B2496" s="1" t="s">
        <v>16378</v>
      </c>
      <c r="C2496" s="3">
        <f>IF(B2496="","",SUMIFS('Factory Costs'!$C:$C,'Factory Costs'!$A:$A,"Frame",'Factory Costs'!$B:$B,B2496))</f>
        <v>52</v>
      </c>
    </row>
    <row r="2497" spans="1:3" x14ac:dyDescent="0.25">
      <c r="A2497" s="1" t="s">
        <v>14044</v>
      </c>
      <c r="B2497" s="1" t="s">
        <v>16379</v>
      </c>
      <c r="C2497" s="3">
        <f>IF(B2497="","",SUMIFS('Factory Costs'!$C:$C,'Factory Costs'!$A:$A,"Frame",'Factory Costs'!$B:$B,B2497))</f>
        <v>45</v>
      </c>
    </row>
    <row r="2498" spans="1:3" x14ac:dyDescent="0.25">
      <c r="A2498" s="1" t="s">
        <v>14047</v>
      </c>
      <c r="B2498" s="1" t="s">
        <v>16377</v>
      </c>
      <c r="C2498" s="3">
        <f>IF(B2498="","",SUMIFS('Factory Costs'!$C:$C,'Factory Costs'!$A:$A,"Frame",'Factory Costs'!$B:$B,B2498))</f>
        <v>39</v>
      </c>
    </row>
    <row r="2499" spans="1:3" x14ac:dyDescent="0.25">
      <c r="A2499" s="1" t="s">
        <v>14050</v>
      </c>
      <c r="B2499" s="1" t="s">
        <v>16377</v>
      </c>
      <c r="C2499" s="3">
        <f>IF(B2499="","",SUMIFS('Factory Costs'!$C:$C,'Factory Costs'!$A:$A,"Frame",'Factory Costs'!$B:$B,B2499))</f>
        <v>39</v>
      </c>
    </row>
    <row r="2500" spans="1:3" x14ac:dyDescent="0.25">
      <c r="A2500" s="1" t="s">
        <v>14053</v>
      </c>
      <c r="B2500" s="1" t="s">
        <v>16379</v>
      </c>
      <c r="C2500" s="3">
        <f>IF(B2500="","",SUMIFS('Factory Costs'!$C:$C,'Factory Costs'!$A:$A,"Frame",'Factory Costs'!$B:$B,B2500))</f>
        <v>45</v>
      </c>
    </row>
    <row r="2501" spans="1:3" x14ac:dyDescent="0.25">
      <c r="A2501" s="1" t="s">
        <v>14056</v>
      </c>
      <c r="B2501" s="1" t="s">
        <v>16377</v>
      </c>
      <c r="C2501" s="3">
        <f>IF(B2501="","",SUMIFS('Factory Costs'!$C:$C,'Factory Costs'!$A:$A,"Frame",'Factory Costs'!$B:$B,B2501))</f>
        <v>39</v>
      </c>
    </row>
    <row r="2502" spans="1:3" x14ac:dyDescent="0.25">
      <c r="A2502" s="1" t="s">
        <v>14059</v>
      </c>
      <c r="B2502" s="1" t="s">
        <v>16377</v>
      </c>
      <c r="C2502" s="3">
        <f>IF(B2502="","",SUMIFS('Factory Costs'!$C:$C,'Factory Costs'!$A:$A,"Frame",'Factory Costs'!$B:$B,B2502))</f>
        <v>39</v>
      </c>
    </row>
    <row r="2503" spans="1:3" x14ac:dyDescent="0.25">
      <c r="A2503" s="1" t="s">
        <v>14062</v>
      </c>
      <c r="B2503" s="1" t="s">
        <v>16378</v>
      </c>
      <c r="C2503" s="3">
        <f>IF(B2503="","",SUMIFS('Factory Costs'!$C:$C,'Factory Costs'!$A:$A,"Frame",'Factory Costs'!$B:$B,B2503))</f>
        <v>52</v>
      </c>
    </row>
    <row r="2504" spans="1:3" x14ac:dyDescent="0.25">
      <c r="A2504" s="1" t="s">
        <v>14065</v>
      </c>
      <c r="B2504" s="1" t="s">
        <v>16377</v>
      </c>
      <c r="C2504" s="3">
        <f>IF(B2504="","",SUMIFS('Factory Costs'!$C:$C,'Factory Costs'!$A:$A,"Frame",'Factory Costs'!$B:$B,B2504))</f>
        <v>39</v>
      </c>
    </row>
    <row r="2505" spans="1:3" x14ac:dyDescent="0.25">
      <c r="A2505" s="1" t="s">
        <v>14068</v>
      </c>
      <c r="B2505" s="1" t="s">
        <v>16379</v>
      </c>
      <c r="C2505" s="3">
        <f>IF(B2505="","",SUMIFS('Factory Costs'!$C:$C,'Factory Costs'!$A:$A,"Frame",'Factory Costs'!$B:$B,B2505))</f>
        <v>45</v>
      </c>
    </row>
    <row r="2506" spans="1:3" x14ac:dyDescent="0.25">
      <c r="A2506" s="1" t="s">
        <v>14071</v>
      </c>
      <c r="B2506" s="1" t="s">
        <v>16378</v>
      </c>
      <c r="C2506" s="3">
        <f>IF(B2506="","",SUMIFS('Factory Costs'!$C:$C,'Factory Costs'!$A:$A,"Frame",'Factory Costs'!$B:$B,B2506))</f>
        <v>52</v>
      </c>
    </row>
    <row r="2507" spans="1:3" x14ac:dyDescent="0.25">
      <c r="A2507" s="1" t="s">
        <v>14074</v>
      </c>
      <c r="B2507" s="1" t="s">
        <v>16377</v>
      </c>
      <c r="C2507" s="3">
        <f>IF(B2507="","",SUMIFS('Factory Costs'!$C:$C,'Factory Costs'!$A:$A,"Frame",'Factory Costs'!$B:$B,B2507))</f>
        <v>39</v>
      </c>
    </row>
    <row r="2508" spans="1:3" x14ac:dyDescent="0.25">
      <c r="A2508" s="1" t="s">
        <v>14077</v>
      </c>
      <c r="B2508" s="1" t="s">
        <v>16379</v>
      </c>
      <c r="C2508" s="3">
        <f>IF(B2508="","",SUMIFS('Factory Costs'!$C:$C,'Factory Costs'!$A:$A,"Frame",'Factory Costs'!$B:$B,B2508))</f>
        <v>45</v>
      </c>
    </row>
    <row r="2509" spans="1:3" x14ac:dyDescent="0.25">
      <c r="A2509" s="1" t="s">
        <v>14080</v>
      </c>
      <c r="B2509" s="1" t="s">
        <v>16377</v>
      </c>
      <c r="C2509" s="3">
        <f>IF(B2509="","",SUMIFS('Factory Costs'!$C:$C,'Factory Costs'!$A:$A,"Frame",'Factory Costs'!$B:$B,B2509))</f>
        <v>39</v>
      </c>
    </row>
    <row r="2510" spans="1:3" x14ac:dyDescent="0.25">
      <c r="A2510" s="1" t="s">
        <v>14083</v>
      </c>
      <c r="B2510" s="1" t="s">
        <v>16377</v>
      </c>
      <c r="C2510" s="3">
        <f>IF(B2510="","",SUMIFS('Factory Costs'!$C:$C,'Factory Costs'!$A:$A,"Frame",'Factory Costs'!$B:$B,B2510))</f>
        <v>39</v>
      </c>
    </row>
    <row r="2511" spans="1:3" x14ac:dyDescent="0.25">
      <c r="A2511" s="1" t="s">
        <v>14086</v>
      </c>
      <c r="B2511" s="1" t="s">
        <v>16379</v>
      </c>
      <c r="C2511" s="3">
        <f>IF(B2511="","",SUMIFS('Factory Costs'!$C:$C,'Factory Costs'!$A:$A,"Frame",'Factory Costs'!$B:$B,B2511))</f>
        <v>45</v>
      </c>
    </row>
    <row r="2512" spans="1:3" x14ac:dyDescent="0.25">
      <c r="A2512" s="1" t="s">
        <v>14089</v>
      </c>
      <c r="B2512" s="1" t="s">
        <v>16379</v>
      </c>
      <c r="C2512" s="3">
        <f>IF(B2512="","",SUMIFS('Factory Costs'!$C:$C,'Factory Costs'!$A:$A,"Frame",'Factory Costs'!$B:$B,B2512))</f>
        <v>45</v>
      </c>
    </row>
    <row r="2513" spans="1:3" x14ac:dyDescent="0.25">
      <c r="A2513" s="1" t="s">
        <v>14092</v>
      </c>
      <c r="B2513" s="1" t="s">
        <v>16379</v>
      </c>
      <c r="C2513" s="3">
        <f>IF(B2513="","",SUMIFS('Factory Costs'!$C:$C,'Factory Costs'!$A:$A,"Frame",'Factory Costs'!$B:$B,B2513))</f>
        <v>45</v>
      </c>
    </row>
    <row r="2514" spans="1:3" x14ac:dyDescent="0.25">
      <c r="A2514" s="1" t="s">
        <v>14095</v>
      </c>
      <c r="B2514" s="1" t="s">
        <v>16378</v>
      </c>
      <c r="C2514" s="3">
        <f>IF(B2514="","",SUMIFS('Factory Costs'!$C:$C,'Factory Costs'!$A:$A,"Frame",'Factory Costs'!$B:$B,B2514))</f>
        <v>52</v>
      </c>
    </row>
    <row r="2515" spans="1:3" x14ac:dyDescent="0.25">
      <c r="A2515" s="1" t="s">
        <v>14098</v>
      </c>
      <c r="B2515" s="1" t="s">
        <v>16379</v>
      </c>
      <c r="C2515" s="3">
        <f>IF(B2515="","",SUMIFS('Factory Costs'!$C:$C,'Factory Costs'!$A:$A,"Frame",'Factory Costs'!$B:$B,B2515))</f>
        <v>45</v>
      </c>
    </row>
    <row r="2516" spans="1:3" x14ac:dyDescent="0.25">
      <c r="A2516" s="1" t="s">
        <v>14101</v>
      </c>
      <c r="B2516" s="1" t="s">
        <v>16378</v>
      </c>
      <c r="C2516" s="3">
        <f>IF(B2516="","",SUMIFS('Factory Costs'!$C:$C,'Factory Costs'!$A:$A,"Frame",'Factory Costs'!$B:$B,B2516))</f>
        <v>52</v>
      </c>
    </row>
    <row r="2517" spans="1:3" x14ac:dyDescent="0.25">
      <c r="A2517" s="1" t="s">
        <v>14104</v>
      </c>
      <c r="B2517" s="1" t="s">
        <v>16379</v>
      </c>
      <c r="C2517" s="3">
        <f>IF(B2517="","",SUMIFS('Factory Costs'!$C:$C,'Factory Costs'!$A:$A,"Frame",'Factory Costs'!$B:$B,B2517))</f>
        <v>45</v>
      </c>
    </row>
    <row r="2518" spans="1:3" x14ac:dyDescent="0.25">
      <c r="A2518" s="1" t="s">
        <v>14107</v>
      </c>
      <c r="B2518" s="1" t="s">
        <v>16377</v>
      </c>
      <c r="C2518" s="3">
        <f>IF(B2518="","",SUMIFS('Factory Costs'!$C:$C,'Factory Costs'!$A:$A,"Frame",'Factory Costs'!$B:$B,B2518))</f>
        <v>39</v>
      </c>
    </row>
    <row r="2519" spans="1:3" x14ac:dyDescent="0.25">
      <c r="A2519" s="1" t="s">
        <v>14110</v>
      </c>
      <c r="B2519" s="1" t="s">
        <v>16377</v>
      </c>
      <c r="C2519" s="3">
        <f>IF(B2519="","",SUMIFS('Factory Costs'!$C:$C,'Factory Costs'!$A:$A,"Frame",'Factory Costs'!$B:$B,B2519))</f>
        <v>39</v>
      </c>
    </row>
    <row r="2520" spans="1:3" x14ac:dyDescent="0.25">
      <c r="A2520" s="1" t="s">
        <v>14113</v>
      </c>
      <c r="B2520" s="1" t="s">
        <v>16379</v>
      </c>
      <c r="C2520" s="3">
        <f>IF(B2520="","",SUMIFS('Factory Costs'!$C:$C,'Factory Costs'!$A:$A,"Frame",'Factory Costs'!$B:$B,B2520))</f>
        <v>45</v>
      </c>
    </row>
    <row r="2521" spans="1:3" x14ac:dyDescent="0.25">
      <c r="A2521" s="1" t="s">
        <v>14116</v>
      </c>
      <c r="B2521" s="1" t="s">
        <v>16377</v>
      </c>
      <c r="C2521" s="3">
        <f>IF(B2521="","",SUMIFS('Factory Costs'!$C:$C,'Factory Costs'!$A:$A,"Frame",'Factory Costs'!$B:$B,B2521))</f>
        <v>39</v>
      </c>
    </row>
    <row r="2522" spans="1:3" x14ac:dyDescent="0.25">
      <c r="A2522" s="1" t="s">
        <v>14119</v>
      </c>
      <c r="B2522" s="1" t="s">
        <v>16377</v>
      </c>
      <c r="C2522" s="3">
        <f>IF(B2522="","",SUMIFS('Factory Costs'!$C:$C,'Factory Costs'!$A:$A,"Frame",'Factory Costs'!$B:$B,B2522))</f>
        <v>39</v>
      </c>
    </row>
    <row r="2523" spans="1:3" x14ac:dyDescent="0.25">
      <c r="A2523" s="1" t="s">
        <v>14122</v>
      </c>
      <c r="B2523" s="1" t="s">
        <v>16377</v>
      </c>
      <c r="C2523" s="3">
        <f>IF(B2523="","",SUMIFS('Factory Costs'!$C:$C,'Factory Costs'!$A:$A,"Frame",'Factory Costs'!$B:$B,B2523))</f>
        <v>39</v>
      </c>
    </row>
    <row r="2524" spans="1:3" x14ac:dyDescent="0.25">
      <c r="A2524" s="1" t="s">
        <v>14125</v>
      </c>
      <c r="B2524" s="1" t="s">
        <v>16379</v>
      </c>
      <c r="C2524" s="3">
        <f>IF(B2524="","",SUMIFS('Factory Costs'!$C:$C,'Factory Costs'!$A:$A,"Frame",'Factory Costs'!$B:$B,B2524))</f>
        <v>45</v>
      </c>
    </row>
    <row r="2525" spans="1:3" x14ac:dyDescent="0.25">
      <c r="A2525" s="1" t="s">
        <v>14128</v>
      </c>
      <c r="B2525" s="1" t="s">
        <v>16379</v>
      </c>
      <c r="C2525" s="3">
        <f>IF(B2525="","",SUMIFS('Factory Costs'!$C:$C,'Factory Costs'!$A:$A,"Frame",'Factory Costs'!$B:$B,B2525))</f>
        <v>45</v>
      </c>
    </row>
    <row r="2526" spans="1:3" x14ac:dyDescent="0.25">
      <c r="A2526" s="1" t="s">
        <v>14131</v>
      </c>
      <c r="B2526" s="1" t="s">
        <v>16377</v>
      </c>
      <c r="C2526" s="3">
        <f>IF(B2526="","",SUMIFS('Factory Costs'!$C:$C,'Factory Costs'!$A:$A,"Frame",'Factory Costs'!$B:$B,B2526))</f>
        <v>39</v>
      </c>
    </row>
    <row r="2527" spans="1:3" x14ac:dyDescent="0.25">
      <c r="A2527" s="1" t="s">
        <v>14134</v>
      </c>
      <c r="B2527" s="1" t="s">
        <v>16378</v>
      </c>
      <c r="C2527" s="3">
        <f>IF(B2527="","",SUMIFS('Factory Costs'!$C:$C,'Factory Costs'!$A:$A,"Frame",'Factory Costs'!$B:$B,B2527))</f>
        <v>52</v>
      </c>
    </row>
    <row r="2528" spans="1:3" x14ac:dyDescent="0.25">
      <c r="A2528" s="1" t="s">
        <v>14137</v>
      </c>
      <c r="B2528" s="1" t="s">
        <v>16377</v>
      </c>
      <c r="C2528" s="3">
        <f>IF(B2528="","",SUMIFS('Factory Costs'!$C:$C,'Factory Costs'!$A:$A,"Frame",'Factory Costs'!$B:$B,B2528))</f>
        <v>39</v>
      </c>
    </row>
    <row r="2529" spans="1:3" x14ac:dyDescent="0.25">
      <c r="A2529" s="1" t="s">
        <v>14140</v>
      </c>
      <c r="B2529" s="1" t="s">
        <v>16378</v>
      </c>
      <c r="C2529" s="3">
        <f>IF(B2529="","",SUMIFS('Factory Costs'!$C:$C,'Factory Costs'!$A:$A,"Frame",'Factory Costs'!$B:$B,B2529))</f>
        <v>52</v>
      </c>
    </row>
    <row r="2530" spans="1:3" x14ac:dyDescent="0.25">
      <c r="A2530" s="1" t="s">
        <v>14143</v>
      </c>
      <c r="B2530" s="1" t="s">
        <v>16379</v>
      </c>
      <c r="C2530" s="3">
        <f>IF(B2530="","",SUMIFS('Factory Costs'!$C:$C,'Factory Costs'!$A:$A,"Frame",'Factory Costs'!$B:$B,B2530))</f>
        <v>45</v>
      </c>
    </row>
    <row r="2531" spans="1:3" x14ac:dyDescent="0.25">
      <c r="A2531" s="1" t="s">
        <v>14146</v>
      </c>
      <c r="B2531" s="1" t="s">
        <v>16379</v>
      </c>
      <c r="C2531" s="3">
        <f>IF(B2531="","",SUMIFS('Factory Costs'!$C:$C,'Factory Costs'!$A:$A,"Frame",'Factory Costs'!$B:$B,B2531))</f>
        <v>45</v>
      </c>
    </row>
    <row r="2532" spans="1:3" x14ac:dyDescent="0.25">
      <c r="A2532" s="1" t="s">
        <v>14149</v>
      </c>
      <c r="B2532" s="1" t="s">
        <v>16379</v>
      </c>
      <c r="C2532" s="3">
        <f>IF(B2532="","",SUMIFS('Factory Costs'!$C:$C,'Factory Costs'!$A:$A,"Frame",'Factory Costs'!$B:$B,B2532))</f>
        <v>45</v>
      </c>
    </row>
    <row r="2533" spans="1:3" x14ac:dyDescent="0.25">
      <c r="A2533" s="1" t="s">
        <v>14152</v>
      </c>
      <c r="B2533" s="1" t="s">
        <v>16378</v>
      </c>
      <c r="C2533" s="3">
        <f>IF(B2533="","",SUMIFS('Factory Costs'!$C:$C,'Factory Costs'!$A:$A,"Frame",'Factory Costs'!$B:$B,B2533))</f>
        <v>52</v>
      </c>
    </row>
    <row r="2534" spans="1:3" x14ac:dyDescent="0.25">
      <c r="A2534" s="1" t="s">
        <v>14155</v>
      </c>
      <c r="B2534" s="1" t="s">
        <v>16377</v>
      </c>
      <c r="C2534" s="3">
        <f>IF(B2534="","",SUMIFS('Factory Costs'!$C:$C,'Factory Costs'!$A:$A,"Frame",'Factory Costs'!$B:$B,B2534))</f>
        <v>39</v>
      </c>
    </row>
    <row r="2535" spans="1:3" x14ac:dyDescent="0.25">
      <c r="A2535" s="1" t="s">
        <v>14158</v>
      </c>
      <c r="B2535" s="1" t="s">
        <v>16377</v>
      </c>
      <c r="C2535" s="3">
        <f>IF(B2535="","",SUMIFS('Factory Costs'!$C:$C,'Factory Costs'!$A:$A,"Frame",'Factory Costs'!$B:$B,B2535))</f>
        <v>39</v>
      </c>
    </row>
    <row r="2536" spans="1:3" x14ac:dyDescent="0.25">
      <c r="A2536" s="1" t="s">
        <v>14161</v>
      </c>
      <c r="B2536" s="1" t="s">
        <v>16379</v>
      </c>
      <c r="C2536" s="3">
        <f>IF(B2536="","",SUMIFS('Factory Costs'!$C:$C,'Factory Costs'!$A:$A,"Frame",'Factory Costs'!$B:$B,B2536))</f>
        <v>45</v>
      </c>
    </row>
    <row r="2537" spans="1:3" x14ac:dyDescent="0.25">
      <c r="A2537" s="1" t="s">
        <v>14164</v>
      </c>
      <c r="B2537" s="1" t="s">
        <v>16379</v>
      </c>
      <c r="C2537" s="3">
        <f>IF(B2537="","",SUMIFS('Factory Costs'!$C:$C,'Factory Costs'!$A:$A,"Frame",'Factory Costs'!$B:$B,B2537))</f>
        <v>45</v>
      </c>
    </row>
    <row r="2538" spans="1:3" x14ac:dyDescent="0.25">
      <c r="A2538" s="1" t="s">
        <v>14167</v>
      </c>
      <c r="B2538" s="1" t="s">
        <v>16378</v>
      </c>
      <c r="C2538" s="3">
        <f>IF(B2538="","",SUMIFS('Factory Costs'!$C:$C,'Factory Costs'!$A:$A,"Frame",'Factory Costs'!$B:$B,B2538))</f>
        <v>52</v>
      </c>
    </row>
    <row r="2539" spans="1:3" x14ac:dyDescent="0.25">
      <c r="A2539" s="1" t="s">
        <v>14170</v>
      </c>
      <c r="B2539" s="1" t="s">
        <v>16378</v>
      </c>
      <c r="C2539" s="3">
        <f>IF(B2539="","",SUMIFS('Factory Costs'!$C:$C,'Factory Costs'!$A:$A,"Frame",'Factory Costs'!$B:$B,B2539))</f>
        <v>52</v>
      </c>
    </row>
    <row r="2540" spans="1:3" x14ac:dyDescent="0.25">
      <c r="A2540" s="1" t="s">
        <v>14173</v>
      </c>
      <c r="B2540" s="1" t="s">
        <v>16378</v>
      </c>
      <c r="C2540" s="3">
        <f>IF(B2540="","",SUMIFS('Factory Costs'!$C:$C,'Factory Costs'!$A:$A,"Frame",'Factory Costs'!$B:$B,B2540))</f>
        <v>52</v>
      </c>
    </row>
    <row r="2541" spans="1:3" x14ac:dyDescent="0.25">
      <c r="A2541" s="1" t="s">
        <v>14176</v>
      </c>
      <c r="B2541" s="1" t="s">
        <v>16379</v>
      </c>
      <c r="C2541" s="3">
        <f>IF(B2541="","",SUMIFS('Factory Costs'!$C:$C,'Factory Costs'!$A:$A,"Frame",'Factory Costs'!$B:$B,B2541))</f>
        <v>45</v>
      </c>
    </row>
    <row r="2542" spans="1:3" x14ac:dyDescent="0.25">
      <c r="A2542" s="1" t="s">
        <v>14179</v>
      </c>
      <c r="B2542" s="1" t="s">
        <v>16378</v>
      </c>
      <c r="C2542" s="3">
        <f>IF(B2542="","",SUMIFS('Factory Costs'!$C:$C,'Factory Costs'!$A:$A,"Frame",'Factory Costs'!$B:$B,B2542))</f>
        <v>52</v>
      </c>
    </row>
    <row r="2543" spans="1:3" x14ac:dyDescent="0.25">
      <c r="A2543" s="1" t="s">
        <v>14182</v>
      </c>
      <c r="B2543" s="1" t="s">
        <v>16379</v>
      </c>
      <c r="C2543" s="3">
        <f>IF(B2543="","",SUMIFS('Factory Costs'!$C:$C,'Factory Costs'!$A:$A,"Frame",'Factory Costs'!$B:$B,B2543))</f>
        <v>45</v>
      </c>
    </row>
    <row r="2544" spans="1:3" x14ac:dyDescent="0.25">
      <c r="A2544" s="1" t="s">
        <v>14185</v>
      </c>
      <c r="B2544" s="1" t="s">
        <v>16379</v>
      </c>
      <c r="C2544" s="3">
        <f>IF(B2544="","",SUMIFS('Factory Costs'!$C:$C,'Factory Costs'!$A:$A,"Frame",'Factory Costs'!$B:$B,B2544))</f>
        <v>45</v>
      </c>
    </row>
    <row r="2545" spans="1:3" x14ac:dyDescent="0.25">
      <c r="A2545" s="1" t="s">
        <v>14188</v>
      </c>
      <c r="B2545" s="1" t="s">
        <v>16377</v>
      </c>
      <c r="C2545" s="3">
        <f>IF(B2545="","",SUMIFS('Factory Costs'!$C:$C,'Factory Costs'!$A:$A,"Frame",'Factory Costs'!$B:$B,B2545))</f>
        <v>39</v>
      </c>
    </row>
    <row r="2546" spans="1:3" x14ac:dyDescent="0.25">
      <c r="A2546" s="1" t="s">
        <v>14191</v>
      </c>
      <c r="B2546" s="1" t="s">
        <v>16378</v>
      </c>
      <c r="C2546" s="3">
        <f>IF(B2546="","",SUMIFS('Factory Costs'!$C:$C,'Factory Costs'!$A:$A,"Frame",'Factory Costs'!$B:$B,B2546))</f>
        <v>52</v>
      </c>
    </row>
    <row r="2547" spans="1:3" x14ac:dyDescent="0.25">
      <c r="A2547" s="1" t="s">
        <v>14194</v>
      </c>
      <c r="B2547" s="1" t="s">
        <v>16378</v>
      </c>
      <c r="C2547" s="3">
        <f>IF(B2547="","",SUMIFS('Factory Costs'!$C:$C,'Factory Costs'!$A:$A,"Frame",'Factory Costs'!$B:$B,B2547))</f>
        <v>52</v>
      </c>
    </row>
    <row r="2548" spans="1:3" x14ac:dyDescent="0.25">
      <c r="A2548" s="1" t="s">
        <v>14197</v>
      </c>
      <c r="B2548" s="1" t="s">
        <v>16379</v>
      </c>
      <c r="C2548" s="3">
        <f>IF(B2548="","",SUMIFS('Factory Costs'!$C:$C,'Factory Costs'!$A:$A,"Frame",'Factory Costs'!$B:$B,B2548))</f>
        <v>45</v>
      </c>
    </row>
    <row r="2549" spans="1:3" x14ac:dyDescent="0.25">
      <c r="A2549" s="1" t="s">
        <v>14200</v>
      </c>
      <c r="B2549" s="1" t="s">
        <v>16377</v>
      </c>
      <c r="C2549" s="3">
        <f>IF(B2549="","",SUMIFS('Factory Costs'!$C:$C,'Factory Costs'!$A:$A,"Frame",'Factory Costs'!$B:$B,B2549))</f>
        <v>39</v>
      </c>
    </row>
    <row r="2550" spans="1:3" x14ac:dyDescent="0.25">
      <c r="A2550" s="1" t="s">
        <v>14203</v>
      </c>
      <c r="B2550" s="1" t="s">
        <v>16379</v>
      </c>
      <c r="C2550" s="3">
        <f>IF(B2550="","",SUMIFS('Factory Costs'!$C:$C,'Factory Costs'!$A:$A,"Frame",'Factory Costs'!$B:$B,B2550))</f>
        <v>45</v>
      </c>
    </row>
    <row r="2551" spans="1:3" x14ac:dyDescent="0.25">
      <c r="A2551" s="1" t="s">
        <v>14206</v>
      </c>
      <c r="B2551" s="1" t="s">
        <v>16378</v>
      </c>
      <c r="C2551" s="3">
        <f>IF(B2551="","",SUMIFS('Factory Costs'!$C:$C,'Factory Costs'!$A:$A,"Frame",'Factory Costs'!$B:$B,B2551))</f>
        <v>52</v>
      </c>
    </row>
    <row r="2552" spans="1:3" x14ac:dyDescent="0.25">
      <c r="A2552" s="1" t="s">
        <v>14209</v>
      </c>
      <c r="B2552" s="1" t="s">
        <v>16379</v>
      </c>
      <c r="C2552" s="3">
        <f>IF(B2552="","",SUMIFS('Factory Costs'!$C:$C,'Factory Costs'!$A:$A,"Frame",'Factory Costs'!$B:$B,B2552))</f>
        <v>45</v>
      </c>
    </row>
    <row r="2553" spans="1:3" x14ac:dyDescent="0.25">
      <c r="A2553" s="1" t="s">
        <v>14212</v>
      </c>
      <c r="B2553" s="1" t="s">
        <v>16379</v>
      </c>
      <c r="C2553" s="3">
        <f>IF(B2553="","",SUMIFS('Factory Costs'!$C:$C,'Factory Costs'!$A:$A,"Frame",'Factory Costs'!$B:$B,B2553))</f>
        <v>45</v>
      </c>
    </row>
    <row r="2554" spans="1:3" x14ac:dyDescent="0.25">
      <c r="A2554" s="1" t="s">
        <v>14215</v>
      </c>
      <c r="B2554" s="1" t="s">
        <v>16377</v>
      </c>
      <c r="C2554" s="3">
        <f>IF(B2554="","",SUMIFS('Factory Costs'!$C:$C,'Factory Costs'!$A:$A,"Frame",'Factory Costs'!$B:$B,B2554))</f>
        <v>39</v>
      </c>
    </row>
    <row r="2555" spans="1:3" x14ac:dyDescent="0.25">
      <c r="A2555" s="1" t="s">
        <v>14218</v>
      </c>
      <c r="B2555" s="1" t="s">
        <v>16378</v>
      </c>
      <c r="C2555" s="3">
        <f>IF(B2555="","",SUMIFS('Factory Costs'!$C:$C,'Factory Costs'!$A:$A,"Frame",'Factory Costs'!$B:$B,B2555))</f>
        <v>52</v>
      </c>
    </row>
    <row r="2556" spans="1:3" x14ac:dyDescent="0.25">
      <c r="A2556" s="1" t="s">
        <v>14221</v>
      </c>
      <c r="B2556" s="1" t="s">
        <v>16377</v>
      </c>
      <c r="C2556" s="3">
        <f>IF(B2556="","",SUMIFS('Factory Costs'!$C:$C,'Factory Costs'!$A:$A,"Frame",'Factory Costs'!$B:$B,B2556))</f>
        <v>39</v>
      </c>
    </row>
    <row r="2557" spans="1:3" x14ac:dyDescent="0.25">
      <c r="A2557" s="1" t="s">
        <v>14224</v>
      </c>
      <c r="B2557" s="1" t="s">
        <v>16378</v>
      </c>
      <c r="C2557" s="3">
        <f>IF(B2557="","",SUMIFS('Factory Costs'!$C:$C,'Factory Costs'!$A:$A,"Frame",'Factory Costs'!$B:$B,B2557))</f>
        <v>52</v>
      </c>
    </row>
    <row r="2558" spans="1:3" x14ac:dyDescent="0.25">
      <c r="A2558" s="1" t="s">
        <v>14227</v>
      </c>
      <c r="B2558" s="1" t="s">
        <v>16377</v>
      </c>
      <c r="C2558" s="3">
        <f>IF(B2558="","",SUMIFS('Factory Costs'!$C:$C,'Factory Costs'!$A:$A,"Frame",'Factory Costs'!$B:$B,B2558))</f>
        <v>39</v>
      </c>
    </row>
    <row r="2559" spans="1:3" x14ac:dyDescent="0.25">
      <c r="A2559" s="1" t="s">
        <v>14230</v>
      </c>
      <c r="B2559" s="1" t="s">
        <v>16379</v>
      </c>
      <c r="C2559" s="3">
        <f>IF(B2559="","",SUMIFS('Factory Costs'!$C:$C,'Factory Costs'!$A:$A,"Frame",'Factory Costs'!$B:$B,B2559))</f>
        <v>45</v>
      </c>
    </row>
    <row r="2560" spans="1:3" x14ac:dyDescent="0.25">
      <c r="A2560" s="1" t="s">
        <v>14233</v>
      </c>
      <c r="B2560" s="1" t="s">
        <v>16377</v>
      </c>
      <c r="C2560" s="3">
        <f>IF(B2560="","",SUMIFS('Factory Costs'!$C:$C,'Factory Costs'!$A:$A,"Frame",'Factory Costs'!$B:$B,B2560))</f>
        <v>39</v>
      </c>
    </row>
    <row r="2561" spans="1:3" x14ac:dyDescent="0.25">
      <c r="A2561" s="1" t="s">
        <v>14236</v>
      </c>
      <c r="B2561" s="1" t="s">
        <v>16378</v>
      </c>
      <c r="C2561" s="3">
        <f>IF(B2561="","",SUMIFS('Factory Costs'!$C:$C,'Factory Costs'!$A:$A,"Frame",'Factory Costs'!$B:$B,B2561))</f>
        <v>52</v>
      </c>
    </row>
    <row r="2562" spans="1:3" x14ac:dyDescent="0.25">
      <c r="A2562" s="1" t="s">
        <v>14239</v>
      </c>
      <c r="B2562" s="1" t="s">
        <v>16379</v>
      </c>
      <c r="C2562" s="3">
        <f>IF(B2562="","",SUMIFS('Factory Costs'!$C:$C,'Factory Costs'!$A:$A,"Frame",'Factory Costs'!$B:$B,B2562))</f>
        <v>45</v>
      </c>
    </row>
    <row r="2563" spans="1:3" x14ac:dyDescent="0.25">
      <c r="A2563" s="1" t="s">
        <v>14242</v>
      </c>
      <c r="B2563" s="1" t="s">
        <v>16378</v>
      </c>
      <c r="C2563" s="3">
        <f>IF(B2563="","",SUMIFS('Factory Costs'!$C:$C,'Factory Costs'!$A:$A,"Frame",'Factory Costs'!$B:$B,B2563))</f>
        <v>52</v>
      </c>
    </row>
    <row r="2564" spans="1:3" x14ac:dyDescent="0.25">
      <c r="A2564" s="1" t="s">
        <v>14245</v>
      </c>
      <c r="B2564" s="1" t="s">
        <v>16379</v>
      </c>
      <c r="C2564" s="3">
        <f>IF(B2564="","",SUMIFS('Factory Costs'!$C:$C,'Factory Costs'!$A:$A,"Frame",'Factory Costs'!$B:$B,B2564))</f>
        <v>45</v>
      </c>
    </row>
    <row r="2565" spans="1:3" x14ac:dyDescent="0.25">
      <c r="A2565" s="1" t="s">
        <v>14248</v>
      </c>
      <c r="B2565" s="1" t="s">
        <v>16378</v>
      </c>
      <c r="C2565" s="3">
        <f>IF(B2565="","",SUMIFS('Factory Costs'!$C:$C,'Factory Costs'!$A:$A,"Frame",'Factory Costs'!$B:$B,B2565))</f>
        <v>52</v>
      </c>
    </row>
    <row r="2566" spans="1:3" x14ac:dyDescent="0.25">
      <c r="A2566" s="1" t="s">
        <v>14251</v>
      </c>
      <c r="B2566" s="1" t="s">
        <v>16378</v>
      </c>
      <c r="C2566" s="3">
        <f>IF(B2566="","",SUMIFS('Factory Costs'!$C:$C,'Factory Costs'!$A:$A,"Frame",'Factory Costs'!$B:$B,B2566))</f>
        <v>52</v>
      </c>
    </row>
    <row r="2567" spans="1:3" x14ac:dyDescent="0.25">
      <c r="A2567" s="1" t="s">
        <v>14254</v>
      </c>
      <c r="B2567" s="1" t="s">
        <v>16379</v>
      </c>
      <c r="C2567" s="3">
        <f>IF(B2567="","",SUMIFS('Factory Costs'!$C:$C,'Factory Costs'!$A:$A,"Frame",'Factory Costs'!$B:$B,B2567))</f>
        <v>45</v>
      </c>
    </row>
    <row r="2568" spans="1:3" x14ac:dyDescent="0.25">
      <c r="A2568" s="1" t="s">
        <v>14257</v>
      </c>
      <c r="B2568" s="1" t="s">
        <v>16379</v>
      </c>
      <c r="C2568" s="3">
        <f>IF(B2568="","",SUMIFS('Factory Costs'!$C:$C,'Factory Costs'!$A:$A,"Frame",'Factory Costs'!$B:$B,B2568))</f>
        <v>45</v>
      </c>
    </row>
    <row r="2569" spans="1:3" x14ac:dyDescent="0.25">
      <c r="A2569" s="1" t="s">
        <v>14260</v>
      </c>
      <c r="B2569" s="1" t="s">
        <v>16379</v>
      </c>
      <c r="C2569" s="3">
        <f>IF(B2569="","",SUMIFS('Factory Costs'!$C:$C,'Factory Costs'!$A:$A,"Frame",'Factory Costs'!$B:$B,B2569))</f>
        <v>45</v>
      </c>
    </row>
    <row r="2570" spans="1:3" x14ac:dyDescent="0.25">
      <c r="A2570" s="1" t="s">
        <v>14263</v>
      </c>
      <c r="B2570" s="1" t="s">
        <v>16379</v>
      </c>
      <c r="C2570" s="3">
        <f>IF(B2570="","",SUMIFS('Factory Costs'!$C:$C,'Factory Costs'!$A:$A,"Frame",'Factory Costs'!$B:$B,B2570))</f>
        <v>45</v>
      </c>
    </row>
    <row r="2571" spans="1:3" x14ac:dyDescent="0.25">
      <c r="A2571" s="1" t="s">
        <v>14266</v>
      </c>
      <c r="B2571" s="1" t="s">
        <v>16379</v>
      </c>
      <c r="C2571" s="3">
        <f>IF(B2571="","",SUMIFS('Factory Costs'!$C:$C,'Factory Costs'!$A:$A,"Frame",'Factory Costs'!$B:$B,B2571))</f>
        <v>45</v>
      </c>
    </row>
    <row r="2572" spans="1:3" x14ac:dyDescent="0.25">
      <c r="A2572" s="1" t="s">
        <v>14269</v>
      </c>
      <c r="B2572" s="1" t="s">
        <v>16379</v>
      </c>
      <c r="C2572" s="3">
        <f>IF(B2572="","",SUMIFS('Factory Costs'!$C:$C,'Factory Costs'!$A:$A,"Frame",'Factory Costs'!$B:$B,B2572))</f>
        <v>45</v>
      </c>
    </row>
    <row r="2573" spans="1:3" x14ac:dyDescent="0.25">
      <c r="A2573" s="1" t="s">
        <v>14272</v>
      </c>
      <c r="B2573" s="1" t="s">
        <v>16378</v>
      </c>
      <c r="C2573" s="3">
        <f>IF(B2573="","",SUMIFS('Factory Costs'!$C:$C,'Factory Costs'!$A:$A,"Frame",'Factory Costs'!$B:$B,B2573))</f>
        <v>52</v>
      </c>
    </row>
    <row r="2574" spans="1:3" x14ac:dyDescent="0.25">
      <c r="A2574" s="1" t="s">
        <v>14275</v>
      </c>
      <c r="B2574" s="1" t="s">
        <v>16377</v>
      </c>
      <c r="C2574" s="3">
        <f>IF(B2574="","",SUMIFS('Factory Costs'!$C:$C,'Factory Costs'!$A:$A,"Frame",'Factory Costs'!$B:$B,B2574))</f>
        <v>39</v>
      </c>
    </row>
    <row r="2575" spans="1:3" x14ac:dyDescent="0.25">
      <c r="A2575" s="1" t="s">
        <v>14278</v>
      </c>
      <c r="B2575" s="1" t="s">
        <v>16379</v>
      </c>
      <c r="C2575" s="3">
        <f>IF(B2575="","",SUMIFS('Factory Costs'!$C:$C,'Factory Costs'!$A:$A,"Frame",'Factory Costs'!$B:$B,B2575))</f>
        <v>45</v>
      </c>
    </row>
    <row r="2576" spans="1:3" x14ac:dyDescent="0.25">
      <c r="A2576" s="1" t="s">
        <v>14281</v>
      </c>
      <c r="B2576" s="1" t="s">
        <v>16378</v>
      </c>
      <c r="C2576" s="3">
        <f>IF(B2576="","",SUMIFS('Factory Costs'!$C:$C,'Factory Costs'!$A:$A,"Frame",'Factory Costs'!$B:$B,B2576))</f>
        <v>52</v>
      </c>
    </row>
    <row r="2577" spans="1:3" x14ac:dyDescent="0.25">
      <c r="A2577" s="1" t="s">
        <v>14284</v>
      </c>
      <c r="B2577" s="1" t="s">
        <v>16377</v>
      </c>
      <c r="C2577" s="3">
        <f>IF(B2577="","",SUMIFS('Factory Costs'!$C:$C,'Factory Costs'!$A:$A,"Frame",'Factory Costs'!$B:$B,B2577))</f>
        <v>39</v>
      </c>
    </row>
    <row r="2578" spans="1:3" x14ac:dyDescent="0.25">
      <c r="A2578" s="1" t="s">
        <v>14287</v>
      </c>
      <c r="B2578" s="1" t="s">
        <v>16378</v>
      </c>
      <c r="C2578" s="3">
        <f>IF(B2578="","",SUMIFS('Factory Costs'!$C:$C,'Factory Costs'!$A:$A,"Frame",'Factory Costs'!$B:$B,B2578))</f>
        <v>52</v>
      </c>
    </row>
    <row r="2579" spans="1:3" x14ac:dyDescent="0.25">
      <c r="A2579" s="1" t="s">
        <v>14290</v>
      </c>
      <c r="B2579" s="1" t="s">
        <v>16379</v>
      </c>
      <c r="C2579" s="3">
        <f>IF(B2579="","",SUMIFS('Factory Costs'!$C:$C,'Factory Costs'!$A:$A,"Frame",'Factory Costs'!$B:$B,B2579))</f>
        <v>45</v>
      </c>
    </row>
    <row r="2580" spans="1:3" x14ac:dyDescent="0.25">
      <c r="A2580" s="1" t="s">
        <v>14293</v>
      </c>
      <c r="B2580" s="1" t="s">
        <v>16378</v>
      </c>
      <c r="C2580" s="3">
        <f>IF(B2580="","",SUMIFS('Factory Costs'!$C:$C,'Factory Costs'!$A:$A,"Frame",'Factory Costs'!$B:$B,B2580))</f>
        <v>52</v>
      </c>
    </row>
    <row r="2581" spans="1:3" x14ac:dyDescent="0.25">
      <c r="A2581" s="1" t="s">
        <v>14296</v>
      </c>
      <c r="B2581" s="1" t="s">
        <v>16379</v>
      </c>
      <c r="C2581" s="3">
        <f>IF(B2581="","",SUMIFS('Factory Costs'!$C:$C,'Factory Costs'!$A:$A,"Frame",'Factory Costs'!$B:$B,B2581))</f>
        <v>45</v>
      </c>
    </row>
    <row r="2582" spans="1:3" x14ac:dyDescent="0.25">
      <c r="A2582" s="1" t="s">
        <v>14299</v>
      </c>
      <c r="B2582" s="1" t="s">
        <v>16378</v>
      </c>
      <c r="C2582" s="3">
        <f>IF(B2582="","",SUMIFS('Factory Costs'!$C:$C,'Factory Costs'!$A:$A,"Frame",'Factory Costs'!$B:$B,B2582))</f>
        <v>52</v>
      </c>
    </row>
    <row r="2583" spans="1:3" x14ac:dyDescent="0.25">
      <c r="A2583" s="1" t="s">
        <v>14302</v>
      </c>
      <c r="B2583" s="1" t="s">
        <v>16377</v>
      </c>
      <c r="C2583" s="3">
        <f>IF(B2583="","",SUMIFS('Factory Costs'!$C:$C,'Factory Costs'!$A:$A,"Frame",'Factory Costs'!$B:$B,B2583))</f>
        <v>39</v>
      </c>
    </row>
    <row r="2584" spans="1:3" x14ac:dyDescent="0.25">
      <c r="A2584" s="1" t="s">
        <v>14305</v>
      </c>
      <c r="B2584" s="1" t="s">
        <v>16377</v>
      </c>
      <c r="C2584" s="3">
        <f>IF(B2584="","",SUMIFS('Factory Costs'!$C:$C,'Factory Costs'!$A:$A,"Frame",'Factory Costs'!$B:$B,B2584))</f>
        <v>39</v>
      </c>
    </row>
    <row r="2585" spans="1:3" x14ac:dyDescent="0.25">
      <c r="A2585" s="1" t="s">
        <v>14308</v>
      </c>
      <c r="B2585" s="1" t="s">
        <v>16379</v>
      </c>
      <c r="C2585" s="3">
        <f>IF(B2585="","",SUMIFS('Factory Costs'!$C:$C,'Factory Costs'!$A:$A,"Frame",'Factory Costs'!$B:$B,B2585))</f>
        <v>45</v>
      </c>
    </row>
    <row r="2586" spans="1:3" x14ac:dyDescent="0.25">
      <c r="A2586" s="1" t="s">
        <v>14311</v>
      </c>
      <c r="B2586" s="1" t="s">
        <v>16379</v>
      </c>
      <c r="C2586" s="3">
        <f>IF(B2586="","",SUMIFS('Factory Costs'!$C:$C,'Factory Costs'!$A:$A,"Frame",'Factory Costs'!$B:$B,B2586))</f>
        <v>45</v>
      </c>
    </row>
    <row r="2587" spans="1:3" x14ac:dyDescent="0.25">
      <c r="A2587" s="1" t="s">
        <v>14314</v>
      </c>
      <c r="B2587" s="1" t="s">
        <v>16379</v>
      </c>
      <c r="C2587" s="3">
        <f>IF(B2587="","",SUMIFS('Factory Costs'!$C:$C,'Factory Costs'!$A:$A,"Frame",'Factory Costs'!$B:$B,B2587))</f>
        <v>45</v>
      </c>
    </row>
    <row r="2588" spans="1:3" x14ac:dyDescent="0.25">
      <c r="A2588" s="1" t="s">
        <v>14317</v>
      </c>
      <c r="B2588" s="1" t="s">
        <v>16378</v>
      </c>
      <c r="C2588" s="3">
        <f>IF(B2588="","",SUMIFS('Factory Costs'!$C:$C,'Factory Costs'!$A:$A,"Frame",'Factory Costs'!$B:$B,B2588))</f>
        <v>52</v>
      </c>
    </row>
    <row r="2589" spans="1:3" x14ac:dyDescent="0.25">
      <c r="A2589" s="1" t="s">
        <v>14320</v>
      </c>
      <c r="B2589" s="1" t="s">
        <v>16378</v>
      </c>
      <c r="C2589" s="3">
        <f>IF(B2589="","",SUMIFS('Factory Costs'!$C:$C,'Factory Costs'!$A:$A,"Frame",'Factory Costs'!$B:$B,B2589))</f>
        <v>52</v>
      </c>
    </row>
    <row r="2590" spans="1:3" x14ac:dyDescent="0.25">
      <c r="A2590" s="1" t="s">
        <v>14323</v>
      </c>
      <c r="B2590" s="1" t="s">
        <v>16377</v>
      </c>
      <c r="C2590" s="3">
        <f>IF(B2590="","",SUMIFS('Factory Costs'!$C:$C,'Factory Costs'!$A:$A,"Frame",'Factory Costs'!$B:$B,B2590))</f>
        <v>39</v>
      </c>
    </row>
    <row r="2591" spans="1:3" x14ac:dyDescent="0.25">
      <c r="A2591" s="1" t="s">
        <v>14326</v>
      </c>
      <c r="B2591" s="1" t="s">
        <v>16377</v>
      </c>
      <c r="C2591" s="3">
        <f>IF(B2591="","",SUMIFS('Factory Costs'!$C:$C,'Factory Costs'!$A:$A,"Frame",'Factory Costs'!$B:$B,B2591))</f>
        <v>39</v>
      </c>
    </row>
    <row r="2592" spans="1:3" x14ac:dyDescent="0.25">
      <c r="A2592" s="1" t="s">
        <v>14329</v>
      </c>
      <c r="B2592" s="1" t="s">
        <v>16378</v>
      </c>
      <c r="C2592" s="3">
        <f>IF(B2592="","",SUMIFS('Factory Costs'!$C:$C,'Factory Costs'!$A:$A,"Frame",'Factory Costs'!$B:$B,B2592))</f>
        <v>52</v>
      </c>
    </row>
    <row r="2593" spans="1:3" x14ac:dyDescent="0.25">
      <c r="A2593" s="1" t="s">
        <v>14332</v>
      </c>
      <c r="B2593" s="1" t="s">
        <v>16378</v>
      </c>
      <c r="C2593" s="3">
        <f>IF(B2593="","",SUMIFS('Factory Costs'!$C:$C,'Factory Costs'!$A:$A,"Frame",'Factory Costs'!$B:$B,B2593))</f>
        <v>52</v>
      </c>
    </row>
    <row r="2594" spans="1:3" x14ac:dyDescent="0.25">
      <c r="A2594" s="1" t="s">
        <v>14335</v>
      </c>
      <c r="B2594" s="1" t="s">
        <v>16378</v>
      </c>
      <c r="C2594" s="3">
        <f>IF(B2594="","",SUMIFS('Factory Costs'!$C:$C,'Factory Costs'!$A:$A,"Frame",'Factory Costs'!$B:$B,B2594))</f>
        <v>52</v>
      </c>
    </row>
    <row r="2595" spans="1:3" x14ac:dyDescent="0.25">
      <c r="A2595" s="1" t="s">
        <v>14338</v>
      </c>
      <c r="B2595" s="1" t="s">
        <v>16379</v>
      </c>
      <c r="C2595" s="3">
        <f>IF(B2595="","",SUMIFS('Factory Costs'!$C:$C,'Factory Costs'!$A:$A,"Frame",'Factory Costs'!$B:$B,B2595))</f>
        <v>45</v>
      </c>
    </row>
    <row r="2596" spans="1:3" x14ac:dyDescent="0.25">
      <c r="A2596" s="1" t="s">
        <v>14341</v>
      </c>
      <c r="B2596" s="1" t="s">
        <v>16377</v>
      </c>
      <c r="C2596" s="3">
        <f>IF(B2596="","",SUMIFS('Factory Costs'!$C:$C,'Factory Costs'!$A:$A,"Frame",'Factory Costs'!$B:$B,B2596))</f>
        <v>39</v>
      </c>
    </row>
    <row r="2597" spans="1:3" x14ac:dyDescent="0.25">
      <c r="A2597" s="1" t="s">
        <v>14344</v>
      </c>
      <c r="B2597" s="1" t="s">
        <v>16377</v>
      </c>
      <c r="C2597" s="3">
        <f>IF(B2597="","",SUMIFS('Factory Costs'!$C:$C,'Factory Costs'!$A:$A,"Frame",'Factory Costs'!$B:$B,B2597))</f>
        <v>39</v>
      </c>
    </row>
    <row r="2598" spans="1:3" x14ac:dyDescent="0.25">
      <c r="A2598" s="1" t="s">
        <v>14347</v>
      </c>
      <c r="B2598" s="1" t="s">
        <v>16377</v>
      </c>
      <c r="C2598" s="3">
        <f>IF(B2598="","",SUMIFS('Factory Costs'!$C:$C,'Factory Costs'!$A:$A,"Frame",'Factory Costs'!$B:$B,B2598))</f>
        <v>39</v>
      </c>
    </row>
    <row r="2599" spans="1:3" x14ac:dyDescent="0.25">
      <c r="A2599" s="1" t="s">
        <v>14350</v>
      </c>
      <c r="B2599" s="1" t="s">
        <v>16379</v>
      </c>
      <c r="C2599" s="3">
        <f>IF(B2599="","",SUMIFS('Factory Costs'!$C:$C,'Factory Costs'!$A:$A,"Frame",'Factory Costs'!$B:$B,B2599))</f>
        <v>45</v>
      </c>
    </row>
    <row r="2600" spans="1:3" x14ac:dyDescent="0.25">
      <c r="A2600" s="1" t="s">
        <v>14353</v>
      </c>
      <c r="B2600" s="1" t="s">
        <v>16378</v>
      </c>
      <c r="C2600" s="3">
        <f>IF(B2600="","",SUMIFS('Factory Costs'!$C:$C,'Factory Costs'!$A:$A,"Frame",'Factory Costs'!$B:$B,B2600))</f>
        <v>52</v>
      </c>
    </row>
    <row r="2601" spans="1:3" x14ac:dyDescent="0.25">
      <c r="A2601" s="1" t="s">
        <v>14356</v>
      </c>
      <c r="B2601" s="1" t="s">
        <v>16379</v>
      </c>
      <c r="C2601" s="3">
        <f>IF(B2601="","",SUMIFS('Factory Costs'!$C:$C,'Factory Costs'!$A:$A,"Frame",'Factory Costs'!$B:$B,B2601))</f>
        <v>45</v>
      </c>
    </row>
    <row r="2602" spans="1:3" x14ac:dyDescent="0.25">
      <c r="A2602" s="1" t="s">
        <v>14359</v>
      </c>
      <c r="B2602" s="1" t="s">
        <v>16377</v>
      </c>
      <c r="C2602" s="3">
        <f>IF(B2602="","",SUMIFS('Factory Costs'!$C:$C,'Factory Costs'!$A:$A,"Frame",'Factory Costs'!$B:$B,B2602))</f>
        <v>39</v>
      </c>
    </row>
    <row r="2603" spans="1:3" x14ac:dyDescent="0.25">
      <c r="A2603" s="1" t="s">
        <v>14362</v>
      </c>
      <c r="B2603" s="1" t="s">
        <v>16377</v>
      </c>
      <c r="C2603" s="3">
        <f>IF(B2603="","",SUMIFS('Factory Costs'!$C:$C,'Factory Costs'!$A:$A,"Frame",'Factory Costs'!$B:$B,B2603))</f>
        <v>39</v>
      </c>
    </row>
    <row r="2604" spans="1:3" x14ac:dyDescent="0.25">
      <c r="A2604" s="1" t="s">
        <v>14365</v>
      </c>
      <c r="B2604" s="1" t="s">
        <v>16379</v>
      </c>
      <c r="C2604" s="3">
        <f>IF(B2604="","",SUMIFS('Factory Costs'!$C:$C,'Factory Costs'!$A:$A,"Frame",'Factory Costs'!$B:$B,B2604))</f>
        <v>45</v>
      </c>
    </row>
    <row r="2605" spans="1:3" x14ac:dyDescent="0.25">
      <c r="A2605" s="1" t="s">
        <v>14368</v>
      </c>
      <c r="B2605" s="1" t="s">
        <v>16378</v>
      </c>
      <c r="C2605" s="3">
        <f>IF(B2605="","",SUMIFS('Factory Costs'!$C:$C,'Factory Costs'!$A:$A,"Frame",'Factory Costs'!$B:$B,B2605))</f>
        <v>52</v>
      </c>
    </row>
    <row r="2606" spans="1:3" x14ac:dyDescent="0.25">
      <c r="A2606" s="1" t="s">
        <v>14371</v>
      </c>
      <c r="B2606" s="1" t="s">
        <v>16378</v>
      </c>
      <c r="C2606" s="3">
        <f>IF(B2606="","",SUMIFS('Factory Costs'!$C:$C,'Factory Costs'!$A:$A,"Frame",'Factory Costs'!$B:$B,B2606))</f>
        <v>52</v>
      </c>
    </row>
    <row r="2607" spans="1:3" x14ac:dyDescent="0.25">
      <c r="A2607" s="1" t="s">
        <v>14374</v>
      </c>
      <c r="B2607" s="1" t="s">
        <v>16377</v>
      </c>
      <c r="C2607" s="3">
        <f>IF(B2607="","",SUMIFS('Factory Costs'!$C:$C,'Factory Costs'!$A:$A,"Frame",'Factory Costs'!$B:$B,B2607))</f>
        <v>39</v>
      </c>
    </row>
    <row r="2608" spans="1:3" x14ac:dyDescent="0.25">
      <c r="A2608" s="1" t="s">
        <v>14377</v>
      </c>
      <c r="B2608" s="1" t="s">
        <v>16377</v>
      </c>
      <c r="C2608" s="3">
        <f>IF(B2608="","",SUMIFS('Factory Costs'!$C:$C,'Factory Costs'!$A:$A,"Frame",'Factory Costs'!$B:$B,B2608))</f>
        <v>39</v>
      </c>
    </row>
    <row r="2609" spans="1:3" x14ac:dyDescent="0.25">
      <c r="A2609" s="1" t="s">
        <v>14380</v>
      </c>
      <c r="B2609" s="1" t="s">
        <v>16379</v>
      </c>
      <c r="C2609" s="3">
        <f>IF(B2609="","",SUMIFS('Factory Costs'!$C:$C,'Factory Costs'!$A:$A,"Frame",'Factory Costs'!$B:$B,B2609))</f>
        <v>45</v>
      </c>
    </row>
    <row r="2610" spans="1:3" x14ac:dyDescent="0.25">
      <c r="A2610" s="1" t="s">
        <v>14383</v>
      </c>
      <c r="B2610" s="1" t="s">
        <v>16378</v>
      </c>
      <c r="C2610" s="3">
        <f>IF(B2610="","",SUMIFS('Factory Costs'!$C:$C,'Factory Costs'!$A:$A,"Frame",'Factory Costs'!$B:$B,B2610))</f>
        <v>52</v>
      </c>
    </row>
    <row r="2611" spans="1:3" x14ac:dyDescent="0.25">
      <c r="A2611" s="1" t="s">
        <v>14386</v>
      </c>
      <c r="B2611" s="1" t="s">
        <v>16377</v>
      </c>
      <c r="C2611" s="3">
        <f>IF(B2611="","",SUMIFS('Factory Costs'!$C:$C,'Factory Costs'!$A:$A,"Frame",'Factory Costs'!$B:$B,B2611))</f>
        <v>39</v>
      </c>
    </row>
    <row r="2612" spans="1:3" x14ac:dyDescent="0.25">
      <c r="A2612" s="1" t="s">
        <v>14389</v>
      </c>
      <c r="B2612" s="1" t="s">
        <v>16379</v>
      </c>
      <c r="C2612" s="3">
        <f>IF(B2612="","",SUMIFS('Factory Costs'!$C:$C,'Factory Costs'!$A:$A,"Frame",'Factory Costs'!$B:$B,B2612))</f>
        <v>45</v>
      </c>
    </row>
    <row r="2613" spans="1:3" x14ac:dyDescent="0.25">
      <c r="A2613" s="1" t="s">
        <v>14392</v>
      </c>
      <c r="B2613" s="1" t="s">
        <v>16378</v>
      </c>
      <c r="C2613" s="3">
        <f>IF(B2613="","",SUMIFS('Factory Costs'!$C:$C,'Factory Costs'!$A:$A,"Frame",'Factory Costs'!$B:$B,B2613))</f>
        <v>52</v>
      </c>
    </row>
    <row r="2614" spans="1:3" x14ac:dyDescent="0.25">
      <c r="A2614" s="1" t="s">
        <v>14395</v>
      </c>
      <c r="B2614" s="1" t="s">
        <v>16378</v>
      </c>
      <c r="C2614" s="3">
        <f>IF(B2614="","",SUMIFS('Factory Costs'!$C:$C,'Factory Costs'!$A:$A,"Frame",'Factory Costs'!$B:$B,B2614))</f>
        <v>52</v>
      </c>
    </row>
    <row r="2615" spans="1:3" x14ac:dyDescent="0.25">
      <c r="A2615" s="1" t="s">
        <v>14398</v>
      </c>
      <c r="B2615" s="1" t="s">
        <v>16377</v>
      </c>
      <c r="C2615" s="3">
        <f>IF(B2615="","",SUMIFS('Factory Costs'!$C:$C,'Factory Costs'!$A:$A,"Frame",'Factory Costs'!$B:$B,B2615))</f>
        <v>39</v>
      </c>
    </row>
    <row r="2616" spans="1:3" x14ac:dyDescent="0.25">
      <c r="A2616" s="1" t="s">
        <v>14401</v>
      </c>
      <c r="B2616" s="1" t="s">
        <v>16379</v>
      </c>
      <c r="C2616" s="3">
        <f>IF(B2616="","",SUMIFS('Factory Costs'!$C:$C,'Factory Costs'!$A:$A,"Frame",'Factory Costs'!$B:$B,B2616))</f>
        <v>45</v>
      </c>
    </row>
    <row r="2617" spans="1:3" x14ac:dyDescent="0.25">
      <c r="A2617" s="1" t="s">
        <v>14404</v>
      </c>
      <c r="B2617" s="1" t="s">
        <v>16378</v>
      </c>
      <c r="C2617" s="3">
        <f>IF(B2617="","",SUMIFS('Factory Costs'!$C:$C,'Factory Costs'!$A:$A,"Frame",'Factory Costs'!$B:$B,B2617))</f>
        <v>52</v>
      </c>
    </row>
    <row r="2618" spans="1:3" x14ac:dyDescent="0.25">
      <c r="A2618" s="1" t="s">
        <v>14407</v>
      </c>
      <c r="B2618" s="1" t="s">
        <v>16378</v>
      </c>
      <c r="C2618" s="3">
        <f>IF(B2618="","",SUMIFS('Factory Costs'!$C:$C,'Factory Costs'!$A:$A,"Frame",'Factory Costs'!$B:$B,B2618))</f>
        <v>52</v>
      </c>
    </row>
    <row r="2619" spans="1:3" x14ac:dyDescent="0.25">
      <c r="A2619" s="1" t="s">
        <v>14410</v>
      </c>
      <c r="B2619" s="1" t="s">
        <v>16377</v>
      </c>
      <c r="C2619" s="3">
        <f>IF(B2619="","",SUMIFS('Factory Costs'!$C:$C,'Factory Costs'!$A:$A,"Frame",'Factory Costs'!$B:$B,B2619))</f>
        <v>39</v>
      </c>
    </row>
    <row r="2620" spans="1:3" x14ac:dyDescent="0.25">
      <c r="A2620" s="1" t="s">
        <v>14413</v>
      </c>
      <c r="B2620" s="1" t="s">
        <v>16378</v>
      </c>
      <c r="C2620" s="3">
        <f>IF(B2620="","",SUMIFS('Factory Costs'!$C:$C,'Factory Costs'!$A:$A,"Frame",'Factory Costs'!$B:$B,B2620))</f>
        <v>52</v>
      </c>
    </row>
    <row r="2621" spans="1:3" x14ac:dyDescent="0.25">
      <c r="A2621" s="1" t="s">
        <v>14416</v>
      </c>
      <c r="B2621" s="1" t="s">
        <v>16377</v>
      </c>
      <c r="C2621" s="3">
        <f>IF(B2621="","",SUMIFS('Factory Costs'!$C:$C,'Factory Costs'!$A:$A,"Frame",'Factory Costs'!$B:$B,B2621))</f>
        <v>39</v>
      </c>
    </row>
    <row r="2622" spans="1:3" x14ac:dyDescent="0.25">
      <c r="A2622" s="1" t="s">
        <v>14419</v>
      </c>
      <c r="B2622" s="1" t="s">
        <v>16379</v>
      </c>
      <c r="C2622" s="3">
        <f>IF(B2622="","",SUMIFS('Factory Costs'!$C:$C,'Factory Costs'!$A:$A,"Frame",'Factory Costs'!$B:$B,B2622))</f>
        <v>45</v>
      </c>
    </row>
    <row r="2623" spans="1:3" x14ac:dyDescent="0.25">
      <c r="A2623" s="1" t="s">
        <v>14422</v>
      </c>
      <c r="B2623" s="1" t="s">
        <v>16377</v>
      </c>
      <c r="C2623" s="3">
        <f>IF(B2623="","",SUMIFS('Factory Costs'!$C:$C,'Factory Costs'!$A:$A,"Frame",'Factory Costs'!$B:$B,B2623))</f>
        <v>39</v>
      </c>
    </row>
    <row r="2624" spans="1:3" x14ac:dyDescent="0.25">
      <c r="A2624" s="1" t="s">
        <v>14425</v>
      </c>
      <c r="B2624" s="1" t="s">
        <v>16379</v>
      </c>
      <c r="C2624" s="3">
        <f>IF(B2624="","",SUMIFS('Factory Costs'!$C:$C,'Factory Costs'!$A:$A,"Frame",'Factory Costs'!$B:$B,B2624))</f>
        <v>45</v>
      </c>
    </row>
    <row r="2625" spans="1:3" x14ac:dyDescent="0.25">
      <c r="A2625" s="1" t="s">
        <v>14428</v>
      </c>
      <c r="B2625" s="1" t="s">
        <v>16377</v>
      </c>
      <c r="C2625" s="3">
        <f>IF(B2625="","",SUMIFS('Factory Costs'!$C:$C,'Factory Costs'!$A:$A,"Frame",'Factory Costs'!$B:$B,B2625))</f>
        <v>39</v>
      </c>
    </row>
    <row r="2626" spans="1:3" x14ac:dyDescent="0.25">
      <c r="A2626" s="1" t="s">
        <v>14431</v>
      </c>
      <c r="B2626" s="1" t="s">
        <v>16379</v>
      </c>
      <c r="C2626" s="3">
        <f>IF(B2626="","",SUMIFS('Factory Costs'!$C:$C,'Factory Costs'!$A:$A,"Frame",'Factory Costs'!$B:$B,B2626))</f>
        <v>45</v>
      </c>
    </row>
    <row r="2627" spans="1:3" x14ac:dyDescent="0.25">
      <c r="A2627" s="1" t="s">
        <v>14434</v>
      </c>
      <c r="B2627" s="1" t="s">
        <v>16377</v>
      </c>
      <c r="C2627" s="3">
        <f>IF(B2627="","",SUMIFS('Factory Costs'!$C:$C,'Factory Costs'!$A:$A,"Frame",'Factory Costs'!$B:$B,B2627))</f>
        <v>39</v>
      </c>
    </row>
    <row r="2628" spans="1:3" x14ac:dyDescent="0.25">
      <c r="A2628" s="1" t="s">
        <v>14437</v>
      </c>
      <c r="B2628" s="1" t="s">
        <v>16379</v>
      </c>
      <c r="C2628" s="3">
        <f>IF(B2628="","",SUMIFS('Factory Costs'!$C:$C,'Factory Costs'!$A:$A,"Frame",'Factory Costs'!$B:$B,B2628))</f>
        <v>45</v>
      </c>
    </row>
    <row r="2629" spans="1:3" x14ac:dyDescent="0.25">
      <c r="A2629" s="1" t="s">
        <v>14440</v>
      </c>
      <c r="B2629" s="1" t="s">
        <v>16379</v>
      </c>
      <c r="C2629" s="3">
        <f>IF(B2629="","",SUMIFS('Factory Costs'!$C:$C,'Factory Costs'!$A:$A,"Frame",'Factory Costs'!$B:$B,B2629))</f>
        <v>45</v>
      </c>
    </row>
    <row r="2630" spans="1:3" x14ac:dyDescent="0.25">
      <c r="A2630" s="1" t="s">
        <v>14443</v>
      </c>
      <c r="B2630" s="1" t="s">
        <v>16379</v>
      </c>
      <c r="C2630" s="3">
        <f>IF(B2630="","",SUMIFS('Factory Costs'!$C:$C,'Factory Costs'!$A:$A,"Frame",'Factory Costs'!$B:$B,B2630))</f>
        <v>45</v>
      </c>
    </row>
    <row r="2631" spans="1:3" x14ac:dyDescent="0.25">
      <c r="A2631" s="1" t="s">
        <v>14446</v>
      </c>
      <c r="B2631" s="1" t="s">
        <v>16379</v>
      </c>
      <c r="C2631" s="3">
        <f>IF(B2631="","",SUMIFS('Factory Costs'!$C:$C,'Factory Costs'!$A:$A,"Frame",'Factory Costs'!$B:$B,B2631))</f>
        <v>45</v>
      </c>
    </row>
    <row r="2632" spans="1:3" x14ac:dyDescent="0.25">
      <c r="A2632" s="1" t="s">
        <v>14449</v>
      </c>
      <c r="B2632" s="1" t="s">
        <v>16379</v>
      </c>
      <c r="C2632" s="3">
        <f>IF(B2632="","",SUMIFS('Factory Costs'!$C:$C,'Factory Costs'!$A:$A,"Frame",'Factory Costs'!$B:$B,B2632))</f>
        <v>45</v>
      </c>
    </row>
    <row r="2633" spans="1:3" x14ac:dyDescent="0.25">
      <c r="A2633" s="1" t="s">
        <v>14452</v>
      </c>
      <c r="B2633" s="1" t="s">
        <v>16378</v>
      </c>
      <c r="C2633" s="3">
        <f>IF(B2633="","",SUMIFS('Factory Costs'!$C:$C,'Factory Costs'!$A:$A,"Frame",'Factory Costs'!$B:$B,B2633))</f>
        <v>52</v>
      </c>
    </row>
    <row r="2634" spans="1:3" x14ac:dyDescent="0.25">
      <c r="A2634" s="1" t="s">
        <v>14455</v>
      </c>
      <c r="B2634" s="1" t="s">
        <v>16377</v>
      </c>
      <c r="C2634" s="3">
        <f>IF(B2634="","",SUMIFS('Factory Costs'!$C:$C,'Factory Costs'!$A:$A,"Frame",'Factory Costs'!$B:$B,B2634))</f>
        <v>39</v>
      </c>
    </row>
    <row r="2635" spans="1:3" x14ac:dyDescent="0.25">
      <c r="A2635" s="1" t="s">
        <v>14458</v>
      </c>
      <c r="B2635" s="1" t="s">
        <v>16377</v>
      </c>
      <c r="C2635" s="3">
        <f>IF(B2635="","",SUMIFS('Factory Costs'!$C:$C,'Factory Costs'!$A:$A,"Frame",'Factory Costs'!$B:$B,B2635))</f>
        <v>39</v>
      </c>
    </row>
    <row r="2636" spans="1:3" x14ac:dyDescent="0.25">
      <c r="A2636" s="1" t="s">
        <v>14461</v>
      </c>
      <c r="B2636" s="1" t="s">
        <v>16379</v>
      </c>
      <c r="C2636" s="3">
        <f>IF(B2636="","",SUMIFS('Factory Costs'!$C:$C,'Factory Costs'!$A:$A,"Frame",'Factory Costs'!$B:$B,B2636))</f>
        <v>45</v>
      </c>
    </row>
    <row r="2637" spans="1:3" x14ac:dyDescent="0.25">
      <c r="A2637" s="1" t="s">
        <v>14464</v>
      </c>
      <c r="B2637" s="1" t="s">
        <v>16378</v>
      </c>
      <c r="C2637" s="3">
        <f>IF(B2637="","",SUMIFS('Factory Costs'!$C:$C,'Factory Costs'!$A:$A,"Frame",'Factory Costs'!$B:$B,B2637))</f>
        <v>52</v>
      </c>
    </row>
    <row r="2638" spans="1:3" x14ac:dyDescent="0.25">
      <c r="A2638" s="1" t="s">
        <v>14467</v>
      </c>
      <c r="B2638" s="1" t="s">
        <v>16379</v>
      </c>
      <c r="C2638" s="3">
        <f>IF(B2638="","",SUMIFS('Factory Costs'!$C:$C,'Factory Costs'!$A:$A,"Frame",'Factory Costs'!$B:$B,B2638))</f>
        <v>45</v>
      </c>
    </row>
    <row r="2639" spans="1:3" x14ac:dyDescent="0.25">
      <c r="A2639" s="1" t="s">
        <v>14470</v>
      </c>
      <c r="B2639" s="1" t="s">
        <v>16378</v>
      </c>
      <c r="C2639" s="3">
        <f>IF(B2639="","",SUMIFS('Factory Costs'!$C:$C,'Factory Costs'!$A:$A,"Frame",'Factory Costs'!$B:$B,B2639))</f>
        <v>52</v>
      </c>
    </row>
    <row r="2640" spans="1:3" x14ac:dyDescent="0.25">
      <c r="A2640" s="1" t="s">
        <v>14473</v>
      </c>
      <c r="B2640" s="1" t="s">
        <v>16378</v>
      </c>
      <c r="C2640" s="3">
        <f>IF(B2640="","",SUMIFS('Factory Costs'!$C:$C,'Factory Costs'!$A:$A,"Frame",'Factory Costs'!$B:$B,B2640))</f>
        <v>52</v>
      </c>
    </row>
    <row r="2641" spans="1:3" x14ac:dyDescent="0.25">
      <c r="A2641" s="1" t="s">
        <v>14476</v>
      </c>
      <c r="B2641" s="1" t="s">
        <v>16377</v>
      </c>
      <c r="C2641" s="3">
        <f>IF(B2641="","",SUMIFS('Factory Costs'!$C:$C,'Factory Costs'!$A:$A,"Frame",'Factory Costs'!$B:$B,B2641))</f>
        <v>39</v>
      </c>
    </row>
    <row r="2642" spans="1:3" x14ac:dyDescent="0.25">
      <c r="A2642" s="1" t="s">
        <v>14479</v>
      </c>
      <c r="B2642" s="1" t="s">
        <v>16377</v>
      </c>
      <c r="C2642" s="3">
        <f>IF(B2642="","",SUMIFS('Factory Costs'!$C:$C,'Factory Costs'!$A:$A,"Frame",'Factory Costs'!$B:$B,B2642))</f>
        <v>39</v>
      </c>
    </row>
    <row r="2643" spans="1:3" x14ac:dyDescent="0.25">
      <c r="A2643" s="1" t="s">
        <v>14482</v>
      </c>
      <c r="B2643" s="1" t="s">
        <v>16378</v>
      </c>
      <c r="C2643" s="3">
        <f>IF(B2643="","",SUMIFS('Factory Costs'!$C:$C,'Factory Costs'!$A:$A,"Frame",'Factory Costs'!$B:$B,B2643))</f>
        <v>52</v>
      </c>
    </row>
    <row r="2644" spans="1:3" x14ac:dyDescent="0.25">
      <c r="A2644" s="1" t="s">
        <v>14485</v>
      </c>
      <c r="B2644" s="1" t="s">
        <v>16379</v>
      </c>
      <c r="C2644" s="3">
        <f>IF(B2644="","",SUMIFS('Factory Costs'!$C:$C,'Factory Costs'!$A:$A,"Frame",'Factory Costs'!$B:$B,B2644))</f>
        <v>45</v>
      </c>
    </row>
    <row r="2645" spans="1:3" x14ac:dyDescent="0.25">
      <c r="A2645" s="1" t="s">
        <v>14488</v>
      </c>
      <c r="B2645" s="1" t="s">
        <v>16377</v>
      </c>
      <c r="C2645" s="3">
        <f>IF(B2645="","",SUMIFS('Factory Costs'!$C:$C,'Factory Costs'!$A:$A,"Frame",'Factory Costs'!$B:$B,B2645))</f>
        <v>39</v>
      </c>
    </row>
    <row r="2646" spans="1:3" x14ac:dyDescent="0.25">
      <c r="A2646" s="1" t="s">
        <v>14491</v>
      </c>
      <c r="B2646" s="1" t="s">
        <v>16377</v>
      </c>
      <c r="C2646" s="3">
        <f>IF(B2646="","",SUMIFS('Factory Costs'!$C:$C,'Factory Costs'!$A:$A,"Frame",'Factory Costs'!$B:$B,B2646))</f>
        <v>39</v>
      </c>
    </row>
    <row r="2647" spans="1:3" x14ac:dyDescent="0.25">
      <c r="A2647" s="1" t="s">
        <v>14494</v>
      </c>
      <c r="B2647" s="1" t="s">
        <v>16379</v>
      </c>
      <c r="C2647" s="3">
        <f>IF(B2647="","",SUMIFS('Factory Costs'!$C:$C,'Factory Costs'!$A:$A,"Frame",'Factory Costs'!$B:$B,B2647))</f>
        <v>45</v>
      </c>
    </row>
    <row r="2648" spans="1:3" x14ac:dyDescent="0.25">
      <c r="A2648" s="1" t="s">
        <v>14497</v>
      </c>
      <c r="B2648" s="1" t="s">
        <v>16377</v>
      </c>
      <c r="C2648" s="3">
        <f>IF(B2648="","",SUMIFS('Factory Costs'!$C:$C,'Factory Costs'!$A:$A,"Frame",'Factory Costs'!$B:$B,B2648))</f>
        <v>39</v>
      </c>
    </row>
    <row r="2649" spans="1:3" x14ac:dyDescent="0.25">
      <c r="A2649" s="1" t="s">
        <v>14500</v>
      </c>
      <c r="B2649" s="1" t="s">
        <v>16379</v>
      </c>
      <c r="C2649" s="3">
        <f>IF(B2649="","",SUMIFS('Factory Costs'!$C:$C,'Factory Costs'!$A:$A,"Frame",'Factory Costs'!$B:$B,B2649))</f>
        <v>45</v>
      </c>
    </row>
    <row r="2650" spans="1:3" x14ac:dyDescent="0.25">
      <c r="A2650" s="1" t="s">
        <v>14503</v>
      </c>
      <c r="B2650" s="1" t="s">
        <v>16377</v>
      </c>
      <c r="C2650" s="3">
        <f>IF(B2650="","",SUMIFS('Factory Costs'!$C:$C,'Factory Costs'!$A:$A,"Frame",'Factory Costs'!$B:$B,B2650))</f>
        <v>39</v>
      </c>
    </row>
    <row r="2651" spans="1:3" x14ac:dyDescent="0.25">
      <c r="A2651" s="1" t="s">
        <v>14506</v>
      </c>
      <c r="B2651" s="1" t="s">
        <v>16379</v>
      </c>
      <c r="C2651" s="3">
        <f>IF(B2651="","",SUMIFS('Factory Costs'!$C:$C,'Factory Costs'!$A:$A,"Frame",'Factory Costs'!$B:$B,B2651))</f>
        <v>45</v>
      </c>
    </row>
    <row r="2652" spans="1:3" x14ac:dyDescent="0.25">
      <c r="A2652" s="1" t="s">
        <v>14509</v>
      </c>
      <c r="B2652" s="1" t="s">
        <v>16378</v>
      </c>
      <c r="C2652" s="3">
        <f>IF(B2652="","",SUMIFS('Factory Costs'!$C:$C,'Factory Costs'!$A:$A,"Frame",'Factory Costs'!$B:$B,B2652))</f>
        <v>52</v>
      </c>
    </row>
    <row r="2653" spans="1:3" x14ac:dyDescent="0.25">
      <c r="A2653" s="1" t="s">
        <v>14512</v>
      </c>
      <c r="B2653" s="1" t="s">
        <v>16377</v>
      </c>
      <c r="C2653" s="3">
        <f>IF(B2653="","",SUMIFS('Factory Costs'!$C:$C,'Factory Costs'!$A:$A,"Frame",'Factory Costs'!$B:$B,B2653))</f>
        <v>39</v>
      </c>
    </row>
    <row r="2654" spans="1:3" x14ac:dyDescent="0.25">
      <c r="A2654" s="1" t="s">
        <v>14515</v>
      </c>
      <c r="B2654" s="1" t="s">
        <v>16379</v>
      </c>
      <c r="C2654" s="3">
        <f>IF(B2654="","",SUMIFS('Factory Costs'!$C:$C,'Factory Costs'!$A:$A,"Frame",'Factory Costs'!$B:$B,B2654))</f>
        <v>45</v>
      </c>
    </row>
    <row r="2655" spans="1:3" x14ac:dyDescent="0.25">
      <c r="A2655" s="1" t="s">
        <v>14518</v>
      </c>
      <c r="B2655" s="1" t="s">
        <v>16379</v>
      </c>
      <c r="C2655" s="3">
        <f>IF(B2655="","",SUMIFS('Factory Costs'!$C:$C,'Factory Costs'!$A:$A,"Frame",'Factory Costs'!$B:$B,B2655))</f>
        <v>45</v>
      </c>
    </row>
    <row r="2656" spans="1:3" x14ac:dyDescent="0.25">
      <c r="A2656" s="1" t="s">
        <v>14521</v>
      </c>
      <c r="B2656" s="1" t="s">
        <v>16377</v>
      </c>
      <c r="C2656" s="3">
        <f>IF(B2656="","",SUMIFS('Factory Costs'!$C:$C,'Factory Costs'!$A:$A,"Frame",'Factory Costs'!$B:$B,B2656))</f>
        <v>39</v>
      </c>
    </row>
    <row r="2657" spans="1:3" x14ac:dyDescent="0.25">
      <c r="A2657" s="1" t="s">
        <v>14524</v>
      </c>
      <c r="B2657" s="1" t="s">
        <v>16377</v>
      </c>
      <c r="C2657" s="3">
        <f>IF(B2657="","",SUMIFS('Factory Costs'!$C:$C,'Factory Costs'!$A:$A,"Frame",'Factory Costs'!$B:$B,B2657))</f>
        <v>39</v>
      </c>
    </row>
    <row r="2658" spans="1:3" x14ac:dyDescent="0.25">
      <c r="A2658" s="1" t="s">
        <v>14527</v>
      </c>
      <c r="B2658" s="1" t="s">
        <v>16378</v>
      </c>
      <c r="C2658" s="3">
        <f>IF(B2658="","",SUMIFS('Factory Costs'!$C:$C,'Factory Costs'!$A:$A,"Frame",'Factory Costs'!$B:$B,B2658))</f>
        <v>52</v>
      </c>
    </row>
    <row r="2659" spans="1:3" x14ac:dyDescent="0.25">
      <c r="A2659" s="1" t="s">
        <v>14530</v>
      </c>
      <c r="B2659" s="1" t="s">
        <v>16379</v>
      </c>
      <c r="C2659" s="3">
        <f>IF(B2659="","",SUMIFS('Factory Costs'!$C:$C,'Factory Costs'!$A:$A,"Frame",'Factory Costs'!$B:$B,B2659))</f>
        <v>45</v>
      </c>
    </row>
    <row r="2660" spans="1:3" x14ac:dyDescent="0.25">
      <c r="A2660" s="1" t="s">
        <v>14533</v>
      </c>
      <c r="B2660" s="1" t="s">
        <v>16377</v>
      </c>
      <c r="C2660" s="3">
        <f>IF(B2660="","",SUMIFS('Factory Costs'!$C:$C,'Factory Costs'!$A:$A,"Frame",'Factory Costs'!$B:$B,B2660))</f>
        <v>39</v>
      </c>
    </row>
    <row r="2661" spans="1:3" x14ac:dyDescent="0.25">
      <c r="A2661" s="1" t="s">
        <v>14536</v>
      </c>
      <c r="B2661" s="1" t="s">
        <v>16377</v>
      </c>
      <c r="C2661" s="3">
        <f>IF(B2661="","",SUMIFS('Factory Costs'!$C:$C,'Factory Costs'!$A:$A,"Frame",'Factory Costs'!$B:$B,B2661))</f>
        <v>39</v>
      </c>
    </row>
    <row r="2662" spans="1:3" x14ac:dyDescent="0.25">
      <c r="A2662" s="1" t="s">
        <v>14539</v>
      </c>
      <c r="B2662" s="1" t="s">
        <v>16378</v>
      </c>
      <c r="C2662" s="3">
        <f>IF(B2662="","",SUMIFS('Factory Costs'!$C:$C,'Factory Costs'!$A:$A,"Frame",'Factory Costs'!$B:$B,B2662))</f>
        <v>52</v>
      </c>
    </row>
    <row r="2663" spans="1:3" x14ac:dyDescent="0.25">
      <c r="A2663" s="1" t="s">
        <v>14542</v>
      </c>
      <c r="B2663" s="1" t="s">
        <v>16377</v>
      </c>
      <c r="C2663" s="3">
        <f>IF(B2663="","",SUMIFS('Factory Costs'!$C:$C,'Factory Costs'!$A:$A,"Frame",'Factory Costs'!$B:$B,B2663))</f>
        <v>39</v>
      </c>
    </row>
    <row r="2664" spans="1:3" x14ac:dyDescent="0.25">
      <c r="A2664" s="1" t="s">
        <v>14545</v>
      </c>
      <c r="B2664" s="1" t="s">
        <v>16377</v>
      </c>
      <c r="C2664" s="3">
        <f>IF(B2664="","",SUMIFS('Factory Costs'!$C:$C,'Factory Costs'!$A:$A,"Frame",'Factory Costs'!$B:$B,B2664))</f>
        <v>39</v>
      </c>
    </row>
    <row r="2665" spans="1:3" x14ac:dyDescent="0.25">
      <c r="A2665" s="1" t="s">
        <v>14548</v>
      </c>
      <c r="B2665" s="1" t="s">
        <v>16378</v>
      </c>
      <c r="C2665" s="3">
        <f>IF(B2665="","",SUMIFS('Factory Costs'!$C:$C,'Factory Costs'!$A:$A,"Frame",'Factory Costs'!$B:$B,B2665))</f>
        <v>52</v>
      </c>
    </row>
    <row r="2666" spans="1:3" x14ac:dyDescent="0.25">
      <c r="A2666" s="1" t="s">
        <v>14551</v>
      </c>
      <c r="B2666" s="1" t="s">
        <v>16379</v>
      </c>
      <c r="C2666" s="3">
        <f>IF(B2666="","",SUMIFS('Factory Costs'!$C:$C,'Factory Costs'!$A:$A,"Frame",'Factory Costs'!$B:$B,B2666))</f>
        <v>45</v>
      </c>
    </row>
    <row r="2667" spans="1:3" x14ac:dyDescent="0.25">
      <c r="A2667" s="1" t="s">
        <v>14554</v>
      </c>
      <c r="B2667" s="1" t="s">
        <v>16378</v>
      </c>
      <c r="C2667" s="3">
        <f>IF(B2667="","",SUMIFS('Factory Costs'!$C:$C,'Factory Costs'!$A:$A,"Frame",'Factory Costs'!$B:$B,B2667))</f>
        <v>52</v>
      </c>
    </row>
    <row r="2668" spans="1:3" x14ac:dyDescent="0.25">
      <c r="A2668" s="1" t="s">
        <v>14557</v>
      </c>
      <c r="B2668" s="1" t="s">
        <v>16377</v>
      </c>
      <c r="C2668" s="3">
        <f>IF(B2668="","",SUMIFS('Factory Costs'!$C:$C,'Factory Costs'!$A:$A,"Frame",'Factory Costs'!$B:$B,B2668))</f>
        <v>39</v>
      </c>
    </row>
    <row r="2669" spans="1:3" x14ac:dyDescent="0.25">
      <c r="A2669" s="1" t="s">
        <v>14560</v>
      </c>
      <c r="B2669" s="1" t="s">
        <v>16377</v>
      </c>
      <c r="C2669" s="3">
        <f>IF(B2669="","",SUMIFS('Factory Costs'!$C:$C,'Factory Costs'!$A:$A,"Frame",'Factory Costs'!$B:$B,B2669))</f>
        <v>39</v>
      </c>
    </row>
    <row r="2670" spans="1:3" x14ac:dyDescent="0.25">
      <c r="A2670" s="1" t="s">
        <v>14563</v>
      </c>
      <c r="B2670" s="1" t="s">
        <v>16378</v>
      </c>
      <c r="C2670" s="3">
        <f>IF(B2670="","",SUMIFS('Factory Costs'!$C:$C,'Factory Costs'!$A:$A,"Frame",'Factory Costs'!$B:$B,B2670))</f>
        <v>52</v>
      </c>
    </row>
    <row r="2671" spans="1:3" x14ac:dyDescent="0.25">
      <c r="A2671" s="1" t="s">
        <v>14566</v>
      </c>
      <c r="B2671" s="1" t="s">
        <v>16377</v>
      </c>
      <c r="C2671" s="3">
        <f>IF(B2671="","",SUMIFS('Factory Costs'!$C:$C,'Factory Costs'!$A:$A,"Frame",'Factory Costs'!$B:$B,B2671))</f>
        <v>39</v>
      </c>
    </row>
    <row r="2672" spans="1:3" x14ac:dyDescent="0.25">
      <c r="A2672" s="1" t="s">
        <v>14569</v>
      </c>
      <c r="B2672" s="1" t="s">
        <v>16377</v>
      </c>
      <c r="C2672" s="3">
        <f>IF(B2672="","",SUMIFS('Factory Costs'!$C:$C,'Factory Costs'!$A:$A,"Frame",'Factory Costs'!$B:$B,B2672))</f>
        <v>39</v>
      </c>
    </row>
    <row r="2673" spans="1:3" x14ac:dyDescent="0.25">
      <c r="A2673" s="1" t="s">
        <v>14572</v>
      </c>
      <c r="B2673" s="1" t="s">
        <v>16377</v>
      </c>
      <c r="C2673" s="3">
        <f>IF(B2673="","",SUMIFS('Factory Costs'!$C:$C,'Factory Costs'!$A:$A,"Frame",'Factory Costs'!$B:$B,B2673))</f>
        <v>39</v>
      </c>
    </row>
    <row r="2674" spans="1:3" x14ac:dyDescent="0.25">
      <c r="A2674" s="1" t="s">
        <v>14575</v>
      </c>
      <c r="B2674" s="1" t="s">
        <v>16377</v>
      </c>
      <c r="C2674" s="3">
        <f>IF(B2674="","",SUMIFS('Factory Costs'!$C:$C,'Factory Costs'!$A:$A,"Frame",'Factory Costs'!$B:$B,B2674))</f>
        <v>39</v>
      </c>
    </row>
    <row r="2675" spans="1:3" x14ac:dyDescent="0.25">
      <c r="A2675" s="1" t="s">
        <v>14578</v>
      </c>
      <c r="B2675" s="1" t="s">
        <v>16379</v>
      </c>
      <c r="C2675" s="3">
        <f>IF(B2675="","",SUMIFS('Factory Costs'!$C:$C,'Factory Costs'!$A:$A,"Frame",'Factory Costs'!$B:$B,B2675))</f>
        <v>45</v>
      </c>
    </row>
    <row r="2676" spans="1:3" x14ac:dyDescent="0.25">
      <c r="A2676" s="1" t="s">
        <v>14581</v>
      </c>
      <c r="B2676" s="1" t="s">
        <v>16377</v>
      </c>
      <c r="C2676" s="3">
        <f>IF(B2676="","",SUMIFS('Factory Costs'!$C:$C,'Factory Costs'!$A:$A,"Frame",'Factory Costs'!$B:$B,B2676))</f>
        <v>39</v>
      </c>
    </row>
    <row r="2677" spans="1:3" x14ac:dyDescent="0.25">
      <c r="A2677" s="1" t="s">
        <v>14584</v>
      </c>
      <c r="B2677" s="1" t="s">
        <v>16377</v>
      </c>
      <c r="C2677" s="3">
        <f>IF(B2677="","",SUMIFS('Factory Costs'!$C:$C,'Factory Costs'!$A:$A,"Frame",'Factory Costs'!$B:$B,B2677))</f>
        <v>39</v>
      </c>
    </row>
    <row r="2678" spans="1:3" x14ac:dyDescent="0.25">
      <c r="A2678" s="1" t="s">
        <v>14587</v>
      </c>
      <c r="B2678" s="1" t="s">
        <v>16379</v>
      </c>
      <c r="C2678" s="3">
        <f>IF(B2678="","",SUMIFS('Factory Costs'!$C:$C,'Factory Costs'!$A:$A,"Frame",'Factory Costs'!$B:$B,B2678))</f>
        <v>45</v>
      </c>
    </row>
    <row r="2679" spans="1:3" x14ac:dyDescent="0.25">
      <c r="A2679" s="1" t="s">
        <v>14590</v>
      </c>
      <c r="B2679" s="1" t="s">
        <v>16377</v>
      </c>
      <c r="C2679" s="3">
        <f>IF(B2679="","",SUMIFS('Factory Costs'!$C:$C,'Factory Costs'!$A:$A,"Frame",'Factory Costs'!$B:$B,B2679))</f>
        <v>39</v>
      </c>
    </row>
    <row r="2680" spans="1:3" x14ac:dyDescent="0.25">
      <c r="A2680" s="1" t="s">
        <v>14593</v>
      </c>
      <c r="B2680" s="1" t="s">
        <v>16378</v>
      </c>
      <c r="C2680" s="3">
        <f>IF(B2680="","",SUMIFS('Factory Costs'!$C:$C,'Factory Costs'!$A:$A,"Frame",'Factory Costs'!$B:$B,B2680))</f>
        <v>52</v>
      </c>
    </row>
    <row r="2681" spans="1:3" x14ac:dyDescent="0.25">
      <c r="A2681" s="1" t="s">
        <v>14596</v>
      </c>
      <c r="B2681" s="1" t="s">
        <v>16377</v>
      </c>
      <c r="C2681" s="3">
        <f>IF(B2681="","",SUMIFS('Factory Costs'!$C:$C,'Factory Costs'!$A:$A,"Frame",'Factory Costs'!$B:$B,B2681))</f>
        <v>39</v>
      </c>
    </row>
    <row r="2682" spans="1:3" x14ac:dyDescent="0.25">
      <c r="A2682" s="1" t="s">
        <v>14599</v>
      </c>
      <c r="B2682" s="1" t="s">
        <v>16379</v>
      </c>
      <c r="C2682" s="3">
        <f>IF(B2682="","",SUMIFS('Factory Costs'!$C:$C,'Factory Costs'!$A:$A,"Frame",'Factory Costs'!$B:$B,B2682))</f>
        <v>45</v>
      </c>
    </row>
    <row r="2683" spans="1:3" x14ac:dyDescent="0.25">
      <c r="A2683" s="1" t="s">
        <v>14602</v>
      </c>
      <c r="B2683" s="1" t="s">
        <v>16377</v>
      </c>
      <c r="C2683" s="3">
        <f>IF(B2683="","",SUMIFS('Factory Costs'!$C:$C,'Factory Costs'!$A:$A,"Frame",'Factory Costs'!$B:$B,B2683))</f>
        <v>39</v>
      </c>
    </row>
    <row r="2684" spans="1:3" x14ac:dyDescent="0.25">
      <c r="A2684" s="1" t="s">
        <v>14605</v>
      </c>
      <c r="B2684" s="1" t="s">
        <v>16377</v>
      </c>
      <c r="C2684" s="3">
        <f>IF(B2684="","",SUMIFS('Factory Costs'!$C:$C,'Factory Costs'!$A:$A,"Frame",'Factory Costs'!$B:$B,B2684))</f>
        <v>39</v>
      </c>
    </row>
    <row r="2685" spans="1:3" x14ac:dyDescent="0.25">
      <c r="A2685" s="1" t="s">
        <v>14608</v>
      </c>
      <c r="B2685" s="1" t="s">
        <v>16378</v>
      </c>
      <c r="C2685" s="3">
        <f>IF(B2685="","",SUMIFS('Factory Costs'!$C:$C,'Factory Costs'!$A:$A,"Frame",'Factory Costs'!$B:$B,B2685))</f>
        <v>52</v>
      </c>
    </row>
    <row r="2686" spans="1:3" x14ac:dyDescent="0.25">
      <c r="A2686" s="1" t="s">
        <v>14611</v>
      </c>
      <c r="B2686" s="1" t="s">
        <v>16378</v>
      </c>
      <c r="C2686" s="3">
        <f>IF(B2686="","",SUMIFS('Factory Costs'!$C:$C,'Factory Costs'!$A:$A,"Frame",'Factory Costs'!$B:$B,B2686))</f>
        <v>52</v>
      </c>
    </row>
    <row r="2687" spans="1:3" x14ac:dyDescent="0.25">
      <c r="A2687" s="1" t="s">
        <v>14614</v>
      </c>
      <c r="B2687" s="1" t="s">
        <v>16377</v>
      </c>
      <c r="C2687" s="3">
        <f>IF(B2687="","",SUMIFS('Factory Costs'!$C:$C,'Factory Costs'!$A:$A,"Frame",'Factory Costs'!$B:$B,B2687))</f>
        <v>39</v>
      </c>
    </row>
    <row r="2688" spans="1:3" x14ac:dyDescent="0.25">
      <c r="A2688" s="1" t="s">
        <v>14617</v>
      </c>
      <c r="B2688" s="1" t="s">
        <v>16377</v>
      </c>
      <c r="C2688" s="3">
        <f>IF(B2688="","",SUMIFS('Factory Costs'!$C:$C,'Factory Costs'!$A:$A,"Frame",'Factory Costs'!$B:$B,B2688))</f>
        <v>39</v>
      </c>
    </row>
    <row r="2689" spans="1:3" x14ac:dyDescent="0.25">
      <c r="A2689" s="1" t="s">
        <v>14620</v>
      </c>
      <c r="B2689" s="1" t="s">
        <v>16379</v>
      </c>
      <c r="C2689" s="3">
        <f>IF(B2689="","",SUMIFS('Factory Costs'!$C:$C,'Factory Costs'!$A:$A,"Frame",'Factory Costs'!$B:$B,B2689))</f>
        <v>45</v>
      </c>
    </row>
    <row r="2690" spans="1:3" x14ac:dyDescent="0.25">
      <c r="A2690" s="1" t="s">
        <v>14623</v>
      </c>
      <c r="B2690" s="1" t="s">
        <v>16378</v>
      </c>
      <c r="C2690" s="3">
        <f>IF(B2690="","",SUMIFS('Factory Costs'!$C:$C,'Factory Costs'!$A:$A,"Frame",'Factory Costs'!$B:$B,B2690))</f>
        <v>52</v>
      </c>
    </row>
    <row r="2691" spans="1:3" x14ac:dyDescent="0.25">
      <c r="A2691" s="1" t="s">
        <v>14626</v>
      </c>
      <c r="B2691" s="1" t="s">
        <v>16377</v>
      </c>
      <c r="C2691" s="3">
        <f>IF(B2691="","",SUMIFS('Factory Costs'!$C:$C,'Factory Costs'!$A:$A,"Frame",'Factory Costs'!$B:$B,B2691))</f>
        <v>39</v>
      </c>
    </row>
    <row r="2692" spans="1:3" x14ac:dyDescent="0.25">
      <c r="A2692" s="1" t="s">
        <v>14629</v>
      </c>
      <c r="B2692" s="1" t="s">
        <v>16379</v>
      </c>
      <c r="C2692" s="3">
        <f>IF(B2692="","",SUMIFS('Factory Costs'!$C:$C,'Factory Costs'!$A:$A,"Frame",'Factory Costs'!$B:$B,B2692))</f>
        <v>45</v>
      </c>
    </row>
    <row r="2693" spans="1:3" x14ac:dyDescent="0.25">
      <c r="A2693" s="1" t="s">
        <v>14632</v>
      </c>
      <c r="B2693" s="1" t="s">
        <v>16377</v>
      </c>
      <c r="C2693" s="3">
        <f>IF(B2693="","",SUMIFS('Factory Costs'!$C:$C,'Factory Costs'!$A:$A,"Frame",'Factory Costs'!$B:$B,B2693))</f>
        <v>39</v>
      </c>
    </row>
    <row r="2694" spans="1:3" x14ac:dyDescent="0.25">
      <c r="A2694" s="1" t="s">
        <v>14635</v>
      </c>
      <c r="B2694" s="1" t="s">
        <v>16378</v>
      </c>
      <c r="C2694" s="3">
        <f>IF(B2694="","",SUMIFS('Factory Costs'!$C:$C,'Factory Costs'!$A:$A,"Frame",'Factory Costs'!$B:$B,B2694))</f>
        <v>52</v>
      </c>
    </row>
    <row r="2695" spans="1:3" x14ac:dyDescent="0.25">
      <c r="A2695" s="1" t="s">
        <v>14638</v>
      </c>
      <c r="B2695" s="1" t="s">
        <v>16377</v>
      </c>
      <c r="C2695" s="3">
        <f>IF(B2695="","",SUMIFS('Factory Costs'!$C:$C,'Factory Costs'!$A:$A,"Frame",'Factory Costs'!$B:$B,B2695))</f>
        <v>39</v>
      </c>
    </row>
    <row r="2696" spans="1:3" x14ac:dyDescent="0.25">
      <c r="A2696" s="1" t="s">
        <v>14641</v>
      </c>
      <c r="B2696" s="1" t="s">
        <v>16379</v>
      </c>
      <c r="C2696" s="3">
        <f>IF(B2696="","",SUMIFS('Factory Costs'!$C:$C,'Factory Costs'!$A:$A,"Frame",'Factory Costs'!$B:$B,B2696))</f>
        <v>45</v>
      </c>
    </row>
    <row r="2697" spans="1:3" x14ac:dyDescent="0.25">
      <c r="A2697" s="1" t="s">
        <v>14644</v>
      </c>
      <c r="B2697" s="1" t="s">
        <v>16378</v>
      </c>
      <c r="C2697" s="3">
        <f>IF(B2697="","",SUMIFS('Factory Costs'!$C:$C,'Factory Costs'!$A:$A,"Frame",'Factory Costs'!$B:$B,B2697))</f>
        <v>52</v>
      </c>
    </row>
    <row r="2698" spans="1:3" x14ac:dyDescent="0.25">
      <c r="A2698" s="1" t="s">
        <v>14647</v>
      </c>
      <c r="B2698" s="1" t="s">
        <v>16378</v>
      </c>
      <c r="C2698" s="3">
        <f>IF(B2698="","",SUMIFS('Factory Costs'!$C:$C,'Factory Costs'!$A:$A,"Frame",'Factory Costs'!$B:$B,B2698))</f>
        <v>52</v>
      </c>
    </row>
    <row r="2699" spans="1:3" x14ac:dyDescent="0.25">
      <c r="A2699" s="1" t="s">
        <v>14650</v>
      </c>
      <c r="B2699" s="1" t="s">
        <v>16377</v>
      </c>
      <c r="C2699" s="3">
        <f>IF(B2699="","",SUMIFS('Factory Costs'!$C:$C,'Factory Costs'!$A:$A,"Frame",'Factory Costs'!$B:$B,B2699))</f>
        <v>39</v>
      </c>
    </row>
    <row r="2700" spans="1:3" x14ac:dyDescent="0.25">
      <c r="A2700" s="1" t="s">
        <v>14653</v>
      </c>
      <c r="B2700" s="1" t="s">
        <v>16377</v>
      </c>
      <c r="C2700" s="3">
        <f>IF(B2700="","",SUMIFS('Factory Costs'!$C:$C,'Factory Costs'!$A:$A,"Frame",'Factory Costs'!$B:$B,B2700))</f>
        <v>39</v>
      </c>
    </row>
    <row r="2701" spans="1:3" x14ac:dyDescent="0.25">
      <c r="A2701" s="1" t="s">
        <v>14656</v>
      </c>
      <c r="B2701" s="1" t="s">
        <v>16379</v>
      </c>
      <c r="C2701" s="3">
        <f>IF(B2701="","",SUMIFS('Factory Costs'!$C:$C,'Factory Costs'!$A:$A,"Frame",'Factory Costs'!$B:$B,B2701))</f>
        <v>45</v>
      </c>
    </row>
    <row r="2702" spans="1:3" x14ac:dyDescent="0.25">
      <c r="A2702" s="1" t="s">
        <v>14659</v>
      </c>
      <c r="B2702" s="1" t="s">
        <v>16379</v>
      </c>
      <c r="C2702" s="3">
        <f>IF(B2702="","",SUMIFS('Factory Costs'!$C:$C,'Factory Costs'!$A:$A,"Frame",'Factory Costs'!$B:$B,B2702))</f>
        <v>45</v>
      </c>
    </row>
    <row r="2703" spans="1:3" x14ac:dyDescent="0.25">
      <c r="A2703" s="1" t="s">
        <v>14662</v>
      </c>
      <c r="B2703" s="1" t="s">
        <v>16377</v>
      </c>
      <c r="C2703" s="3">
        <f>IF(B2703="","",SUMIFS('Factory Costs'!$C:$C,'Factory Costs'!$A:$A,"Frame",'Factory Costs'!$B:$B,B2703))</f>
        <v>39</v>
      </c>
    </row>
    <row r="2704" spans="1:3" x14ac:dyDescent="0.25">
      <c r="A2704" s="1" t="s">
        <v>14665</v>
      </c>
      <c r="B2704" s="1" t="s">
        <v>16379</v>
      </c>
      <c r="C2704" s="3">
        <f>IF(B2704="","",SUMIFS('Factory Costs'!$C:$C,'Factory Costs'!$A:$A,"Frame",'Factory Costs'!$B:$B,B2704))</f>
        <v>45</v>
      </c>
    </row>
    <row r="2705" spans="1:3" x14ac:dyDescent="0.25">
      <c r="A2705" s="1" t="s">
        <v>14668</v>
      </c>
      <c r="B2705" s="1" t="s">
        <v>16378</v>
      </c>
      <c r="C2705" s="3">
        <f>IF(B2705="","",SUMIFS('Factory Costs'!$C:$C,'Factory Costs'!$A:$A,"Frame",'Factory Costs'!$B:$B,B2705))</f>
        <v>52</v>
      </c>
    </row>
    <row r="2706" spans="1:3" x14ac:dyDescent="0.25">
      <c r="A2706" s="1" t="s">
        <v>14671</v>
      </c>
      <c r="B2706" s="1" t="s">
        <v>16377</v>
      </c>
      <c r="C2706" s="3">
        <f>IF(B2706="","",SUMIFS('Factory Costs'!$C:$C,'Factory Costs'!$A:$A,"Frame",'Factory Costs'!$B:$B,B2706))</f>
        <v>39</v>
      </c>
    </row>
    <row r="2707" spans="1:3" x14ac:dyDescent="0.25">
      <c r="A2707" s="1" t="s">
        <v>14674</v>
      </c>
      <c r="B2707" s="1" t="s">
        <v>16377</v>
      </c>
      <c r="C2707" s="3">
        <f>IF(B2707="","",SUMIFS('Factory Costs'!$C:$C,'Factory Costs'!$A:$A,"Frame",'Factory Costs'!$B:$B,B2707))</f>
        <v>39</v>
      </c>
    </row>
    <row r="2708" spans="1:3" x14ac:dyDescent="0.25">
      <c r="A2708" s="1" t="s">
        <v>14677</v>
      </c>
      <c r="B2708" s="1" t="s">
        <v>16377</v>
      </c>
      <c r="C2708" s="3">
        <f>IF(B2708="","",SUMIFS('Factory Costs'!$C:$C,'Factory Costs'!$A:$A,"Frame",'Factory Costs'!$B:$B,B2708))</f>
        <v>39</v>
      </c>
    </row>
    <row r="2709" spans="1:3" x14ac:dyDescent="0.25">
      <c r="A2709" s="1" t="s">
        <v>14680</v>
      </c>
      <c r="B2709" s="1" t="s">
        <v>16377</v>
      </c>
      <c r="C2709" s="3">
        <f>IF(B2709="","",SUMIFS('Factory Costs'!$C:$C,'Factory Costs'!$A:$A,"Frame",'Factory Costs'!$B:$B,B2709))</f>
        <v>39</v>
      </c>
    </row>
    <row r="2710" spans="1:3" x14ac:dyDescent="0.25">
      <c r="A2710" s="1" t="s">
        <v>14683</v>
      </c>
      <c r="B2710" s="1" t="s">
        <v>16379</v>
      </c>
      <c r="C2710" s="3">
        <f>IF(B2710="","",SUMIFS('Factory Costs'!$C:$C,'Factory Costs'!$A:$A,"Frame",'Factory Costs'!$B:$B,B2710))</f>
        <v>45</v>
      </c>
    </row>
    <row r="2711" spans="1:3" x14ac:dyDescent="0.25">
      <c r="A2711" s="1" t="s">
        <v>14686</v>
      </c>
      <c r="B2711" s="1" t="s">
        <v>16379</v>
      </c>
      <c r="C2711" s="3">
        <f>IF(B2711="","",SUMIFS('Factory Costs'!$C:$C,'Factory Costs'!$A:$A,"Frame",'Factory Costs'!$B:$B,B2711))</f>
        <v>45</v>
      </c>
    </row>
    <row r="2712" spans="1:3" x14ac:dyDescent="0.25">
      <c r="A2712" s="1" t="s">
        <v>14689</v>
      </c>
      <c r="B2712" s="1" t="s">
        <v>16378</v>
      </c>
      <c r="C2712" s="3">
        <f>IF(B2712="","",SUMIFS('Factory Costs'!$C:$C,'Factory Costs'!$A:$A,"Frame",'Factory Costs'!$B:$B,B2712))</f>
        <v>52</v>
      </c>
    </row>
    <row r="2713" spans="1:3" x14ac:dyDescent="0.25">
      <c r="A2713" s="1" t="s">
        <v>14692</v>
      </c>
      <c r="B2713" s="1" t="s">
        <v>16379</v>
      </c>
      <c r="C2713" s="3">
        <f>IF(B2713="","",SUMIFS('Factory Costs'!$C:$C,'Factory Costs'!$A:$A,"Frame",'Factory Costs'!$B:$B,B2713))</f>
        <v>45</v>
      </c>
    </row>
    <row r="2714" spans="1:3" x14ac:dyDescent="0.25">
      <c r="A2714" s="1" t="s">
        <v>14695</v>
      </c>
      <c r="B2714" s="1" t="s">
        <v>16378</v>
      </c>
      <c r="C2714" s="3">
        <f>IF(B2714="","",SUMIFS('Factory Costs'!$C:$C,'Factory Costs'!$A:$A,"Frame",'Factory Costs'!$B:$B,B2714))</f>
        <v>52</v>
      </c>
    </row>
    <row r="2715" spans="1:3" x14ac:dyDescent="0.25">
      <c r="A2715" s="1" t="s">
        <v>14698</v>
      </c>
      <c r="B2715" s="1" t="s">
        <v>16379</v>
      </c>
      <c r="C2715" s="3">
        <f>IF(B2715="","",SUMIFS('Factory Costs'!$C:$C,'Factory Costs'!$A:$A,"Frame",'Factory Costs'!$B:$B,B2715))</f>
        <v>45</v>
      </c>
    </row>
    <row r="2716" spans="1:3" x14ac:dyDescent="0.25">
      <c r="A2716" s="1" t="s">
        <v>14701</v>
      </c>
      <c r="B2716" s="1" t="s">
        <v>16377</v>
      </c>
      <c r="C2716" s="3">
        <f>IF(B2716="","",SUMIFS('Factory Costs'!$C:$C,'Factory Costs'!$A:$A,"Frame",'Factory Costs'!$B:$B,B2716))</f>
        <v>39</v>
      </c>
    </row>
    <row r="2717" spans="1:3" x14ac:dyDescent="0.25">
      <c r="A2717" s="1" t="s">
        <v>14704</v>
      </c>
      <c r="B2717" s="1" t="s">
        <v>16379</v>
      </c>
      <c r="C2717" s="3">
        <f>IF(B2717="","",SUMIFS('Factory Costs'!$C:$C,'Factory Costs'!$A:$A,"Frame",'Factory Costs'!$B:$B,B2717))</f>
        <v>45</v>
      </c>
    </row>
    <row r="2718" spans="1:3" x14ac:dyDescent="0.25">
      <c r="A2718" s="1" t="s">
        <v>14707</v>
      </c>
      <c r="B2718" s="1" t="s">
        <v>16378</v>
      </c>
      <c r="C2718" s="3">
        <f>IF(B2718="","",SUMIFS('Factory Costs'!$C:$C,'Factory Costs'!$A:$A,"Frame",'Factory Costs'!$B:$B,B2718))</f>
        <v>52</v>
      </c>
    </row>
    <row r="2719" spans="1:3" x14ac:dyDescent="0.25">
      <c r="A2719" s="1" t="s">
        <v>14710</v>
      </c>
      <c r="B2719" s="1" t="s">
        <v>16378</v>
      </c>
      <c r="C2719" s="3">
        <f>IF(B2719="","",SUMIFS('Factory Costs'!$C:$C,'Factory Costs'!$A:$A,"Frame",'Factory Costs'!$B:$B,B2719))</f>
        <v>52</v>
      </c>
    </row>
    <row r="2720" spans="1:3" x14ac:dyDescent="0.25">
      <c r="A2720" s="1" t="s">
        <v>14713</v>
      </c>
      <c r="B2720" s="1" t="s">
        <v>16378</v>
      </c>
      <c r="C2720" s="3">
        <f>IF(B2720="","",SUMIFS('Factory Costs'!$C:$C,'Factory Costs'!$A:$A,"Frame",'Factory Costs'!$B:$B,B2720))</f>
        <v>52</v>
      </c>
    </row>
    <row r="2721" spans="1:3" x14ac:dyDescent="0.25">
      <c r="A2721" s="1" t="s">
        <v>14716</v>
      </c>
      <c r="B2721" s="1" t="s">
        <v>16379</v>
      </c>
      <c r="C2721" s="3">
        <f>IF(B2721="","",SUMIFS('Factory Costs'!$C:$C,'Factory Costs'!$A:$A,"Frame",'Factory Costs'!$B:$B,B2721))</f>
        <v>45</v>
      </c>
    </row>
    <row r="2722" spans="1:3" x14ac:dyDescent="0.25">
      <c r="A2722" s="1" t="s">
        <v>14719</v>
      </c>
      <c r="B2722" s="1" t="s">
        <v>16379</v>
      </c>
      <c r="C2722" s="3">
        <f>IF(B2722="","",SUMIFS('Factory Costs'!$C:$C,'Factory Costs'!$A:$A,"Frame",'Factory Costs'!$B:$B,B2722))</f>
        <v>45</v>
      </c>
    </row>
    <row r="2723" spans="1:3" x14ac:dyDescent="0.25">
      <c r="A2723" s="1" t="s">
        <v>14722</v>
      </c>
      <c r="B2723" s="1" t="s">
        <v>16379</v>
      </c>
      <c r="C2723" s="3">
        <f>IF(B2723="","",SUMIFS('Factory Costs'!$C:$C,'Factory Costs'!$A:$A,"Frame",'Factory Costs'!$B:$B,B2723))</f>
        <v>45</v>
      </c>
    </row>
    <row r="2724" spans="1:3" x14ac:dyDescent="0.25">
      <c r="A2724" s="1" t="s">
        <v>14725</v>
      </c>
      <c r="B2724" s="1" t="s">
        <v>16379</v>
      </c>
      <c r="C2724" s="3">
        <f>IF(B2724="","",SUMIFS('Factory Costs'!$C:$C,'Factory Costs'!$A:$A,"Frame",'Factory Costs'!$B:$B,B2724))</f>
        <v>45</v>
      </c>
    </row>
    <row r="2725" spans="1:3" x14ac:dyDescent="0.25">
      <c r="A2725" s="1" t="s">
        <v>14728</v>
      </c>
      <c r="B2725" s="1" t="s">
        <v>16378</v>
      </c>
      <c r="C2725" s="3">
        <f>IF(B2725="","",SUMIFS('Factory Costs'!$C:$C,'Factory Costs'!$A:$A,"Frame",'Factory Costs'!$B:$B,B2725))</f>
        <v>52</v>
      </c>
    </row>
    <row r="2726" spans="1:3" x14ac:dyDescent="0.25">
      <c r="A2726" s="1" t="s">
        <v>14731</v>
      </c>
      <c r="B2726" s="1" t="s">
        <v>16379</v>
      </c>
      <c r="C2726" s="3">
        <f>IF(B2726="","",SUMIFS('Factory Costs'!$C:$C,'Factory Costs'!$A:$A,"Frame",'Factory Costs'!$B:$B,B2726))</f>
        <v>45</v>
      </c>
    </row>
    <row r="2727" spans="1:3" x14ac:dyDescent="0.25">
      <c r="A2727" s="1" t="s">
        <v>14734</v>
      </c>
      <c r="B2727" s="1" t="s">
        <v>16378</v>
      </c>
      <c r="C2727" s="3">
        <f>IF(B2727="","",SUMIFS('Factory Costs'!$C:$C,'Factory Costs'!$A:$A,"Frame",'Factory Costs'!$B:$B,B2727))</f>
        <v>52</v>
      </c>
    </row>
    <row r="2728" spans="1:3" x14ac:dyDescent="0.25">
      <c r="A2728" s="1" t="s">
        <v>14737</v>
      </c>
      <c r="B2728" s="1" t="s">
        <v>16378</v>
      </c>
      <c r="C2728" s="3">
        <f>IF(B2728="","",SUMIFS('Factory Costs'!$C:$C,'Factory Costs'!$A:$A,"Frame",'Factory Costs'!$B:$B,B2728))</f>
        <v>52</v>
      </c>
    </row>
    <row r="2729" spans="1:3" x14ac:dyDescent="0.25">
      <c r="A2729" s="1" t="s">
        <v>14740</v>
      </c>
      <c r="B2729" s="1" t="s">
        <v>16377</v>
      </c>
      <c r="C2729" s="3">
        <f>IF(B2729="","",SUMIFS('Factory Costs'!$C:$C,'Factory Costs'!$A:$A,"Frame",'Factory Costs'!$B:$B,B2729))</f>
        <v>39</v>
      </c>
    </row>
    <row r="2730" spans="1:3" x14ac:dyDescent="0.25">
      <c r="A2730" s="1" t="s">
        <v>14743</v>
      </c>
      <c r="B2730" s="1" t="s">
        <v>16379</v>
      </c>
      <c r="C2730" s="3">
        <f>IF(B2730="","",SUMIFS('Factory Costs'!$C:$C,'Factory Costs'!$A:$A,"Frame",'Factory Costs'!$B:$B,B2730))</f>
        <v>45</v>
      </c>
    </row>
    <row r="2731" spans="1:3" x14ac:dyDescent="0.25">
      <c r="A2731" s="1" t="s">
        <v>14746</v>
      </c>
      <c r="B2731" s="1" t="s">
        <v>16379</v>
      </c>
      <c r="C2731" s="3">
        <f>IF(B2731="","",SUMIFS('Factory Costs'!$C:$C,'Factory Costs'!$A:$A,"Frame",'Factory Costs'!$B:$B,B2731))</f>
        <v>45</v>
      </c>
    </row>
    <row r="2732" spans="1:3" x14ac:dyDescent="0.25">
      <c r="A2732" s="1" t="s">
        <v>14749</v>
      </c>
      <c r="B2732" s="1" t="s">
        <v>16379</v>
      </c>
      <c r="C2732" s="3">
        <f>IF(B2732="","",SUMIFS('Factory Costs'!$C:$C,'Factory Costs'!$A:$A,"Frame",'Factory Costs'!$B:$B,B2732))</f>
        <v>45</v>
      </c>
    </row>
    <row r="2733" spans="1:3" x14ac:dyDescent="0.25">
      <c r="A2733" s="1" t="s">
        <v>14752</v>
      </c>
      <c r="B2733" s="1" t="s">
        <v>16379</v>
      </c>
      <c r="C2733" s="3">
        <f>IF(B2733="","",SUMIFS('Factory Costs'!$C:$C,'Factory Costs'!$A:$A,"Frame",'Factory Costs'!$B:$B,B2733))</f>
        <v>45</v>
      </c>
    </row>
    <row r="2734" spans="1:3" x14ac:dyDescent="0.25">
      <c r="A2734" s="1" t="s">
        <v>14755</v>
      </c>
      <c r="B2734" s="1" t="s">
        <v>16379</v>
      </c>
      <c r="C2734" s="3">
        <f>IF(B2734="","",SUMIFS('Factory Costs'!$C:$C,'Factory Costs'!$A:$A,"Frame",'Factory Costs'!$B:$B,B2734))</f>
        <v>45</v>
      </c>
    </row>
    <row r="2735" spans="1:3" x14ac:dyDescent="0.25">
      <c r="A2735" s="1" t="s">
        <v>14758</v>
      </c>
      <c r="B2735" s="1" t="s">
        <v>16377</v>
      </c>
      <c r="C2735" s="3">
        <f>IF(B2735="","",SUMIFS('Factory Costs'!$C:$C,'Factory Costs'!$A:$A,"Frame",'Factory Costs'!$B:$B,B2735))</f>
        <v>39</v>
      </c>
    </row>
    <row r="2736" spans="1:3" x14ac:dyDescent="0.25">
      <c r="A2736" s="1" t="s">
        <v>14761</v>
      </c>
      <c r="B2736" s="1" t="s">
        <v>16379</v>
      </c>
      <c r="C2736" s="3">
        <f>IF(B2736="","",SUMIFS('Factory Costs'!$C:$C,'Factory Costs'!$A:$A,"Frame",'Factory Costs'!$B:$B,B2736))</f>
        <v>45</v>
      </c>
    </row>
    <row r="2737" spans="1:3" x14ac:dyDescent="0.25">
      <c r="A2737" s="1" t="s">
        <v>14764</v>
      </c>
      <c r="B2737" s="1" t="s">
        <v>16377</v>
      </c>
      <c r="C2737" s="3">
        <f>IF(B2737="","",SUMIFS('Factory Costs'!$C:$C,'Factory Costs'!$A:$A,"Frame",'Factory Costs'!$B:$B,B2737))</f>
        <v>39</v>
      </c>
    </row>
    <row r="2738" spans="1:3" x14ac:dyDescent="0.25">
      <c r="A2738" s="1" t="s">
        <v>14767</v>
      </c>
      <c r="B2738" s="1" t="s">
        <v>16378</v>
      </c>
      <c r="C2738" s="3">
        <f>IF(B2738="","",SUMIFS('Factory Costs'!$C:$C,'Factory Costs'!$A:$A,"Frame",'Factory Costs'!$B:$B,B2738))</f>
        <v>52</v>
      </c>
    </row>
    <row r="2739" spans="1:3" x14ac:dyDescent="0.25">
      <c r="A2739" s="1" t="s">
        <v>14770</v>
      </c>
      <c r="B2739" s="1" t="s">
        <v>16377</v>
      </c>
      <c r="C2739" s="3">
        <f>IF(B2739="","",SUMIFS('Factory Costs'!$C:$C,'Factory Costs'!$A:$A,"Frame",'Factory Costs'!$B:$B,B2739))</f>
        <v>39</v>
      </c>
    </row>
    <row r="2740" spans="1:3" x14ac:dyDescent="0.25">
      <c r="A2740" s="1" t="s">
        <v>14773</v>
      </c>
      <c r="B2740" s="1" t="s">
        <v>16378</v>
      </c>
      <c r="C2740" s="3">
        <f>IF(B2740="","",SUMIFS('Factory Costs'!$C:$C,'Factory Costs'!$A:$A,"Frame",'Factory Costs'!$B:$B,B2740))</f>
        <v>52</v>
      </c>
    </row>
    <row r="2741" spans="1:3" x14ac:dyDescent="0.25">
      <c r="A2741" s="1" t="s">
        <v>14776</v>
      </c>
      <c r="B2741" s="1" t="s">
        <v>16377</v>
      </c>
      <c r="C2741" s="3">
        <f>IF(B2741="","",SUMIFS('Factory Costs'!$C:$C,'Factory Costs'!$A:$A,"Frame",'Factory Costs'!$B:$B,B2741))</f>
        <v>39</v>
      </c>
    </row>
    <row r="2742" spans="1:3" x14ac:dyDescent="0.25">
      <c r="A2742" s="1" t="s">
        <v>14779</v>
      </c>
      <c r="B2742" s="1" t="s">
        <v>16378</v>
      </c>
      <c r="C2742" s="3">
        <f>IF(B2742="","",SUMIFS('Factory Costs'!$C:$C,'Factory Costs'!$A:$A,"Frame",'Factory Costs'!$B:$B,B2742))</f>
        <v>52</v>
      </c>
    </row>
    <row r="2743" spans="1:3" x14ac:dyDescent="0.25">
      <c r="A2743" s="1" t="s">
        <v>14782</v>
      </c>
      <c r="B2743" s="1" t="s">
        <v>16379</v>
      </c>
      <c r="C2743" s="3">
        <f>IF(B2743="","",SUMIFS('Factory Costs'!$C:$C,'Factory Costs'!$A:$A,"Frame",'Factory Costs'!$B:$B,B2743))</f>
        <v>45</v>
      </c>
    </row>
    <row r="2744" spans="1:3" x14ac:dyDescent="0.25">
      <c r="A2744" s="1" t="s">
        <v>14785</v>
      </c>
      <c r="B2744" s="1" t="s">
        <v>16379</v>
      </c>
      <c r="C2744" s="3">
        <f>IF(B2744="","",SUMIFS('Factory Costs'!$C:$C,'Factory Costs'!$A:$A,"Frame",'Factory Costs'!$B:$B,B2744))</f>
        <v>45</v>
      </c>
    </row>
    <row r="2745" spans="1:3" x14ac:dyDescent="0.25">
      <c r="A2745" s="1" t="s">
        <v>14788</v>
      </c>
      <c r="B2745" s="1" t="s">
        <v>16377</v>
      </c>
      <c r="C2745" s="3">
        <f>IF(B2745="","",SUMIFS('Factory Costs'!$C:$C,'Factory Costs'!$A:$A,"Frame",'Factory Costs'!$B:$B,B2745))</f>
        <v>39</v>
      </c>
    </row>
    <row r="2746" spans="1:3" x14ac:dyDescent="0.25">
      <c r="A2746" s="1" t="s">
        <v>14791</v>
      </c>
      <c r="B2746" s="1" t="s">
        <v>16377</v>
      </c>
      <c r="C2746" s="3">
        <f>IF(B2746="","",SUMIFS('Factory Costs'!$C:$C,'Factory Costs'!$A:$A,"Frame",'Factory Costs'!$B:$B,B2746))</f>
        <v>39</v>
      </c>
    </row>
    <row r="2747" spans="1:3" x14ac:dyDescent="0.25">
      <c r="A2747" s="1" t="s">
        <v>14794</v>
      </c>
      <c r="B2747" s="1" t="s">
        <v>16379</v>
      </c>
      <c r="C2747" s="3">
        <f>IF(B2747="","",SUMIFS('Factory Costs'!$C:$C,'Factory Costs'!$A:$A,"Frame",'Factory Costs'!$B:$B,B2747))</f>
        <v>45</v>
      </c>
    </row>
    <row r="2748" spans="1:3" x14ac:dyDescent="0.25">
      <c r="A2748" s="1" t="s">
        <v>14797</v>
      </c>
      <c r="B2748" s="1" t="s">
        <v>16377</v>
      </c>
      <c r="C2748" s="3">
        <f>IF(B2748="","",SUMIFS('Factory Costs'!$C:$C,'Factory Costs'!$A:$A,"Frame",'Factory Costs'!$B:$B,B2748))</f>
        <v>39</v>
      </c>
    </row>
    <row r="2749" spans="1:3" x14ac:dyDescent="0.25">
      <c r="A2749" s="1" t="s">
        <v>14800</v>
      </c>
      <c r="B2749" s="1" t="s">
        <v>16377</v>
      </c>
      <c r="C2749" s="3">
        <f>IF(B2749="","",SUMIFS('Factory Costs'!$C:$C,'Factory Costs'!$A:$A,"Frame",'Factory Costs'!$B:$B,B2749))</f>
        <v>39</v>
      </c>
    </row>
    <row r="2750" spans="1:3" x14ac:dyDescent="0.25">
      <c r="A2750" s="1" t="s">
        <v>14803</v>
      </c>
      <c r="B2750" s="1" t="s">
        <v>16377</v>
      </c>
      <c r="C2750" s="3">
        <f>IF(B2750="","",SUMIFS('Factory Costs'!$C:$C,'Factory Costs'!$A:$A,"Frame",'Factory Costs'!$B:$B,B2750))</f>
        <v>39</v>
      </c>
    </row>
    <row r="2751" spans="1:3" x14ac:dyDescent="0.25">
      <c r="A2751" s="1" t="s">
        <v>14806</v>
      </c>
      <c r="B2751" s="1" t="s">
        <v>16379</v>
      </c>
      <c r="C2751" s="3">
        <f>IF(B2751="","",SUMIFS('Factory Costs'!$C:$C,'Factory Costs'!$A:$A,"Frame",'Factory Costs'!$B:$B,B2751))</f>
        <v>45</v>
      </c>
    </row>
    <row r="2752" spans="1:3" x14ac:dyDescent="0.25">
      <c r="A2752" s="1" t="s">
        <v>14809</v>
      </c>
      <c r="B2752" s="1" t="s">
        <v>16378</v>
      </c>
      <c r="C2752" s="3">
        <f>IF(B2752="","",SUMIFS('Factory Costs'!$C:$C,'Factory Costs'!$A:$A,"Frame",'Factory Costs'!$B:$B,B2752))</f>
        <v>52</v>
      </c>
    </row>
    <row r="2753" spans="1:3" x14ac:dyDescent="0.25">
      <c r="A2753" s="1" t="s">
        <v>14812</v>
      </c>
      <c r="B2753" s="1" t="s">
        <v>16377</v>
      </c>
      <c r="C2753" s="3">
        <f>IF(B2753="","",SUMIFS('Factory Costs'!$C:$C,'Factory Costs'!$A:$A,"Frame",'Factory Costs'!$B:$B,B2753))</f>
        <v>39</v>
      </c>
    </row>
    <row r="2754" spans="1:3" x14ac:dyDescent="0.25">
      <c r="A2754" s="1" t="s">
        <v>14815</v>
      </c>
      <c r="B2754" s="1" t="s">
        <v>16379</v>
      </c>
      <c r="C2754" s="3">
        <f>IF(B2754="","",SUMIFS('Factory Costs'!$C:$C,'Factory Costs'!$A:$A,"Frame",'Factory Costs'!$B:$B,B2754))</f>
        <v>45</v>
      </c>
    </row>
    <row r="2755" spans="1:3" x14ac:dyDescent="0.25">
      <c r="A2755" s="1" t="s">
        <v>14818</v>
      </c>
      <c r="B2755" s="1" t="s">
        <v>16377</v>
      </c>
      <c r="C2755" s="3">
        <f>IF(B2755="","",SUMIFS('Factory Costs'!$C:$C,'Factory Costs'!$A:$A,"Frame",'Factory Costs'!$B:$B,B2755))</f>
        <v>39</v>
      </c>
    </row>
    <row r="2756" spans="1:3" x14ac:dyDescent="0.25">
      <c r="A2756" s="1" t="s">
        <v>14821</v>
      </c>
      <c r="B2756" s="1" t="s">
        <v>16377</v>
      </c>
      <c r="C2756" s="3">
        <f>IF(B2756="","",SUMIFS('Factory Costs'!$C:$C,'Factory Costs'!$A:$A,"Frame",'Factory Costs'!$B:$B,B2756))</f>
        <v>39</v>
      </c>
    </row>
    <row r="2757" spans="1:3" x14ac:dyDescent="0.25">
      <c r="A2757" s="1" t="s">
        <v>14824</v>
      </c>
      <c r="B2757" s="1" t="s">
        <v>16378</v>
      </c>
      <c r="C2757" s="3">
        <f>IF(B2757="","",SUMIFS('Factory Costs'!$C:$C,'Factory Costs'!$A:$A,"Frame",'Factory Costs'!$B:$B,B2757))</f>
        <v>52</v>
      </c>
    </row>
    <row r="2758" spans="1:3" x14ac:dyDescent="0.25">
      <c r="A2758" s="1" t="s">
        <v>14827</v>
      </c>
      <c r="B2758" s="1" t="s">
        <v>16377</v>
      </c>
      <c r="C2758" s="3">
        <f>IF(B2758="","",SUMIFS('Factory Costs'!$C:$C,'Factory Costs'!$A:$A,"Frame",'Factory Costs'!$B:$B,B2758))</f>
        <v>39</v>
      </c>
    </row>
    <row r="2759" spans="1:3" x14ac:dyDescent="0.25">
      <c r="A2759" s="1" t="s">
        <v>14830</v>
      </c>
      <c r="B2759" s="1" t="s">
        <v>16379</v>
      </c>
      <c r="C2759" s="3">
        <f>IF(B2759="","",SUMIFS('Factory Costs'!$C:$C,'Factory Costs'!$A:$A,"Frame",'Factory Costs'!$B:$B,B2759))</f>
        <v>45</v>
      </c>
    </row>
    <row r="2760" spans="1:3" x14ac:dyDescent="0.25">
      <c r="A2760" s="1" t="s">
        <v>14833</v>
      </c>
      <c r="B2760" s="1" t="s">
        <v>16379</v>
      </c>
      <c r="C2760" s="3">
        <f>IF(B2760="","",SUMIFS('Factory Costs'!$C:$C,'Factory Costs'!$A:$A,"Frame",'Factory Costs'!$B:$B,B2760))</f>
        <v>45</v>
      </c>
    </row>
    <row r="2761" spans="1:3" x14ac:dyDescent="0.25">
      <c r="A2761" s="1" t="s">
        <v>14836</v>
      </c>
      <c r="B2761" s="1" t="s">
        <v>16377</v>
      </c>
      <c r="C2761" s="3">
        <f>IF(B2761="","",SUMIFS('Factory Costs'!$C:$C,'Factory Costs'!$A:$A,"Frame",'Factory Costs'!$B:$B,B2761))</f>
        <v>39</v>
      </c>
    </row>
    <row r="2762" spans="1:3" x14ac:dyDescent="0.25">
      <c r="A2762" s="1" t="s">
        <v>14839</v>
      </c>
      <c r="B2762" s="1" t="s">
        <v>16378</v>
      </c>
      <c r="C2762" s="3">
        <f>IF(B2762="","",SUMIFS('Factory Costs'!$C:$C,'Factory Costs'!$A:$A,"Frame",'Factory Costs'!$B:$B,B2762))</f>
        <v>52</v>
      </c>
    </row>
    <row r="2763" spans="1:3" x14ac:dyDescent="0.25">
      <c r="A2763" s="1" t="s">
        <v>14842</v>
      </c>
      <c r="B2763" s="1" t="s">
        <v>16379</v>
      </c>
      <c r="C2763" s="3">
        <f>IF(B2763="","",SUMIFS('Factory Costs'!$C:$C,'Factory Costs'!$A:$A,"Frame",'Factory Costs'!$B:$B,B2763))</f>
        <v>45</v>
      </c>
    </row>
    <row r="2764" spans="1:3" x14ac:dyDescent="0.25">
      <c r="A2764" s="1" t="s">
        <v>14845</v>
      </c>
      <c r="B2764" s="1" t="s">
        <v>16377</v>
      </c>
      <c r="C2764" s="3">
        <f>IF(B2764="","",SUMIFS('Factory Costs'!$C:$C,'Factory Costs'!$A:$A,"Frame",'Factory Costs'!$B:$B,B2764))</f>
        <v>39</v>
      </c>
    </row>
    <row r="2765" spans="1:3" x14ac:dyDescent="0.25">
      <c r="A2765" s="1" t="s">
        <v>14848</v>
      </c>
      <c r="B2765" s="1" t="s">
        <v>16378</v>
      </c>
      <c r="C2765" s="3">
        <f>IF(B2765="","",SUMIFS('Factory Costs'!$C:$C,'Factory Costs'!$A:$A,"Frame",'Factory Costs'!$B:$B,B2765))</f>
        <v>52</v>
      </c>
    </row>
    <row r="2766" spans="1:3" x14ac:dyDescent="0.25">
      <c r="A2766" s="1" t="s">
        <v>14851</v>
      </c>
      <c r="B2766" s="1" t="s">
        <v>16377</v>
      </c>
      <c r="C2766" s="3">
        <f>IF(B2766="","",SUMIFS('Factory Costs'!$C:$C,'Factory Costs'!$A:$A,"Frame",'Factory Costs'!$B:$B,B2766))</f>
        <v>39</v>
      </c>
    </row>
    <row r="2767" spans="1:3" x14ac:dyDescent="0.25">
      <c r="A2767" s="1" t="s">
        <v>14854</v>
      </c>
      <c r="B2767" s="1" t="s">
        <v>16378</v>
      </c>
      <c r="C2767" s="3">
        <f>IF(B2767="","",SUMIFS('Factory Costs'!$C:$C,'Factory Costs'!$A:$A,"Frame",'Factory Costs'!$B:$B,B2767))</f>
        <v>52</v>
      </c>
    </row>
    <row r="2768" spans="1:3" x14ac:dyDescent="0.25">
      <c r="A2768" s="1" t="s">
        <v>14857</v>
      </c>
      <c r="B2768" s="1" t="s">
        <v>16377</v>
      </c>
      <c r="C2768" s="3">
        <f>IF(B2768="","",SUMIFS('Factory Costs'!$C:$C,'Factory Costs'!$A:$A,"Frame",'Factory Costs'!$B:$B,B2768))</f>
        <v>39</v>
      </c>
    </row>
    <row r="2769" spans="1:3" x14ac:dyDescent="0.25">
      <c r="A2769" s="1" t="s">
        <v>14860</v>
      </c>
      <c r="B2769" s="1" t="s">
        <v>16377</v>
      </c>
      <c r="C2769" s="3">
        <f>IF(B2769="","",SUMIFS('Factory Costs'!$C:$C,'Factory Costs'!$A:$A,"Frame",'Factory Costs'!$B:$B,B2769))</f>
        <v>39</v>
      </c>
    </row>
    <row r="2770" spans="1:3" x14ac:dyDescent="0.25">
      <c r="A2770" s="1" t="s">
        <v>14863</v>
      </c>
      <c r="B2770" s="1" t="s">
        <v>16378</v>
      </c>
      <c r="C2770" s="3">
        <f>IF(B2770="","",SUMIFS('Factory Costs'!$C:$C,'Factory Costs'!$A:$A,"Frame",'Factory Costs'!$B:$B,B2770))</f>
        <v>52</v>
      </c>
    </row>
    <row r="2771" spans="1:3" x14ac:dyDescent="0.25">
      <c r="A2771" s="1" t="s">
        <v>14866</v>
      </c>
      <c r="B2771" s="1" t="s">
        <v>16379</v>
      </c>
      <c r="C2771" s="3">
        <f>IF(B2771="","",SUMIFS('Factory Costs'!$C:$C,'Factory Costs'!$A:$A,"Frame",'Factory Costs'!$B:$B,B2771))</f>
        <v>45</v>
      </c>
    </row>
    <row r="2772" spans="1:3" x14ac:dyDescent="0.25">
      <c r="A2772" s="1" t="s">
        <v>14869</v>
      </c>
      <c r="B2772" s="1" t="s">
        <v>16378</v>
      </c>
      <c r="C2772" s="3">
        <f>IF(B2772="","",SUMIFS('Factory Costs'!$C:$C,'Factory Costs'!$A:$A,"Frame",'Factory Costs'!$B:$B,B2772))</f>
        <v>52</v>
      </c>
    </row>
    <row r="2773" spans="1:3" x14ac:dyDescent="0.25">
      <c r="A2773" s="1" t="s">
        <v>14872</v>
      </c>
      <c r="B2773" s="1" t="s">
        <v>16378</v>
      </c>
      <c r="C2773" s="3">
        <f>IF(B2773="","",SUMIFS('Factory Costs'!$C:$C,'Factory Costs'!$A:$A,"Frame",'Factory Costs'!$B:$B,B2773))</f>
        <v>52</v>
      </c>
    </row>
    <row r="2774" spans="1:3" x14ac:dyDescent="0.25">
      <c r="A2774" s="1" t="s">
        <v>14875</v>
      </c>
      <c r="B2774" s="1" t="s">
        <v>16378</v>
      </c>
      <c r="C2774" s="3">
        <f>IF(B2774="","",SUMIFS('Factory Costs'!$C:$C,'Factory Costs'!$A:$A,"Frame",'Factory Costs'!$B:$B,B2774))</f>
        <v>52</v>
      </c>
    </row>
    <row r="2775" spans="1:3" x14ac:dyDescent="0.25">
      <c r="A2775" s="1" t="s">
        <v>14878</v>
      </c>
      <c r="B2775" s="1" t="s">
        <v>16378</v>
      </c>
      <c r="C2775" s="3">
        <f>IF(B2775="","",SUMIFS('Factory Costs'!$C:$C,'Factory Costs'!$A:$A,"Frame",'Factory Costs'!$B:$B,B2775))</f>
        <v>52</v>
      </c>
    </row>
    <row r="2776" spans="1:3" x14ac:dyDescent="0.25">
      <c r="A2776" s="1" t="s">
        <v>14881</v>
      </c>
      <c r="B2776" s="1" t="s">
        <v>16377</v>
      </c>
      <c r="C2776" s="3">
        <f>IF(B2776="","",SUMIFS('Factory Costs'!$C:$C,'Factory Costs'!$A:$A,"Frame",'Factory Costs'!$B:$B,B2776))</f>
        <v>39</v>
      </c>
    </row>
    <row r="2777" spans="1:3" x14ac:dyDescent="0.25">
      <c r="A2777" s="1" t="s">
        <v>14884</v>
      </c>
      <c r="B2777" s="1" t="s">
        <v>16379</v>
      </c>
      <c r="C2777" s="3">
        <f>IF(B2777="","",SUMIFS('Factory Costs'!$C:$C,'Factory Costs'!$A:$A,"Frame",'Factory Costs'!$B:$B,B2777))</f>
        <v>45</v>
      </c>
    </row>
    <row r="2778" spans="1:3" x14ac:dyDescent="0.25">
      <c r="A2778" s="1" t="s">
        <v>14887</v>
      </c>
      <c r="B2778" s="1" t="s">
        <v>16377</v>
      </c>
      <c r="C2778" s="3">
        <f>IF(B2778="","",SUMIFS('Factory Costs'!$C:$C,'Factory Costs'!$A:$A,"Frame",'Factory Costs'!$B:$B,B2778))</f>
        <v>39</v>
      </c>
    </row>
    <row r="2779" spans="1:3" x14ac:dyDescent="0.25">
      <c r="A2779" s="1" t="s">
        <v>14890</v>
      </c>
      <c r="B2779" s="1" t="s">
        <v>16377</v>
      </c>
      <c r="C2779" s="3">
        <f>IF(B2779="","",SUMIFS('Factory Costs'!$C:$C,'Factory Costs'!$A:$A,"Frame",'Factory Costs'!$B:$B,B2779))</f>
        <v>39</v>
      </c>
    </row>
    <row r="2780" spans="1:3" x14ac:dyDescent="0.25">
      <c r="A2780" s="1" t="s">
        <v>14893</v>
      </c>
      <c r="B2780" s="1" t="s">
        <v>16377</v>
      </c>
      <c r="C2780" s="3">
        <f>IF(B2780="","",SUMIFS('Factory Costs'!$C:$C,'Factory Costs'!$A:$A,"Frame",'Factory Costs'!$B:$B,B2780))</f>
        <v>39</v>
      </c>
    </row>
    <row r="2781" spans="1:3" x14ac:dyDescent="0.25">
      <c r="A2781" s="1" t="s">
        <v>14896</v>
      </c>
      <c r="B2781" s="1" t="s">
        <v>16378</v>
      </c>
      <c r="C2781" s="3">
        <f>IF(B2781="","",SUMIFS('Factory Costs'!$C:$C,'Factory Costs'!$A:$A,"Frame",'Factory Costs'!$B:$B,B2781))</f>
        <v>52</v>
      </c>
    </row>
    <row r="2782" spans="1:3" x14ac:dyDescent="0.25">
      <c r="A2782" s="1" t="s">
        <v>14899</v>
      </c>
      <c r="B2782" s="1" t="s">
        <v>16377</v>
      </c>
      <c r="C2782" s="3">
        <f>IF(B2782="","",SUMIFS('Factory Costs'!$C:$C,'Factory Costs'!$A:$A,"Frame",'Factory Costs'!$B:$B,B2782))</f>
        <v>39</v>
      </c>
    </row>
    <row r="2783" spans="1:3" x14ac:dyDescent="0.25">
      <c r="A2783" s="1" t="s">
        <v>14902</v>
      </c>
      <c r="B2783" s="1" t="s">
        <v>16378</v>
      </c>
      <c r="C2783" s="3">
        <f>IF(B2783="","",SUMIFS('Factory Costs'!$C:$C,'Factory Costs'!$A:$A,"Frame",'Factory Costs'!$B:$B,B2783))</f>
        <v>52</v>
      </c>
    </row>
    <row r="2784" spans="1:3" x14ac:dyDescent="0.25">
      <c r="A2784" s="1" t="s">
        <v>14905</v>
      </c>
      <c r="B2784" s="1" t="s">
        <v>16379</v>
      </c>
      <c r="C2784" s="3">
        <f>IF(B2784="","",SUMIFS('Factory Costs'!$C:$C,'Factory Costs'!$A:$A,"Frame",'Factory Costs'!$B:$B,B2784))</f>
        <v>45</v>
      </c>
    </row>
    <row r="2785" spans="1:3" x14ac:dyDescent="0.25">
      <c r="A2785" s="1" t="s">
        <v>14908</v>
      </c>
      <c r="B2785" s="1" t="s">
        <v>16377</v>
      </c>
      <c r="C2785" s="3">
        <f>IF(B2785="","",SUMIFS('Factory Costs'!$C:$C,'Factory Costs'!$A:$A,"Frame",'Factory Costs'!$B:$B,B2785))</f>
        <v>39</v>
      </c>
    </row>
    <row r="2786" spans="1:3" x14ac:dyDescent="0.25">
      <c r="A2786" s="1" t="s">
        <v>14911</v>
      </c>
      <c r="B2786" s="1" t="s">
        <v>16379</v>
      </c>
      <c r="C2786" s="3">
        <f>IF(B2786="","",SUMIFS('Factory Costs'!$C:$C,'Factory Costs'!$A:$A,"Frame",'Factory Costs'!$B:$B,B2786))</f>
        <v>45</v>
      </c>
    </row>
    <row r="2787" spans="1:3" x14ac:dyDescent="0.25">
      <c r="A2787" s="1" t="s">
        <v>14914</v>
      </c>
      <c r="B2787" s="1" t="s">
        <v>16379</v>
      </c>
      <c r="C2787" s="3">
        <f>IF(B2787="","",SUMIFS('Factory Costs'!$C:$C,'Factory Costs'!$A:$A,"Frame",'Factory Costs'!$B:$B,B2787))</f>
        <v>45</v>
      </c>
    </row>
    <row r="2788" spans="1:3" x14ac:dyDescent="0.25">
      <c r="A2788" s="1" t="s">
        <v>14917</v>
      </c>
      <c r="B2788" s="1" t="s">
        <v>16379</v>
      </c>
      <c r="C2788" s="3">
        <f>IF(B2788="","",SUMIFS('Factory Costs'!$C:$C,'Factory Costs'!$A:$A,"Frame",'Factory Costs'!$B:$B,B2788))</f>
        <v>45</v>
      </c>
    </row>
    <row r="2789" spans="1:3" x14ac:dyDescent="0.25">
      <c r="A2789" s="1" t="s">
        <v>14920</v>
      </c>
      <c r="B2789" s="1" t="s">
        <v>16378</v>
      </c>
      <c r="C2789" s="3">
        <f>IF(B2789="","",SUMIFS('Factory Costs'!$C:$C,'Factory Costs'!$A:$A,"Frame",'Factory Costs'!$B:$B,B2789))</f>
        <v>52</v>
      </c>
    </row>
    <row r="2790" spans="1:3" x14ac:dyDescent="0.25">
      <c r="A2790" s="1" t="s">
        <v>14923</v>
      </c>
      <c r="B2790" s="1" t="s">
        <v>16377</v>
      </c>
      <c r="C2790" s="3">
        <f>IF(B2790="","",SUMIFS('Factory Costs'!$C:$C,'Factory Costs'!$A:$A,"Frame",'Factory Costs'!$B:$B,B2790))</f>
        <v>39</v>
      </c>
    </row>
    <row r="2791" spans="1:3" x14ac:dyDescent="0.25">
      <c r="A2791" s="1" t="s">
        <v>14926</v>
      </c>
      <c r="B2791" s="1" t="s">
        <v>16378</v>
      </c>
      <c r="C2791" s="3">
        <f>IF(B2791="","",SUMIFS('Factory Costs'!$C:$C,'Factory Costs'!$A:$A,"Frame",'Factory Costs'!$B:$B,B2791))</f>
        <v>52</v>
      </c>
    </row>
    <row r="2792" spans="1:3" x14ac:dyDescent="0.25">
      <c r="A2792" s="1" t="s">
        <v>14929</v>
      </c>
      <c r="B2792" s="1" t="s">
        <v>16379</v>
      </c>
      <c r="C2792" s="3">
        <f>IF(B2792="","",SUMIFS('Factory Costs'!$C:$C,'Factory Costs'!$A:$A,"Frame",'Factory Costs'!$B:$B,B2792))</f>
        <v>45</v>
      </c>
    </row>
    <row r="2793" spans="1:3" x14ac:dyDescent="0.25">
      <c r="A2793" s="1" t="s">
        <v>14932</v>
      </c>
      <c r="B2793" s="1" t="s">
        <v>16379</v>
      </c>
      <c r="C2793" s="3">
        <f>IF(B2793="","",SUMIFS('Factory Costs'!$C:$C,'Factory Costs'!$A:$A,"Frame",'Factory Costs'!$B:$B,B2793))</f>
        <v>45</v>
      </c>
    </row>
    <row r="2794" spans="1:3" x14ac:dyDescent="0.25">
      <c r="A2794" s="1" t="s">
        <v>14935</v>
      </c>
      <c r="B2794" s="1" t="s">
        <v>16378</v>
      </c>
      <c r="C2794" s="3">
        <f>IF(B2794="","",SUMIFS('Factory Costs'!$C:$C,'Factory Costs'!$A:$A,"Frame",'Factory Costs'!$B:$B,B2794))</f>
        <v>52</v>
      </c>
    </row>
    <row r="2795" spans="1:3" x14ac:dyDescent="0.25">
      <c r="A2795" s="1" t="s">
        <v>14938</v>
      </c>
      <c r="B2795" s="1" t="s">
        <v>16377</v>
      </c>
      <c r="C2795" s="3">
        <f>IF(B2795="","",SUMIFS('Factory Costs'!$C:$C,'Factory Costs'!$A:$A,"Frame",'Factory Costs'!$B:$B,B2795))</f>
        <v>39</v>
      </c>
    </row>
    <row r="2796" spans="1:3" x14ac:dyDescent="0.25">
      <c r="A2796" s="1" t="s">
        <v>14941</v>
      </c>
      <c r="B2796" s="1" t="s">
        <v>16379</v>
      </c>
      <c r="C2796" s="3">
        <f>IF(B2796="","",SUMIFS('Factory Costs'!$C:$C,'Factory Costs'!$A:$A,"Frame",'Factory Costs'!$B:$B,B2796))</f>
        <v>45</v>
      </c>
    </row>
    <row r="2797" spans="1:3" x14ac:dyDescent="0.25">
      <c r="A2797" s="1" t="s">
        <v>14944</v>
      </c>
      <c r="B2797" s="1" t="s">
        <v>16378</v>
      </c>
      <c r="C2797" s="3">
        <f>IF(B2797="","",SUMIFS('Factory Costs'!$C:$C,'Factory Costs'!$A:$A,"Frame",'Factory Costs'!$B:$B,B2797))</f>
        <v>52</v>
      </c>
    </row>
    <row r="2798" spans="1:3" x14ac:dyDescent="0.25">
      <c r="A2798" s="1" t="s">
        <v>14947</v>
      </c>
      <c r="B2798" s="1" t="s">
        <v>16378</v>
      </c>
      <c r="C2798" s="3">
        <f>IF(B2798="","",SUMIFS('Factory Costs'!$C:$C,'Factory Costs'!$A:$A,"Frame",'Factory Costs'!$B:$B,B2798))</f>
        <v>52</v>
      </c>
    </row>
    <row r="2799" spans="1:3" x14ac:dyDescent="0.25">
      <c r="A2799" s="1" t="s">
        <v>14950</v>
      </c>
      <c r="B2799" s="1" t="s">
        <v>16377</v>
      </c>
      <c r="C2799" s="3">
        <f>IF(B2799="","",SUMIFS('Factory Costs'!$C:$C,'Factory Costs'!$A:$A,"Frame",'Factory Costs'!$B:$B,B2799))</f>
        <v>39</v>
      </c>
    </row>
    <row r="2800" spans="1:3" x14ac:dyDescent="0.25">
      <c r="A2800" s="1" t="s">
        <v>14953</v>
      </c>
      <c r="B2800" s="1" t="s">
        <v>16379</v>
      </c>
      <c r="C2800" s="3">
        <f>IF(B2800="","",SUMIFS('Factory Costs'!$C:$C,'Factory Costs'!$A:$A,"Frame",'Factory Costs'!$B:$B,B2800))</f>
        <v>45</v>
      </c>
    </row>
    <row r="2801" spans="1:3" x14ac:dyDescent="0.25">
      <c r="A2801" s="1" t="s">
        <v>14956</v>
      </c>
      <c r="B2801" s="1" t="s">
        <v>16378</v>
      </c>
      <c r="C2801" s="3">
        <f>IF(B2801="","",SUMIFS('Factory Costs'!$C:$C,'Factory Costs'!$A:$A,"Frame",'Factory Costs'!$B:$B,B2801))</f>
        <v>52</v>
      </c>
    </row>
    <row r="2802" spans="1:3" x14ac:dyDescent="0.25">
      <c r="A2802" s="1" t="s">
        <v>14959</v>
      </c>
      <c r="B2802" s="1" t="s">
        <v>16378</v>
      </c>
      <c r="C2802" s="3">
        <f>IF(B2802="","",SUMIFS('Factory Costs'!$C:$C,'Factory Costs'!$A:$A,"Frame",'Factory Costs'!$B:$B,B2802))</f>
        <v>52</v>
      </c>
    </row>
    <row r="2803" spans="1:3" x14ac:dyDescent="0.25">
      <c r="A2803" s="1" t="s">
        <v>14962</v>
      </c>
      <c r="B2803" s="1" t="s">
        <v>16379</v>
      </c>
      <c r="C2803" s="3">
        <f>IF(B2803="","",SUMIFS('Factory Costs'!$C:$C,'Factory Costs'!$A:$A,"Frame",'Factory Costs'!$B:$B,B2803))</f>
        <v>45</v>
      </c>
    </row>
    <row r="2804" spans="1:3" x14ac:dyDescent="0.25">
      <c r="A2804" s="1" t="s">
        <v>14965</v>
      </c>
      <c r="B2804" s="1" t="s">
        <v>16378</v>
      </c>
      <c r="C2804" s="3">
        <f>IF(B2804="","",SUMIFS('Factory Costs'!$C:$C,'Factory Costs'!$A:$A,"Frame",'Factory Costs'!$B:$B,B2804))</f>
        <v>52</v>
      </c>
    </row>
    <row r="2805" spans="1:3" x14ac:dyDescent="0.25">
      <c r="A2805" s="1" t="s">
        <v>14968</v>
      </c>
      <c r="B2805" s="1" t="s">
        <v>16377</v>
      </c>
      <c r="C2805" s="3">
        <f>IF(B2805="","",SUMIFS('Factory Costs'!$C:$C,'Factory Costs'!$A:$A,"Frame",'Factory Costs'!$B:$B,B2805))</f>
        <v>39</v>
      </c>
    </row>
    <row r="2806" spans="1:3" x14ac:dyDescent="0.25">
      <c r="A2806" s="1" t="s">
        <v>14971</v>
      </c>
      <c r="B2806" s="1" t="s">
        <v>16377</v>
      </c>
      <c r="C2806" s="3">
        <f>IF(B2806="","",SUMIFS('Factory Costs'!$C:$C,'Factory Costs'!$A:$A,"Frame",'Factory Costs'!$B:$B,B2806))</f>
        <v>39</v>
      </c>
    </row>
    <row r="2807" spans="1:3" x14ac:dyDescent="0.25">
      <c r="A2807" s="1" t="s">
        <v>14974</v>
      </c>
      <c r="B2807" s="1" t="s">
        <v>16377</v>
      </c>
      <c r="C2807" s="3">
        <f>IF(B2807="","",SUMIFS('Factory Costs'!$C:$C,'Factory Costs'!$A:$A,"Frame",'Factory Costs'!$B:$B,B2807))</f>
        <v>39</v>
      </c>
    </row>
    <row r="2808" spans="1:3" x14ac:dyDescent="0.25">
      <c r="A2808" s="1" t="s">
        <v>14977</v>
      </c>
      <c r="B2808" s="1" t="s">
        <v>16377</v>
      </c>
      <c r="C2808" s="3">
        <f>IF(B2808="","",SUMIFS('Factory Costs'!$C:$C,'Factory Costs'!$A:$A,"Frame",'Factory Costs'!$B:$B,B2808))</f>
        <v>39</v>
      </c>
    </row>
    <row r="2809" spans="1:3" x14ac:dyDescent="0.25">
      <c r="A2809" s="1" t="s">
        <v>14980</v>
      </c>
      <c r="B2809" s="1" t="s">
        <v>16377</v>
      </c>
      <c r="C2809" s="3">
        <f>IF(B2809="","",SUMIFS('Factory Costs'!$C:$C,'Factory Costs'!$A:$A,"Frame",'Factory Costs'!$B:$B,B2809))</f>
        <v>39</v>
      </c>
    </row>
    <row r="2810" spans="1:3" x14ac:dyDescent="0.25">
      <c r="A2810" s="1" t="s">
        <v>14983</v>
      </c>
      <c r="B2810" s="1" t="s">
        <v>16377</v>
      </c>
      <c r="C2810" s="3">
        <f>IF(B2810="","",SUMIFS('Factory Costs'!$C:$C,'Factory Costs'!$A:$A,"Frame",'Factory Costs'!$B:$B,B2810))</f>
        <v>39</v>
      </c>
    </row>
    <row r="2811" spans="1:3" x14ac:dyDescent="0.25">
      <c r="A2811" s="1" t="s">
        <v>14986</v>
      </c>
      <c r="B2811" s="1" t="s">
        <v>16378</v>
      </c>
      <c r="C2811" s="3">
        <f>IF(B2811="","",SUMIFS('Factory Costs'!$C:$C,'Factory Costs'!$A:$A,"Frame",'Factory Costs'!$B:$B,B2811))</f>
        <v>52</v>
      </c>
    </row>
    <row r="2812" spans="1:3" x14ac:dyDescent="0.25">
      <c r="A2812" s="1" t="s">
        <v>14989</v>
      </c>
      <c r="B2812" s="1" t="s">
        <v>16377</v>
      </c>
      <c r="C2812" s="3">
        <f>IF(B2812="","",SUMIFS('Factory Costs'!$C:$C,'Factory Costs'!$A:$A,"Frame",'Factory Costs'!$B:$B,B2812))</f>
        <v>39</v>
      </c>
    </row>
    <row r="2813" spans="1:3" x14ac:dyDescent="0.25">
      <c r="A2813" s="1" t="s">
        <v>14992</v>
      </c>
      <c r="B2813" s="1" t="s">
        <v>16377</v>
      </c>
      <c r="C2813" s="3">
        <f>IF(B2813="","",SUMIFS('Factory Costs'!$C:$C,'Factory Costs'!$A:$A,"Frame",'Factory Costs'!$B:$B,B2813))</f>
        <v>39</v>
      </c>
    </row>
    <row r="2814" spans="1:3" x14ac:dyDescent="0.25">
      <c r="A2814" s="1" t="s">
        <v>14995</v>
      </c>
      <c r="B2814" s="1" t="s">
        <v>16377</v>
      </c>
      <c r="C2814" s="3">
        <f>IF(B2814="","",SUMIFS('Factory Costs'!$C:$C,'Factory Costs'!$A:$A,"Frame",'Factory Costs'!$B:$B,B2814))</f>
        <v>39</v>
      </c>
    </row>
    <row r="2815" spans="1:3" x14ac:dyDescent="0.25">
      <c r="A2815" s="1" t="s">
        <v>14998</v>
      </c>
      <c r="B2815" s="1" t="s">
        <v>16379</v>
      </c>
      <c r="C2815" s="3">
        <f>IF(B2815="","",SUMIFS('Factory Costs'!$C:$C,'Factory Costs'!$A:$A,"Frame",'Factory Costs'!$B:$B,B2815))</f>
        <v>45</v>
      </c>
    </row>
    <row r="2816" spans="1:3" x14ac:dyDescent="0.25">
      <c r="A2816" s="1" t="s">
        <v>15001</v>
      </c>
      <c r="B2816" s="1" t="s">
        <v>16379</v>
      </c>
      <c r="C2816" s="3">
        <f>IF(B2816="","",SUMIFS('Factory Costs'!$C:$C,'Factory Costs'!$A:$A,"Frame",'Factory Costs'!$B:$B,B2816))</f>
        <v>45</v>
      </c>
    </row>
    <row r="2817" spans="1:3" x14ac:dyDescent="0.25">
      <c r="A2817" s="1" t="s">
        <v>15004</v>
      </c>
      <c r="B2817" s="1" t="s">
        <v>16377</v>
      </c>
      <c r="C2817" s="3">
        <f>IF(B2817="","",SUMIFS('Factory Costs'!$C:$C,'Factory Costs'!$A:$A,"Frame",'Factory Costs'!$B:$B,B2817))</f>
        <v>39</v>
      </c>
    </row>
    <row r="2818" spans="1:3" x14ac:dyDescent="0.25">
      <c r="A2818" s="1" t="s">
        <v>15007</v>
      </c>
      <c r="B2818" s="1" t="s">
        <v>16377</v>
      </c>
      <c r="C2818" s="3">
        <f>IF(B2818="","",SUMIFS('Factory Costs'!$C:$C,'Factory Costs'!$A:$A,"Frame",'Factory Costs'!$B:$B,B2818))</f>
        <v>39</v>
      </c>
    </row>
    <row r="2819" spans="1:3" x14ac:dyDescent="0.25">
      <c r="A2819" s="1" t="s">
        <v>15010</v>
      </c>
      <c r="B2819" s="1" t="s">
        <v>16378</v>
      </c>
      <c r="C2819" s="3">
        <f>IF(B2819="","",SUMIFS('Factory Costs'!$C:$C,'Factory Costs'!$A:$A,"Frame",'Factory Costs'!$B:$B,B2819))</f>
        <v>52</v>
      </c>
    </row>
    <row r="2820" spans="1:3" x14ac:dyDescent="0.25">
      <c r="A2820" s="1" t="s">
        <v>15013</v>
      </c>
      <c r="B2820" s="1" t="s">
        <v>16377</v>
      </c>
      <c r="C2820" s="3">
        <f>IF(B2820="","",SUMIFS('Factory Costs'!$C:$C,'Factory Costs'!$A:$A,"Frame",'Factory Costs'!$B:$B,B2820))</f>
        <v>39</v>
      </c>
    </row>
    <row r="2821" spans="1:3" x14ac:dyDescent="0.25">
      <c r="A2821" s="1" t="s">
        <v>15016</v>
      </c>
      <c r="B2821" s="1" t="s">
        <v>16377</v>
      </c>
      <c r="C2821" s="3">
        <f>IF(B2821="","",SUMIFS('Factory Costs'!$C:$C,'Factory Costs'!$A:$A,"Frame",'Factory Costs'!$B:$B,B2821))</f>
        <v>39</v>
      </c>
    </row>
    <row r="2822" spans="1:3" x14ac:dyDescent="0.25">
      <c r="A2822" s="1" t="s">
        <v>15019</v>
      </c>
      <c r="B2822" s="1" t="s">
        <v>16377</v>
      </c>
      <c r="C2822" s="3">
        <f>IF(B2822="","",SUMIFS('Factory Costs'!$C:$C,'Factory Costs'!$A:$A,"Frame",'Factory Costs'!$B:$B,B2822))</f>
        <v>39</v>
      </c>
    </row>
    <row r="2823" spans="1:3" x14ac:dyDescent="0.25">
      <c r="A2823" s="1" t="s">
        <v>15022</v>
      </c>
      <c r="B2823" s="1" t="s">
        <v>16377</v>
      </c>
      <c r="C2823" s="3">
        <f>IF(B2823="","",SUMIFS('Factory Costs'!$C:$C,'Factory Costs'!$A:$A,"Frame",'Factory Costs'!$B:$B,B2823))</f>
        <v>39</v>
      </c>
    </row>
    <row r="2824" spans="1:3" x14ac:dyDescent="0.25">
      <c r="A2824" s="1" t="s">
        <v>15025</v>
      </c>
      <c r="B2824" s="1" t="s">
        <v>16377</v>
      </c>
      <c r="C2824" s="3">
        <f>IF(B2824="","",SUMIFS('Factory Costs'!$C:$C,'Factory Costs'!$A:$A,"Frame",'Factory Costs'!$B:$B,B2824))</f>
        <v>39</v>
      </c>
    </row>
    <row r="2825" spans="1:3" x14ac:dyDescent="0.25">
      <c r="A2825" s="1" t="s">
        <v>15028</v>
      </c>
      <c r="B2825" s="1" t="s">
        <v>16379</v>
      </c>
      <c r="C2825" s="3">
        <f>IF(B2825="","",SUMIFS('Factory Costs'!$C:$C,'Factory Costs'!$A:$A,"Frame",'Factory Costs'!$B:$B,B2825))</f>
        <v>45</v>
      </c>
    </row>
    <row r="2826" spans="1:3" x14ac:dyDescent="0.25">
      <c r="A2826" s="1" t="s">
        <v>15031</v>
      </c>
      <c r="B2826" s="1" t="s">
        <v>16378</v>
      </c>
      <c r="C2826" s="3">
        <f>IF(B2826="","",SUMIFS('Factory Costs'!$C:$C,'Factory Costs'!$A:$A,"Frame",'Factory Costs'!$B:$B,B2826))</f>
        <v>52</v>
      </c>
    </row>
    <row r="2827" spans="1:3" x14ac:dyDescent="0.25">
      <c r="A2827" s="1" t="s">
        <v>15034</v>
      </c>
      <c r="B2827" s="1" t="s">
        <v>16377</v>
      </c>
      <c r="C2827" s="3">
        <f>IF(B2827="","",SUMIFS('Factory Costs'!$C:$C,'Factory Costs'!$A:$A,"Frame",'Factory Costs'!$B:$B,B2827))</f>
        <v>39</v>
      </c>
    </row>
    <row r="2828" spans="1:3" x14ac:dyDescent="0.25">
      <c r="A2828" s="1" t="s">
        <v>15037</v>
      </c>
      <c r="B2828" s="1" t="s">
        <v>16377</v>
      </c>
      <c r="C2828" s="3">
        <f>IF(B2828="","",SUMIFS('Factory Costs'!$C:$C,'Factory Costs'!$A:$A,"Frame",'Factory Costs'!$B:$B,B2828))</f>
        <v>39</v>
      </c>
    </row>
    <row r="2829" spans="1:3" x14ac:dyDescent="0.25">
      <c r="A2829" s="1" t="s">
        <v>15040</v>
      </c>
      <c r="B2829" s="1" t="s">
        <v>16379</v>
      </c>
      <c r="C2829" s="3">
        <f>IF(B2829="","",SUMIFS('Factory Costs'!$C:$C,'Factory Costs'!$A:$A,"Frame",'Factory Costs'!$B:$B,B2829))</f>
        <v>45</v>
      </c>
    </row>
    <row r="2830" spans="1:3" x14ac:dyDescent="0.25">
      <c r="A2830" s="1" t="s">
        <v>15043</v>
      </c>
      <c r="B2830" s="1" t="s">
        <v>16379</v>
      </c>
      <c r="C2830" s="3">
        <f>IF(B2830="","",SUMIFS('Factory Costs'!$C:$C,'Factory Costs'!$A:$A,"Frame",'Factory Costs'!$B:$B,B2830))</f>
        <v>45</v>
      </c>
    </row>
    <row r="2831" spans="1:3" x14ac:dyDescent="0.25">
      <c r="A2831" s="1" t="s">
        <v>15046</v>
      </c>
      <c r="B2831" s="1" t="s">
        <v>16377</v>
      </c>
      <c r="C2831" s="3">
        <f>IF(B2831="","",SUMIFS('Factory Costs'!$C:$C,'Factory Costs'!$A:$A,"Frame",'Factory Costs'!$B:$B,B2831))</f>
        <v>39</v>
      </c>
    </row>
    <row r="2832" spans="1:3" x14ac:dyDescent="0.25">
      <c r="A2832" s="1" t="s">
        <v>15049</v>
      </c>
      <c r="B2832" s="1" t="s">
        <v>16377</v>
      </c>
      <c r="C2832" s="3">
        <f>IF(B2832="","",SUMIFS('Factory Costs'!$C:$C,'Factory Costs'!$A:$A,"Frame",'Factory Costs'!$B:$B,B2832))</f>
        <v>39</v>
      </c>
    </row>
    <row r="2833" spans="1:3" x14ac:dyDescent="0.25">
      <c r="A2833" s="1" t="s">
        <v>15052</v>
      </c>
      <c r="B2833" s="1" t="s">
        <v>16377</v>
      </c>
      <c r="C2833" s="3">
        <f>IF(B2833="","",SUMIFS('Factory Costs'!$C:$C,'Factory Costs'!$A:$A,"Frame",'Factory Costs'!$B:$B,B2833))</f>
        <v>39</v>
      </c>
    </row>
    <row r="2834" spans="1:3" x14ac:dyDescent="0.25">
      <c r="A2834" s="1" t="s">
        <v>15055</v>
      </c>
      <c r="B2834" s="1" t="s">
        <v>16379</v>
      </c>
      <c r="C2834" s="3">
        <f>IF(B2834="","",SUMIFS('Factory Costs'!$C:$C,'Factory Costs'!$A:$A,"Frame",'Factory Costs'!$B:$B,B2834))</f>
        <v>45</v>
      </c>
    </row>
    <row r="2835" spans="1:3" x14ac:dyDescent="0.25">
      <c r="A2835" s="1" t="s">
        <v>15058</v>
      </c>
      <c r="B2835" s="1" t="s">
        <v>16377</v>
      </c>
      <c r="C2835" s="3">
        <f>IF(B2835="","",SUMIFS('Factory Costs'!$C:$C,'Factory Costs'!$A:$A,"Frame",'Factory Costs'!$B:$B,B2835))</f>
        <v>39</v>
      </c>
    </row>
    <row r="2836" spans="1:3" x14ac:dyDescent="0.25">
      <c r="A2836" s="1" t="s">
        <v>15061</v>
      </c>
      <c r="B2836" s="1" t="s">
        <v>16377</v>
      </c>
      <c r="C2836" s="3">
        <f>IF(B2836="","",SUMIFS('Factory Costs'!$C:$C,'Factory Costs'!$A:$A,"Frame",'Factory Costs'!$B:$B,B2836))</f>
        <v>39</v>
      </c>
    </row>
    <row r="2837" spans="1:3" x14ac:dyDescent="0.25">
      <c r="A2837" s="1" t="s">
        <v>15064</v>
      </c>
      <c r="B2837" s="1" t="s">
        <v>16377</v>
      </c>
      <c r="C2837" s="3">
        <f>IF(B2837="","",SUMIFS('Factory Costs'!$C:$C,'Factory Costs'!$A:$A,"Frame",'Factory Costs'!$B:$B,B2837))</f>
        <v>39</v>
      </c>
    </row>
    <row r="2838" spans="1:3" x14ac:dyDescent="0.25">
      <c r="A2838" s="1" t="s">
        <v>15067</v>
      </c>
      <c r="B2838" s="1" t="s">
        <v>16377</v>
      </c>
      <c r="C2838" s="3">
        <f>IF(B2838="","",SUMIFS('Factory Costs'!$C:$C,'Factory Costs'!$A:$A,"Frame",'Factory Costs'!$B:$B,B2838))</f>
        <v>39</v>
      </c>
    </row>
    <row r="2839" spans="1:3" x14ac:dyDescent="0.25">
      <c r="A2839" s="1" t="s">
        <v>15070</v>
      </c>
      <c r="B2839" s="1" t="s">
        <v>16378</v>
      </c>
      <c r="C2839" s="3">
        <f>IF(B2839="","",SUMIFS('Factory Costs'!$C:$C,'Factory Costs'!$A:$A,"Frame",'Factory Costs'!$B:$B,B2839))</f>
        <v>52</v>
      </c>
    </row>
    <row r="2840" spans="1:3" x14ac:dyDescent="0.25">
      <c r="A2840" s="1" t="s">
        <v>15073</v>
      </c>
      <c r="B2840" s="1" t="s">
        <v>16378</v>
      </c>
      <c r="C2840" s="3">
        <f>IF(B2840="","",SUMIFS('Factory Costs'!$C:$C,'Factory Costs'!$A:$A,"Frame",'Factory Costs'!$B:$B,B2840))</f>
        <v>52</v>
      </c>
    </row>
    <row r="2841" spans="1:3" x14ac:dyDescent="0.25">
      <c r="A2841" s="1" t="s">
        <v>15076</v>
      </c>
      <c r="B2841" s="1" t="s">
        <v>16377</v>
      </c>
      <c r="C2841" s="3">
        <f>IF(B2841="","",SUMIFS('Factory Costs'!$C:$C,'Factory Costs'!$A:$A,"Frame",'Factory Costs'!$B:$B,B2841))</f>
        <v>39</v>
      </c>
    </row>
    <row r="2842" spans="1:3" x14ac:dyDescent="0.25">
      <c r="A2842" s="1" t="s">
        <v>15079</v>
      </c>
      <c r="B2842" s="1" t="s">
        <v>16377</v>
      </c>
      <c r="C2842" s="3">
        <f>IF(B2842="","",SUMIFS('Factory Costs'!$C:$C,'Factory Costs'!$A:$A,"Frame",'Factory Costs'!$B:$B,B2842))</f>
        <v>39</v>
      </c>
    </row>
    <row r="2843" spans="1:3" x14ac:dyDescent="0.25">
      <c r="A2843" s="1" t="s">
        <v>15082</v>
      </c>
      <c r="B2843" s="1" t="s">
        <v>16379</v>
      </c>
      <c r="C2843" s="3">
        <f>IF(B2843="","",SUMIFS('Factory Costs'!$C:$C,'Factory Costs'!$A:$A,"Frame",'Factory Costs'!$B:$B,B2843))</f>
        <v>45</v>
      </c>
    </row>
    <row r="2844" spans="1:3" x14ac:dyDescent="0.25">
      <c r="A2844" s="1" t="s">
        <v>15085</v>
      </c>
      <c r="B2844" s="1" t="s">
        <v>16378</v>
      </c>
      <c r="C2844" s="3">
        <f>IF(B2844="","",SUMIFS('Factory Costs'!$C:$C,'Factory Costs'!$A:$A,"Frame",'Factory Costs'!$B:$B,B2844))</f>
        <v>52</v>
      </c>
    </row>
    <row r="2845" spans="1:3" x14ac:dyDescent="0.25">
      <c r="A2845" s="1" t="s">
        <v>15088</v>
      </c>
      <c r="B2845" s="1" t="s">
        <v>16379</v>
      </c>
      <c r="C2845" s="3">
        <f>IF(B2845="","",SUMIFS('Factory Costs'!$C:$C,'Factory Costs'!$A:$A,"Frame",'Factory Costs'!$B:$B,B2845))</f>
        <v>45</v>
      </c>
    </row>
    <row r="2846" spans="1:3" x14ac:dyDescent="0.25">
      <c r="A2846" s="1" t="s">
        <v>15091</v>
      </c>
      <c r="B2846" s="1" t="s">
        <v>16377</v>
      </c>
      <c r="C2846" s="3">
        <f>IF(B2846="","",SUMIFS('Factory Costs'!$C:$C,'Factory Costs'!$A:$A,"Frame",'Factory Costs'!$B:$B,B2846))</f>
        <v>39</v>
      </c>
    </row>
    <row r="2847" spans="1:3" x14ac:dyDescent="0.25">
      <c r="A2847" s="1" t="s">
        <v>15094</v>
      </c>
      <c r="B2847" s="1" t="s">
        <v>16378</v>
      </c>
      <c r="C2847" s="3">
        <f>IF(B2847="","",SUMIFS('Factory Costs'!$C:$C,'Factory Costs'!$A:$A,"Frame",'Factory Costs'!$B:$B,B2847))</f>
        <v>52</v>
      </c>
    </row>
    <row r="2848" spans="1:3" x14ac:dyDescent="0.25">
      <c r="A2848" s="1" t="s">
        <v>15097</v>
      </c>
      <c r="B2848" s="1" t="s">
        <v>16378</v>
      </c>
      <c r="C2848" s="3">
        <f>IF(B2848="","",SUMIFS('Factory Costs'!$C:$C,'Factory Costs'!$A:$A,"Frame",'Factory Costs'!$B:$B,B2848))</f>
        <v>52</v>
      </c>
    </row>
    <row r="2849" spans="1:3" x14ac:dyDescent="0.25">
      <c r="A2849" s="1" t="s">
        <v>15100</v>
      </c>
      <c r="B2849" s="1" t="s">
        <v>16377</v>
      </c>
      <c r="C2849" s="3">
        <f>IF(B2849="","",SUMIFS('Factory Costs'!$C:$C,'Factory Costs'!$A:$A,"Frame",'Factory Costs'!$B:$B,B2849))</f>
        <v>39</v>
      </c>
    </row>
    <row r="2850" spans="1:3" x14ac:dyDescent="0.25">
      <c r="A2850" s="1" t="s">
        <v>15103</v>
      </c>
      <c r="B2850" s="1" t="s">
        <v>16379</v>
      </c>
      <c r="C2850" s="3">
        <f>IF(B2850="","",SUMIFS('Factory Costs'!$C:$C,'Factory Costs'!$A:$A,"Frame",'Factory Costs'!$B:$B,B2850))</f>
        <v>45</v>
      </c>
    </row>
    <row r="2851" spans="1:3" x14ac:dyDescent="0.25">
      <c r="A2851" s="1" t="s">
        <v>15106</v>
      </c>
      <c r="B2851" s="1" t="s">
        <v>16377</v>
      </c>
      <c r="C2851" s="3">
        <f>IF(B2851="","",SUMIFS('Factory Costs'!$C:$C,'Factory Costs'!$A:$A,"Frame",'Factory Costs'!$B:$B,B2851))</f>
        <v>39</v>
      </c>
    </row>
    <row r="2852" spans="1:3" x14ac:dyDescent="0.25">
      <c r="A2852" s="1" t="s">
        <v>15109</v>
      </c>
      <c r="B2852" s="1" t="s">
        <v>16378</v>
      </c>
      <c r="C2852" s="3">
        <f>IF(B2852="","",SUMIFS('Factory Costs'!$C:$C,'Factory Costs'!$A:$A,"Frame",'Factory Costs'!$B:$B,B2852))</f>
        <v>52</v>
      </c>
    </row>
    <row r="2853" spans="1:3" x14ac:dyDescent="0.25">
      <c r="A2853" s="1" t="s">
        <v>15112</v>
      </c>
      <c r="B2853" s="1" t="s">
        <v>16378</v>
      </c>
      <c r="C2853" s="3">
        <f>IF(B2853="","",SUMIFS('Factory Costs'!$C:$C,'Factory Costs'!$A:$A,"Frame",'Factory Costs'!$B:$B,B2853))</f>
        <v>52</v>
      </c>
    </row>
    <row r="2854" spans="1:3" x14ac:dyDescent="0.25">
      <c r="A2854" s="1" t="s">
        <v>15115</v>
      </c>
      <c r="B2854" s="1" t="s">
        <v>16378</v>
      </c>
      <c r="C2854" s="3">
        <f>IF(B2854="","",SUMIFS('Factory Costs'!$C:$C,'Factory Costs'!$A:$A,"Frame",'Factory Costs'!$B:$B,B2854))</f>
        <v>52</v>
      </c>
    </row>
    <row r="2855" spans="1:3" x14ac:dyDescent="0.25">
      <c r="A2855" s="1" t="s">
        <v>15118</v>
      </c>
      <c r="B2855" s="1" t="s">
        <v>16379</v>
      </c>
      <c r="C2855" s="3">
        <f>IF(B2855="","",SUMIFS('Factory Costs'!$C:$C,'Factory Costs'!$A:$A,"Frame",'Factory Costs'!$B:$B,B2855))</f>
        <v>45</v>
      </c>
    </row>
    <row r="2856" spans="1:3" x14ac:dyDescent="0.25">
      <c r="A2856" s="1" t="s">
        <v>15121</v>
      </c>
      <c r="B2856" s="1" t="s">
        <v>16377</v>
      </c>
      <c r="C2856" s="3">
        <f>IF(B2856="","",SUMIFS('Factory Costs'!$C:$C,'Factory Costs'!$A:$A,"Frame",'Factory Costs'!$B:$B,B2856))</f>
        <v>39</v>
      </c>
    </row>
    <row r="2857" spans="1:3" x14ac:dyDescent="0.25">
      <c r="A2857" s="1" t="s">
        <v>15124</v>
      </c>
      <c r="B2857" s="1" t="s">
        <v>16377</v>
      </c>
      <c r="C2857" s="3">
        <f>IF(B2857="","",SUMIFS('Factory Costs'!$C:$C,'Factory Costs'!$A:$A,"Frame",'Factory Costs'!$B:$B,B2857))</f>
        <v>39</v>
      </c>
    </row>
    <row r="2858" spans="1:3" x14ac:dyDescent="0.25">
      <c r="A2858" s="1" t="s">
        <v>15127</v>
      </c>
      <c r="B2858" s="1" t="s">
        <v>16379</v>
      </c>
      <c r="C2858" s="3">
        <f>IF(B2858="","",SUMIFS('Factory Costs'!$C:$C,'Factory Costs'!$A:$A,"Frame",'Factory Costs'!$B:$B,B2858))</f>
        <v>45</v>
      </c>
    </row>
    <row r="2859" spans="1:3" x14ac:dyDescent="0.25">
      <c r="A2859" s="1" t="s">
        <v>15130</v>
      </c>
      <c r="B2859" s="1" t="s">
        <v>16377</v>
      </c>
      <c r="C2859" s="3">
        <f>IF(B2859="","",SUMIFS('Factory Costs'!$C:$C,'Factory Costs'!$A:$A,"Frame",'Factory Costs'!$B:$B,B2859))</f>
        <v>39</v>
      </c>
    </row>
    <row r="2860" spans="1:3" x14ac:dyDescent="0.25">
      <c r="A2860" s="1" t="s">
        <v>15133</v>
      </c>
      <c r="B2860" s="1" t="s">
        <v>16379</v>
      </c>
      <c r="C2860" s="3">
        <f>IF(B2860="","",SUMIFS('Factory Costs'!$C:$C,'Factory Costs'!$A:$A,"Frame",'Factory Costs'!$B:$B,B2860))</f>
        <v>45</v>
      </c>
    </row>
    <row r="2861" spans="1:3" x14ac:dyDescent="0.25">
      <c r="A2861" s="1" t="s">
        <v>15136</v>
      </c>
      <c r="B2861" s="1" t="s">
        <v>16379</v>
      </c>
      <c r="C2861" s="3">
        <f>IF(B2861="","",SUMIFS('Factory Costs'!$C:$C,'Factory Costs'!$A:$A,"Frame",'Factory Costs'!$B:$B,B2861))</f>
        <v>45</v>
      </c>
    </row>
    <row r="2862" spans="1:3" x14ac:dyDescent="0.25">
      <c r="A2862" s="1" t="s">
        <v>15139</v>
      </c>
      <c r="B2862" s="1" t="s">
        <v>16377</v>
      </c>
      <c r="C2862" s="3">
        <f>IF(B2862="","",SUMIFS('Factory Costs'!$C:$C,'Factory Costs'!$A:$A,"Frame",'Factory Costs'!$B:$B,B2862))</f>
        <v>39</v>
      </c>
    </row>
    <row r="2863" spans="1:3" x14ac:dyDescent="0.25">
      <c r="A2863" s="1" t="s">
        <v>15142</v>
      </c>
      <c r="B2863" s="1" t="s">
        <v>16377</v>
      </c>
      <c r="C2863" s="3">
        <f>IF(B2863="","",SUMIFS('Factory Costs'!$C:$C,'Factory Costs'!$A:$A,"Frame",'Factory Costs'!$B:$B,B2863))</f>
        <v>39</v>
      </c>
    </row>
    <row r="2864" spans="1:3" x14ac:dyDescent="0.25">
      <c r="A2864" s="1" t="s">
        <v>15145</v>
      </c>
      <c r="B2864" s="1" t="s">
        <v>16379</v>
      </c>
      <c r="C2864" s="3">
        <f>IF(B2864="","",SUMIFS('Factory Costs'!$C:$C,'Factory Costs'!$A:$A,"Frame",'Factory Costs'!$B:$B,B2864))</f>
        <v>45</v>
      </c>
    </row>
    <row r="2865" spans="1:3" x14ac:dyDescent="0.25">
      <c r="A2865" s="1" t="s">
        <v>15148</v>
      </c>
      <c r="B2865" s="1" t="s">
        <v>16377</v>
      </c>
      <c r="C2865" s="3">
        <f>IF(B2865="","",SUMIFS('Factory Costs'!$C:$C,'Factory Costs'!$A:$A,"Frame",'Factory Costs'!$B:$B,B2865))</f>
        <v>39</v>
      </c>
    </row>
    <row r="2866" spans="1:3" x14ac:dyDescent="0.25">
      <c r="A2866" s="1" t="s">
        <v>15151</v>
      </c>
      <c r="B2866" s="1" t="s">
        <v>16377</v>
      </c>
      <c r="C2866" s="3">
        <f>IF(B2866="","",SUMIFS('Factory Costs'!$C:$C,'Factory Costs'!$A:$A,"Frame",'Factory Costs'!$B:$B,B2866))</f>
        <v>39</v>
      </c>
    </row>
    <row r="2867" spans="1:3" x14ac:dyDescent="0.25">
      <c r="A2867" s="1" t="s">
        <v>15154</v>
      </c>
      <c r="B2867" s="1" t="s">
        <v>16379</v>
      </c>
      <c r="C2867" s="3">
        <f>IF(B2867="","",SUMIFS('Factory Costs'!$C:$C,'Factory Costs'!$A:$A,"Frame",'Factory Costs'!$B:$B,B2867))</f>
        <v>45</v>
      </c>
    </row>
    <row r="2868" spans="1:3" x14ac:dyDescent="0.25">
      <c r="A2868" s="1" t="s">
        <v>15157</v>
      </c>
      <c r="B2868" s="1" t="s">
        <v>16379</v>
      </c>
      <c r="C2868" s="3">
        <f>IF(B2868="","",SUMIFS('Factory Costs'!$C:$C,'Factory Costs'!$A:$A,"Frame",'Factory Costs'!$B:$B,B2868))</f>
        <v>45</v>
      </c>
    </row>
    <row r="2869" spans="1:3" x14ac:dyDescent="0.25">
      <c r="A2869" s="1" t="s">
        <v>15160</v>
      </c>
      <c r="B2869" s="1" t="s">
        <v>16379</v>
      </c>
      <c r="C2869" s="3">
        <f>IF(B2869="","",SUMIFS('Factory Costs'!$C:$C,'Factory Costs'!$A:$A,"Frame",'Factory Costs'!$B:$B,B2869))</f>
        <v>45</v>
      </c>
    </row>
    <row r="2870" spans="1:3" x14ac:dyDescent="0.25">
      <c r="A2870" s="1" t="s">
        <v>15163</v>
      </c>
      <c r="B2870" s="1" t="s">
        <v>16379</v>
      </c>
      <c r="C2870" s="3">
        <f>IF(B2870="","",SUMIFS('Factory Costs'!$C:$C,'Factory Costs'!$A:$A,"Frame",'Factory Costs'!$B:$B,B2870))</f>
        <v>45</v>
      </c>
    </row>
    <row r="2871" spans="1:3" x14ac:dyDescent="0.25">
      <c r="A2871" s="1" t="s">
        <v>15166</v>
      </c>
      <c r="B2871" s="1" t="s">
        <v>16379</v>
      </c>
      <c r="C2871" s="3">
        <f>IF(B2871="","",SUMIFS('Factory Costs'!$C:$C,'Factory Costs'!$A:$A,"Frame",'Factory Costs'!$B:$B,B2871))</f>
        <v>45</v>
      </c>
    </row>
    <row r="2872" spans="1:3" x14ac:dyDescent="0.25">
      <c r="A2872" s="1" t="s">
        <v>15169</v>
      </c>
      <c r="B2872" s="1" t="s">
        <v>16378</v>
      </c>
      <c r="C2872" s="3">
        <f>IF(B2872="","",SUMIFS('Factory Costs'!$C:$C,'Factory Costs'!$A:$A,"Frame",'Factory Costs'!$B:$B,B2872))</f>
        <v>52</v>
      </c>
    </row>
    <row r="2873" spans="1:3" x14ac:dyDescent="0.25">
      <c r="A2873" s="1" t="s">
        <v>15172</v>
      </c>
      <c r="B2873" s="1" t="s">
        <v>16379</v>
      </c>
      <c r="C2873" s="3">
        <f>IF(B2873="","",SUMIFS('Factory Costs'!$C:$C,'Factory Costs'!$A:$A,"Frame",'Factory Costs'!$B:$B,B2873))</f>
        <v>45</v>
      </c>
    </row>
    <row r="2874" spans="1:3" x14ac:dyDescent="0.25">
      <c r="A2874" s="1" t="s">
        <v>15175</v>
      </c>
      <c r="B2874" s="1" t="s">
        <v>16377</v>
      </c>
      <c r="C2874" s="3">
        <f>IF(B2874="","",SUMIFS('Factory Costs'!$C:$C,'Factory Costs'!$A:$A,"Frame",'Factory Costs'!$B:$B,B2874))</f>
        <v>39</v>
      </c>
    </row>
    <row r="2875" spans="1:3" x14ac:dyDescent="0.25">
      <c r="A2875" s="1" t="s">
        <v>15178</v>
      </c>
      <c r="B2875" s="1" t="s">
        <v>16378</v>
      </c>
      <c r="C2875" s="3">
        <f>IF(B2875="","",SUMIFS('Factory Costs'!$C:$C,'Factory Costs'!$A:$A,"Frame",'Factory Costs'!$B:$B,B2875))</f>
        <v>52</v>
      </c>
    </row>
    <row r="2876" spans="1:3" x14ac:dyDescent="0.25">
      <c r="A2876" s="1" t="s">
        <v>15181</v>
      </c>
      <c r="B2876" s="1" t="s">
        <v>16379</v>
      </c>
      <c r="C2876" s="3">
        <f>IF(B2876="","",SUMIFS('Factory Costs'!$C:$C,'Factory Costs'!$A:$A,"Frame",'Factory Costs'!$B:$B,B2876))</f>
        <v>45</v>
      </c>
    </row>
    <row r="2877" spans="1:3" x14ac:dyDescent="0.25">
      <c r="A2877" s="1" t="s">
        <v>15184</v>
      </c>
      <c r="B2877" s="1" t="s">
        <v>16379</v>
      </c>
      <c r="C2877" s="3">
        <f>IF(B2877="","",SUMIFS('Factory Costs'!$C:$C,'Factory Costs'!$A:$A,"Frame",'Factory Costs'!$B:$B,B2877))</f>
        <v>45</v>
      </c>
    </row>
    <row r="2878" spans="1:3" x14ac:dyDescent="0.25">
      <c r="A2878" s="1" t="s">
        <v>15187</v>
      </c>
      <c r="B2878" s="1" t="s">
        <v>16379</v>
      </c>
      <c r="C2878" s="3">
        <f>IF(B2878="","",SUMIFS('Factory Costs'!$C:$C,'Factory Costs'!$A:$A,"Frame",'Factory Costs'!$B:$B,B2878))</f>
        <v>45</v>
      </c>
    </row>
    <row r="2879" spans="1:3" x14ac:dyDescent="0.25">
      <c r="A2879" s="1" t="s">
        <v>15190</v>
      </c>
      <c r="B2879" s="1" t="s">
        <v>16377</v>
      </c>
      <c r="C2879" s="3">
        <f>IF(B2879="","",SUMIFS('Factory Costs'!$C:$C,'Factory Costs'!$A:$A,"Frame",'Factory Costs'!$B:$B,B2879))</f>
        <v>39</v>
      </c>
    </row>
    <row r="2880" spans="1:3" x14ac:dyDescent="0.25">
      <c r="A2880" s="1" t="s">
        <v>15193</v>
      </c>
      <c r="B2880" s="1" t="s">
        <v>16377</v>
      </c>
      <c r="C2880" s="3">
        <f>IF(B2880="","",SUMIFS('Factory Costs'!$C:$C,'Factory Costs'!$A:$A,"Frame",'Factory Costs'!$B:$B,B2880))</f>
        <v>39</v>
      </c>
    </row>
    <row r="2881" spans="1:3" x14ac:dyDescent="0.25">
      <c r="A2881" s="1" t="s">
        <v>15196</v>
      </c>
      <c r="B2881" s="1" t="s">
        <v>16378</v>
      </c>
      <c r="C2881" s="3">
        <f>IF(B2881="","",SUMIFS('Factory Costs'!$C:$C,'Factory Costs'!$A:$A,"Frame",'Factory Costs'!$B:$B,B2881))</f>
        <v>52</v>
      </c>
    </row>
    <row r="2882" spans="1:3" x14ac:dyDescent="0.25">
      <c r="A2882" s="1" t="s">
        <v>15199</v>
      </c>
      <c r="B2882" s="1" t="s">
        <v>16377</v>
      </c>
      <c r="C2882" s="3">
        <f>IF(B2882="","",SUMIFS('Factory Costs'!$C:$C,'Factory Costs'!$A:$A,"Frame",'Factory Costs'!$B:$B,B2882))</f>
        <v>39</v>
      </c>
    </row>
    <row r="2883" spans="1:3" x14ac:dyDescent="0.25">
      <c r="A2883" s="1" t="s">
        <v>15202</v>
      </c>
      <c r="B2883" s="1" t="s">
        <v>16379</v>
      </c>
      <c r="C2883" s="3">
        <f>IF(B2883="","",SUMIFS('Factory Costs'!$C:$C,'Factory Costs'!$A:$A,"Frame",'Factory Costs'!$B:$B,B2883))</f>
        <v>45</v>
      </c>
    </row>
    <row r="2884" spans="1:3" x14ac:dyDescent="0.25">
      <c r="A2884" s="1" t="s">
        <v>15205</v>
      </c>
      <c r="B2884" s="1" t="s">
        <v>16378</v>
      </c>
      <c r="C2884" s="3">
        <f>IF(B2884="","",SUMIFS('Factory Costs'!$C:$C,'Factory Costs'!$A:$A,"Frame",'Factory Costs'!$B:$B,B2884))</f>
        <v>52</v>
      </c>
    </row>
    <row r="2885" spans="1:3" x14ac:dyDescent="0.25">
      <c r="A2885" s="1" t="s">
        <v>15208</v>
      </c>
      <c r="B2885" s="1" t="s">
        <v>16377</v>
      </c>
      <c r="C2885" s="3">
        <f>IF(B2885="","",SUMIFS('Factory Costs'!$C:$C,'Factory Costs'!$A:$A,"Frame",'Factory Costs'!$B:$B,B2885))</f>
        <v>39</v>
      </c>
    </row>
    <row r="2886" spans="1:3" x14ac:dyDescent="0.25">
      <c r="A2886" s="1" t="s">
        <v>15211</v>
      </c>
      <c r="B2886" s="1" t="s">
        <v>16379</v>
      </c>
      <c r="C2886" s="3">
        <f>IF(B2886="","",SUMIFS('Factory Costs'!$C:$C,'Factory Costs'!$A:$A,"Frame",'Factory Costs'!$B:$B,B2886))</f>
        <v>45</v>
      </c>
    </row>
    <row r="2887" spans="1:3" x14ac:dyDescent="0.25">
      <c r="A2887" s="1" t="s">
        <v>15214</v>
      </c>
      <c r="B2887" s="1" t="s">
        <v>16379</v>
      </c>
      <c r="C2887" s="3">
        <f>IF(B2887="","",SUMIFS('Factory Costs'!$C:$C,'Factory Costs'!$A:$A,"Frame",'Factory Costs'!$B:$B,B2887))</f>
        <v>45</v>
      </c>
    </row>
    <row r="2888" spans="1:3" x14ac:dyDescent="0.25">
      <c r="A2888" s="1" t="s">
        <v>15217</v>
      </c>
      <c r="B2888" s="1" t="s">
        <v>16379</v>
      </c>
      <c r="C2888" s="3">
        <f>IF(B2888="","",SUMIFS('Factory Costs'!$C:$C,'Factory Costs'!$A:$A,"Frame",'Factory Costs'!$B:$B,B2888))</f>
        <v>45</v>
      </c>
    </row>
    <row r="2889" spans="1:3" x14ac:dyDescent="0.25">
      <c r="A2889" s="1" t="s">
        <v>15220</v>
      </c>
      <c r="B2889" s="1" t="s">
        <v>16377</v>
      </c>
      <c r="C2889" s="3">
        <f>IF(B2889="","",SUMIFS('Factory Costs'!$C:$C,'Factory Costs'!$A:$A,"Frame",'Factory Costs'!$B:$B,B2889))</f>
        <v>39</v>
      </c>
    </row>
    <row r="2890" spans="1:3" x14ac:dyDescent="0.25">
      <c r="A2890" s="1" t="s">
        <v>15223</v>
      </c>
      <c r="B2890" s="1" t="s">
        <v>16377</v>
      </c>
      <c r="C2890" s="3">
        <f>IF(B2890="","",SUMIFS('Factory Costs'!$C:$C,'Factory Costs'!$A:$A,"Frame",'Factory Costs'!$B:$B,B2890))</f>
        <v>39</v>
      </c>
    </row>
    <row r="2891" spans="1:3" x14ac:dyDescent="0.25">
      <c r="A2891" s="1" t="s">
        <v>15226</v>
      </c>
      <c r="B2891" s="1" t="s">
        <v>16379</v>
      </c>
      <c r="C2891" s="3">
        <f>IF(B2891="","",SUMIFS('Factory Costs'!$C:$C,'Factory Costs'!$A:$A,"Frame",'Factory Costs'!$B:$B,B2891))</f>
        <v>45</v>
      </c>
    </row>
    <row r="2892" spans="1:3" x14ac:dyDescent="0.25">
      <c r="A2892" s="1" t="s">
        <v>15229</v>
      </c>
      <c r="B2892" s="1" t="s">
        <v>16377</v>
      </c>
      <c r="C2892" s="3">
        <f>IF(B2892="","",SUMIFS('Factory Costs'!$C:$C,'Factory Costs'!$A:$A,"Frame",'Factory Costs'!$B:$B,B2892))</f>
        <v>39</v>
      </c>
    </row>
    <row r="2893" spans="1:3" x14ac:dyDescent="0.25">
      <c r="A2893" s="1" t="s">
        <v>15232</v>
      </c>
      <c r="B2893" s="1" t="s">
        <v>16379</v>
      </c>
      <c r="C2893" s="3">
        <f>IF(B2893="","",SUMIFS('Factory Costs'!$C:$C,'Factory Costs'!$A:$A,"Frame",'Factory Costs'!$B:$B,B2893))</f>
        <v>45</v>
      </c>
    </row>
    <row r="2894" spans="1:3" x14ac:dyDescent="0.25">
      <c r="A2894" s="1" t="s">
        <v>15235</v>
      </c>
      <c r="B2894" s="1" t="s">
        <v>16379</v>
      </c>
      <c r="C2894" s="3">
        <f>IF(B2894="","",SUMIFS('Factory Costs'!$C:$C,'Factory Costs'!$A:$A,"Frame",'Factory Costs'!$B:$B,B2894))</f>
        <v>45</v>
      </c>
    </row>
    <row r="2895" spans="1:3" x14ac:dyDescent="0.25">
      <c r="A2895" s="1" t="s">
        <v>15238</v>
      </c>
      <c r="B2895" s="1" t="s">
        <v>16379</v>
      </c>
      <c r="C2895" s="3">
        <f>IF(B2895="","",SUMIFS('Factory Costs'!$C:$C,'Factory Costs'!$A:$A,"Frame",'Factory Costs'!$B:$B,B2895))</f>
        <v>45</v>
      </c>
    </row>
    <row r="2896" spans="1:3" x14ac:dyDescent="0.25">
      <c r="A2896" s="1" t="s">
        <v>15241</v>
      </c>
      <c r="B2896" s="1" t="s">
        <v>16378</v>
      </c>
      <c r="C2896" s="3">
        <f>IF(B2896="","",SUMIFS('Factory Costs'!$C:$C,'Factory Costs'!$A:$A,"Frame",'Factory Costs'!$B:$B,B2896))</f>
        <v>52</v>
      </c>
    </row>
    <row r="2897" spans="1:3" x14ac:dyDescent="0.25">
      <c r="A2897" s="1" t="s">
        <v>15244</v>
      </c>
      <c r="B2897" s="1" t="s">
        <v>16378</v>
      </c>
      <c r="C2897" s="3">
        <f>IF(B2897="","",SUMIFS('Factory Costs'!$C:$C,'Factory Costs'!$A:$A,"Frame",'Factory Costs'!$B:$B,B2897))</f>
        <v>52</v>
      </c>
    </row>
    <row r="2898" spans="1:3" x14ac:dyDescent="0.25">
      <c r="A2898" s="1" t="s">
        <v>15247</v>
      </c>
      <c r="B2898" s="1" t="s">
        <v>16377</v>
      </c>
      <c r="C2898" s="3">
        <f>IF(B2898="","",SUMIFS('Factory Costs'!$C:$C,'Factory Costs'!$A:$A,"Frame",'Factory Costs'!$B:$B,B2898))</f>
        <v>39</v>
      </c>
    </row>
    <row r="2899" spans="1:3" x14ac:dyDescent="0.25">
      <c r="A2899" s="1" t="s">
        <v>15250</v>
      </c>
      <c r="B2899" s="1" t="s">
        <v>16378</v>
      </c>
      <c r="C2899" s="3">
        <f>IF(B2899="","",SUMIFS('Factory Costs'!$C:$C,'Factory Costs'!$A:$A,"Frame",'Factory Costs'!$B:$B,B2899))</f>
        <v>52</v>
      </c>
    </row>
    <row r="2900" spans="1:3" x14ac:dyDescent="0.25">
      <c r="A2900" s="1" t="s">
        <v>15253</v>
      </c>
      <c r="B2900" s="1" t="s">
        <v>16377</v>
      </c>
      <c r="C2900" s="3">
        <f>IF(B2900="","",SUMIFS('Factory Costs'!$C:$C,'Factory Costs'!$A:$A,"Frame",'Factory Costs'!$B:$B,B2900))</f>
        <v>39</v>
      </c>
    </row>
    <row r="2901" spans="1:3" x14ac:dyDescent="0.25">
      <c r="A2901" s="1" t="s">
        <v>15256</v>
      </c>
      <c r="B2901" s="1" t="s">
        <v>16379</v>
      </c>
      <c r="C2901" s="3">
        <f>IF(B2901="","",SUMIFS('Factory Costs'!$C:$C,'Factory Costs'!$A:$A,"Frame",'Factory Costs'!$B:$B,B2901))</f>
        <v>45</v>
      </c>
    </row>
    <row r="2902" spans="1:3" x14ac:dyDescent="0.25">
      <c r="A2902" s="1" t="s">
        <v>15259</v>
      </c>
      <c r="B2902" s="1" t="s">
        <v>16377</v>
      </c>
      <c r="C2902" s="3">
        <f>IF(B2902="","",SUMIFS('Factory Costs'!$C:$C,'Factory Costs'!$A:$A,"Frame",'Factory Costs'!$B:$B,B2902))</f>
        <v>39</v>
      </c>
    </row>
    <row r="2903" spans="1:3" x14ac:dyDescent="0.25">
      <c r="A2903" s="1" t="s">
        <v>15262</v>
      </c>
      <c r="B2903" s="1" t="s">
        <v>16378</v>
      </c>
      <c r="C2903" s="3">
        <f>IF(B2903="","",SUMIFS('Factory Costs'!$C:$C,'Factory Costs'!$A:$A,"Frame",'Factory Costs'!$B:$B,B2903))</f>
        <v>52</v>
      </c>
    </row>
    <row r="2904" spans="1:3" x14ac:dyDescent="0.25">
      <c r="A2904" s="1" t="s">
        <v>15265</v>
      </c>
      <c r="B2904" s="1" t="s">
        <v>16379</v>
      </c>
      <c r="C2904" s="3">
        <f>IF(B2904="","",SUMIFS('Factory Costs'!$C:$C,'Factory Costs'!$A:$A,"Frame",'Factory Costs'!$B:$B,B2904))</f>
        <v>45</v>
      </c>
    </row>
    <row r="2905" spans="1:3" x14ac:dyDescent="0.25">
      <c r="A2905" s="1" t="s">
        <v>15268</v>
      </c>
      <c r="B2905" s="1" t="s">
        <v>16377</v>
      </c>
      <c r="C2905" s="3">
        <f>IF(B2905="","",SUMIFS('Factory Costs'!$C:$C,'Factory Costs'!$A:$A,"Frame",'Factory Costs'!$B:$B,B2905))</f>
        <v>39</v>
      </c>
    </row>
    <row r="2906" spans="1:3" x14ac:dyDescent="0.25">
      <c r="A2906" s="1" t="s">
        <v>15271</v>
      </c>
      <c r="B2906" s="1" t="s">
        <v>16377</v>
      </c>
      <c r="C2906" s="3">
        <f>IF(B2906="","",SUMIFS('Factory Costs'!$C:$C,'Factory Costs'!$A:$A,"Frame",'Factory Costs'!$B:$B,B2906))</f>
        <v>39</v>
      </c>
    </row>
    <row r="2907" spans="1:3" x14ac:dyDescent="0.25">
      <c r="A2907" s="1" t="s">
        <v>15274</v>
      </c>
      <c r="B2907" s="1" t="s">
        <v>16378</v>
      </c>
      <c r="C2907" s="3">
        <f>IF(B2907="","",SUMIFS('Factory Costs'!$C:$C,'Factory Costs'!$A:$A,"Frame",'Factory Costs'!$B:$B,B2907))</f>
        <v>52</v>
      </c>
    </row>
    <row r="2908" spans="1:3" x14ac:dyDescent="0.25">
      <c r="A2908" s="1" t="s">
        <v>15277</v>
      </c>
      <c r="B2908" s="1" t="s">
        <v>16377</v>
      </c>
      <c r="C2908" s="3">
        <f>IF(B2908="","",SUMIFS('Factory Costs'!$C:$C,'Factory Costs'!$A:$A,"Frame",'Factory Costs'!$B:$B,B2908))</f>
        <v>39</v>
      </c>
    </row>
    <row r="2909" spans="1:3" x14ac:dyDescent="0.25">
      <c r="A2909" s="1" t="s">
        <v>15280</v>
      </c>
      <c r="B2909" s="1" t="s">
        <v>16378</v>
      </c>
      <c r="C2909" s="3">
        <f>IF(B2909="","",SUMIFS('Factory Costs'!$C:$C,'Factory Costs'!$A:$A,"Frame",'Factory Costs'!$B:$B,B2909))</f>
        <v>52</v>
      </c>
    </row>
    <row r="2910" spans="1:3" x14ac:dyDescent="0.25">
      <c r="A2910" s="1" t="s">
        <v>15283</v>
      </c>
      <c r="B2910" s="1" t="s">
        <v>16377</v>
      </c>
      <c r="C2910" s="3">
        <f>IF(B2910="","",SUMIFS('Factory Costs'!$C:$C,'Factory Costs'!$A:$A,"Frame",'Factory Costs'!$B:$B,B2910))</f>
        <v>39</v>
      </c>
    </row>
    <row r="2911" spans="1:3" x14ac:dyDescent="0.25">
      <c r="A2911" s="1" t="s">
        <v>15286</v>
      </c>
      <c r="B2911" s="1" t="s">
        <v>16378</v>
      </c>
      <c r="C2911" s="3">
        <f>IF(B2911="","",SUMIFS('Factory Costs'!$C:$C,'Factory Costs'!$A:$A,"Frame",'Factory Costs'!$B:$B,B2911))</f>
        <v>52</v>
      </c>
    </row>
    <row r="2912" spans="1:3" x14ac:dyDescent="0.25">
      <c r="A2912" s="1" t="s">
        <v>15289</v>
      </c>
      <c r="B2912" s="1" t="s">
        <v>16378</v>
      </c>
      <c r="C2912" s="3">
        <f>IF(B2912="","",SUMIFS('Factory Costs'!$C:$C,'Factory Costs'!$A:$A,"Frame",'Factory Costs'!$B:$B,B2912))</f>
        <v>52</v>
      </c>
    </row>
    <row r="2913" spans="1:3" x14ac:dyDescent="0.25">
      <c r="A2913" s="1" t="s">
        <v>15292</v>
      </c>
      <c r="B2913" s="1" t="s">
        <v>16379</v>
      </c>
      <c r="C2913" s="3">
        <f>IF(B2913="","",SUMIFS('Factory Costs'!$C:$C,'Factory Costs'!$A:$A,"Frame",'Factory Costs'!$B:$B,B2913))</f>
        <v>45</v>
      </c>
    </row>
    <row r="2914" spans="1:3" x14ac:dyDescent="0.25">
      <c r="A2914" s="1" t="s">
        <v>15295</v>
      </c>
      <c r="B2914" s="1" t="s">
        <v>16377</v>
      </c>
      <c r="C2914" s="3">
        <f>IF(B2914="","",SUMIFS('Factory Costs'!$C:$C,'Factory Costs'!$A:$A,"Frame",'Factory Costs'!$B:$B,B2914))</f>
        <v>39</v>
      </c>
    </row>
    <row r="2915" spans="1:3" x14ac:dyDescent="0.25">
      <c r="A2915" s="1" t="s">
        <v>15298</v>
      </c>
      <c r="B2915" s="1" t="s">
        <v>16379</v>
      </c>
      <c r="C2915" s="3">
        <f>IF(B2915="","",SUMIFS('Factory Costs'!$C:$C,'Factory Costs'!$A:$A,"Frame",'Factory Costs'!$B:$B,B2915))</f>
        <v>45</v>
      </c>
    </row>
    <row r="2916" spans="1:3" x14ac:dyDescent="0.25">
      <c r="A2916" s="1" t="s">
        <v>15301</v>
      </c>
      <c r="B2916" s="1" t="s">
        <v>16377</v>
      </c>
      <c r="C2916" s="3">
        <f>IF(B2916="","",SUMIFS('Factory Costs'!$C:$C,'Factory Costs'!$A:$A,"Frame",'Factory Costs'!$B:$B,B2916))</f>
        <v>39</v>
      </c>
    </row>
    <row r="2917" spans="1:3" x14ac:dyDescent="0.25">
      <c r="A2917" s="1" t="s">
        <v>15304</v>
      </c>
      <c r="B2917" s="1" t="s">
        <v>16377</v>
      </c>
      <c r="C2917" s="3">
        <f>IF(B2917="","",SUMIFS('Factory Costs'!$C:$C,'Factory Costs'!$A:$A,"Frame",'Factory Costs'!$B:$B,B2917))</f>
        <v>39</v>
      </c>
    </row>
    <row r="2918" spans="1:3" x14ac:dyDescent="0.25">
      <c r="A2918" s="1" t="s">
        <v>15307</v>
      </c>
      <c r="B2918" s="1" t="s">
        <v>16378</v>
      </c>
      <c r="C2918" s="3">
        <f>IF(B2918="","",SUMIFS('Factory Costs'!$C:$C,'Factory Costs'!$A:$A,"Frame",'Factory Costs'!$B:$B,B2918))</f>
        <v>52</v>
      </c>
    </row>
    <row r="2919" spans="1:3" x14ac:dyDescent="0.25">
      <c r="A2919" s="1" t="s">
        <v>15310</v>
      </c>
      <c r="B2919" s="1" t="s">
        <v>16377</v>
      </c>
      <c r="C2919" s="3">
        <f>IF(B2919="","",SUMIFS('Factory Costs'!$C:$C,'Factory Costs'!$A:$A,"Frame",'Factory Costs'!$B:$B,B2919))</f>
        <v>39</v>
      </c>
    </row>
    <row r="2920" spans="1:3" x14ac:dyDescent="0.25">
      <c r="A2920" s="1" t="s">
        <v>15313</v>
      </c>
      <c r="B2920" s="1" t="s">
        <v>16377</v>
      </c>
      <c r="C2920" s="3">
        <f>IF(B2920="","",SUMIFS('Factory Costs'!$C:$C,'Factory Costs'!$A:$A,"Frame",'Factory Costs'!$B:$B,B2920))</f>
        <v>39</v>
      </c>
    </row>
    <row r="2921" spans="1:3" x14ac:dyDescent="0.25">
      <c r="A2921" s="1" t="s">
        <v>15316</v>
      </c>
      <c r="B2921" s="1" t="s">
        <v>16377</v>
      </c>
      <c r="C2921" s="3">
        <f>IF(B2921="","",SUMIFS('Factory Costs'!$C:$C,'Factory Costs'!$A:$A,"Frame",'Factory Costs'!$B:$B,B2921))</f>
        <v>39</v>
      </c>
    </row>
    <row r="2922" spans="1:3" x14ac:dyDescent="0.25">
      <c r="A2922" s="1" t="s">
        <v>15319</v>
      </c>
      <c r="B2922" s="1" t="s">
        <v>16379</v>
      </c>
      <c r="C2922" s="3">
        <f>IF(B2922="","",SUMIFS('Factory Costs'!$C:$C,'Factory Costs'!$A:$A,"Frame",'Factory Costs'!$B:$B,B2922))</f>
        <v>45</v>
      </c>
    </row>
    <row r="2923" spans="1:3" x14ac:dyDescent="0.25">
      <c r="A2923" s="1" t="s">
        <v>15322</v>
      </c>
      <c r="B2923" s="1" t="s">
        <v>16378</v>
      </c>
      <c r="C2923" s="3">
        <f>IF(B2923="","",SUMIFS('Factory Costs'!$C:$C,'Factory Costs'!$A:$A,"Frame",'Factory Costs'!$B:$B,B2923))</f>
        <v>52</v>
      </c>
    </row>
    <row r="2924" spans="1:3" x14ac:dyDescent="0.25">
      <c r="A2924" s="1" t="s">
        <v>15325</v>
      </c>
      <c r="B2924" s="1" t="s">
        <v>16378</v>
      </c>
      <c r="C2924" s="3">
        <f>IF(B2924="","",SUMIFS('Factory Costs'!$C:$C,'Factory Costs'!$A:$A,"Frame",'Factory Costs'!$B:$B,B2924))</f>
        <v>52</v>
      </c>
    </row>
    <row r="2925" spans="1:3" x14ac:dyDescent="0.25">
      <c r="A2925" s="1" t="s">
        <v>15328</v>
      </c>
      <c r="B2925" s="1" t="s">
        <v>16377</v>
      </c>
      <c r="C2925" s="3">
        <f>IF(B2925="","",SUMIFS('Factory Costs'!$C:$C,'Factory Costs'!$A:$A,"Frame",'Factory Costs'!$B:$B,B2925))</f>
        <v>39</v>
      </c>
    </row>
    <row r="2926" spans="1:3" x14ac:dyDescent="0.25">
      <c r="A2926" s="1" t="s">
        <v>15331</v>
      </c>
      <c r="B2926" s="1" t="s">
        <v>16377</v>
      </c>
      <c r="C2926" s="3">
        <f>IF(B2926="","",SUMIFS('Factory Costs'!$C:$C,'Factory Costs'!$A:$A,"Frame",'Factory Costs'!$B:$B,B2926))</f>
        <v>39</v>
      </c>
    </row>
    <row r="2927" spans="1:3" x14ac:dyDescent="0.25">
      <c r="A2927" s="1" t="s">
        <v>15334</v>
      </c>
      <c r="B2927" s="1" t="s">
        <v>16379</v>
      </c>
      <c r="C2927" s="3">
        <f>IF(B2927="","",SUMIFS('Factory Costs'!$C:$C,'Factory Costs'!$A:$A,"Frame",'Factory Costs'!$B:$B,B2927))</f>
        <v>45</v>
      </c>
    </row>
    <row r="2928" spans="1:3" x14ac:dyDescent="0.25">
      <c r="A2928" s="1" t="s">
        <v>15337</v>
      </c>
      <c r="B2928" s="1" t="s">
        <v>16379</v>
      </c>
      <c r="C2928" s="3">
        <f>IF(B2928="","",SUMIFS('Factory Costs'!$C:$C,'Factory Costs'!$A:$A,"Frame",'Factory Costs'!$B:$B,B2928))</f>
        <v>45</v>
      </c>
    </row>
    <row r="2929" spans="1:3" x14ac:dyDescent="0.25">
      <c r="A2929" s="1" t="s">
        <v>15340</v>
      </c>
      <c r="B2929" s="1" t="s">
        <v>16379</v>
      </c>
      <c r="C2929" s="3">
        <f>IF(B2929="","",SUMIFS('Factory Costs'!$C:$C,'Factory Costs'!$A:$A,"Frame",'Factory Costs'!$B:$B,B2929))</f>
        <v>45</v>
      </c>
    </row>
    <row r="2930" spans="1:3" x14ac:dyDescent="0.25">
      <c r="A2930" s="1" t="s">
        <v>15343</v>
      </c>
      <c r="B2930" s="1" t="s">
        <v>16379</v>
      </c>
      <c r="C2930" s="3">
        <f>IF(B2930="","",SUMIFS('Factory Costs'!$C:$C,'Factory Costs'!$A:$A,"Frame",'Factory Costs'!$B:$B,B2930))</f>
        <v>45</v>
      </c>
    </row>
    <row r="2931" spans="1:3" x14ac:dyDescent="0.25">
      <c r="A2931" s="1" t="s">
        <v>15346</v>
      </c>
      <c r="B2931" s="1" t="s">
        <v>16377</v>
      </c>
      <c r="C2931" s="3">
        <f>IF(B2931="","",SUMIFS('Factory Costs'!$C:$C,'Factory Costs'!$A:$A,"Frame",'Factory Costs'!$B:$B,B2931))</f>
        <v>39</v>
      </c>
    </row>
    <row r="2932" spans="1:3" x14ac:dyDescent="0.25">
      <c r="A2932" s="1" t="s">
        <v>15349</v>
      </c>
      <c r="B2932" s="1" t="s">
        <v>16378</v>
      </c>
      <c r="C2932" s="3">
        <f>IF(B2932="","",SUMIFS('Factory Costs'!$C:$C,'Factory Costs'!$A:$A,"Frame",'Factory Costs'!$B:$B,B2932))</f>
        <v>52</v>
      </c>
    </row>
    <row r="2933" spans="1:3" x14ac:dyDescent="0.25">
      <c r="A2933" s="1" t="s">
        <v>15352</v>
      </c>
      <c r="B2933" s="1" t="s">
        <v>16377</v>
      </c>
      <c r="C2933" s="3">
        <f>IF(B2933="","",SUMIFS('Factory Costs'!$C:$C,'Factory Costs'!$A:$A,"Frame",'Factory Costs'!$B:$B,B2933))</f>
        <v>39</v>
      </c>
    </row>
    <row r="2934" spans="1:3" x14ac:dyDescent="0.25">
      <c r="A2934" s="1" t="s">
        <v>15355</v>
      </c>
      <c r="B2934" s="1" t="s">
        <v>16379</v>
      </c>
      <c r="C2934" s="3">
        <f>IF(B2934="","",SUMIFS('Factory Costs'!$C:$C,'Factory Costs'!$A:$A,"Frame",'Factory Costs'!$B:$B,B2934))</f>
        <v>45</v>
      </c>
    </row>
    <row r="2935" spans="1:3" x14ac:dyDescent="0.25">
      <c r="A2935" s="1" t="s">
        <v>15358</v>
      </c>
      <c r="B2935" s="1" t="s">
        <v>16379</v>
      </c>
      <c r="C2935" s="3">
        <f>IF(B2935="","",SUMIFS('Factory Costs'!$C:$C,'Factory Costs'!$A:$A,"Frame",'Factory Costs'!$B:$B,B2935))</f>
        <v>45</v>
      </c>
    </row>
    <row r="2936" spans="1:3" x14ac:dyDescent="0.25">
      <c r="A2936" s="1" t="s">
        <v>15361</v>
      </c>
      <c r="B2936" s="1" t="s">
        <v>16378</v>
      </c>
      <c r="C2936" s="3">
        <f>IF(B2936="","",SUMIFS('Factory Costs'!$C:$C,'Factory Costs'!$A:$A,"Frame",'Factory Costs'!$B:$B,B2936))</f>
        <v>52</v>
      </c>
    </row>
    <row r="2937" spans="1:3" x14ac:dyDescent="0.25">
      <c r="A2937" s="1" t="s">
        <v>15364</v>
      </c>
      <c r="B2937" s="1" t="s">
        <v>16379</v>
      </c>
      <c r="C2937" s="3">
        <f>IF(B2937="","",SUMIFS('Factory Costs'!$C:$C,'Factory Costs'!$A:$A,"Frame",'Factory Costs'!$B:$B,B2937))</f>
        <v>45</v>
      </c>
    </row>
    <row r="2938" spans="1:3" x14ac:dyDescent="0.25">
      <c r="A2938" s="1" t="s">
        <v>15367</v>
      </c>
      <c r="B2938" s="1" t="s">
        <v>16379</v>
      </c>
      <c r="C2938" s="3">
        <f>IF(B2938="","",SUMIFS('Factory Costs'!$C:$C,'Factory Costs'!$A:$A,"Frame",'Factory Costs'!$B:$B,B2938))</f>
        <v>45</v>
      </c>
    </row>
    <row r="2939" spans="1:3" x14ac:dyDescent="0.25">
      <c r="A2939" s="1" t="s">
        <v>15370</v>
      </c>
      <c r="B2939" s="1" t="s">
        <v>16377</v>
      </c>
      <c r="C2939" s="3">
        <f>IF(B2939="","",SUMIFS('Factory Costs'!$C:$C,'Factory Costs'!$A:$A,"Frame",'Factory Costs'!$B:$B,B2939))</f>
        <v>39</v>
      </c>
    </row>
    <row r="2940" spans="1:3" x14ac:dyDescent="0.25">
      <c r="A2940" s="1" t="s">
        <v>15373</v>
      </c>
      <c r="B2940" s="1" t="s">
        <v>16377</v>
      </c>
      <c r="C2940" s="3">
        <f>IF(B2940="","",SUMIFS('Factory Costs'!$C:$C,'Factory Costs'!$A:$A,"Frame",'Factory Costs'!$B:$B,B2940))</f>
        <v>39</v>
      </c>
    </row>
    <row r="2941" spans="1:3" x14ac:dyDescent="0.25">
      <c r="A2941" s="1" t="s">
        <v>15376</v>
      </c>
      <c r="B2941" s="1" t="s">
        <v>16379</v>
      </c>
      <c r="C2941" s="3">
        <f>IF(B2941="","",SUMIFS('Factory Costs'!$C:$C,'Factory Costs'!$A:$A,"Frame",'Factory Costs'!$B:$B,B2941))</f>
        <v>45</v>
      </c>
    </row>
    <row r="2942" spans="1:3" x14ac:dyDescent="0.25">
      <c r="A2942" s="1" t="s">
        <v>15379</v>
      </c>
      <c r="B2942" s="1" t="s">
        <v>16377</v>
      </c>
      <c r="C2942" s="3">
        <f>IF(B2942="","",SUMIFS('Factory Costs'!$C:$C,'Factory Costs'!$A:$A,"Frame",'Factory Costs'!$B:$B,B2942))</f>
        <v>39</v>
      </c>
    </row>
    <row r="2943" spans="1:3" x14ac:dyDescent="0.25">
      <c r="A2943" s="1" t="s">
        <v>15382</v>
      </c>
      <c r="B2943" s="1" t="s">
        <v>16377</v>
      </c>
      <c r="C2943" s="3">
        <f>IF(B2943="","",SUMIFS('Factory Costs'!$C:$C,'Factory Costs'!$A:$A,"Frame",'Factory Costs'!$B:$B,B2943))</f>
        <v>39</v>
      </c>
    </row>
    <row r="2944" spans="1:3" x14ac:dyDescent="0.25">
      <c r="A2944" s="1" t="s">
        <v>15385</v>
      </c>
      <c r="B2944" s="1" t="s">
        <v>16377</v>
      </c>
      <c r="C2944" s="3">
        <f>IF(B2944="","",SUMIFS('Factory Costs'!$C:$C,'Factory Costs'!$A:$A,"Frame",'Factory Costs'!$B:$B,B2944))</f>
        <v>39</v>
      </c>
    </row>
    <row r="2945" spans="1:3" x14ac:dyDescent="0.25">
      <c r="A2945" s="1" t="s">
        <v>15388</v>
      </c>
      <c r="B2945" s="1" t="s">
        <v>16379</v>
      </c>
      <c r="C2945" s="3">
        <f>IF(B2945="","",SUMIFS('Factory Costs'!$C:$C,'Factory Costs'!$A:$A,"Frame",'Factory Costs'!$B:$B,B2945))</f>
        <v>45</v>
      </c>
    </row>
    <row r="2946" spans="1:3" x14ac:dyDescent="0.25">
      <c r="A2946" s="1" t="s">
        <v>15391</v>
      </c>
      <c r="B2946" s="1" t="s">
        <v>16377</v>
      </c>
      <c r="C2946" s="3">
        <f>IF(B2946="","",SUMIFS('Factory Costs'!$C:$C,'Factory Costs'!$A:$A,"Frame",'Factory Costs'!$B:$B,B2946))</f>
        <v>39</v>
      </c>
    </row>
    <row r="2947" spans="1:3" x14ac:dyDescent="0.25">
      <c r="A2947" s="1" t="s">
        <v>15394</v>
      </c>
      <c r="B2947" s="1" t="s">
        <v>16379</v>
      </c>
      <c r="C2947" s="3">
        <f>IF(B2947="","",SUMIFS('Factory Costs'!$C:$C,'Factory Costs'!$A:$A,"Frame",'Factory Costs'!$B:$B,B2947))</f>
        <v>45</v>
      </c>
    </row>
    <row r="2948" spans="1:3" x14ac:dyDescent="0.25">
      <c r="A2948" s="1" t="s">
        <v>15397</v>
      </c>
      <c r="B2948" s="1" t="s">
        <v>16379</v>
      </c>
      <c r="C2948" s="3">
        <f>IF(B2948="","",SUMIFS('Factory Costs'!$C:$C,'Factory Costs'!$A:$A,"Frame",'Factory Costs'!$B:$B,B2948))</f>
        <v>45</v>
      </c>
    </row>
    <row r="2949" spans="1:3" x14ac:dyDescent="0.25">
      <c r="A2949" s="1" t="s">
        <v>15400</v>
      </c>
      <c r="B2949" s="1" t="s">
        <v>16378</v>
      </c>
      <c r="C2949" s="3">
        <f>IF(B2949="","",SUMIFS('Factory Costs'!$C:$C,'Factory Costs'!$A:$A,"Frame",'Factory Costs'!$B:$B,B2949))</f>
        <v>52</v>
      </c>
    </row>
    <row r="2950" spans="1:3" x14ac:dyDescent="0.25">
      <c r="A2950" s="1" t="s">
        <v>15403</v>
      </c>
      <c r="B2950" s="1" t="s">
        <v>16379</v>
      </c>
      <c r="C2950" s="3">
        <f>IF(B2950="","",SUMIFS('Factory Costs'!$C:$C,'Factory Costs'!$A:$A,"Frame",'Factory Costs'!$B:$B,B2950))</f>
        <v>45</v>
      </c>
    </row>
    <row r="2951" spans="1:3" x14ac:dyDescent="0.25">
      <c r="A2951" s="1" t="s">
        <v>15406</v>
      </c>
      <c r="B2951" s="1" t="s">
        <v>16379</v>
      </c>
      <c r="C2951" s="3">
        <f>IF(B2951="","",SUMIFS('Factory Costs'!$C:$C,'Factory Costs'!$A:$A,"Frame",'Factory Costs'!$B:$B,B2951))</f>
        <v>45</v>
      </c>
    </row>
    <row r="2952" spans="1:3" x14ac:dyDescent="0.25">
      <c r="A2952" s="1" t="s">
        <v>15409</v>
      </c>
      <c r="B2952" s="1" t="s">
        <v>16378</v>
      </c>
      <c r="C2952" s="3">
        <f>IF(B2952="","",SUMIFS('Factory Costs'!$C:$C,'Factory Costs'!$A:$A,"Frame",'Factory Costs'!$B:$B,B2952))</f>
        <v>52</v>
      </c>
    </row>
    <row r="2953" spans="1:3" x14ac:dyDescent="0.25">
      <c r="A2953" s="1" t="s">
        <v>15412</v>
      </c>
      <c r="B2953" s="1" t="s">
        <v>16378</v>
      </c>
      <c r="C2953" s="3">
        <f>IF(B2953="","",SUMIFS('Factory Costs'!$C:$C,'Factory Costs'!$A:$A,"Frame",'Factory Costs'!$B:$B,B2953))</f>
        <v>52</v>
      </c>
    </row>
    <row r="2954" spans="1:3" x14ac:dyDescent="0.25">
      <c r="A2954" s="1" t="s">
        <v>15415</v>
      </c>
      <c r="B2954" s="1" t="s">
        <v>16377</v>
      </c>
      <c r="C2954" s="3">
        <f>IF(B2954="","",SUMIFS('Factory Costs'!$C:$C,'Factory Costs'!$A:$A,"Frame",'Factory Costs'!$B:$B,B2954))</f>
        <v>39</v>
      </c>
    </row>
    <row r="2955" spans="1:3" x14ac:dyDescent="0.25">
      <c r="A2955" s="1" t="s">
        <v>15418</v>
      </c>
      <c r="B2955" s="1" t="s">
        <v>16379</v>
      </c>
      <c r="C2955" s="3">
        <f>IF(B2955="","",SUMIFS('Factory Costs'!$C:$C,'Factory Costs'!$A:$A,"Frame",'Factory Costs'!$B:$B,B2955))</f>
        <v>45</v>
      </c>
    </row>
    <row r="2956" spans="1:3" x14ac:dyDescent="0.25">
      <c r="A2956" s="1" t="s">
        <v>15421</v>
      </c>
      <c r="B2956" s="1" t="s">
        <v>16379</v>
      </c>
      <c r="C2956" s="3">
        <f>IF(B2956="","",SUMIFS('Factory Costs'!$C:$C,'Factory Costs'!$A:$A,"Frame",'Factory Costs'!$B:$B,B2956))</f>
        <v>45</v>
      </c>
    </row>
    <row r="2957" spans="1:3" x14ac:dyDescent="0.25">
      <c r="A2957" s="1" t="s">
        <v>15424</v>
      </c>
      <c r="B2957" s="1" t="s">
        <v>16378</v>
      </c>
      <c r="C2957" s="3">
        <f>IF(B2957="","",SUMIFS('Factory Costs'!$C:$C,'Factory Costs'!$A:$A,"Frame",'Factory Costs'!$B:$B,B2957))</f>
        <v>52</v>
      </c>
    </row>
    <row r="2958" spans="1:3" x14ac:dyDescent="0.25">
      <c r="A2958" s="1" t="s">
        <v>15427</v>
      </c>
      <c r="B2958" s="1" t="s">
        <v>16377</v>
      </c>
      <c r="C2958" s="3">
        <f>IF(B2958="","",SUMIFS('Factory Costs'!$C:$C,'Factory Costs'!$A:$A,"Frame",'Factory Costs'!$B:$B,B2958))</f>
        <v>39</v>
      </c>
    </row>
    <row r="2959" spans="1:3" x14ac:dyDescent="0.25">
      <c r="A2959" s="1" t="s">
        <v>15430</v>
      </c>
      <c r="B2959" s="1" t="s">
        <v>16379</v>
      </c>
      <c r="C2959" s="3">
        <f>IF(B2959="","",SUMIFS('Factory Costs'!$C:$C,'Factory Costs'!$A:$A,"Frame",'Factory Costs'!$B:$B,B2959))</f>
        <v>45</v>
      </c>
    </row>
    <row r="2960" spans="1:3" x14ac:dyDescent="0.25">
      <c r="A2960" s="1" t="s">
        <v>15433</v>
      </c>
      <c r="B2960" s="1" t="s">
        <v>16378</v>
      </c>
      <c r="C2960" s="3">
        <f>IF(B2960="","",SUMIFS('Factory Costs'!$C:$C,'Factory Costs'!$A:$A,"Frame",'Factory Costs'!$B:$B,B2960))</f>
        <v>52</v>
      </c>
    </row>
    <row r="2961" spans="1:3" x14ac:dyDescent="0.25">
      <c r="A2961" s="1" t="s">
        <v>15436</v>
      </c>
      <c r="B2961" s="1" t="s">
        <v>16378</v>
      </c>
      <c r="C2961" s="3">
        <f>IF(B2961="","",SUMIFS('Factory Costs'!$C:$C,'Factory Costs'!$A:$A,"Frame",'Factory Costs'!$B:$B,B2961))</f>
        <v>52</v>
      </c>
    </row>
    <row r="2962" spans="1:3" x14ac:dyDescent="0.25">
      <c r="A2962" s="1" t="s">
        <v>15439</v>
      </c>
      <c r="B2962" s="1" t="s">
        <v>16379</v>
      </c>
      <c r="C2962" s="3">
        <f>IF(B2962="","",SUMIFS('Factory Costs'!$C:$C,'Factory Costs'!$A:$A,"Frame",'Factory Costs'!$B:$B,B2962))</f>
        <v>45</v>
      </c>
    </row>
    <row r="2963" spans="1:3" x14ac:dyDescent="0.25">
      <c r="A2963" s="1" t="s">
        <v>15442</v>
      </c>
      <c r="B2963" s="1" t="s">
        <v>16377</v>
      </c>
      <c r="C2963" s="3">
        <f>IF(B2963="","",SUMIFS('Factory Costs'!$C:$C,'Factory Costs'!$A:$A,"Frame",'Factory Costs'!$B:$B,B2963))</f>
        <v>39</v>
      </c>
    </row>
    <row r="2964" spans="1:3" x14ac:dyDescent="0.25">
      <c r="A2964" s="1" t="s">
        <v>15445</v>
      </c>
      <c r="B2964" s="1" t="s">
        <v>16377</v>
      </c>
      <c r="C2964" s="3">
        <f>IF(B2964="","",SUMIFS('Factory Costs'!$C:$C,'Factory Costs'!$A:$A,"Frame",'Factory Costs'!$B:$B,B2964))</f>
        <v>39</v>
      </c>
    </row>
    <row r="2965" spans="1:3" x14ac:dyDescent="0.25">
      <c r="A2965" s="1" t="s">
        <v>15448</v>
      </c>
      <c r="B2965" s="1" t="s">
        <v>16377</v>
      </c>
      <c r="C2965" s="3">
        <f>IF(B2965="","",SUMIFS('Factory Costs'!$C:$C,'Factory Costs'!$A:$A,"Frame",'Factory Costs'!$B:$B,B2965))</f>
        <v>39</v>
      </c>
    </row>
    <row r="2966" spans="1:3" x14ac:dyDescent="0.25">
      <c r="A2966" s="1" t="s">
        <v>15451</v>
      </c>
      <c r="B2966" s="1" t="s">
        <v>16378</v>
      </c>
      <c r="C2966" s="3">
        <f>IF(B2966="","",SUMIFS('Factory Costs'!$C:$C,'Factory Costs'!$A:$A,"Frame",'Factory Costs'!$B:$B,B2966))</f>
        <v>52</v>
      </c>
    </row>
    <row r="2967" spans="1:3" x14ac:dyDescent="0.25">
      <c r="A2967" s="1" t="s">
        <v>15454</v>
      </c>
      <c r="B2967" s="1" t="s">
        <v>16379</v>
      </c>
      <c r="C2967" s="3">
        <f>IF(B2967="","",SUMIFS('Factory Costs'!$C:$C,'Factory Costs'!$A:$A,"Frame",'Factory Costs'!$B:$B,B2967))</f>
        <v>45</v>
      </c>
    </row>
    <row r="2968" spans="1:3" x14ac:dyDescent="0.25">
      <c r="A2968" s="1" t="s">
        <v>15457</v>
      </c>
      <c r="B2968" s="1" t="s">
        <v>16377</v>
      </c>
      <c r="C2968" s="3">
        <f>IF(B2968="","",SUMIFS('Factory Costs'!$C:$C,'Factory Costs'!$A:$A,"Frame",'Factory Costs'!$B:$B,B2968))</f>
        <v>39</v>
      </c>
    </row>
    <row r="2969" spans="1:3" x14ac:dyDescent="0.25">
      <c r="A2969" s="1" t="s">
        <v>15460</v>
      </c>
      <c r="B2969" s="1" t="s">
        <v>16379</v>
      </c>
      <c r="C2969" s="3">
        <f>IF(B2969="","",SUMIFS('Factory Costs'!$C:$C,'Factory Costs'!$A:$A,"Frame",'Factory Costs'!$B:$B,B2969))</f>
        <v>45</v>
      </c>
    </row>
    <row r="2970" spans="1:3" x14ac:dyDescent="0.25">
      <c r="A2970" s="1" t="s">
        <v>15463</v>
      </c>
      <c r="B2970" s="1" t="s">
        <v>16379</v>
      </c>
      <c r="C2970" s="3">
        <f>IF(B2970="","",SUMIFS('Factory Costs'!$C:$C,'Factory Costs'!$A:$A,"Frame",'Factory Costs'!$B:$B,B2970))</f>
        <v>45</v>
      </c>
    </row>
    <row r="2971" spans="1:3" x14ac:dyDescent="0.25">
      <c r="A2971" s="1" t="s">
        <v>15466</v>
      </c>
      <c r="B2971" s="1" t="s">
        <v>16377</v>
      </c>
      <c r="C2971" s="3">
        <f>IF(B2971="","",SUMIFS('Factory Costs'!$C:$C,'Factory Costs'!$A:$A,"Frame",'Factory Costs'!$B:$B,B2971))</f>
        <v>39</v>
      </c>
    </row>
    <row r="2972" spans="1:3" x14ac:dyDescent="0.25">
      <c r="A2972" s="1" t="s">
        <v>15469</v>
      </c>
      <c r="B2972" s="1" t="s">
        <v>16378</v>
      </c>
      <c r="C2972" s="3">
        <f>IF(B2972="","",SUMIFS('Factory Costs'!$C:$C,'Factory Costs'!$A:$A,"Frame",'Factory Costs'!$B:$B,B2972))</f>
        <v>52</v>
      </c>
    </row>
    <row r="2973" spans="1:3" x14ac:dyDescent="0.25">
      <c r="A2973" s="1" t="s">
        <v>15472</v>
      </c>
      <c r="B2973" s="1" t="s">
        <v>16378</v>
      </c>
      <c r="C2973" s="3">
        <f>IF(B2973="","",SUMIFS('Factory Costs'!$C:$C,'Factory Costs'!$A:$A,"Frame",'Factory Costs'!$B:$B,B2973))</f>
        <v>52</v>
      </c>
    </row>
    <row r="2974" spans="1:3" x14ac:dyDescent="0.25">
      <c r="A2974" s="1" t="s">
        <v>15475</v>
      </c>
      <c r="B2974" s="1" t="s">
        <v>16379</v>
      </c>
      <c r="C2974" s="3">
        <f>IF(B2974="","",SUMIFS('Factory Costs'!$C:$C,'Factory Costs'!$A:$A,"Frame",'Factory Costs'!$B:$B,B2974))</f>
        <v>45</v>
      </c>
    </row>
    <row r="2975" spans="1:3" x14ac:dyDescent="0.25">
      <c r="A2975" s="1" t="s">
        <v>15478</v>
      </c>
      <c r="B2975" s="1" t="s">
        <v>16379</v>
      </c>
      <c r="C2975" s="3">
        <f>IF(B2975="","",SUMIFS('Factory Costs'!$C:$C,'Factory Costs'!$A:$A,"Frame",'Factory Costs'!$B:$B,B2975))</f>
        <v>45</v>
      </c>
    </row>
    <row r="2976" spans="1:3" x14ac:dyDescent="0.25">
      <c r="A2976" s="1" t="s">
        <v>15481</v>
      </c>
      <c r="B2976" s="1" t="s">
        <v>16378</v>
      </c>
      <c r="C2976" s="3">
        <f>IF(B2976="","",SUMIFS('Factory Costs'!$C:$C,'Factory Costs'!$A:$A,"Frame",'Factory Costs'!$B:$B,B2976))</f>
        <v>52</v>
      </c>
    </row>
    <row r="2977" spans="1:3" x14ac:dyDescent="0.25">
      <c r="A2977" s="1" t="s">
        <v>15484</v>
      </c>
      <c r="B2977" s="1" t="s">
        <v>16379</v>
      </c>
      <c r="C2977" s="3">
        <f>IF(B2977="","",SUMIFS('Factory Costs'!$C:$C,'Factory Costs'!$A:$A,"Frame",'Factory Costs'!$B:$B,B2977))</f>
        <v>45</v>
      </c>
    </row>
    <row r="2978" spans="1:3" x14ac:dyDescent="0.25">
      <c r="A2978" s="1" t="s">
        <v>15487</v>
      </c>
      <c r="B2978" s="1" t="s">
        <v>16377</v>
      </c>
      <c r="C2978" s="3">
        <f>IF(B2978="","",SUMIFS('Factory Costs'!$C:$C,'Factory Costs'!$A:$A,"Frame",'Factory Costs'!$B:$B,B2978))</f>
        <v>39</v>
      </c>
    </row>
    <row r="2979" spans="1:3" x14ac:dyDescent="0.25">
      <c r="A2979" s="1" t="s">
        <v>15490</v>
      </c>
      <c r="B2979" s="1" t="s">
        <v>16377</v>
      </c>
      <c r="C2979" s="3">
        <f>IF(B2979="","",SUMIFS('Factory Costs'!$C:$C,'Factory Costs'!$A:$A,"Frame",'Factory Costs'!$B:$B,B2979))</f>
        <v>39</v>
      </c>
    </row>
    <row r="2980" spans="1:3" x14ac:dyDescent="0.25">
      <c r="A2980" s="1" t="s">
        <v>15493</v>
      </c>
      <c r="B2980" s="1" t="s">
        <v>16379</v>
      </c>
      <c r="C2980" s="3">
        <f>IF(B2980="","",SUMIFS('Factory Costs'!$C:$C,'Factory Costs'!$A:$A,"Frame",'Factory Costs'!$B:$B,B2980))</f>
        <v>45</v>
      </c>
    </row>
    <row r="2981" spans="1:3" x14ac:dyDescent="0.25">
      <c r="A2981" s="1" t="s">
        <v>15496</v>
      </c>
      <c r="B2981" s="1" t="s">
        <v>16377</v>
      </c>
      <c r="C2981" s="3">
        <f>IF(B2981="","",SUMIFS('Factory Costs'!$C:$C,'Factory Costs'!$A:$A,"Frame",'Factory Costs'!$B:$B,B2981))</f>
        <v>39</v>
      </c>
    </row>
    <row r="2982" spans="1:3" x14ac:dyDescent="0.25">
      <c r="A2982" s="1" t="s">
        <v>15499</v>
      </c>
      <c r="B2982" s="1" t="s">
        <v>16377</v>
      </c>
      <c r="C2982" s="3">
        <f>IF(B2982="","",SUMIFS('Factory Costs'!$C:$C,'Factory Costs'!$A:$A,"Frame",'Factory Costs'!$B:$B,B2982))</f>
        <v>39</v>
      </c>
    </row>
    <row r="2983" spans="1:3" x14ac:dyDescent="0.25">
      <c r="A2983" s="1" t="s">
        <v>15502</v>
      </c>
      <c r="B2983" s="1" t="s">
        <v>16377</v>
      </c>
      <c r="C2983" s="3">
        <f>IF(B2983="","",SUMIFS('Factory Costs'!$C:$C,'Factory Costs'!$A:$A,"Frame",'Factory Costs'!$B:$B,B2983))</f>
        <v>39</v>
      </c>
    </row>
    <row r="2984" spans="1:3" x14ac:dyDescent="0.25">
      <c r="A2984" s="1" t="s">
        <v>15505</v>
      </c>
      <c r="B2984" s="1" t="s">
        <v>16378</v>
      </c>
      <c r="C2984" s="3">
        <f>IF(B2984="","",SUMIFS('Factory Costs'!$C:$C,'Factory Costs'!$A:$A,"Frame",'Factory Costs'!$B:$B,B2984))</f>
        <v>52</v>
      </c>
    </row>
    <row r="2985" spans="1:3" x14ac:dyDescent="0.25">
      <c r="A2985" s="1" t="s">
        <v>15508</v>
      </c>
      <c r="B2985" s="1" t="s">
        <v>16377</v>
      </c>
      <c r="C2985" s="3">
        <f>IF(B2985="","",SUMIFS('Factory Costs'!$C:$C,'Factory Costs'!$A:$A,"Frame",'Factory Costs'!$B:$B,B2985))</f>
        <v>39</v>
      </c>
    </row>
    <row r="2986" spans="1:3" x14ac:dyDescent="0.25">
      <c r="A2986" s="1" t="s">
        <v>15511</v>
      </c>
      <c r="B2986" s="1" t="s">
        <v>16378</v>
      </c>
      <c r="C2986" s="3">
        <f>IF(B2986="","",SUMIFS('Factory Costs'!$C:$C,'Factory Costs'!$A:$A,"Frame",'Factory Costs'!$B:$B,B2986))</f>
        <v>52</v>
      </c>
    </row>
    <row r="2987" spans="1:3" x14ac:dyDescent="0.25">
      <c r="A2987" s="1" t="s">
        <v>15514</v>
      </c>
      <c r="B2987" s="1" t="s">
        <v>16379</v>
      </c>
      <c r="C2987" s="3">
        <f>IF(B2987="","",SUMIFS('Factory Costs'!$C:$C,'Factory Costs'!$A:$A,"Frame",'Factory Costs'!$B:$B,B2987))</f>
        <v>45</v>
      </c>
    </row>
    <row r="2988" spans="1:3" x14ac:dyDescent="0.25">
      <c r="A2988" s="1" t="s">
        <v>15517</v>
      </c>
      <c r="B2988" s="1" t="s">
        <v>16378</v>
      </c>
      <c r="C2988" s="3">
        <f>IF(B2988="","",SUMIFS('Factory Costs'!$C:$C,'Factory Costs'!$A:$A,"Frame",'Factory Costs'!$B:$B,B2988))</f>
        <v>52</v>
      </c>
    </row>
    <row r="2989" spans="1:3" x14ac:dyDescent="0.25">
      <c r="A2989" s="1" t="s">
        <v>15520</v>
      </c>
      <c r="B2989" s="1" t="s">
        <v>16377</v>
      </c>
      <c r="C2989" s="3">
        <f>IF(B2989="","",SUMIFS('Factory Costs'!$C:$C,'Factory Costs'!$A:$A,"Frame",'Factory Costs'!$B:$B,B2989))</f>
        <v>39</v>
      </c>
    </row>
    <row r="2990" spans="1:3" x14ac:dyDescent="0.25">
      <c r="A2990" s="1" t="s">
        <v>15523</v>
      </c>
      <c r="B2990" s="1" t="s">
        <v>16379</v>
      </c>
      <c r="C2990" s="3">
        <f>IF(B2990="","",SUMIFS('Factory Costs'!$C:$C,'Factory Costs'!$A:$A,"Frame",'Factory Costs'!$B:$B,B2990))</f>
        <v>45</v>
      </c>
    </row>
    <row r="2991" spans="1:3" x14ac:dyDescent="0.25">
      <c r="A2991" s="1" t="s">
        <v>15526</v>
      </c>
      <c r="B2991" s="1" t="s">
        <v>16379</v>
      </c>
      <c r="C2991" s="3">
        <f>IF(B2991="","",SUMIFS('Factory Costs'!$C:$C,'Factory Costs'!$A:$A,"Frame",'Factory Costs'!$B:$B,B2991))</f>
        <v>45</v>
      </c>
    </row>
    <row r="2992" spans="1:3" x14ac:dyDescent="0.25">
      <c r="A2992" s="1" t="s">
        <v>15529</v>
      </c>
      <c r="B2992" s="1" t="s">
        <v>16378</v>
      </c>
      <c r="C2992" s="3">
        <f>IF(B2992="","",SUMIFS('Factory Costs'!$C:$C,'Factory Costs'!$A:$A,"Frame",'Factory Costs'!$B:$B,B2992))</f>
        <v>52</v>
      </c>
    </row>
    <row r="2993" spans="1:3" x14ac:dyDescent="0.25">
      <c r="A2993" s="1" t="s">
        <v>15532</v>
      </c>
      <c r="B2993" s="1" t="s">
        <v>16379</v>
      </c>
      <c r="C2993" s="3">
        <f>IF(B2993="","",SUMIFS('Factory Costs'!$C:$C,'Factory Costs'!$A:$A,"Frame",'Factory Costs'!$B:$B,B2993))</f>
        <v>45</v>
      </c>
    </row>
    <row r="2994" spans="1:3" x14ac:dyDescent="0.25">
      <c r="A2994" s="1" t="s">
        <v>15535</v>
      </c>
      <c r="B2994" s="1" t="s">
        <v>16378</v>
      </c>
      <c r="C2994" s="3">
        <f>IF(B2994="","",SUMIFS('Factory Costs'!$C:$C,'Factory Costs'!$A:$A,"Frame",'Factory Costs'!$B:$B,B2994))</f>
        <v>52</v>
      </c>
    </row>
    <row r="2995" spans="1:3" x14ac:dyDescent="0.25">
      <c r="A2995" s="1" t="s">
        <v>15538</v>
      </c>
      <c r="B2995" s="1" t="s">
        <v>16378</v>
      </c>
      <c r="C2995" s="3">
        <f>IF(B2995="","",SUMIFS('Factory Costs'!$C:$C,'Factory Costs'!$A:$A,"Frame",'Factory Costs'!$B:$B,B2995))</f>
        <v>52</v>
      </c>
    </row>
    <row r="2996" spans="1:3" x14ac:dyDescent="0.25">
      <c r="A2996" s="1" t="s">
        <v>15541</v>
      </c>
      <c r="B2996" s="1" t="s">
        <v>16377</v>
      </c>
      <c r="C2996" s="3">
        <f>IF(B2996="","",SUMIFS('Factory Costs'!$C:$C,'Factory Costs'!$A:$A,"Frame",'Factory Costs'!$B:$B,B2996))</f>
        <v>39</v>
      </c>
    </row>
    <row r="2997" spans="1:3" x14ac:dyDescent="0.25">
      <c r="A2997" s="1" t="s">
        <v>15544</v>
      </c>
      <c r="B2997" s="1" t="s">
        <v>16379</v>
      </c>
      <c r="C2997" s="3">
        <f>IF(B2997="","",SUMIFS('Factory Costs'!$C:$C,'Factory Costs'!$A:$A,"Frame",'Factory Costs'!$B:$B,B2997))</f>
        <v>45</v>
      </c>
    </row>
    <row r="2998" spans="1:3" x14ac:dyDescent="0.25">
      <c r="A2998" s="1" t="s">
        <v>15547</v>
      </c>
      <c r="B2998" s="1" t="s">
        <v>16378</v>
      </c>
      <c r="C2998" s="3">
        <f>IF(B2998="","",SUMIFS('Factory Costs'!$C:$C,'Factory Costs'!$A:$A,"Frame",'Factory Costs'!$B:$B,B2998))</f>
        <v>52</v>
      </c>
    </row>
    <row r="2999" spans="1:3" x14ac:dyDescent="0.25">
      <c r="A2999" s="1" t="s">
        <v>15550</v>
      </c>
      <c r="B2999" s="1" t="s">
        <v>16379</v>
      </c>
      <c r="C2999" s="3">
        <f>IF(B2999="","",SUMIFS('Factory Costs'!$C:$C,'Factory Costs'!$A:$A,"Frame",'Factory Costs'!$B:$B,B2999))</f>
        <v>45</v>
      </c>
    </row>
    <row r="3000" spans="1:3" x14ac:dyDescent="0.25">
      <c r="A3000" s="1" t="s">
        <v>15553</v>
      </c>
      <c r="B3000" s="1" t="s">
        <v>16377</v>
      </c>
      <c r="C3000" s="3">
        <f>IF(B3000="","",SUMIFS('Factory Costs'!$C:$C,'Factory Costs'!$A:$A,"Frame",'Factory Costs'!$B:$B,B3000))</f>
        <v>39</v>
      </c>
    </row>
    <row r="3001" spans="1:3" x14ac:dyDescent="0.25">
      <c r="A3001" s="1" t="s">
        <v>15556</v>
      </c>
      <c r="B3001" s="1" t="s">
        <v>16377</v>
      </c>
      <c r="C3001" s="3">
        <f>IF(B3001="","",SUMIFS('Factory Costs'!$C:$C,'Factory Costs'!$A:$A,"Frame",'Factory Costs'!$B:$B,B3001))</f>
        <v>39</v>
      </c>
    </row>
    <row r="3002" spans="1:3" x14ac:dyDescent="0.25">
      <c r="A3002" s="1" t="s">
        <v>15559</v>
      </c>
      <c r="B3002" s="1" t="s">
        <v>16378</v>
      </c>
      <c r="C3002" s="3">
        <f>IF(B3002="","",SUMIFS('Factory Costs'!$C:$C,'Factory Costs'!$A:$A,"Frame",'Factory Costs'!$B:$B,B3002))</f>
        <v>52</v>
      </c>
    </row>
    <row r="3003" spans="1:3" x14ac:dyDescent="0.25">
      <c r="A3003" s="1" t="s">
        <v>15562</v>
      </c>
      <c r="B3003" s="1" t="s">
        <v>16377</v>
      </c>
      <c r="C3003" s="3">
        <f>IF(B3003="","",SUMIFS('Factory Costs'!$C:$C,'Factory Costs'!$A:$A,"Frame",'Factory Costs'!$B:$B,B3003))</f>
        <v>39</v>
      </c>
    </row>
    <row r="3004" spans="1:3" x14ac:dyDescent="0.25">
      <c r="A3004" s="1" t="s">
        <v>15565</v>
      </c>
      <c r="B3004" s="1" t="s">
        <v>16377</v>
      </c>
      <c r="C3004" s="3">
        <f>IF(B3004="","",SUMIFS('Factory Costs'!$C:$C,'Factory Costs'!$A:$A,"Frame",'Factory Costs'!$B:$B,B3004))</f>
        <v>39</v>
      </c>
    </row>
    <row r="3005" spans="1:3" x14ac:dyDescent="0.25">
      <c r="A3005" s="1" t="s">
        <v>15568</v>
      </c>
      <c r="B3005" s="1" t="s">
        <v>16377</v>
      </c>
      <c r="C3005" s="3">
        <f>IF(B3005="","",SUMIFS('Factory Costs'!$C:$C,'Factory Costs'!$A:$A,"Frame",'Factory Costs'!$B:$B,B3005))</f>
        <v>39</v>
      </c>
    </row>
    <row r="3006" spans="1:3" x14ac:dyDescent="0.25">
      <c r="A3006" s="1" t="s">
        <v>15571</v>
      </c>
      <c r="B3006" s="1" t="s">
        <v>16378</v>
      </c>
      <c r="C3006" s="3">
        <f>IF(B3006="","",SUMIFS('Factory Costs'!$C:$C,'Factory Costs'!$A:$A,"Frame",'Factory Costs'!$B:$B,B3006))</f>
        <v>52</v>
      </c>
    </row>
    <row r="3007" spans="1:3" x14ac:dyDescent="0.25">
      <c r="A3007" s="1" t="s">
        <v>15574</v>
      </c>
      <c r="B3007" s="1" t="s">
        <v>16379</v>
      </c>
      <c r="C3007" s="3">
        <f>IF(B3007="","",SUMIFS('Factory Costs'!$C:$C,'Factory Costs'!$A:$A,"Frame",'Factory Costs'!$B:$B,B3007))</f>
        <v>45</v>
      </c>
    </row>
    <row r="3008" spans="1:3" x14ac:dyDescent="0.25">
      <c r="A3008" s="1" t="s">
        <v>15577</v>
      </c>
      <c r="B3008" s="1" t="s">
        <v>16377</v>
      </c>
      <c r="C3008" s="3">
        <f>IF(B3008="","",SUMIFS('Factory Costs'!$C:$C,'Factory Costs'!$A:$A,"Frame",'Factory Costs'!$B:$B,B3008))</f>
        <v>39</v>
      </c>
    </row>
    <row r="3009" spans="1:3" x14ac:dyDescent="0.25">
      <c r="A3009" s="1" t="s">
        <v>15580</v>
      </c>
      <c r="B3009" s="1" t="s">
        <v>16377</v>
      </c>
      <c r="C3009" s="3">
        <f>IF(B3009="","",SUMIFS('Factory Costs'!$C:$C,'Factory Costs'!$A:$A,"Frame",'Factory Costs'!$B:$B,B3009))</f>
        <v>39</v>
      </c>
    </row>
    <row r="3010" spans="1:3" x14ac:dyDescent="0.25">
      <c r="A3010" s="1" t="s">
        <v>15583</v>
      </c>
      <c r="B3010" s="1" t="s">
        <v>16377</v>
      </c>
      <c r="C3010" s="3">
        <f>IF(B3010="","",SUMIFS('Factory Costs'!$C:$C,'Factory Costs'!$A:$A,"Frame",'Factory Costs'!$B:$B,B3010))</f>
        <v>39</v>
      </c>
    </row>
    <row r="3011" spans="1:3" x14ac:dyDescent="0.25">
      <c r="A3011" s="1" t="s">
        <v>15586</v>
      </c>
      <c r="B3011" s="1" t="s">
        <v>16377</v>
      </c>
      <c r="C3011" s="3">
        <f>IF(B3011="","",SUMIFS('Factory Costs'!$C:$C,'Factory Costs'!$A:$A,"Frame",'Factory Costs'!$B:$B,B3011))</f>
        <v>39</v>
      </c>
    </row>
    <row r="3012" spans="1:3" x14ac:dyDescent="0.25">
      <c r="A3012" s="1" t="s">
        <v>15589</v>
      </c>
      <c r="B3012" s="1" t="s">
        <v>16377</v>
      </c>
      <c r="C3012" s="3">
        <f>IF(B3012="","",SUMIFS('Factory Costs'!$C:$C,'Factory Costs'!$A:$A,"Frame",'Factory Costs'!$B:$B,B3012))</f>
        <v>39</v>
      </c>
    </row>
    <row r="3013" spans="1:3" x14ac:dyDescent="0.25">
      <c r="A3013" s="1" t="s">
        <v>15592</v>
      </c>
      <c r="B3013" s="1" t="s">
        <v>16378</v>
      </c>
      <c r="C3013" s="3">
        <f>IF(B3013="","",SUMIFS('Factory Costs'!$C:$C,'Factory Costs'!$A:$A,"Frame",'Factory Costs'!$B:$B,B3013))</f>
        <v>52</v>
      </c>
    </row>
    <row r="3014" spans="1:3" x14ac:dyDescent="0.25">
      <c r="A3014" s="1" t="s">
        <v>15595</v>
      </c>
      <c r="B3014" s="1" t="s">
        <v>16378</v>
      </c>
      <c r="C3014" s="3">
        <f>IF(B3014="","",SUMIFS('Factory Costs'!$C:$C,'Factory Costs'!$A:$A,"Frame",'Factory Costs'!$B:$B,B3014))</f>
        <v>52</v>
      </c>
    </row>
    <row r="3015" spans="1:3" x14ac:dyDescent="0.25">
      <c r="A3015" s="1" t="s">
        <v>15598</v>
      </c>
      <c r="B3015" s="1" t="s">
        <v>16378</v>
      </c>
      <c r="C3015" s="3">
        <f>IF(B3015="","",SUMIFS('Factory Costs'!$C:$C,'Factory Costs'!$A:$A,"Frame",'Factory Costs'!$B:$B,B3015))</f>
        <v>52</v>
      </c>
    </row>
    <row r="3016" spans="1:3" x14ac:dyDescent="0.25">
      <c r="A3016" s="1" t="s">
        <v>15601</v>
      </c>
      <c r="B3016" s="1" t="s">
        <v>16377</v>
      </c>
      <c r="C3016" s="3">
        <f>IF(B3016="","",SUMIFS('Factory Costs'!$C:$C,'Factory Costs'!$A:$A,"Frame",'Factory Costs'!$B:$B,B3016))</f>
        <v>39</v>
      </c>
    </row>
    <row r="3017" spans="1:3" x14ac:dyDescent="0.25">
      <c r="A3017" s="1" t="s">
        <v>15604</v>
      </c>
      <c r="B3017" s="1" t="s">
        <v>16377</v>
      </c>
      <c r="C3017" s="3">
        <f>IF(B3017="","",SUMIFS('Factory Costs'!$C:$C,'Factory Costs'!$A:$A,"Frame",'Factory Costs'!$B:$B,B3017))</f>
        <v>39</v>
      </c>
    </row>
    <row r="3018" spans="1:3" x14ac:dyDescent="0.25">
      <c r="A3018" s="1" t="s">
        <v>15607</v>
      </c>
      <c r="B3018" s="1" t="s">
        <v>16377</v>
      </c>
      <c r="C3018" s="3">
        <f>IF(B3018="","",SUMIFS('Factory Costs'!$C:$C,'Factory Costs'!$A:$A,"Frame",'Factory Costs'!$B:$B,B3018))</f>
        <v>39</v>
      </c>
    </row>
    <row r="3019" spans="1:3" x14ac:dyDescent="0.25">
      <c r="A3019" s="1" t="s">
        <v>15610</v>
      </c>
      <c r="B3019" s="1" t="s">
        <v>16379</v>
      </c>
      <c r="C3019" s="3">
        <f>IF(B3019="","",SUMIFS('Factory Costs'!$C:$C,'Factory Costs'!$A:$A,"Frame",'Factory Costs'!$B:$B,B3019))</f>
        <v>45</v>
      </c>
    </row>
    <row r="3020" spans="1:3" x14ac:dyDescent="0.25">
      <c r="A3020" s="1" t="s">
        <v>15613</v>
      </c>
      <c r="B3020" s="1" t="s">
        <v>16378</v>
      </c>
      <c r="C3020" s="3">
        <f>IF(B3020="","",SUMIFS('Factory Costs'!$C:$C,'Factory Costs'!$A:$A,"Frame",'Factory Costs'!$B:$B,B3020))</f>
        <v>52</v>
      </c>
    </row>
    <row r="3021" spans="1:3" x14ac:dyDescent="0.25">
      <c r="A3021" s="1" t="s">
        <v>15616</v>
      </c>
      <c r="B3021" s="1" t="s">
        <v>16379</v>
      </c>
      <c r="C3021" s="3">
        <f>IF(B3021="","",SUMIFS('Factory Costs'!$C:$C,'Factory Costs'!$A:$A,"Frame",'Factory Costs'!$B:$B,B3021))</f>
        <v>45</v>
      </c>
    </row>
    <row r="3022" spans="1:3" x14ac:dyDescent="0.25">
      <c r="A3022" s="1" t="s">
        <v>15619</v>
      </c>
      <c r="B3022" s="1" t="s">
        <v>16378</v>
      </c>
      <c r="C3022" s="3">
        <f>IF(B3022="","",SUMIFS('Factory Costs'!$C:$C,'Factory Costs'!$A:$A,"Frame",'Factory Costs'!$B:$B,B3022))</f>
        <v>52</v>
      </c>
    </row>
    <row r="3023" spans="1:3" x14ac:dyDescent="0.25">
      <c r="A3023" s="1" t="s">
        <v>15622</v>
      </c>
      <c r="B3023" s="1" t="s">
        <v>16378</v>
      </c>
      <c r="C3023" s="3">
        <f>IF(B3023="","",SUMIFS('Factory Costs'!$C:$C,'Factory Costs'!$A:$A,"Frame",'Factory Costs'!$B:$B,B3023))</f>
        <v>52</v>
      </c>
    </row>
    <row r="3024" spans="1:3" x14ac:dyDescent="0.25">
      <c r="A3024" s="1" t="s">
        <v>15625</v>
      </c>
      <c r="B3024" s="1" t="s">
        <v>16378</v>
      </c>
      <c r="C3024" s="3">
        <f>IF(B3024="","",SUMIFS('Factory Costs'!$C:$C,'Factory Costs'!$A:$A,"Frame",'Factory Costs'!$B:$B,B3024))</f>
        <v>52</v>
      </c>
    </row>
    <row r="3025" spans="1:3" x14ac:dyDescent="0.25">
      <c r="A3025" s="1" t="s">
        <v>15628</v>
      </c>
      <c r="B3025" s="1" t="s">
        <v>16378</v>
      </c>
      <c r="C3025" s="3">
        <f>IF(B3025="","",SUMIFS('Factory Costs'!$C:$C,'Factory Costs'!$A:$A,"Frame",'Factory Costs'!$B:$B,B3025))</f>
        <v>52</v>
      </c>
    </row>
    <row r="3026" spans="1:3" x14ac:dyDescent="0.25">
      <c r="A3026" s="1" t="s">
        <v>15631</v>
      </c>
      <c r="B3026" s="1" t="s">
        <v>16379</v>
      </c>
      <c r="C3026" s="3">
        <f>IF(B3026="","",SUMIFS('Factory Costs'!$C:$C,'Factory Costs'!$A:$A,"Frame",'Factory Costs'!$B:$B,B3026))</f>
        <v>45</v>
      </c>
    </row>
    <row r="3027" spans="1:3" x14ac:dyDescent="0.25">
      <c r="A3027" s="1" t="s">
        <v>15634</v>
      </c>
      <c r="B3027" s="1" t="s">
        <v>16379</v>
      </c>
      <c r="C3027" s="3">
        <f>IF(B3027="","",SUMIFS('Factory Costs'!$C:$C,'Factory Costs'!$A:$A,"Frame",'Factory Costs'!$B:$B,B3027))</f>
        <v>45</v>
      </c>
    </row>
    <row r="3028" spans="1:3" x14ac:dyDescent="0.25">
      <c r="A3028" s="1" t="s">
        <v>15637</v>
      </c>
      <c r="B3028" s="1" t="s">
        <v>16377</v>
      </c>
      <c r="C3028" s="3">
        <f>IF(B3028="","",SUMIFS('Factory Costs'!$C:$C,'Factory Costs'!$A:$A,"Frame",'Factory Costs'!$B:$B,B3028))</f>
        <v>39</v>
      </c>
    </row>
    <row r="3029" spans="1:3" x14ac:dyDescent="0.25">
      <c r="A3029" s="1" t="s">
        <v>15640</v>
      </c>
      <c r="B3029" s="1" t="s">
        <v>16377</v>
      </c>
      <c r="C3029" s="3">
        <f>IF(B3029="","",SUMIFS('Factory Costs'!$C:$C,'Factory Costs'!$A:$A,"Frame",'Factory Costs'!$B:$B,B3029))</f>
        <v>39</v>
      </c>
    </row>
    <row r="3030" spans="1:3" x14ac:dyDescent="0.25">
      <c r="A3030" s="1" t="s">
        <v>15643</v>
      </c>
      <c r="B3030" s="1" t="s">
        <v>16378</v>
      </c>
      <c r="C3030" s="3">
        <f>IF(B3030="","",SUMIFS('Factory Costs'!$C:$C,'Factory Costs'!$A:$A,"Frame",'Factory Costs'!$B:$B,B3030))</f>
        <v>52</v>
      </c>
    </row>
    <row r="3031" spans="1:3" x14ac:dyDescent="0.25">
      <c r="A3031" s="1" t="s">
        <v>15646</v>
      </c>
      <c r="B3031" s="1" t="s">
        <v>16377</v>
      </c>
      <c r="C3031" s="3">
        <f>IF(B3031="","",SUMIFS('Factory Costs'!$C:$C,'Factory Costs'!$A:$A,"Frame",'Factory Costs'!$B:$B,B3031))</f>
        <v>39</v>
      </c>
    </row>
    <row r="3032" spans="1:3" x14ac:dyDescent="0.25">
      <c r="A3032" s="1" t="s">
        <v>15649</v>
      </c>
      <c r="B3032" s="1" t="s">
        <v>16379</v>
      </c>
      <c r="C3032" s="3">
        <f>IF(B3032="","",SUMIFS('Factory Costs'!$C:$C,'Factory Costs'!$A:$A,"Frame",'Factory Costs'!$B:$B,B3032))</f>
        <v>45</v>
      </c>
    </row>
    <row r="3033" spans="1:3" x14ac:dyDescent="0.25">
      <c r="A3033" s="1" t="s">
        <v>15652</v>
      </c>
      <c r="B3033" s="1" t="s">
        <v>16378</v>
      </c>
      <c r="C3033" s="3">
        <f>IF(B3033="","",SUMIFS('Factory Costs'!$C:$C,'Factory Costs'!$A:$A,"Frame",'Factory Costs'!$B:$B,B3033))</f>
        <v>52</v>
      </c>
    </row>
    <row r="3034" spans="1:3" x14ac:dyDescent="0.25">
      <c r="A3034" s="1" t="s">
        <v>15655</v>
      </c>
      <c r="B3034" s="1" t="s">
        <v>16377</v>
      </c>
      <c r="C3034" s="3">
        <f>IF(B3034="","",SUMIFS('Factory Costs'!$C:$C,'Factory Costs'!$A:$A,"Frame",'Factory Costs'!$B:$B,B3034))</f>
        <v>39</v>
      </c>
    </row>
    <row r="3035" spans="1:3" x14ac:dyDescent="0.25">
      <c r="A3035" s="1" t="s">
        <v>15658</v>
      </c>
      <c r="B3035" s="1" t="s">
        <v>16377</v>
      </c>
      <c r="C3035" s="3">
        <f>IF(B3035="","",SUMIFS('Factory Costs'!$C:$C,'Factory Costs'!$A:$A,"Frame",'Factory Costs'!$B:$B,B3035))</f>
        <v>39</v>
      </c>
    </row>
    <row r="3036" spans="1:3" x14ac:dyDescent="0.25">
      <c r="A3036" s="1" t="s">
        <v>15661</v>
      </c>
      <c r="B3036" s="1" t="s">
        <v>16378</v>
      </c>
      <c r="C3036" s="3">
        <f>IF(B3036="","",SUMIFS('Factory Costs'!$C:$C,'Factory Costs'!$A:$A,"Frame",'Factory Costs'!$B:$B,B3036))</f>
        <v>52</v>
      </c>
    </row>
    <row r="3037" spans="1:3" x14ac:dyDescent="0.25">
      <c r="A3037" s="1" t="s">
        <v>15664</v>
      </c>
      <c r="B3037" s="1" t="s">
        <v>16379</v>
      </c>
      <c r="C3037" s="3">
        <f>IF(B3037="","",SUMIFS('Factory Costs'!$C:$C,'Factory Costs'!$A:$A,"Frame",'Factory Costs'!$B:$B,B3037))</f>
        <v>45</v>
      </c>
    </row>
    <row r="3038" spans="1:3" x14ac:dyDescent="0.25">
      <c r="A3038" s="1" t="s">
        <v>15667</v>
      </c>
      <c r="B3038" s="1" t="s">
        <v>16378</v>
      </c>
      <c r="C3038" s="3">
        <f>IF(B3038="","",SUMIFS('Factory Costs'!$C:$C,'Factory Costs'!$A:$A,"Frame",'Factory Costs'!$B:$B,B3038))</f>
        <v>52</v>
      </c>
    </row>
    <row r="3039" spans="1:3" x14ac:dyDescent="0.25">
      <c r="A3039" s="1" t="s">
        <v>15670</v>
      </c>
      <c r="B3039" s="1" t="s">
        <v>16378</v>
      </c>
      <c r="C3039" s="3">
        <f>IF(B3039="","",SUMIFS('Factory Costs'!$C:$C,'Factory Costs'!$A:$A,"Frame",'Factory Costs'!$B:$B,B3039))</f>
        <v>52</v>
      </c>
    </row>
    <row r="3040" spans="1:3" x14ac:dyDescent="0.25">
      <c r="A3040" s="1" t="s">
        <v>15673</v>
      </c>
      <c r="B3040" s="1" t="s">
        <v>16377</v>
      </c>
      <c r="C3040" s="3">
        <f>IF(B3040="","",SUMIFS('Factory Costs'!$C:$C,'Factory Costs'!$A:$A,"Frame",'Factory Costs'!$B:$B,B3040))</f>
        <v>39</v>
      </c>
    </row>
    <row r="3041" spans="1:3" x14ac:dyDescent="0.25">
      <c r="A3041" s="1" t="s">
        <v>15676</v>
      </c>
      <c r="B3041" s="1" t="s">
        <v>16377</v>
      </c>
      <c r="C3041" s="3">
        <f>IF(B3041="","",SUMIFS('Factory Costs'!$C:$C,'Factory Costs'!$A:$A,"Frame",'Factory Costs'!$B:$B,B3041))</f>
        <v>39</v>
      </c>
    </row>
    <row r="3042" spans="1:3" x14ac:dyDescent="0.25">
      <c r="A3042" s="1" t="s">
        <v>15679</v>
      </c>
      <c r="B3042" s="1" t="s">
        <v>16379</v>
      </c>
      <c r="C3042" s="3">
        <f>IF(B3042="","",SUMIFS('Factory Costs'!$C:$C,'Factory Costs'!$A:$A,"Frame",'Factory Costs'!$B:$B,B3042))</f>
        <v>45</v>
      </c>
    </row>
    <row r="3043" spans="1:3" x14ac:dyDescent="0.25">
      <c r="A3043" s="1" t="s">
        <v>15682</v>
      </c>
      <c r="B3043" s="1" t="s">
        <v>16377</v>
      </c>
      <c r="C3043" s="3">
        <f>IF(B3043="","",SUMIFS('Factory Costs'!$C:$C,'Factory Costs'!$A:$A,"Frame",'Factory Costs'!$B:$B,B3043))</f>
        <v>39</v>
      </c>
    </row>
    <row r="3044" spans="1:3" x14ac:dyDescent="0.25">
      <c r="A3044" s="1" t="s">
        <v>15685</v>
      </c>
      <c r="B3044" s="1" t="s">
        <v>16378</v>
      </c>
      <c r="C3044" s="3">
        <f>IF(B3044="","",SUMIFS('Factory Costs'!$C:$C,'Factory Costs'!$A:$A,"Frame",'Factory Costs'!$B:$B,B3044))</f>
        <v>52</v>
      </c>
    </row>
    <row r="3045" spans="1:3" x14ac:dyDescent="0.25">
      <c r="A3045" s="1" t="s">
        <v>15688</v>
      </c>
      <c r="B3045" s="1" t="s">
        <v>16378</v>
      </c>
      <c r="C3045" s="3">
        <f>IF(B3045="","",SUMIFS('Factory Costs'!$C:$C,'Factory Costs'!$A:$A,"Frame",'Factory Costs'!$B:$B,B3045))</f>
        <v>52</v>
      </c>
    </row>
    <row r="3046" spans="1:3" x14ac:dyDescent="0.25">
      <c r="A3046" s="1" t="s">
        <v>15691</v>
      </c>
      <c r="B3046" s="1" t="s">
        <v>16379</v>
      </c>
      <c r="C3046" s="3">
        <f>IF(B3046="","",SUMIFS('Factory Costs'!$C:$C,'Factory Costs'!$A:$A,"Frame",'Factory Costs'!$B:$B,B3046))</f>
        <v>45</v>
      </c>
    </row>
    <row r="3047" spans="1:3" x14ac:dyDescent="0.25">
      <c r="A3047" s="1" t="s">
        <v>15694</v>
      </c>
      <c r="B3047" s="1" t="s">
        <v>16378</v>
      </c>
      <c r="C3047" s="3">
        <f>IF(B3047="","",SUMIFS('Factory Costs'!$C:$C,'Factory Costs'!$A:$A,"Frame",'Factory Costs'!$B:$B,B3047))</f>
        <v>52</v>
      </c>
    </row>
    <row r="3048" spans="1:3" x14ac:dyDescent="0.25">
      <c r="A3048" s="1" t="s">
        <v>15697</v>
      </c>
      <c r="B3048" s="1" t="s">
        <v>16377</v>
      </c>
      <c r="C3048" s="3">
        <f>IF(B3048="","",SUMIFS('Factory Costs'!$C:$C,'Factory Costs'!$A:$A,"Frame",'Factory Costs'!$B:$B,B3048))</f>
        <v>39</v>
      </c>
    </row>
    <row r="3049" spans="1:3" x14ac:dyDescent="0.25">
      <c r="A3049" s="1" t="s">
        <v>15700</v>
      </c>
      <c r="B3049" s="1" t="s">
        <v>16378</v>
      </c>
      <c r="C3049" s="3">
        <f>IF(B3049="","",SUMIFS('Factory Costs'!$C:$C,'Factory Costs'!$A:$A,"Frame",'Factory Costs'!$B:$B,B3049))</f>
        <v>52</v>
      </c>
    </row>
    <row r="3050" spans="1:3" x14ac:dyDescent="0.25">
      <c r="A3050" s="1" t="s">
        <v>15703</v>
      </c>
      <c r="B3050" s="1" t="s">
        <v>16378</v>
      </c>
      <c r="C3050" s="3">
        <f>IF(B3050="","",SUMIFS('Factory Costs'!$C:$C,'Factory Costs'!$A:$A,"Frame",'Factory Costs'!$B:$B,B3050))</f>
        <v>52</v>
      </c>
    </row>
    <row r="3051" spans="1:3" x14ac:dyDescent="0.25">
      <c r="A3051" s="1" t="s">
        <v>15706</v>
      </c>
      <c r="B3051" s="1" t="s">
        <v>16379</v>
      </c>
      <c r="C3051" s="3">
        <f>IF(B3051="","",SUMIFS('Factory Costs'!$C:$C,'Factory Costs'!$A:$A,"Frame",'Factory Costs'!$B:$B,B3051))</f>
        <v>45</v>
      </c>
    </row>
    <row r="3052" spans="1:3" x14ac:dyDescent="0.25">
      <c r="A3052" s="1" t="s">
        <v>15709</v>
      </c>
      <c r="B3052" s="1" t="s">
        <v>16377</v>
      </c>
      <c r="C3052" s="3">
        <f>IF(B3052="","",SUMIFS('Factory Costs'!$C:$C,'Factory Costs'!$A:$A,"Frame",'Factory Costs'!$B:$B,B3052))</f>
        <v>39</v>
      </c>
    </row>
    <row r="3053" spans="1:3" x14ac:dyDescent="0.25">
      <c r="A3053" s="1" t="s">
        <v>15712</v>
      </c>
      <c r="B3053" s="1" t="s">
        <v>16377</v>
      </c>
      <c r="C3053" s="3">
        <f>IF(B3053="","",SUMIFS('Factory Costs'!$C:$C,'Factory Costs'!$A:$A,"Frame",'Factory Costs'!$B:$B,B3053))</f>
        <v>39</v>
      </c>
    </row>
    <row r="3054" spans="1:3" x14ac:dyDescent="0.25">
      <c r="A3054" s="1" t="s">
        <v>15715</v>
      </c>
      <c r="B3054" s="1" t="s">
        <v>16377</v>
      </c>
      <c r="C3054" s="3">
        <f>IF(B3054="","",SUMIFS('Factory Costs'!$C:$C,'Factory Costs'!$A:$A,"Frame",'Factory Costs'!$B:$B,B3054))</f>
        <v>39</v>
      </c>
    </row>
    <row r="3055" spans="1:3" x14ac:dyDescent="0.25">
      <c r="A3055" s="1" t="s">
        <v>15718</v>
      </c>
      <c r="B3055" s="1" t="s">
        <v>16379</v>
      </c>
      <c r="C3055" s="3">
        <f>IF(B3055="","",SUMIFS('Factory Costs'!$C:$C,'Factory Costs'!$A:$A,"Frame",'Factory Costs'!$B:$B,B3055))</f>
        <v>45</v>
      </c>
    </row>
    <row r="3056" spans="1:3" x14ac:dyDescent="0.25">
      <c r="A3056" s="1" t="s">
        <v>15721</v>
      </c>
      <c r="B3056" s="1" t="s">
        <v>16379</v>
      </c>
      <c r="C3056" s="3">
        <f>IF(B3056="","",SUMIFS('Factory Costs'!$C:$C,'Factory Costs'!$A:$A,"Frame",'Factory Costs'!$B:$B,B3056))</f>
        <v>45</v>
      </c>
    </row>
    <row r="3057" spans="1:3" x14ac:dyDescent="0.25">
      <c r="A3057" s="1" t="s">
        <v>15724</v>
      </c>
      <c r="B3057" s="1" t="s">
        <v>16377</v>
      </c>
      <c r="C3057" s="3">
        <f>IF(B3057="","",SUMIFS('Factory Costs'!$C:$C,'Factory Costs'!$A:$A,"Frame",'Factory Costs'!$B:$B,B3057))</f>
        <v>39</v>
      </c>
    </row>
    <row r="3058" spans="1:3" x14ac:dyDescent="0.25">
      <c r="A3058" s="1" t="s">
        <v>15727</v>
      </c>
      <c r="B3058" s="1" t="s">
        <v>16377</v>
      </c>
      <c r="C3058" s="3">
        <f>IF(B3058="","",SUMIFS('Factory Costs'!$C:$C,'Factory Costs'!$A:$A,"Frame",'Factory Costs'!$B:$B,B3058))</f>
        <v>39</v>
      </c>
    </row>
    <row r="3059" spans="1:3" x14ac:dyDescent="0.25">
      <c r="A3059" s="1" t="s">
        <v>15730</v>
      </c>
      <c r="B3059" s="1" t="s">
        <v>16377</v>
      </c>
      <c r="C3059" s="3">
        <f>IF(B3059="","",SUMIFS('Factory Costs'!$C:$C,'Factory Costs'!$A:$A,"Frame",'Factory Costs'!$B:$B,B3059))</f>
        <v>39</v>
      </c>
    </row>
    <row r="3060" spans="1:3" x14ac:dyDescent="0.25">
      <c r="A3060" s="1" t="s">
        <v>15733</v>
      </c>
      <c r="B3060" s="1" t="s">
        <v>16379</v>
      </c>
      <c r="C3060" s="3">
        <f>IF(B3060="","",SUMIFS('Factory Costs'!$C:$C,'Factory Costs'!$A:$A,"Frame",'Factory Costs'!$B:$B,B3060))</f>
        <v>45</v>
      </c>
    </row>
    <row r="3061" spans="1:3" x14ac:dyDescent="0.25">
      <c r="A3061" s="1" t="s">
        <v>15736</v>
      </c>
      <c r="B3061" s="1" t="s">
        <v>16379</v>
      </c>
      <c r="C3061" s="3">
        <f>IF(B3061="","",SUMIFS('Factory Costs'!$C:$C,'Factory Costs'!$A:$A,"Frame",'Factory Costs'!$B:$B,B3061))</f>
        <v>45</v>
      </c>
    </row>
    <row r="3062" spans="1:3" x14ac:dyDescent="0.25">
      <c r="A3062" s="1" t="s">
        <v>15739</v>
      </c>
      <c r="B3062" s="1" t="s">
        <v>16378</v>
      </c>
      <c r="C3062" s="3">
        <f>IF(B3062="","",SUMIFS('Factory Costs'!$C:$C,'Factory Costs'!$A:$A,"Frame",'Factory Costs'!$B:$B,B3062))</f>
        <v>52</v>
      </c>
    </row>
    <row r="3063" spans="1:3" x14ac:dyDescent="0.25">
      <c r="A3063" s="1" t="s">
        <v>15742</v>
      </c>
      <c r="B3063" s="1" t="s">
        <v>16377</v>
      </c>
      <c r="C3063" s="3">
        <f>IF(B3063="","",SUMIFS('Factory Costs'!$C:$C,'Factory Costs'!$A:$A,"Frame",'Factory Costs'!$B:$B,B3063))</f>
        <v>39</v>
      </c>
    </row>
    <row r="3064" spans="1:3" x14ac:dyDescent="0.25">
      <c r="A3064" s="1" t="s">
        <v>15745</v>
      </c>
      <c r="B3064" s="1" t="s">
        <v>16379</v>
      </c>
      <c r="C3064" s="3">
        <f>IF(B3064="","",SUMIFS('Factory Costs'!$C:$C,'Factory Costs'!$A:$A,"Frame",'Factory Costs'!$B:$B,B3064))</f>
        <v>45</v>
      </c>
    </row>
    <row r="3065" spans="1:3" x14ac:dyDescent="0.25">
      <c r="A3065" s="1" t="s">
        <v>15748</v>
      </c>
      <c r="B3065" s="1" t="s">
        <v>16377</v>
      </c>
      <c r="C3065" s="3">
        <f>IF(B3065="","",SUMIFS('Factory Costs'!$C:$C,'Factory Costs'!$A:$A,"Frame",'Factory Costs'!$B:$B,B3065))</f>
        <v>39</v>
      </c>
    </row>
    <row r="3066" spans="1:3" x14ac:dyDescent="0.25">
      <c r="A3066" s="1" t="s">
        <v>15751</v>
      </c>
      <c r="B3066" s="1" t="s">
        <v>16379</v>
      </c>
      <c r="C3066" s="3">
        <f>IF(B3066="","",SUMIFS('Factory Costs'!$C:$C,'Factory Costs'!$A:$A,"Frame",'Factory Costs'!$B:$B,B3066))</f>
        <v>45</v>
      </c>
    </row>
    <row r="3067" spans="1:3" x14ac:dyDescent="0.25">
      <c r="A3067" s="1" t="s">
        <v>15754</v>
      </c>
      <c r="B3067" s="1" t="s">
        <v>16378</v>
      </c>
      <c r="C3067" s="3">
        <f>IF(B3067="","",SUMIFS('Factory Costs'!$C:$C,'Factory Costs'!$A:$A,"Frame",'Factory Costs'!$B:$B,B3067))</f>
        <v>52</v>
      </c>
    </row>
    <row r="3068" spans="1:3" x14ac:dyDescent="0.25">
      <c r="A3068" s="1" t="s">
        <v>15757</v>
      </c>
      <c r="B3068" s="1" t="s">
        <v>16379</v>
      </c>
      <c r="C3068" s="3">
        <f>IF(B3068="","",SUMIFS('Factory Costs'!$C:$C,'Factory Costs'!$A:$A,"Frame",'Factory Costs'!$B:$B,B3068))</f>
        <v>45</v>
      </c>
    </row>
    <row r="3069" spans="1:3" x14ac:dyDescent="0.25">
      <c r="A3069" s="1" t="s">
        <v>15760</v>
      </c>
      <c r="B3069" s="1" t="s">
        <v>16379</v>
      </c>
      <c r="C3069" s="3">
        <f>IF(B3069="","",SUMIFS('Factory Costs'!$C:$C,'Factory Costs'!$A:$A,"Frame",'Factory Costs'!$B:$B,B3069))</f>
        <v>45</v>
      </c>
    </row>
    <row r="3070" spans="1:3" x14ac:dyDescent="0.25">
      <c r="A3070" s="1" t="s">
        <v>15763</v>
      </c>
      <c r="B3070" s="1" t="s">
        <v>16377</v>
      </c>
      <c r="C3070" s="3">
        <f>IF(B3070="","",SUMIFS('Factory Costs'!$C:$C,'Factory Costs'!$A:$A,"Frame",'Factory Costs'!$B:$B,B3070))</f>
        <v>39</v>
      </c>
    </row>
    <row r="3071" spans="1:3" x14ac:dyDescent="0.25">
      <c r="A3071" s="1" t="s">
        <v>15766</v>
      </c>
      <c r="B3071" s="1" t="s">
        <v>16377</v>
      </c>
      <c r="C3071" s="3">
        <f>IF(B3071="","",SUMIFS('Factory Costs'!$C:$C,'Factory Costs'!$A:$A,"Frame",'Factory Costs'!$B:$B,B3071))</f>
        <v>39</v>
      </c>
    </row>
    <row r="3072" spans="1:3" x14ac:dyDescent="0.25">
      <c r="A3072" s="1" t="s">
        <v>15769</v>
      </c>
      <c r="B3072" s="1" t="s">
        <v>16379</v>
      </c>
      <c r="C3072" s="3">
        <f>IF(B3072="","",SUMIFS('Factory Costs'!$C:$C,'Factory Costs'!$A:$A,"Frame",'Factory Costs'!$B:$B,B3072))</f>
        <v>45</v>
      </c>
    </row>
    <row r="3073" spans="1:3" x14ac:dyDescent="0.25">
      <c r="A3073" s="1" t="s">
        <v>15772</v>
      </c>
      <c r="B3073" s="1" t="s">
        <v>16378</v>
      </c>
      <c r="C3073" s="3">
        <f>IF(B3073="","",SUMIFS('Factory Costs'!$C:$C,'Factory Costs'!$A:$A,"Frame",'Factory Costs'!$B:$B,B3073))</f>
        <v>52</v>
      </c>
    </row>
    <row r="3074" spans="1:3" x14ac:dyDescent="0.25">
      <c r="A3074" s="1" t="s">
        <v>15775</v>
      </c>
      <c r="B3074" s="1" t="s">
        <v>16379</v>
      </c>
      <c r="C3074" s="3">
        <f>IF(B3074="","",SUMIFS('Factory Costs'!$C:$C,'Factory Costs'!$A:$A,"Frame",'Factory Costs'!$B:$B,B3074))</f>
        <v>45</v>
      </c>
    </row>
    <row r="3075" spans="1:3" x14ac:dyDescent="0.25">
      <c r="A3075" s="1" t="s">
        <v>15778</v>
      </c>
      <c r="B3075" s="1" t="s">
        <v>16377</v>
      </c>
      <c r="C3075" s="3">
        <f>IF(B3075="","",SUMIFS('Factory Costs'!$C:$C,'Factory Costs'!$A:$A,"Frame",'Factory Costs'!$B:$B,B3075))</f>
        <v>39</v>
      </c>
    </row>
    <row r="3076" spans="1:3" x14ac:dyDescent="0.25">
      <c r="A3076" s="1" t="s">
        <v>15781</v>
      </c>
      <c r="B3076" s="1" t="s">
        <v>16377</v>
      </c>
      <c r="C3076" s="3">
        <f>IF(B3076="","",SUMIFS('Factory Costs'!$C:$C,'Factory Costs'!$A:$A,"Frame",'Factory Costs'!$B:$B,B3076))</f>
        <v>39</v>
      </c>
    </row>
    <row r="3077" spans="1:3" x14ac:dyDescent="0.25">
      <c r="A3077" s="1" t="s">
        <v>15784</v>
      </c>
      <c r="B3077" s="1" t="s">
        <v>16379</v>
      </c>
      <c r="C3077" s="3">
        <f>IF(B3077="","",SUMIFS('Factory Costs'!$C:$C,'Factory Costs'!$A:$A,"Frame",'Factory Costs'!$B:$B,B3077))</f>
        <v>45</v>
      </c>
    </row>
    <row r="3078" spans="1:3" x14ac:dyDescent="0.25">
      <c r="A3078" s="1" t="s">
        <v>15787</v>
      </c>
      <c r="B3078" s="1" t="s">
        <v>16379</v>
      </c>
      <c r="C3078" s="3">
        <f>IF(B3078="","",SUMIFS('Factory Costs'!$C:$C,'Factory Costs'!$A:$A,"Frame",'Factory Costs'!$B:$B,B3078))</f>
        <v>45</v>
      </c>
    </row>
    <row r="3079" spans="1:3" x14ac:dyDescent="0.25">
      <c r="A3079" s="1" t="s">
        <v>15790</v>
      </c>
      <c r="B3079" s="1" t="s">
        <v>16379</v>
      </c>
      <c r="C3079" s="3">
        <f>IF(B3079="","",SUMIFS('Factory Costs'!$C:$C,'Factory Costs'!$A:$A,"Frame",'Factory Costs'!$B:$B,B3079))</f>
        <v>45</v>
      </c>
    </row>
    <row r="3080" spans="1:3" x14ac:dyDescent="0.25">
      <c r="A3080" s="1" t="s">
        <v>15793</v>
      </c>
      <c r="B3080" s="1" t="s">
        <v>16378</v>
      </c>
      <c r="C3080" s="3">
        <f>IF(B3080="","",SUMIFS('Factory Costs'!$C:$C,'Factory Costs'!$A:$A,"Frame",'Factory Costs'!$B:$B,B3080))</f>
        <v>52</v>
      </c>
    </row>
    <row r="3081" spans="1:3" x14ac:dyDescent="0.25">
      <c r="A3081" s="1" t="s">
        <v>15796</v>
      </c>
      <c r="B3081" s="1" t="s">
        <v>16378</v>
      </c>
      <c r="C3081" s="3">
        <f>IF(B3081="","",SUMIFS('Factory Costs'!$C:$C,'Factory Costs'!$A:$A,"Frame",'Factory Costs'!$B:$B,B3081))</f>
        <v>52</v>
      </c>
    </row>
    <row r="3082" spans="1:3" x14ac:dyDescent="0.25">
      <c r="A3082" s="1" t="s">
        <v>15799</v>
      </c>
      <c r="B3082" s="1" t="s">
        <v>16378</v>
      </c>
      <c r="C3082" s="3">
        <f>IF(B3082="","",SUMIFS('Factory Costs'!$C:$C,'Factory Costs'!$A:$A,"Frame",'Factory Costs'!$B:$B,B3082))</f>
        <v>52</v>
      </c>
    </row>
    <row r="3083" spans="1:3" x14ac:dyDescent="0.25">
      <c r="A3083" s="1" t="s">
        <v>15802</v>
      </c>
      <c r="B3083" s="1" t="s">
        <v>16377</v>
      </c>
      <c r="C3083" s="3">
        <f>IF(B3083="","",SUMIFS('Factory Costs'!$C:$C,'Factory Costs'!$A:$A,"Frame",'Factory Costs'!$B:$B,B3083))</f>
        <v>39</v>
      </c>
    </row>
    <row r="3084" spans="1:3" x14ac:dyDescent="0.25">
      <c r="A3084" s="1" t="s">
        <v>15805</v>
      </c>
      <c r="B3084" s="1" t="s">
        <v>16378</v>
      </c>
      <c r="C3084" s="3">
        <f>IF(B3084="","",SUMIFS('Factory Costs'!$C:$C,'Factory Costs'!$A:$A,"Frame",'Factory Costs'!$B:$B,B3084))</f>
        <v>52</v>
      </c>
    </row>
    <row r="3085" spans="1:3" x14ac:dyDescent="0.25">
      <c r="A3085" s="1" t="s">
        <v>15808</v>
      </c>
      <c r="B3085" s="1" t="s">
        <v>16377</v>
      </c>
      <c r="C3085" s="3">
        <f>IF(B3085="","",SUMIFS('Factory Costs'!$C:$C,'Factory Costs'!$A:$A,"Frame",'Factory Costs'!$B:$B,B3085))</f>
        <v>39</v>
      </c>
    </row>
    <row r="3086" spans="1:3" x14ac:dyDescent="0.25">
      <c r="A3086" s="1" t="s">
        <v>15811</v>
      </c>
      <c r="B3086" s="1" t="s">
        <v>16377</v>
      </c>
      <c r="C3086" s="3">
        <f>IF(B3086="","",SUMIFS('Factory Costs'!$C:$C,'Factory Costs'!$A:$A,"Frame",'Factory Costs'!$B:$B,B3086))</f>
        <v>39</v>
      </c>
    </row>
    <row r="3087" spans="1:3" x14ac:dyDescent="0.25">
      <c r="A3087" s="1" t="s">
        <v>15814</v>
      </c>
      <c r="B3087" s="1" t="s">
        <v>16377</v>
      </c>
      <c r="C3087" s="3">
        <f>IF(B3087="","",SUMIFS('Factory Costs'!$C:$C,'Factory Costs'!$A:$A,"Frame",'Factory Costs'!$B:$B,B3087))</f>
        <v>39</v>
      </c>
    </row>
    <row r="3088" spans="1:3" x14ac:dyDescent="0.25">
      <c r="A3088" s="1" t="s">
        <v>15817</v>
      </c>
      <c r="B3088" s="1" t="s">
        <v>16377</v>
      </c>
      <c r="C3088" s="3">
        <f>IF(B3088="","",SUMIFS('Factory Costs'!$C:$C,'Factory Costs'!$A:$A,"Frame",'Factory Costs'!$B:$B,B3088))</f>
        <v>39</v>
      </c>
    </row>
    <row r="3089" spans="1:3" x14ac:dyDescent="0.25">
      <c r="A3089" s="1" t="s">
        <v>15820</v>
      </c>
      <c r="B3089" s="1" t="s">
        <v>16379</v>
      </c>
      <c r="C3089" s="3">
        <f>IF(B3089="","",SUMIFS('Factory Costs'!$C:$C,'Factory Costs'!$A:$A,"Frame",'Factory Costs'!$B:$B,B3089))</f>
        <v>45</v>
      </c>
    </row>
    <row r="3090" spans="1:3" x14ac:dyDescent="0.25">
      <c r="A3090" s="1" t="s">
        <v>15823</v>
      </c>
      <c r="B3090" s="1" t="s">
        <v>16378</v>
      </c>
      <c r="C3090" s="3">
        <f>IF(B3090="","",SUMIFS('Factory Costs'!$C:$C,'Factory Costs'!$A:$A,"Frame",'Factory Costs'!$B:$B,B3090))</f>
        <v>52</v>
      </c>
    </row>
    <row r="3091" spans="1:3" x14ac:dyDescent="0.25">
      <c r="A3091" s="1" t="s">
        <v>15826</v>
      </c>
      <c r="B3091" s="1" t="s">
        <v>16378</v>
      </c>
      <c r="C3091" s="3">
        <f>IF(B3091="","",SUMIFS('Factory Costs'!$C:$C,'Factory Costs'!$A:$A,"Frame",'Factory Costs'!$B:$B,B3091))</f>
        <v>52</v>
      </c>
    </row>
    <row r="3092" spans="1:3" x14ac:dyDescent="0.25">
      <c r="A3092" s="1" t="s">
        <v>15829</v>
      </c>
      <c r="B3092" s="1" t="s">
        <v>16377</v>
      </c>
      <c r="C3092" s="3">
        <f>IF(B3092="","",SUMIFS('Factory Costs'!$C:$C,'Factory Costs'!$A:$A,"Frame",'Factory Costs'!$B:$B,B3092))</f>
        <v>39</v>
      </c>
    </row>
    <row r="3093" spans="1:3" x14ac:dyDescent="0.25">
      <c r="A3093" s="1" t="s">
        <v>15832</v>
      </c>
      <c r="B3093" s="1" t="s">
        <v>16377</v>
      </c>
      <c r="C3093" s="3">
        <f>IF(B3093="","",SUMIFS('Factory Costs'!$C:$C,'Factory Costs'!$A:$A,"Frame",'Factory Costs'!$B:$B,B3093))</f>
        <v>39</v>
      </c>
    </row>
    <row r="3094" spans="1:3" x14ac:dyDescent="0.25">
      <c r="A3094" s="1" t="s">
        <v>15835</v>
      </c>
      <c r="B3094" s="1" t="s">
        <v>16377</v>
      </c>
      <c r="C3094" s="3">
        <f>IF(B3094="","",SUMIFS('Factory Costs'!$C:$C,'Factory Costs'!$A:$A,"Frame",'Factory Costs'!$B:$B,B3094))</f>
        <v>39</v>
      </c>
    </row>
    <row r="3095" spans="1:3" x14ac:dyDescent="0.25">
      <c r="A3095" s="1" t="s">
        <v>15838</v>
      </c>
      <c r="B3095" s="1" t="s">
        <v>16378</v>
      </c>
      <c r="C3095" s="3">
        <f>IF(B3095="","",SUMIFS('Factory Costs'!$C:$C,'Factory Costs'!$A:$A,"Frame",'Factory Costs'!$B:$B,B3095))</f>
        <v>52</v>
      </c>
    </row>
    <row r="3096" spans="1:3" x14ac:dyDescent="0.25">
      <c r="A3096" s="1" t="s">
        <v>15841</v>
      </c>
      <c r="B3096" s="1" t="s">
        <v>16378</v>
      </c>
      <c r="C3096" s="3">
        <f>IF(B3096="","",SUMIFS('Factory Costs'!$C:$C,'Factory Costs'!$A:$A,"Frame",'Factory Costs'!$B:$B,B3096))</f>
        <v>52</v>
      </c>
    </row>
    <row r="3097" spans="1:3" x14ac:dyDescent="0.25">
      <c r="A3097" s="1" t="s">
        <v>15844</v>
      </c>
      <c r="B3097" s="1" t="s">
        <v>16379</v>
      </c>
      <c r="C3097" s="3">
        <f>IF(B3097="","",SUMIFS('Factory Costs'!$C:$C,'Factory Costs'!$A:$A,"Frame",'Factory Costs'!$B:$B,B3097))</f>
        <v>45</v>
      </c>
    </row>
    <row r="3098" spans="1:3" x14ac:dyDescent="0.25">
      <c r="A3098" s="1" t="s">
        <v>15847</v>
      </c>
      <c r="B3098" s="1" t="s">
        <v>16378</v>
      </c>
      <c r="C3098" s="3">
        <f>IF(B3098="","",SUMIFS('Factory Costs'!$C:$C,'Factory Costs'!$A:$A,"Frame",'Factory Costs'!$B:$B,B3098))</f>
        <v>52</v>
      </c>
    </row>
    <row r="3099" spans="1:3" x14ac:dyDescent="0.25">
      <c r="A3099" s="1" t="s">
        <v>15850</v>
      </c>
      <c r="B3099" s="1" t="s">
        <v>16379</v>
      </c>
      <c r="C3099" s="3">
        <f>IF(B3099="","",SUMIFS('Factory Costs'!$C:$C,'Factory Costs'!$A:$A,"Frame",'Factory Costs'!$B:$B,B3099))</f>
        <v>45</v>
      </c>
    </row>
    <row r="3100" spans="1:3" x14ac:dyDescent="0.25">
      <c r="A3100" s="1" t="s">
        <v>15853</v>
      </c>
      <c r="B3100" s="1" t="s">
        <v>16379</v>
      </c>
      <c r="C3100" s="3">
        <f>IF(B3100="","",SUMIFS('Factory Costs'!$C:$C,'Factory Costs'!$A:$A,"Frame",'Factory Costs'!$B:$B,B3100))</f>
        <v>45</v>
      </c>
    </row>
    <row r="3101" spans="1:3" x14ac:dyDescent="0.25">
      <c r="A3101" s="1" t="s">
        <v>15856</v>
      </c>
      <c r="B3101" s="1" t="s">
        <v>16379</v>
      </c>
      <c r="C3101" s="3">
        <f>IF(B3101="","",SUMIFS('Factory Costs'!$C:$C,'Factory Costs'!$A:$A,"Frame",'Factory Costs'!$B:$B,B3101))</f>
        <v>45</v>
      </c>
    </row>
    <row r="3102" spans="1:3" x14ac:dyDescent="0.25">
      <c r="A3102" s="1" t="s">
        <v>15859</v>
      </c>
      <c r="B3102" s="1" t="s">
        <v>16378</v>
      </c>
      <c r="C3102" s="3">
        <f>IF(B3102="","",SUMIFS('Factory Costs'!$C:$C,'Factory Costs'!$A:$A,"Frame",'Factory Costs'!$B:$B,B3102))</f>
        <v>52</v>
      </c>
    </row>
    <row r="3103" spans="1:3" x14ac:dyDescent="0.25">
      <c r="A3103" s="1" t="s">
        <v>15862</v>
      </c>
      <c r="B3103" s="1" t="s">
        <v>16377</v>
      </c>
      <c r="C3103" s="3">
        <f>IF(B3103="","",SUMIFS('Factory Costs'!$C:$C,'Factory Costs'!$A:$A,"Frame",'Factory Costs'!$B:$B,B3103))</f>
        <v>39</v>
      </c>
    </row>
    <row r="3104" spans="1:3" x14ac:dyDescent="0.25">
      <c r="A3104" s="1" t="s">
        <v>15865</v>
      </c>
      <c r="B3104" s="1" t="s">
        <v>16378</v>
      </c>
      <c r="C3104" s="3">
        <f>IF(B3104="","",SUMIFS('Factory Costs'!$C:$C,'Factory Costs'!$A:$A,"Frame",'Factory Costs'!$B:$B,B3104))</f>
        <v>52</v>
      </c>
    </row>
    <row r="3105" spans="1:3" x14ac:dyDescent="0.25">
      <c r="A3105" s="1" t="s">
        <v>15868</v>
      </c>
      <c r="B3105" s="1" t="s">
        <v>16377</v>
      </c>
      <c r="C3105" s="3">
        <f>IF(B3105="","",SUMIFS('Factory Costs'!$C:$C,'Factory Costs'!$A:$A,"Frame",'Factory Costs'!$B:$B,B3105))</f>
        <v>39</v>
      </c>
    </row>
    <row r="3106" spans="1:3" x14ac:dyDescent="0.25">
      <c r="A3106" s="1" t="s">
        <v>15871</v>
      </c>
      <c r="B3106" s="1" t="s">
        <v>16379</v>
      </c>
      <c r="C3106" s="3">
        <f>IF(B3106="","",SUMIFS('Factory Costs'!$C:$C,'Factory Costs'!$A:$A,"Frame",'Factory Costs'!$B:$B,B3106))</f>
        <v>45</v>
      </c>
    </row>
    <row r="3107" spans="1:3" x14ac:dyDescent="0.25">
      <c r="A3107" s="1" t="s">
        <v>15874</v>
      </c>
      <c r="B3107" s="1" t="s">
        <v>16379</v>
      </c>
      <c r="C3107" s="3">
        <f>IF(B3107="","",SUMIFS('Factory Costs'!$C:$C,'Factory Costs'!$A:$A,"Frame",'Factory Costs'!$B:$B,B3107))</f>
        <v>45</v>
      </c>
    </row>
    <row r="3108" spans="1:3" x14ac:dyDescent="0.25">
      <c r="A3108" s="1" t="s">
        <v>15877</v>
      </c>
      <c r="B3108" s="1" t="s">
        <v>16377</v>
      </c>
      <c r="C3108" s="3">
        <f>IF(B3108="","",SUMIFS('Factory Costs'!$C:$C,'Factory Costs'!$A:$A,"Frame",'Factory Costs'!$B:$B,B3108))</f>
        <v>39</v>
      </c>
    </row>
    <row r="3109" spans="1:3" x14ac:dyDescent="0.25">
      <c r="A3109" s="1" t="s">
        <v>15880</v>
      </c>
      <c r="B3109" s="1" t="s">
        <v>16377</v>
      </c>
      <c r="C3109" s="3">
        <f>IF(B3109="","",SUMIFS('Factory Costs'!$C:$C,'Factory Costs'!$A:$A,"Frame",'Factory Costs'!$B:$B,B3109))</f>
        <v>39</v>
      </c>
    </row>
    <row r="3110" spans="1:3" x14ac:dyDescent="0.25">
      <c r="A3110" s="1" t="s">
        <v>15883</v>
      </c>
      <c r="B3110" s="1" t="s">
        <v>16377</v>
      </c>
      <c r="C3110" s="3">
        <f>IF(B3110="","",SUMIFS('Factory Costs'!$C:$C,'Factory Costs'!$A:$A,"Frame",'Factory Costs'!$B:$B,B3110))</f>
        <v>39</v>
      </c>
    </row>
    <row r="3111" spans="1:3" x14ac:dyDescent="0.25">
      <c r="A3111" s="1" t="s">
        <v>15886</v>
      </c>
      <c r="B3111" s="1" t="s">
        <v>16378</v>
      </c>
      <c r="C3111" s="3">
        <f>IF(B3111="","",SUMIFS('Factory Costs'!$C:$C,'Factory Costs'!$A:$A,"Frame",'Factory Costs'!$B:$B,B3111))</f>
        <v>52</v>
      </c>
    </row>
    <row r="3112" spans="1:3" x14ac:dyDescent="0.25">
      <c r="A3112" s="1" t="s">
        <v>15889</v>
      </c>
      <c r="B3112" s="1" t="s">
        <v>16379</v>
      </c>
      <c r="C3112" s="3">
        <f>IF(B3112="","",SUMIFS('Factory Costs'!$C:$C,'Factory Costs'!$A:$A,"Frame",'Factory Costs'!$B:$B,B3112))</f>
        <v>45</v>
      </c>
    </row>
    <row r="3113" spans="1:3" x14ac:dyDescent="0.25">
      <c r="A3113" s="1" t="s">
        <v>15892</v>
      </c>
      <c r="B3113" s="1" t="s">
        <v>16377</v>
      </c>
      <c r="C3113" s="3">
        <f>IF(B3113="","",SUMIFS('Factory Costs'!$C:$C,'Factory Costs'!$A:$A,"Frame",'Factory Costs'!$B:$B,B3113))</f>
        <v>39</v>
      </c>
    </row>
    <row r="3114" spans="1:3" x14ac:dyDescent="0.25">
      <c r="A3114" s="1" t="s">
        <v>15895</v>
      </c>
      <c r="B3114" s="1" t="s">
        <v>16379</v>
      </c>
      <c r="C3114" s="3">
        <f>IF(B3114="","",SUMIFS('Factory Costs'!$C:$C,'Factory Costs'!$A:$A,"Frame",'Factory Costs'!$B:$B,B3114))</f>
        <v>45</v>
      </c>
    </row>
    <row r="3115" spans="1:3" x14ac:dyDescent="0.25">
      <c r="A3115" s="1" t="s">
        <v>15898</v>
      </c>
      <c r="B3115" s="1" t="s">
        <v>16377</v>
      </c>
      <c r="C3115" s="3">
        <f>IF(B3115="","",SUMIFS('Factory Costs'!$C:$C,'Factory Costs'!$A:$A,"Frame",'Factory Costs'!$B:$B,B3115))</f>
        <v>39</v>
      </c>
    </row>
    <row r="3116" spans="1:3" x14ac:dyDescent="0.25">
      <c r="A3116" s="1" t="s">
        <v>15901</v>
      </c>
      <c r="B3116" s="1" t="s">
        <v>16379</v>
      </c>
      <c r="C3116" s="3">
        <f>IF(B3116="","",SUMIFS('Factory Costs'!$C:$C,'Factory Costs'!$A:$A,"Frame",'Factory Costs'!$B:$B,B3116))</f>
        <v>45</v>
      </c>
    </row>
    <row r="3117" spans="1:3" x14ac:dyDescent="0.25">
      <c r="A3117" s="1" t="s">
        <v>15904</v>
      </c>
      <c r="B3117" s="1" t="s">
        <v>16377</v>
      </c>
      <c r="C3117" s="3">
        <f>IF(B3117="","",SUMIFS('Factory Costs'!$C:$C,'Factory Costs'!$A:$A,"Frame",'Factory Costs'!$B:$B,B3117))</f>
        <v>39</v>
      </c>
    </row>
    <row r="3118" spans="1:3" x14ac:dyDescent="0.25">
      <c r="A3118" s="1" t="s">
        <v>15907</v>
      </c>
      <c r="B3118" s="1" t="s">
        <v>16377</v>
      </c>
      <c r="C3118" s="3">
        <f>IF(B3118="","",SUMIFS('Factory Costs'!$C:$C,'Factory Costs'!$A:$A,"Frame",'Factory Costs'!$B:$B,B3118))</f>
        <v>39</v>
      </c>
    </row>
    <row r="3119" spans="1:3" x14ac:dyDescent="0.25">
      <c r="A3119" s="1" t="s">
        <v>15910</v>
      </c>
      <c r="B3119" s="1" t="s">
        <v>16377</v>
      </c>
      <c r="C3119" s="3">
        <f>IF(B3119="","",SUMIFS('Factory Costs'!$C:$C,'Factory Costs'!$A:$A,"Frame",'Factory Costs'!$B:$B,B3119))</f>
        <v>39</v>
      </c>
    </row>
    <row r="3120" spans="1:3" x14ac:dyDescent="0.25">
      <c r="A3120" s="1" t="s">
        <v>15913</v>
      </c>
      <c r="B3120" s="1" t="s">
        <v>16378</v>
      </c>
      <c r="C3120" s="3">
        <f>IF(B3120="","",SUMIFS('Factory Costs'!$C:$C,'Factory Costs'!$A:$A,"Frame",'Factory Costs'!$B:$B,B3120))</f>
        <v>52</v>
      </c>
    </row>
    <row r="3121" spans="1:3" x14ac:dyDescent="0.25">
      <c r="A3121" s="1" t="s">
        <v>15916</v>
      </c>
      <c r="B3121" s="1" t="s">
        <v>16377</v>
      </c>
      <c r="C3121" s="3">
        <f>IF(B3121="","",SUMIFS('Factory Costs'!$C:$C,'Factory Costs'!$A:$A,"Frame",'Factory Costs'!$B:$B,B3121))</f>
        <v>39</v>
      </c>
    </row>
    <row r="3122" spans="1:3" x14ac:dyDescent="0.25">
      <c r="A3122" s="1" t="s">
        <v>15919</v>
      </c>
      <c r="B3122" s="1" t="s">
        <v>16378</v>
      </c>
      <c r="C3122" s="3">
        <f>IF(B3122="","",SUMIFS('Factory Costs'!$C:$C,'Factory Costs'!$A:$A,"Frame",'Factory Costs'!$B:$B,B3122))</f>
        <v>52</v>
      </c>
    </row>
    <row r="3123" spans="1:3" x14ac:dyDescent="0.25">
      <c r="A3123" s="1" t="s">
        <v>15922</v>
      </c>
      <c r="B3123" s="1" t="s">
        <v>16378</v>
      </c>
      <c r="C3123" s="3">
        <f>IF(B3123="","",SUMIFS('Factory Costs'!$C:$C,'Factory Costs'!$A:$A,"Frame",'Factory Costs'!$B:$B,B3123))</f>
        <v>52</v>
      </c>
    </row>
    <row r="3124" spans="1:3" x14ac:dyDescent="0.25">
      <c r="A3124" s="1" t="s">
        <v>15925</v>
      </c>
      <c r="B3124" s="1" t="s">
        <v>16378</v>
      </c>
      <c r="C3124" s="3">
        <f>IF(B3124="","",SUMIFS('Factory Costs'!$C:$C,'Factory Costs'!$A:$A,"Frame",'Factory Costs'!$B:$B,B3124))</f>
        <v>52</v>
      </c>
    </row>
    <row r="3125" spans="1:3" x14ac:dyDescent="0.25">
      <c r="A3125" s="1" t="s">
        <v>15928</v>
      </c>
      <c r="B3125" s="1" t="s">
        <v>16377</v>
      </c>
      <c r="C3125" s="3">
        <f>IF(B3125="","",SUMIFS('Factory Costs'!$C:$C,'Factory Costs'!$A:$A,"Frame",'Factory Costs'!$B:$B,B3125))</f>
        <v>39</v>
      </c>
    </row>
    <row r="3126" spans="1:3" x14ac:dyDescent="0.25">
      <c r="A3126" s="1" t="s">
        <v>15931</v>
      </c>
      <c r="B3126" s="1" t="s">
        <v>16377</v>
      </c>
      <c r="C3126" s="3">
        <f>IF(B3126="","",SUMIFS('Factory Costs'!$C:$C,'Factory Costs'!$A:$A,"Frame",'Factory Costs'!$B:$B,B3126))</f>
        <v>39</v>
      </c>
    </row>
    <row r="3127" spans="1:3" x14ac:dyDescent="0.25">
      <c r="A3127" s="1" t="s">
        <v>15934</v>
      </c>
      <c r="B3127" s="1" t="s">
        <v>16378</v>
      </c>
      <c r="C3127" s="3">
        <f>IF(B3127="","",SUMIFS('Factory Costs'!$C:$C,'Factory Costs'!$A:$A,"Frame",'Factory Costs'!$B:$B,B3127))</f>
        <v>52</v>
      </c>
    </row>
    <row r="3128" spans="1:3" x14ac:dyDescent="0.25">
      <c r="A3128" s="1" t="s">
        <v>15937</v>
      </c>
      <c r="B3128" s="1" t="s">
        <v>16377</v>
      </c>
      <c r="C3128" s="3">
        <f>IF(B3128="","",SUMIFS('Factory Costs'!$C:$C,'Factory Costs'!$A:$A,"Frame",'Factory Costs'!$B:$B,B3128))</f>
        <v>39</v>
      </c>
    </row>
    <row r="3129" spans="1:3" x14ac:dyDescent="0.25">
      <c r="A3129" s="1" t="s">
        <v>15940</v>
      </c>
      <c r="B3129" s="1" t="s">
        <v>16379</v>
      </c>
      <c r="C3129" s="3">
        <f>IF(B3129="","",SUMIFS('Factory Costs'!$C:$C,'Factory Costs'!$A:$A,"Frame",'Factory Costs'!$B:$B,B3129))</f>
        <v>45</v>
      </c>
    </row>
    <row r="3130" spans="1:3" x14ac:dyDescent="0.25">
      <c r="A3130" s="1" t="s">
        <v>15943</v>
      </c>
      <c r="B3130" s="1" t="s">
        <v>16379</v>
      </c>
      <c r="C3130" s="3">
        <f>IF(B3130="","",SUMIFS('Factory Costs'!$C:$C,'Factory Costs'!$A:$A,"Frame",'Factory Costs'!$B:$B,B3130))</f>
        <v>45</v>
      </c>
    </row>
    <row r="3131" spans="1:3" x14ac:dyDescent="0.25">
      <c r="A3131" s="1" t="s">
        <v>15946</v>
      </c>
      <c r="B3131" s="1" t="s">
        <v>16377</v>
      </c>
      <c r="C3131" s="3">
        <f>IF(B3131="","",SUMIFS('Factory Costs'!$C:$C,'Factory Costs'!$A:$A,"Frame",'Factory Costs'!$B:$B,B3131))</f>
        <v>39</v>
      </c>
    </row>
    <row r="3132" spans="1:3" x14ac:dyDescent="0.25">
      <c r="A3132" s="1" t="s">
        <v>15949</v>
      </c>
      <c r="B3132" s="1" t="s">
        <v>16377</v>
      </c>
      <c r="C3132" s="3">
        <f>IF(B3132="","",SUMIFS('Factory Costs'!$C:$C,'Factory Costs'!$A:$A,"Frame",'Factory Costs'!$B:$B,B3132))</f>
        <v>39</v>
      </c>
    </row>
    <row r="3133" spans="1:3" x14ac:dyDescent="0.25">
      <c r="A3133" s="1" t="s">
        <v>15952</v>
      </c>
      <c r="B3133" s="1" t="s">
        <v>16378</v>
      </c>
      <c r="C3133" s="3">
        <f>IF(B3133="","",SUMIFS('Factory Costs'!$C:$C,'Factory Costs'!$A:$A,"Frame",'Factory Costs'!$B:$B,B3133))</f>
        <v>52</v>
      </c>
    </row>
    <row r="3134" spans="1:3" x14ac:dyDescent="0.25">
      <c r="A3134" s="1" t="s">
        <v>15955</v>
      </c>
      <c r="B3134" s="1" t="s">
        <v>16379</v>
      </c>
      <c r="C3134" s="3">
        <f>IF(B3134="","",SUMIFS('Factory Costs'!$C:$C,'Factory Costs'!$A:$A,"Frame",'Factory Costs'!$B:$B,B3134))</f>
        <v>45</v>
      </c>
    </row>
    <row r="3135" spans="1:3" x14ac:dyDescent="0.25">
      <c r="A3135" s="1" t="s">
        <v>15958</v>
      </c>
      <c r="B3135" s="1" t="s">
        <v>16378</v>
      </c>
      <c r="C3135" s="3">
        <f>IF(B3135="","",SUMIFS('Factory Costs'!$C:$C,'Factory Costs'!$A:$A,"Frame",'Factory Costs'!$B:$B,B3135))</f>
        <v>52</v>
      </c>
    </row>
    <row r="3136" spans="1:3" x14ac:dyDescent="0.25">
      <c r="A3136" s="1" t="s">
        <v>15961</v>
      </c>
      <c r="B3136" s="1" t="s">
        <v>16377</v>
      </c>
      <c r="C3136" s="3">
        <f>IF(B3136="","",SUMIFS('Factory Costs'!$C:$C,'Factory Costs'!$A:$A,"Frame",'Factory Costs'!$B:$B,B3136))</f>
        <v>39</v>
      </c>
    </row>
    <row r="3137" spans="1:3" x14ac:dyDescent="0.25">
      <c r="A3137" s="1" t="s">
        <v>15964</v>
      </c>
      <c r="B3137" s="1" t="s">
        <v>16379</v>
      </c>
      <c r="C3137" s="3">
        <f>IF(B3137="","",SUMIFS('Factory Costs'!$C:$C,'Factory Costs'!$A:$A,"Frame",'Factory Costs'!$B:$B,B3137))</f>
        <v>45</v>
      </c>
    </row>
    <row r="3138" spans="1:3" x14ac:dyDescent="0.25">
      <c r="A3138" s="1" t="s">
        <v>15967</v>
      </c>
      <c r="B3138" s="1" t="s">
        <v>16377</v>
      </c>
      <c r="C3138" s="3">
        <f>IF(B3138="","",SUMIFS('Factory Costs'!$C:$C,'Factory Costs'!$A:$A,"Frame",'Factory Costs'!$B:$B,B3138))</f>
        <v>39</v>
      </c>
    </row>
    <row r="3139" spans="1:3" x14ac:dyDescent="0.25">
      <c r="A3139" s="1" t="s">
        <v>15970</v>
      </c>
      <c r="B3139" s="1" t="s">
        <v>16377</v>
      </c>
      <c r="C3139" s="3">
        <f>IF(B3139="","",SUMIFS('Factory Costs'!$C:$C,'Factory Costs'!$A:$A,"Frame",'Factory Costs'!$B:$B,B3139))</f>
        <v>39</v>
      </c>
    </row>
    <row r="3140" spans="1:3" x14ac:dyDescent="0.25">
      <c r="A3140" s="1" t="s">
        <v>15973</v>
      </c>
      <c r="B3140" s="1" t="s">
        <v>16377</v>
      </c>
      <c r="C3140" s="3">
        <f>IF(B3140="","",SUMIFS('Factory Costs'!$C:$C,'Factory Costs'!$A:$A,"Frame",'Factory Costs'!$B:$B,B3140))</f>
        <v>39</v>
      </c>
    </row>
    <row r="3141" spans="1:3" x14ac:dyDescent="0.25">
      <c r="A3141" s="1" t="s">
        <v>15976</v>
      </c>
      <c r="B3141" s="1" t="s">
        <v>16377</v>
      </c>
      <c r="C3141" s="3">
        <f>IF(B3141="","",SUMIFS('Factory Costs'!$C:$C,'Factory Costs'!$A:$A,"Frame",'Factory Costs'!$B:$B,B3141))</f>
        <v>39</v>
      </c>
    </row>
    <row r="3142" spans="1:3" x14ac:dyDescent="0.25">
      <c r="A3142" s="1" t="s">
        <v>15979</v>
      </c>
      <c r="B3142" s="1" t="s">
        <v>16377</v>
      </c>
      <c r="C3142" s="3">
        <f>IF(B3142="","",SUMIFS('Factory Costs'!$C:$C,'Factory Costs'!$A:$A,"Frame",'Factory Costs'!$B:$B,B3142))</f>
        <v>39</v>
      </c>
    </row>
    <row r="3143" spans="1:3" x14ac:dyDescent="0.25">
      <c r="A3143" s="1" t="s">
        <v>15982</v>
      </c>
      <c r="B3143" s="1" t="s">
        <v>16379</v>
      </c>
      <c r="C3143" s="3">
        <f>IF(B3143="","",SUMIFS('Factory Costs'!$C:$C,'Factory Costs'!$A:$A,"Frame",'Factory Costs'!$B:$B,B3143))</f>
        <v>45</v>
      </c>
    </row>
    <row r="3144" spans="1:3" x14ac:dyDescent="0.25">
      <c r="A3144" s="1" t="s">
        <v>15985</v>
      </c>
      <c r="B3144" s="1" t="s">
        <v>16379</v>
      </c>
      <c r="C3144" s="3">
        <f>IF(B3144="","",SUMIFS('Factory Costs'!$C:$C,'Factory Costs'!$A:$A,"Frame",'Factory Costs'!$B:$B,B3144))</f>
        <v>45</v>
      </c>
    </row>
    <row r="3145" spans="1:3" x14ac:dyDescent="0.25">
      <c r="A3145" s="1" t="s">
        <v>15988</v>
      </c>
      <c r="B3145" s="1" t="s">
        <v>16379</v>
      </c>
      <c r="C3145" s="3">
        <f>IF(B3145="","",SUMIFS('Factory Costs'!$C:$C,'Factory Costs'!$A:$A,"Frame",'Factory Costs'!$B:$B,B3145))</f>
        <v>45</v>
      </c>
    </row>
    <row r="3146" spans="1:3" x14ac:dyDescent="0.25">
      <c r="A3146" s="1" t="s">
        <v>15991</v>
      </c>
      <c r="B3146" s="1" t="s">
        <v>16377</v>
      </c>
      <c r="C3146" s="3">
        <f>IF(B3146="","",SUMIFS('Factory Costs'!$C:$C,'Factory Costs'!$A:$A,"Frame",'Factory Costs'!$B:$B,B3146))</f>
        <v>39</v>
      </c>
    </row>
    <row r="3147" spans="1:3" x14ac:dyDescent="0.25">
      <c r="A3147" s="1" t="s">
        <v>15994</v>
      </c>
      <c r="B3147" s="1" t="s">
        <v>16379</v>
      </c>
      <c r="C3147" s="3">
        <f>IF(B3147="","",SUMIFS('Factory Costs'!$C:$C,'Factory Costs'!$A:$A,"Frame",'Factory Costs'!$B:$B,B3147))</f>
        <v>45</v>
      </c>
    </row>
    <row r="3148" spans="1:3" x14ac:dyDescent="0.25">
      <c r="A3148" s="1" t="s">
        <v>15997</v>
      </c>
      <c r="B3148" s="1" t="s">
        <v>16377</v>
      </c>
      <c r="C3148" s="3">
        <f>IF(B3148="","",SUMIFS('Factory Costs'!$C:$C,'Factory Costs'!$A:$A,"Frame",'Factory Costs'!$B:$B,B3148))</f>
        <v>39</v>
      </c>
    </row>
    <row r="3149" spans="1:3" x14ac:dyDescent="0.25">
      <c r="A3149" s="1" t="s">
        <v>16000</v>
      </c>
      <c r="B3149" s="1" t="s">
        <v>16379</v>
      </c>
      <c r="C3149" s="3">
        <f>IF(B3149="","",SUMIFS('Factory Costs'!$C:$C,'Factory Costs'!$A:$A,"Frame",'Factory Costs'!$B:$B,B3149))</f>
        <v>45</v>
      </c>
    </row>
    <row r="3150" spans="1:3" x14ac:dyDescent="0.25">
      <c r="A3150" s="1" t="s">
        <v>16003</v>
      </c>
      <c r="B3150" s="1" t="s">
        <v>16377</v>
      </c>
      <c r="C3150" s="3">
        <f>IF(B3150="","",SUMIFS('Factory Costs'!$C:$C,'Factory Costs'!$A:$A,"Frame",'Factory Costs'!$B:$B,B3150))</f>
        <v>39</v>
      </c>
    </row>
    <row r="3151" spans="1:3" x14ac:dyDescent="0.25">
      <c r="A3151" s="1" t="s">
        <v>16006</v>
      </c>
      <c r="B3151" s="1" t="s">
        <v>16377</v>
      </c>
      <c r="C3151" s="3">
        <f>IF(B3151="","",SUMIFS('Factory Costs'!$C:$C,'Factory Costs'!$A:$A,"Frame",'Factory Costs'!$B:$B,B3151))</f>
        <v>39</v>
      </c>
    </row>
    <row r="3152" spans="1:3" x14ac:dyDescent="0.25">
      <c r="A3152" s="1" t="s">
        <v>16009</v>
      </c>
      <c r="B3152" s="1" t="s">
        <v>16377</v>
      </c>
      <c r="C3152" s="3">
        <f>IF(B3152="","",SUMIFS('Factory Costs'!$C:$C,'Factory Costs'!$A:$A,"Frame",'Factory Costs'!$B:$B,B3152))</f>
        <v>39</v>
      </c>
    </row>
    <row r="3153" spans="1:3" x14ac:dyDescent="0.25">
      <c r="A3153" s="1" t="s">
        <v>16012</v>
      </c>
      <c r="B3153" s="1" t="s">
        <v>16378</v>
      </c>
      <c r="C3153" s="3">
        <f>IF(B3153="","",SUMIFS('Factory Costs'!$C:$C,'Factory Costs'!$A:$A,"Frame",'Factory Costs'!$B:$B,B3153))</f>
        <v>52</v>
      </c>
    </row>
    <row r="3154" spans="1:3" x14ac:dyDescent="0.25">
      <c r="A3154" s="1" t="s">
        <v>16015</v>
      </c>
      <c r="B3154" s="1" t="s">
        <v>16378</v>
      </c>
      <c r="C3154" s="3">
        <f>IF(B3154="","",SUMIFS('Factory Costs'!$C:$C,'Factory Costs'!$A:$A,"Frame",'Factory Costs'!$B:$B,B3154))</f>
        <v>52</v>
      </c>
    </row>
    <row r="3155" spans="1:3" x14ac:dyDescent="0.25">
      <c r="A3155" s="1" t="s">
        <v>16018</v>
      </c>
      <c r="B3155" s="1" t="s">
        <v>16379</v>
      </c>
      <c r="C3155" s="3">
        <f>IF(B3155="","",SUMIFS('Factory Costs'!$C:$C,'Factory Costs'!$A:$A,"Frame",'Factory Costs'!$B:$B,B3155))</f>
        <v>45</v>
      </c>
    </row>
    <row r="3156" spans="1:3" x14ac:dyDescent="0.25">
      <c r="A3156" s="1" t="s">
        <v>16021</v>
      </c>
      <c r="B3156" s="1" t="s">
        <v>16377</v>
      </c>
      <c r="C3156" s="3">
        <f>IF(B3156="","",SUMIFS('Factory Costs'!$C:$C,'Factory Costs'!$A:$A,"Frame",'Factory Costs'!$B:$B,B3156))</f>
        <v>39</v>
      </c>
    </row>
    <row r="3157" spans="1:3" x14ac:dyDescent="0.25">
      <c r="A3157" s="1" t="s">
        <v>16024</v>
      </c>
      <c r="B3157" s="1" t="s">
        <v>16378</v>
      </c>
      <c r="C3157" s="3">
        <f>IF(B3157="","",SUMIFS('Factory Costs'!$C:$C,'Factory Costs'!$A:$A,"Frame",'Factory Costs'!$B:$B,B3157))</f>
        <v>52</v>
      </c>
    </row>
    <row r="3158" spans="1:3" x14ac:dyDescent="0.25">
      <c r="A3158" s="1" t="s">
        <v>16027</v>
      </c>
      <c r="B3158" s="1" t="s">
        <v>16377</v>
      </c>
      <c r="C3158" s="3">
        <f>IF(B3158="","",SUMIFS('Factory Costs'!$C:$C,'Factory Costs'!$A:$A,"Frame",'Factory Costs'!$B:$B,B3158))</f>
        <v>39</v>
      </c>
    </row>
    <row r="3159" spans="1:3" x14ac:dyDescent="0.25">
      <c r="A3159" s="1" t="s">
        <v>16030</v>
      </c>
      <c r="B3159" s="1" t="s">
        <v>16378</v>
      </c>
      <c r="C3159" s="3">
        <f>IF(B3159="","",SUMIFS('Factory Costs'!$C:$C,'Factory Costs'!$A:$A,"Frame",'Factory Costs'!$B:$B,B3159))</f>
        <v>52</v>
      </c>
    </row>
    <row r="3160" spans="1:3" x14ac:dyDescent="0.25">
      <c r="A3160" s="1" t="s">
        <v>16033</v>
      </c>
      <c r="B3160" s="1" t="s">
        <v>16378</v>
      </c>
      <c r="C3160" s="3">
        <f>IF(B3160="","",SUMIFS('Factory Costs'!$C:$C,'Factory Costs'!$A:$A,"Frame",'Factory Costs'!$B:$B,B3160))</f>
        <v>52</v>
      </c>
    </row>
    <row r="3161" spans="1:3" x14ac:dyDescent="0.25">
      <c r="A3161" s="1" t="s">
        <v>16036</v>
      </c>
      <c r="B3161" s="1" t="s">
        <v>16377</v>
      </c>
      <c r="C3161" s="3">
        <f>IF(B3161="","",SUMIFS('Factory Costs'!$C:$C,'Factory Costs'!$A:$A,"Frame",'Factory Costs'!$B:$B,B3161))</f>
        <v>39</v>
      </c>
    </row>
    <row r="3162" spans="1:3" x14ac:dyDescent="0.25">
      <c r="A3162" s="1" t="s">
        <v>16039</v>
      </c>
      <c r="B3162" s="1" t="s">
        <v>16377</v>
      </c>
      <c r="C3162" s="3">
        <f>IF(B3162="","",SUMIFS('Factory Costs'!$C:$C,'Factory Costs'!$A:$A,"Frame",'Factory Costs'!$B:$B,B3162))</f>
        <v>39</v>
      </c>
    </row>
    <row r="3163" spans="1:3" x14ac:dyDescent="0.25">
      <c r="A3163" s="1" t="s">
        <v>16042</v>
      </c>
      <c r="B3163" s="1" t="s">
        <v>16377</v>
      </c>
      <c r="C3163" s="3">
        <f>IF(B3163="","",SUMIFS('Factory Costs'!$C:$C,'Factory Costs'!$A:$A,"Frame",'Factory Costs'!$B:$B,B3163))</f>
        <v>39</v>
      </c>
    </row>
    <row r="3164" spans="1:3" x14ac:dyDescent="0.25">
      <c r="A3164" s="1" t="s">
        <v>16045</v>
      </c>
      <c r="B3164" s="1" t="s">
        <v>16378</v>
      </c>
      <c r="C3164" s="3">
        <f>IF(B3164="","",SUMIFS('Factory Costs'!$C:$C,'Factory Costs'!$A:$A,"Frame",'Factory Costs'!$B:$B,B3164))</f>
        <v>52</v>
      </c>
    </row>
    <row r="3165" spans="1:3" x14ac:dyDescent="0.25">
      <c r="A3165" s="1" t="s">
        <v>16048</v>
      </c>
      <c r="B3165" s="1" t="s">
        <v>16377</v>
      </c>
      <c r="C3165" s="3">
        <f>IF(B3165="","",SUMIFS('Factory Costs'!$C:$C,'Factory Costs'!$A:$A,"Frame",'Factory Costs'!$B:$B,B3165))</f>
        <v>39</v>
      </c>
    </row>
    <row r="3166" spans="1:3" x14ac:dyDescent="0.25">
      <c r="A3166" s="1" t="s">
        <v>16051</v>
      </c>
      <c r="B3166" s="1" t="s">
        <v>16379</v>
      </c>
      <c r="C3166" s="3">
        <f>IF(B3166="","",SUMIFS('Factory Costs'!$C:$C,'Factory Costs'!$A:$A,"Frame",'Factory Costs'!$B:$B,B3166))</f>
        <v>45</v>
      </c>
    </row>
    <row r="3167" spans="1:3" x14ac:dyDescent="0.25">
      <c r="A3167" s="1" t="s">
        <v>16054</v>
      </c>
      <c r="B3167" s="1" t="s">
        <v>16377</v>
      </c>
      <c r="C3167" s="3">
        <f>IF(B3167="","",SUMIFS('Factory Costs'!$C:$C,'Factory Costs'!$A:$A,"Frame",'Factory Costs'!$B:$B,B3167))</f>
        <v>39</v>
      </c>
    </row>
    <row r="3168" spans="1:3" x14ac:dyDescent="0.25">
      <c r="A3168" s="1" t="s">
        <v>16057</v>
      </c>
      <c r="B3168" s="1" t="s">
        <v>16378</v>
      </c>
      <c r="C3168" s="3">
        <f>IF(B3168="","",SUMIFS('Factory Costs'!$C:$C,'Factory Costs'!$A:$A,"Frame",'Factory Costs'!$B:$B,B3168))</f>
        <v>52</v>
      </c>
    </row>
    <row r="3169" spans="1:3" x14ac:dyDescent="0.25">
      <c r="A3169" s="1" t="s">
        <v>16060</v>
      </c>
      <c r="B3169" s="1" t="s">
        <v>16377</v>
      </c>
      <c r="C3169" s="3">
        <f>IF(B3169="","",SUMIFS('Factory Costs'!$C:$C,'Factory Costs'!$A:$A,"Frame",'Factory Costs'!$B:$B,B3169))</f>
        <v>39</v>
      </c>
    </row>
    <row r="3170" spans="1:3" x14ac:dyDescent="0.25">
      <c r="A3170" s="1" t="s">
        <v>16063</v>
      </c>
      <c r="B3170" s="1" t="s">
        <v>16379</v>
      </c>
      <c r="C3170" s="3">
        <f>IF(B3170="","",SUMIFS('Factory Costs'!$C:$C,'Factory Costs'!$A:$A,"Frame",'Factory Costs'!$B:$B,B3170))</f>
        <v>45</v>
      </c>
    </row>
    <row r="3171" spans="1:3" x14ac:dyDescent="0.25">
      <c r="A3171" s="1" t="s">
        <v>16066</v>
      </c>
      <c r="B3171" s="1" t="s">
        <v>16379</v>
      </c>
      <c r="C3171" s="3">
        <f>IF(B3171="","",SUMIFS('Factory Costs'!$C:$C,'Factory Costs'!$A:$A,"Frame",'Factory Costs'!$B:$B,B3171))</f>
        <v>45</v>
      </c>
    </row>
    <row r="3172" spans="1:3" x14ac:dyDescent="0.25">
      <c r="A3172" s="1" t="s">
        <v>16069</v>
      </c>
      <c r="B3172" s="1" t="s">
        <v>16379</v>
      </c>
      <c r="C3172" s="3">
        <f>IF(B3172="","",SUMIFS('Factory Costs'!$C:$C,'Factory Costs'!$A:$A,"Frame",'Factory Costs'!$B:$B,B3172))</f>
        <v>45</v>
      </c>
    </row>
    <row r="3173" spans="1:3" x14ac:dyDescent="0.25">
      <c r="A3173" s="1" t="s">
        <v>16072</v>
      </c>
      <c r="B3173" s="1" t="s">
        <v>16377</v>
      </c>
      <c r="C3173" s="3">
        <f>IF(B3173="","",SUMIFS('Factory Costs'!$C:$C,'Factory Costs'!$A:$A,"Frame",'Factory Costs'!$B:$B,B3173))</f>
        <v>39</v>
      </c>
    </row>
    <row r="3174" spans="1:3" x14ac:dyDescent="0.25">
      <c r="A3174" s="1" t="s">
        <v>16075</v>
      </c>
      <c r="B3174" s="1" t="s">
        <v>16377</v>
      </c>
      <c r="C3174" s="3">
        <f>IF(B3174="","",SUMIFS('Factory Costs'!$C:$C,'Factory Costs'!$A:$A,"Frame",'Factory Costs'!$B:$B,B3174))</f>
        <v>39</v>
      </c>
    </row>
    <row r="3175" spans="1:3" x14ac:dyDescent="0.25">
      <c r="A3175" s="1" t="s">
        <v>16078</v>
      </c>
      <c r="B3175" s="1" t="s">
        <v>16379</v>
      </c>
      <c r="C3175" s="3">
        <f>IF(B3175="","",SUMIFS('Factory Costs'!$C:$C,'Factory Costs'!$A:$A,"Frame",'Factory Costs'!$B:$B,B3175))</f>
        <v>45</v>
      </c>
    </row>
    <row r="3176" spans="1:3" x14ac:dyDescent="0.25">
      <c r="A3176" s="1" t="s">
        <v>16081</v>
      </c>
      <c r="B3176" s="1" t="s">
        <v>16378</v>
      </c>
      <c r="C3176" s="3">
        <f>IF(B3176="","",SUMIFS('Factory Costs'!$C:$C,'Factory Costs'!$A:$A,"Frame",'Factory Costs'!$B:$B,B3176))</f>
        <v>52</v>
      </c>
    </row>
    <row r="3177" spans="1:3" x14ac:dyDescent="0.25">
      <c r="A3177" s="1" t="s">
        <v>16084</v>
      </c>
      <c r="B3177" s="1" t="s">
        <v>16378</v>
      </c>
      <c r="C3177" s="3">
        <f>IF(B3177="","",SUMIFS('Factory Costs'!$C:$C,'Factory Costs'!$A:$A,"Frame",'Factory Costs'!$B:$B,B3177))</f>
        <v>52</v>
      </c>
    </row>
    <row r="3178" spans="1:3" x14ac:dyDescent="0.25">
      <c r="A3178" s="1" t="s">
        <v>16087</v>
      </c>
      <c r="B3178" s="1" t="s">
        <v>16378</v>
      </c>
      <c r="C3178" s="3">
        <f>IF(B3178="","",SUMIFS('Factory Costs'!$C:$C,'Factory Costs'!$A:$A,"Frame",'Factory Costs'!$B:$B,B3178))</f>
        <v>52</v>
      </c>
    </row>
    <row r="3179" spans="1:3" x14ac:dyDescent="0.25">
      <c r="A3179" s="1" t="s">
        <v>16090</v>
      </c>
      <c r="B3179" s="1" t="s">
        <v>16379</v>
      </c>
      <c r="C3179" s="3">
        <f>IF(B3179="","",SUMIFS('Factory Costs'!$C:$C,'Factory Costs'!$A:$A,"Frame",'Factory Costs'!$B:$B,B3179))</f>
        <v>45</v>
      </c>
    </row>
    <row r="3180" spans="1:3" x14ac:dyDescent="0.25">
      <c r="A3180" s="1" t="s">
        <v>16093</v>
      </c>
      <c r="B3180" s="1" t="s">
        <v>16377</v>
      </c>
      <c r="C3180" s="3">
        <f>IF(B3180="","",SUMIFS('Factory Costs'!$C:$C,'Factory Costs'!$A:$A,"Frame",'Factory Costs'!$B:$B,B3180))</f>
        <v>39</v>
      </c>
    </row>
    <row r="3181" spans="1:3" x14ac:dyDescent="0.25">
      <c r="A3181" s="1" t="s">
        <v>16096</v>
      </c>
      <c r="B3181" s="1" t="s">
        <v>16378</v>
      </c>
      <c r="C3181" s="3">
        <f>IF(B3181="","",SUMIFS('Factory Costs'!$C:$C,'Factory Costs'!$A:$A,"Frame",'Factory Costs'!$B:$B,B3181))</f>
        <v>52</v>
      </c>
    </row>
    <row r="3182" spans="1:3" x14ac:dyDescent="0.25">
      <c r="A3182" s="1" t="s">
        <v>16099</v>
      </c>
      <c r="B3182" s="1" t="s">
        <v>16377</v>
      </c>
      <c r="C3182" s="3">
        <f>IF(B3182="","",SUMIFS('Factory Costs'!$C:$C,'Factory Costs'!$A:$A,"Frame",'Factory Costs'!$B:$B,B3182))</f>
        <v>39</v>
      </c>
    </row>
    <row r="3183" spans="1:3" x14ac:dyDescent="0.25">
      <c r="A3183" s="1" t="s">
        <v>16102</v>
      </c>
      <c r="B3183" s="1" t="s">
        <v>16378</v>
      </c>
      <c r="C3183" s="3">
        <f>IF(B3183="","",SUMIFS('Factory Costs'!$C:$C,'Factory Costs'!$A:$A,"Frame",'Factory Costs'!$B:$B,B3183))</f>
        <v>52</v>
      </c>
    </row>
    <row r="3184" spans="1:3" x14ac:dyDescent="0.25">
      <c r="A3184" s="1" t="s">
        <v>16105</v>
      </c>
      <c r="B3184" s="1" t="s">
        <v>16377</v>
      </c>
      <c r="C3184" s="3">
        <f>IF(B3184="","",SUMIFS('Factory Costs'!$C:$C,'Factory Costs'!$A:$A,"Frame",'Factory Costs'!$B:$B,B3184))</f>
        <v>39</v>
      </c>
    </row>
    <row r="3185" spans="1:3" x14ac:dyDescent="0.25">
      <c r="A3185" s="1" t="s">
        <v>16108</v>
      </c>
      <c r="B3185" s="1" t="s">
        <v>16377</v>
      </c>
      <c r="C3185" s="3">
        <f>IF(B3185="","",SUMIFS('Factory Costs'!$C:$C,'Factory Costs'!$A:$A,"Frame",'Factory Costs'!$B:$B,B3185))</f>
        <v>39</v>
      </c>
    </row>
    <row r="3186" spans="1:3" x14ac:dyDescent="0.25">
      <c r="A3186" s="1" t="s">
        <v>16111</v>
      </c>
      <c r="B3186" s="1" t="s">
        <v>16379</v>
      </c>
      <c r="C3186" s="3">
        <f>IF(B3186="","",SUMIFS('Factory Costs'!$C:$C,'Factory Costs'!$A:$A,"Frame",'Factory Costs'!$B:$B,B3186))</f>
        <v>45</v>
      </c>
    </row>
    <row r="3187" spans="1:3" x14ac:dyDescent="0.25">
      <c r="A3187" s="1" t="s">
        <v>16114</v>
      </c>
      <c r="B3187" s="1" t="s">
        <v>16377</v>
      </c>
      <c r="C3187" s="3">
        <f>IF(B3187="","",SUMIFS('Factory Costs'!$C:$C,'Factory Costs'!$A:$A,"Frame",'Factory Costs'!$B:$B,B3187))</f>
        <v>39</v>
      </c>
    </row>
    <row r="3188" spans="1:3" x14ac:dyDescent="0.25">
      <c r="A3188" s="1" t="s">
        <v>16117</v>
      </c>
      <c r="B3188" s="1" t="s">
        <v>16377</v>
      </c>
      <c r="C3188" s="3">
        <f>IF(B3188="","",SUMIFS('Factory Costs'!$C:$C,'Factory Costs'!$A:$A,"Frame",'Factory Costs'!$B:$B,B3188))</f>
        <v>39</v>
      </c>
    </row>
    <row r="3189" spans="1:3" x14ac:dyDescent="0.25">
      <c r="A3189" s="1" t="s">
        <v>16120</v>
      </c>
      <c r="B3189" s="1" t="s">
        <v>16377</v>
      </c>
      <c r="C3189" s="3">
        <f>IF(B3189="","",SUMIFS('Factory Costs'!$C:$C,'Factory Costs'!$A:$A,"Frame",'Factory Costs'!$B:$B,B3189))</f>
        <v>39</v>
      </c>
    </row>
    <row r="3190" spans="1:3" x14ac:dyDescent="0.25">
      <c r="A3190" s="1" t="s">
        <v>16123</v>
      </c>
      <c r="B3190" s="1" t="s">
        <v>16379</v>
      </c>
      <c r="C3190" s="3">
        <f>IF(B3190="","",SUMIFS('Factory Costs'!$C:$C,'Factory Costs'!$A:$A,"Frame",'Factory Costs'!$B:$B,B3190))</f>
        <v>45</v>
      </c>
    </row>
    <row r="3191" spans="1:3" x14ac:dyDescent="0.25">
      <c r="A3191" s="1" t="s">
        <v>16126</v>
      </c>
      <c r="B3191" s="1" t="s">
        <v>16379</v>
      </c>
      <c r="C3191" s="3">
        <f>IF(B3191="","",SUMIFS('Factory Costs'!$C:$C,'Factory Costs'!$A:$A,"Frame",'Factory Costs'!$B:$B,B3191))</f>
        <v>45</v>
      </c>
    </row>
    <row r="3192" spans="1:3" x14ac:dyDescent="0.25">
      <c r="A3192" s="1" t="s">
        <v>16129</v>
      </c>
      <c r="B3192" s="1" t="s">
        <v>16378</v>
      </c>
      <c r="C3192" s="3">
        <f>IF(B3192="","",SUMIFS('Factory Costs'!$C:$C,'Factory Costs'!$A:$A,"Frame",'Factory Costs'!$B:$B,B3192))</f>
        <v>52</v>
      </c>
    </row>
    <row r="3193" spans="1:3" x14ac:dyDescent="0.25">
      <c r="A3193" s="1" t="s">
        <v>16132</v>
      </c>
      <c r="B3193" s="1" t="s">
        <v>16379</v>
      </c>
      <c r="C3193" s="3">
        <f>IF(B3193="","",SUMIFS('Factory Costs'!$C:$C,'Factory Costs'!$A:$A,"Frame",'Factory Costs'!$B:$B,B3193))</f>
        <v>45</v>
      </c>
    </row>
    <row r="3194" spans="1:3" x14ac:dyDescent="0.25">
      <c r="A3194" s="1" t="s">
        <v>16135</v>
      </c>
      <c r="B3194" s="1" t="s">
        <v>16378</v>
      </c>
      <c r="C3194" s="3">
        <f>IF(B3194="","",SUMIFS('Factory Costs'!$C:$C,'Factory Costs'!$A:$A,"Frame",'Factory Costs'!$B:$B,B3194))</f>
        <v>52</v>
      </c>
    </row>
    <row r="3195" spans="1:3" x14ac:dyDescent="0.25">
      <c r="A3195" s="1" t="s">
        <v>16138</v>
      </c>
      <c r="B3195" s="1" t="s">
        <v>16378</v>
      </c>
      <c r="C3195" s="3">
        <f>IF(B3195="","",SUMIFS('Factory Costs'!$C:$C,'Factory Costs'!$A:$A,"Frame",'Factory Costs'!$B:$B,B3195))</f>
        <v>52</v>
      </c>
    </row>
    <row r="3196" spans="1:3" x14ac:dyDescent="0.25">
      <c r="A3196" s="1" t="s">
        <v>16141</v>
      </c>
      <c r="B3196" s="1" t="s">
        <v>16378</v>
      </c>
      <c r="C3196" s="3">
        <f>IF(B3196="","",SUMIFS('Factory Costs'!$C:$C,'Factory Costs'!$A:$A,"Frame",'Factory Costs'!$B:$B,B3196))</f>
        <v>52</v>
      </c>
    </row>
    <row r="3197" spans="1:3" x14ac:dyDescent="0.25">
      <c r="A3197" s="1" t="s">
        <v>16144</v>
      </c>
      <c r="B3197" s="1" t="s">
        <v>16377</v>
      </c>
      <c r="C3197" s="3">
        <f>IF(B3197="","",SUMIFS('Factory Costs'!$C:$C,'Factory Costs'!$A:$A,"Frame",'Factory Costs'!$B:$B,B3197))</f>
        <v>39</v>
      </c>
    </row>
    <row r="3198" spans="1:3" x14ac:dyDescent="0.25">
      <c r="A3198" s="1" t="s">
        <v>16147</v>
      </c>
      <c r="B3198" s="1" t="s">
        <v>16377</v>
      </c>
      <c r="C3198" s="3">
        <f>IF(B3198="","",SUMIFS('Factory Costs'!$C:$C,'Factory Costs'!$A:$A,"Frame",'Factory Costs'!$B:$B,B3198))</f>
        <v>39</v>
      </c>
    </row>
    <row r="3199" spans="1:3" x14ac:dyDescent="0.25">
      <c r="A3199" s="1" t="s">
        <v>16150</v>
      </c>
      <c r="B3199" s="1" t="s">
        <v>16378</v>
      </c>
      <c r="C3199" s="3">
        <f>IF(B3199="","",SUMIFS('Factory Costs'!$C:$C,'Factory Costs'!$A:$A,"Frame",'Factory Costs'!$B:$B,B3199))</f>
        <v>52</v>
      </c>
    </row>
    <row r="3200" spans="1:3" x14ac:dyDescent="0.25">
      <c r="A3200" s="1" t="s">
        <v>16153</v>
      </c>
      <c r="B3200" s="1" t="s">
        <v>16378</v>
      </c>
      <c r="C3200" s="3">
        <f>IF(B3200="","",SUMIFS('Factory Costs'!$C:$C,'Factory Costs'!$A:$A,"Frame",'Factory Costs'!$B:$B,B3200))</f>
        <v>52</v>
      </c>
    </row>
    <row r="3201" spans="1:3" x14ac:dyDescent="0.25">
      <c r="A3201" s="1" t="s">
        <v>16156</v>
      </c>
      <c r="B3201" s="1" t="s">
        <v>16378</v>
      </c>
      <c r="C3201" s="3">
        <f>IF(B3201="","",SUMIFS('Factory Costs'!$C:$C,'Factory Costs'!$A:$A,"Frame",'Factory Costs'!$B:$B,B3201))</f>
        <v>52</v>
      </c>
    </row>
    <row r="3202" spans="1:3" x14ac:dyDescent="0.25">
      <c r="A3202" s="1" t="s">
        <v>16159</v>
      </c>
      <c r="B3202" s="1" t="s">
        <v>16379</v>
      </c>
      <c r="C3202" s="3">
        <f>IF(B3202="","",SUMIFS('Factory Costs'!$C:$C,'Factory Costs'!$A:$A,"Frame",'Factory Costs'!$B:$B,B3202))</f>
        <v>45</v>
      </c>
    </row>
    <row r="3203" spans="1:3" x14ac:dyDescent="0.25">
      <c r="A3203" s="1" t="s">
        <v>16162</v>
      </c>
      <c r="B3203" s="1" t="s">
        <v>16377</v>
      </c>
      <c r="C3203" s="3">
        <f>IF(B3203="","",SUMIFS('Factory Costs'!$C:$C,'Factory Costs'!$A:$A,"Frame",'Factory Costs'!$B:$B,B3203))</f>
        <v>39</v>
      </c>
    </row>
    <row r="3204" spans="1:3" x14ac:dyDescent="0.25">
      <c r="A3204" s="1" t="s">
        <v>16165</v>
      </c>
      <c r="B3204" s="1" t="s">
        <v>16378</v>
      </c>
      <c r="C3204" s="3">
        <f>IF(B3204="","",SUMIFS('Factory Costs'!$C:$C,'Factory Costs'!$A:$A,"Frame",'Factory Costs'!$B:$B,B3204))</f>
        <v>52</v>
      </c>
    </row>
    <row r="3205" spans="1:3" x14ac:dyDescent="0.25">
      <c r="A3205" s="1" t="s">
        <v>16168</v>
      </c>
      <c r="B3205" s="1" t="s">
        <v>16378</v>
      </c>
      <c r="C3205" s="3">
        <f>IF(B3205="","",SUMIFS('Factory Costs'!$C:$C,'Factory Costs'!$A:$A,"Frame",'Factory Costs'!$B:$B,B3205))</f>
        <v>52</v>
      </c>
    </row>
    <row r="3206" spans="1:3" x14ac:dyDescent="0.25">
      <c r="A3206" s="1" t="s">
        <v>16171</v>
      </c>
      <c r="B3206" s="1" t="s">
        <v>16379</v>
      </c>
      <c r="C3206" s="3">
        <f>IF(B3206="","",SUMIFS('Factory Costs'!$C:$C,'Factory Costs'!$A:$A,"Frame",'Factory Costs'!$B:$B,B3206))</f>
        <v>45</v>
      </c>
    </row>
    <row r="3207" spans="1:3" x14ac:dyDescent="0.25">
      <c r="A3207" s="1" t="s">
        <v>16174</v>
      </c>
      <c r="B3207" s="1" t="s">
        <v>16377</v>
      </c>
      <c r="C3207" s="3">
        <f>IF(B3207="","",SUMIFS('Factory Costs'!$C:$C,'Factory Costs'!$A:$A,"Frame",'Factory Costs'!$B:$B,B3207))</f>
        <v>39</v>
      </c>
    </row>
    <row r="3208" spans="1:3" x14ac:dyDescent="0.25">
      <c r="A3208" s="1" t="s">
        <v>16177</v>
      </c>
      <c r="B3208" s="1" t="s">
        <v>16377</v>
      </c>
      <c r="C3208" s="3">
        <f>IF(B3208="","",SUMIFS('Factory Costs'!$C:$C,'Factory Costs'!$A:$A,"Frame",'Factory Costs'!$B:$B,B3208))</f>
        <v>39</v>
      </c>
    </row>
    <row r="3209" spans="1:3" x14ac:dyDescent="0.25">
      <c r="A3209" s="1" t="s">
        <v>16180</v>
      </c>
      <c r="B3209" s="1" t="s">
        <v>16379</v>
      </c>
      <c r="C3209" s="3">
        <f>IF(B3209="","",SUMIFS('Factory Costs'!$C:$C,'Factory Costs'!$A:$A,"Frame",'Factory Costs'!$B:$B,B3209))</f>
        <v>45</v>
      </c>
    </row>
    <row r="3210" spans="1:3" x14ac:dyDescent="0.25">
      <c r="A3210" s="1" t="s">
        <v>16183</v>
      </c>
      <c r="B3210" s="1" t="s">
        <v>16377</v>
      </c>
      <c r="C3210" s="3">
        <f>IF(B3210="","",SUMIFS('Factory Costs'!$C:$C,'Factory Costs'!$A:$A,"Frame",'Factory Costs'!$B:$B,B3210))</f>
        <v>39</v>
      </c>
    </row>
    <row r="3211" spans="1:3" x14ac:dyDescent="0.25">
      <c r="A3211" s="1" t="s">
        <v>16186</v>
      </c>
      <c r="B3211" s="1" t="s">
        <v>16377</v>
      </c>
      <c r="C3211" s="3">
        <f>IF(B3211="","",SUMIFS('Factory Costs'!$C:$C,'Factory Costs'!$A:$A,"Frame",'Factory Costs'!$B:$B,B3211))</f>
        <v>39</v>
      </c>
    </row>
    <row r="3212" spans="1:3" x14ac:dyDescent="0.25">
      <c r="A3212" s="1" t="s">
        <v>16189</v>
      </c>
      <c r="B3212" s="1" t="s">
        <v>16379</v>
      </c>
      <c r="C3212" s="3">
        <f>IF(B3212="","",SUMIFS('Factory Costs'!$C:$C,'Factory Costs'!$A:$A,"Frame",'Factory Costs'!$B:$B,B3212))</f>
        <v>45</v>
      </c>
    </row>
    <row r="3213" spans="1:3" x14ac:dyDescent="0.25">
      <c r="A3213" s="1" t="s">
        <v>16192</v>
      </c>
      <c r="B3213" s="1" t="s">
        <v>16377</v>
      </c>
      <c r="C3213" s="3">
        <f>IF(B3213="","",SUMIFS('Factory Costs'!$C:$C,'Factory Costs'!$A:$A,"Frame",'Factory Costs'!$B:$B,B3213))</f>
        <v>39</v>
      </c>
    </row>
    <row r="3214" spans="1:3" x14ac:dyDescent="0.25">
      <c r="A3214" s="1" t="s">
        <v>16195</v>
      </c>
      <c r="B3214" s="1" t="s">
        <v>16378</v>
      </c>
      <c r="C3214" s="3">
        <f>IF(B3214="","",SUMIFS('Factory Costs'!$C:$C,'Factory Costs'!$A:$A,"Frame",'Factory Costs'!$B:$B,B3214))</f>
        <v>52</v>
      </c>
    </row>
    <row r="3215" spans="1:3" x14ac:dyDescent="0.25">
      <c r="A3215" s="1" t="s">
        <v>16198</v>
      </c>
      <c r="B3215" s="1" t="s">
        <v>16378</v>
      </c>
      <c r="C3215" s="3">
        <f>IF(B3215="","",SUMIFS('Factory Costs'!$C:$C,'Factory Costs'!$A:$A,"Frame",'Factory Costs'!$B:$B,B3215))</f>
        <v>52</v>
      </c>
    </row>
    <row r="3216" spans="1:3" x14ac:dyDescent="0.25">
      <c r="A3216" s="1" t="s">
        <v>16201</v>
      </c>
      <c r="B3216" s="1" t="s">
        <v>16378</v>
      </c>
      <c r="C3216" s="3">
        <f>IF(B3216="","",SUMIFS('Factory Costs'!$C:$C,'Factory Costs'!$A:$A,"Frame",'Factory Costs'!$B:$B,B3216))</f>
        <v>52</v>
      </c>
    </row>
    <row r="3217" spans="1:3" x14ac:dyDescent="0.25">
      <c r="A3217" s="1" t="s">
        <v>16204</v>
      </c>
      <c r="B3217" s="1" t="s">
        <v>16379</v>
      </c>
      <c r="C3217" s="3">
        <f>IF(B3217="","",SUMIFS('Factory Costs'!$C:$C,'Factory Costs'!$A:$A,"Frame",'Factory Costs'!$B:$B,B3217))</f>
        <v>45</v>
      </c>
    </row>
    <row r="3218" spans="1:3" x14ac:dyDescent="0.25">
      <c r="A3218" s="1" t="s">
        <v>16207</v>
      </c>
      <c r="B3218" s="1" t="s">
        <v>16377</v>
      </c>
      <c r="C3218" s="3">
        <f>IF(B3218="","",SUMIFS('Factory Costs'!$C:$C,'Factory Costs'!$A:$A,"Frame",'Factory Costs'!$B:$B,B3218))</f>
        <v>39</v>
      </c>
    </row>
    <row r="3219" spans="1:3" x14ac:dyDescent="0.25">
      <c r="A3219" s="1" t="s">
        <v>16210</v>
      </c>
      <c r="B3219" s="1" t="s">
        <v>16379</v>
      </c>
      <c r="C3219" s="3">
        <f>IF(B3219="","",SUMIFS('Factory Costs'!$C:$C,'Factory Costs'!$A:$A,"Frame",'Factory Costs'!$B:$B,B3219))</f>
        <v>45</v>
      </c>
    </row>
    <row r="3220" spans="1:3" x14ac:dyDescent="0.25">
      <c r="A3220" s="1" t="s">
        <v>16213</v>
      </c>
      <c r="B3220" s="1" t="s">
        <v>16377</v>
      </c>
      <c r="C3220" s="3">
        <f>IF(B3220="","",SUMIFS('Factory Costs'!$C:$C,'Factory Costs'!$A:$A,"Frame",'Factory Costs'!$B:$B,B3220))</f>
        <v>39</v>
      </c>
    </row>
    <row r="3221" spans="1:3" x14ac:dyDescent="0.25">
      <c r="A3221" s="1" t="s">
        <v>16216</v>
      </c>
      <c r="B3221" s="1" t="s">
        <v>16377</v>
      </c>
      <c r="C3221" s="3">
        <f>IF(B3221="","",SUMIFS('Factory Costs'!$C:$C,'Factory Costs'!$A:$A,"Frame",'Factory Costs'!$B:$B,B3221))</f>
        <v>39</v>
      </c>
    </row>
    <row r="3222" spans="1:3" x14ac:dyDescent="0.25">
      <c r="A3222" s="1" t="s">
        <v>16219</v>
      </c>
      <c r="B3222" s="1" t="s">
        <v>16379</v>
      </c>
      <c r="C3222" s="3">
        <f>IF(B3222="","",SUMIFS('Factory Costs'!$C:$C,'Factory Costs'!$A:$A,"Frame",'Factory Costs'!$B:$B,B3222))</f>
        <v>45</v>
      </c>
    </row>
    <row r="3223" spans="1:3" x14ac:dyDescent="0.25">
      <c r="A3223" s="1" t="s">
        <v>16222</v>
      </c>
      <c r="B3223" s="1" t="s">
        <v>16377</v>
      </c>
      <c r="C3223" s="3">
        <f>IF(B3223="","",SUMIFS('Factory Costs'!$C:$C,'Factory Costs'!$A:$A,"Frame",'Factory Costs'!$B:$B,B3223))</f>
        <v>39</v>
      </c>
    </row>
    <row r="3224" spans="1:3" x14ac:dyDescent="0.25">
      <c r="A3224" s="1" t="s">
        <v>16225</v>
      </c>
      <c r="B3224" s="1" t="s">
        <v>16379</v>
      </c>
      <c r="C3224" s="3">
        <f>IF(B3224="","",SUMIFS('Factory Costs'!$C:$C,'Factory Costs'!$A:$A,"Frame",'Factory Costs'!$B:$B,B3224))</f>
        <v>45</v>
      </c>
    </row>
    <row r="3225" spans="1:3" x14ac:dyDescent="0.25">
      <c r="A3225" s="1" t="s">
        <v>16228</v>
      </c>
      <c r="B3225" s="1" t="s">
        <v>16378</v>
      </c>
      <c r="C3225" s="3">
        <f>IF(B3225="","",SUMIFS('Factory Costs'!$C:$C,'Factory Costs'!$A:$A,"Frame",'Factory Costs'!$B:$B,B3225))</f>
        <v>52</v>
      </c>
    </row>
    <row r="3226" spans="1:3" x14ac:dyDescent="0.25">
      <c r="A3226" s="1" t="s">
        <v>16231</v>
      </c>
      <c r="B3226" s="1" t="s">
        <v>16379</v>
      </c>
      <c r="C3226" s="3">
        <f>IF(B3226="","",SUMIFS('Factory Costs'!$C:$C,'Factory Costs'!$A:$A,"Frame",'Factory Costs'!$B:$B,B3226))</f>
        <v>45</v>
      </c>
    </row>
    <row r="3227" spans="1:3" x14ac:dyDescent="0.25">
      <c r="A3227" s="1" t="s">
        <v>16234</v>
      </c>
      <c r="B3227" s="1" t="s">
        <v>16378</v>
      </c>
      <c r="C3227" s="3">
        <f>IF(B3227="","",SUMIFS('Factory Costs'!$C:$C,'Factory Costs'!$A:$A,"Frame",'Factory Costs'!$B:$B,B3227))</f>
        <v>52</v>
      </c>
    </row>
    <row r="3228" spans="1:3" x14ac:dyDescent="0.25">
      <c r="A3228" s="1" t="s">
        <v>16237</v>
      </c>
      <c r="B3228" s="1" t="s">
        <v>16379</v>
      </c>
      <c r="C3228" s="3">
        <f>IF(B3228="","",SUMIFS('Factory Costs'!$C:$C,'Factory Costs'!$A:$A,"Frame",'Factory Costs'!$B:$B,B3228))</f>
        <v>45</v>
      </c>
    </row>
    <row r="3229" spans="1:3" x14ac:dyDescent="0.25">
      <c r="A3229" s="1" t="s">
        <v>16240</v>
      </c>
      <c r="B3229" s="1" t="s">
        <v>16377</v>
      </c>
      <c r="C3229" s="3">
        <f>IF(B3229="","",SUMIFS('Factory Costs'!$C:$C,'Factory Costs'!$A:$A,"Frame",'Factory Costs'!$B:$B,B3229))</f>
        <v>39</v>
      </c>
    </row>
    <row r="3230" spans="1:3" x14ac:dyDescent="0.25">
      <c r="A3230" s="1" t="s">
        <v>16243</v>
      </c>
      <c r="B3230" s="1" t="s">
        <v>16378</v>
      </c>
      <c r="C3230" s="3">
        <f>IF(B3230="","",SUMIFS('Factory Costs'!$C:$C,'Factory Costs'!$A:$A,"Frame",'Factory Costs'!$B:$B,B3230))</f>
        <v>52</v>
      </c>
    </row>
    <row r="3231" spans="1:3" x14ac:dyDescent="0.25">
      <c r="A3231" s="1" t="s">
        <v>16246</v>
      </c>
      <c r="B3231" s="1" t="s">
        <v>16379</v>
      </c>
      <c r="C3231" s="3">
        <f>IF(B3231="","",SUMIFS('Factory Costs'!$C:$C,'Factory Costs'!$A:$A,"Frame",'Factory Costs'!$B:$B,B3231))</f>
        <v>45</v>
      </c>
    </row>
    <row r="3232" spans="1:3" x14ac:dyDescent="0.25">
      <c r="A3232" s="1" t="s">
        <v>16249</v>
      </c>
      <c r="B3232" s="1" t="s">
        <v>16377</v>
      </c>
      <c r="C3232" s="3">
        <f>IF(B3232="","",SUMIFS('Factory Costs'!$C:$C,'Factory Costs'!$A:$A,"Frame",'Factory Costs'!$B:$B,B3232))</f>
        <v>39</v>
      </c>
    </row>
    <row r="3233" spans="1:3" x14ac:dyDescent="0.25">
      <c r="A3233" s="1" t="s">
        <v>16252</v>
      </c>
      <c r="B3233" s="1" t="s">
        <v>16379</v>
      </c>
      <c r="C3233" s="3">
        <f>IF(B3233="","",SUMIFS('Factory Costs'!$C:$C,'Factory Costs'!$A:$A,"Frame",'Factory Costs'!$B:$B,B3233))</f>
        <v>45</v>
      </c>
    </row>
    <row r="3234" spans="1:3" x14ac:dyDescent="0.25">
      <c r="A3234" s="1" t="s">
        <v>16255</v>
      </c>
      <c r="B3234" s="1" t="s">
        <v>16379</v>
      </c>
      <c r="C3234" s="3">
        <f>IF(B3234="","",SUMIFS('Factory Costs'!$C:$C,'Factory Costs'!$A:$A,"Frame",'Factory Costs'!$B:$B,B3234))</f>
        <v>45</v>
      </c>
    </row>
    <row r="3235" spans="1:3" x14ac:dyDescent="0.25">
      <c r="A3235" s="1" t="s">
        <v>16258</v>
      </c>
      <c r="B3235" s="1" t="s">
        <v>16378</v>
      </c>
      <c r="C3235" s="3">
        <f>IF(B3235="","",SUMIFS('Factory Costs'!$C:$C,'Factory Costs'!$A:$A,"Frame",'Factory Costs'!$B:$B,B3235))</f>
        <v>52</v>
      </c>
    </row>
    <row r="3236" spans="1:3" x14ac:dyDescent="0.25">
      <c r="A3236" s="1" t="s">
        <v>16261</v>
      </c>
      <c r="B3236" s="1" t="s">
        <v>16377</v>
      </c>
      <c r="C3236" s="3">
        <f>IF(B3236="","",SUMIFS('Factory Costs'!$C:$C,'Factory Costs'!$A:$A,"Frame",'Factory Costs'!$B:$B,B3236))</f>
        <v>39</v>
      </c>
    </row>
    <row r="3237" spans="1:3" x14ac:dyDescent="0.25">
      <c r="A3237" s="1" t="s">
        <v>16264</v>
      </c>
      <c r="B3237" s="1" t="s">
        <v>16379</v>
      </c>
      <c r="C3237" s="3">
        <f>IF(B3237="","",SUMIFS('Factory Costs'!$C:$C,'Factory Costs'!$A:$A,"Frame",'Factory Costs'!$B:$B,B3237))</f>
        <v>45</v>
      </c>
    </row>
    <row r="3238" spans="1:3" x14ac:dyDescent="0.25">
      <c r="A3238" s="1" t="s">
        <v>16267</v>
      </c>
      <c r="B3238" s="1" t="s">
        <v>16379</v>
      </c>
      <c r="C3238" s="3">
        <f>IF(B3238="","",SUMIFS('Factory Costs'!$C:$C,'Factory Costs'!$A:$A,"Frame",'Factory Costs'!$B:$B,B3238))</f>
        <v>45</v>
      </c>
    </row>
    <row r="3239" spans="1:3" x14ac:dyDescent="0.25">
      <c r="A3239" s="1" t="s">
        <v>16270</v>
      </c>
      <c r="B3239" s="1" t="s">
        <v>16377</v>
      </c>
      <c r="C3239" s="3">
        <f>IF(B3239="","",SUMIFS('Factory Costs'!$C:$C,'Factory Costs'!$A:$A,"Frame",'Factory Costs'!$B:$B,B3239))</f>
        <v>39</v>
      </c>
    </row>
    <row r="3240" spans="1:3" x14ac:dyDescent="0.25">
      <c r="A3240" s="1" t="s">
        <v>16273</v>
      </c>
      <c r="B3240" s="1" t="s">
        <v>16377</v>
      </c>
      <c r="C3240" s="3">
        <f>IF(B3240="","",SUMIFS('Factory Costs'!$C:$C,'Factory Costs'!$A:$A,"Frame",'Factory Costs'!$B:$B,B3240))</f>
        <v>39</v>
      </c>
    </row>
    <row r="3241" spans="1:3" x14ac:dyDescent="0.25">
      <c r="A3241" s="1" t="s">
        <v>16276</v>
      </c>
      <c r="B3241" s="1" t="s">
        <v>16378</v>
      </c>
      <c r="C3241" s="3">
        <f>IF(B3241="","",SUMIFS('Factory Costs'!$C:$C,'Factory Costs'!$A:$A,"Frame",'Factory Costs'!$B:$B,B3241))</f>
        <v>52</v>
      </c>
    </row>
    <row r="3242" spans="1:3" x14ac:dyDescent="0.25">
      <c r="A3242" s="1" t="s">
        <v>16279</v>
      </c>
      <c r="B3242" s="1" t="s">
        <v>16378</v>
      </c>
      <c r="C3242" s="3">
        <f>IF(B3242="","",SUMIFS('Factory Costs'!$C:$C,'Factory Costs'!$A:$A,"Frame",'Factory Costs'!$B:$B,B3242))</f>
        <v>52</v>
      </c>
    </row>
    <row r="3243" spans="1:3" x14ac:dyDescent="0.25">
      <c r="A3243" s="1" t="s">
        <v>16282</v>
      </c>
      <c r="B3243" s="1" t="s">
        <v>16377</v>
      </c>
      <c r="C3243" s="3">
        <f>IF(B3243="","",SUMIFS('Factory Costs'!$C:$C,'Factory Costs'!$A:$A,"Frame",'Factory Costs'!$B:$B,B3243))</f>
        <v>39</v>
      </c>
    </row>
    <row r="3244" spans="1:3" x14ac:dyDescent="0.25">
      <c r="A3244" s="1" t="s">
        <v>16285</v>
      </c>
      <c r="B3244" s="1" t="s">
        <v>16379</v>
      </c>
      <c r="C3244" s="3">
        <f>IF(B3244="","",SUMIFS('Factory Costs'!$C:$C,'Factory Costs'!$A:$A,"Frame",'Factory Costs'!$B:$B,B3244))</f>
        <v>45</v>
      </c>
    </row>
    <row r="3245" spans="1:3" x14ac:dyDescent="0.25">
      <c r="A3245" s="1" t="s">
        <v>16288</v>
      </c>
      <c r="B3245" s="1" t="s">
        <v>16379</v>
      </c>
      <c r="C3245" s="3">
        <f>IF(B3245="","",SUMIFS('Factory Costs'!$C:$C,'Factory Costs'!$A:$A,"Frame",'Factory Costs'!$B:$B,B3245))</f>
        <v>45</v>
      </c>
    </row>
    <row r="3246" spans="1:3" x14ac:dyDescent="0.25">
      <c r="A3246" s="1" t="s">
        <v>16291</v>
      </c>
      <c r="B3246" s="1" t="s">
        <v>16379</v>
      </c>
      <c r="C3246" s="3">
        <f>IF(B3246="","",SUMIFS('Factory Costs'!$C:$C,'Factory Costs'!$A:$A,"Frame",'Factory Costs'!$B:$B,B3246))</f>
        <v>45</v>
      </c>
    </row>
    <row r="3247" spans="1:3" x14ac:dyDescent="0.25">
      <c r="A3247" s="1" t="s">
        <v>16294</v>
      </c>
      <c r="B3247" s="1" t="s">
        <v>16377</v>
      </c>
      <c r="C3247" s="3">
        <f>IF(B3247="","",SUMIFS('Factory Costs'!$C:$C,'Factory Costs'!$A:$A,"Frame",'Factory Costs'!$B:$B,B3247))</f>
        <v>39</v>
      </c>
    </row>
    <row r="3248" spans="1:3" x14ac:dyDescent="0.25">
      <c r="A3248" s="1" t="s">
        <v>16297</v>
      </c>
      <c r="B3248" s="1" t="s">
        <v>16378</v>
      </c>
      <c r="C3248" s="3">
        <f>IF(B3248="","",SUMIFS('Factory Costs'!$C:$C,'Factory Costs'!$A:$A,"Frame",'Factory Costs'!$B:$B,B3248))</f>
        <v>52</v>
      </c>
    </row>
    <row r="3249" spans="1:3" x14ac:dyDescent="0.25">
      <c r="A3249" s="1" t="s">
        <v>16300</v>
      </c>
      <c r="B3249" s="1" t="s">
        <v>16378</v>
      </c>
      <c r="C3249" s="3">
        <f>IF(B3249="","",SUMIFS('Factory Costs'!$C:$C,'Factory Costs'!$A:$A,"Frame",'Factory Costs'!$B:$B,B3249))</f>
        <v>52</v>
      </c>
    </row>
    <row r="3250" spans="1:3" x14ac:dyDescent="0.25">
      <c r="A3250" s="1" t="s">
        <v>16303</v>
      </c>
      <c r="B3250" s="1" t="s">
        <v>16377</v>
      </c>
      <c r="C3250" s="3">
        <f>IF(B3250="","",SUMIFS('Factory Costs'!$C:$C,'Factory Costs'!$A:$A,"Frame",'Factory Costs'!$B:$B,B3250))</f>
        <v>39</v>
      </c>
    </row>
    <row r="3251" spans="1:3" x14ac:dyDescent="0.25">
      <c r="A3251" s="1" t="s">
        <v>16306</v>
      </c>
      <c r="B3251" s="1" t="s">
        <v>16377</v>
      </c>
      <c r="C3251" s="3">
        <f>IF(B3251="","",SUMIFS('Factory Costs'!$C:$C,'Factory Costs'!$A:$A,"Frame",'Factory Costs'!$B:$B,B3251))</f>
        <v>39</v>
      </c>
    </row>
    <row r="3252" spans="1:3" x14ac:dyDescent="0.25">
      <c r="A3252" s="1" t="s">
        <v>16309</v>
      </c>
      <c r="B3252" s="1" t="s">
        <v>16378</v>
      </c>
      <c r="C3252" s="3">
        <f>IF(B3252="","",SUMIFS('Factory Costs'!$C:$C,'Factory Costs'!$A:$A,"Frame",'Factory Costs'!$B:$B,B3252))</f>
        <v>52</v>
      </c>
    </row>
    <row r="3253" spans="1:3" x14ac:dyDescent="0.25">
      <c r="A3253" s="1" t="s">
        <v>16312</v>
      </c>
      <c r="B3253" s="1" t="s">
        <v>16377</v>
      </c>
      <c r="C3253" s="3">
        <f>IF(B3253="","",SUMIFS('Factory Costs'!$C:$C,'Factory Costs'!$A:$A,"Frame",'Factory Costs'!$B:$B,B3253))</f>
        <v>39</v>
      </c>
    </row>
    <row r="3254" spans="1:3" x14ac:dyDescent="0.25">
      <c r="A3254" s="1" t="s">
        <v>16315</v>
      </c>
      <c r="B3254" s="1" t="s">
        <v>16378</v>
      </c>
      <c r="C3254" s="3">
        <f>IF(B3254="","",SUMIFS('Factory Costs'!$C:$C,'Factory Costs'!$A:$A,"Frame",'Factory Costs'!$B:$B,B3254))</f>
        <v>52</v>
      </c>
    </row>
    <row r="3255" spans="1:3" x14ac:dyDescent="0.25">
      <c r="A3255" s="1" t="s">
        <v>16318</v>
      </c>
      <c r="B3255" s="1" t="s">
        <v>16377</v>
      </c>
      <c r="C3255" s="3">
        <f>IF(B3255="","",SUMIFS('Factory Costs'!$C:$C,'Factory Costs'!$A:$A,"Frame",'Factory Costs'!$B:$B,B3255))</f>
        <v>39</v>
      </c>
    </row>
    <row r="3256" spans="1:3" x14ac:dyDescent="0.25">
      <c r="A3256" s="1" t="s">
        <v>16321</v>
      </c>
      <c r="B3256" s="1" t="s">
        <v>16378</v>
      </c>
      <c r="C3256" s="3">
        <f>IF(B3256="","",SUMIFS('Factory Costs'!$C:$C,'Factory Costs'!$A:$A,"Frame",'Factory Costs'!$B:$B,B3256))</f>
        <v>52</v>
      </c>
    </row>
    <row r="3257" spans="1:3" x14ac:dyDescent="0.25">
      <c r="A3257" s="1" t="s">
        <v>16324</v>
      </c>
      <c r="B3257" s="1" t="s">
        <v>16379</v>
      </c>
      <c r="C3257" s="3">
        <f>IF(B3257="","",SUMIFS('Factory Costs'!$C:$C,'Factory Costs'!$A:$A,"Frame",'Factory Costs'!$B:$B,B3257))</f>
        <v>45</v>
      </c>
    </row>
    <row r="3258" spans="1:3" x14ac:dyDescent="0.25">
      <c r="A3258" s="1" t="s">
        <v>16327</v>
      </c>
      <c r="B3258" s="1" t="s">
        <v>16379</v>
      </c>
      <c r="C3258" s="3">
        <f>IF(B3258="","",SUMIFS('Factory Costs'!$C:$C,'Factory Costs'!$A:$A,"Frame",'Factory Costs'!$B:$B,B3258))</f>
        <v>45</v>
      </c>
    </row>
    <row r="3259" spans="1:3" x14ac:dyDescent="0.25">
      <c r="A3259" s="1" t="s">
        <v>16330</v>
      </c>
      <c r="B3259" s="1" t="s">
        <v>16378</v>
      </c>
      <c r="C3259" s="3">
        <f>IF(B3259="","",SUMIFS('Factory Costs'!$C:$C,'Factory Costs'!$A:$A,"Frame",'Factory Costs'!$B:$B,B3259))</f>
        <v>52</v>
      </c>
    </row>
    <row r="3260" spans="1:3" x14ac:dyDescent="0.25">
      <c r="A3260" s="1" t="s">
        <v>16333</v>
      </c>
      <c r="B3260" s="1" t="s">
        <v>16378</v>
      </c>
      <c r="C3260" s="3">
        <f>IF(B3260="","",SUMIFS('Factory Costs'!$C:$C,'Factory Costs'!$A:$A,"Frame",'Factory Costs'!$B:$B,B3260))</f>
        <v>52</v>
      </c>
    </row>
    <row r="3261" spans="1:3" x14ac:dyDescent="0.25">
      <c r="A3261" s="1" t="s">
        <v>16336</v>
      </c>
      <c r="B3261" s="1" t="s">
        <v>16379</v>
      </c>
      <c r="C3261" s="3">
        <f>IF(B3261="","",SUMIFS('Factory Costs'!$C:$C,'Factory Costs'!$A:$A,"Frame",'Factory Costs'!$B:$B,B3261))</f>
        <v>45</v>
      </c>
    </row>
    <row r="3262" spans="1:3" x14ac:dyDescent="0.25">
      <c r="A3262" s="1" t="s">
        <v>16339</v>
      </c>
      <c r="B3262" s="1" t="s">
        <v>16379</v>
      </c>
      <c r="C3262" s="3">
        <f>IF(B3262="","",SUMIFS('Factory Costs'!$C:$C,'Factory Costs'!$A:$A,"Frame",'Factory Costs'!$B:$B,B3262))</f>
        <v>45</v>
      </c>
    </row>
    <row r="3263" spans="1:3" x14ac:dyDescent="0.25">
      <c r="A3263" s="1" t="s">
        <v>16342</v>
      </c>
      <c r="B3263" s="1" t="s">
        <v>16377</v>
      </c>
      <c r="C3263" s="3">
        <f>IF(B3263="","",SUMIFS('Factory Costs'!$C:$C,'Factory Costs'!$A:$A,"Frame",'Factory Costs'!$B:$B,B3263))</f>
        <v>39</v>
      </c>
    </row>
    <row r="3264" spans="1:3" x14ac:dyDescent="0.25">
      <c r="A3264" s="1" t="s">
        <v>16345</v>
      </c>
      <c r="B3264" s="1" t="s">
        <v>16377</v>
      </c>
      <c r="C3264" s="3">
        <f>IF(B3264="","",SUMIFS('Factory Costs'!$C:$C,'Factory Costs'!$A:$A,"Frame",'Factory Costs'!$B:$B,B3264))</f>
        <v>39</v>
      </c>
    </row>
    <row r="3265" spans="1:3" x14ac:dyDescent="0.25">
      <c r="A3265" s="1" t="s">
        <v>16348</v>
      </c>
      <c r="B3265" s="1" t="s">
        <v>16377</v>
      </c>
      <c r="C3265" s="3">
        <f>IF(B3265="","",SUMIFS('Factory Costs'!$C:$C,'Factory Costs'!$A:$A,"Frame",'Factory Costs'!$B:$B,B3265))</f>
        <v>39</v>
      </c>
    </row>
    <row r="3266" spans="1:3" x14ac:dyDescent="0.25">
      <c r="A3266" s="1" t="s">
        <v>16351</v>
      </c>
      <c r="B3266" s="1" t="s">
        <v>16377</v>
      </c>
      <c r="C3266" s="3">
        <f>IF(B3266="","",SUMIFS('Factory Costs'!$C:$C,'Factory Costs'!$A:$A,"Frame",'Factory Costs'!$B:$B,B3266))</f>
        <v>39</v>
      </c>
    </row>
    <row r="3267" spans="1:3" x14ac:dyDescent="0.25">
      <c r="A3267" s="1" t="s">
        <v>16354</v>
      </c>
      <c r="B3267" s="1" t="s">
        <v>16379</v>
      </c>
      <c r="C3267" s="3">
        <f>IF(B3267="","",SUMIFS('Factory Costs'!$C:$C,'Factory Costs'!$A:$A,"Frame",'Factory Costs'!$B:$B,B3267))</f>
        <v>45</v>
      </c>
    </row>
    <row r="3268" spans="1:3" x14ac:dyDescent="0.25">
      <c r="A3268" s="1" t="s">
        <v>16357</v>
      </c>
      <c r="B3268" s="1" t="s">
        <v>16377</v>
      </c>
      <c r="C3268" s="3">
        <f>IF(B3268="","",SUMIFS('Factory Costs'!$C:$C,'Factory Costs'!$A:$A,"Frame",'Factory Costs'!$B:$B,B3268))</f>
        <v>39</v>
      </c>
    </row>
    <row r="3269" spans="1:3" x14ac:dyDescent="0.25">
      <c r="A3269" s="1" t="s">
        <v>16360</v>
      </c>
      <c r="B3269" s="1" t="s">
        <v>16378</v>
      </c>
      <c r="C3269" s="3">
        <f>IF(B3269="","",SUMIFS('Factory Costs'!$C:$C,'Factory Costs'!$A:$A,"Frame",'Factory Costs'!$B:$B,B3269))</f>
        <v>52</v>
      </c>
    </row>
    <row r="3270" spans="1:3" x14ac:dyDescent="0.25">
      <c r="A3270" s="1" t="s">
        <v>16363</v>
      </c>
      <c r="B3270" s="1" t="s">
        <v>16377</v>
      </c>
      <c r="C3270" s="3">
        <f>IF(B3270="","",SUMIFS('Factory Costs'!$C:$C,'Factory Costs'!$A:$A,"Frame",'Factory Costs'!$B:$B,B3270))</f>
        <v>39</v>
      </c>
    </row>
    <row r="3271" spans="1:3" x14ac:dyDescent="0.25">
      <c r="A3271" s="1" t="s">
        <v>16366</v>
      </c>
      <c r="B3271" s="1" t="s">
        <v>16379</v>
      </c>
      <c r="C3271" s="3">
        <f>IF(B3271="","",SUMIFS('Factory Costs'!$C:$C,'Factory Costs'!$A:$A,"Frame",'Factory Costs'!$B:$B,B3271))</f>
        <v>45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'Factory Costs'!$B$7:$B$9</xm:f>
          </x14:formula1>
          <xm:sqref>B2:B3271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1"/>
  <sheetViews>
    <sheetView showGridLines="0" workbookViewId="0">
      <pane ySplit="1" topLeftCell="A2" activePane="bottomLeft" state="frozen"/>
      <selection pane="bottomLeft" sqref="A1:XFD2"/>
    </sheetView>
  </sheetViews>
  <sheetFormatPr defaultRowHeight="15" x14ac:dyDescent="0.25"/>
  <cols>
    <col min="1" max="5" width="19" customWidth="1"/>
  </cols>
  <sheetData>
    <row r="1" spans="1:5" x14ac:dyDescent="0.25">
      <c r="A1" s="2" t="s">
        <v>1</v>
      </c>
      <c r="B1" s="2" t="s">
        <v>16380</v>
      </c>
      <c r="C1" s="2" t="s">
        <v>16381</v>
      </c>
      <c r="D1" s="2" t="s">
        <v>16382</v>
      </c>
      <c r="E1" s="2" t="s">
        <v>16383</v>
      </c>
    </row>
    <row r="2" spans="1:5" x14ac:dyDescent="0.25">
      <c r="A2" s="1" t="s">
        <v>65</v>
      </c>
      <c r="B2" s="1" t="s">
        <v>16384</v>
      </c>
      <c r="C2" s="1" t="s">
        <v>16367</v>
      </c>
      <c r="D2" s="3">
        <v>200</v>
      </c>
      <c r="E2" s="4">
        <v>43877</v>
      </c>
    </row>
    <row r="3" spans="1:5" x14ac:dyDescent="0.25">
      <c r="A3" s="1" t="s">
        <v>67</v>
      </c>
      <c r="B3" s="1" t="s">
        <v>16385</v>
      </c>
      <c r="D3" s="3">
        <v>200</v>
      </c>
      <c r="E3" s="4">
        <v>43936</v>
      </c>
    </row>
    <row r="4" spans="1:5" x14ac:dyDescent="0.25">
      <c r="A4" s="1" t="s">
        <v>103</v>
      </c>
      <c r="B4" s="1" t="s">
        <v>16384</v>
      </c>
      <c r="C4" s="1" t="s">
        <v>16376</v>
      </c>
      <c r="D4" s="3">
        <v>200</v>
      </c>
      <c r="E4" s="4">
        <v>43966</v>
      </c>
    </row>
    <row r="5" spans="1:5" x14ac:dyDescent="0.25">
      <c r="A5" s="1" t="s">
        <v>105</v>
      </c>
      <c r="B5" s="1" t="s">
        <v>16384</v>
      </c>
      <c r="C5" s="1" t="s">
        <v>16376</v>
      </c>
      <c r="D5" s="3">
        <v>200</v>
      </c>
      <c r="E5" s="4">
        <v>43958</v>
      </c>
    </row>
    <row r="6" spans="1:5" x14ac:dyDescent="0.25">
      <c r="A6" s="1" t="s">
        <v>125</v>
      </c>
      <c r="B6" s="1" t="s">
        <v>16384</v>
      </c>
      <c r="C6" s="1" t="s">
        <v>16367</v>
      </c>
      <c r="D6" s="3">
        <v>200</v>
      </c>
      <c r="E6" s="4">
        <v>43949</v>
      </c>
    </row>
    <row r="7" spans="1:5" x14ac:dyDescent="0.25">
      <c r="A7" s="1" t="s">
        <v>187</v>
      </c>
      <c r="B7" s="1" t="s">
        <v>16384</v>
      </c>
      <c r="C7" s="1" t="s">
        <v>16367</v>
      </c>
      <c r="D7" s="3">
        <v>200</v>
      </c>
      <c r="E7" s="4">
        <v>44035</v>
      </c>
    </row>
    <row r="8" spans="1:5" x14ac:dyDescent="0.25">
      <c r="A8" s="1" t="s">
        <v>211</v>
      </c>
      <c r="B8" s="1" t="s">
        <v>16384</v>
      </c>
      <c r="C8" s="1" t="s">
        <v>16376</v>
      </c>
      <c r="D8" s="3">
        <v>200</v>
      </c>
      <c r="E8" s="4">
        <v>44037</v>
      </c>
    </row>
    <row r="9" spans="1:5" x14ac:dyDescent="0.25">
      <c r="A9" s="1" t="s">
        <v>321</v>
      </c>
      <c r="B9" s="1" t="s">
        <v>16384</v>
      </c>
      <c r="C9" s="1" t="s">
        <v>16367</v>
      </c>
      <c r="D9" s="3">
        <v>200</v>
      </c>
      <c r="E9" s="4">
        <v>44074</v>
      </c>
    </row>
    <row r="10" spans="1:5" x14ac:dyDescent="0.25">
      <c r="A10" s="1" t="s">
        <v>357</v>
      </c>
      <c r="B10" s="1" t="s">
        <v>16385</v>
      </c>
      <c r="D10" s="3">
        <v>200</v>
      </c>
      <c r="E10" s="4">
        <v>44173</v>
      </c>
    </row>
    <row r="11" spans="1:5" x14ac:dyDescent="0.25">
      <c r="A11" s="1" t="s">
        <v>361</v>
      </c>
      <c r="B11" s="1" t="s">
        <v>16384</v>
      </c>
      <c r="C11" s="1" t="s">
        <v>16367</v>
      </c>
      <c r="D11" s="3">
        <v>200</v>
      </c>
      <c r="E11" s="4">
        <v>44164</v>
      </c>
    </row>
    <row r="12" spans="1:5" x14ac:dyDescent="0.25">
      <c r="A12" s="1" t="s">
        <v>441</v>
      </c>
      <c r="B12" s="1" t="s">
        <v>16384</v>
      </c>
      <c r="C12" s="1" t="s">
        <v>16373</v>
      </c>
      <c r="D12" s="3">
        <v>200</v>
      </c>
      <c r="E12" s="4">
        <v>44179</v>
      </c>
    </row>
    <row r="13" spans="1:5" x14ac:dyDescent="0.25">
      <c r="A13" s="1" t="s">
        <v>477</v>
      </c>
      <c r="B13" s="1" t="s">
        <v>16384</v>
      </c>
      <c r="C13" s="1" t="s">
        <v>16367</v>
      </c>
      <c r="D13" s="3">
        <v>200</v>
      </c>
      <c r="E13" s="4">
        <v>44221</v>
      </c>
    </row>
    <row r="14" spans="1:5" x14ac:dyDescent="0.25">
      <c r="A14" s="1" t="s">
        <v>481</v>
      </c>
      <c r="B14" s="1" t="s">
        <v>16384</v>
      </c>
      <c r="C14" s="1" t="s">
        <v>16367</v>
      </c>
      <c r="D14" s="3">
        <v>200</v>
      </c>
      <c r="E14" s="4">
        <v>44221</v>
      </c>
    </row>
    <row r="15" spans="1:5" x14ac:dyDescent="0.25">
      <c r="A15" s="1" t="s">
        <v>485</v>
      </c>
      <c r="B15" s="1" t="s">
        <v>16384</v>
      </c>
      <c r="C15" s="1" t="s">
        <v>16367</v>
      </c>
      <c r="D15" s="3">
        <v>200</v>
      </c>
      <c r="E15" s="4">
        <v>44222</v>
      </c>
    </row>
    <row r="16" spans="1:5" x14ac:dyDescent="0.25">
      <c r="A16" s="1" t="s">
        <v>497</v>
      </c>
      <c r="B16" s="1" t="s">
        <v>16384</v>
      </c>
      <c r="C16" s="1" t="s">
        <v>16367</v>
      </c>
      <c r="D16" s="3">
        <v>200</v>
      </c>
      <c r="E16" s="4">
        <v>44210</v>
      </c>
    </row>
    <row r="17" spans="1:5" x14ac:dyDescent="0.25">
      <c r="A17" s="1" t="s">
        <v>539</v>
      </c>
      <c r="B17" s="1" t="s">
        <v>16384</v>
      </c>
      <c r="C17" s="1" t="s">
        <v>16367</v>
      </c>
      <c r="D17" s="3">
        <v>200</v>
      </c>
      <c r="E17" s="4">
        <v>44241</v>
      </c>
    </row>
    <row r="18" spans="1:5" x14ac:dyDescent="0.25">
      <c r="A18" s="1" t="s">
        <v>545</v>
      </c>
      <c r="B18" s="1" t="s">
        <v>16384</v>
      </c>
      <c r="C18" s="1" t="s">
        <v>16373</v>
      </c>
      <c r="D18" s="3">
        <v>200</v>
      </c>
      <c r="E18" s="4">
        <v>44298</v>
      </c>
    </row>
    <row r="19" spans="1:5" x14ac:dyDescent="0.25">
      <c r="A19" s="1" t="s">
        <v>555</v>
      </c>
      <c r="B19" s="1" t="s">
        <v>16384</v>
      </c>
      <c r="C19" s="1" t="s">
        <v>16367</v>
      </c>
      <c r="D19" s="3">
        <v>200</v>
      </c>
      <c r="E19" s="4">
        <v>44252</v>
      </c>
    </row>
    <row r="20" spans="1:5" x14ac:dyDescent="0.25">
      <c r="A20" s="1" t="s">
        <v>589</v>
      </c>
      <c r="B20" s="1" t="s">
        <v>16385</v>
      </c>
      <c r="D20" s="3">
        <v>200</v>
      </c>
      <c r="E20" s="4">
        <v>44289</v>
      </c>
    </row>
    <row r="21" spans="1:5" x14ac:dyDescent="0.25">
      <c r="A21" s="1" t="s">
        <v>597</v>
      </c>
      <c r="B21" s="1" t="s">
        <v>16384</v>
      </c>
      <c r="C21" s="1" t="s">
        <v>16376</v>
      </c>
      <c r="D21" s="3">
        <v>200</v>
      </c>
      <c r="E21" s="4">
        <v>44304</v>
      </c>
    </row>
    <row r="22" spans="1:5" x14ac:dyDescent="0.25">
      <c r="A22" s="1" t="s">
        <v>603</v>
      </c>
      <c r="B22" s="1" t="s">
        <v>16384</v>
      </c>
      <c r="C22" s="1" t="s">
        <v>16376</v>
      </c>
      <c r="D22" s="3">
        <v>200</v>
      </c>
      <c r="E22" s="4">
        <v>44328</v>
      </c>
    </row>
    <row r="23" spans="1:5" x14ac:dyDescent="0.25">
      <c r="A23" s="1" t="s">
        <v>675</v>
      </c>
      <c r="B23" s="1" t="s">
        <v>16384</v>
      </c>
      <c r="C23" s="1" t="s">
        <v>16376</v>
      </c>
      <c r="D23" s="3">
        <v>200</v>
      </c>
      <c r="E23" s="4">
        <v>44348</v>
      </c>
    </row>
    <row r="24" spans="1:5" x14ac:dyDescent="0.25">
      <c r="A24" s="1" t="s">
        <v>693</v>
      </c>
      <c r="B24" s="1" t="s">
        <v>16384</v>
      </c>
      <c r="C24" s="1" t="s">
        <v>16367</v>
      </c>
      <c r="D24" s="3">
        <v>200</v>
      </c>
      <c r="E24" s="4">
        <v>44324</v>
      </c>
    </row>
    <row r="25" spans="1:5" x14ac:dyDescent="0.25">
      <c r="A25" s="1" t="s">
        <v>747</v>
      </c>
      <c r="B25" s="1" t="s">
        <v>16384</v>
      </c>
      <c r="C25" s="1" t="s">
        <v>16373</v>
      </c>
      <c r="D25" s="3">
        <v>200</v>
      </c>
      <c r="E25" s="4">
        <v>44413</v>
      </c>
    </row>
    <row r="26" spans="1:5" x14ac:dyDescent="0.25">
      <c r="A26" s="1" t="s">
        <v>755</v>
      </c>
      <c r="B26" s="1" t="s">
        <v>16384</v>
      </c>
      <c r="C26" s="1" t="s">
        <v>16373</v>
      </c>
      <c r="D26" s="3">
        <v>200</v>
      </c>
      <c r="E26" s="4">
        <v>44385</v>
      </c>
    </row>
    <row r="27" spans="1:5" x14ac:dyDescent="0.25">
      <c r="A27" s="1" t="s">
        <v>793</v>
      </c>
      <c r="B27" s="1" t="s">
        <v>16384</v>
      </c>
      <c r="C27" s="1" t="s">
        <v>16373</v>
      </c>
      <c r="D27" s="3">
        <v>200</v>
      </c>
      <c r="E27" s="4">
        <v>44445</v>
      </c>
    </row>
    <row r="28" spans="1:5" x14ac:dyDescent="0.25">
      <c r="A28" s="1" t="s">
        <v>811</v>
      </c>
      <c r="B28" s="1" t="s">
        <v>16384</v>
      </c>
      <c r="C28" s="1" t="s">
        <v>16373</v>
      </c>
      <c r="D28" s="3">
        <v>200</v>
      </c>
      <c r="E28" s="4">
        <v>44417</v>
      </c>
    </row>
    <row r="29" spans="1:5" x14ac:dyDescent="0.25">
      <c r="A29" s="1" t="s">
        <v>821</v>
      </c>
      <c r="B29" s="1" t="s">
        <v>16384</v>
      </c>
      <c r="C29" s="1" t="s">
        <v>16376</v>
      </c>
      <c r="D29" s="3">
        <v>200</v>
      </c>
      <c r="E29" s="4">
        <v>44418</v>
      </c>
    </row>
    <row r="30" spans="1:5" x14ac:dyDescent="0.25">
      <c r="A30" s="1" t="s">
        <v>823</v>
      </c>
      <c r="B30" s="1" t="s">
        <v>16384</v>
      </c>
      <c r="C30" s="1" t="s">
        <v>16367</v>
      </c>
      <c r="D30" s="3">
        <v>200</v>
      </c>
      <c r="E30" s="4">
        <v>44461</v>
      </c>
    </row>
    <row r="31" spans="1:5" x14ac:dyDescent="0.25">
      <c r="A31" s="1" t="s">
        <v>855</v>
      </c>
      <c r="B31" s="1" t="s">
        <v>16385</v>
      </c>
      <c r="D31" s="3">
        <v>200</v>
      </c>
      <c r="E31" s="4">
        <v>44406</v>
      </c>
    </row>
    <row r="32" spans="1:5" x14ac:dyDescent="0.25">
      <c r="A32" s="1" t="s">
        <v>897</v>
      </c>
      <c r="B32" s="1" t="s">
        <v>16384</v>
      </c>
      <c r="C32" s="1" t="s">
        <v>16373</v>
      </c>
      <c r="D32" s="3">
        <v>200</v>
      </c>
      <c r="E32" s="4">
        <v>44465</v>
      </c>
    </row>
    <row r="33" spans="1:5" x14ac:dyDescent="0.25">
      <c r="A33" s="1" t="s">
        <v>913</v>
      </c>
      <c r="B33" s="1" t="s">
        <v>16384</v>
      </c>
      <c r="C33" s="1" t="s">
        <v>16376</v>
      </c>
      <c r="D33" s="3">
        <v>200</v>
      </c>
      <c r="E33" s="4">
        <v>44428</v>
      </c>
    </row>
    <row r="34" spans="1:5" x14ac:dyDescent="0.25">
      <c r="A34" s="1" t="s">
        <v>933</v>
      </c>
      <c r="B34" s="1" t="s">
        <v>16385</v>
      </c>
      <c r="D34" s="3">
        <v>200</v>
      </c>
      <c r="E34" s="4">
        <v>44439</v>
      </c>
    </row>
    <row r="35" spans="1:5" x14ac:dyDescent="0.25">
      <c r="A35" s="1" t="s">
        <v>971</v>
      </c>
      <c r="B35" s="1" t="s">
        <v>16384</v>
      </c>
      <c r="C35" s="1" t="s">
        <v>16367</v>
      </c>
      <c r="D35" s="3">
        <v>200</v>
      </c>
      <c r="E35" s="4">
        <v>44541</v>
      </c>
    </row>
    <row r="36" spans="1:5" x14ac:dyDescent="0.25">
      <c r="A36" s="1" t="s">
        <v>997</v>
      </c>
      <c r="B36" s="1" t="s">
        <v>16384</v>
      </c>
      <c r="C36" s="1" t="s">
        <v>16376</v>
      </c>
      <c r="D36" s="3">
        <v>200</v>
      </c>
      <c r="E36" s="4">
        <v>44500</v>
      </c>
    </row>
    <row r="37" spans="1:5" x14ac:dyDescent="0.25">
      <c r="A37" s="1" t="s">
        <v>1035</v>
      </c>
      <c r="B37" s="1" t="s">
        <v>16384</v>
      </c>
      <c r="C37" s="1" t="s">
        <v>16367</v>
      </c>
      <c r="D37" s="3">
        <v>200</v>
      </c>
      <c r="E37" s="4">
        <v>44578</v>
      </c>
    </row>
    <row r="38" spans="1:5" x14ac:dyDescent="0.25">
      <c r="A38" s="1" t="s">
        <v>1051</v>
      </c>
      <c r="B38" s="1" t="s">
        <v>16384</v>
      </c>
      <c r="C38" s="1" t="s">
        <v>16376</v>
      </c>
      <c r="D38" s="3">
        <v>200</v>
      </c>
      <c r="E38" s="4">
        <v>44521</v>
      </c>
    </row>
    <row r="39" spans="1:5" x14ac:dyDescent="0.25">
      <c r="A39" s="1" t="s">
        <v>1071</v>
      </c>
      <c r="B39" s="1" t="s">
        <v>16384</v>
      </c>
      <c r="C39" s="1" t="s">
        <v>16376</v>
      </c>
      <c r="D39" s="3">
        <v>200</v>
      </c>
      <c r="E39" s="4">
        <v>44524</v>
      </c>
    </row>
    <row r="40" spans="1:5" x14ac:dyDescent="0.25">
      <c r="A40" s="1" t="s">
        <v>1075</v>
      </c>
      <c r="B40" s="1" t="s">
        <v>16384</v>
      </c>
      <c r="C40" s="1" t="s">
        <v>16367</v>
      </c>
      <c r="D40" s="3">
        <v>200</v>
      </c>
      <c r="E40" s="4">
        <v>44579</v>
      </c>
    </row>
    <row r="41" spans="1:5" x14ac:dyDescent="0.25">
      <c r="A41" s="1" t="s">
        <v>1099</v>
      </c>
      <c r="B41" s="1" t="s">
        <v>16384</v>
      </c>
      <c r="C41" s="1" t="s">
        <v>16367</v>
      </c>
      <c r="D41" s="3">
        <v>200</v>
      </c>
      <c r="E41" s="4">
        <v>44612</v>
      </c>
    </row>
    <row r="42" spans="1:5" x14ac:dyDescent="0.25">
      <c r="A42" s="1" t="s">
        <v>1137</v>
      </c>
      <c r="B42" s="1" t="s">
        <v>16384</v>
      </c>
      <c r="C42" s="1" t="s">
        <v>16373</v>
      </c>
      <c r="D42" s="3">
        <v>200</v>
      </c>
      <c r="E42" s="4">
        <v>44559</v>
      </c>
    </row>
    <row r="43" spans="1:5" x14ac:dyDescent="0.25">
      <c r="A43" s="1" t="s">
        <v>1139</v>
      </c>
      <c r="B43" s="1" t="s">
        <v>16384</v>
      </c>
      <c r="C43" s="1" t="s">
        <v>16367</v>
      </c>
      <c r="D43" s="3">
        <v>200</v>
      </c>
      <c r="E43" s="4">
        <v>44613</v>
      </c>
    </row>
    <row r="44" spans="1:5" x14ac:dyDescent="0.25">
      <c r="A44" s="1" t="s">
        <v>1145</v>
      </c>
      <c r="B44" s="1" t="s">
        <v>16384</v>
      </c>
      <c r="C44" s="1" t="s">
        <v>16367</v>
      </c>
      <c r="D44" s="3">
        <v>200</v>
      </c>
      <c r="E44" s="4">
        <v>44626</v>
      </c>
    </row>
    <row r="45" spans="1:5" x14ac:dyDescent="0.25">
      <c r="A45" s="1" t="s">
        <v>1223</v>
      </c>
      <c r="B45" s="1" t="s">
        <v>16384</v>
      </c>
      <c r="C45" s="1" t="s">
        <v>16373</v>
      </c>
      <c r="D45" s="3">
        <v>200</v>
      </c>
      <c r="E45" s="4">
        <v>44633</v>
      </c>
    </row>
    <row r="46" spans="1:5" x14ac:dyDescent="0.25">
      <c r="A46" s="1" t="s">
        <v>1231</v>
      </c>
      <c r="B46" s="1" t="s">
        <v>16384</v>
      </c>
      <c r="C46" s="1" t="s">
        <v>16367</v>
      </c>
      <c r="D46" s="3">
        <v>200</v>
      </c>
      <c r="E46" s="4">
        <v>44653</v>
      </c>
    </row>
    <row r="47" spans="1:5" x14ac:dyDescent="0.25">
      <c r="A47" s="1" t="s">
        <v>1261</v>
      </c>
      <c r="B47" s="1" t="s">
        <v>16384</v>
      </c>
      <c r="C47" s="1" t="s">
        <v>16376</v>
      </c>
      <c r="D47" s="3">
        <v>200</v>
      </c>
      <c r="E47" s="4">
        <v>44664</v>
      </c>
    </row>
    <row r="48" spans="1:5" x14ac:dyDescent="0.25">
      <c r="A48" s="1" t="s">
        <v>1279</v>
      </c>
      <c r="B48" s="1" t="s">
        <v>16384</v>
      </c>
      <c r="C48" s="1" t="s">
        <v>16367</v>
      </c>
      <c r="D48" s="3">
        <v>200</v>
      </c>
      <c r="E48" s="4">
        <v>44656</v>
      </c>
    </row>
    <row r="49" spans="1:5" x14ac:dyDescent="0.25">
      <c r="A49" s="1" t="s">
        <v>1281</v>
      </c>
      <c r="B49" s="1" t="s">
        <v>16384</v>
      </c>
      <c r="C49" s="1" t="s">
        <v>16367</v>
      </c>
      <c r="D49" s="3">
        <v>200</v>
      </c>
      <c r="E49" s="4">
        <v>44658</v>
      </c>
    </row>
    <row r="50" spans="1:5" x14ac:dyDescent="0.25">
      <c r="A50" s="1" t="s">
        <v>1285</v>
      </c>
      <c r="B50" s="1" t="s">
        <v>16384</v>
      </c>
      <c r="C50" s="1" t="s">
        <v>16373</v>
      </c>
      <c r="D50" s="3">
        <v>200</v>
      </c>
      <c r="E50" s="4">
        <v>44630</v>
      </c>
    </row>
    <row r="51" spans="1:5" x14ac:dyDescent="0.25">
      <c r="A51" s="1" t="s">
        <v>1291</v>
      </c>
      <c r="B51" s="1" t="s">
        <v>16384</v>
      </c>
      <c r="C51" s="1" t="s">
        <v>16376</v>
      </c>
      <c r="D51" s="3">
        <v>200</v>
      </c>
      <c r="E51" s="4">
        <v>44619</v>
      </c>
    </row>
    <row r="52" spans="1:5" x14ac:dyDescent="0.25">
      <c r="A52" s="1" t="s">
        <v>1351</v>
      </c>
      <c r="B52" s="1" t="s">
        <v>16384</v>
      </c>
      <c r="C52" s="1" t="s">
        <v>16376</v>
      </c>
      <c r="D52" s="3">
        <v>200</v>
      </c>
      <c r="E52" s="4">
        <v>44703</v>
      </c>
    </row>
    <row r="53" spans="1:5" x14ac:dyDescent="0.25">
      <c r="A53" s="1" t="s">
        <v>1407</v>
      </c>
      <c r="B53" s="1" t="s">
        <v>16384</v>
      </c>
      <c r="C53" s="1" t="s">
        <v>16376</v>
      </c>
      <c r="D53" s="3">
        <v>200</v>
      </c>
      <c r="E53" s="4">
        <v>44717</v>
      </c>
    </row>
    <row r="54" spans="1:5" x14ac:dyDescent="0.25">
      <c r="A54" s="1" t="s">
        <v>1411</v>
      </c>
      <c r="B54" s="1" t="s">
        <v>16384</v>
      </c>
      <c r="C54" s="1" t="s">
        <v>16376</v>
      </c>
      <c r="D54" s="3">
        <v>200</v>
      </c>
      <c r="E54" s="4">
        <v>44689</v>
      </c>
    </row>
    <row r="55" spans="1:5" x14ac:dyDescent="0.25">
      <c r="A55" s="1" t="s">
        <v>1513</v>
      </c>
      <c r="B55" s="1" t="s">
        <v>16384</v>
      </c>
      <c r="C55" s="1" t="s">
        <v>16373</v>
      </c>
      <c r="D55" s="3">
        <v>200</v>
      </c>
      <c r="E55" s="4">
        <v>44775</v>
      </c>
    </row>
    <row r="56" spans="1:5" x14ac:dyDescent="0.25">
      <c r="A56" s="1" t="s">
        <v>1515</v>
      </c>
      <c r="B56" s="1" t="s">
        <v>16384</v>
      </c>
      <c r="C56" s="1" t="s">
        <v>16373</v>
      </c>
      <c r="D56" s="3">
        <v>200</v>
      </c>
      <c r="E56" s="4">
        <v>44722</v>
      </c>
    </row>
    <row r="57" spans="1:5" x14ac:dyDescent="0.25">
      <c r="A57" s="1" t="s">
        <v>1521</v>
      </c>
      <c r="B57" s="1" t="s">
        <v>16384</v>
      </c>
      <c r="C57" s="1" t="s">
        <v>16367</v>
      </c>
      <c r="D57" s="3">
        <v>200</v>
      </c>
      <c r="E57" s="4">
        <v>44767</v>
      </c>
    </row>
    <row r="58" spans="1:5" x14ac:dyDescent="0.25">
      <c r="A58" s="1" t="s">
        <v>1573</v>
      </c>
      <c r="B58" s="1" t="s">
        <v>16384</v>
      </c>
      <c r="C58" s="1" t="s">
        <v>16367</v>
      </c>
      <c r="D58" s="3">
        <v>200</v>
      </c>
      <c r="E58" s="4">
        <v>44759</v>
      </c>
    </row>
    <row r="59" spans="1:5" x14ac:dyDescent="0.25">
      <c r="A59" s="1" t="s">
        <v>1595</v>
      </c>
      <c r="B59" s="1" t="s">
        <v>16385</v>
      </c>
      <c r="D59" s="3">
        <v>200</v>
      </c>
      <c r="E59" s="4">
        <v>44821</v>
      </c>
    </row>
    <row r="60" spans="1:5" x14ac:dyDescent="0.25">
      <c r="A60" s="1" t="s">
        <v>1669</v>
      </c>
      <c r="B60" s="1" t="s">
        <v>16384</v>
      </c>
      <c r="C60" s="1" t="s">
        <v>16367</v>
      </c>
      <c r="D60" s="3">
        <v>200</v>
      </c>
      <c r="E60" s="4">
        <v>44769</v>
      </c>
    </row>
    <row r="61" spans="1:5" x14ac:dyDescent="0.25">
      <c r="A61" s="1" t="s">
        <v>1681</v>
      </c>
      <c r="B61" s="1" t="s">
        <v>16384</v>
      </c>
      <c r="C61" s="1" t="s">
        <v>16367</v>
      </c>
      <c r="D61" s="3">
        <v>200</v>
      </c>
      <c r="E61" s="4">
        <v>44844</v>
      </c>
    </row>
    <row r="62" spans="1:5" x14ac:dyDescent="0.25">
      <c r="A62" s="1" t="s">
        <v>1683</v>
      </c>
      <c r="B62" s="1" t="s">
        <v>16385</v>
      </c>
      <c r="D62" s="3">
        <v>200</v>
      </c>
      <c r="E62" s="4">
        <v>44849</v>
      </c>
    </row>
    <row r="63" spans="1:5" x14ac:dyDescent="0.25">
      <c r="A63" s="1" t="s">
        <v>1685</v>
      </c>
      <c r="B63" s="1" t="s">
        <v>16384</v>
      </c>
      <c r="C63" s="1" t="s">
        <v>16373</v>
      </c>
      <c r="D63" s="3">
        <v>200</v>
      </c>
      <c r="E63" s="4">
        <v>44792</v>
      </c>
    </row>
    <row r="64" spans="1:5" x14ac:dyDescent="0.25">
      <c r="A64" s="1" t="s">
        <v>1699</v>
      </c>
      <c r="B64" s="1" t="s">
        <v>16385</v>
      </c>
      <c r="D64" s="3">
        <v>200</v>
      </c>
      <c r="E64" s="4">
        <v>44834</v>
      </c>
    </row>
    <row r="65" spans="1:5" x14ac:dyDescent="0.25">
      <c r="A65" s="1" t="s">
        <v>1737</v>
      </c>
      <c r="B65" s="1" t="s">
        <v>16384</v>
      </c>
      <c r="C65" s="1" t="s">
        <v>16376</v>
      </c>
      <c r="D65" s="3">
        <v>200</v>
      </c>
      <c r="E65" s="4">
        <v>44877</v>
      </c>
    </row>
    <row r="66" spans="1:5" x14ac:dyDescent="0.25">
      <c r="A66" s="1" t="s">
        <v>1749</v>
      </c>
      <c r="B66" s="1" t="s">
        <v>16384</v>
      </c>
      <c r="C66" s="1" t="s">
        <v>16367</v>
      </c>
      <c r="D66" s="3">
        <v>200</v>
      </c>
      <c r="E66" s="4">
        <v>44877</v>
      </c>
    </row>
    <row r="67" spans="1:5" x14ac:dyDescent="0.25">
      <c r="A67" s="1" t="s">
        <v>1751</v>
      </c>
      <c r="B67" s="1" t="s">
        <v>16384</v>
      </c>
      <c r="C67" s="1" t="s">
        <v>16367</v>
      </c>
      <c r="D67" s="3">
        <v>200</v>
      </c>
      <c r="E67" s="4">
        <v>44831</v>
      </c>
    </row>
    <row r="68" spans="1:5" x14ac:dyDescent="0.25">
      <c r="A68" s="1" t="s">
        <v>1757</v>
      </c>
      <c r="B68" s="1" t="s">
        <v>16384</v>
      </c>
      <c r="C68" s="1" t="s">
        <v>16373</v>
      </c>
      <c r="D68" s="3">
        <v>200</v>
      </c>
      <c r="E68" s="4">
        <v>44845</v>
      </c>
    </row>
    <row r="69" spans="1:5" x14ac:dyDescent="0.25">
      <c r="A69" s="1" t="s">
        <v>1759</v>
      </c>
      <c r="B69" s="1" t="s">
        <v>16384</v>
      </c>
      <c r="C69" s="1" t="s">
        <v>16376</v>
      </c>
      <c r="D69" s="3">
        <v>200</v>
      </c>
      <c r="E69" s="4">
        <v>44883</v>
      </c>
    </row>
    <row r="70" spans="1:5" x14ac:dyDescent="0.25">
      <c r="A70" s="1" t="s">
        <v>1775</v>
      </c>
      <c r="B70" s="1" t="s">
        <v>16384</v>
      </c>
      <c r="C70" s="1" t="s">
        <v>16373</v>
      </c>
      <c r="D70" s="3">
        <v>200</v>
      </c>
      <c r="E70" s="4">
        <v>44862</v>
      </c>
    </row>
    <row r="71" spans="1:5" x14ac:dyDescent="0.25">
      <c r="A71" s="1" t="s">
        <v>1781</v>
      </c>
      <c r="B71" s="1" t="s">
        <v>16384</v>
      </c>
      <c r="C71" s="1" t="s">
        <v>16367</v>
      </c>
      <c r="D71" s="3">
        <v>200</v>
      </c>
      <c r="E71" s="4">
        <v>44908</v>
      </c>
    </row>
    <row r="72" spans="1:5" x14ac:dyDescent="0.25">
      <c r="A72" s="1" t="s">
        <v>1817</v>
      </c>
      <c r="B72" s="1" t="s">
        <v>16384</v>
      </c>
      <c r="C72" s="1" t="s">
        <v>16373</v>
      </c>
      <c r="D72" s="3">
        <v>200</v>
      </c>
      <c r="E72" s="4">
        <v>44911</v>
      </c>
    </row>
    <row r="73" spans="1:5" x14ac:dyDescent="0.25">
      <c r="A73" s="1" t="s">
        <v>1833</v>
      </c>
      <c r="B73" s="1" t="s">
        <v>16384</v>
      </c>
      <c r="C73" s="1" t="s">
        <v>16376</v>
      </c>
      <c r="D73" s="3">
        <v>200</v>
      </c>
      <c r="E73" s="4">
        <v>44894</v>
      </c>
    </row>
    <row r="74" spans="1:5" x14ac:dyDescent="0.25">
      <c r="A74" s="1" t="s">
        <v>1837</v>
      </c>
      <c r="B74" s="1" t="s">
        <v>16384</v>
      </c>
      <c r="C74" s="1" t="s">
        <v>16367</v>
      </c>
      <c r="D74" s="3">
        <v>200</v>
      </c>
      <c r="E74" s="4">
        <v>44900</v>
      </c>
    </row>
    <row r="75" spans="1:5" x14ac:dyDescent="0.25">
      <c r="A75" s="1" t="s">
        <v>1859</v>
      </c>
      <c r="B75" s="1" t="s">
        <v>16384</v>
      </c>
      <c r="C75" s="1" t="s">
        <v>16367</v>
      </c>
      <c r="D75" s="3">
        <v>200</v>
      </c>
      <c r="E75" s="4">
        <v>44930</v>
      </c>
    </row>
    <row r="76" spans="1:5" x14ac:dyDescent="0.25">
      <c r="A76" s="1" t="s">
        <v>1867</v>
      </c>
      <c r="B76" s="1" t="s">
        <v>16384</v>
      </c>
      <c r="C76" s="1" t="s">
        <v>16373</v>
      </c>
      <c r="D76" s="3">
        <v>200</v>
      </c>
      <c r="E76" s="4">
        <v>44892</v>
      </c>
    </row>
    <row r="77" spans="1:5" x14ac:dyDescent="0.25">
      <c r="A77" s="1" t="s">
        <v>1897</v>
      </c>
      <c r="B77" s="1" t="s">
        <v>16385</v>
      </c>
      <c r="D77" s="3">
        <v>200</v>
      </c>
      <c r="E77" s="4">
        <v>44960</v>
      </c>
    </row>
    <row r="78" spans="1:5" x14ac:dyDescent="0.25">
      <c r="A78" s="1" t="s">
        <v>1903</v>
      </c>
      <c r="B78" s="1" t="s">
        <v>16384</v>
      </c>
      <c r="C78" s="1" t="s">
        <v>16376</v>
      </c>
      <c r="D78" s="3">
        <v>200</v>
      </c>
      <c r="E78" s="4">
        <v>44942</v>
      </c>
    </row>
    <row r="79" spans="1:5" x14ac:dyDescent="0.25">
      <c r="A79" s="1" t="s">
        <v>1913</v>
      </c>
      <c r="B79" s="1" t="s">
        <v>16384</v>
      </c>
      <c r="C79" s="1" t="s">
        <v>16373</v>
      </c>
      <c r="D79" s="3">
        <v>200</v>
      </c>
      <c r="E79" s="4">
        <v>44950</v>
      </c>
    </row>
    <row r="80" spans="1:5" x14ac:dyDescent="0.25">
      <c r="A80" s="1" t="s">
        <v>1929</v>
      </c>
      <c r="B80" s="1" t="s">
        <v>16384</v>
      </c>
      <c r="C80" s="1" t="s">
        <v>16367</v>
      </c>
      <c r="D80" s="3">
        <v>200</v>
      </c>
      <c r="E80" s="4">
        <v>44931</v>
      </c>
    </row>
    <row r="81" spans="1:5" x14ac:dyDescent="0.25">
      <c r="A81" s="1" t="s">
        <v>1941</v>
      </c>
      <c r="B81" s="1" t="s">
        <v>16384</v>
      </c>
      <c r="C81" s="1" t="s">
        <v>16376</v>
      </c>
      <c r="D81" s="3">
        <v>200</v>
      </c>
      <c r="E81" s="4">
        <v>44975</v>
      </c>
    </row>
    <row r="82" spans="1:5" x14ac:dyDescent="0.25">
      <c r="A82" s="1" t="s">
        <v>1951</v>
      </c>
      <c r="B82" s="1" t="s">
        <v>16385</v>
      </c>
      <c r="D82" s="3">
        <v>200</v>
      </c>
      <c r="E82" s="4">
        <v>44932</v>
      </c>
    </row>
    <row r="83" spans="1:5" x14ac:dyDescent="0.25">
      <c r="A83" s="1" t="s">
        <v>1963</v>
      </c>
      <c r="B83" s="1" t="s">
        <v>16384</v>
      </c>
      <c r="C83" s="1" t="s">
        <v>16376</v>
      </c>
      <c r="D83" s="3">
        <v>200</v>
      </c>
      <c r="E83" s="4">
        <v>44965</v>
      </c>
    </row>
    <row r="84" spans="1:5" x14ac:dyDescent="0.25">
      <c r="A84" s="1" t="s">
        <v>1981</v>
      </c>
      <c r="B84" s="1" t="s">
        <v>16384</v>
      </c>
      <c r="C84" s="1" t="s">
        <v>16376</v>
      </c>
      <c r="D84" s="3">
        <v>200</v>
      </c>
      <c r="E84" s="4">
        <v>44995</v>
      </c>
    </row>
    <row r="85" spans="1:5" x14ac:dyDescent="0.25">
      <c r="A85" s="1" t="s">
        <v>2017</v>
      </c>
      <c r="B85" s="1" t="s">
        <v>16384</v>
      </c>
      <c r="C85" s="1" t="s">
        <v>16367</v>
      </c>
      <c r="D85" s="3">
        <v>200</v>
      </c>
      <c r="E85" s="4">
        <v>44948</v>
      </c>
    </row>
    <row r="86" spans="1:5" x14ac:dyDescent="0.25">
      <c r="A86" s="1" t="s">
        <v>2057</v>
      </c>
      <c r="B86" s="1" t="s">
        <v>16384</v>
      </c>
      <c r="C86" s="1" t="s">
        <v>16367</v>
      </c>
      <c r="D86" s="3">
        <v>200</v>
      </c>
      <c r="E86" s="4">
        <v>44991</v>
      </c>
    </row>
    <row r="87" spans="1:5" x14ac:dyDescent="0.25">
      <c r="A87" s="1" t="s">
        <v>2061</v>
      </c>
      <c r="B87" s="1" t="s">
        <v>16384</v>
      </c>
      <c r="C87" s="1" t="s">
        <v>16376</v>
      </c>
      <c r="D87" s="3">
        <v>200</v>
      </c>
      <c r="E87" s="4">
        <v>44983</v>
      </c>
    </row>
    <row r="88" spans="1:5" x14ac:dyDescent="0.25">
      <c r="A88" s="1" t="s">
        <v>2093</v>
      </c>
      <c r="B88" s="1" t="s">
        <v>16384</v>
      </c>
      <c r="C88" s="1" t="s">
        <v>16376</v>
      </c>
      <c r="D88" s="3">
        <v>200</v>
      </c>
      <c r="E88" s="4">
        <v>44974</v>
      </c>
    </row>
    <row r="89" spans="1:5" x14ac:dyDescent="0.25">
      <c r="A89" s="1" t="s">
        <v>2103</v>
      </c>
      <c r="B89" s="1" t="s">
        <v>16384</v>
      </c>
      <c r="C89" s="1" t="s">
        <v>16376</v>
      </c>
      <c r="D89" s="3">
        <v>200</v>
      </c>
      <c r="E89" s="4">
        <v>44988</v>
      </c>
    </row>
    <row r="90" spans="1:5" x14ac:dyDescent="0.25">
      <c r="A90" s="1" t="s">
        <v>2137</v>
      </c>
      <c r="B90" s="1" t="s">
        <v>16384</v>
      </c>
      <c r="C90" s="1" t="s">
        <v>16373</v>
      </c>
      <c r="D90" s="3">
        <v>200</v>
      </c>
      <c r="E90" s="4">
        <v>45002</v>
      </c>
    </row>
    <row r="91" spans="1:5" x14ac:dyDescent="0.25">
      <c r="A91" s="1" t="s">
        <v>2151</v>
      </c>
      <c r="B91" s="1" t="s">
        <v>16384</v>
      </c>
      <c r="C91" s="1" t="s">
        <v>16367</v>
      </c>
      <c r="D91" s="3">
        <v>200</v>
      </c>
      <c r="E91" s="4">
        <v>45047</v>
      </c>
    </row>
    <row r="92" spans="1:5" x14ac:dyDescent="0.25">
      <c r="A92" s="1" t="s">
        <v>2163</v>
      </c>
      <c r="B92" s="1" t="s">
        <v>16384</v>
      </c>
      <c r="C92" s="1" t="s">
        <v>16367</v>
      </c>
      <c r="D92" s="3">
        <v>200</v>
      </c>
      <c r="E92" s="4">
        <v>45021</v>
      </c>
    </row>
    <row r="93" spans="1:5" x14ac:dyDescent="0.25">
      <c r="A93" s="1" t="s">
        <v>2173</v>
      </c>
      <c r="B93" s="1" t="s">
        <v>16384</v>
      </c>
      <c r="C93" s="1" t="s">
        <v>16367</v>
      </c>
      <c r="D93" s="3">
        <v>200</v>
      </c>
      <c r="E93" s="4">
        <v>45062</v>
      </c>
    </row>
    <row r="94" spans="1:5" x14ac:dyDescent="0.25">
      <c r="A94" s="1" t="s">
        <v>2189</v>
      </c>
      <c r="B94" s="1" t="s">
        <v>16384</v>
      </c>
      <c r="C94" s="1" t="s">
        <v>16373</v>
      </c>
      <c r="D94" s="3">
        <v>200</v>
      </c>
      <c r="E94" s="4">
        <v>45025</v>
      </c>
    </row>
    <row r="95" spans="1:5" x14ac:dyDescent="0.25">
      <c r="A95" s="1" t="s">
        <v>2197</v>
      </c>
      <c r="B95" s="1" t="s">
        <v>16384</v>
      </c>
      <c r="C95" s="1" t="s">
        <v>16373</v>
      </c>
      <c r="D95" s="3">
        <v>200</v>
      </c>
      <c r="E95" s="4">
        <v>45022</v>
      </c>
    </row>
    <row r="96" spans="1:5" x14ac:dyDescent="0.25">
      <c r="A96" s="1" t="s">
        <v>2227</v>
      </c>
      <c r="B96" s="1" t="s">
        <v>16384</v>
      </c>
      <c r="C96" s="1" t="s">
        <v>16373</v>
      </c>
      <c r="D96" s="3">
        <v>200</v>
      </c>
      <c r="E96" s="4">
        <v>45037</v>
      </c>
    </row>
    <row r="97" spans="1:5" x14ac:dyDescent="0.25">
      <c r="A97" s="1" t="s">
        <v>2249</v>
      </c>
      <c r="B97" s="1" t="s">
        <v>16384</v>
      </c>
      <c r="C97" s="1" t="s">
        <v>16367</v>
      </c>
      <c r="D97" s="3">
        <v>200</v>
      </c>
      <c r="E97" s="4">
        <v>45043</v>
      </c>
    </row>
    <row r="98" spans="1:5" x14ac:dyDescent="0.25">
      <c r="A98" s="1" t="s">
        <v>2261</v>
      </c>
      <c r="B98" s="1" t="s">
        <v>16384</v>
      </c>
      <c r="C98" s="1" t="s">
        <v>16367</v>
      </c>
      <c r="D98" s="3">
        <v>200</v>
      </c>
      <c r="E98" s="4">
        <v>45050</v>
      </c>
    </row>
    <row r="99" spans="1:5" x14ac:dyDescent="0.25">
      <c r="A99" s="1" t="s">
        <v>2285</v>
      </c>
      <c r="B99" s="1" t="s">
        <v>16384</v>
      </c>
      <c r="C99" s="1" t="s">
        <v>16373</v>
      </c>
      <c r="D99" s="3">
        <v>200</v>
      </c>
      <c r="E99" s="4">
        <v>45107</v>
      </c>
    </row>
    <row r="100" spans="1:5" x14ac:dyDescent="0.25">
      <c r="A100" s="1" t="s">
        <v>2333</v>
      </c>
      <c r="B100" s="1" t="s">
        <v>16384</v>
      </c>
      <c r="C100" s="1" t="s">
        <v>16376</v>
      </c>
      <c r="D100" s="3">
        <v>200</v>
      </c>
      <c r="E100" s="4">
        <v>45087</v>
      </c>
    </row>
    <row r="101" spans="1:5" x14ac:dyDescent="0.25">
      <c r="A101" s="1" t="s">
        <v>2357</v>
      </c>
      <c r="B101" s="1" t="s">
        <v>16385</v>
      </c>
      <c r="D101" s="3">
        <v>200</v>
      </c>
      <c r="E101" s="4">
        <v>45102</v>
      </c>
    </row>
    <row r="102" spans="1:5" x14ac:dyDescent="0.25">
      <c r="A102" s="1" t="s">
        <v>2379</v>
      </c>
      <c r="B102" s="1" t="s">
        <v>16384</v>
      </c>
      <c r="C102" s="1" t="s">
        <v>16373</v>
      </c>
      <c r="D102" s="3">
        <v>200</v>
      </c>
      <c r="E102" s="4">
        <v>45138</v>
      </c>
    </row>
    <row r="103" spans="1:5" x14ac:dyDescent="0.25">
      <c r="A103" s="1" t="s">
        <v>2381</v>
      </c>
      <c r="B103" s="1" t="s">
        <v>16384</v>
      </c>
      <c r="C103" s="1" t="s">
        <v>16367</v>
      </c>
      <c r="D103" s="3">
        <v>200</v>
      </c>
      <c r="E103" s="4">
        <v>45084</v>
      </c>
    </row>
    <row r="104" spans="1:5" x14ac:dyDescent="0.25">
      <c r="A104" s="1" t="s">
        <v>2491</v>
      </c>
      <c r="B104" s="1" t="s">
        <v>16384</v>
      </c>
      <c r="C104" s="1" t="s">
        <v>16376</v>
      </c>
      <c r="D104" s="3">
        <v>200</v>
      </c>
      <c r="E104" s="4">
        <v>45166</v>
      </c>
    </row>
    <row r="105" spans="1:5" x14ac:dyDescent="0.25">
      <c r="A105" s="1" t="s">
        <v>2501</v>
      </c>
      <c r="B105" s="1" t="s">
        <v>16384</v>
      </c>
      <c r="C105" s="1" t="s">
        <v>16367</v>
      </c>
      <c r="D105" s="3">
        <v>200</v>
      </c>
      <c r="E105" s="4">
        <v>45168</v>
      </c>
    </row>
    <row r="106" spans="1:5" x14ac:dyDescent="0.25">
      <c r="A106" s="1" t="s">
        <v>2505</v>
      </c>
      <c r="B106" s="1" t="s">
        <v>16384</v>
      </c>
      <c r="C106" s="1" t="s">
        <v>16367</v>
      </c>
      <c r="D106" s="3">
        <v>200</v>
      </c>
      <c r="E106" s="4">
        <v>45134</v>
      </c>
    </row>
    <row r="107" spans="1:5" x14ac:dyDescent="0.25">
      <c r="A107" s="1" t="s">
        <v>2533</v>
      </c>
      <c r="B107" s="1" t="s">
        <v>16384</v>
      </c>
      <c r="C107" s="1" t="s">
        <v>16376</v>
      </c>
      <c r="D107" s="3">
        <v>200</v>
      </c>
      <c r="E107" s="4">
        <v>45225</v>
      </c>
    </row>
    <row r="108" spans="1:5" x14ac:dyDescent="0.25">
      <c r="A108" s="1" t="s">
        <v>2539</v>
      </c>
      <c r="B108" s="1" t="s">
        <v>16384</v>
      </c>
      <c r="C108" s="1" t="s">
        <v>16376</v>
      </c>
      <c r="D108" s="3">
        <v>200</v>
      </c>
      <c r="E108" s="4">
        <v>45146</v>
      </c>
    </row>
    <row r="109" spans="1:5" x14ac:dyDescent="0.25">
      <c r="A109" s="1" t="s">
        <v>2553</v>
      </c>
      <c r="B109" s="1" t="s">
        <v>16384</v>
      </c>
      <c r="C109" s="1" t="s">
        <v>16367</v>
      </c>
      <c r="D109" s="3">
        <v>200</v>
      </c>
      <c r="E109" s="4">
        <v>45169</v>
      </c>
    </row>
    <row r="110" spans="1:5" x14ac:dyDescent="0.25">
      <c r="A110" s="1" t="s">
        <v>2557</v>
      </c>
      <c r="B110" s="1" t="s">
        <v>16384</v>
      </c>
      <c r="C110" s="1" t="s">
        <v>16373</v>
      </c>
      <c r="D110" s="3">
        <v>200</v>
      </c>
      <c r="E110" s="4">
        <v>45168</v>
      </c>
    </row>
    <row r="111" spans="1:5" x14ac:dyDescent="0.25">
      <c r="A111" s="1" t="s">
        <v>2561</v>
      </c>
      <c r="B111" s="1" t="s">
        <v>16384</v>
      </c>
      <c r="C111" s="1" t="s">
        <v>16376</v>
      </c>
      <c r="D111" s="3">
        <v>200</v>
      </c>
      <c r="E111" s="4">
        <v>45178</v>
      </c>
    </row>
    <row r="112" spans="1:5" x14ac:dyDescent="0.25">
      <c r="A112" s="1" t="s">
        <v>2587</v>
      </c>
      <c r="B112" s="1" t="s">
        <v>16384</v>
      </c>
      <c r="C112" s="1" t="s">
        <v>16373</v>
      </c>
      <c r="D112" s="3">
        <v>200</v>
      </c>
      <c r="E112" s="4">
        <v>45209</v>
      </c>
    </row>
    <row r="113" spans="1:5" x14ac:dyDescent="0.25">
      <c r="A113" s="1" t="s">
        <v>2617</v>
      </c>
      <c r="B113" s="1" t="s">
        <v>16384</v>
      </c>
      <c r="C113" s="1" t="s">
        <v>16376</v>
      </c>
      <c r="D113" s="3">
        <v>200</v>
      </c>
      <c r="E113" s="4">
        <v>45183</v>
      </c>
    </row>
    <row r="114" spans="1:5" x14ac:dyDescent="0.25">
      <c r="A114" s="1" t="s">
        <v>2625</v>
      </c>
      <c r="B114" s="1" t="s">
        <v>16384</v>
      </c>
      <c r="C114" s="1" t="s">
        <v>16373</v>
      </c>
      <c r="D114" s="3">
        <v>200</v>
      </c>
      <c r="E114" s="4">
        <v>45181</v>
      </c>
    </row>
    <row r="115" spans="1:5" x14ac:dyDescent="0.25">
      <c r="A115" s="1" t="s">
        <v>2685</v>
      </c>
      <c r="B115" s="1" t="s">
        <v>16384</v>
      </c>
      <c r="C115" s="1" t="s">
        <v>16367</v>
      </c>
      <c r="D115" s="3">
        <v>200</v>
      </c>
      <c r="E115" s="4">
        <v>45275</v>
      </c>
    </row>
    <row r="116" spans="1:5" x14ac:dyDescent="0.25">
      <c r="A116" s="1" t="s">
        <v>2705</v>
      </c>
      <c r="B116" s="1" t="s">
        <v>16384</v>
      </c>
      <c r="C116" s="1" t="s">
        <v>16367</v>
      </c>
      <c r="D116" s="3">
        <v>200</v>
      </c>
      <c r="E116" s="4">
        <v>45285</v>
      </c>
    </row>
    <row r="117" spans="1:5" x14ac:dyDescent="0.25">
      <c r="A117" s="1" t="s">
        <v>2707</v>
      </c>
      <c r="B117" s="1" t="s">
        <v>16384</v>
      </c>
      <c r="C117" s="1" t="s">
        <v>16367</v>
      </c>
      <c r="D117" s="3">
        <v>200</v>
      </c>
      <c r="E117" s="4">
        <v>45224</v>
      </c>
    </row>
    <row r="118" spans="1:5" x14ac:dyDescent="0.25">
      <c r="A118" s="1" t="s">
        <v>2717</v>
      </c>
      <c r="B118" s="1" t="s">
        <v>16384</v>
      </c>
      <c r="C118" s="1" t="s">
        <v>16373</v>
      </c>
      <c r="D118" s="3">
        <v>200</v>
      </c>
      <c r="E118" s="4">
        <v>45233</v>
      </c>
    </row>
    <row r="119" spans="1:5" x14ac:dyDescent="0.25">
      <c r="A119" s="1" t="s">
        <v>2727</v>
      </c>
      <c r="B119" s="1" t="s">
        <v>16384</v>
      </c>
      <c r="C119" s="1" t="s">
        <v>16373</v>
      </c>
      <c r="D119" s="3">
        <v>200</v>
      </c>
      <c r="E119" s="4">
        <v>45264</v>
      </c>
    </row>
    <row r="120" spans="1:5" x14ac:dyDescent="0.25">
      <c r="A120" s="1" t="s">
        <v>2729</v>
      </c>
      <c r="B120" s="1" t="s">
        <v>16384</v>
      </c>
      <c r="C120" s="1" t="s">
        <v>16373</v>
      </c>
      <c r="D120" s="3">
        <v>200</v>
      </c>
      <c r="E120" s="4">
        <v>45270</v>
      </c>
    </row>
    <row r="121" spans="1:5" x14ac:dyDescent="0.25">
      <c r="A121" s="1" t="s">
        <v>2747</v>
      </c>
      <c r="B121" s="1" t="s">
        <v>16384</v>
      </c>
      <c r="C121" s="1" t="s">
        <v>16376</v>
      </c>
      <c r="D121" s="3">
        <v>200</v>
      </c>
      <c r="E121" s="4">
        <v>45254</v>
      </c>
    </row>
    <row r="122" spans="1:5" x14ac:dyDescent="0.25">
      <c r="A122" s="1" t="s">
        <v>2757</v>
      </c>
      <c r="B122" s="1" t="s">
        <v>16384</v>
      </c>
      <c r="C122" s="1" t="s">
        <v>16367</v>
      </c>
      <c r="D122" s="3">
        <v>200</v>
      </c>
      <c r="E122" s="4">
        <v>45240</v>
      </c>
    </row>
    <row r="123" spans="1:5" x14ac:dyDescent="0.25">
      <c r="A123" s="1" t="s">
        <v>2767</v>
      </c>
      <c r="B123" s="1" t="s">
        <v>16385</v>
      </c>
      <c r="D123" s="3">
        <v>200</v>
      </c>
      <c r="E123" s="4">
        <v>45257</v>
      </c>
    </row>
    <row r="124" spans="1:5" x14ac:dyDescent="0.25">
      <c r="A124" s="1" t="s">
        <v>2769</v>
      </c>
      <c r="B124" s="1" t="s">
        <v>16384</v>
      </c>
      <c r="C124" s="1" t="s">
        <v>16376</v>
      </c>
      <c r="D124" s="3">
        <v>200</v>
      </c>
      <c r="E124" s="4">
        <v>45244</v>
      </c>
    </row>
    <row r="125" spans="1:5" x14ac:dyDescent="0.25">
      <c r="A125" s="1" t="s">
        <v>2789</v>
      </c>
      <c r="B125" s="1" t="s">
        <v>16384</v>
      </c>
      <c r="C125" s="1" t="s">
        <v>16373</v>
      </c>
      <c r="D125" s="3">
        <v>200</v>
      </c>
      <c r="E125" s="4">
        <v>45264</v>
      </c>
    </row>
    <row r="126" spans="1:5" x14ac:dyDescent="0.25">
      <c r="A126" s="1" t="s">
        <v>2791</v>
      </c>
      <c r="B126" s="1" t="s">
        <v>16384</v>
      </c>
      <c r="C126" s="1" t="s">
        <v>16373</v>
      </c>
      <c r="D126" s="3">
        <v>200</v>
      </c>
      <c r="E126" s="4">
        <v>45280</v>
      </c>
    </row>
    <row r="127" spans="1:5" x14ac:dyDescent="0.25">
      <c r="A127" s="1" t="s">
        <v>2811</v>
      </c>
      <c r="B127" s="1" t="s">
        <v>16384</v>
      </c>
      <c r="C127" s="1" t="s">
        <v>16373</v>
      </c>
      <c r="D127" s="3">
        <v>200</v>
      </c>
      <c r="E127" s="4">
        <v>45254</v>
      </c>
    </row>
    <row r="128" spans="1:5" x14ac:dyDescent="0.25">
      <c r="A128" s="1" t="s">
        <v>2815</v>
      </c>
      <c r="B128" s="1" t="s">
        <v>16384</v>
      </c>
      <c r="C128" s="1" t="s">
        <v>16376</v>
      </c>
      <c r="D128" s="3">
        <v>200</v>
      </c>
      <c r="E128" s="4">
        <v>45258</v>
      </c>
    </row>
    <row r="129" spans="1:5" x14ac:dyDescent="0.25">
      <c r="A129" s="1" t="s">
        <v>2831</v>
      </c>
      <c r="B129" s="1" t="s">
        <v>16384</v>
      </c>
      <c r="C129" s="1" t="s">
        <v>16376</v>
      </c>
      <c r="D129" s="3">
        <v>200</v>
      </c>
      <c r="E129" s="4">
        <v>45254</v>
      </c>
    </row>
    <row r="130" spans="1:5" x14ac:dyDescent="0.25">
      <c r="A130" s="1" t="s">
        <v>2839</v>
      </c>
      <c r="B130" s="1" t="s">
        <v>16384</v>
      </c>
      <c r="C130" s="1" t="s">
        <v>16367</v>
      </c>
      <c r="D130" s="3">
        <v>200</v>
      </c>
      <c r="E130" s="4">
        <v>45290</v>
      </c>
    </row>
    <row r="131" spans="1:5" x14ac:dyDescent="0.25">
      <c r="A131" s="1" t="s">
        <v>2843</v>
      </c>
      <c r="B131" s="1" t="s">
        <v>16384</v>
      </c>
      <c r="C131" s="1" t="s">
        <v>16376</v>
      </c>
      <c r="D131" s="3">
        <v>200</v>
      </c>
      <c r="E131" s="4">
        <v>45267</v>
      </c>
    </row>
    <row r="132" spans="1:5" x14ac:dyDescent="0.25">
      <c r="A132" s="1" t="s">
        <v>2859</v>
      </c>
      <c r="B132" s="1" t="s">
        <v>16384</v>
      </c>
      <c r="C132" s="1" t="s">
        <v>16367</v>
      </c>
      <c r="D132" s="3">
        <v>200</v>
      </c>
      <c r="E132" s="4">
        <v>45280</v>
      </c>
    </row>
    <row r="133" spans="1:5" x14ac:dyDescent="0.25">
      <c r="A133" s="1" t="s">
        <v>2861</v>
      </c>
      <c r="B133" s="1" t="s">
        <v>16384</v>
      </c>
      <c r="C133" s="1" t="s">
        <v>16376</v>
      </c>
      <c r="D133" s="3">
        <v>200</v>
      </c>
      <c r="E133" s="4">
        <v>45344</v>
      </c>
    </row>
    <row r="134" spans="1:5" x14ac:dyDescent="0.25">
      <c r="A134" s="1" t="s">
        <v>2873</v>
      </c>
      <c r="B134" s="1" t="s">
        <v>16384</v>
      </c>
      <c r="C134" s="1" t="s">
        <v>16376</v>
      </c>
      <c r="D134" s="3">
        <v>200</v>
      </c>
      <c r="E134" s="4">
        <v>45304</v>
      </c>
    </row>
    <row r="135" spans="1:5" x14ac:dyDescent="0.25">
      <c r="A135" s="1" t="s">
        <v>2897</v>
      </c>
      <c r="B135" s="1" t="s">
        <v>16384</v>
      </c>
      <c r="C135" s="1" t="s">
        <v>16367</v>
      </c>
      <c r="D135" s="3">
        <v>200</v>
      </c>
      <c r="E135" s="4">
        <v>45277</v>
      </c>
    </row>
    <row r="136" spans="1:5" x14ac:dyDescent="0.25">
      <c r="A136" s="1" t="s">
        <v>2915</v>
      </c>
      <c r="B136" s="1" t="s">
        <v>16384</v>
      </c>
      <c r="C136" s="1" t="s">
        <v>16376</v>
      </c>
      <c r="D136" s="3">
        <v>200</v>
      </c>
      <c r="E136" s="4">
        <v>45335</v>
      </c>
    </row>
    <row r="137" spans="1:5" x14ac:dyDescent="0.25">
      <c r="A137" s="1" t="s">
        <v>2971</v>
      </c>
      <c r="B137" s="1" t="s">
        <v>16385</v>
      </c>
      <c r="D137" s="3">
        <v>200</v>
      </c>
      <c r="E137" s="4">
        <v>45370</v>
      </c>
    </row>
    <row r="138" spans="1:5" x14ac:dyDescent="0.25">
      <c r="A138" s="1" t="s">
        <v>3003</v>
      </c>
      <c r="B138" s="1" t="s">
        <v>16384</v>
      </c>
      <c r="C138" s="1" t="s">
        <v>16367</v>
      </c>
      <c r="D138" s="3">
        <v>200</v>
      </c>
      <c r="E138" s="4">
        <v>45340</v>
      </c>
    </row>
    <row r="139" spans="1:5" x14ac:dyDescent="0.25">
      <c r="A139" s="1" t="s">
        <v>3005</v>
      </c>
      <c r="B139" s="1" t="s">
        <v>16384</v>
      </c>
      <c r="C139" s="1" t="s">
        <v>16367</v>
      </c>
      <c r="D139" s="3">
        <v>200</v>
      </c>
      <c r="E139" s="4">
        <v>45379</v>
      </c>
    </row>
    <row r="140" spans="1:5" x14ac:dyDescent="0.25">
      <c r="A140" s="1" t="s">
        <v>3007</v>
      </c>
      <c r="B140" s="1" t="s">
        <v>16384</v>
      </c>
      <c r="C140" s="1" t="s">
        <v>16367</v>
      </c>
      <c r="D140" s="3">
        <v>200</v>
      </c>
      <c r="E140" s="4">
        <v>45334</v>
      </c>
    </row>
    <row r="141" spans="1:5" x14ac:dyDescent="0.25">
      <c r="A141" s="1" t="s">
        <v>3017</v>
      </c>
      <c r="B141" s="1" t="s">
        <v>16384</v>
      </c>
      <c r="C141" s="1" t="s">
        <v>16367</v>
      </c>
      <c r="D141" s="3">
        <v>200</v>
      </c>
      <c r="E141" s="4">
        <v>45367</v>
      </c>
    </row>
    <row r="142" spans="1:5" x14ac:dyDescent="0.25">
      <c r="A142" s="1" t="s">
        <v>3023</v>
      </c>
      <c r="B142" s="1" t="s">
        <v>16385</v>
      </c>
      <c r="D142" s="3">
        <v>200</v>
      </c>
      <c r="E142" s="4">
        <v>45368</v>
      </c>
    </row>
    <row r="143" spans="1:5" x14ac:dyDescent="0.25">
      <c r="A143" s="1" t="s">
        <v>3029</v>
      </c>
      <c r="B143" s="1" t="s">
        <v>16385</v>
      </c>
      <c r="D143" s="3">
        <v>200</v>
      </c>
      <c r="E143" s="4">
        <v>45369</v>
      </c>
    </row>
    <row r="144" spans="1:5" x14ac:dyDescent="0.25">
      <c r="A144" s="1" t="s">
        <v>3049</v>
      </c>
      <c r="B144" s="1" t="s">
        <v>16384</v>
      </c>
      <c r="C144" s="1" t="s">
        <v>16367</v>
      </c>
      <c r="D144" s="3">
        <v>200</v>
      </c>
      <c r="E144" s="4">
        <v>45396</v>
      </c>
    </row>
    <row r="145" spans="1:5" x14ac:dyDescent="0.25">
      <c r="A145" s="1" t="s">
        <v>3067</v>
      </c>
      <c r="B145" s="1" t="s">
        <v>16384</v>
      </c>
      <c r="C145" s="1" t="s">
        <v>16367</v>
      </c>
      <c r="D145" s="3">
        <v>200</v>
      </c>
      <c r="E145" s="4">
        <v>45344</v>
      </c>
    </row>
    <row r="146" spans="1:5" x14ac:dyDescent="0.25">
      <c r="A146" s="1" t="s">
        <v>3079</v>
      </c>
      <c r="B146" s="1" t="s">
        <v>16384</v>
      </c>
      <c r="C146" s="1" t="s">
        <v>16373</v>
      </c>
      <c r="D146" s="3">
        <v>200</v>
      </c>
      <c r="E146" s="4">
        <v>45334</v>
      </c>
    </row>
    <row r="147" spans="1:5" x14ac:dyDescent="0.25">
      <c r="A147" s="1" t="s">
        <v>3089</v>
      </c>
      <c r="B147" s="1" t="s">
        <v>16384</v>
      </c>
      <c r="C147" s="1" t="s">
        <v>16367</v>
      </c>
      <c r="D147" s="3">
        <v>200</v>
      </c>
      <c r="E147" s="4">
        <v>45385</v>
      </c>
    </row>
    <row r="148" spans="1:5" x14ac:dyDescent="0.25">
      <c r="A148" s="1" t="s">
        <v>3095</v>
      </c>
      <c r="B148" s="1" t="s">
        <v>16384</v>
      </c>
      <c r="C148" s="1" t="s">
        <v>16367</v>
      </c>
      <c r="D148" s="3">
        <v>200</v>
      </c>
      <c r="E148" s="4">
        <v>45374</v>
      </c>
    </row>
    <row r="149" spans="1:5" x14ac:dyDescent="0.25">
      <c r="A149" s="1" t="s">
        <v>3101</v>
      </c>
      <c r="B149" s="1" t="s">
        <v>16384</v>
      </c>
      <c r="C149" s="1" t="s">
        <v>16367</v>
      </c>
      <c r="D149" s="3">
        <v>200</v>
      </c>
      <c r="E149" s="4">
        <v>45342</v>
      </c>
    </row>
    <row r="150" spans="1:5" x14ac:dyDescent="0.25">
      <c r="A150" s="1" t="s">
        <v>3143</v>
      </c>
      <c r="B150" s="1" t="s">
        <v>16384</v>
      </c>
      <c r="C150" s="1" t="s">
        <v>16367</v>
      </c>
      <c r="D150" s="3">
        <v>200</v>
      </c>
      <c r="E150" s="4">
        <v>45423</v>
      </c>
    </row>
    <row r="151" spans="1:5" x14ac:dyDescent="0.25">
      <c r="A151" s="1" t="s">
        <v>3159</v>
      </c>
      <c r="B151" s="1" t="s">
        <v>16384</v>
      </c>
      <c r="C151" s="1" t="s">
        <v>16373</v>
      </c>
      <c r="D151" s="3">
        <v>200</v>
      </c>
      <c r="E151" s="4">
        <v>45387</v>
      </c>
    </row>
    <row r="152" spans="1:5" x14ac:dyDescent="0.25">
      <c r="A152" s="1" t="s">
        <v>3171</v>
      </c>
      <c r="B152" s="1" t="s">
        <v>16384</v>
      </c>
      <c r="C152" s="1" t="s">
        <v>16376</v>
      </c>
      <c r="D152" s="3">
        <v>200</v>
      </c>
      <c r="E152" s="4">
        <v>45392</v>
      </c>
    </row>
    <row r="153" spans="1:5" x14ac:dyDescent="0.25">
      <c r="A153" s="1" t="s">
        <v>3173</v>
      </c>
      <c r="B153" s="1" t="s">
        <v>16384</v>
      </c>
      <c r="C153" s="1" t="s">
        <v>16373</v>
      </c>
      <c r="D153" s="3">
        <v>200</v>
      </c>
      <c r="E153" s="4">
        <v>45429</v>
      </c>
    </row>
    <row r="154" spans="1:5" x14ac:dyDescent="0.25">
      <c r="A154" s="1" t="s">
        <v>3181</v>
      </c>
      <c r="B154" s="1" t="s">
        <v>16384</v>
      </c>
      <c r="C154" s="1" t="s">
        <v>16376</v>
      </c>
      <c r="D154" s="3">
        <v>200</v>
      </c>
      <c r="E154" s="4">
        <v>45441</v>
      </c>
    </row>
    <row r="155" spans="1:5" x14ac:dyDescent="0.25">
      <c r="A155" s="1" t="s">
        <v>3197</v>
      </c>
      <c r="B155" s="1" t="s">
        <v>16384</v>
      </c>
      <c r="C155" s="1" t="s">
        <v>16376</v>
      </c>
      <c r="D155" s="3">
        <v>200</v>
      </c>
      <c r="E155" s="4">
        <v>45402</v>
      </c>
    </row>
    <row r="156" spans="1:5" x14ac:dyDescent="0.25">
      <c r="A156" s="1" t="s">
        <v>3235</v>
      </c>
      <c r="B156" s="1" t="s">
        <v>16384</v>
      </c>
      <c r="C156" s="1" t="s">
        <v>16376</v>
      </c>
      <c r="D156" s="3">
        <v>200</v>
      </c>
      <c r="E156" s="4">
        <v>45382</v>
      </c>
    </row>
    <row r="157" spans="1:5" x14ac:dyDescent="0.25">
      <c r="A157" s="1" t="s">
        <v>3257</v>
      </c>
      <c r="B157" s="1" t="s">
        <v>16384</v>
      </c>
      <c r="C157" s="1" t="s">
        <v>16367</v>
      </c>
      <c r="D157" s="3">
        <v>200</v>
      </c>
      <c r="E157" s="4">
        <v>45417</v>
      </c>
    </row>
    <row r="158" spans="1:5" x14ac:dyDescent="0.25">
      <c r="A158" s="1" t="s">
        <v>3261</v>
      </c>
      <c r="B158" s="1" t="s">
        <v>16384</v>
      </c>
      <c r="C158" s="1" t="s">
        <v>16373</v>
      </c>
      <c r="D158" s="3">
        <v>200</v>
      </c>
      <c r="E158" s="4">
        <v>45461</v>
      </c>
    </row>
    <row r="159" spans="1:5" x14ac:dyDescent="0.25">
      <c r="A159" s="1" t="s">
        <v>3289</v>
      </c>
      <c r="B159" s="1" t="s">
        <v>16384</v>
      </c>
      <c r="C159" s="1" t="s">
        <v>16376</v>
      </c>
      <c r="D159" s="3">
        <v>200</v>
      </c>
      <c r="E159" s="4">
        <v>45460</v>
      </c>
    </row>
    <row r="160" spans="1:5" x14ac:dyDescent="0.25">
      <c r="A160" s="1" t="s">
        <v>3319</v>
      </c>
      <c r="B160" s="1" t="s">
        <v>16385</v>
      </c>
      <c r="D160" s="3">
        <v>200</v>
      </c>
      <c r="E160" s="4">
        <v>45462</v>
      </c>
    </row>
    <row r="161" spans="1:5" x14ac:dyDescent="0.25">
      <c r="A161" s="1" t="s">
        <v>3327</v>
      </c>
      <c r="B161" s="1" t="s">
        <v>16384</v>
      </c>
      <c r="C161" s="1" t="s">
        <v>16373</v>
      </c>
      <c r="D161" s="3">
        <v>200</v>
      </c>
      <c r="E161" s="4">
        <v>45478</v>
      </c>
    </row>
    <row r="162" spans="1:5" x14ac:dyDescent="0.25">
      <c r="A162" s="1" t="s">
        <v>3379</v>
      </c>
      <c r="B162" s="1" t="s">
        <v>16384</v>
      </c>
      <c r="C162" s="1" t="s">
        <v>16373</v>
      </c>
      <c r="D162" s="3">
        <v>200</v>
      </c>
      <c r="E162" s="4">
        <v>45457</v>
      </c>
    </row>
    <row r="163" spans="1:5" x14ac:dyDescent="0.25">
      <c r="A163" s="1" t="s">
        <v>3385</v>
      </c>
      <c r="B163" s="1" t="s">
        <v>16384</v>
      </c>
      <c r="C163" s="1" t="s">
        <v>16373</v>
      </c>
      <c r="D163" s="3">
        <v>200</v>
      </c>
      <c r="E163" s="4">
        <v>45451</v>
      </c>
    </row>
    <row r="164" spans="1:5" x14ac:dyDescent="0.25">
      <c r="A164" s="1" t="s">
        <v>3393</v>
      </c>
      <c r="B164" s="1" t="s">
        <v>16384</v>
      </c>
      <c r="C164" s="1" t="s">
        <v>16373</v>
      </c>
      <c r="D164" s="3">
        <v>200</v>
      </c>
      <c r="E164" s="4">
        <v>45510</v>
      </c>
    </row>
    <row r="165" spans="1:5" x14ac:dyDescent="0.25">
      <c r="A165" s="1" t="s">
        <v>3397</v>
      </c>
      <c r="B165" s="1" t="s">
        <v>16384</v>
      </c>
      <c r="C165" s="1" t="s">
        <v>16367</v>
      </c>
      <c r="D165" s="3">
        <v>200</v>
      </c>
      <c r="E165" s="4">
        <v>45489</v>
      </c>
    </row>
    <row r="166" spans="1:5" x14ac:dyDescent="0.25">
      <c r="A166" s="1" t="s">
        <v>3421</v>
      </c>
      <c r="B166" s="1" t="s">
        <v>16385</v>
      </c>
      <c r="D166" s="3">
        <v>200</v>
      </c>
      <c r="E166" s="4">
        <v>45468</v>
      </c>
    </row>
    <row r="167" spans="1:5" x14ac:dyDescent="0.25">
      <c r="A167" s="1" t="s">
        <v>3451</v>
      </c>
      <c r="B167" s="1" t="s">
        <v>16384</v>
      </c>
      <c r="C167" s="1" t="s">
        <v>16373</v>
      </c>
      <c r="D167" s="3">
        <v>200</v>
      </c>
      <c r="E167" s="4">
        <v>45464</v>
      </c>
    </row>
    <row r="168" spans="1:5" x14ac:dyDescent="0.25">
      <c r="A168" s="1" t="s">
        <v>3461</v>
      </c>
      <c r="B168" s="1" t="s">
        <v>16384</v>
      </c>
      <c r="C168" s="1" t="s">
        <v>16373</v>
      </c>
      <c r="D168" s="3">
        <v>200</v>
      </c>
      <c r="E168" s="4">
        <v>45492</v>
      </c>
    </row>
    <row r="169" spans="1:5" x14ac:dyDescent="0.25">
      <c r="A169" s="1" t="s">
        <v>3469</v>
      </c>
      <c r="B169" s="1" t="s">
        <v>16384</v>
      </c>
      <c r="C169" s="1" t="s">
        <v>16367</v>
      </c>
      <c r="D169" s="3">
        <v>200</v>
      </c>
      <c r="E169" s="4">
        <v>45505</v>
      </c>
    </row>
    <row r="170" spans="1:5" x14ac:dyDescent="0.25">
      <c r="A170" s="1" t="s">
        <v>3475</v>
      </c>
      <c r="B170" s="1" t="s">
        <v>16384</v>
      </c>
      <c r="C170" s="1" t="s">
        <v>16367</v>
      </c>
      <c r="D170" s="3">
        <v>200</v>
      </c>
      <c r="E170" s="4">
        <v>45530</v>
      </c>
    </row>
    <row r="171" spans="1:5" x14ac:dyDescent="0.25">
      <c r="A171" s="1" t="s">
        <v>3481</v>
      </c>
      <c r="B171" s="1" t="s">
        <v>16384</v>
      </c>
      <c r="C171" s="1" t="s">
        <v>16373</v>
      </c>
      <c r="D171" s="3">
        <v>200</v>
      </c>
      <c r="E171" s="4">
        <v>45541</v>
      </c>
    </row>
    <row r="172" spans="1:5" x14ac:dyDescent="0.25">
      <c r="A172" s="1" t="s">
        <v>3489</v>
      </c>
      <c r="B172" s="1" t="s">
        <v>16384</v>
      </c>
      <c r="C172" s="1" t="s">
        <v>16367</v>
      </c>
      <c r="D172" s="3">
        <v>200</v>
      </c>
      <c r="E172" s="4">
        <v>45549</v>
      </c>
    </row>
    <row r="173" spans="1:5" x14ac:dyDescent="0.25">
      <c r="A173" s="1" t="s">
        <v>3491</v>
      </c>
      <c r="B173" s="1" t="s">
        <v>16384</v>
      </c>
      <c r="C173" s="1" t="s">
        <v>16367</v>
      </c>
      <c r="D173" s="3">
        <v>200</v>
      </c>
      <c r="E173" s="4">
        <v>45505</v>
      </c>
    </row>
    <row r="174" spans="1:5" x14ac:dyDescent="0.25">
      <c r="A174" s="1" t="s">
        <v>3507</v>
      </c>
      <c r="B174" s="1" t="s">
        <v>16384</v>
      </c>
      <c r="C174" s="1" t="s">
        <v>16373</v>
      </c>
      <c r="D174" s="3">
        <v>200</v>
      </c>
      <c r="E174" s="4">
        <v>45495</v>
      </c>
    </row>
    <row r="175" spans="1:5" x14ac:dyDescent="0.25">
      <c r="A175" s="1" t="s">
        <v>3543</v>
      </c>
      <c r="B175" s="1" t="s">
        <v>16384</v>
      </c>
      <c r="C175" s="1" t="s">
        <v>16373</v>
      </c>
      <c r="D175" s="3">
        <v>200</v>
      </c>
      <c r="E175" s="4">
        <v>45557</v>
      </c>
    </row>
    <row r="176" spans="1:5" x14ac:dyDescent="0.25">
      <c r="A176" s="1" t="s">
        <v>3545</v>
      </c>
      <c r="B176" s="1" t="s">
        <v>16384</v>
      </c>
      <c r="C176" s="1" t="s">
        <v>16376</v>
      </c>
      <c r="D176" s="3">
        <v>200</v>
      </c>
      <c r="E176" s="4">
        <v>45513</v>
      </c>
    </row>
    <row r="177" spans="1:5" x14ac:dyDescent="0.25">
      <c r="A177" s="1" t="s">
        <v>3547</v>
      </c>
      <c r="B177" s="1" t="s">
        <v>16384</v>
      </c>
      <c r="C177" s="1" t="s">
        <v>16367</v>
      </c>
      <c r="D177" s="3">
        <v>200</v>
      </c>
      <c r="E177" s="4">
        <v>45512</v>
      </c>
    </row>
    <row r="178" spans="1:5" x14ac:dyDescent="0.25">
      <c r="A178" s="1" t="s">
        <v>3559</v>
      </c>
      <c r="B178" s="1" t="s">
        <v>16384</v>
      </c>
      <c r="C178" s="1" t="s">
        <v>16376</v>
      </c>
      <c r="D178" s="3">
        <v>200</v>
      </c>
      <c r="E178" s="4">
        <v>45577</v>
      </c>
    </row>
    <row r="179" spans="1:5" x14ac:dyDescent="0.25">
      <c r="A179" s="1" t="s">
        <v>3563</v>
      </c>
      <c r="B179" s="1" t="s">
        <v>16384</v>
      </c>
      <c r="C179" s="1" t="s">
        <v>16376</v>
      </c>
      <c r="D179" s="3">
        <v>200</v>
      </c>
      <c r="E179" s="4">
        <v>45511</v>
      </c>
    </row>
    <row r="180" spans="1:5" x14ac:dyDescent="0.25">
      <c r="A180" s="1" t="s">
        <v>3579</v>
      </c>
      <c r="B180" s="1" t="s">
        <v>16384</v>
      </c>
      <c r="C180" s="1" t="s">
        <v>16376</v>
      </c>
      <c r="D180" s="3">
        <v>200</v>
      </c>
      <c r="E180" s="4">
        <v>45574</v>
      </c>
    </row>
    <row r="181" spans="1:5" x14ac:dyDescent="0.25">
      <c r="A181" s="1" t="s">
        <v>3589</v>
      </c>
      <c r="B181" s="1" t="s">
        <v>16385</v>
      </c>
      <c r="D181" s="3">
        <v>200</v>
      </c>
      <c r="E181" s="4">
        <v>45517</v>
      </c>
    </row>
    <row r="182" spans="1:5" x14ac:dyDescent="0.25">
      <c r="A182" s="1" t="s">
        <v>3591</v>
      </c>
      <c r="B182" s="1" t="s">
        <v>16384</v>
      </c>
      <c r="C182" s="1" t="s">
        <v>16373</v>
      </c>
      <c r="D182" s="3">
        <v>200</v>
      </c>
      <c r="E182" s="4">
        <v>45586</v>
      </c>
    </row>
    <row r="183" spans="1:5" x14ac:dyDescent="0.25">
      <c r="A183" s="1" t="s">
        <v>3603</v>
      </c>
      <c r="B183" s="1" t="s">
        <v>16384</v>
      </c>
      <c r="C183" s="1" t="s">
        <v>16373</v>
      </c>
      <c r="D183" s="3">
        <v>200</v>
      </c>
      <c r="E183" s="4">
        <v>45585</v>
      </c>
    </row>
    <row r="184" spans="1:5" x14ac:dyDescent="0.25">
      <c r="A184" s="1" t="s">
        <v>3691</v>
      </c>
      <c r="B184" s="1" t="s">
        <v>16384</v>
      </c>
      <c r="C184" s="1" t="s">
        <v>16367</v>
      </c>
      <c r="D184" s="3">
        <v>200</v>
      </c>
      <c r="E184" s="4">
        <v>45555</v>
      </c>
    </row>
    <row r="185" spans="1:5" x14ac:dyDescent="0.25">
      <c r="A185" s="1" t="s">
        <v>3725</v>
      </c>
      <c r="B185" s="1" t="s">
        <v>16384</v>
      </c>
      <c r="C185" s="1" t="s">
        <v>16373</v>
      </c>
      <c r="D185" s="3">
        <v>200</v>
      </c>
      <c r="E185" s="4">
        <v>45553</v>
      </c>
    </row>
    <row r="186" spans="1:5" x14ac:dyDescent="0.25">
      <c r="A186" s="1" t="s">
        <v>3733</v>
      </c>
      <c r="B186" s="1" t="s">
        <v>16384</v>
      </c>
      <c r="C186" s="1" t="s">
        <v>16373</v>
      </c>
      <c r="D186" s="3">
        <v>200</v>
      </c>
      <c r="E186" s="4">
        <v>45634</v>
      </c>
    </row>
    <row r="187" spans="1:5" x14ac:dyDescent="0.25">
      <c r="A187" s="1" t="s">
        <v>3765</v>
      </c>
      <c r="B187" s="1" t="s">
        <v>16384</v>
      </c>
      <c r="C187" s="1" t="s">
        <v>16373</v>
      </c>
      <c r="D187" s="3">
        <v>200</v>
      </c>
      <c r="E187" s="4">
        <v>45629</v>
      </c>
    </row>
    <row r="188" spans="1:5" x14ac:dyDescent="0.25">
      <c r="A188" s="1" t="s">
        <v>3785</v>
      </c>
      <c r="B188" s="1" t="s">
        <v>16384</v>
      </c>
      <c r="C188" s="1" t="s">
        <v>16376</v>
      </c>
      <c r="D188" s="3">
        <v>200</v>
      </c>
      <c r="E188" s="4">
        <v>45580</v>
      </c>
    </row>
    <row r="189" spans="1:5" x14ac:dyDescent="0.25">
      <c r="A189" s="1" t="s">
        <v>3833</v>
      </c>
      <c r="B189" s="1" t="s">
        <v>16385</v>
      </c>
      <c r="D189" s="3">
        <v>200</v>
      </c>
      <c r="E189" s="4">
        <v>45636</v>
      </c>
    </row>
    <row r="190" spans="1:5" x14ac:dyDescent="0.25">
      <c r="A190" s="1" t="s">
        <v>3841</v>
      </c>
      <c r="B190" s="1" t="s">
        <v>16385</v>
      </c>
      <c r="D190" s="3">
        <v>200</v>
      </c>
      <c r="E190" s="4">
        <v>45626</v>
      </c>
    </row>
    <row r="191" spans="1:5" x14ac:dyDescent="0.25">
      <c r="A191" s="1" t="s">
        <v>3869</v>
      </c>
      <c r="B191" s="1" t="s">
        <v>16384</v>
      </c>
      <c r="C191" s="1" t="s">
        <v>16367</v>
      </c>
      <c r="D191" s="3">
        <v>200</v>
      </c>
      <c r="E191" s="4">
        <v>45610</v>
      </c>
    </row>
    <row r="192" spans="1:5" x14ac:dyDescent="0.25">
      <c r="A192" s="1" t="s">
        <v>3873</v>
      </c>
      <c r="B192" s="1" t="s">
        <v>16384</v>
      </c>
      <c r="C192" s="1" t="s">
        <v>16376</v>
      </c>
      <c r="D192" s="3">
        <v>200</v>
      </c>
      <c r="E192" s="4">
        <v>45641</v>
      </c>
    </row>
    <row r="193" spans="1:5" x14ac:dyDescent="0.25">
      <c r="A193" s="1" t="s">
        <v>3877</v>
      </c>
      <c r="B193" s="1" t="s">
        <v>16384</v>
      </c>
      <c r="C193" s="1" t="s">
        <v>16373</v>
      </c>
      <c r="D193" s="3">
        <v>200</v>
      </c>
      <c r="E193" s="4">
        <v>45627</v>
      </c>
    </row>
    <row r="194" spans="1:5" x14ac:dyDescent="0.25">
      <c r="A194" s="1" t="s">
        <v>3889</v>
      </c>
      <c r="B194" s="1" t="s">
        <v>16384</v>
      </c>
      <c r="C194" s="1" t="s">
        <v>16373</v>
      </c>
      <c r="D194" s="3">
        <v>200</v>
      </c>
      <c r="E194" s="4">
        <v>45664</v>
      </c>
    </row>
    <row r="195" spans="1:5" x14ac:dyDescent="0.25">
      <c r="A195" s="1" t="s">
        <v>3915</v>
      </c>
      <c r="B195" s="1" t="s">
        <v>16384</v>
      </c>
      <c r="C195" s="1" t="s">
        <v>16376</v>
      </c>
      <c r="D195" s="3">
        <v>200</v>
      </c>
      <c r="E195" s="4">
        <v>45678</v>
      </c>
    </row>
    <row r="196" spans="1:5" x14ac:dyDescent="0.25">
      <c r="A196" s="1" t="s">
        <v>3951</v>
      </c>
      <c r="B196" s="1" t="s">
        <v>16384</v>
      </c>
      <c r="C196" s="1" t="s">
        <v>16376</v>
      </c>
      <c r="D196" s="3">
        <v>200</v>
      </c>
      <c r="E196" s="4">
        <v>45652</v>
      </c>
    </row>
    <row r="197" spans="1:5" x14ac:dyDescent="0.25">
      <c r="A197" s="1" t="s">
        <v>3975</v>
      </c>
      <c r="B197" s="1" t="s">
        <v>16384</v>
      </c>
      <c r="C197" s="1" t="s">
        <v>16373</v>
      </c>
      <c r="D197" s="3">
        <v>200</v>
      </c>
      <c r="E197" s="4">
        <v>45667</v>
      </c>
    </row>
    <row r="198" spans="1:5" x14ac:dyDescent="0.25">
      <c r="A198" s="1" t="s">
        <v>3997</v>
      </c>
      <c r="B198" s="1" t="s">
        <v>16384</v>
      </c>
      <c r="C198" s="1" t="s">
        <v>16367</v>
      </c>
      <c r="D198" s="3">
        <v>200</v>
      </c>
      <c r="E198" s="4">
        <v>45659</v>
      </c>
    </row>
    <row r="199" spans="1:5" x14ac:dyDescent="0.25">
      <c r="A199" s="1" t="s">
        <v>4001</v>
      </c>
      <c r="B199" s="1" t="s">
        <v>16384</v>
      </c>
      <c r="C199" s="1" t="s">
        <v>16367</v>
      </c>
      <c r="D199" s="3">
        <v>200</v>
      </c>
      <c r="E199" s="4">
        <v>45648</v>
      </c>
    </row>
    <row r="200" spans="1:5" x14ac:dyDescent="0.25">
      <c r="A200" s="1" t="s">
        <v>4063</v>
      </c>
      <c r="B200" s="1" t="s">
        <v>16384</v>
      </c>
      <c r="C200" s="1" t="s">
        <v>16373</v>
      </c>
      <c r="D200" s="3">
        <v>200</v>
      </c>
      <c r="E200" s="4">
        <v>45737</v>
      </c>
    </row>
    <row r="201" spans="1:5" x14ac:dyDescent="0.25">
      <c r="A201" s="1" t="s">
        <v>4091</v>
      </c>
      <c r="B201" s="1" t="s">
        <v>16384</v>
      </c>
      <c r="C201" s="1" t="s">
        <v>16376</v>
      </c>
      <c r="D201" s="3">
        <v>200</v>
      </c>
      <c r="E201" s="4">
        <v>45729</v>
      </c>
    </row>
    <row r="202" spans="1:5" x14ac:dyDescent="0.25">
      <c r="A202" s="1" t="s">
        <v>4107</v>
      </c>
      <c r="B202" s="1" t="s">
        <v>16384</v>
      </c>
      <c r="C202" s="1" t="s">
        <v>16376</v>
      </c>
      <c r="D202" s="3">
        <v>200</v>
      </c>
      <c r="E202" s="4">
        <v>45699</v>
      </c>
    </row>
    <row r="203" spans="1:5" x14ac:dyDescent="0.25">
      <c r="A203" s="1" t="s">
        <v>4127</v>
      </c>
      <c r="B203" s="1" t="s">
        <v>16384</v>
      </c>
      <c r="C203" s="1" t="s">
        <v>16376</v>
      </c>
      <c r="D203" s="3">
        <v>200</v>
      </c>
      <c r="E203" s="4">
        <v>45751</v>
      </c>
    </row>
    <row r="204" spans="1:5" x14ac:dyDescent="0.25">
      <c r="A204" s="1" t="s">
        <v>4149</v>
      </c>
      <c r="B204" s="1" t="s">
        <v>16384</v>
      </c>
      <c r="C204" s="1" t="s">
        <v>16367</v>
      </c>
      <c r="D204" s="3">
        <v>200</v>
      </c>
      <c r="E204" s="4">
        <v>45706</v>
      </c>
    </row>
    <row r="205" spans="1:5" x14ac:dyDescent="0.25">
      <c r="A205" s="1" t="s">
        <v>4157</v>
      </c>
      <c r="B205" s="1" t="s">
        <v>16384</v>
      </c>
      <c r="C205" s="1" t="s">
        <v>16367</v>
      </c>
      <c r="D205" s="3">
        <v>200</v>
      </c>
      <c r="E205" s="4">
        <v>45709</v>
      </c>
    </row>
    <row r="206" spans="1:5" x14ac:dyDescent="0.25">
      <c r="A206" s="1" t="s">
        <v>4173</v>
      </c>
      <c r="B206" s="1" t="s">
        <v>16384</v>
      </c>
      <c r="C206" s="1" t="s">
        <v>16373</v>
      </c>
      <c r="D206" s="3">
        <v>200</v>
      </c>
      <c r="E206" s="4">
        <v>45688</v>
      </c>
    </row>
    <row r="207" spans="1:5" x14ac:dyDescent="0.25">
      <c r="A207" s="1" t="s">
        <v>4219</v>
      </c>
      <c r="B207" s="1" t="s">
        <v>16384</v>
      </c>
      <c r="C207" s="1" t="s">
        <v>16376</v>
      </c>
      <c r="D207" s="3">
        <v>200</v>
      </c>
      <c r="E207" s="4">
        <v>45705</v>
      </c>
    </row>
    <row r="208" spans="1:5" x14ac:dyDescent="0.25">
      <c r="A208" s="1" t="s">
        <v>4227</v>
      </c>
      <c r="B208" s="1" t="s">
        <v>16385</v>
      </c>
      <c r="D208" s="3">
        <v>200</v>
      </c>
      <c r="E208" s="4">
        <v>45743</v>
      </c>
    </row>
    <row r="209" spans="1:5" x14ac:dyDescent="0.25">
      <c r="A209" s="1" t="s">
        <v>4249</v>
      </c>
      <c r="B209" s="1" t="s">
        <v>16384</v>
      </c>
      <c r="C209" s="1" t="s">
        <v>16367</v>
      </c>
      <c r="D209" s="3">
        <v>200</v>
      </c>
      <c r="E209" s="4">
        <v>45752</v>
      </c>
    </row>
    <row r="210" spans="1:5" x14ac:dyDescent="0.25">
      <c r="A210" s="1" t="s">
        <v>4263</v>
      </c>
      <c r="B210" s="1" t="s">
        <v>16384</v>
      </c>
      <c r="C210" s="1" t="s">
        <v>16376</v>
      </c>
      <c r="D210" s="3">
        <v>200</v>
      </c>
      <c r="E210" s="4">
        <v>45735</v>
      </c>
    </row>
    <row r="211" spans="1:5" x14ac:dyDescent="0.25">
      <c r="A211" s="1" t="s">
        <v>4269</v>
      </c>
      <c r="B211" s="1" t="s">
        <v>16384</v>
      </c>
      <c r="C211" s="1" t="s">
        <v>16376</v>
      </c>
      <c r="D211" s="3">
        <v>200</v>
      </c>
      <c r="E211" s="4">
        <v>45754</v>
      </c>
    </row>
    <row r="212" spans="1:5" x14ac:dyDescent="0.25">
      <c r="A212" s="1" t="s">
        <v>4279</v>
      </c>
      <c r="B212" s="1" t="s">
        <v>16384</v>
      </c>
      <c r="C212" s="1" t="s">
        <v>16373</v>
      </c>
      <c r="D212" s="3">
        <v>200</v>
      </c>
      <c r="E212" s="4">
        <v>45797</v>
      </c>
    </row>
    <row r="213" spans="1:5" x14ac:dyDescent="0.25">
      <c r="A213" s="1" t="s">
        <v>4311</v>
      </c>
      <c r="B213" s="1" t="s">
        <v>16384</v>
      </c>
      <c r="C213" s="1" t="s">
        <v>16367</v>
      </c>
      <c r="D213" s="3">
        <v>200</v>
      </c>
      <c r="E213" s="4">
        <v>45731</v>
      </c>
    </row>
    <row r="214" spans="1:5" x14ac:dyDescent="0.25">
      <c r="A214" s="1" t="s">
        <v>4315</v>
      </c>
      <c r="B214" s="1" t="s">
        <v>16384</v>
      </c>
      <c r="C214" s="1" t="s">
        <v>16373</v>
      </c>
      <c r="D214" s="3">
        <v>200</v>
      </c>
      <c r="E214" s="4">
        <v>45763</v>
      </c>
    </row>
    <row r="215" spans="1:5" x14ac:dyDescent="0.25">
      <c r="A215" s="1" t="s">
        <v>4357</v>
      </c>
      <c r="B215" s="1" t="s">
        <v>16384</v>
      </c>
      <c r="C215" s="1" t="s">
        <v>16373</v>
      </c>
      <c r="D215" s="3">
        <v>200</v>
      </c>
      <c r="E215" s="4">
        <v>45789</v>
      </c>
    </row>
    <row r="216" spans="1:5" x14ac:dyDescent="0.25">
      <c r="A216" s="1" t="s">
        <v>4365</v>
      </c>
      <c r="B216" s="1" t="s">
        <v>16384</v>
      </c>
      <c r="C216" s="1" t="s">
        <v>16373</v>
      </c>
      <c r="D216" s="3">
        <v>200</v>
      </c>
      <c r="E216" s="4">
        <v>45801</v>
      </c>
    </row>
    <row r="217" spans="1:5" x14ac:dyDescent="0.25">
      <c r="A217" s="1" t="s">
        <v>4399</v>
      </c>
      <c r="B217" s="1" t="s">
        <v>16385</v>
      </c>
      <c r="D217" s="3">
        <v>200</v>
      </c>
      <c r="E217" s="4">
        <v>45760</v>
      </c>
    </row>
    <row r="218" spans="1:5" x14ac:dyDescent="0.25">
      <c r="A218" s="1" t="s">
        <v>4411</v>
      </c>
      <c r="B218" s="1" t="s">
        <v>16384</v>
      </c>
      <c r="C218" s="1" t="s">
        <v>16367</v>
      </c>
      <c r="D218" s="3">
        <v>200</v>
      </c>
      <c r="E218" s="4">
        <v>45788</v>
      </c>
    </row>
    <row r="219" spans="1:5" x14ac:dyDescent="0.25">
      <c r="A219" s="1" t="s">
        <v>4419</v>
      </c>
      <c r="B219" s="1" t="s">
        <v>16384</v>
      </c>
      <c r="C219" s="1" t="s">
        <v>16373</v>
      </c>
      <c r="D219" s="3">
        <v>200</v>
      </c>
      <c r="E219" s="4">
        <v>45828</v>
      </c>
    </row>
    <row r="220" spans="1:5" x14ac:dyDescent="0.25">
      <c r="A220" s="1" t="s">
        <v>4441</v>
      </c>
      <c r="B220" s="1" t="s">
        <v>16384</v>
      </c>
      <c r="C220" s="1" t="s">
        <v>16373</v>
      </c>
      <c r="D220" s="3">
        <v>200</v>
      </c>
      <c r="E220" s="4">
        <v>45767</v>
      </c>
    </row>
    <row r="221" spans="1:5" x14ac:dyDescent="0.25">
      <c r="A221" s="1" t="s">
        <v>4461</v>
      </c>
      <c r="B221" s="1" t="s">
        <v>16384</v>
      </c>
      <c r="C221" s="1" t="s">
        <v>16373</v>
      </c>
      <c r="D221" s="3">
        <v>200</v>
      </c>
      <c r="E221" s="4">
        <v>45840</v>
      </c>
    </row>
    <row r="222" spans="1:5" x14ac:dyDescent="0.25">
      <c r="A222" s="1" t="s">
        <v>4475</v>
      </c>
      <c r="B222" s="1" t="s">
        <v>16384</v>
      </c>
      <c r="C222" s="1" t="s">
        <v>16367</v>
      </c>
      <c r="D222" s="3">
        <v>200</v>
      </c>
      <c r="E222" s="4">
        <v>45835</v>
      </c>
    </row>
    <row r="223" spans="1:5" x14ac:dyDescent="0.25">
      <c r="A223" s="1" t="s">
        <v>4499</v>
      </c>
      <c r="B223" s="1" t="s">
        <v>16384</v>
      </c>
      <c r="C223" s="1" t="s">
        <v>16373</v>
      </c>
      <c r="D223" s="3">
        <v>200</v>
      </c>
      <c r="E223" s="4">
        <v>45802</v>
      </c>
    </row>
    <row r="224" spans="1:5" x14ac:dyDescent="0.25">
      <c r="A224" s="1" t="s">
        <v>4525</v>
      </c>
      <c r="B224" s="1" t="s">
        <v>16384</v>
      </c>
      <c r="C224" s="1" t="s">
        <v>16376</v>
      </c>
      <c r="D224" s="3">
        <v>200</v>
      </c>
      <c r="E224" s="4">
        <v>45877</v>
      </c>
    </row>
    <row r="225" spans="1:5" x14ac:dyDescent="0.25">
      <c r="A225" s="1" t="s">
        <v>4527</v>
      </c>
      <c r="B225" s="1" t="s">
        <v>16384</v>
      </c>
      <c r="C225" s="1" t="s">
        <v>16373</v>
      </c>
      <c r="D225" s="3">
        <v>200</v>
      </c>
      <c r="E225" s="4">
        <v>45846</v>
      </c>
    </row>
    <row r="226" spans="1:5" x14ac:dyDescent="0.25">
      <c r="A226" s="1" t="s">
        <v>4551</v>
      </c>
      <c r="B226" s="1" t="s">
        <v>16385</v>
      </c>
      <c r="D226" s="3">
        <v>200</v>
      </c>
      <c r="E226" s="4">
        <v>45875</v>
      </c>
    </row>
    <row r="227" spans="1:5" x14ac:dyDescent="0.25">
      <c r="A227" s="1" t="s">
        <v>4557</v>
      </c>
      <c r="B227" s="1" t="s">
        <v>16384</v>
      </c>
      <c r="C227" s="1" t="s">
        <v>16373</v>
      </c>
      <c r="D227" s="3">
        <v>200</v>
      </c>
      <c r="E227" s="4">
        <v>45889</v>
      </c>
    </row>
    <row r="228" spans="1:5" x14ac:dyDescent="0.25">
      <c r="A228" s="1" t="s">
        <v>4569</v>
      </c>
      <c r="B228" s="1" t="s">
        <v>16384</v>
      </c>
      <c r="C228" s="1" t="s">
        <v>16367</v>
      </c>
      <c r="D228" s="3">
        <v>200</v>
      </c>
      <c r="E228" s="4">
        <v>45886</v>
      </c>
    </row>
    <row r="229" spans="1:5" x14ac:dyDescent="0.25">
      <c r="A229" s="1" t="s">
        <v>4585</v>
      </c>
      <c r="B229" s="1" t="s">
        <v>16384</v>
      </c>
      <c r="C229" s="1" t="s">
        <v>16373</v>
      </c>
      <c r="D229" s="3">
        <v>200</v>
      </c>
      <c r="E229" s="4">
        <v>45869</v>
      </c>
    </row>
    <row r="230" spans="1:5" x14ac:dyDescent="0.25">
      <c r="A230" s="1" t="s">
        <v>4607</v>
      </c>
      <c r="B230" s="1" t="s">
        <v>16384</v>
      </c>
      <c r="C230" s="1" t="s">
        <v>16373</v>
      </c>
      <c r="D230" s="3">
        <v>200</v>
      </c>
      <c r="E230" s="4">
        <v>45892</v>
      </c>
    </row>
    <row r="231" spans="1:5" x14ac:dyDescent="0.25">
      <c r="A231" s="1" t="s">
        <v>4609</v>
      </c>
      <c r="B231" s="1" t="s">
        <v>16384</v>
      </c>
      <c r="C231" s="1" t="s">
        <v>16376</v>
      </c>
      <c r="D231" s="3">
        <v>200</v>
      </c>
      <c r="E231" s="4">
        <v>45831</v>
      </c>
    </row>
    <row r="232" spans="1:5" x14ac:dyDescent="0.25">
      <c r="A232" s="1" t="s">
        <v>4635</v>
      </c>
      <c r="B232" s="1" t="s">
        <v>16384</v>
      </c>
      <c r="C232" s="1" t="s">
        <v>16373</v>
      </c>
      <c r="D232" s="3">
        <v>200</v>
      </c>
      <c r="E232" s="4">
        <v>45870</v>
      </c>
    </row>
    <row r="233" spans="1:5" x14ac:dyDescent="0.25">
      <c r="A233" s="1" t="s">
        <v>4645</v>
      </c>
      <c r="B233" s="1" t="s">
        <v>16384</v>
      </c>
      <c r="C233" s="1" t="s">
        <v>16367</v>
      </c>
      <c r="D233" s="3">
        <v>200</v>
      </c>
      <c r="E233" s="4">
        <v>45849</v>
      </c>
    </row>
    <row r="234" spans="1:5" x14ac:dyDescent="0.25">
      <c r="A234" s="1" t="s">
        <v>4677</v>
      </c>
      <c r="B234" s="1" t="s">
        <v>16384</v>
      </c>
      <c r="C234" s="1" t="s">
        <v>16376</v>
      </c>
      <c r="D234" s="3">
        <v>200</v>
      </c>
      <c r="E234" s="4">
        <v>45866</v>
      </c>
    </row>
    <row r="235" spans="1:5" x14ac:dyDescent="0.25">
      <c r="A235" s="1" t="s">
        <v>4705</v>
      </c>
      <c r="B235" s="1" t="s">
        <v>16384</v>
      </c>
      <c r="C235" s="1" t="s">
        <v>16376</v>
      </c>
      <c r="D235" s="3">
        <v>200</v>
      </c>
      <c r="E235" s="4">
        <v>45909</v>
      </c>
    </row>
    <row r="236" spans="1:5" x14ac:dyDescent="0.25">
      <c r="A236" s="1" t="s">
        <v>4743</v>
      </c>
      <c r="B236" s="1" t="s">
        <v>16385</v>
      </c>
      <c r="D236" s="3">
        <v>200</v>
      </c>
      <c r="E236" s="4">
        <v>45896</v>
      </c>
    </row>
    <row r="237" spans="1:5" x14ac:dyDescent="0.25">
      <c r="A237" s="1" t="s">
        <v>4745</v>
      </c>
      <c r="B237" s="1" t="s">
        <v>16384</v>
      </c>
      <c r="C237" s="1" t="s">
        <v>16373</v>
      </c>
      <c r="D237" s="3">
        <v>200</v>
      </c>
      <c r="E237" s="4">
        <v>45870</v>
      </c>
    </row>
    <row r="238" spans="1:5" x14ac:dyDescent="0.25">
      <c r="A238" s="1" t="s">
        <v>4753</v>
      </c>
      <c r="B238" s="1" t="s">
        <v>16384</v>
      </c>
      <c r="C238" s="1" t="s">
        <v>16367</v>
      </c>
      <c r="D238" s="3">
        <v>200</v>
      </c>
      <c r="E238" s="4">
        <v>45879</v>
      </c>
    </row>
    <row r="239" spans="1:5" x14ac:dyDescent="0.25">
      <c r="A239" s="1" t="s">
        <v>4771</v>
      </c>
      <c r="B239" s="1" t="s">
        <v>16384</v>
      </c>
      <c r="C239" s="1" t="s">
        <v>16373</v>
      </c>
      <c r="D239" s="3">
        <v>200</v>
      </c>
      <c r="E239" s="4">
        <v>45907</v>
      </c>
    </row>
    <row r="240" spans="1:5" x14ac:dyDescent="0.25">
      <c r="A240" s="1" t="s">
        <v>4775</v>
      </c>
      <c r="B240" s="1" t="s">
        <v>16384</v>
      </c>
      <c r="C240" s="1" t="s">
        <v>16373</v>
      </c>
      <c r="D240" s="3">
        <v>200</v>
      </c>
      <c r="E240" s="4">
        <v>45949</v>
      </c>
    </row>
    <row r="241" spans="1:5" x14ac:dyDescent="0.25">
      <c r="A241" s="1" t="s">
        <v>4791</v>
      </c>
      <c r="B241" s="1" t="s">
        <v>16384</v>
      </c>
      <c r="C241" s="1" t="s">
        <v>16367</v>
      </c>
      <c r="D241" s="3">
        <v>200</v>
      </c>
      <c r="E241" s="4">
        <v>45923</v>
      </c>
    </row>
    <row r="242" spans="1:5" x14ac:dyDescent="0.25">
      <c r="A242" s="1" t="s">
        <v>4795</v>
      </c>
      <c r="B242" s="1" t="s">
        <v>16384</v>
      </c>
      <c r="C242" s="1" t="s">
        <v>16376</v>
      </c>
      <c r="D242" s="3">
        <v>200</v>
      </c>
      <c r="E242" s="4">
        <v>45967</v>
      </c>
    </row>
    <row r="243" spans="1:5" x14ac:dyDescent="0.25">
      <c r="A243" s="1" t="s">
        <v>4801</v>
      </c>
      <c r="B243" s="1" t="s">
        <v>16384</v>
      </c>
      <c r="C243" s="1" t="s">
        <v>16376</v>
      </c>
      <c r="D243" s="3">
        <v>200</v>
      </c>
      <c r="E243" s="4">
        <v>45919</v>
      </c>
    </row>
    <row r="244" spans="1:5" x14ac:dyDescent="0.25">
      <c r="A244" s="1" t="s">
        <v>4813</v>
      </c>
      <c r="B244" s="1" t="s">
        <v>16384</v>
      </c>
      <c r="C244" s="1" t="s">
        <v>16376</v>
      </c>
      <c r="D244" s="3">
        <v>200</v>
      </c>
      <c r="E244" s="4">
        <v>45937</v>
      </c>
    </row>
    <row r="245" spans="1:5" x14ac:dyDescent="0.25">
      <c r="A245" s="1" t="s">
        <v>4821</v>
      </c>
      <c r="B245" s="1" t="s">
        <v>16384</v>
      </c>
      <c r="C245" s="1" t="s">
        <v>16367</v>
      </c>
      <c r="D245" s="3">
        <v>200</v>
      </c>
      <c r="E245" s="4">
        <v>45968</v>
      </c>
    </row>
    <row r="246" spans="1:5" x14ac:dyDescent="0.25">
      <c r="A246" s="1" t="s">
        <v>4833</v>
      </c>
      <c r="B246" s="1" t="s">
        <v>16384</v>
      </c>
      <c r="C246" s="1" t="s">
        <v>16373</v>
      </c>
      <c r="D246" s="3">
        <v>200</v>
      </c>
      <c r="E246" s="4">
        <v>45914</v>
      </c>
    </row>
    <row r="247" spans="1:5" x14ac:dyDescent="0.25">
      <c r="A247" s="1" t="s">
        <v>4837</v>
      </c>
      <c r="B247" s="1" t="s">
        <v>16384</v>
      </c>
      <c r="C247" s="1" t="s">
        <v>16376</v>
      </c>
      <c r="D247" s="3">
        <v>200</v>
      </c>
      <c r="E247" s="4">
        <v>45931</v>
      </c>
    </row>
    <row r="248" spans="1:5" x14ac:dyDescent="0.25">
      <c r="A248" s="1" t="s">
        <v>4841</v>
      </c>
      <c r="B248" s="1" t="s">
        <v>16384</v>
      </c>
      <c r="C248" s="1" t="s">
        <v>16373</v>
      </c>
      <c r="D248" s="3">
        <v>200</v>
      </c>
      <c r="E248" s="4">
        <v>45947</v>
      </c>
    </row>
    <row r="249" spans="1:5" x14ac:dyDescent="0.25">
      <c r="A249" s="1" t="s">
        <v>4853</v>
      </c>
      <c r="B249" s="1" t="s">
        <v>16385</v>
      </c>
      <c r="D249" s="3">
        <v>200</v>
      </c>
      <c r="E249" s="4">
        <v>45937</v>
      </c>
    </row>
    <row r="250" spans="1:5" x14ac:dyDescent="0.25">
      <c r="A250" s="1" t="s">
        <v>4871</v>
      </c>
      <c r="B250" s="1" t="s">
        <v>16384</v>
      </c>
      <c r="C250" s="1" t="s">
        <v>16376</v>
      </c>
      <c r="D250" s="3">
        <v>200</v>
      </c>
      <c r="E250" s="4">
        <v>45978</v>
      </c>
    </row>
    <row r="251" spans="1:5" x14ac:dyDescent="0.25">
      <c r="A251" s="1" t="s">
        <v>4873</v>
      </c>
      <c r="B251" s="1" t="s">
        <v>16384</v>
      </c>
      <c r="C251" s="1" t="s">
        <v>16373</v>
      </c>
      <c r="D251" s="3">
        <v>200</v>
      </c>
      <c r="E251" s="4">
        <v>45959</v>
      </c>
    </row>
    <row r="252" spans="1:5" x14ac:dyDescent="0.25">
      <c r="A252" s="1" t="s">
        <v>4893</v>
      </c>
      <c r="B252" s="1" t="s">
        <v>16384</v>
      </c>
      <c r="C252" s="1" t="s">
        <v>16376</v>
      </c>
      <c r="D252" s="3">
        <v>200</v>
      </c>
      <c r="E252" s="4">
        <v>45945</v>
      </c>
    </row>
    <row r="253" spans="1:5" x14ac:dyDescent="0.25">
      <c r="A253" s="1" t="s">
        <v>4899</v>
      </c>
      <c r="B253" s="1" t="s">
        <v>16384</v>
      </c>
      <c r="C253" s="1" t="s">
        <v>16376</v>
      </c>
      <c r="D253" s="3">
        <v>200</v>
      </c>
      <c r="E253" s="4">
        <v>45953</v>
      </c>
    </row>
    <row r="254" spans="1:5" x14ac:dyDescent="0.25">
      <c r="A254" s="1" t="s">
        <v>4905</v>
      </c>
      <c r="B254" s="1" t="s">
        <v>16384</v>
      </c>
      <c r="C254" s="1" t="s">
        <v>16376</v>
      </c>
      <c r="D254" s="3">
        <v>200</v>
      </c>
      <c r="E254" s="4">
        <v>45977</v>
      </c>
    </row>
    <row r="255" spans="1:5" x14ac:dyDescent="0.25">
      <c r="A255" s="1" t="s">
        <v>4911</v>
      </c>
      <c r="B255" s="1" t="s">
        <v>16384</v>
      </c>
      <c r="C255" s="1" t="s">
        <v>16373</v>
      </c>
      <c r="D255" s="3">
        <v>200</v>
      </c>
      <c r="E255" s="4">
        <v>45920</v>
      </c>
    </row>
    <row r="256" spans="1:5" x14ac:dyDescent="0.25">
      <c r="A256" s="1" t="s">
        <v>4931</v>
      </c>
      <c r="B256" s="1" t="s">
        <v>16384</v>
      </c>
      <c r="C256" s="1" t="s">
        <v>16376</v>
      </c>
      <c r="D256" s="3">
        <v>200</v>
      </c>
      <c r="E256" s="4">
        <v>45960</v>
      </c>
    </row>
    <row r="257" spans="1:5" x14ac:dyDescent="0.25">
      <c r="A257" s="1" t="s">
        <v>4945</v>
      </c>
      <c r="B257" s="1" t="s">
        <v>16384</v>
      </c>
      <c r="C257" s="1" t="s">
        <v>16376</v>
      </c>
      <c r="D257" s="3">
        <v>200</v>
      </c>
      <c r="E257" s="4">
        <v>45948</v>
      </c>
    </row>
    <row r="258" spans="1:5" x14ac:dyDescent="0.25">
      <c r="A258" s="1" t="s">
        <v>4959</v>
      </c>
      <c r="B258" s="1" t="s">
        <v>16384</v>
      </c>
      <c r="C258" s="1" t="s">
        <v>16376</v>
      </c>
      <c r="D258" s="3">
        <v>200</v>
      </c>
      <c r="E258" s="4">
        <v>45933</v>
      </c>
    </row>
    <row r="259" spans="1:5" x14ac:dyDescent="0.25">
      <c r="A259" s="1" t="s">
        <v>4975</v>
      </c>
      <c r="B259" s="1" t="s">
        <v>16384</v>
      </c>
      <c r="C259" s="1" t="s">
        <v>16367</v>
      </c>
      <c r="D259" s="3">
        <v>200</v>
      </c>
      <c r="E259" s="4">
        <v>45980</v>
      </c>
    </row>
    <row r="260" spans="1:5" x14ac:dyDescent="0.25">
      <c r="A260" s="1" t="s">
        <v>5005</v>
      </c>
      <c r="B260" s="1" t="s">
        <v>16384</v>
      </c>
      <c r="C260" s="1" t="s">
        <v>16373</v>
      </c>
      <c r="D260" s="3">
        <v>200</v>
      </c>
      <c r="E260" s="4">
        <v>45992</v>
      </c>
    </row>
    <row r="261" spans="1:5" x14ac:dyDescent="0.25">
      <c r="A261" s="1" t="s">
        <v>5015</v>
      </c>
      <c r="B261" s="1" t="s">
        <v>16384</v>
      </c>
      <c r="C261" s="1" t="s">
        <v>16376</v>
      </c>
      <c r="D261" s="3">
        <v>200</v>
      </c>
      <c r="E261" s="4">
        <v>45973</v>
      </c>
    </row>
    <row r="262" spans="1:5" x14ac:dyDescent="0.25">
      <c r="A262" s="1" t="s">
        <v>5049</v>
      </c>
      <c r="B262" s="1" t="s">
        <v>16384</v>
      </c>
      <c r="C262" s="1" t="s">
        <v>16373</v>
      </c>
      <c r="D262" s="3">
        <v>200</v>
      </c>
      <c r="E262" s="4">
        <v>45995</v>
      </c>
    </row>
    <row r="263" spans="1:5" x14ac:dyDescent="0.25">
      <c r="A263" s="1" t="s">
        <v>5051</v>
      </c>
      <c r="B263" s="1" t="s">
        <v>16384</v>
      </c>
      <c r="C263" s="1" t="s">
        <v>16373</v>
      </c>
      <c r="D263" s="3">
        <v>200</v>
      </c>
      <c r="E263" s="4">
        <v>46001</v>
      </c>
    </row>
    <row r="264" spans="1:5" x14ac:dyDescent="0.25">
      <c r="A264" s="1" t="s">
        <v>5093</v>
      </c>
      <c r="B264" s="1" t="s">
        <v>16384</v>
      </c>
      <c r="C264" s="1" t="s">
        <v>16367</v>
      </c>
      <c r="D264" s="3">
        <v>200</v>
      </c>
      <c r="E264" s="4">
        <v>45976</v>
      </c>
    </row>
    <row r="265" spans="1:5" x14ac:dyDescent="0.25">
      <c r="A265" s="1" t="s">
        <v>5119</v>
      </c>
      <c r="B265" s="1" t="s">
        <v>16384</v>
      </c>
      <c r="C265" s="1" t="s">
        <v>16376</v>
      </c>
      <c r="D265" s="3">
        <v>200</v>
      </c>
      <c r="E265" s="4">
        <v>46033</v>
      </c>
    </row>
    <row r="266" spans="1:5" x14ac:dyDescent="0.25">
      <c r="A266" s="1" t="s">
        <v>5131</v>
      </c>
      <c r="B266" s="1" t="s">
        <v>16384</v>
      </c>
      <c r="C266" s="1" t="s">
        <v>16367</v>
      </c>
      <c r="D266" s="3">
        <v>200</v>
      </c>
      <c r="E266" s="4">
        <v>46004</v>
      </c>
    </row>
    <row r="267" spans="1:5" x14ac:dyDescent="0.25">
      <c r="A267" s="1" t="s">
        <v>5157</v>
      </c>
      <c r="B267" s="1" t="s">
        <v>16384</v>
      </c>
      <c r="C267" s="1" t="s">
        <v>16367</v>
      </c>
      <c r="D267" s="3">
        <v>200</v>
      </c>
      <c r="E267" s="4">
        <v>46048</v>
      </c>
    </row>
    <row r="268" spans="1:5" x14ac:dyDescent="0.25">
      <c r="A268" s="1" t="s">
        <v>5161</v>
      </c>
      <c r="B268" s="1" t="s">
        <v>16384</v>
      </c>
      <c r="C268" s="1" t="s">
        <v>16376</v>
      </c>
      <c r="D268" s="3">
        <v>200</v>
      </c>
      <c r="E268" s="4">
        <v>46052</v>
      </c>
    </row>
    <row r="269" spans="1:5" x14ac:dyDescent="0.25">
      <c r="A269" s="1" t="s">
        <v>5167</v>
      </c>
      <c r="B269" s="1" t="s">
        <v>16384</v>
      </c>
      <c r="C269" s="1" t="s">
        <v>16367</v>
      </c>
      <c r="D269" s="3">
        <v>200</v>
      </c>
      <c r="E269" s="4">
        <v>46035</v>
      </c>
    </row>
    <row r="270" spans="1:5" x14ac:dyDescent="0.25">
      <c r="A270" s="1" t="s">
        <v>5171</v>
      </c>
      <c r="B270" s="1" t="s">
        <v>16384</v>
      </c>
      <c r="C270" s="1" t="s">
        <v>16373</v>
      </c>
      <c r="D270" s="3">
        <v>200</v>
      </c>
      <c r="E270" s="4">
        <v>46010</v>
      </c>
    </row>
    <row r="271" spans="1:5" x14ac:dyDescent="0.25">
      <c r="A271" s="1" t="s">
        <v>5177</v>
      </c>
      <c r="B271" s="1" t="s">
        <v>16384</v>
      </c>
      <c r="C271" s="1" t="s">
        <v>16367</v>
      </c>
      <c r="D271" s="3">
        <v>200</v>
      </c>
      <c r="E271" s="4">
        <v>46012</v>
      </c>
    </row>
    <row r="272" spans="1:5" x14ac:dyDescent="0.25">
      <c r="A272" s="1" t="s">
        <v>5181</v>
      </c>
      <c r="B272" s="1" t="s">
        <v>16384</v>
      </c>
      <c r="C272" s="1" t="s">
        <v>16376</v>
      </c>
      <c r="D272" s="3">
        <v>200</v>
      </c>
      <c r="E272" s="4">
        <v>46065</v>
      </c>
    </row>
    <row r="273" spans="1:5" x14ac:dyDescent="0.25">
      <c r="A273" s="1" t="s">
        <v>5209</v>
      </c>
      <c r="B273" s="1" t="s">
        <v>16384</v>
      </c>
      <c r="C273" s="1" t="s">
        <v>16367</v>
      </c>
      <c r="D273" s="3">
        <v>200</v>
      </c>
      <c r="E273" s="4">
        <v>46072</v>
      </c>
    </row>
    <row r="274" spans="1:5" x14ac:dyDescent="0.25">
      <c r="A274" s="1" t="s">
        <v>5213</v>
      </c>
      <c r="B274" s="1" t="s">
        <v>16384</v>
      </c>
      <c r="C274" s="1" t="s">
        <v>16376</v>
      </c>
      <c r="D274" s="3">
        <v>200</v>
      </c>
      <c r="E274" s="4">
        <v>46006</v>
      </c>
    </row>
    <row r="275" spans="1:5" x14ac:dyDescent="0.25">
      <c r="A275" s="1" t="s">
        <v>5229</v>
      </c>
      <c r="B275" s="1" t="s">
        <v>16384</v>
      </c>
      <c r="C275" s="1" t="s">
        <v>16376</v>
      </c>
      <c r="D275" s="3">
        <v>200</v>
      </c>
      <c r="E275" s="4">
        <v>46013</v>
      </c>
    </row>
    <row r="276" spans="1:5" x14ac:dyDescent="0.25">
      <c r="A276" s="1" t="s">
        <v>5271</v>
      </c>
      <c r="B276" s="1" t="s">
        <v>16384</v>
      </c>
      <c r="C276" s="1" t="s">
        <v>16376</v>
      </c>
      <c r="D276" s="3">
        <v>200</v>
      </c>
      <c r="E276" s="4">
        <v>46072</v>
      </c>
    </row>
    <row r="277" spans="1:5" x14ac:dyDescent="0.25">
      <c r="A277" s="1" t="s">
        <v>5283</v>
      </c>
      <c r="B277" s="1" t="s">
        <v>16384</v>
      </c>
      <c r="C277" s="1" t="s">
        <v>16373</v>
      </c>
      <c r="D277" s="3">
        <v>200</v>
      </c>
      <c r="E277" s="4">
        <v>46096</v>
      </c>
    </row>
    <row r="278" spans="1:5" x14ac:dyDescent="0.25">
      <c r="A278" s="1" t="s">
        <v>5311</v>
      </c>
      <c r="B278" s="1" t="s">
        <v>16384</v>
      </c>
      <c r="C278" s="1" t="s">
        <v>16373</v>
      </c>
      <c r="D278" s="3">
        <v>200</v>
      </c>
      <c r="E278" s="4">
        <v>46085</v>
      </c>
    </row>
    <row r="279" spans="1:5" x14ac:dyDescent="0.25">
      <c r="A279" s="1" t="s">
        <v>5333</v>
      </c>
      <c r="B279" s="1" t="s">
        <v>16385</v>
      </c>
      <c r="D279" s="3">
        <v>200</v>
      </c>
      <c r="E279" s="4">
        <v>46045</v>
      </c>
    </row>
    <row r="280" spans="1:5" x14ac:dyDescent="0.25">
      <c r="A280" s="1" t="s">
        <v>5351</v>
      </c>
      <c r="B280" s="1" t="s">
        <v>16384</v>
      </c>
      <c r="C280" s="1" t="s">
        <v>16376</v>
      </c>
      <c r="D280" s="3">
        <v>200</v>
      </c>
      <c r="E280" s="4">
        <v>46066</v>
      </c>
    </row>
    <row r="281" spans="1:5" x14ac:dyDescent="0.25">
      <c r="A281" s="1" t="s">
        <v>5353</v>
      </c>
      <c r="B281" s="1" t="s">
        <v>16384</v>
      </c>
      <c r="C281" s="1" t="s">
        <v>16373</v>
      </c>
      <c r="D281" s="3">
        <v>200</v>
      </c>
      <c r="E281" s="4">
        <v>46075</v>
      </c>
    </row>
    <row r="282" spans="1:5" x14ac:dyDescent="0.25">
      <c r="A282" s="1" t="s">
        <v>5359</v>
      </c>
      <c r="B282" s="1" t="s">
        <v>16384</v>
      </c>
      <c r="C282" s="1" t="s">
        <v>16373</v>
      </c>
      <c r="D282" s="3">
        <v>200</v>
      </c>
      <c r="E282" s="4">
        <v>46066</v>
      </c>
    </row>
    <row r="283" spans="1:5" x14ac:dyDescent="0.25">
      <c r="A283" s="1" t="s">
        <v>5367</v>
      </c>
      <c r="B283" s="1" t="s">
        <v>16384</v>
      </c>
      <c r="C283" s="1" t="s">
        <v>16376</v>
      </c>
      <c r="D283" s="3">
        <v>200</v>
      </c>
      <c r="E283" s="4">
        <v>46093</v>
      </c>
    </row>
    <row r="284" spans="1:5" x14ac:dyDescent="0.25">
      <c r="A284" s="1" t="s">
        <v>5381</v>
      </c>
      <c r="B284" s="1" t="s">
        <v>16384</v>
      </c>
      <c r="C284" s="1" t="s">
        <v>16376</v>
      </c>
      <c r="D284" s="3">
        <v>200</v>
      </c>
      <c r="E284" s="4">
        <v>46058</v>
      </c>
    </row>
    <row r="285" spans="1:5" x14ac:dyDescent="0.25">
      <c r="A285" s="1" t="s">
        <v>5385</v>
      </c>
      <c r="B285" s="1" t="s">
        <v>16384</v>
      </c>
      <c r="C285" s="1" t="s">
        <v>16376</v>
      </c>
      <c r="D285" s="3">
        <v>200</v>
      </c>
      <c r="E285" s="4">
        <v>46139</v>
      </c>
    </row>
    <row r="286" spans="1:5" x14ac:dyDescent="0.25">
      <c r="A286" s="1" t="s">
        <v>5397</v>
      </c>
      <c r="B286" s="1" t="s">
        <v>16384</v>
      </c>
      <c r="C286" s="1" t="s">
        <v>16367</v>
      </c>
      <c r="D286" s="3">
        <v>200</v>
      </c>
      <c r="E286" s="4">
        <v>46111</v>
      </c>
    </row>
    <row r="287" spans="1:5" x14ac:dyDescent="0.25">
      <c r="A287" s="1" t="s">
        <v>5431</v>
      </c>
      <c r="B287" s="1" t="s">
        <v>16384</v>
      </c>
      <c r="C287" s="1" t="s">
        <v>16373</v>
      </c>
      <c r="D287" s="3">
        <v>200</v>
      </c>
      <c r="E287" s="4">
        <v>46133</v>
      </c>
    </row>
    <row r="288" spans="1:5" x14ac:dyDescent="0.25">
      <c r="A288" s="1" t="s">
        <v>5445</v>
      </c>
      <c r="B288" s="1" t="s">
        <v>16385</v>
      </c>
      <c r="D288" s="3">
        <v>200</v>
      </c>
      <c r="E288" s="4">
        <v>46126</v>
      </c>
    </row>
    <row r="289" spans="1:5" x14ac:dyDescent="0.25">
      <c r="A289" s="1" t="s">
        <v>5449</v>
      </c>
      <c r="B289" s="1" t="s">
        <v>16384</v>
      </c>
      <c r="C289" s="1" t="s">
        <v>16367</v>
      </c>
      <c r="D289" s="3">
        <v>200</v>
      </c>
      <c r="E289" s="4">
        <v>46105</v>
      </c>
    </row>
    <row r="290" spans="1:5" x14ac:dyDescent="0.25">
      <c r="A290" s="1" t="s">
        <v>5471</v>
      </c>
      <c r="B290" s="1" t="s">
        <v>16384</v>
      </c>
      <c r="C290" s="1" t="s">
        <v>16373</v>
      </c>
      <c r="D290" s="3">
        <v>200</v>
      </c>
      <c r="E290" s="4">
        <v>46127</v>
      </c>
    </row>
    <row r="291" spans="1:5" x14ac:dyDescent="0.25">
      <c r="A291" s="1" t="s">
        <v>5479</v>
      </c>
      <c r="B291" s="1" t="s">
        <v>16384</v>
      </c>
      <c r="C291" s="1" t="s">
        <v>16373</v>
      </c>
      <c r="D291" s="3">
        <v>200</v>
      </c>
      <c r="E291" s="4">
        <v>46152</v>
      </c>
    </row>
    <row r="292" spans="1:5" x14ac:dyDescent="0.25">
      <c r="A292" s="1" t="s">
        <v>5493</v>
      </c>
      <c r="B292" s="1" t="s">
        <v>16384</v>
      </c>
      <c r="C292" s="1" t="s">
        <v>16373</v>
      </c>
      <c r="D292" s="3">
        <v>200</v>
      </c>
      <c r="E292" s="4">
        <v>46137</v>
      </c>
    </row>
    <row r="293" spans="1:5" x14ac:dyDescent="0.25">
      <c r="A293" s="1" t="s">
        <v>5501</v>
      </c>
      <c r="B293" s="1" t="s">
        <v>16384</v>
      </c>
      <c r="C293" s="1" t="s">
        <v>16367</v>
      </c>
      <c r="D293" s="3">
        <v>200</v>
      </c>
      <c r="E293" s="4">
        <v>46173</v>
      </c>
    </row>
    <row r="294" spans="1:5" x14ac:dyDescent="0.25">
      <c r="A294" s="1" t="s">
        <v>5505</v>
      </c>
      <c r="B294" s="1" t="s">
        <v>16384</v>
      </c>
      <c r="C294" s="1" t="s">
        <v>16376</v>
      </c>
      <c r="D294" s="3">
        <v>200</v>
      </c>
      <c r="E294" s="4">
        <v>46165</v>
      </c>
    </row>
    <row r="295" spans="1:5" x14ac:dyDescent="0.25">
      <c r="A295" s="1" t="s">
        <v>5535</v>
      </c>
      <c r="B295" s="1" t="s">
        <v>16384</v>
      </c>
      <c r="C295" s="1" t="s">
        <v>16376</v>
      </c>
      <c r="D295" s="3">
        <v>200</v>
      </c>
      <c r="E295" s="4">
        <v>46186</v>
      </c>
    </row>
    <row r="296" spans="1:5" x14ac:dyDescent="0.25">
      <c r="A296" s="1" t="s">
        <v>5573</v>
      </c>
      <c r="B296" s="1" t="s">
        <v>16384</v>
      </c>
      <c r="C296" s="1" t="s">
        <v>16376</v>
      </c>
      <c r="D296" s="3">
        <v>200</v>
      </c>
      <c r="E296" s="4">
        <v>46151</v>
      </c>
    </row>
    <row r="297" spans="1:5" x14ac:dyDescent="0.25">
      <c r="A297" s="1" t="s">
        <v>5575</v>
      </c>
      <c r="B297" s="1" t="s">
        <v>16384</v>
      </c>
      <c r="C297" s="1" t="s">
        <v>16373</v>
      </c>
      <c r="D297" s="3">
        <v>200</v>
      </c>
      <c r="E297" s="4">
        <v>46129</v>
      </c>
    </row>
    <row r="298" spans="1:5" x14ac:dyDescent="0.25">
      <c r="A298" s="1" t="s">
        <v>5591</v>
      </c>
      <c r="B298" s="1" t="s">
        <v>16384</v>
      </c>
      <c r="C298" s="1" t="s">
        <v>16376</v>
      </c>
      <c r="D298" s="3">
        <v>200</v>
      </c>
      <c r="E298" s="4">
        <v>46178</v>
      </c>
    </row>
    <row r="299" spans="1:5" x14ac:dyDescent="0.25">
      <c r="A299" s="1" t="s">
        <v>5615</v>
      </c>
      <c r="B299" s="1" t="s">
        <v>16384</v>
      </c>
      <c r="C299" s="1" t="s">
        <v>16376</v>
      </c>
      <c r="D299" s="3">
        <v>200</v>
      </c>
      <c r="E299" s="4">
        <v>46169</v>
      </c>
    </row>
    <row r="300" spans="1:5" x14ac:dyDescent="0.25">
      <c r="A300" s="1" t="s">
        <v>5617</v>
      </c>
      <c r="B300" s="1" t="s">
        <v>16384</v>
      </c>
      <c r="C300" s="1" t="s">
        <v>16376</v>
      </c>
      <c r="D300" s="3">
        <v>200</v>
      </c>
      <c r="E300" s="4">
        <v>46174</v>
      </c>
    </row>
    <row r="301" spans="1:5" x14ac:dyDescent="0.25">
      <c r="A301" s="1" t="s">
        <v>5657</v>
      </c>
      <c r="B301" s="1" t="s">
        <v>16385</v>
      </c>
      <c r="D301" s="3">
        <v>200</v>
      </c>
      <c r="E301" s="4">
        <v>46196</v>
      </c>
    </row>
    <row r="302" spans="1:5" x14ac:dyDescent="0.25">
      <c r="A302" s="1" t="s">
        <v>5673</v>
      </c>
      <c r="B302" s="1" t="s">
        <v>16384</v>
      </c>
      <c r="C302" s="1" t="s">
        <v>16367</v>
      </c>
      <c r="D302" s="3">
        <v>200</v>
      </c>
      <c r="E302" s="4">
        <v>46208</v>
      </c>
    </row>
    <row r="303" spans="1:5" x14ac:dyDescent="0.25">
      <c r="A303" s="1" t="s">
        <v>5679</v>
      </c>
      <c r="B303" s="1" t="s">
        <v>16384</v>
      </c>
      <c r="C303" s="1" t="s">
        <v>16376</v>
      </c>
      <c r="D303" s="3">
        <v>200</v>
      </c>
      <c r="E303" s="4">
        <v>46175</v>
      </c>
    </row>
    <row r="304" spans="1:5" x14ac:dyDescent="0.25">
      <c r="A304" s="1" t="s">
        <v>5717</v>
      </c>
      <c r="B304" s="1" t="s">
        <v>16384</v>
      </c>
      <c r="C304" s="1" t="s">
        <v>16376</v>
      </c>
      <c r="D304" s="3">
        <v>200</v>
      </c>
      <c r="E304" s="4">
        <v>46207</v>
      </c>
    </row>
    <row r="305" spans="1:5" x14ac:dyDescent="0.25">
      <c r="A305" s="1" t="s">
        <v>5727</v>
      </c>
      <c r="B305" s="1" t="s">
        <v>16384</v>
      </c>
      <c r="C305" s="1" t="s">
        <v>16376</v>
      </c>
      <c r="D305" s="3">
        <v>200</v>
      </c>
      <c r="E305" s="4">
        <v>46168</v>
      </c>
    </row>
    <row r="306" spans="1:5" x14ac:dyDescent="0.25">
      <c r="A306" s="1" t="s">
        <v>5749</v>
      </c>
      <c r="B306" s="1" t="s">
        <v>16384</v>
      </c>
      <c r="C306" s="1" t="s">
        <v>16373</v>
      </c>
      <c r="D306" s="3">
        <v>200</v>
      </c>
      <c r="E306" s="4">
        <v>46169</v>
      </c>
    </row>
    <row r="307" spans="1:5" x14ac:dyDescent="0.25">
      <c r="A307" s="1" t="s">
        <v>5757</v>
      </c>
      <c r="B307" s="1" t="s">
        <v>16384</v>
      </c>
      <c r="C307" s="1" t="s">
        <v>16376</v>
      </c>
      <c r="D307" s="3">
        <v>200</v>
      </c>
      <c r="E307" s="4">
        <v>46228</v>
      </c>
    </row>
    <row r="308" spans="1:5" x14ac:dyDescent="0.25">
      <c r="A308" s="1" t="s">
        <v>5759</v>
      </c>
      <c r="B308" s="1" t="s">
        <v>16384</v>
      </c>
      <c r="C308" s="1" t="s">
        <v>16373</v>
      </c>
      <c r="D308" s="3">
        <v>200</v>
      </c>
      <c r="E308" s="4">
        <v>46193</v>
      </c>
    </row>
    <row r="309" spans="1:5" x14ac:dyDescent="0.25">
      <c r="A309" s="1" t="s">
        <v>5773</v>
      </c>
      <c r="B309" s="1" t="s">
        <v>16384</v>
      </c>
      <c r="C309" s="1" t="s">
        <v>16367</v>
      </c>
      <c r="D309" s="3">
        <v>200</v>
      </c>
      <c r="E309" s="4">
        <v>46194</v>
      </c>
    </row>
    <row r="310" spans="1:5" x14ac:dyDescent="0.25">
      <c r="A310" s="1" t="s">
        <v>5781</v>
      </c>
      <c r="B310" s="1" t="s">
        <v>16384</v>
      </c>
      <c r="C310" s="1" t="s">
        <v>16373</v>
      </c>
      <c r="D310" s="3">
        <v>200</v>
      </c>
      <c r="E310" s="4">
        <v>46248</v>
      </c>
    </row>
    <row r="311" spans="1:5" x14ac:dyDescent="0.25">
      <c r="A311" s="1" t="s">
        <v>5807</v>
      </c>
      <c r="B311" s="1" t="s">
        <v>16384</v>
      </c>
      <c r="C311" s="1" t="s">
        <v>16373</v>
      </c>
      <c r="D311" s="3">
        <v>200</v>
      </c>
      <c r="E311" s="4">
        <v>46209</v>
      </c>
    </row>
    <row r="312" spans="1:5" x14ac:dyDescent="0.25">
      <c r="A312" s="1" t="s">
        <v>5833</v>
      </c>
      <c r="B312" s="1" t="s">
        <v>16384</v>
      </c>
      <c r="C312" s="1" t="s">
        <v>16367</v>
      </c>
      <c r="D312" s="3">
        <v>200</v>
      </c>
      <c r="E312" s="4">
        <v>46201</v>
      </c>
    </row>
    <row r="313" spans="1:5" x14ac:dyDescent="0.25">
      <c r="A313" s="1" t="s">
        <v>5843</v>
      </c>
      <c r="B313" s="1" t="s">
        <v>16385</v>
      </c>
      <c r="D313" s="3">
        <v>200</v>
      </c>
      <c r="E313" s="4">
        <v>46261</v>
      </c>
    </row>
    <row r="314" spans="1:5" x14ac:dyDescent="0.25">
      <c r="A314" s="1" t="s">
        <v>5851</v>
      </c>
      <c r="B314" s="1" t="s">
        <v>16384</v>
      </c>
      <c r="C314" s="1" t="s">
        <v>16373</v>
      </c>
      <c r="D314" s="3">
        <v>200</v>
      </c>
      <c r="E314" s="4">
        <v>46212</v>
      </c>
    </row>
    <row r="315" spans="1:5" x14ac:dyDescent="0.25">
      <c r="A315" s="1" t="s">
        <v>5853</v>
      </c>
      <c r="B315" s="1" t="s">
        <v>16385</v>
      </c>
      <c r="D315" s="3">
        <v>200</v>
      </c>
      <c r="E315" s="4">
        <v>46264</v>
      </c>
    </row>
    <row r="316" spans="1:5" x14ac:dyDescent="0.25">
      <c r="A316" s="1" t="s">
        <v>5855</v>
      </c>
      <c r="B316" s="1" t="s">
        <v>16384</v>
      </c>
      <c r="C316" s="1" t="s">
        <v>16367</v>
      </c>
      <c r="D316" s="3">
        <v>200</v>
      </c>
      <c r="E316" s="4">
        <v>46258</v>
      </c>
    </row>
    <row r="317" spans="1:5" x14ac:dyDescent="0.25">
      <c r="A317" s="1" t="s">
        <v>5887</v>
      </c>
      <c r="B317" s="1" t="s">
        <v>16385</v>
      </c>
      <c r="D317" s="3">
        <v>200</v>
      </c>
      <c r="E317" s="4">
        <v>46274</v>
      </c>
    </row>
    <row r="318" spans="1:5" x14ac:dyDescent="0.25">
      <c r="A318" s="1" t="s">
        <v>5893</v>
      </c>
      <c r="B318" s="1" t="s">
        <v>16384</v>
      </c>
      <c r="C318" s="1" t="s">
        <v>16367</v>
      </c>
      <c r="D318" s="3">
        <v>200</v>
      </c>
      <c r="E318" s="4">
        <v>46220</v>
      </c>
    </row>
    <row r="319" spans="1:5" x14ac:dyDescent="0.25">
      <c r="A319" s="1" t="s">
        <v>5907</v>
      </c>
      <c r="B319" s="1" t="s">
        <v>16384</v>
      </c>
      <c r="C319" s="1" t="s">
        <v>16376</v>
      </c>
      <c r="D319" s="3">
        <v>200</v>
      </c>
      <c r="E319" s="4">
        <v>46205</v>
      </c>
    </row>
    <row r="320" spans="1:5" x14ac:dyDescent="0.25">
      <c r="A320" s="1" t="s">
        <v>5923</v>
      </c>
      <c r="B320" s="1" t="s">
        <v>16384</v>
      </c>
      <c r="C320" s="1" t="s">
        <v>16367</v>
      </c>
      <c r="D320" s="3">
        <v>200</v>
      </c>
      <c r="E320" s="4">
        <v>46210</v>
      </c>
    </row>
    <row r="321" spans="1:5" x14ac:dyDescent="0.25">
      <c r="A321" s="1" t="s">
        <v>5935</v>
      </c>
      <c r="B321" s="1" t="s">
        <v>16384</v>
      </c>
      <c r="C321" s="1" t="s">
        <v>16376</v>
      </c>
      <c r="D321" s="3">
        <v>200</v>
      </c>
      <c r="E321" s="4">
        <v>46263</v>
      </c>
    </row>
    <row r="322" spans="1:5" x14ac:dyDescent="0.25">
      <c r="A322" s="1" t="s">
        <v>5955</v>
      </c>
      <c r="B322" s="1" t="s">
        <v>16384</v>
      </c>
      <c r="C322" s="1" t="s">
        <v>16373</v>
      </c>
      <c r="D322" s="3">
        <v>200</v>
      </c>
      <c r="E322" s="4">
        <v>46224</v>
      </c>
    </row>
    <row r="323" spans="1:5" x14ac:dyDescent="0.25">
      <c r="A323" s="1" t="s">
        <v>5987</v>
      </c>
      <c r="B323" s="1" t="s">
        <v>16385</v>
      </c>
      <c r="D323" s="3">
        <v>200</v>
      </c>
      <c r="E323" s="4">
        <v>46290</v>
      </c>
    </row>
    <row r="324" spans="1:5" x14ac:dyDescent="0.25">
      <c r="A324" s="1" t="s">
        <v>5989</v>
      </c>
      <c r="B324" s="1" t="s">
        <v>16384</v>
      </c>
      <c r="C324" s="1" t="s">
        <v>16373</v>
      </c>
      <c r="D324" s="3">
        <v>200</v>
      </c>
      <c r="E324" s="4">
        <v>46297</v>
      </c>
    </row>
    <row r="325" spans="1:5" x14ac:dyDescent="0.25">
      <c r="A325" s="1" t="s">
        <v>5991</v>
      </c>
      <c r="B325" s="1" t="s">
        <v>16385</v>
      </c>
      <c r="D325" s="3">
        <v>200</v>
      </c>
      <c r="E325" s="4">
        <v>46288</v>
      </c>
    </row>
    <row r="326" spans="1:5" x14ac:dyDescent="0.25">
      <c r="A326" s="1" t="s">
        <v>6031</v>
      </c>
      <c r="B326" s="1" t="s">
        <v>16384</v>
      </c>
      <c r="C326" s="1" t="s">
        <v>16367</v>
      </c>
      <c r="D326" s="3">
        <v>200</v>
      </c>
      <c r="E326" s="4">
        <v>46307</v>
      </c>
    </row>
    <row r="327" spans="1:5" x14ac:dyDescent="0.25">
      <c r="A327" s="1" t="s">
        <v>6041</v>
      </c>
      <c r="B327" s="1" t="s">
        <v>16384</v>
      </c>
      <c r="C327" s="1" t="s">
        <v>16367</v>
      </c>
      <c r="D327" s="3">
        <v>200</v>
      </c>
      <c r="E327" s="4">
        <v>46286</v>
      </c>
    </row>
    <row r="328" spans="1:5" x14ac:dyDescent="0.25">
      <c r="A328" s="1" t="s">
        <v>6063</v>
      </c>
      <c r="B328" s="1" t="s">
        <v>16384</v>
      </c>
      <c r="C328" s="1" t="s">
        <v>16367</v>
      </c>
      <c r="D328" s="3">
        <v>200</v>
      </c>
      <c r="E328" s="4">
        <v>46252</v>
      </c>
    </row>
    <row r="329" spans="1:5" x14ac:dyDescent="0.25">
      <c r="A329" s="1" t="s">
        <v>6071</v>
      </c>
      <c r="B329" s="1" t="s">
        <v>16385</v>
      </c>
      <c r="D329" s="3">
        <v>200</v>
      </c>
      <c r="E329" s="4">
        <v>46280</v>
      </c>
    </row>
    <row r="330" spans="1:5" x14ac:dyDescent="0.25">
      <c r="A330" s="1" t="s">
        <v>6089</v>
      </c>
      <c r="B330" s="1" t="s">
        <v>16385</v>
      </c>
      <c r="D330" s="3">
        <v>200</v>
      </c>
      <c r="E330" s="4">
        <v>46291</v>
      </c>
    </row>
    <row r="331" spans="1:5" x14ac:dyDescent="0.25">
      <c r="A331" s="1" t="s">
        <v>6097</v>
      </c>
      <c r="B331" s="1" t="s">
        <v>16385</v>
      </c>
      <c r="D331" s="3">
        <v>200</v>
      </c>
      <c r="E331" s="4">
        <v>46339</v>
      </c>
    </row>
    <row r="332" spans="1:5" x14ac:dyDescent="0.25">
      <c r="A332" s="1" t="s">
        <v>6109</v>
      </c>
      <c r="B332" s="1" t="s">
        <v>16384</v>
      </c>
      <c r="C332" s="1" t="s">
        <v>16376</v>
      </c>
      <c r="D332" s="3">
        <v>200</v>
      </c>
      <c r="E332" s="4">
        <v>46333</v>
      </c>
    </row>
    <row r="333" spans="1:5" x14ac:dyDescent="0.25">
      <c r="A333" s="1" t="s">
        <v>6113</v>
      </c>
      <c r="B333" s="1" t="s">
        <v>16384</v>
      </c>
      <c r="C333" s="1" t="s">
        <v>16367</v>
      </c>
      <c r="D333" s="3">
        <v>200</v>
      </c>
      <c r="E333" s="4">
        <v>46320</v>
      </c>
    </row>
    <row r="334" spans="1:5" x14ac:dyDescent="0.25">
      <c r="A334" s="1" t="s">
        <v>6141</v>
      </c>
      <c r="B334" s="1" t="s">
        <v>16384</v>
      </c>
      <c r="C334" s="1" t="s">
        <v>16376</v>
      </c>
      <c r="D334" s="3">
        <v>200</v>
      </c>
      <c r="E334" s="4">
        <v>46336</v>
      </c>
    </row>
    <row r="335" spans="1:5" x14ac:dyDescent="0.25">
      <c r="A335" s="1" t="s">
        <v>6151</v>
      </c>
      <c r="B335" s="1" t="s">
        <v>16384</v>
      </c>
      <c r="C335" s="1" t="s">
        <v>16367</v>
      </c>
      <c r="D335" s="3">
        <v>200</v>
      </c>
      <c r="E335" s="4">
        <v>46306</v>
      </c>
    </row>
    <row r="336" spans="1:5" x14ac:dyDescent="0.25">
      <c r="A336" s="1" t="s">
        <v>6189</v>
      </c>
      <c r="B336" s="1" t="s">
        <v>16384</v>
      </c>
      <c r="C336" s="1" t="s">
        <v>16376</v>
      </c>
      <c r="D336" s="3">
        <v>200</v>
      </c>
      <c r="E336" s="4">
        <v>46319</v>
      </c>
    </row>
    <row r="337" spans="1:5" x14ac:dyDescent="0.25">
      <c r="A337" s="1" t="s">
        <v>6191</v>
      </c>
      <c r="B337" s="1" t="s">
        <v>16384</v>
      </c>
      <c r="C337" s="1" t="s">
        <v>16376</v>
      </c>
      <c r="D337" s="3">
        <v>200</v>
      </c>
      <c r="E337" s="4">
        <v>46283</v>
      </c>
    </row>
    <row r="338" spans="1:5" x14ac:dyDescent="0.25">
      <c r="A338" s="1" t="s">
        <v>6211</v>
      </c>
      <c r="B338" s="1" t="s">
        <v>16384</v>
      </c>
      <c r="C338" s="1" t="s">
        <v>16376</v>
      </c>
      <c r="D338" s="3">
        <v>200</v>
      </c>
      <c r="E338" s="4">
        <v>46285</v>
      </c>
    </row>
    <row r="339" spans="1:5" x14ac:dyDescent="0.25">
      <c r="A339" s="1" t="s">
        <v>6219</v>
      </c>
      <c r="B339" s="1" t="s">
        <v>16384</v>
      </c>
      <c r="C339" s="1" t="s">
        <v>16376</v>
      </c>
      <c r="D339" s="3">
        <v>200</v>
      </c>
      <c r="E339" s="4">
        <v>46310</v>
      </c>
    </row>
    <row r="340" spans="1:5" x14ac:dyDescent="0.25">
      <c r="A340" s="1" t="s">
        <v>6225</v>
      </c>
      <c r="B340" s="1" t="s">
        <v>16384</v>
      </c>
      <c r="C340" s="1" t="s">
        <v>16376</v>
      </c>
      <c r="D340" s="3">
        <v>200</v>
      </c>
      <c r="E340" s="4">
        <v>46324</v>
      </c>
    </row>
    <row r="341" spans="1:5" x14ac:dyDescent="0.25">
      <c r="A341" s="1" t="s">
        <v>6237</v>
      </c>
      <c r="B341" s="1" t="s">
        <v>16385</v>
      </c>
      <c r="D341" s="3">
        <v>200</v>
      </c>
      <c r="E341" s="4">
        <v>46370</v>
      </c>
    </row>
    <row r="342" spans="1:5" x14ac:dyDescent="0.25">
      <c r="A342" s="1" t="s">
        <v>6239</v>
      </c>
      <c r="B342" s="1" t="s">
        <v>16384</v>
      </c>
      <c r="C342" s="1" t="s">
        <v>16376</v>
      </c>
      <c r="D342" s="3">
        <v>200</v>
      </c>
      <c r="E342" s="4">
        <v>46338</v>
      </c>
    </row>
    <row r="343" spans="1:5" x14ac:dyDescent="0.25">
      <c r="A343" s="1" t="s">
        <v>6247</v>
      </c>
      <c r="B343" s="1" t="s">
        <v>16384</v>
      </c>
      <c r="C343" s="1" t="s">
        <v>16373</v>
      </c>
      <c r="D343" s="3">
        <v>200</v>
      </c>
      <c r="E343" s="4">
        <v>46356</v>
      </c>
    </row>
    <row r="344" spans="1:5" x14ac:dyDescent="0.25">
      <c r="A344" s="1" t="s">
        <v>6253</v>
      </c>
      <c r="B344" s="1" t="s">
        <v>16384</v>
      </c>
      <c r="C344" s="1" t="s">
        <v>16376</v>
      </c>
      <c r="D344" s="3">
        <v>200</v>
      </c>
      <c r="E344" s="4">
        <v>46351</v>
      </c>
    </row>
    <row r="345" spans="1:5" x14ac:dyDescent="0.25">
      <c r="A345" s="1" t="s">
        <v>6259</v>
      </c>
      <c r="B345" s="1" t="s">
        <v>16384</v>
      </c>
      <c r="C345" s="1" t="s">
        <v>16367</v>
      </c>
      <c r="D345" s="3">
        <v>200</v>
      </c>
      <c r="E345" s="4">
        <v>46308</v>
      </c>
    </row>
    <row r="346" spans="1:5" x14ac:dyDescent="0.25">
      <c r="A346" s="1" t="s">
        <v>6265</v>
      </c>
      <c r="B346" s="1" t="s">
        <v>16385</v>
      </c>
      <c r="D346" s="3">
        <v>200</v>
      </c>
      <c r="E346" s="4">
        <v>46359</v>
      </c>
    </row>
    <row r="347" spans="1:5" x14ac:dyDescent="0.25">
      <c r="A347" s="1" t="s">
        <v>6281</v>
      </c>
      <c r="B347" s="1" t="s">
        <v>16385</v>
      </c>
      <c r="D347" s="3">
        <v>200</v>
      </c>
      <c r="E347" s="4">
        <v>46350</v>
      </c>
    </row>
    <row r="348" spans="1:5" x14ac:dyDescent="0.25">
      <c r="A348" s="1" t="s">
        <v>6303</v>
      </c>
      <c r="B348" s="1" t="s">
        <v>16384</v>
      </c>
      <c r="C348" s="1" t="s">
        <v>16373</v>
      </c>
      <c r="D348" s="3">
        <v>200</v>
      </c>
      <c r="E348" s="4">
        <v>46349</v>
      </c>
    </row>
    <row r="349" spans="1:5" x14ac:dyDescent="0.25">
      <c r="A349" s="1" t="s">
        <v>6317</v>
      </c>
      <c r="B349" s="1" t="s">
        <v>16385</v>
      </c>
      <c r="D349" s="3">
        <v>200</v>
      </c>
      <c r="E349" s="4">
        <v>46324</v>
      </c>
    </row>
    <row r="350" spans="1:5" x14ac:dyDescent="0.25">
      <c r="A350" s="1" t="s">
        <v>6323</v>
      </c>
      <c r="B350" s="1" t="s">
        <v>16384</v>
      </c>
      <c r="C350" s="1" t="s">
        <v>16373</v>
      </c>
      <c r="D350" s="3">
        <v>200</v>
      </c>
      <c r="E350" s="4">
        <v>46340</v>
      </c>
    </row>
    <row r="351" spans="1:5" x14ac:dyDescent="0.25">
      <c r="A351" s="1" t="s">
        <v>6385</v>
      </c>
      <c r="B351" s="1" t="s">
        <v>16384</v>
      </c>
      <c r="C351" s="1" t="s">
        <v>16376</v>
      </c>
      <c r="D351" s="3">
        <v>200</v>
      </c>
      <c r="E351" s="4">
        <v>46387</v>
      </c>
    </row>
    <row r="352" spans="1:5" x14ac:dyDescent="0.25">
      <c r="A352" s="1" t="s">
        <v>6395</v>
      </c>
      <c r="B352" s="1" t="s">
        <v>16384</v>
      </c>
      <c r="C352" s="1" t="s">
        <v>16376</v>
      </c>
      <c r="D352" s="3">
        <v>200</v>
      </c>
      <c r="E352" s="4">
        <v>46355</v>
      </c>
    </row>
    <row r="353" spans="1:5" x14ac:dyDescent="0.25">
      <c r="A353" s="1" t="s">
        <v>6399</v>
      </c>
      <c r="B353" s="1" t="s">
        <v>16384</v>
      </c>
      <c r="C353" s="1" t="s">
        <v>16367</v>
      </c>
      <c r="D353" s="3">
        <v>200</v>
      </c>
      <c r="E353" s="4">
        <v>46387</v>
      </c>
    </row>
    <row r="354" spans="1:5" x14ac:dyDescent="0.25">
      <c r="A354" s="1" t="s">
        <v>6401</v>
      </c>
      <c r="B354" s="1" t="s">
        <v>16384</v>
      </c>
      <c r="C354" s="1" t="s">
        <v>16373</v>
      </c>
      <c r="D354" s="3">
        <v>200</v>
      </c>
      <c r="E354" s="4">
        <v>46387</v>
      </c>
    </row>
    <row r="355" spans="1:5" x14ac:dyDescent="0.25">
      <c r="A355" s="1" t="s">
        <v>6453</v>
      </c>
      <c r="B355" s="1" t="s">
        <v>16384</v>
      </c>
      <c r="C355" s="1" t="s">
        <v>16373</v>
      </c>
      <c r="D355" s="3">
        <v>200</v>
      </c>
      <c r="E355" s="4">
        <v>46387</v>
      </c>
    </row>
    <row r="356" spans="1:5" x14ac:dyDescent="0.25">
      <c r="A356" s="1" t="s">
        <v>6481</v>
      </c>
      <c r="B356" s="1" t="s">
        <v>16384</v>
      </c>
      <c r="C356" s="1" t="s">
        <v>16376</v>
      </c>
      <c r="D356" s="3">
        <v>200</v>
      </c>
      <c r="E356" s="4">
        <v>46387</v>
      </c>
    </row>
    <row r="357" spans="1:5" x14ac:dyDescent="0.25">
      <c r="A357" s="1" t="s">
        <v>6485</v>
      </c>
      <c r="B357" s="1" t="s">
        <v>16384</v>
      </c>
      <c r="C357" s="1" t="s">
        <v>16373</v>
      </c>
      <c r="D357" s="3">
        <v>200</v>
      </c>
      <c r="E357" s="4">
        <v>46387</v>
      </c>
    </row>
    <row r="358" spans="1:5" x14ac:dyDescent="0.25">
      <c r="A358" s="1" t="s">
        <v>6493</v>
      </c>
      <c r="B358" s="1" t="s">
        <v>16384</v>
      </c>
      <c r="C358" s="1" t="s">
        <v>16376</v>
      </c>
      <c r="D358" s="3">
        <v>200</v>
      </c>
      <c r="E358" s="4">
        <v>46387</v>
      </c>
    </row>
    <row r="359" spans="1:5" x14ac:dyDescent="0.25">
      <c r="A359" s="1" t="s">
        <v>6521</v>
      </c>
      <c r="B359" s="1" t="s">
        <v>16384</v>
      </c>
      <c r="C359" s="1" t="s">
        <v>16373</v>
      </c>
      <c r="D359" s="3">
        <v>200</v>
      </c>
      <c r="E359" s="4">
        <v>46387</v>
      </c>
    </row>
    <row r="360" spans="1:5" x14ac:dyDescent="0.25">
      <c r="A360" s="1" t="s">
        <v>6525</v>
      </c>
      <c r="B360" s="1" t="s">
        <v>16384</v>
      </c>
      <c r="C360" s="1" t="s">
        <v>16367</v>
      </c>
      <c r="D360" s="3">
        <v>200</v>
      </c>
      <c r="E360" s="4">
        <v>46387</v>
      </c>
    </row>
    <row r="361" spans="1:5" x14ac:dyDescent="0.25">
      <c r="A361" s="1" t="s">
        <v>6547</v>
      </c>
      <c r="B361" s="1" t="s">
        <v>16384</v>
      </c>
      <c r="C361" s="1" t="s">
        <v>16373</v>
      </c>
      <c r="D361" s="3">
        <v>200</v>
      </c>
      <c r="E361" s="4">
        <v>46387</v>
      </c>
    </row>
  </sheetData>
  <dataValidations count="1">
    <dataValidation type="list" allowBlank="1" sqref="B2:C361" xr:uid="{00000000-0002-0000-0600-000000000000}">
      <formula1>#REF!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showGridLines="0" tabSelected="1" workbookViewId="0">
      <selection activeCell="D12" sqref="D12"/>
    </sheetView>
  </sheetViews>
  <sheetFormatPr defaultRowHeight="15" x14ac:dyDescent="0.25"/>
  <cols>
    <col min="1" max="2" width="20" customWidth="1"/>
    <col min="3" max="3" width="14" customWidth="1"/>
    <col min="4" max="4" width="45" customWidth="1"/>
  </cols>
  <sheetData>
    <row r="1" spans="1:3" x14ac:dyDescent="0.25">
      <c r="A1" s="2" t="s">
        <v>16386</v>
      </c>
      <c r="B1" s="2" t="s">
        <v>16368</v>
      </c>
      <c r="C1" s="2" t="s">
        <v>16369</v>
      </c>
    </row>
    <row r="2" spans="1:3" x14ac:dyDescent="0.25">
      <c r="A2" s="1" t="s">
        <v>16367</v>
      </c>
      <c r="B2" s="1" t="s">
        <v>16370</v>
      </c>
      <c r="C2" s="3">
        <v>34</v>
      </c>
    </row>
    <row r="3" spans="1:3" x14ac:dyDescent="0.25">
      <c r="A3" s="1" t="s">
        <v>16367</v>
      </c>
      <c r="B3" s="1" t="s">
        <v>16372</v>
      </c>
      <c r="C3" s="3">
        <v>42</v>
      </c>
    </row>
    <row r="4" spans="1:3" x14ac:dyDescent="0.25">
      <c r="A4" s="1" t="s">
        <v>16367</v>
      </c>
      <c r="B4" s="1" t="s">
        <v>16371</v>
      </c>
      <c r="C4" s="3">
        <v>37</v>
      </c>
    </row>
    <row r="5" spans="1:3" x14ac:dyDescent="0.25">
      <c r="A5" s="1" t="s">
        <v>16373</v>
      </c>
      <c r="B5" s="1" t="s">
        <v>16374</v>
      </c>
      <c r="C5" s="3">
        <v>62</v>
      </c>
    </row>
    <row r="6" spans="1:3" x14ac:dyDescent="0.25">
      <c r="A6" s="1" t="s">
        <v>16373</v>
      </c>
      <c r="B6" s="1" t="s">
        <v>16375</v>
      </c>
      <c r="C6" s="3">
        <v>72</v>
      </c>
    </row>
    <row r="7" spans="1:3" x14ac:dyDescent="0.25">
      <c r="A7" s="1" t="s">
        <v>16376</v>
      </c>
      <c r="B7" s="1" t="s">
        <v>16377</v>
      </c>
      <c r="C7" s="3">
        <v>39</v>
      </c>
    </row>
    <row r="8" spans="1:3" x14ac:dyDescent="0.25">
      <c r="A8" s="1" t="s">
        <v>16376</v>
      </c>
      <c r="B8" s="1" t="s">
        <v>16378</v>
      </c>
      <c r="C8" s="3">
        <v>52</v>
      </c>
    </row>
    <row r="9" spans="1:3" x14ac:dyDescent="0.25">
      <c r="A9" s="1" t="s">
        <v>16376</v>
      </c>
      <c r="B9" s="1" t="s">
        <v>16379</v>
      </c>
      <c r="C9" s="3">
        <v>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Inventory</vt:lpstr>
      <vt:lpstr>Blades</vt:lpstr>
      <vt:lpstr>Motor</vt:lpstr>
      <vt:lpstr>Frame</vt:lpstr>
      <vt:lpstr>Returns</vt:lpstr>
      <vt:lpstr>Factory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 T</cp:lastModifiedBy>
  <dcterms:created xsi:type="dcterms:W3CDTF">2026-05-06T21:39:33Z</dcterms:created>
  <dcterms:modified xsi:type="dcterms:W3CDTF">2026-05-06T23:31:28Z</dcterms:modified>
</cp:coreProperties>
</file>